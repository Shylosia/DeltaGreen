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资料\DG\Workspace\projects\project007_人物卡职业模板联动\03_outputs\"/>
    </mc:Choice>
  </mc:AlternateContent>
  <workbookProtection workbookPassword="CC25" lockStructure="1"/>
  <bookViews>
    <workbookView windowWidth="24750" windowHeight="12080"/>
  </bookViews>
  <sheets>
    <sheet name="人物卡" sheetId="2" r:id="rId1"/>
    <sheet name="骰子指令" sheetId="11" r:id="rId2"/>
    <sheet name="职业列表" sheetId="9" state="hidden" r:id="rId3"/>
    <sheet name="额外技能包" sheetId="10" state="hidden" r:id="rId4"/>
    <sheet name="子技能" sheetId="5" state="hidden" r:id="rId5"/>
    <sheet name="附表" sheetId="4" state="hidden" r:id="rId6"/>
    <sheet name="职业选项" sheetId="14" state="hidden" r:id="rId7"/>
    <sheet name="规则数据" sheetId="15" state="hidden" r:id="rId8"/>
    <sheet name="模组经历备忘录" sheetId="19" r:id="rId9"/>
    <sheet name="理智与关系记录" sheetId="23" r:id="rId10"/>
    <sheet name="幕间与结算" sheetId="20" r:id="rId11"/>
    <sheet name="可打印版（A4）" sheetId="13" r:id="rId12"/>
    <sheet name="规则速查" sheetId="16" r:id="rId13"/>
    <sheet name="精神疾病" sheetId="17" r:id="rId14"/>
    <sheet name="参考选项" sheetId="18" r:id="rId15"/>
    <sheet name="幕间计算" sheetId="21" state="hidden" r:id="rId16"/>
    <sheet name="装备选项" sheetId="22" state="hidden" r:id="rId17"/>
    <sheet name="更新记录" sheetId="8" r:id="rId18"/>
  </sheets>
  <definedNames>
    <definedName name="_xlnm._FilterDatabase" localSheetId="8" hidden="1">模组经历备忘录!$A$7:$H$27</definedName>
    <definedName name="_xlnm._FilterDatabase" localSheetId="12"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人物卡!$BX$3:$CX$11,人物卡!$BN$14,人物卡!$BN$18,人物卡!$BI$28</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4">参考选项!$A$1:$C$78</definedName>
    <definedName name="_xlnm.Print_Area" localSheetId="17">更新记录!$A$1:$B$176</definedName>
    <definedName name="_xlnm.Print_Area" localSheetId="12">规则速查!$A$8:$C$546</definedName>
    <definedName name="_xlnm.Print_Area" localSheetId="13">精神疾病!$A$1:$C$37</definedName>
    <definedName name="_xlnm.Print_Area" localSheetId="11">'可打印版（A4）'!$A$1:$AJ$98</definedName>
    <definedName name="_xlnm.Print_Area" localSheetId="8">模组经历备忘录!$A$1:$H$27</definedName>
    <definedName name="_xlnm.Print_Titles" localSheetId="14">参考选项!$7:$7</definedName>
    <definedName name="_xlnm.Print_Titles" localSheetId="17">更新记录!$10:$10</definedName>
    <definedName name="_xlnm.Print_Titles" localSheetId="12">规则速查!$8:$8</definedName>
    <definedName name="_xlnm.Print_Titles" localSheetId="13">精神疾病!$7:$7</definedName>
    <definedName name="_xlnm.Print_Titles" localSheetId="8">模组经历备忘录!$7:$7</definedName>
    <definedName name="本次成长记录">幕间与结算!$A$30:INDEX(幕间与结算!$I$30:$I$89,MAX(1,幕间计算!$AO$2))</definedName>
    <definedName name="本次幕间记录">幕间与结算!$A$20:INDEX(幕间与结算!$I$20:$I$24,MAX(1,幕间计算!$AQ$7))</definedName>
    <definedName name="本次幕间输入">幕间与结算!$F$8:$K$8,幕间与结算!$B$9:$D$9,幕间与结算!$F$9:$K$9,幕间与结算!$E$10:$G$10,幕间与结算!$E$11:$G$11,幕间与结算!$E$12:$G$12,幕间与结算!$J$12:$K$12,幕间与结算!$E$13:$G$13,幕间与结算!$E$14:$G$14,幕间与结算!$E$15:$G$15,幕间与结算!$J$14:$K$14,幕间与结算!$B$16:$K$17</definedName>
    <definedName name="本次骰点">幕间与结算!$J$30:$J$89</definedName>
    <definedName name="变更目标">幕间计算!$P$2:INDEX(幕间计算!$P$2:$P$79,MAX(1,COUNTIF(幕间计算!$P$2:$P$79,"?*")))</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关系编号">幕间计算!$X$2:$X$8</definedName>
    <definedName name="关系称谓">参考选项!$B$35:$B$46</definedName>
    <definedName name="归档空行">OFFSET(幕间与结算!$A$95,幕间计算!$AQ$8,0,1,1)</definedName>
    <definedName name="护甲下拉列表">规则数据!$A$560:$A$565</definedName>
    <definedName name="空白选项">幕间计算!$EQ$2</definedName>
    <definedName name="模组编号">幕间计算!$W$2:$W$21</definedName>
    <definedName name="幕间结果">幕间计算!$EO$2:$EO$5</definedName>
    <definedName name="幕间事项">幕间计算!$U$2:$U$10</definedName>
    <definedName name="任选勾选值">职业选项!$AA$2:$AA$3</definedName>
    <definedName name="失败标记">人物卡!$B$14:$C$43,人物卡!$AE$14:$AF$43</definedName>
    <definedName name="特训对应项">规则数据!$A$580:$A$644</definedName>
    <definedName name="特训范例">参考选项!$B$20:$B$33</definedName>
    <definedName name="武器下拉列表">规则数据!$A$500:$A$553</definedName>
    <definedName name="训练目标">幕间计算!$DQ$2:INDEX(幕间计算!$DQ$2:$DQ$79,MAX(1,COUNTIF(幕间计算!$DQ$2:$DQ$79,"?*")))</definedName>
    <definedName name="有效非DG关系">幕间计算!$DS$2:INDEX(幕间计算!$DS$2:$DS$8,MAX(1,COUNTIF(幕间计算!$DS$2:$DS$8,"?*")))</definedName>
    <definedName name="有效关系">幕间计算!$DU$2:INDEX(幕间计算!$DU$2:$DU$8,MAX(1,COUNTIF(幕间计算!$DU$2:$DU$8,"?*")))</definedName>
    <definedName name="治疗告知">幕间计算!$EP$2:$EP$3</definedName>
    <definedName name="主卡技能选项">OFFSET(规则数据!$Z$20,0,0,MAX(1,规则数据!$Z$19),1)</definedName>
    <definedName name="装备包选项">装备选项!$J$2:$J$8</definedName>
    <definedName name="游戏事件类型">幕间计算!$GF$2:$GF$14</definedName>
    <definedName name="理智损失来源">幕间计算!$GE$2:$GE$4</definedName>
    <definedName name="游戏精神疾病">幕间计算!$GG$2:$GG$19</definedName>
    <definedName name="本次事件记录">OFFSET(理智与关系记录!$A$27,0,0,MAX(1,幕间计算!$GA$44),9)</definedName>
    <definedName name="本次事件输入">理智与关系记录!$B$9:$C$9,理智与关系记录!$E$9:$G$9,理智与关系记录!$B$10:$C$19,理智与关系记录!$E$10:$G$19,理智与关系记录!$B$20:$K$22</definedName>
    <definedName name="_xlnm.Print_Area" localSheetId="9">理智与关系记录!$A$1:$K$54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技能说明</author>
    <author>Codex</author>
  </authors>
  <commentList>
    <comment ref="AB2" authorId="0">
      <text>
        <r>
          <rPr>
            <sz val="10"/>
            <rFont val="宋体"/>
            <charset val="134"/>
          </rPr>
          <t>在主卡原值栏填写六项属性，每项3～18；可分配72点，或掷六次4D6、各去掉最低骰后分配。右侧现值自动计入背景与已归档变化。</t>
        </r>
      </text>
    </comment>
    <comment ref="AK2" authorId="0">
      <text>
        <r>
          <rPr>
            <sz val="10"/>
            <rFont val="宋体"/>
            <charset val="134"/>
          </rPr>
          <t>以有效属性×5为百分骰目标，不高于目标即成功。01及成功的同点双骰为大成功；00及失败的同点双骰为大失败。使用右侧现值，情景修正另计。</t>
        </r>
      </text>
    </comment>
    <comment ref="AN2" authorId="0">
      <text>
        <r>
          <rPr>
            <sz val="10"/>
            <rFont val="宋体"/>
            <charset val="134"/>
          </rPr>
          <t>现值＝原值＋背景修正＋已归档变化。幕间、属性×5、衍生值和打印卡使用现值；属性提升不会自动补满体力、毅力或理智。</t>
        </r>
      </text>
    </comment>
    <comment ref="AQ2" authorId="0">
      <text>
        <r>
          <rPr>
            <sz val="8"/>
            <color rgb="FF000000"/>
            <rFont val="等线"/>
            <charset val="134"/>
          </rPr>
          <t>属性小于9或高于12时，可写一句对应的外貌或行为特征；不额外提供数值奖惩。</t>
        </r>
      </text>
    </comment>
    <comment ref="BX2" authorId="0">
      <text>
        <r>
          <rPr>
            <sz val="8"/>
            <color rgb="FF000000"/>
            <rFont val="等线"/>
            <charset val="134"/>
          </rPr>
          <t>为现有技能或属性增加特定用途，不单独增加技能等级。常见训练需10～20小时指导练习；缺少所需特训的后果由掌局者判断。</t>
        </r>
      </text>
    </comment>
    <comment ref="AB3" authorId="0">
      <text>
        <r>
          <rPr>
            <sz val="8"/>
            <color rgb="FF000000"/>
            <rFont val="等线"/>
            <charset val="134"/>
          </rPr>
          <t>身体强度、体型与肌肉量，可用于破门、拖拽或压制。与体质共同决定体力上限，也决定近战伤害加成。</t>
        </r>
      </text>
    </comment>
    <comment ref="AB4" authorId="0">
      <text>
        <r>
          <rPr>
            <sz val="8"/>
            <color rgb="FF000000"/>
            <rFont val="等线"/>
            <charset val="134"/>
          </rPr>
          <t>健康与身体耐受度，可用于抵御疾病、疲倦、痛苦或长时间屏息。与力量共同决定体力上限。</t>
        </r>
      </text>
    </comment>
    <comment ref="AB5" authorId="0">
      <text>
        <r>
          <rPr>
            <sz val="8"/>
            <color rgb="FF000000"/>
            <rFont val="等线"/>
            <charset val="134"/>
          </rPr>
          <t>迅捷、协调与灵活，常用于平衡和快速反应。战斗通常按敏捷从高到低行动。</t>
        </r>
      </text>
    </comment>
    <comment ref="AB6" authorId="0">
      <text>
        <r>
          <rPr>
            <sz val="8"/>
            <color rgb="FF000000"/>
            <rFont val="等线"/>
            <charset val="134"/>
          </rPr>
          <t>注意、记忆和关联事物的能力，可用于回忆细节、整理线索。需要专业训练的0%技能不能仅靠智力替代。</t>
        </r>
      </text>
    </comment>
    <comment ref="AB7" authorId="0">
      <text>
        <r>
          <rPr>
            <sz val="8"/>
            <color rgb="FF000000"/>
            <rFont val="等线"/>
            <charset val="134"/>
          </rPr>
          <t>自我强度、动力与精神耐受度，决定毅力上限并参与初始理智和崩溃点计算。</t>
        </r>
      </text>
    </comment>
    <comment ref="AB8" authorId="0">
      <text>
        <r>
          <rPr>
            <sz val="8"/>
            <color rgb="FF000000"/>
            <rFont val="等线"/>
            <charset val="134"/>
          </rPr>
          <t>吸引力、领导力与个人气质，决定创建时每段重要关系的初始值。</t>
        </r>
      </text>
    </comment>
    <comment ref="EK8" authorId="0">
      <text>
        <r>
          <rPr>
            <sz val="8"/>
            <color rgb="FF000000"/>
            <rFont val="等线"/>
            <charset val="134"/>
          </rPr>
          <t>护甲抵减普通体力伤害，不能阻止成功致死检定；掩体另计。多来源护甲可叠加，先计算穿甲。此处只记录装备，不自动结算受伤量。</t>
        </r>
      </text>
    </comment>
    <comment ref="AL9" authorId="0">
      <text>
        <r>
          <rPr>
            <sz val="8"/>
            <color rgb="FF000000"/>
            <rFont val="等线"/>
            <charset val="134"/>
          </rPr>
          <t>按本职技能净点数推算创建时的关系数量；“艰苦经历”再去掉一段。实际已建立关系的数量另行统计。</t>
        </r>
      </text>
    </comment>
    <comment ref="BD9" authorId="0">
      <text>
        <r>
          <rPr>
            <sz val="8"/>
            <color rgb="FF000000"/>
            <rFont val="等线"/>
            <charset val="134"/>
          </rPr>
          <t>仅统计技能包实际计入的点数，完整分配为8次×20＝160点。未选择或达到80%上限会减少实计点数；不包含创伤与成长。</t>
        </r>
      </text>
    </comment>
    <comment ref="B10" authorId="0">
      <text>
        <r>
          <rPr>
            <sz val="8"/>
            <color rgb="FF000000"/>
            <rFont val="等线"/>
            <charset val="134"/>
          </rPr>
          <t>上限＝（力量＋体质）÷2，向上取整。当前值初始等于上限，伤害与恢复按已确认记录累计。降至2或以下昏迷，降至0死亡。</t>
        </r>
      </text>
    </comment>
    <comment ref="N10" authorId="0">
      <text>
        <r>
          <rPr>
            <sz val="8"/>
            <color rgb="FF000000"/>
            <rFont val="等线"/>
            <charset val="134"/>
          </rPr>
          <t>上限＝有效意志。当前值初始等于上限，消耗与恢复按已确认记录累计。剩1～2点时所有检定−20%；0点时无法检定成功，并暂由掌局者控制。整晚睡眠恢复1D6，每24小时一次。</t>
        </r>
      </text>
    </comment>
    <comment ref="AB10" authorId="0">
      <text>
        <r>
          <rPr>
            <sz val="8"/>
            <color rgb="FF000000"/>
            <rFont val="等线"/>
            <charset val="134"/>
          </rPr>
          <t>上限＝99−非自然知识。创建值为原始意志×5扣除创伤损失，不超过上限。游戏中的变化按已确认记录累计；单次损失至少5点导致临时疯狂，降至0为永久疯狂。</t>
        </r>
      </text>
    </comment>
    <comment ref="AN10" authorId="0">
      <text>
        <r>
          <rPr>
            <sz val="8"/>
            <color rgb="FF000000"/>
            <rFont val="等线"/>
            <charset val="134"/>
          </rPr>
          <t>初始通常为初始理智−意志。理智降到此值或以下时新增一项精神疾病，并将崩溃点重置为当前理智−意志；对应变化需记录并确认。不会随每次理智损失自动下降；创建时仅“人类不应知道之事”重置，其他三种背景保留原阈值。</t>
        </r>
      </text>
    </comment>
    <comment ref="AX10" authorId="0">
      <text>
        <r>
          <rPr>
            <sz val="10"/>
            <rFont val="宋体"/>
            <charset val="134"/>
          </rPr>
          <t>进度由已归档的游戏事件自动累计。连续三次符合条件的损失后适应；完成时在理智与关系记录中填写1D6代价。</t>
        </r>
      </text>
    </comment>
    <comment ref="AX11" authorId="0">
      <text>
        <r>
          <rPr>
            <sz val="10"/>
            <rFont val="宋体"/>
            <charset val="134"/>
          </rPr>
          <t>进度由已归档的游戏事件自动累计。连续三次符合条件的损失后适应；完成时在理智与关系记录中填写1D6代价。</t>
        </r>
      </text>
    </comment>
    <comment ref="P13" authorId="0">
      <text>
        <r>
          <rPr>
            <sz val="8"/>
            <color rgb="FF000000"/>
            <rFont val="等线"/>
            <charset val="134"/>
          </rPr>
          <t>职业值替代基础值，再加额外与成长；额外包含技能包及创伤修正。此列为计算结果，技能上限99%。</t>
        </r>
      </text>
    </comment>
    <comment ref="S13" authorId="0">
      <text>
        <r>
          <rPr>
            <sz val="8"/>
            <color rgb="FF000000"/>
            <rFont val="等线"/>
            <charset val="134"/>
          </rPr>
          <t>未接受职业训练时的基础等级；职业值会替代它。0%技能通常不能尝试；艺术、工艺、外语、军事科学、特种载具、科学须确定专攻。</t>
        </r>
      </text>
    </comment>
    <comment ref="V13" authorId="0">
      <text>
        <r>
          <rPr>
            <sz val="8"/>
            <color rgb="FF000000"/>
            <rFont val="等线"/>
            <charset val="134"/>
          </rPr>
          <t>由职业、适用子模板及职业框内的选择计算，直接替代基础等级。专攻技能需先填写具体名称。</t>
        </r>
      </text>
    </comment>
    <comment ref="Y13" authorId="0">
      <text>
        <r>
          <rPr>
            <sz val="8"/>
            <color rgb="FF000000"/>
            <rFont val="等线"/>
            <charset val="134"/>
          </rPr>
          <t>汇总技能包及创伤加点。技能包每次+20，可重复，创建上限80%；艰苦经历五项各+10，上限90%。两者均不能提升非自然知识。</t>
        </r>
      </text>
    </comment>
    <comment ref="AB13" authorId="0">
      <text>
        <r>
          <rPr>
            <sz val="8"/>
            <color rgb="FF000000"/>
            <rFont val="等线"/>
            <charset val="134"/>
          </rPr>
          <t>游戏中在主卡勾选失败技能，幕间页自动生成结算清单。填实掷1D4后，将记录粘贴为值到归档区，成长计入主卡；再清空失败标记。每模组每技能一次，非自然知识除外。</t>
        </r>
      </text>
    </comment>
    <comment ref="DM13" authorId="0">
      <text>
        <r>
          <rPr>
            <sz val="8"/>
            <color rgb="FF000000"/>
            <rFont val="等线"/>
            <charset val="134"/>
          </rPr>
          <t>引用对应技能总值；瞄准、距离、遮蔽、霰弹与爆炸等情景修正另计。部分武器还需特训。</t>
        </r>
      </text>
    </comment>
    <comment ref="DQ13" authorId="0">
      <text>
        <r>
          <rPr>
            <sz val="8"/>
            <color rgb="FF000000"/>
            <rFont val="等线"/>
            <charset val="134"/>
          </rPr>
          <t>骰式为普通伤害，百分比为致死等级；并列时按实际射击模式结算。致死检定成功使普通人类目标体力归0；失败将两颗D10相加，0按10。掩体、巨型及超然目标另计。</t>
        </r>
      </text>
    </comment>
    <comment ref="DW13" authorId="0">
      <text>
        <r>
          <rPr>
            <sz val="8"/>
            <color rgb="FF000000"/>
            <rFont val="等线"/>
            <charset val="134"/>
          </rPr>
          <t>减少本次可用护甲等级，不直接增加伤害。爆炸武器的穿甲只对指定目标生效，不作用于击杀半径内其他受害者。</t>
        </r>
      </text>
    </comment>
    <comment ref="DZ13" authorId="0">
      <text>
        <r>
          <rPr>
            <sz val="8"/>
            <color rgb="FF000000"/>
            <rFont val="等线"/>
            <charset val="134"/>
          </rPr>
          <t>以米计。超过基础射程但不到两倍通常−20%；超过两倍但不到五倍通常−40%。机枪支架、霰弹类型等特例另计。</t>
        </r>
      </text>
    </comment>
    <comment ref="ED13" authorId="0">
      <text>
        <r>
          <rPr>
            <sz val="8"/>
            <color rgb="FF000000"/>
            <rFont val="等线"/>
            <charset val="134"/>
          </rPr>
          <t>以米计。成功的范围攻击对指定目标周围半径内角色施加致死检定，也可能造成压制。连射半径随射击模式变化，位置与掩体由掌局者判断。</t>
        </r>
      </text>
    </comment>
    <comment ref="EQ13" authorId="0">
      <text>
        <r>
          <rPr>
            <sz val="8"/>
            <color rgb="FF000000"/>
            <rFont val="等线"/>
            <charset val="134"/>
          </rPr>
          <t>力量1～4：−2；5～8：−1；9～12：0；13～16：+1；17～18：+2。加入近战伤害后最低为0；武器骰式尚未包含此加成。</t>
        </r>
      </text>
    </comment>
    <comment ref="D14" authorId="1">
      <text>
        <r>
          <rPr>
            <sz val="8"/>
            <color rgb="FF000000"/>
            <rFont val="等线"/>
            <charset val="134"/>
          </rPr>
          <t>对金融和商务的了解。用它来从财务报告中筛选出异常，例如隐藏的银行账号或洗黑钱的证据。</t>
        </r>
      </text>
    </comment>
    <comment ref="AG14" authorId="1">
      <text>
        <r>
          <rPr>
            <sz val="8"/>
            <color rgb="FF000000"/>
            <rFont val="等线"/>
            <charset val="134"/>
          </rPr>
          <t>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2">
      <text>
        <r>
          <rPr>
            <sz val="8"/>
            <color rgb="FF000000"/>
            <rFont val="等线"/>
            <charset val="134"/>
          </rPr>
          <t>选择武器后自动带入本行数值。自定义武器的其他字段需自行填写，会替换对应公式。近战伤害加成单列。</t>
        </r>
      </text>
    </comment>
    <comment ref="D15" authorId="1">
      <text>
        <r>
          <rPr>
            <sz val="8"/>
            <color rgb="FF000000"/>
            <rFont val="等线"/>
            <charset val="134"/>
          </rPr>
          <t>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charset val="134"/>
          </rPr>
          <t>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charset val="134"/>
          </rPr>
          <t>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charset val="134"/>
          </rPr>
          <t>在战斗中致命地使用近战武器。用这个技能来挥舞刀、斧、棒槌或其他武器伤害或杀死敌人。</t>
        </r>
      </text>
    </comment>
    <comment ref="EI16" authorId="0">
      <text>
        <r>
          <rPr>
            <sz val="8"/>
            <color rgb="FF000000"/>
            <rFont val="等线"/>
            <charset val="134"/>
          </rPr>
          <t>体力降至2或以下时需体质×5检定，失败可能造成永久属性损失。记录伤残、持续疾病或成瘾的影响；本栏不自动修改属性。</t>
        </r>
      </text>
    </comment>
    <comment ref="D17" authorId="1">
      <text>
        <r>
          <rPr>
            <sz val="8"/>
            <color rgb="FF000000"/>
            <rFont val="等线"/>
            <charset val="134"/>
          </rPr>
          <t>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BI17" authorId="0">
      <text>
        <r>
          <rPr>
            <sz val="8"/>
            <color rgb="FF000000"/>
            <rFont val="等线"/>
            <charset val="134"/>
          </rPr>
          <t>人生动力最多五条，每次达到崩溃点去除一条。精神疾病记录诱因与症状；痊愈后标记“已痊愈”并保留记录。创伤疾病会自动带入，直接改写内容将替换自动引用。</t>
        </r>
      </text>
    </comment>
    <comment ref="D18"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charset val="134"/>
          </rPr>
          <t>使用你的地图、图表、寻路训练、器具或是依靠瞎猜来快速地找到方向。</t>
        </r>
      </text>
    </comment>
    <comment ref="D21" authorId="1">
      <text>
        <r>
          <rPr>
            <sz val="8"/>
            <color rgb="FF000000"/>
            <rFont val="等线"/>
            <charset val="134"/>
          </rPr>
          <t>安全并准确地使用迫击炮、导弹、榴弹炮、坦克炮以及其他重型火炮。用它来在战斗中摧毁部队或是硬目标。</t>
        </r>
      </text>
    </comment>
    <comment ref="AG21" authorId="1">
      <text>
        <r>
          <rPr>
            <sz val="8"/>
            <color rgb="FF000000"/>
            <rFont val="等线"/>
            <charset val="134"/>
          </rPr>
          <t>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charset val="134"/>
          </rPr>
          <t>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charset val="134"/>
          </rPr>
          <t>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CZ22" authorId="0">
      <text>
        <r>
          <rPr>
            <sz val="8"/>
            <color rgb="FF000000"/>
            <rFont val="等线"/>
            <charset val="134"/>
          </rPr>
          <t>对象须是活着且能互动的人或小群体。创建时每段关系值＝魅力，数量由职业决定。普通关系值不高于魅力；魅力降低时各关系同减。归0即破裂，保留记录；游戏中的关系变化与代价由已确认记录累计。</t>
        </r>
      </text>
    </comment>
    <comment ref="D23" authorId="1">
      <text>
        <r>
          <rPr>
            <sz val="8"/>
            <color rgb="FF000000"/>
            <rFont val="等线"/>
            <charset val="134"/>
          </rPr>
          <t>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charset val="134"/>
          </rPr>
          <t>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EF23" authorId="0">
      <text>
        <r>
          <rPr>
            <sz val="8"/>
            <color rgb="FF000000"/>
            <rFont val="等线"/>
            <charset val="134"/>
          </rPr>
          <t>√为绿色三角洲队友关系，×为其他关系。新建DG关系不直接使用满魅力初始值，按共同灾难后的规则建立或加强，并结算普通关系代价。</t>
        </r>
      </text>
    </comment>
    <comment ref="D24" authorId="1">
      <text>
        <r>
          <rPr>
            <sz val="8"/>
            <color rgb="FF000000"/>
            <rFont val="等线"/>
            <charset val="134"/>
          </rPr>
          <t>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charset val="134"/>
          </rPr>
          <t>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charset val="134"/>
          </rPr>
          <t>对待、训练及骑乘马、驴、骆驼等动物。更加罕见的坐骑可能需要特训。使用骑术来保证自己能在危机中安全地骑在坐骑上，并保持坐骑冷静、健康。</t>
        </r>
      </text>
    </comment>
    <comment ref="D29" authorId="1">
      <text>
        <r>
          <rPr>
            <sz val="8"/>
            <color rgb="FF000000"/>
            <rFont val="等线"/>
            <charset val="134"/>
          </rPr>
          <t>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charset val="134"/>
          </rPr>
          <t>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charset val="134"/>
          </rPr>
          <t>改变你特工的外貌、声音、姿势、肢体语言和言谈举止，在不引起注意的情况下避免被人认出。</t>
        </r>
      </text>
    </comment>
    <comment ref="AG31"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charset val="134"/>
          </rPr>
          <t>利用直觉和反射来躲避危险与攻击。在应对枪械和爆炸物时，闪避能帮助特工在子弹飞出之前躲到掩体后。</t>
        </r>
      </text>
    </comment>
    <comment ref="AG32" authorId="1">
      <text>
        <r>
          <rPr>
            <sz val="8"/>
            <color rgb="FF000000"/>
            <rFont val="等线"/>
            <charset val="134"/>
          </rPr>
          <t>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charset val="134"/>
          </rPr>
          <t>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charset val="134"/>
          </rPr>
          <t>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charset val="134"/>
          </rPr>
          <t>安全并准确地在战斗中射击轻武器。用这个技能在由肾上腺素、慌乱和暴力导致的惊愕影响到了手眼协调的情况下击中目标。</t>
        </r>
      </text>
    </comment>
    <comment ref="AG34" authorId="1">
      <text>
        <r>
          <rPr>
            <sz val="8"/>
            <color rgb="FF000000"/>
            <rFont val="等线"/>
            <charset val="134"/>
          </rPr>
          <t>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charset val="134"/>
          </rPr>
          <t>对伤势进行初步的处理和稳定。用这个技能来帮助某个角色回复体力。相比而言，手术用于处理更严重的伤口，而医学则保证长期的康复。</t>
        </r>
      </text>
    </comment>
    <comment ref="AG35" authorId="1">
      <text>
        <r>
          <rPr>
            <sz val="8"/>
            <color rgb="FF000000"/>
            <rFont val="等线"/>
            <charset val="134"/>
          </rPr>
          <t>对伤口或身体异常进行侵入式治疗。相比而言，急救让患者能活着等到手术，而手术则保证长期的康复。</t>
        </r>
      </text>
    </comment>
    <comment ref="D36"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charset val="134"/>
          </rPr>
          <t>对大自然的了解。用这个技能来发现脚印和足迹，计划一次探险，预测天气，发现动植物的异常，用环境来获取其他信息，或是寻找食物、水和避难所。</t>
        </r>
      </text>
    </comment>
    <comment ref="D37"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charset val="134"/>
          </rPr>
          <t>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charset val="134"/>
          </rPr>
          <t>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charset val="134"/>
          </rPr>
          <t>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charset val="134"/>
          </rPr>
          <t>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charset val="134"/>
          </rPr>
          <t>在危机中安全地使用拖拉机、起重机、推土机、坦克、重型卡车或是任何其他大型机械。</t>
        </r>
      </text>
    </comment>
    <comment ref="D41" authorId="1">
      <text>
        <r>
          <rPr>
            <sz val="8"/>
            <color rgb="FF000000"/>
            <rFont val="等线"/>
            <charset val="134"/>
          </rPr>
          <t>安全并准确地使用单兵便携式重武器，例如机枪和火箭发射器。用重型武器来压制敌人，或在战斗中摧毁载具。</t>
        </r>
      </text>
    </comment>
    <comment ref="D42" authorId="1">
      <text>
        <r>
          <rPr>
            <sz val="8"/>
            <color rgb="FF000000"/>
            <rFont val="等线"/>
            <charset val="134"/>
          </rPr>
          <t>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charset val="134"/>
          </rPr>
          <t>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H46" authorId="0">
      <text>
        <r>
          <rPr>
            <sz val="8"/>
            <color rgb="FF000000"/>
            <rFont val="等线"/>
            <charset val="134"/>
          </rPr>
          <t>固定技能自动计入；职业框内按要求勾选候选技能，专攻名称直接填入上方技能格。切换职业会保留旧专攻及选择，需核对。</t>
        </r>
      </text>
    </comment>
    <comment ref="BW46" authorId="0">
      <text>
        <r>
          <rPr>
            <sz val="8"/>
            <color rgb="FF000000"/>
            <rFont val="等线"/>
            <charset val="134"/>
          </rPr>
          <t>八次+20，可重复提升同一技能，创建上限80%。右栏可替换固定项，清空恢复模板；任选项按列表选择，专攻名称可填在上方技能格。切换技能包会保留旧输入。</t>
        </r>
      </text>
    </comment>
    <comment ref="DF46" authorId="0">
      <text>
        <r>
          <rPr>
            <sz val="8"/>
            <color rgb="FF000000"/>
            <rFont val="等线"/>
            <charset val="134"/>
          </rPr>
          <t>按一种创建经历修正属性、技能、理智、适应和关系。艰苦经历需选五项不同技能与一段移除关系；人类不应知道之事需选非自然相关精神疾病。游戏中新损失另行记录。</t>
        </r>
      </text>
    </comment>
    <comment ref="H47" authorId="0">
      <text>
        <r>
          <rPr>
            <sz val="8"/>
            <color rgb="FF000000"/>
            <rFont val="等线"/>
            <charset val="134"/>
          </rPr>
          <t>仅部分职业有子模板；其他职业忽略本格保留的旧选择。</t>
        </r>
      </text>
    </comment>
    <comment ref="P48" authorId="0">
      <text>
        <r>
          <rPr>
            <sz val="8"/>
            <color rgb="FF000000"/>
            <rFont val="等线"/>
            <charset val="134"/>
          </rPr>
          <t>固定技能不占任选名额；超选时任选职业值暂不计入，取消多余选择后恢复。专攻名称直接填写在上方技能格。</t>
        </r>
      </text>
    </comment>
    <comment ref="DF54" authorId="0">
      <text>
        <r>
          <rPr>
            <sz val="8"/>
            <color rgb="FF000000"/>
            <rFont val="等线"/>
            <charset val="134"/>
          </rPr>
          <t>显示创伤前的意志，通常为3～18。“关押或入狱”自动减3；初始理智仍从原始值×5扣除背景损失，不再因这3点意志额外下降。</t>
        </r>
      </text>
    </comment>
    <comment ref="DR54" authorId="0">
      <text>
        <r>
          <rPr>
            <sz val="8"/>
            <color rgb="FF000000"/>
            <rFont val="等线"/>
            <charset val="134"/>
          </rPr>
          <t>显示创伤前的魅力，通常为3～18。“极端暴力”自动减3，关系按修正后魅力初始化，只扣一次。</t>
        </r>
      </text>
    </comment>
    <comment ref="DF55" authorId="0">
      <text>
        <r>
          <rPr>
            <sz val="8"/>
            <color rgb="FF000000"/>
            <rFont val="等线"/>
            <charset val="134"/>
          </rPr>
          <t>仅艰苦经历生效。1～7对应自上而下七段关系，所选关系值归0并保留名字；不降低其他关系。</t>
        </r>
      </text>
    </comment>
    <comment ref="DR55" authorId="0">
      <text>
        <r>
          <rPr>
            <sz val="8"/>
            <color rgb="FF000000"/>
            <rFont val="等线"/>
            <charset val="134"/>
          </rPr>
          <t>用于“人类不应知道之事”的非自然相关疾病，可与掌局者确定症状和诱因。选定后自动带入背景，症状不自动修改技能值。</t>
        </r>
      </text>
    </comment>
    <comment ref="DF57" authorId="0">
      <text>
        <r>
          <rPr>
            <sz val="8"/>
            <color rgb="FF000000"/>
            <rFont val="等线"/>
            <charset val="134"/>
          </rPr>
          <t>选五个不同技能，各+10、最高90%，非自然知识除外；同名重复只计一次。神秘学已有固定+10，若再选入五项可另加10，仍受90%限制。</t>
        </r>
      </text>
    </comment>
  </commentList>
</comments>
</file>

<file path=xl/sharedStrings.xml><?xml version="1.0" encoding="utf-8"?>
<sst xmlns="http://schemas.openxmlformats.org/spreadsheetml/2006/main" count="22069" uniqueCount="3953">
  <si>
    <t>物品</t>
  </si>
  <si>
    <t>※ 特工信息</t>
  </si>
  <si>
    <t>※ 属性</t>
  </si>
  <si>
    <t>原值</t>
  </si>
  <si>
    <t>×5</t>
  </si>
  <si>
    <t>现值</t>
  </si>
  <si>
    <t>突出值解释</t>
  </si>
  <si>
    <t>头像</t>
  </si>
  <si>
    <t>※ 特训</t>
  </si>
  <si>
    <t>对应技能或属性</t>
  </si>
  <si>
    <t>※ 物品</t>
  </si>
  <si>
    <t>跟随职业</t>
  </si>
  <si>
    <t>玩家</t>
  </si>
  <si>
    <t>力量</t>
  </si>
  <si>
    <t>STR</t>
  </si>
  <si>
    <t>特工</t>
  </si>
  <si>
    <t>代号</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</si>
  <si>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</si>
  <si>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</si>
  <si>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</si>
  <si>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</si>
  <si>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</si>
  <si>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</si>
  <si>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</si>
  <si>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</si>
  <si>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</si>
  <si>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</si>
  <si>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</si>
  <si>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</si>
  <si>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</si>
  <si>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</si>
  <si>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</si>
  <si>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</si>
  <si>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</si>
  <si>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</si>
  <si>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</si>
  <si>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</si>
  <si>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</si>
  <si>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</si>
  <si>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</si>
  <si>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</si>
  <si>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</si>
  <si>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</si>
  <si>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</si>
  <si>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</si>
  <si>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</si>
  <si>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</si>
  <si>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</si>
  <si>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</si>
  <si>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</si>
  <si>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</si>
  <si>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</si>
  <si>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</si>
  <si>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</si>
  <si>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</si>
  <si>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</si>
  <si>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</si>
  <si>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</si>
  <si>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</si>
  <si>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</si>
  <si>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</si>
  <si>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</si>
  <si>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t>
  </si>
  <si>
    <t>会计学</t>
  </si>
  <si>
    <t>法律</t>
  </si>
  <si>
    <t>外貌描述</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</si>
  <si>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</si>
  <si>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</si>
  <si>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</si>
  <si>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</si>
  <si>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</si>
  <si>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</si>
  <si>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</si>
  <si>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</si>
  <si>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</si>
  <si>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</si>
  <si>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</si>
  <si>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</si>
  <si>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</si>
  <si>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</si>
  <si>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</si>
  <si>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</si>
  <si>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</si>
  <si>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</si>
  <si>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</si>
  <si>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</si>
  <si>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</si>
  <si>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父母或祖父母之一</t>
  </si>
  <si>
    <t>值</t>
  </si>
  <si>
    <t>DG</t>
  </si>
  <si>
    <t>计算机科学</t>
  </si>
  <si>
    <t>特种载具：</t>
  </si>
  <si>
    <t>×</t>
  </si>
  <si>
    <t>工艺：</t>
  </si>
  <si>
    <t>儿子或女儿</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</si>
  <si>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</si>
  <si>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</si>
  <si>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</si>
  <si>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</si>
  <si>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</si>
  <si>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</si>
  <si>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</si>
  <si>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</si>
  <si>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</si>
  <si>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</si>
  <si>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</si>
  <si>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</si>
  <si>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</si>
  <si>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</si>
  <si>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</si>
  <si>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</si>
  <si>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</si>
  <si>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</si>
  <si>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</si>
  <si>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</si>
  <si>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</si>
  <si>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</si>
  <si>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</si>
  <si>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</si>
  <si>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</si>
  <si>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</si>
  <si>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（创建新职业）</t>
  </si>
  <si>
    <t>可选额外技能包：</t>
  </si>
  <si>
    <t>（自选）</t>
  </si>
  <si>
    <t>创伤背景：</t>
  </si>
  <si>
    <t>（无）</t>
  </si>
  <si>
    <t>子模板：</t>
  </si>
  <si>
    <t>右栏可替换固定项；留空沿用模板。</t>
  </si>
  <si>
    <t>重要关系数：</t>
  </si>
  <si>
    <t>额外技能（每项+20）</t>
  </si>
  <si>
    <t>替换／任选</t>
  </si>
  <si>
    <t>☑</t>
  </si>
  <si>
    <t>原始意志</t>
  </si>
  <si>
    <t>原始魅力</t>
  </si>
  <si>
    <t>移除关系</t>
  </si>
  <si>
    <t>心理疾病</t>
  </si>
  <si>
    <t>艰苦1</t>
  </si>
  <si>
    <t>艰苦2</t>
  </si>
  <si>
    <t>艰苦3</t>
  </si>
  <si>
    <t>艰苦4</t>
  </si>
  <si>
    <t>艰苦5</t>
  </si>
  <si>
    <t>模组经历备忘录</t>
  </si>
  <si>
    <t>绿箱生成器</t>
  </si>
  <si>
    <t>规则速查</t>
  </si>
  <si>
    <t>更新记录</t>
  </si>
  <si>
    <t>理智与关系记录</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</si>
  <si>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</si>
  <si>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</si>
  <si>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</si>
  <si>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</si>
  <si>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</si>
  <si>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</si>
  <si>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</si>
  <si>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</si>
  <si>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</si>
  <si>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</si>
  <si>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</si>
  <si>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</si>
  <si>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</si>
  <si>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</si>
  <si>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</si>
  <si>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</si>
  <si>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</si>
  <si>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</si>
  <si>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</si>
  <si>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</si>
  <si>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</si>
  <si>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</si>
  <si>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</si>
  <si>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</si>
  <si>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</si>
  <si>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</si>
  <si>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</si>
  <si>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</si>
  <si>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</si>
  <si>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</si>
  <si>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</si>
  <si>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</si>
  <si>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</si>
  <si>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</si>
  <si>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</si>
  <si>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</si>
  <si>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</si>
  <si>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</si>
  <si>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</si>
  <si>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</si>
  <si>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</si>
  <si>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</si>
  <si>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</si>
  <si>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</si>
  <si>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</si>
  <si>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</si>
  <si>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</si>
  <si>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</si>
  <si>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</si>
  <si>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</si>
  <si>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</si>
  <si>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</si>
  <si>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</si>
  <si>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</si>
  <si>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</si>
  <si>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</si>
  <si>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</si>
  <si>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</si>
  <si>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</si>
  <si>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</si>
  <si>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</si>
  <si>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</si>
  <si>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</si>
  <si>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</si>
  <si>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</si>
  <si>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</si>
  <si>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</si>
  <si>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</si>
  <si>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</si>
  <si>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</si>
  <si>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</si>
  <si>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</si>
  <si>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</si>
  <si>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科学家</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</si>
  <si>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</si>
  <si>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</si>
  <si>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</si>
  <si>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</si>
  <si>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</si>
  <si>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</si>
  <si>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</si>
  <si>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</si>
  <si>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</si>
  <si>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</si>
  <si>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</si>
  <si>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</si>
  <si>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</si>
  <si>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</si>
  <si>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</si>
  <si>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</si>
  <si>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</si>
  <si>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</si>
  <si>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</si>
  <si>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</si>
  <si>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</si>
  <si>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</si>
  <si>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</si>
  <si>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</si>
  <si>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</si>
  <si>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</si>
  <si>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</si>
  <si>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</si>
  <si>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</si>
  <si>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</si>
  <si>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</si>
  <si>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</si>
  <si>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</si>
  <si>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</si>
  <si>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</si>
  <si>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</si>
  <si>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</si>
  <si>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</si>
  <si>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</si>
  <si>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</si>
  <si>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</si>
  <si>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</si>
  <si>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</si>
  <si>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</si>
  <si>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</si>
  <si>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</si>
  <si>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</si>
  <si>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</si>
  <si>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</si>
  <si>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</si>
  <si>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</si>
  <si>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</si>
  <si>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</si>
  <si>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</si>
  <si>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</si>
  <si>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</si>
  <si>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</si>
  <si>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</si>
  <si>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</si>
  <si>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</si>
  <si>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</si>
  <si>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</si>
  <si>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</si>
  <si>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</si>
  <si>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</si>
  <si>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</si>
  <si>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</si>
  <si>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</si>
  <si>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</si>
  <si>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</si>
  <si>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</si>
  <si>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</si>
  <si>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</si>
  <si>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</si>
  <si>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</si>
  <si>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</si>
  <si>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</si>
  <si>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</si>
  <si>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</si>
  <si>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</si>
  <si>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</si>
  <si>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</si>
  <si>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</si>
  <si>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</si>
  <si>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</si>
  <si>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</si>
  <si>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情报分析员</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</si>
  <si>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</si>
  <si>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</si>
  <si>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</si>
  <si>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</si>
  <si>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</si>
  <si>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</si>
  <si>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</si>
  <si>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</si>
  <si>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</si>
  <si>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</si>
  <si>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</si>
  <si>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</si>
  <si>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</si>
  <si>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</si>
  <si>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</si>
  <si>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</si>
  <si>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</si>
  <si>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</si>
  <si>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</si>
  <si>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</si>
  <si>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</si>
  <si>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</si>
  <si>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</si>
  <si>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</si>
  <si>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</si>
  <si>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</si>
  <si>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</si>
  <si>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</si>
  <si>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</si>
  <si>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</si>
  <si>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</si>
  <si>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</si>
  <si>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</si>
  <si>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</si>
  <si>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</si>
  <si>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</si>
  <si>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</si>
  <si>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</si>
  <si>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</si>
  <si>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</si>
  <si>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</si>
  <si>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</si>
  <si>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</si>
  <si>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</si>
  <si>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</si>
  <si>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</si>
  <si>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</si>
  <si>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</si>
  <si>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</si>
  <si>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</si>
  <si>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</si>
  <si>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</si>
  <si>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</si>
  <si>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</si>
  <si>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</si>
  <si>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</si>
  <si>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</si>
  <si>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</si>
  <si>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</si>
  <si>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</si>
  <si>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</si>
  <si>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</si>
  <si>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</si>
  <si>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</si>
  <si>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</si>
  <si>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</si>
  <si>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</si>
  <si>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</si>
  <si>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</si>
  <si>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</si>
  <si>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</si>
  <si>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</si>
  <si>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</si>
  <si>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</si>
  <si>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</si>
  <si>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</si>
  <si>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</si>
  <si>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</si>
  <si>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</si>
  <si>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</si>
  <si>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</si>
  <si>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</si>
  <si>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</si>
  <si>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</si>
  <si>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</si>
  <si>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</si>
  <si>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</si>
  <si>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</si>
  <si>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</si>
  <si>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</si>
  <si>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</si>
  <si>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</si>
  <si>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</si>
  <si>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</si>
  <si>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</si>
  <si>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</si>
  <si>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</si>
  <si>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</si>
  <si>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</si>
  <si>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</si>
  <si>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</si>
  <si>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</si>
  <si>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</si>
  <si>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</si>
  <si>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</si>
  <si>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</si>
  <si>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</si>
  <si>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</si>
  <si>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</si>
  <si>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</si>
  <si>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</si>
  <si>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</si>
  <si>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</si>
  <si>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</si>
  <si>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</si>
  <si>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</si>
  <si>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</si>
  <si>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</si>
  <si>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</si>
  <si>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</si>
  <si>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</si>
  <si>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</si>
  <si>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</si>
  <si>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</si>
  <si>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</si>
  <si>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</si>
  <si>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</si>
  <si>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</si>
  <si>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</si>
  <si>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</si>
  <si>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</si>
  <si>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</si>
  <si>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</si>
  <si>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</si>
  <si>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</si>
  <si>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</si>
  <si>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</si>
  <si>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</si>
  <si>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</si>
  <si>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</si>
  <si>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</si>
  <si>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</si>
  <si>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</si>
  <si>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</si>
  <si>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</si>
  <si>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</si>
  <si>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</si>
  <si>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</si>
  <si>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</si>
  <si>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</si>
  <si>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</si>
  <si>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</si>
  <si>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</si>
  <si>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</si>
  <si>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</si>
  <si>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</si>
  <si>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</si>
  <si>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</si>
  <si>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</si>
  <si>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</si>
  <si>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</si>
  <si>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</si>
  <si>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</si>
  <si>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</si>
  <si>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</si>
  <si>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</si>
  <si>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</si>
  <si>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</si>
  <si>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</si>
  <si>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</si>
  <si>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</si>
  <si>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</si>
  <si>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</si>
  <si>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</si>
  <si>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</si>
  <si>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</si>
  <si>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</si>
  <si>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</si>
  <si>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</si>
  <si>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</si>
  <si>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</si>
  <si>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</si>
  <si>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</si>
  <si>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</si>
  <si>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</si>
  <si>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</si>
  <si>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</si>
  <si>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</si>
  <si>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</si>
  <si>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</si>
  <si>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</si>
  <si>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</si>
  <si>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</si>
  <si>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</si>
  <si>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</si>
  <si>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</si>
  <si>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</si>
  <si>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</si>
  <si>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</si>
  <si>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</si>
  <si>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</si>
  <si>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</si>
  <si>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</si>
  <si>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</si>
  <si>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</si>
  <si>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</si>
  <si>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艺术家，演员或音乐家</t>
  </si>
  <si>
    <t>工艺（任选）</t>
  </si>
  <si>
    <t>艺术（任选）</t>
  </si>
  <si>
    <t>运动员</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</si>
  <si>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</si>
  <si>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</si>
  <si>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</si>
  <si>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</si>
  <si>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</si>
  <si>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</si>
  <si>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</si>
  <si>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</si>
  <si>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</si>
  <si>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</si>
  <si>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</si>
  <si>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</si>
  <si>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</si>
  <si>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</si>
  <si>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</si>
  <si>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</si>
  <si>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</si>
  <si>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</si>
  <si>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</si>
  <si>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</si>
  <si>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</si>
  <si>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</si>
  <si>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</si>
  <si>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</si>
  <si>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</si>
  <si>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</si>
  <si>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</si>
  <si>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</si>
  <si>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</si>
  <si>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</si>
  <si>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</si>
  <si>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</si>
  <si>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</si>
  <si>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</si>
  <si>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</si>
  <si>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</si>
  <si>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</si>
  <si>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</si>
  <si>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</si>
  <si>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</si>
  <si>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</si>
  <si>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</si>
  <si>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</si>
  <si>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</si>
  <si>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</si>
  <si>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</si>
  <si>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</si>
  <si>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</si>
  <si>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</si>
  <si>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</si>
  <si>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</si>
  <si>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</si>
  <si>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</si>
  <si>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</si>
  <si>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</si>
  <si>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</si>
  <si>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</si>
  <si>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</si>
  <si>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</si>
  <si>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</si>
  <si>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</si>
  <si>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</si>
  <si>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</si>
  <si>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</si>
  <si>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</si>
  <si>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</si>
  <si>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</si>
  <si>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</si>
  <si>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</si>
  <si>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</si>
  <si>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</si>
  <si>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</si>
  <si>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</si>
  <si>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</si>
  <si>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</si>
  <si>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</si>
  <si>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</si>
  <si>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</si>
  <si>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</si>
  <si>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</si>
  <si>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</si>
  <si>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</si>
  <si>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</si>
  <si>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</si>
  <si>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</si>
  <si>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电子学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</si>
  <si>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</si>
  <si>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</si>
  <si>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</si>
  <si>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</si>
  <si>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</si>
  <si>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</si>
  <si>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</si>
  <si>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</si>
  <si>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</si>
  <si>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</si>
  <si>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</si>
  <si>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</si>
  <si>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</si>
  <si>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</si>
  <si>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</si>
  <si>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</si>
  <si>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</si>
  <si>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</si>
  <si>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</si>
  <si>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</si>
  <si>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</si>
  <si>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</si>
  <si>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</si>
  <si>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</si>
  <si>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</si>
  <si>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</si>
  <si>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</si>
  <si>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</si>
  <si>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</si>
  <si>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</si>
  <si>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</si>
  <si>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</si>
  <si>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</si>
  <si>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</si>
  <si>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</si>
  <si>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</si>
  <si>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</si>
  <si>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</si>
  <si>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</si>
  <si>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</si>
  <si>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</si>
  <si>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</si>
  <si>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</si>
  <si>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</si>
  <si>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</si>
  <si>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</si>
  <si>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</si>
  <si>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</si>
  <si>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</si>
  <si>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</si>
  <si>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</si>
  <si>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</si>
  <si>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</si>
  <si>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</si>
  <si>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</si>
  <si>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</si>
  <si>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</si>
  <si>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</si>
  <si>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</si>
  <si>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</si>
  <si>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</si>
  <si>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</si>
  <si>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</si>
  <si>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</si>
  <si>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人类不应知道之事</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</si>
  <si>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</si>
  <si>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</si>
  <si>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</si>
  <si>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</si>
  <si>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</si>
  <si>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</si>
  <si>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</si>
  <si>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</si>
  <si>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</si>
  <si>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</si>
  <si>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</si>
  <si>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</si>
  <si>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</si>
  <si>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</si>
  <si>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</si>
  <si>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</si>
  <si>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</si>
  <si>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</si>
  <si>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</si>
  <si>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</si>
  <si>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</si>
  <si>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</si>
  <si>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</si>
  <si>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</si>
  <si>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</si>
  <si>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</si>
  <si>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</si>
  <si>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</si>
  <si>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</si>
  <si>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</si>
  <si>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</si>
  <si>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</si>
  <si>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</si>
  <si>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</si>
  <si>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</si>
  <si>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</si>
  <si>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</si>
  <si>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</si>
  <si>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</si>
  <si>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</si>
  <si>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</si>
  <si>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</si>
  <si>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</si>
  <si>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</si>
  <si>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</si>
  <si>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</si>
  <si>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</si>
  <si>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</si>
  <si>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</si>
  <si>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</si>
  <si>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</si>
  <si>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</si>
  <si>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</si>
  <si>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</si>
  <si>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</si>
  <si>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</si>
  <si>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</si>
  <si>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</si>
  <si>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</si>
  <si>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</si>
  <si>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</si>
  <si>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</si>
  <si>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</si>
  <si>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</si>
  <si>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</si>
  <si>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</si>
  <si>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</si>
  <si>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</si>
  <si>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</si>
  <si>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</si>
  <si>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</si>
  <si>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</si>
  <si>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</si>
  <si>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</si>
  <si>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</si>
  <si>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</si>
  <si>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</si>
  <si>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</si>
  <si>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</si>
  <si>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</si>
  <si>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</si>
  <si>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</si>
  <si>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</si>
  <si>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</si>
  <si>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</si>
  <si>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</si>
  <si>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</si>
  <si>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</si>
  <si>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</si>
  <si>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</si>
  <si>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</si>
  <si>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</si>
  <si>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</si>
  <si>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</si>
  <si>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</si>
  <si>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</si>
  <si>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</si>
  <si>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</si>
  <si>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</si>
  <si>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</si>
  <si>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</si>
  <si>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</si>
  <si>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</si>
  <si>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</si>
  <si>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</si>
  <si>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</si>
  <si>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</si>
  <si>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</si>
  <si>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</si>
  <si>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</si>
  <si>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</si>
  <si>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</si>
  <si>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</si>
  <si>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</si>
  <si>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</si>
  <si>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</si>
  <si>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</si>
  <si>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</si>
  <si>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</si>
  <si>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</si>
  <si>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</si>
  <si>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</si>
  <si>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</si>
  <si>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</si>
  <si>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</si>
  <si>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</si>
  <si>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</si>
  <si>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</si>
  <si>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</si>
  <si>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</si>
  <si>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</si>
  <si>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</si>
  <si>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</si>
  <si>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</si>
  <si>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</si>
  <si>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</si>
  <si>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</si>
  <si>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</si>
  <si>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</si>
  <si>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</si>
  <si>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</si>
  <si>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</si>
  <si>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</si>
  <si>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</si>
  <si>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</si>
  <si>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</si>
  <si>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</si>
  <si>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</si>
  <si>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</si>
  <si>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</si>
  <si>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</si>
  <si>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</si>
  <si>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</si>
  <si>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</si>
  <si>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</si>
  <si>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</si>
  <si>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</si>
  <si>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</si>
  <si>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</si>
  <si>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</si>
  <si>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</si>
  <si>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</si>
  <si>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</si>
  <si>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</si>
  <si>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</si>
  <si>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</si>
  <si>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</si>
  <si>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</si>
  <si>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</si>
  <si>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</si>
  <si>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</si>
  <si>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</si>
  <si>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</si>
  <si>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</si>
  <si>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</si>
  <si>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</si>
  <si>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</si>
  <si>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</si>
  <si>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</si>
  <si>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</si>
  <si>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</si>
  <si>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</si>
  <si>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</si>
  <si>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</si>
  <si>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</si>
  <si>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</si>
  <si>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</si>
  <si>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</si>
  <si>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</si>
  <si>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</si>
  <si>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</si>
  <si>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</si>
  <si>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</si>
  <si>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</si>
  <si>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</si>
  <si>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</si>
  <si>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</si>
  <si>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</si>
  <si>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</si>
  <si>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</si>
  <si>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</si>
  <si>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</si>
  <si>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</si>
  <si>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</si>
  <si>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</si>
  <si>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</si>
  <si>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</si>
  <si>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</si>
  <si>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</si>
  <si>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</si>
  <si>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</si>
  <si>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</si>
  <si>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</si>
  <si>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</si>
  <si>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</si>
  <si>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</si>
  <si>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</si>
  <si>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</si>
  <si>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</si>
  <si>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</si>
  <si>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</si>
  <si>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</si>
  <si>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</si>
  <si>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</si>
  <si>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</si>
  <si>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</si>
  <si>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</si>
  <si>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</si>
  <si>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</si>
  <si>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</si>
  <si>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</si>
  <si>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</si>
  <si>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</si>
  <si>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</si>
  <si>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</si>
  <si>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</si>
  <si>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</si>
  <si>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</si>
  <si>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</si>
  <si>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</si>
  <si>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</si>
  <si>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</si>
  <si>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</si>
  <si>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</si>
  <si>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</si>
  <si>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</si>
  <si>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</si>
  <si>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</si>
  <si>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</si>
  <si>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</si>
  <si>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</si>
  <si>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</si>
  <si>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</si>
  <si>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</si>
  <si>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</si>
  <si>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</si>
  <si>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</si>
  <si>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</si>
  <si>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</si>
  <si>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</si>
  <si>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</si>
  <si>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</si>
  <si>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</si>
  <si>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</si>
  <si>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</si>
  <si>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</si>
  <si>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</si>
  <si>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</si>
  <si>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</si>
  <si>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</si>
  <si>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</si>
  <si>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</si>
  <si>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</si>
  <si>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</si>
  <si>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</si>
  <si>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</si>
  <si>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</si>
  <si>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</si>
  <si>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</si>
  <si>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</si>
  <si>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</si>
  <si>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</si>
  <si>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</si>
  <si>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</si>
  <si>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</si>
  <si>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</si>
  <si>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</si>
  <si>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</si>
  <si>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</si>
  <si>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</si>
  <si>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</si>
  <si>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</si>
  <si>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</si>
  <si>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</si>
  <si>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</si>
  <si>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</si>
  <si>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</si>
  <si>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</si>
  <si>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</si>
  <si>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</si>
  <si>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</si>
  <si>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</si>
  <si>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</si>
  <si>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</si>
  <si>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</si>
  <si>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</si>
  <si>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</si>
  <si>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</si>
  <si>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</si>
  <si>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</si>
  <si>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</si>
  <si>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</si>
  <si>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</si>
  <si>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</si>
  <si>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</si>
  <si>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</si>
  <si>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</si>
  <si>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</si>
  <si>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</si>
  <si>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</si>
  <si>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</si>
  <si>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</si>
  <si>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</si>
  <si>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</si>
  <si>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</si>
  <si>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</si>
  <si>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</si>
  <si>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</si>
  <si>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</si>
  <si>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</si>
  <si>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</si>
  <si>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</si>
  <si>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</si>
  <si>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</si>
  <si>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</si>
  <si>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</si>
  <si>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</si>
  <si>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</si>
  <si>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</si>
  <si>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</si>
  <si>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</si>
  <si>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</si>
  <si>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</si>
  <si>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</si>
  <si>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</si>
  <si>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</si>
  <si>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</si>
  <si>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</si>
  <si>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</si>
  <si>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</si>
  <si>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</si>
  <si>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</si>
  <si>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</si>
  <si>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</si>
  <si>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</si>
  <si>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</si>
  <si>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</si>
  <si>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</si>
  <si>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</si>
  <si>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</si>
  <si>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</si>
  <si>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</si>
  <si>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</si>
  <si>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</si>
  <si>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</si>
  <si>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</si>
  <si>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</si>
  <si>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</si>
  <si>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</si>
  <si>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</si>
  <si>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</si>
  <si>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</si>
  <si>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</si>
  <si>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</si>
  <si>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</si>
  <si>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</si>
  <si>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</si>
  <si>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</si>
  <si>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</si>
  <si>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</si>
  <si>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</si>
  <si>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</si>
  <si>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</si>
  <si>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</si>
  <si>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</si>
  <si>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</si>
  <si>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</si>
  <si>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</si>
  <si>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</si>
  <si>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</si>
  <si>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</si>
  <si>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</si>
  <si>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</si>
  <si>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</si>
  <si>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</si>
  <si>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</si>
  <si>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</si>
  <si>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</si>
  <si>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</si>
  <si>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</si>
  <si>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</si>
  <si>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</si>
  <si>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</si>
  <si>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</si>
  <si>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</si>
  <si>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</si>
  <si>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</si>
  <si>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</si>
  <si>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</si>
  <si>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</si>
  <si>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</si>
  <si>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</si>
  <si>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</si>
  <si>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</si>
  <si>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</si>
  <si>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</si>
  <si>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</si>
  <si>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</si>
  <si>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</si>
  <si>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</si>
  <si>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</si>
  <si>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</si>
  <si>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</si>
  <si>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</si>
  <si>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</si>
  <si>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</si>
  <si>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</si>
  <si>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</si>
  <si>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</si>
  <si>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</si>
  <si>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</si>
  <si>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</si>
  <si>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</si>
  <si>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</si>
  <si>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</si>
  <si>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</si>
  <si>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</si>
  <si>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</si>
  <si>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</si>
  <si>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</si>
  <si>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</si>
  <si>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</si>
  <si>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</si>
  <si>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</si>
  <si>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</si>
  <si>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</si>
  <si>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</si>
  <si>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</si>
  <si>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</si>
  <si>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</si>
  <si>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</si>
  <si>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</si>
  <si>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</si>
  <si>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</si>
  <si>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</si>
  <si>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</si>
  <si>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</si>
  <si>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</si>
  <si>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</si>
  <si>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</si>
  <si>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</si>
  <si>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</si>
  <si>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</si>
  <si>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</si>
  <si>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</si>
  <si>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</si>
  <si>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</si>
  <si>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</si>
  <si>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</si>
  <si>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</si>
  <si>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</si>
  <si>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</si>
  <si>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</si>
  <si>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</si>
  <si>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</si>
  <si>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</si>
  <si>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</si>
  <si>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</si>
  <si>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</si>
  <si>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</si>
  <si>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</si>
  <si>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</si>
  <si>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</si>
  <si>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</si>
  <si>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</si>
  <si>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</si>
  <si>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</si>
  <si>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</si>
  <si>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</si>
  <si>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</si>
  <si>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</si>
  <si>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</si>
  <si>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</si>
  <si>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</si>
  <si>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</si>
  <si>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</si>
  <si>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</si>
  <si>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</si>
  <si>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</si>
  <si>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</si>
  <si>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</si>
  <si>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</si>
  <si>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</si>
  <si>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</si>
  <si>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</si>
  <si>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</si>
  <si>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</si>
  <si>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</si>
  <si>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</si>
  <si>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</si>
  <si>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</si>
  <si>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</si>
  <si>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</si>
  <si>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</si>
  <si>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</si>
  <si>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</si>
  <si>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</si>
  <si>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</si>
  <si>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</si>
  <si>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</si>
  <si>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</si>
  <si>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</si>
  <si>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</si>
  <si>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</si>
  <si>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</si>
  <si>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</si>
  <si>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</si>
  <si>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</si>
  <si>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</si>
  <si>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</si>
  <si>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</si>
  <si>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</si>
  <si>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</si>
  <si>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</si>
  <si>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</si>
  <si>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</si>
  <si>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</si>
  <si>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</si>
  <si>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</si>
  <si>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</si>
  <si>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</si>
  <si>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</si>
  <si>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</si>
  <si>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</si>
  <si>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</si>
  <si>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</si>
  <si>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</si>
  <si>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</si>
  <si>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</si>
  <si>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</si>
  <si>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</si>
  <si>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</si>
  <si>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</si>
  <si>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</si>
  <si>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</si>
  <si>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</si>
  <si>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</si>
  <si>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</si>
  <si>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</si>
  <si>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</si>
  <si>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</si>
  <si>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</si>
  <si>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</si>
  <si>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</si>
  <si>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</si>
  <si>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</si>
  <si>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</si>
  <si>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</si>
  <si>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</si>
  <si>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</si>
  <si>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</si>
  <si>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</si>
  <si>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</si>
  <si>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</si>
  <si>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</si>
  <si>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</si>
  <si>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</si>
  <si>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</si>
  <si>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</si>
  <si>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</si>
  <si>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</si>
  <si>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</si>
  <si>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</si>
  <si>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</si>
  <si>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</si>
  <si>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</si>
  <si>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</si>
  <si>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</si>
  <si>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</si>
  <si>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</si>
  <si>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</si>
  <si>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</si>
  <si>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</si>
  <si>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</si>
  <si>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</si>
  <si>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</si>
  <si>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</si>
  <si>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</si>
  <si>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</si>
  <si>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</si>
  <si>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</si>
  <si>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</si>
  <si>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</si>
  <si>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</si>
  <si>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</si>
  <si>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</si>
  <si>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</si>
  <si>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</si>
  <si>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</si>
  <si>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</si>
  <si>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</si>
  <si>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</si>
  <si>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</si>
  <si>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</si>
  <si>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</si>
  <si>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</si>
  <si>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</si>
  <si>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</si>
  <si>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</si>
  <si>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</si>
  <si>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</si>
  <si>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</si>
  <si>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</si>
  <si>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</si>
  <si>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</si>
  <si>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</si>
  <si>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</si>
  <si>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</si>
  <si>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</si>
  <si>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</si>
  <si>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</si>
  <si>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</si>
  <si>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</si>
  <si>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</si>
  <si>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</si>
  <si>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</si>
  <si>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</si>
  <si>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</si>
  <si>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</si>
  <si>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</si>
  <si>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</si>
  <si>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</si>
  <si>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</si>
  <si>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</si>
  <si>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</si>
  <si>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</si>
  <si>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</si>
  <si>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</si>
  <si>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</si>
  <si>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</si>
  <si>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</si>
  <si>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</si>
  <si>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</si>
  <si>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</si>
  <si>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</si>
  <si>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</si>
  <si>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</si>
  <si>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</si>
  <si>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</si>
  <si>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</si>
  <si>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</si>
  <si>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</si>
  <si>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</si>
  <si>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</si>
  <si>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</si>
  <si>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</si>
  <si>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</si>
  <si>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</si>
  <si>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</si>
  <si>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</si>
  <si>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</si>
  <si>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</si>
  <si>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</si>
  <si>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</si>
  <si>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</si>
  <si>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</si>
  <si>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</si>
  <si>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</si>
  <si>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</si>
  <si>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</si>
  <si>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</si>
  <si>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</si>
  <si>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</si>
  <si>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</si>
  <si>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</si>
  <si>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</si>
  <si>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</si>
  <si>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</si>
  <si>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</si>
  <si>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</si>
  <si>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</si>
  <si>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</si>
  <si>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</si>
  <si>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</si>
  <si>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</si>
  <si>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</si>
  <si>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</si>
  <si>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</si>
  <si>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</si>
  <si>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</si>
  <si>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</si>
  <si>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</si>
  <si>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</si>
  <si>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</si>
  <si>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</si>
  <si>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</si>
  <si>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</si>
  <si>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</si>
  <si>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</si>
  <si>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</si>
  <si>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</si>
  <si>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</si>
  <si>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</si>
  <si>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</si>
  <si>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</si>
  <si>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</si>
  <si>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</si>
  <si>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</si>
  <si>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</si>
  <si>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</si>
  <si>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</si>
  <si>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</si>
  <si>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</si>
  <si>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</si>
  <si>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</si>
  <si>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</si>
  <si>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</si>
  <si>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</si>
  <si>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</si>
  <si>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</si>
  <si>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</si>
  <si>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</si>
  <si>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</si>
  <si>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</si>
  <si>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</si>
  <si>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</si>
  <si>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</si>
  <si>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</si>
  <si>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</si>
  <si>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</si>
  <si>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</si>
  <si>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</si>
  <si>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</si>
  <si>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</si>
  <si>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</si>
  <si>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</si>
  <si>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</si>
  <si>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</si>
  <si>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</si>
  <si>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</si>
  <si>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</si>
  <si>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</si>
  <si>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</si>
  <si>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</si>
  <si>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</si>
  <si>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</si>
  <si>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</si>
  <si>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</si>
  <si>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</si>
  <si>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</si>
  <si>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</si>
  <si>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</si>
  <si>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</si>
  <si>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</si>
  <si>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</si>
  <si>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</si>
  <si>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</si>
  <si>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</si>
  <si>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</si>
  <si>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</si>
  <si>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</si>
  <si>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</si>
  <si>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</si>
  <si>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</si>
  <si>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</si>
  <si>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</si>
  <si>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</si>
  <si>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</si>
  <si>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</si>
  <si>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</si>
  <si>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</si>
  <si>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</si>
  <si>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</si>
  <si>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</si>
  <si>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</si>
  <si>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</si>
  <si>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</si>
  <si>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</si>
  <si>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</si>
  <si>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</si>
  <si>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</si>
  <si>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</si>
  <si>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</si>
  <si>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</si>
  <si>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</si>
  <si>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</si>
  <si>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</si>
  <si>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</si>
  <si>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</si>
  <si>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</si>
  <si>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</si>
  <si>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</si>
  <si>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</si>
  <si>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</si>
  <si>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</si>
  <si>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</si>
  <si>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</si>
  <si>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</si>
  <si>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</si>
  <si>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</si>
  <si>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</si>
  <si>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</si>
  <si>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</si>
  <si>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</si>
  <si>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</si>
  <si>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</si>
  <si>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</si>
  <si>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</si>
  <si>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</si>
  <si>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</si>
  <si>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</si>
  <si>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</si>
  <si>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</si>
  <si>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</si>
  <si>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</si>
  <si>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</si>
  <si>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</si>
  <si>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</si>
  <si>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</si>
  <si>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</si>
  <si>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</si>
  <si>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</si>
  <si>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</si>
  <si>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</si>
  <si>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</si>
  <si>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</si>
  <si>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</si>
  <si>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</si>
  <si>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</si>
  <si>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</si>
  <si>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</si>
  <si>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</si>
  <si>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</si>
  <si>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</si>
  <si>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</si>
  <si>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</si>
  <si>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</si>
  <si>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</si>
  <si>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</si>
  <si>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</si>
  <si>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</si>
  <si>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</si>
  <si>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</si>
  <si>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</si>
  <si>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</si>
  <si>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</si>
  <si>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</si>
  <si>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</si>
  <si>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</si>
  <si>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</si>
  <si>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</si>
  <si>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</si>
  <si>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</si>
  <si>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</si>
  <si>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</si>
  <si>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</si>
  <si>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</si>
  <si>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</si>
  <si>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</si>
  <si>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</si>
  <si>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</si>
  <si>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</si>
  <si>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</si>
  <si>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</si>
  <si>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</si>
  <si>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</si>
  <si>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</si>
  <si>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</si>
  <si>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</si>
  <si>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</si>
  <si>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</si>
  <si>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</si>
  <si>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</si>
  <si>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</si>
  <si>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</si>
  <si>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</si>
  <si>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</si>
  <si>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</si>
  <si>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</si>
  <si>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</si>
  <si>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</si>
  <si>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</si>
  <si>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</si>
  <si>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</si>
  <si>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</si>
  <si>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</si>
  <si>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</si>
  <si>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</si>
  <si>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</si>
  <si>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</si>
  <si>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</si>
  <si>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</si>
  <si>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</si>
  <si>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</si>
  <si>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</si>
  <si>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</si>
  <si>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</si>
  <si>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</si>
  <si>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</si>
  <si>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</si>
  <si>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</si>
  <si>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</si>
  <si>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</si>
  <si>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</si>
  <si>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</si>
  <si>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</si>
  <si>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</si>
  <si>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</si>
  <si>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</si>
  <si>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</si>
  <si>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</si>
  <si>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</si>
  <si>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</si>
  <si>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</si>
  <si>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</si>
  <si>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</si>
  <si>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</si>
  <si>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</si>
  <si>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</si>
  <si>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</si>
  <si>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</si>
  <si>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</si>
  <si>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</si>
  <si>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</si>
  <si>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</si>
  <si>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</si>
  <si>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</si>
  <si>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</si>
  <si>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</si>
  <si>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</si>
  <si>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</si>
  <si>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</si>
  <si>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</si>
  <si>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</si>
  <si>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</si>
  <si>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</si>
  <si>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</si>
  <si>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</si>
  <si>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</si>
  <si>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</si>
  <si>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</si>
  <si>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</si>
  <si>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</si>
  <si>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</si>
  <si>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</si>
  <si>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</si>
  <si>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</si>
  <si>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</si>
  <si>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</si>
  <si>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</si>
  <si>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</si>
  <si>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</si>
  <si>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</si>
  <si>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</si>
  <si>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</si>
  <si>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</si>
  <si>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</si>
  <si>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</si>
  <si>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</si>
  <si>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</si>
  <si>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</si>
  <si>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</si>
  <si>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</si>
  <si>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</si>
  <si>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</si>
  <si>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</si>
  <si>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</si>
  <si>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</si>
  <si>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</si>
  <si>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</si>
  <si>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</si>
  <si>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</si>
  <si>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</si>
  <si>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</si>
  <si>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</si>
  <si>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</si>
  <si>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</si>
  <si>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</si>
  <si>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</si>
  <si>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</si>
  <si>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</si>
  <si>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</si>
  <si>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</si>
  <si>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</si>
  <si>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</si>
  <si>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</si>
  <si>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</si>
  <si>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</si>
  <si>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</si>
  <si>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</si>
  <si>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</si>
  <si>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</si>
  <si>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</si>
  <si>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</si>
  <si>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</si>
  <si>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</si>
  <si>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</si>
  <si>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</si>
  <si>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</si>
  <si>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</si>
  <si>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</si>
  <si>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</si>
  <si>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</si>
  <si>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</si>
  <si>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</si>
  <si>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</si>
  <si>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</si>
  <si>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</si>
  <si>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</si>
  <si>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</si>
  <si>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</si>
  <si>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</si>
  <si>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</si>
  <si>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</si>
  <si>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</si>
  <si>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</si>
  <si>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</si>
  <si>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</si>
  <si>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</si>
  <si>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</si>
  <si>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</si>
  <si>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</si>
  <si>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</si>
  <si>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</si>
  <si>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</si>
  <si>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</si>
  <si>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</si>
  <si>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</si>
  <si>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</si>
  <si>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</si>
  <si>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</si>
  <si>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</si>
  <si>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</si>
  <si>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</si>
  <si>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</si>
  <si>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</si>
  <si>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</si>
  <si>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</si>
  <si>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</si>
  <si>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</si>
  <si>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</si>
  <si>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</si>
  <si>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</si>
  <si>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</si>
  <si>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</si>
  <si>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</si>
  <si>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</si>
  <si>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</si>
  <si>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</si>
  <si>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</si>
  <si>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</si>
  <si>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</si>
  <si>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</si>
  <si>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</si>
  <si>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</si>
  <si>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</si>
  <si>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</si>
  <si>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</si>
  <si>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</si>
  <si>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</si>
  <si>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</si>
  <si>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</si>
  <si>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</si>
  <si>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</si>
  <si>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</si>
  <si>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</si>
  <si>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</si>
  <si>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</si>
  <si>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</si>
  <si>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</si>
  <si>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</si>
  <si>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</si>
  <si>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</si>
  <si>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</si>
  <si>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</si>
  <si>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</si>
  <si>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</si>
  <si>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</si>
  <si>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</si>
  <si>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</si>
  <si>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</si>
  <si>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</si>
  <si>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</si>
  <si>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</si>
  <si>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</si>
  <si>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</si>
  <si>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</si>
  <si>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</si>
  <si>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</si>
  <si>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</si>
  <si>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</si>
  <si>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</si>
  <si>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</si>
  <si>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</si>
  <si>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</si>
  <si>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</si>
  <si>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</si>
  <si>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</si>
  <si>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</si>
  <si>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</si>
  <si>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</si>
  <si>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</si>
  <si>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</si>
  <si>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</si>
  <si>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</si>
  <si>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</si>
  <si>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</si>
  <si>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</si>
  <si>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</si>
  <si>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</si>
  <si>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</si>
  <si>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</si>
  <si>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</si>
  <si>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</si>
  <si>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</si>
  <si>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</si>
  <si>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</si>
  <si>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</si>
  <si>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</si>
  <si>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</si>
  <si>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</si>
  <si>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</si>
  <si>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</si>
  <si>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</si>
  <si>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</si>
  <si>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</si>
  <si>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</si>
  <si>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</si>
  <si>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</si>
  <si>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</si>
  <si>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</si>
  <si>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</si>
  <si>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</si>
  <si>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</si>
  <si>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</si>
  <si>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</si>
  <si>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</si>
  <si>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</si>
  <si>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</si>
  <si>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</si>
  <si>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</si>
  <si>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</si>
  <si>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</si>
  <si>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</si>
  <si>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</si>
  <si>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</si>
  <si>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</si>
  <si>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</si>
  <si>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</si>
  <si>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</si>
  <si>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</si>
  <si>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</si>
  <si>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</si>
  <si>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</si>
  <si>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</si>
  <si>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</si>
  <si>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</si>
  <si>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</si>
  <si>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</si>
  <si>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</si>
  <si>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</si>
  <si>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</si>
  <si>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</si>
  <si>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</si>
  <si>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</si>
  <si>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</si>
  <si>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</si>
  <si>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</si>
  <si>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</si>
  <si>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</si>
  <si>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</si>
  <si>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</si>
  <si>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</si>
  <si>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</si>
  <si>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</si>
  <si>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</si>
  <si>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</si>
  <si>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</si>
  <si>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</si>
  <si>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</si>
  <si>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</si>
  <si>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</si>
  <si>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</si>
  <si>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</si>
  <si>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</si>
  <si>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</si>
  <si>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</si>
  <si>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</si>
  <si>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</si>
  <si>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</si>
  <si>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</si>
  <si>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</si>
  <si>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</si>
  <si>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</si>
  <si>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</si>
  <si>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</si>
  <si>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</si>
  <si>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</si>
  <si>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</si>
  <si>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</si>
  <si>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</si>
  <si>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</si>
  <si>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</si>
  <si>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</si>
  <si>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</si>
  <si>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</si>
  <si>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</si>
  <si>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</si>
  <si>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</si>
  <si>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</si>
  <si>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</si>
  <si>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</si>
  <si>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</si>
  <si>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</si>
  <si>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</si>
  <si>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</si>
  <si>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</si>
  <si>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</si>
  <si>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</si>
  <si>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</si>
  <si>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</si>
  <si>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</si>
  <si>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</si>
  <si>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</si>
  <si>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</si>
  <si>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</si>
  <si>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</si>
  <si>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</si>
  <si>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</si>
  <si>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</si>
  <si>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</si>
  <si>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</si>
  <si>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</si>
  <si>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</si>
  <si>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</si>
  <si>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</si>
  <si>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</si>
  <si>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</si>
  <si>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</si>
  <si>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</si>
  <si>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</si>
  <si>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</si>
  <si>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</si>
  <si>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</si>
  <si>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</si>
  <si>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</si>
  <si>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</si>
  <si>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</si>
  <si>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</si>
  <si>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</si>
  <si>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</si>
  <si>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</si>
  <si>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</si>
  <si>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</si>
  <si>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</si>
  <si>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</si>
  <si>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</si>
  <si>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</si>
  <si>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</si>
  <si>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</si>
  <si>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</si>
  <si>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</si>
  <si>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</si>
  <si>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</si>
  <si>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</si>
  <si>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</si>
  <si>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</si>
  <si>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</si>
  <si>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</si>
  <si>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</si>
  <si>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</si>
  <si>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</si>
  <si>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</si>
  <si>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</si>
  <si>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</si>
  <si>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</si>
  <si>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</si>
  <si>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</si>
  <si>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</si>
  <si>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</si>
  <si>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</si>
  <si>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</si>
  <si>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</si>
  <si>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</si>
  <si>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</si>
  <si>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</si>
  <si>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</si>
  <si>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</si>
  <si>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</si>
  <si>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</si>
  <si>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</si>
  <si>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</si>
  <si>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</si>
  <si>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</si>
  <si>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</si>
  <si>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</si>
  <si>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</si>
  <si>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</si>
  <si>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</si>
  <si>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</si>
  <si>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</si>
  <si>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</si>
  <si>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</si>
  <si>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</si>
  <si>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</si>
  <si>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</si>
  <si>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</si>
  <si>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</si>
  <si>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</si>
  <si>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</si>
  <si>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</si>
  <si>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</si>
  <si>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</si>
  <si>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</si>
  <si>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</si>
  <si>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</si>
  <si>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</si>
  <si>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</si>
  <si>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</si>
  <si>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</si>
  <si>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</si>
  <si>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</si>
  <si>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</si>
  <si>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</si>
  <si>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</si>
  <si>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</si>
  <si>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</si>
  <si>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</si>
  <si>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</si>
  <si>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</si>
  <si>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</si>
  <si>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</si>
  <si>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</si>
  <si>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</si>
  <si>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</si>
  <si>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</si>
  <si>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</si>
  <si>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</si>
  <si>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</si>
  <si>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</si>
  <si>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</si>
  <si>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</si>
  <si>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</si>
  <si>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</si>
  <si>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</si>
  <si>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</si>
  <si>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</si>
  <si>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</si>
  <si>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</si>
  <si>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</si>
  <si>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</si>
  <si>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</si>
  <si>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</si>
  <si>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</si>
  <si>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</si>
  <si>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</si>
  <si>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</si>
  <si>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</si>
  <si>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</si>
  <si>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</si>
  <si>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</si>
  <si>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</si>
  <si>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</si>
  <si>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</si>
  <si>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</si>
  <si>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</si>
  <si>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</si>
  <si>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</si>
  <si>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</si>
  <si>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</si>
  <si>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</si>
  <si>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</si>
  <si>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</si>
  <si>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</si>
  <si>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</si>
  <si>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</si>
  <si>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</si>
  <si>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</si>
  <si>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</si>
  <si>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</si>
  <si>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</si>
  <si>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</si>
  <si>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</si>
  <si>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</si>
  <si>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</si>
  <si>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</si>
  <si>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</si>
  <si>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</si>
  <si>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</si>
  <si>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</si>
  <si>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</si>
  <si>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</si>
  <si>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</si>
  <si>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</si>
  <si>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</si>
  <si>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</si>
  <si>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</si>
  <si>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</si>
  <si>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</si>
  <si>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</si>
  <si>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</si>
  <si>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</si>
  <si>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</si>
  <si>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</si>
  <si>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</si>
  <si>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</si>
  <si>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</si>
  <si>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</si>
  <si>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</si>
  <si>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</si>
  <si>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</si>
  <si>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</si>
  <si>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</si>
  <si>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</si>
  <si>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</si>
  <si>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</si>
  <si>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</si>
  <si>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</si>
  <si>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</si>
  <si>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</si>
  <si>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</si>
  <si>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</si>
  <si>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</si>
  <si>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</si>
  <si>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</si>
  <si>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</si>
  <si>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</si>
  <si>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</si>
  <si>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</si>
  <si>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</si>
  <si>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</si>
  <si>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</si>
  <si>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</si>
  <si>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</si>
  <si>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</si>
  <si>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</si>
  <si>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</si>
  <si>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</si>
  <si>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</si>
  <si>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</si>
  <si>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</si>
  <si>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</si>
  <si>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</si>
  <si>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</si>
  <si>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</si>
  <si>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</si>
  <si>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</si>
  <si>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</si>
  <si>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</si>
  <si>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</si>
  <si>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</si>
  <si>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</si>
  <si>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</si>
  <si>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</si>
  <si>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</si>
  <si>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</si>
  <si>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</si>
  <si>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</si>
  <si>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</si>
  <si>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</si>
  <si>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</si>
  <si>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</si>
  <si>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</si>
  <si>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</si>
  <si>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</si>
  <si>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</si>
  <si>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</si>
  <si>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</si>
  <si>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</si>
  <si>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</si>
  <si>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</si>
  <si>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</si>
  <si>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</si>
  <si>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</si>
  <si>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</si>
  <si>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</si>
  <si>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</si>
  <si>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</si>
  <si>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</si>
  <si>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</si>
  <si>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</si>
  <si>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</si>
  <si>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</si>
  <si>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</si>
  <si>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</si>
  <si>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</si>
  <si>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</si>
  <si>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</si>
  <si>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</si>
  <si>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</si>
  <si>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</si>
  <si>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</si>
  <si>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</si>
  <si>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</si>
  <si>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</si>
  <si>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</si>
  <si>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</si>
  <si>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</si>
  <si>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</si>
  <si>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</si>
  <si>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</si>
  <si>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</si>
  <si>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</si>
  <si>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</si>
  <si>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</si>
  <si>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</si>
  <si>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</si>
  <si>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</si>
  <si>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</si>
  <si>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</si>
  <si>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</si>
  <si>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</si>
  <si>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</si>
  <si>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</si>
  <si>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</si>
  <si>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</si>
  <si>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</si>
  <si>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</si>
  <si>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</si>
  <si>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</si>
  <si>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</si>
  <si>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</si>
  <si>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</si>
  <si>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</si>
  <si>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</si>
  <si>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</si>
  <si>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</si>
  <si>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</si>
  <si>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</si>
  <si>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</si>
  <si>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</si>
  <si>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</si>
  <si>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</si>
  <si>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</si>
  <si>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</si>
  <si>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</si>
  <si>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</si>
  <si>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</si>
  <si>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</si>
  <si>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</si>
  <si>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</si>
  <si>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</si>
  <si>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</si>
  <si>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</si>
  <si>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</si>
  <si>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</si>
  <si>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</si>
  <si>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</si>
  <si>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</si>
  <si>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</si>
  <si>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</si>
  <si>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</si>
  <si>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</si>
  <si>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</si>
  <si>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</si>
  <si>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</si>
  <si>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</si>
  <si>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</si>
  <si>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</si>
  <si>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</si>
  <si>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</si>
  <si>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</si>
  <si>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</si>
  <si>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</si>
  <si>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</si>
  <si>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</si>
  <si>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</si>
  <si>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</si>
  <si>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</si>
  <si>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</si>
  <si>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</si>
  <si>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</si>
  <si>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</si>
  <si>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</si>
  <si>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</si>
  <si>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</si>
  <si>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</si>
  <si>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</si>
  <si>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</si>
  <si>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</si>
  <si>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</si>
  <si>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</si>
  <si>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</si>
  <si>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</si>
  <si>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</si>
  <si>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</si>
  <si>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</si>
  <si>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</si>
  <si>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</si>
  <si>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</si>
  <si>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</si>
  <si>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</si>
  <si>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</si>
  <si>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</si>
  <si>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</si>
  <si>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</si>
  <si>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</si>
  <si>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</si>
  <si>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</si>
  <si>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</si>
  <si>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</si>
  <si>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</si>
  <si>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</si>
  <si>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</si>
  <si>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</si>
  <si>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</si>
  <si>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</si>
  <si>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</si>
  <si>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</si>
  <si>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</si>
  <si>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</si>
  <si>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</si>
  <si>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</si>
  <si>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</si>
  <si>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</si>
  <si>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</si>
  <si>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</si>
  <si>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</si>
  <si>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</si>
  <si>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</si>
  <si>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</si>
  <si>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</si>
  <si>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</si>
  <si>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</si>
  <si>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</si>
  <si>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</si>
  <si>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</si>
  <si>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</si>
  <si>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</si>
  <si>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</si>
  <si>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</si>
  <si>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</si>
  <si>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</si>
  <si>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</si>
  <si>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</si>
  <si>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</si>
  <si>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</si>
  <si>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</si>
  <si>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</si>
  <si>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</si>
  <si>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</si>
  <si>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</si>
  <si>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</si>
  <si>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</si>
  <si>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</si>
  <si>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</si>
  <si>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</si>
  <si>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</si>
  <si>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</si>
  <si>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</si>
  <si>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</si>
  <si>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</si>
  <si>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</si>
  <si>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</si>
  <si>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</si>
  <si>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</si>
  <si>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</si>
  <si>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</si>
  <si>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</si>
  <si>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</si>
  <si>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</si>
  <si>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</si>
  <si>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</si>
  <si>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</si>
  <si>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</si>
  <si>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</si>
  <si>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</si>
  <si>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</si>
  <si>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</si>
  <si>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</si>
  <si>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</si>
  <si>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</si>
  <si>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</si>
  <si>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</si>
  <si>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</si>
  <si>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</si>
  <si>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</si>
  <si>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</si>
  <si>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</si>
  <si>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</si>
  <si>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</si>
  <si>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</si>
  <si>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</si>
  <si>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</si>
  <si>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</si>
  <si>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</si>
  <si>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</si>
  <si>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</si>
  <si>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</si>
  <si>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</si>
  <si>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</si>
  <si>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</si>
  <si>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</si>
  <si>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</si>
  <si>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</si>
  <si>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</si>
  <si>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</si>
  <si>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</si>
  <si>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</si>
  <si>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</si>
  <si>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</si>
  <si>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</si>
  <si>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</si>
  <si>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</si>
  <si>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</si>
  <si>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</si>
  <si>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</si>
  <si>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</si>
  <si>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</si>
  <si>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</si>
  <si>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</si>
  <si>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</si>
  <si>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</si>
  <si>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</si>
  <si>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</si>
  <si>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</si>
  <si>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</si>
  <si>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</si>
  <si>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</si>
  <si>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</si>
  <si>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</si>
  <si>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</si>
  <si>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</si>
  <si>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</si>
  <si>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</si>
  <si>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</si>
  <si>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</si>
  <si>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</si>
  <si>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</si>
  <si>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</si>
  <si>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</si>
  <si>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匕首</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</si>
  <si>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</si>
  <si>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</si>
  <si>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</si>
  <si>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</si>
  <si>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</si>
  <si>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</si>
  <si>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</si>
  <si>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</si>
  <si>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</si>
  <si>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</si>
  <si>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</si>
  <si>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</si>
  <si>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</si>
  <si>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</si>
  <si>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</si>
  <si>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</si>
  <si>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</si>
  <si>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</si>
  <si>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</si>
  <si>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</si>
  <si>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</si>
  <si>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</si>
  <si>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</si>
  <si>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</si>
  <si>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</si>
  <si>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</si>
  <si>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</si>
  <si>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</si>
  <si>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</si>
  <si>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</si>
  <si>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</si>
  <si>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</si>
  <si>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</si>
  <si>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</si>
  <si>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</si>
  <si>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</si>
  <si>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</si>
  <si>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</si>
  <si>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</si>
  <si>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</si>
  <si>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</si>
  <si>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</si>
  <si>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</si>
  <si>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</si>
  <si>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</si>
  <si>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</si>
  <si>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</si>
  <si>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</si>
  <si>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</si>
  <si>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</si>
  <si>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</si>
  <si>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</si>
  <si>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</si>
  <si>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</si>
  <si>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</si>
  <si>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</si>
  <si>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</si>
  <si>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</si>
  <si>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</si>
  <si>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</si>
  <si>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</si>
  <si>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</si>
  <si>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</si>
  <si>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</si>
  <si>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</si>
  <si>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</si>
  <si>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</si>
  <si>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</si>
  <si>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</si>
  <si>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</si>
  <si>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</si>
  <si>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</si>
  <si>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</si>
  <si>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</si>
  <si>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</si>
  <si>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</si>
  <si>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</si>
  <si>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</si>
  <si>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</si>
  <si>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</si>
  <si>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</si>
  <si>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</si>
  <si>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</si>
  <si>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</si>
  <si>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</si>
  <si>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</si>
  <si>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</si>
  <si>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</si>
  <si>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</si>
  <si>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</si>
  <si>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</si>
  <si>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</si>
  <si>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</si>
  <si>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</si>
  <si>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</si>
  <si>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</si>
  <si>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</si>
  <si>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</si>
  <si>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</si>
  <si>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</si>
  <si>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</si>
  <si>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</si>
  <si>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</si>
  <si>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</si>
  <si>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</si>
  <si>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</si>
  <si>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</si>
  <si>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</si>
  <si>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</si>
  <si>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</si>
  <si>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</si>
  <si>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</si>
  <si>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</si>
  <si>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</si>
  <si>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</si>
  <si>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</si>
  <si>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</si>
  <si>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</si>
  <si>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</si>
  <si>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</si>
  <si>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</si>
  <si>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</si>
  <si>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</si>
  <si>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</si>
  <si>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</si>
  <si>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</si>
  <si>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</si>
  <si>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</si>
  <si>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</si>
  <si>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</si>
  <si>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</si>
  <si>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</si>
  <si>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</si>
  <si>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</si>
  <si>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</si>
  <si>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</si>
  <si>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</si>
  <si>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</si>
  <si>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绿色三角洲｜模组经历备忘录　v2.0</t>
  </si>
  <si>
    <t>绿色三角洲｜模组经历备忘录　v1.11</t>
  </si>
  <si>
    <t>每场游戏或行动结束后记录一条。</t>
  </si>
  <si>
    <t>每场或每次行动结束后记一条。可记录任务结果、重要人物、角色变化和下次开局要处理的事项。</t>
  </si>
  <si>
    <t>角色变化可记技能成长、理智与崩溃点、创伤、重要关系、装备及幕间活动；人物卡中的当前数值仍在对应栏目填写。</t>
  </si>
  <si>
    <t>返回人物卡</t>
  </si>
  <si>
    <t>版本与更新</t>
  </si>
  <si>
    <t>幕间与结算</t>
  </si>
  <si>
    <t>序号</t>
  </si>
  <si>
    <t>游戏日期</t>
  </si>
  <si>
    <t>模组／行动名称</t>
  </si>
  <si>
    <t>场次／掌局者</t>
  </si>
  <si>
    <t>同行特工</t>
  </si>
  <si>
    <t>经历与行动结果</t>
  </si>
  <si>
    <t>角色变化／幕间事项</t>
  </si>
  <si>
    <t>线索与下次备忘</t>
  </si>
  <si>
    <t>幕间与归档</t>
  </si>
  <si>
    <t>记录汇总</t>
  </si>
  <si>
    <t>精神疾病</t>
  </si>
  <si>
    <t>当前理智</t>
  </si>
  <si>
    <t>当前毅力</t>
  </si>
  <si>
    <t>当前魅力</t>
  </si>
  <si>
    <t>当前意志</t>
  </si>
  <si>
    <t>暴力进度</t>
  </si>
  <si>
    <t>无力进度</t>
  </si>
  <si>
    <t>关系1</t>
  </si>
  <si>
    <t>关系2</t>
  </si>
  <si>
    <t>关系3</t>
  </si>
  <si>
    <t>已记事件</t>
  </si>
  <si>
    <t>填写本次事件并核对下方变化。复制“本次事件记录”，粘贴为值到归档空行后生效；每次事件换一个记录号。</t>
  </si>
  <si>
    <t>本次游戏事件</t>
  </si>
  <si>
    <t>记录号</t>
  </si>
  <si>
    <t>模组编号</t>
  </si>
  <si>
    <t>01</t>
  </si>
  <si>
    <t>游戏内日期</t>
  </si>
  <si>
    <t>事项</t>
  </si>
  <si>
    <t>损失来源</t>
  </si>
  <si>
    <t>理智检定结果</t>
  </si>
  <si>
    <t>原始SAN损失</t>
  </si>
  <si>
    <t>成功／失败损失式</t>
  </si>
  <si>
    <t>投射实掷1D4</t>
  </si>
  <si>
    <t>投射关系</t>
  </si>
  <si>
    <t>抑制实掷1D4</t>
  </si>
  <si>
    <t>抑制关系</t>
  </si>
  <si>
    <t>抑制理智检定</t>
  </si>
  <si>
    <t>新疾病／发作</t>
  </si>
  <si>
    <t>关系目标</t>
  </si>
  <si>
    <t>关系实掷1D4</t>
  </si>
  <si>
    <t>适应代价1D6</t>
  </si>
  <si>
    <t>去除的人生动力</t>
  </si>
  <si>
    <t>确认增减值</t>
  </si>
  <si>
    <t>减值属性</t>
  </si>
  <si>
    <t>DG代价关系</t>
  </si>
  <si>
    <t>DG代价实掷1D4</t>
  </si>
  <si>
    <t>启示实掷1D6</t>
  </si>
  <si>
    <t>掌局者允许启示</t>
  </si>
  <si>
    <t>事件与关系表现</t>
  </si>
  <si>
    <t>每次理智检定单独记录，才能判断临时疯狂和适应次数；同一事件内的投射、抑制与附带代价会一起归档。</t>
  </si>
  <si>
    <t>模组</t>
  </si>
  <si>
    <t>阶段</t>
  </si>
  <si>
    <t>目标</t>
  </si>
  <si>
    <t>变更前</t>
  </si>
  <si>
    <t>增减</t>
  </si>
  <si>
    <t>变更后</t>
  </si>
  <si>
    <t>事件与规则过程</t>
  </si>
  <si>
    <t>记录编号</t>
  </si>
  <si>
    <t>状态</t>
  </si>
  <si>
    <t>选取本次事件记录</t>
  </si>
  <si>
    <t>前往归档空行</t>
  </si>
  <si>
    <t>选取事件输入（Delete清空）</t>
  </si>
  <si>
    <t>使用与机制</t>
  </si>
  <si>
    <t>理智损失</t>
  </si>
  <si>
    <t>先按成功／失败损失式填写本次实际损失。大成功取成功分支最小值，大失败取失败分支最大值；已适应该类时用成功分支，仍可能损失理智。</t>
  </si>
  <si>
    <t>投射</t>
  </si>
  <si>
    <t>填1D4和一段仍有效的关系。先扣毅力；剩余至少1点才抵减同量SAN损失（最低0），并扣该关系同量。抵减量小于骰点时，代价仍按骰点。</t>
  </si>
  <si>
    <t>抑制疯狂</t>
  </si>
  <si>
    <t>临时疯狂或精神疾病急性发作时使用。先付1D4毅力；还剩至少1点才扣同量关系并作理智检定，成功恢复正常行动。失败不退代价，也不恢复SAN。</t>
  </si>
  <si>
    <t>疯狂与崩溃点</t>
  </si>
  <si>
    <t>实际损失至少5点提示临时疯狂。SAN降至崩溃点或以下时选新疾病、记录去除的动力，归档后BP改为SAN−意志。SAN为0提示永久疯狂。</t>
  </si>
  <si>
    <t>适应</t>
  </si>
  <si>
    <t>暴力、无力分别计数。实际损失大于0且未临时疯狂或触及BP时进度+1；未完成时若因此临时疯狂或触及BP则清零。第三次填1D6：暴力扣魅力并连带扣关系，无力扣意志。</t>
  </si>
  <si>
    <t>关系受损与破碎</t>
  </si>
  <si>
    <t>关系受损填写1D4或确认的负增减。重要之人死亡／永久疯狂，或群体全部如此，选关系破碎。保留名称和历史；0值关系不能通过普通加值复原。</t>
  </si>
  <si>
    <t>DG关系</t>
  </si>
  <si>
    <t>危机结束后理智检定失败才建立或加深。每位队友单独记录，最多5位；新关系=魅力一半，非DG关系−1D4；加深已有DG关系+1D4，非DG关系−1。</t>
  </si>
  <si>
    <t>恢复与其他变化</t>
  </si>
  <si>
    <t>理智恢复、毅力恢复／消耗、体力变化及属性减值用“确认增减值”记录。恢复填正数，损失填负数；属性减值自动影响上限，魅力减值连带扣关系。</t>
  </si>
  <si>
    <t>归档</t>
  </si>
  <si>
    <t>下方记录已包含本事件全部数值变化。只复制A至I列并粘贴为值；不要再在幕间重复录入同一笔。清空窗口不会撤销已归档记录。</t>
  </si>
  <si>
    <t>保护</t>
  </si>
  <si>
    <t>蓝色输入格和归档A至I列可填写，公式和固定内容已锁定。修改排版、基础规则或历史结构时，可用密码1014取消保护。</t>
  </si>
  <si>
    <t>疯狂启示</t>
  </si>
  <si>
    <t>仅在非自然导致临时疯狂且掌局者允许时，选“是”并填实掷1D6。此项为可选规则；不会因勾选临时疯狂自动增加非自然知识。</t>
  </si>
  <si>
    <t>已归档游戏事件</t>
  </si>
  <si>
    <t>每行汇总一个事件。数值明细在“幕间与结算”的归档记录中；同一记录号重复粘贴不会重复计入。</t>
  </si>
  <si>
    <t>SAN增减</t>
  </si>
  <si>
    <t>毅力增减</t>
  </si>
  <si>
    <t>关系直接增减</t>
  </si>
  <si>
    <t>属性连带减值</t>
  </si>
  <si>
    <t>BP增减</t>
  </si>
  <si>
    <t>适应变化</t>
  </si>
  <si>
    <t>事件经过与规则过程</t>
  </si>
  <si>
    <t>模组经历</t>
  </si>
  <si>
    <t>技能成长</t>
  </si>
  <si>
    <t>归档记录</t>
  </si>
  <si>
    <t>选择失败标记</t>
  </si>
  <si>
    <t>当前体力</t>
  </si>
  <si>
    <t>幕间计算</t>
  </si>
  <si>
    <t>如实告知</t>
  </si>
  <si>
    <t>事件</t>
  </si>
  <si>
    <t>事件／活动</t>
  </si>
  <si>
    <t>选取本次幕间记录</t>
  </si>
  <si>
    <t>选取本次输入（Delete清空）</t>
  </si>
  <si>
    <t>归档后清空本次输入，再换记录号。可重复使用此计算区；已归档记录继续累计。</t>
  </si>
  <si>
    <t>模组结束：失败技能成长</t>
  </si>
  <si>
    <t>先完成主卡勾选，再填写各项1D4。归档后清空失败标记与骰点，下一模组更换编号。</t>
  </si>
  <si>
    <t>选取本次成长记录</t>
  </si>
  <si>
    <t>选取本次骰点（Delete清空）</t>
  </si>
  <si>
    <t>仅粘贴A到I列的值。空白行可删除；删除已有记录会撤回对应变化。</t>
  </si>
  <si>
    <t>已计变化</t>
  </si>
  <si>
    <t>校验</t>
  </si>
  <si>
    <t>绿色三角洲-特工档案</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</si>
  <si>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</si>
  <si>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</si>
  <si>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</si>
  <si>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</si>
  <si>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</si>
  <si>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</si>
  <si>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</si>
  <si>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</si>
  <si>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</si>
  <si>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</si>
  <si>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</si>
  <si>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</si>
  <si>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</si>
  <si>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</si>
  <si>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</si>
  <si>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</si>
  <si>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</si>
  <si>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</si>
  <si>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</si>
  <si>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</si>
  <si>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</si>
  <si>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</si>
  <si>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</si>
  <si>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</si>
  <si>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</si>
  <si>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</si>
  <si>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体力最大值＝（力量＋体质）÷2，向上取整；
毅力最大值＝意志；
理智最大值＝99－非自然知识</t>
  </si>
  <si>
    <t>10. 外观描述</t>
  </si>
  <si>
    <t>13. 未引起疯狂的理智损失次数</t>
  </si>
  <si>
    <t>技能（括号内为基础等级）</t>
  </si>
  <si>
    <t>%</t>
  </si>
  <si>
    <t>技能使用失败后标记；模组结束时，每项已标记技能结算一次1D4，记录成长后清除标记。</t>
  </si>
  <si>
    <t>14. 伤口与病痛</t>
  </si>
  <si>
    <r>
      <rPr>
        <sz val="11"/>
        <color rgb="FF000000"/>
        <rFont val="微软雅黑"/>
        <charset val="134"/>
      </rPr>
      <t xml:space="preserve">上次受伤后是否接受过急救？  </t>
    </r>
    <r>
      <rPr>
        <sz val="11"/>
        <color rgb="FF000000"/>
        <rFont val="宋体"/>
        <charset val="134"/>
      </rPr>
      <t>☐</t>
    </r>
    <r>
      <rPr>
        <sz val="11"/>
        <color rgb="FF000000"/>
        <rFont val="微软雅黑"/>
        <charset val="134"/>
      </rPr>
      <t xml:space="preserve"> 是：仅能通过医学、手术或长期休养来得到进一步改进。</t>
    </r>
  </si>
  <si>
    <t>15. 护甲与装备</t>
  </si>
  <si>
    <t>身体护甲能降低各种攻击的伤害，除了精准射击及检定成功的致死攻击。</t>
  </si>
  <si>
    <t>16.</t>
  </si>
  <si>
    <t>武器</t>
  </si>
  <si>
    <t>技能 %</t>
  </si>
  <si>
    <t>伤害</t>
  </si>
  <si>
    <t>护甲穿透</t>
  </si>
  <si>
    <t>致死等级</t>
  </si>
  <si>
    <t>击杀半径</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</si>
  <si>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</si>
  <si>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</si>
  <si>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</si>
  <si>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</si>
  <si>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</si>
  <si>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</si>
  <si>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</si>
  <si>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</si>
  <si>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</si>
  <si>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</si>
  <si>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</si>
  <si>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</si>
  <si>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</si>
  <si>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</si>
  <si>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</si>
  <si>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</si>
  <si>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</si>
  <si>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</si>
  <si>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</si>
  <si>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</si>
  <si>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绿色三角洲｜规则速查 v2.0</t>
  </si>
  <si>
    <t>点击主题跳转；筛选后请先清除筛选。</t>
  </si>
  <si>
    <t>检定与对抗</t>
  </si>
  <si>
    <t>战斗与防御</t>
  </si>
  <si>
    <t>伤害与治疗</t>
  </si>
  <si>
    <t>致死与护甲</t>
  </si>
  <si>
    <t>理智与疯狂</t>
  </si>
  <si>
    <t>创伤与关系</t>
  </si>
  <si>
    <t>调查与执法</t>
  </si>
  <si>
    <t>秘密行动</t>
  </si>
  <si>
    <t>护甲与载具</t>
  </si>
  <si>
    <t>武器与爆炸物</t>
  </si>
  <si>
    <t>战斗修正</t>
  </si>
  <si>
    <t>装备与申请</t>
  </si>
  <si>
    <t>分类</t>
  </si>
  <si>
    <t>条目</t>
  </si>
  <si>
    <t>内容</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</si>
  <si>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</si>
  <si>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</si>
  <si>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</si>
  <si>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</si>
  <si>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</si>
  <si>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</si>
  <si>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</si>
  <si>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</si>
  <si>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</si>
  <si>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</si>
  <si>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</si>
  <si>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</si>
  <si>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</si>
  <si>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</si>
  <si>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</si>
  <si>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</si>
  <si>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</si>
  <si>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</si>
  <si>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追逐</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</si>
  <si>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</si>
  <si>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</si>
  <si>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</si>
  <si>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</si>
  <si>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毅力与劳累</t>
  </si>
  <si>
    <t>精疲力尽</t>
  </si>
  <si>
    <t>先损失1D6毅力；由掌局者判定所有技能、属性和理智检定−10%或−20%。再次彻夜不眠/高强度工作再损失1D6毅力；一整晚睡眠消除状态。</t>
  </si>
  <si>
    <t>战斗流程</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</si>
  <si>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</si>
  <si>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</si>
  <si>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</si>
  <si>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</si>
  <si>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</si>
  <si>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</si>
  <si>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</si>
  <si>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</si>
  <si>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</si>
  <si>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</si>
  <si>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</si>
  <si>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</si>
  <si>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</si>
  <si>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</si>
  <si>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</si>
  <si>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</si>
  <si>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防御</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</si>
  <si>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</si>
  <si>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</si>
  <si>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</si>
  <si>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</si>
  <si>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</si>
  <si>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</si>
  <si>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</si>
  <si>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</si>
  <si>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</si>
  <si>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</si>
  <si>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</si>
  <si>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</si>
  <si>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</si>
  <si>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</si>
  <si>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</si>
  <si>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</si>
  <si>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</si>
  <si>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</si>
  <si>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</si>
  <si>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</si>
  <si>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</si>
  <si>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</si>
  <si>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</si>
  <si>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</si>
  <si>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</si>
  <si>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</si>
  <si>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</si>
  <si>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</si>
  <si>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</si>
  <si>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</si>
  <si>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</si>
  <si>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</si>
  <si>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</si>
  <si>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</si>
  <si>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</si>
  <si>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</si>
  <si>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射击模式</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</si>
  <si>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</si>
  <si>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</si>
  <si>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</si>
  <si>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</si>
  <si>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其他伤害</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</si>
  <si>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</si>
  <si>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</si>
  <si>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</si>
  <si>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</si>
  <si>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</si>
  <si>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</si>
  <si>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</si>
  <si>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</si>
  <si>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</si>
  <si>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速度每40千米/小时计10%致死；撞墙且无处跌落时翻倍。存活者体质×5，失败眩晕。载具冲撞按载具规则结算。</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</si>
  <si>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</si>
  <si>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</si>
  <si>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</si>
  <si>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</si>
  <si>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</si>
  <si>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</si>
  <si>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</si>
  <si>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</si>
  <si>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</si>
  <si>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</si>
  <si>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</si>
  <si>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</si>
  <si>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</si>
  <si>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</si>
  <si>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</si>
  <si>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</si>
  <si>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</si>
  <si>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</si>
  <si>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</si>
  <si>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</si>
  <si>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</si>
  <si>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</si>
  <si>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创建创伤</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</si>
  <si>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</si>
  <si>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</si>
  <si>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</si>
  <si>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</si>
  <si>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</si>
  <si>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创伤损失理智后，通常保留原崩溃点。例如初始理智60、崩溃点48；创伤后理智55，崩溃点仍为48。“人类不应知道之事”另行重置。</t>
  </si>
  <si>
    <t>使用说明</t>
  </si>
  <si>
    <t>页码与开销用词</t>
  </si>
  <si>
    <t>武器栏自动带入基础数值；命中奖惩、配件效果与近战伤害加成仍按实际情景处理。</t>
  </si>
  <si>
    <t>霰弹枪</t>
  </si>
  <si>
    <t>独头弹基础射程75米、伤害2D8，基础射程外伤害2D6；霰弹弹丸基础射程75米、伤害2D8，基础射程外伤害减半。</t>
  </si>
  <si>
    <t>绿色三角洲关系</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</si>
  <si>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</si>
  <si>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</si>
  <si>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</si>
  <si>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</si>
  <si>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</si>
  <si>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</si>
  <si>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</si>
  <si>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</si>
  <si>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</si>
  <si>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</si>
  <si>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</si>
  <si>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</si>
  <si>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</si>
  <si>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</si>
  <si>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</si>
  <si>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</si>
  <si>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</si>
  <si>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大失败后果示例</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</si>
  <si>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</si>
  <si>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</si>
  <si>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</si>
  <si>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</si>
  <si>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</si>
  <si>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</si>
  <si>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</si>
  <si>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</si>
  <si>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立刻变得精疲力尽。</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</si>
  <si>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</si>
  <si>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</si>
  <si>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</si>
  <si>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</si>
  <si>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</si>
  <si>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</si>
  <si>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</si>
  <si>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</si>
  <si>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</si>
  <si>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</si>
  <si>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</si>
  <si>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坐在载具中的乘客可以在追逐对抗开始前向对手射击。攻击使用战斗规则。每次追逐对抗等于一次战斗轮。如果你是驾驶员或是在徒步追逐，试图攻击而不是进行追逐对抗意味着对方在本次追逐对抗中自动成功。</t>
  </si>
  <si>
    <t>搜捕</t>
  </si>
  <si>
    <t>为逮捕嫌疑人或获取搜查令想出合适的借口</t>
  </si>
  <si>
    <t>所需技能：法律；可能的对抗技能：法律</t>
  </si>
  <si>
    <t>审讯</t>
  </si>
  <si>
    <t>想出可能促使对象配合的方法</t>
  </si>
  <si>
    <t>所需技能：人源情报；可能的对抗技能：说服</t>
  </si>
  <si>
    <t>说服对象吐露信息</t>
  </si>
  <si>
    <t>所需技能：说服；可能的对抗技能：说服</t>
  </si>
  <si>
    <t>医疗救治</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</si>
  <si>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</si>
  <si>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</si>
  <si>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</si>
  <si>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</si>
  <si>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</si>
  <si>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</si>
  <si>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</si>
  <si>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</si>
  <si>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破坏证据</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</si>
  <si>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</si>
  <si>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</si>
  <si>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</si>
  <si>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</si>
  <si>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</si>
  <si>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</si>
  <si>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</si>
  <si>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</si>
  <si>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处理尸体</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</si>
  <si>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</si>
  <si>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</si>
  <si>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</si>
  <si>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</si>
  <si>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</si>
  <si>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</si>
  <si>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</si>
  <si>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</si>
  <si>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</si>
  <si>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</si>
  <si>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</si>
  <si>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警察执法权限</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</si>
  <si>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</si>
  <si>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</si>
  <si>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</si>
  <si>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</si>
  <si>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</si>
  <si>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</si>
  <si>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</si>
  <si>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</si>
  <si>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</si>
  <si>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</si>
  <si>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</si>
  <si>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</si>
  <si>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</si>
  <si>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</si>
  <si>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</si>
  <si>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</si>
  <si>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</si>
  <si>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</si>
  <si>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</si>
  <si>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</si>
  <si>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</si>
  <si>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监控行动</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</si>
  <si>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</si>
  <si>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</si>
  <si>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</si>
  <si>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</si>
  <si>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</si>
  <si>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</si>
  <si>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</si>
  <si>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</si>
  <si>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</si>
  <si>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</si>
  <si>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</si>
  <si>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</si>
  <si>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</si>
  <si>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</si>
  <si>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追踪</t>
  </si>
  <si>
    <t>跑步追赶或逃逸</t>
  </si>
  <si>
    <t>所需技能：运动；可能的对抗技能：运动</t>
  </si>
  <si>
    <t>驾驶追赶或逃逸</t>
  </si>
  <si>
    <t>所需技能：机动车驾驶或特种载具；可能的对抗技能：机动车驾驶或特种载具</t>
  </si>
  <si>
    <t>破门潜入行动</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</si>
  <si>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</si>
  <si>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</si>
  <si>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</si>
  <si>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</si>
  <si>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</si>
  <si>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</si>
  <si>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</si>
  <si>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</si>
  <si>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战斗防护</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</si>
  <si>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</si>
  <si>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</si>
  <si>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</si>
  <si>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</si>
  <si>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</si>
  <si>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</si>
  <si>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</si>
  <si>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</si>
  <si>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</si>
  <si>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</si>
  <si>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灼烧</t>
  </si>
  <si>
    <t>轻微</t>
  </si>
  <si>
    <t>示例：蜡烛；伤害：每轮 1 点</t>
  </si>
  <si>
    <t>中等</t>
  </si>
  <si>
    <t>示例：火把；短暂暴露于更大的火中；伤害：每轮 1D6</t>
  </si>
  <si>
    <t>强烈</t>
  </si>
  <si>
    <t>示例：营火；伤害：每轮 2D6</t>
  </si>
  <si>
    <t>示例：滚烫的蒸汽；篝火；高炉；伤害：每轮 10% 致死</t>
  </si>
  <si>
    <t>身体护甲</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</si>
  <si>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</si>
  <si>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</si>
  <si>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</si>
  <si>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</si>
  <si>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</si>
  <si>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</si>
  <si>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</si>
  <si>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</si>
  <si>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</si>
  <si>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</si>
  <si>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</si>
  <si>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</si>
  <si>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</si>
  <si>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</si>
  <si>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</si>
  <si>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</si>
  <si>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</si>
  <si>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地面载具</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</si>
  <si>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</si>
  <si>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</si>
  <si>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</si>
  <si>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</si>
  <si>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</si>
  <si>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</si>
  <si>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</si>
  <si>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</si>
  <si>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</si>
  <si>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</si>
  <si>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</si>
  <si>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</si>
  <si>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</si>
  <si>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</si>
  <si>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</si>
  <si>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</si>
  <si>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</si>
  <si>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</si>
  <si>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</si>
  <si>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</si>
  <si>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</si>
  <si>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</si>
  <si>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水路载具</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</si>
  <si>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</si>
  <si>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</si>
  <si>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</si>
  <si>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</si>
  <si>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</si>
  <si>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</si>
  <si>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</si>
  <si>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</si>
  <si>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空中载具</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</si>
  <si>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</si>
  <si>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</si>
  <si>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</si>
  <si>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</si>
  <si>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</si>
  <si>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</si>
  <si>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</si>
  <si>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</si>
  <si>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</si>
  <si>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</si>
  <si>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</si>
  <si>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护甲与开销</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</si>
  <si>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</si>
  <si>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</si>
  <si>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</si>
  <si>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</si>
  <si>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</si>
  <si>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</si>
  <si>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</si>
  <si>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</si>
  <si>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</si>
  <si>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</si>
  <si>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</si>
  <si>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</si>
  <si>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</si>
  <si>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</si>
  <si>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</si>
  <si>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</si>
  <si>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申请总结</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</si>
  <si>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</si>
  <si>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</si>
  <si>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</si>
  <si>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</si>
  <si>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</si>
  <si>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</si>
  <si>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徒手武器</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</si>
  <si>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</si>
  <si>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</si>
  <si>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</si>
  <si>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</si>
  <si>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</si>
  <si>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</si>
  <si>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</si>
  <si>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</si>
  <si>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</si>
  <si>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</si>
  <si>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</si>
  <si>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</si>
  <si>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</si>
  <si>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催泪瓦斯和胡椒喷雾</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</si>
  <si>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</si>
  <si>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</si>
  <si>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</si>
  <si>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</si>
  <si>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</si>
  <si>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</si>
  <si>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震撼弹</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</si>
  <si>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</si>
  <si>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</si>
  <si>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</si>
  <si>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</si>
  <si>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电击武器</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</si>
  <si>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</si>
  <si>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</si>
  <si>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</si>
  <si>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枪械</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</si>
  <si>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</si>
  <si>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</si>
  <si>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</si>
  <si>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</si>
  <si>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</si>
  <si>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</si>
  <si>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</si>
  <si>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</si>
  <si>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</si>
  <si>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</si>
  <si>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</si>
  <si>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</si>
  <si>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</si>
  <si>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</si>
  <si>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</si>
  <si>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</si>
  <si>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</si>
  <si>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</si>
  <si>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</si>
  <si>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</si>
  <si>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</si>
  <si>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</si>
  <si>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</si>
  <si>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</si>
  <si>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</si>
  <si>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</si>
  <si>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</si>
  <si>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</si>
  <si>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</si>
  <si>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</si>
  <si>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</si>
  <si>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</si>
  <si>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</si>
  <si>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</si>
  <si>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重型武器续表</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</si>
  <si>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</si>
  <si>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</si>
  <si>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</si>
  <si>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</si>
  <si>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</si>
  <si>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</si>
  <si>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</si>
  <si>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</si>
  <si>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爆炸物</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</si>
  <si>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</si>
  <si>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</si>
  <si>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</si>
  <si>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</si>
  <si>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</si>
  <si>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</si>
  <si>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</si>
  <si>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</si>
  <si>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</si>
  <si>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</si>
  <si>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</si>
  <si>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</si>
  <si>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</si>
  <si>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</si>
  <si>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</si>
  <si>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</si>
  <si>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</si>
  <si>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</si>
  <si>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</si>
  <si>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</si>
  <si>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</si>
  <si>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</si>
  <si>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理智损失｜非自然现象</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</si>
  <si>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</si>
  <si>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</si>
  <si>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</si>
  <si>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</si>
  <si>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</si>
  <si>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</si>
  <si>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</si>
  <si>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</si>
  <si>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</si>
  <si>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理智损失｜经受暴力</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</si>
  <si>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</si>
  <si>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</si>
  <si>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</si>
  <si>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</si>
  <si>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</si>
  <si>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</si>
  <si>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</si>
  <si>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</si>
  <si>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</si>
  <si>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理智损失｜施行暴力</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</si>
  <si>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</si>
  <si>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</si>
  <si>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</si>
  <si>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</si>
  <si>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</si>
  <si>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</si>
  <si>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</si>
  <si>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</si>
  <si>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</si>
  <si>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理智损失｜无力感来源</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</si>
  <si>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</si>
  <si>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</si>
  <si>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</si>
  <si>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</si>
  <si>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</si>
  <si>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</si>
  <si>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</si>
  <si>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</si>
  <si>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</si>
  <si>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</si>
  <si>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</si>
  <si>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</si>
  <si>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</si>
  <si>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</si>
  <si>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</si>
  <si>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</si>
  <si>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</si>
  <si>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</si>
  <si>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</si>
  <si>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</si>
  <si>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</si>
  <si>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</si>
  <si>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</si>
  <si>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</si>
  <si>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</si>
  <si>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</si>
  <si>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</si>
  <si>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</si>
  <si>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毒素示例</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</si>
  <si>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</si>
  <si>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</si>
  <si>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</si>
  <si>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</si>
  <si>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</si>
  <si>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</si>
  <si>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</si>
  <si>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</si>
  <si>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</si>
  <si>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</si>
  <si>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</si>
  <si>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</si>
  <si>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</si>
  <si>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</si>
  <si>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</si>
  <si>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</si>
  <si>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疾病示例</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</si>
  <si>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</si>
  <si>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</si>
  <si>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</si>
  <si>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</si>
  <si>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</si>
  <si>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</si>
  <si>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</si>
  <si>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</si>
  <si>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</si>
  <si>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</si>
  <si>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</si>
  <si>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</si>
  <si>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装备权衡</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</si>
  <si>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</si>
  <si>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</si>
  <si>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</si>
  <si>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</si>
  <si>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</si>
  <si>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</si>
  <si>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</si>
  <si>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</si>
  <si>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</si>
  <si>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</si>
  <si>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</si>
  <si>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</si>
  <si>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</si>
  <si>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</si>
  <si>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</si>
  <si>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</si>
  <si>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</si>
  <si>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</si>
  <si>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</si>
  <si>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</si>
  <si>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</si>
  <si>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监控装备</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</si>
  <si>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</si>
  <si>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</si>
  <si>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</si>
  <si>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</si>
  <si>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</si>
  <si>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</si>
  <si>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</si>
  <si>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</si>
  <si>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</si>
  <si>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</si>
  <si>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</si>
  <si>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</si>
  <si>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</si>
  <si>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</si>
  <si>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</si>
  <si>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</si>
  <si>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</si>
  <si>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</si>
  <si>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</si>
  <si>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</si>
  <si>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</si>
  <si>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</si>
  <si>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</si>
  <si>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照明与视野</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</si>
  <si>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</si>
  <si>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</si>
  <si>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</si>
  <si>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</si>
  <si>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</si>
  <si>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</si>
  <si>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</si>
  <si>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</si>
  <si>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</si>
  <si>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</si>
  <si>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</si>
  <si>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</si>
  <si>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</si>
  <si>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</si>
  <si>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破门潜入装备</t>
  </si>
  <si>
    <t>开锁套件</t>
  </si>
  <si>
    <t>哈利根撬棍</t>
  </si>
  <si>
    <t>通过较为结实的障碍物时需要进行力量检定。</t>
  </si>
  <si>
    <t>抖锁器</t>
  </si>
  <si>
    <t>仅适用于简单的弹簧锁。</t>
  </si>
  <si>
    <t>急救和生存</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</si>
  <si>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</si>
  <si>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</si>
  <si>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</si>
  <si>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</si>
  <si>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</si>
  <si>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</si>
  <si>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</si>
  <si>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</si>
  <si>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</si>
  <si>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</si>
  <si>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</si>
  <si>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</si>
  <si>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</si>
  <si>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</si>
  <si>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</si>
  <si>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</si>
  <si>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</si>
  <si>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</si>
  <si>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</si>
  <si>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</si>
  <si>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</si>
  <si>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</si>
  <si>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</si>
  <si>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</si>
  <si>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地下医疗</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</si>
  <si>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</si>
  <si>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</si>
  <si>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</si>
  <si>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</si>
  <si>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</si>
  <si>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</si>
  <si>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武器配件</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</si>
  <si>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</si>
  <si>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</si>
  <si>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</si>
  <si>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</si>
  <si>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</si>
  <si>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</si>
  <si>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</si>
  <si>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</si>
  <si>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</si>
  <si>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</si>
  <si>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</si>
  <si>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</si>
  <si>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</si>
  <si>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</si>
  <si>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</si>
  <si>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</si>
  <si>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执法机构申请</t>
  </si>
  <si>
    <t>访问非机密但受限制的文件，诸如刑事或财务记录</t>
  </si>
  <si>
    <t>必须和正式调查相关。如果不相关，那么需要进行幸运检定，失败则会招致官方审查。</t>
  </si>
  <si>
    <t>无理由地将一名囚犯关押 24 小时</t>
  </si>
  <si>
    <t>借用 1 天机构用车，巡逻车或 SUV</t>
  </si>
  <si>
    <t>请求获取不相关案件的资料</t>
  </si>
  <si>
    <t>使用无人机监控嫌疑人 1 到 2 天</t>
  </si>
  <si>
    <t>会招致官方审查。</t>
  </si>
  <si>
    <t>交通工具</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</si>
  <si>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</si>
  <si>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</si>
  <si>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</si>
  <si>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</si>
  <si>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</si>
  <si>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</si>
  <si>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</si>
  <si>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住宿</t>
  </si>
  <si>
    <t>廉价汽车旅馆住宿 1 到 2 晚</t>
  </si>
  <si>
    <t>汽车旅馆住宿一周或短租公寓</t>
  </si>
  <si>
    <t>星级酒店住宿一周</t>
  </si>
  <si>
    <t>高档度假村住宿一周</t>
  </si>
  <si>
    <t>最高档度假圣地享受私人食宿</t>
  </si>
  <si>
    <t>身份与背景伪造</t>
  </si>
  <si>
    <t>伪造的护照或身份证明文件</t>
  </si>
  <si>
    <t>需要正式申请或犯罪学来找到可靠来源。</t>
  </si>
  <si>
    <t>G-7 国家的伪造护照（加拿大，欧盟，日本，美国，英国）</t>
  </si>
  <si>
    <t>全新的合法身份证明</t>
  </si>
  <si>
    <t>储存</t>
  </si>
  <si>
    <t>公共储存柜，一个月</t>
  </si>
  <si>
    <t>公共储存柜，一年</t>
  </si>
  <si>
    <t>大型公共储存柜，一年</t>
  </si>
  <si>
    <t>镣铐机具</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</si>
  <si>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</si>
  <si>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</si>
  <si>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</si>
  <si>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</si>
  <si>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研究</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</si>
  <si>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</si>
  <si>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</si>
  <si>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</si>
  <si>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</si>
  <si>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</si>
  <si>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通讯与计算机</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</si>
  <si>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</si>
  <si>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</si>
  <si>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</si>
  <si>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</si>
  <si>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</si>
  <si>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</si>
  <si>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</si>
  <si>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</si>
  <si>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</si>
  <si>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</si>
  <si>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</si>
  <si>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</si>
  <si>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</si>
  <si>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</si>
  <si>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</si>
  <si>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</si>
  <si>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</si>
  <si>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</si>
  <si>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</si>
  <si>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</si>
  <si>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</si>
  <si>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</si>
  <si>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</si>
  <si>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</si>
  <si>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</si>
  <si>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</si>
  <si>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</si>
  <si>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</si>
  <si>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军事部门申请</t>
  </si>
  <si>
    <t>在已安排好的支援航班上保有一个座位（仅限有多余座位时）</t>
  </si>
  <si>
    <t>呼叫一支特种作战小队进行安保或撤离行动</t>
  </si>
  <si>
    <t>直升机支援（运载或监控）</t>
  </si>
  <si>
    <t>导弹空袭</t>
  </si>
  <si>
    <t>会招致官方审查；不能空袭美国本土。</t>
  </si>
  <si>
    <t>仅限正式申请</t>
  </si>
  <si>
    <t>这些执法机构，军事，情报部门和公共安全的项目是无法购买的。这里的“开销”代表通过行政或军事科学技能获取的难度等级，审批所需时间，以及可能招致的官方审查的严重程度。</t>
  </si>
  <si>
    <t>情报部门申请</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</si>
  <si>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</si>
  <si>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</si>
  <si>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</si>
  <si>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</si>
  <si>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</si>
  <si>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</si>
  <si>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</si>
  <si>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</si>
  <si>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</si>
  <si>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</si>
  <si>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</si>
  <si>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公共安全申请</t>
  </si>
  <si>
    <t>访问特工职责之外的敏感文件</t>
  </si>
  <si>
    <t>向地方执法机构提出逮捕申请（以正当理由）</t>
  </si>
  <si>
    <t>以所谓的环境犯罪为名义，获取进入工地的许可</t>
  </si>
  <si>
    <t>临时性地关闭一处工地进行环境犯罪调查</t>
  </si>
  <si>
    <t>隔离一个场所</t>
  </si>
  <si>
    <t>隔离一块区域</t>
  </si>
  <si>
    <t>“人类不应知道之事”可选下列前8项；其他精神疾病按创伤确定。</t>
  </si>
  <si>
    <t>在人物卡 DR55 为“人类不应知道之事”选择下列前8项之一。其他疾病由玩家与掌局者按创伤商定，记入人生动力及精神疾病栏。选择名称不会自动扣减技能。</t>
  </si>
  <si>
    <t>来源：《绿色三角洲：特工手册》v2.0.1。来源栏使用书内印刷页码。</t>
  </si>
  <si>
    <t>参考选项</t>
  </si>
  <si>
    <t>名称</t>
  </si>
  <si>
    <t>非自然相关精神疾病：背景可选8项</t>
  </si>
  <si>
    <t>非自然相关精神疾病：DR55 的8项背景选项</t>
  </si>
  <si>
    <t>暴力行为
无力感
非自然现象</t>
  </si>
  <si>
    <t>诱因：回想起曾经历过或施于他人的创伤。表现与规则：绝望、无助或难以抑制的愧疚。急性发作时，每次技能或属性检定消耗1D4毅力。</t>
  </si>
  <si>
    <t>暴力行为
非自然现象</t>
  </si>
  <si>
    <t>偏执型人格障碍</t>
  </si>
  <si>
    <t>诱因：单次掷骰损失至少2点理智。表现与规则：无法信任或依赖他人，把事件、分歧和疑点解释成针对自己的阴谋；无统一数值惩罚。
“偏执”是偏执型人格障碍的简称。</t>
  </si>
  <si>
    <t>诱因：每次尝试入睡时进行理智检定，失败即发作。表现与规则：反复惊醒，24小时无法休息或恢复毅力。</t>
  </si>
  <si>
    <t>无力感
非自然现象</t>
  </si>
  <si>
    <t>诱因：遭受临时疯狂或触及崩溃点。表现与规则：转为拥有独立性格与记忆的人格；可能出现更多人格。是否以及何时能控制特工，由掌局者决定。</t>
  </si>
  <si>
    <t>非自然现象</t>
  </si>
  <si>
    <t>诱因：单次掷骰损失至少2点理智。表现与规则：与发作相关的内容成为记忆空白，除非特工以某种方式找回。</t>
  </si>
  <si>
    <t>诱因：单次掷骰损失至少2点理智。表现与规则：与身体、想法、情感失去联系，感觉与自我剥离；全部技能与属性检定−20%。</t>
  </si>
  <si>
    <t>诱因：遭受临时疯狂或触及崩溃点。表现与规则：呆立原地或无目的地漫游，对外界毫无反应；无统一数值惩罚。</t>
  </si>
  <si>
    <t>诱因：单次掷骰损失至少2点理智。表现与规则：认为自己具有崇高地位，遭到暗指或质疑便暴怒；以属性或技能请求帮助或争取良好印象的检定自动失败。</t>
  </si>
  <si>
    <t>其他普通精神疾病：暴力行为与无力感范例</t>
  </si>
  <si>
    <t>暴力行为
无力感</t>
  </si>
  <si>
    <t>成瘾症</t>
  </si>
  <si>
    <t>诱因：单次掷骰损失至少2点理智。表现与规则：急切寻求有害习惯或物质；满足瘾症一般使技能与属性检定−20%。24小时未满足即失去1D6毅力且无法恢复，此后每24小时再失去1D6；毅力低于2时可能不顾后果地满足瘾症。</t>
  </si>
  <si>
    <t>暴力行为</t>
  </si>
  <si>
    <t>间歇性暴怒症</t>
  </si>
  <si>
    <t>诱因：单次掷骰损失至少2点理智。表现与规则：爆发与实际或感知威胁程度不相称的暴怒，可能不顾一切攻击眼前事物；手册没有统一数值惩罚。</t>
  </si>
  <si>
    <t>恐声症</t>
  </si>
  <si>
    <t>诱因：巨大噪音，或足以唤起惊恐的日常噪音。表现与规则：对噪音产生强烈恐惧；急性发作时，所有理智检定−20%。</t>
  </si>
  <si>
    <t>创伤后应激障碍</t>
  </si>
  <si>
    <t>诱因：回想起曾经历过或施于他人的创伤。表现与规则：噩梦、闪回或强烈压力。急性发作时，掌局者选择：对只有特工自己感知的威胁作暴力反应，或陷入急性抑郁（每次技能或属性检定消耗1D4毅力）。</t>
  </si>
  <si>
    <t>图腾强迫症</t>
  </si>
  <si>
    <t>诱因：丢失或以为丢失图腾、交予他人、被拿走或摧毁，或一小时未能持有。表现与规则：病态依赖创伤中出现的某件物品。技能、属性与理智检定−10%，直到找回图腾或由掌局者认定找到新图腾。</t>
  </si>
  <si>
    <t>无力感</t>
  </si>
  <si>
    <t>焦虑症</t>
  </si>
  <si>
    <t>诱因：单次掷骰损失至少2点理智。表现与规则：强烈担忧、疲惫、头痛和急性焦虑；发作时所有技能和属性检定−20%。</t>
  </si>
  <si>
    <t>转换障碍</t>
  </si>
  <si>
    <t>诱因：遭受临时疯狂或触及崩溃点。表现与规则：预先选择失明、失聪或瘫痪；发作时突发相应障碍、全身麻木或剧烈颤抖，直到压力源消失。</t>
  </si>
  <si>
    <t>空间相关恐惧症</t>
  </si>
  <si>
    <t>诱因：进入极其开放或密闭的空间，依所选类型。表现与规则：选择密闭恐惧症或广场恐惧症；发作时所有理智检定−20%。</t>
  </si>
  <si>
    <t>痴迷</t>
  </si>
  <si>
    <t>诱因：单次掷骰损失至少2点理智。表现与规则：对人、地点、事物、行为或想法痴迷，急性发作可能持续数日。耗时超过数小时的行为−20%。</t>
  </si>
  <si>
    <t>强迫症</t>
  </si>
  <si>
    <t>诱因：单次掷骰损失至少2点理智。表现与规则：强烈要求将事物整理妥当；全部技能、属性与理智检定−20%，直到整理好所有事物。</t>
  </si>
  <si>
    <t>疾病细项：按所患疾病再确定表现形式</t>
  </si>
  <si>
    <t>精神疾病细项</t>
  </si>
  <si>
    <t>转换障碍：失明</t>
  </si>
  <si>
    <t>转换障碍的视觉丧失形式。随转换障碍急性发作出现，直到压力源消失。</t>
  </si>
  <si>
    <t>转换障碍：失聪</t>
  </si>
  <si>
    <t>转换障碍的听觉丧失形式。随转换障碍急性发作出现，直到压力源消失。</t>
  </si>
  <si>
    <t>转换障碍：瘫痪</t>
  </si>
  <si>
    <t>转换障碍的行动障碍形式。随转换障碍急性发作出现，直到压力源消失。</t>
  </si>
  <si>
    <t>密闭恐惧症</t>
  </si>
  <si>
    <t>恐惧密闭空间，因难以逃脱而发作。急性发作时理智检定−20%。</t>
  </si>
  <si>
    <t>广场恐惧症</t>
  </si>
  <si>
    <t>恐惧开放空间，因范围过大、难以掌控而发作。急性发作时理智检定−20%。</t>
  </si>
  <si>
    <t>永久疯狂参考：理智归零后的表现，不属于新角色背景选项</t>
  </si>
  <si>
    <t>永久疯狂参考</t>
  </si>
  <si>
    <t>紧张性抑郁障碍</t>
  </si>
  <si>
    <t>理智归零后的常见表现：彻底剥离、停止说话及自我照料。属于由掌局者处理的永久疯狂，不能作为新角色的普通疾病直接选取。</t>
  </si>
  <si>
    <t>妄想症</t>
  </si>
  <si>
    <t>理智归零后的常见表现：坚信妄想、与幻觉互动，无法以正常方式唤回。原文该节小标题为“妄想症”，同页前文的三项总述写“躁狂症”；保留此译文内部命名差异，不把两者扩成两项。</t>
  </si>
  <si>
    <t>精神变态</t>
  </si>
  <si>
    <t>理智归零后的常见表现：同理心消失、把他人视作取乐物件，有时仍能伪装正常。是否移出游戏由掌局者决定。</t>
  </si>
  <si>
    <t>特训、重要关系和人生动力可自行命名。</t>
  </si>
  <si>
    <t>按创建角色和幕间活动查找常用选项。特训、重要关系及人生动力均可自行命名；职业、技能包、武器和技能专攻保留在已有工作表与主卡下拉中。</t>
  </si>
  <si>
    <t>属性分配</t>
  </si>
  <si>
    <t>均衡</t>
  </si>
  <si>
    <t>参考购点排列：13、13、12、12、11、11；合计72点，玩家自行分配到六项属性。</t>
  </si>
  <si>
    <t>集中</t>
  </si>
  <si>
    <t>参考购点排列：15、14、12、11、10、10；合计72点，玩家自行分配到六项属性。</t>
  </si>
  <si>
    <t>高度集中</t>
  </si>
  <si>
    <t>参考购点排列：17、14、12、10、10、9；合计72点，玩家自行分配到六项属性。</t>
  </si>
  <si>
    <t>基础属性</t>
  </si>
  <si>
    <t>肌肉力量与身体魄力。一般属性检定使用当前有效属性×5。</t>
  </si>
  <si>
    <t>健康、体魄与身体耐受力。</t>
  </si>
  <si>
    <t>身体灵巧、平衡与全身协调性。</t>
  </si>
  <si>
    <t>逻辑、创造力、直觉和教育。</t>
  </si>
  <si>
    <t>自我强度、动力与精神耐受度。</t>
  </si>
  <si>
    <t>吸引力、领导力与个人气质，也可能包括外貌。</t>
  </si>
  <si>
    <t>特训范例</t>
  </si>
  <si>
    <t>跳伞</t>
  </si>
  <si>
    <t>对应运动或敏捷。特训通常需10—20小时指导与练习，为现有技能或属性增加用途；不单独增加技能点。</t>
  </si>
  <si>
    <t>滑雪</t>
  </si>
  <si>
    <t>对应运动。</t>
  </si>
  <si>
    <t>潜水器材</t>
  </si>
  <si>
    <t>对应游泳。</t>
  </si>
  <si>
    <t>太空服活动</t>
  </si>
  <si>
    <t>对应智力。</t>
  </si>
  <si>
    <t>罕见的近战武器</t>
  </si>
  <si>
    <t>对应近战武器。</t>
  </si>
  <si>
    <t>罕见的手枪或步枪</t>
  </si>
  <si>
    <t>对应射击。</t>
  </si>
  <si>
    <t>对某个亚文化的深刻了解</t>
  </si>
  <si>
    <t>其他国家的刑法</t>
  </si>
  <si>
    <t>对应法律。</t>
  </si>
  <si>
    <t>开锁工具</t>
  </si>
  <si>
    <t>对应敏捷。</t>
  </si>
  <si>
    <t>电子安保系统</t>
  </si>
  <si>
    <t>对地下团伙内幕的了解</t>
  </si>
  <si>
    <t>对应犯罪学。</t>
  </si>
  <si>
    <t>娴熟地使用一门稀有的方言</t>
  </si>
  <si>
    <t>对应外语。</t>
  </si>
  <si>
    <t>黑市</t>
  </si>
  <si>
    <t>对应犯罪学或魅力。</t>
  </si>
  <si>
    <t>重要关系范例</t>
  </si>
  <si>
    <t>配偶或前配偶</t>
  </si>
  <si>
    <t>写出具体人物或可互动的小群体。</t>
  </si>
  <si>
    <t>每段初始关系值等于有效魅力，数量由职业决定；与群体的关系也只使用一个关系值。</t>
  </si>
  <si>
    <t>挚友</t>
  </si>
  <si>
    <t>同事或搭档</t>
  </si>
  <si>
    <t>心理医生或治疗师</t>
  </si>
  <si>
    <t>配偶和孩子</t>
  </si>
  <si>
    <t>父母亲</t>
  </si>
  <si>
    <t>兄弟姐妹</t>
  </si>
  <si>
    <t>一起执行艰难工作的同事</t>
  </si>
  <si>
    <t>教友或互助小组</t>
  </si>
  <si>
    <t>受过同一次创伤的幸存者</t>
  </si>
  <si>
    <t>人生动力范例</t>
  </si>
  <si>
    <t>信仰</t>
  </si>
  <si>
    <t>角色所信奉的价值或信仰。至多5条人生动力，可自行补充；每当触及崩溃点，去除一条动力并记录相应创伤。</t>
  </si>
  <si>
    <t>爱国情结</t>
  </si>
  <si>
    <t>保卫国家、履行责任等角色信念。</t>
  </si>
  <si>
    <t>兴趣爱好</t>
  </si>
  <si>
    <t>角色在工作之外认为有意义的事情。</t>
  </si>
  <si>
    <t>宠物</t>
  </si>
  <si>
    <t>对宠物的关爱可以成为人生动力，但宠物不能成为重要关系。</t>
  </si>
  <si>
    <t>创伤经历</t>
  </si>
  <si>
    <t>神秘学+10；理智−5；魅力−3，各重要关系−3；适应暴力。与掌局者共同补充经历细节。</t>
  </si>
  <si>
    <t>神秘学+10；理智−5；意志−3，该意志下降不再降低理智；适应无力感。与掌局者共同补充经历细节。</t>
  </si>
  <si>
    <t>神秘学及另外5项所选技能各+10，非自然知识除外，最高90%；理智−5；去掉一段重要关系。与掌局者共同补充经历细节。</t>
  </si>
  <si>
    <t>非自然知识+10；神秘学+20；理智减去意志；选择一项非自然相关精神疾病；崩溃点重置为新理智−意志。与掌局者共同补充经历细节。</t>
  </si>
  <si>
    <t>适应理智损失</t>
  </si>
  <si>
    <t>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t>
  </si>
  <si>
    <t>连续3次因无力感损失理智、期间未因无力感临时疯狂或触及崩溃点，即获得适应。此后对应理智检定自动成功；获得时意志永久−1D6。这是游戏中获得适应的规则；创建时的创伤背景已规定固定代价，不额外叠加本项1D6损失。</t>
  </si>
  <si>
    <t>临时疯狂反应</t>
  </si>
  <si>
    <t>逃跑</t>
  </si>
  <si>
    <t>单次理智检定损失至少5点时，与掌局者根据情境商定反应。尽快远离理智损失来源，持续体质个战斗轮或直到认为安全（先到者），随后精疲力尽；常见于非自然现象和暴力行为。</t>
  </si>
  <si>
    <t>搏命</t>
  </si>
  <si>
    <t>单次理智检定损失至少5点时，与掌局者根据情境商定反应。攻击最近威胁，不论其强弱，直到昏迷、死亡或受束缚；常见于无力感和暴力行为。</t>
  </si>
  <si>
    <t>屈服</t>
  </si>
  <si>
    <t>单次理智检定损失至少5点时，与掌局者根据情境商定反应。失去知觉或陷入呆滞无反应，直到掌局者认定恢复；回忆创伤细节需智力×5检定并造成压力；常见于非自然现象和无力感。</t>
  </si>
  <si>
    <t>幕间私人规划</t>
  </si>
  <si>
    <t>按部就班</t>
  </si>
  <si>
    <t>维护一项非绿色三角洲关系，理智成功：关系+1D6（不超过魅力）；大成功另加1理智（不超过意志×5）；失败关系+1；大失败关系−1D4、理智−1。</t>
  </si>
  <si>
    <t>远离喧嚣</t>
  </si>
  <si>
    <t>一项非绿色三角洲关系−1；理智成功：理智+1D4，大成功改+4，均不超过意志×5；失败+1；大失败−1D4。</t>
  </si>
  <si>
    <t>建立新的重要关系</t>
  </si>
  <si>
    <t>魅力×5成功可建立新关系，初始值为魅力一半、向上取整；同时一项旧有的非绿色三角洲关系−1。</t>
  </si>
  <si>
    <t>接受心理治疗</t>
  </si>
  <si>
    <t>一项非绿色三角洲关系−1；使用幸运或治疗师的精神治疗检定，恢复量随是否坦白而异。大成功可能治愈疾病并建立治疗师关系；痊愈疾病仍保留记录，之后可能复发。</t>
  </si>
  <si>
    <t>提升技能或属性</t>
  </si>
  <si>
    <t>选择两项不同的技能/属性，各进行技能或属性×5检定；失败则技能+3D6（上限99%）或属性+1（上限18）。每提升一项，损失一项非绿色三角洲关系1点。</t>
  </si>
  <si>
    <t>重建人生动力</t>
  </si>
  <si>
    <t>理智成功：理智+1，大成功改+1D4，均不超过意志×5，并使一项非绿色三角洲关系−1；大失败理智−1。</t>
  </si>
  <si>
    <t>进行特训</t>
  </si>
  <si>
    <t>获得一项新的特训；因忽略责任，使一项非绿色三角洲关系−1。</t>
  </si>
  <si>
    <t>回顾案件</t>
  </si>
  <si>
    <t>一项非绿色三角洲关系−1；掌局者暗骰犯罪学或神秘学，决定线索及风险；无论结果如何，理智增减1D6−3。</t>
  </si>
  <si>
    <t>研究非自然知识</t>
  </si>
  <si>
    <t>研究禁忌资料，非自然知识的具体增长与发现由掌局者决定；任选一项重要关系损失1D4。</t>
  </si>
  <si>
    <t>已有选项入口</t>
  </si>
  <si>
    <t>职业与子模板</t>
  </si>
  <si>
    <t>选择职业及适用子模板后自动联动。</t>
  </si>
  <si>
    <t>额外技能包</t>
  </si>
  <si>
    <t>选择技能包，任选项直接在人物卡内选择。</t>
  </si>
  <si>
    <t>技能专攻</t>
  </si>
  <si>
    <t>艺术、工艺、外语、军事科学、特种载具、科学的专攻范例；可按情境自定。</t>
  </si>
  <si>
    <t>武器与护甲</t>
  </si>
  <si>
    <t>武器、护甲与特殊效果。</t>
  </si>
  <si>
    <t>计算与选项</t>
  </si>
  <si>
    <t>重要关系1</t>
  </si>
  <si>
    <t>成功</t>
  </si>
  <si>
    <t>理智检定</t>
  </si>
  <si>
    <t>暴力</t>
  </si>
  <si>
    <t>02</t>
  </si>
  <si>
    <t>重要关系2</t>
  </si>
  <si>
    <t>失败</t>
  </si>
  <si>
    <t>有所隐瞒</t>
  </si>
  <si>
    <t>无力</t>
  </si>
  <si>
    <t>03</t>
  </si>
  <si>
    <t>重要关系3</t>
  </si>
  <si>
    <t>大成功</t>
  </si>
  <si>
    <t>魅力×5检定</t>
  </si>
  <si>
    <t>非自然</t>
  </si>
  <si>
    <t>关系受损</t>
  </si>
  <si>
    <t>04</t>
  </si>
  <si>
    <t>重要关系4</t>
  </si>
  <si>
    <t>大失败</t>
  </si>
  <si>
    <t>幸运或精神治疗检定</t>
  </si>
  <si>
    <t>关系破碎</t>
  </si>
  <si>
    <t>05</t>
  </si>
  <si>
    <t>重要关系5</t>
  </si>
  <si>
    <t>各自作技能或属性×5检定</t>
  </si>
  <si>
    <t>理智恢复</t>
  </si>
  <si>
    <t>06</t>
  </si>
  <si>
    <t>重要关系6</t>
  </si>
  <si>
    <t>毅力恢复</t>
  </si>
  <si>
    <t>07</t>
  </si>
  <si>
    <t>重要关系7</t>
  </si>
  <si>
    <t>填写完成的特训</t>
  </si>
  <si>
    <t>毅力消耗</t>
  </si>
  <si>
    <t>08</t>
  </si>
  <si>
    <t>填实掷1D6，理智变化为骰点−3</t>
  </si>
  <si>
    <t>体力变化</t>
  </si>
  <si>
    <t>09</t>
  </si>
  <si>
    <t>增长由掌局者决定</t>
  </si>
  <si>
    <t>属性减值</t>
  </si>
  <si>
    <t>11</t>
  </si>
  <si>
    <t>12</t>
  </si>
  <si>
    <t>建立DG关系</t>
  </si>
  <si>
    <t>13</t>
  </si>
  <si>
    <t>加深DG关系</t>
  </si>
  <si>
    <t>14</t>
  </si>
  <si>
    <t>16</t>
  </si>
  <si>
    <t>17</t>
  </si>
  <si>
    <t>无数值变化</t>
  </si>
  <si>
    <t>18</t>
  </si>
  <si>
    <t>19</t>
  </si>
  <si>
    <t>徽章及身份证明；中型手枪及枪套；备用弹匣×2；战术灯；手铐；凯夫拉尔背心；机构防风衣；加密手机；警用无线电及耳麦。可选：轻型备用手枪。</t>
  </si>
  <si>
    <t>证据采集套件。车载：带全息瞄准镜的轻型卡宾枪＋弹匣×2，或栓动霰弹枪＋40发弹药（半数独头弹）；战术背心；头盔；加密笔电；急救包；灭火器。</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</si>
  <si>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
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</si>
  <si>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徽章及证件；突击步枪或卡宾枪（激光瞄准镜、下挂灯），备用弹匣×6；半自动霰弹枪（备弹×6）；中型手枪（弹匣×2）；战术匕首；闪光弹及催泪手雷；电击枪；胡椒喷雾；塑料手铐。</t>
  </si>
  <si>
    <t>破门槌；哈利根撬棍；防爆盾；战术电台及耳麦；战术护甲及头盔；机构背心；护膝护肘；手套；防火头套；有色眼镜；突击织带；水化系统；望远镜；强光灯；速降绳索安全套件。</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</si>
  <si>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
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</si>
  <si>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狗牌；全息瞄准镜及激光指示器；胸挂备用弹匣×6；中型手枪及枪套、弹匣×2；破片手雷×2；烟雾弹×2；闪光弹×2；格斗匕首；塑料手铐。</t>
  </si>
  <si>
    <t>战术护甲；凯夫拉尔头盔；战术灯；眼镜或太阳镜；夜视镜；军用电台及耳麦；多功能工具；指南针；战地止血包；GPS。</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</si>
  <si>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
以及 GPS。</t>
  </si>
  <si>
    <t>徽章及证件；强化凯夫拉尔背心；勤务腰带；中型手枪、弹匣×2；胡椒喷雾和／或电击枪；警棍；折叠匕首；手铐；灯；无线电；笔及记事本。可选：备用轻型手枪、弹药、手套、多功能工具、止血用品。部分部门配摄录设备。</t>
  </si>
  <si>
    <t>巡逻车：电台；卡宾枪或霰弹枪及弹药；防暴头盔及警棍；道钉；照明弹；反光背心；证据袋；交通锥；病原体试剂盒；灭火器；电脑及驾照扫描器；毛绒玩具或毛毯；毛巾；撬棍及工具；天气装备；文书及参考册；水、能量棒、抗菌凝胶。</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</si>
  <si>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
大部分警员会携带一把轻型备用手枪放在脚踝处或是内衬里，额外的备用子弹，皮革手套，多功能工具，止血凝胶，应急绷带和自救止血器。
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
各式各样的工具和对抗恶劣天气的装备，写字夹板，表格和文书用具，地图册和参考册（药品识别，危险品编号，恐怖主义应对策略），瓶装水，能量棒，和抗菌凝胶。</t>
  </si>
  <si>
    <t>急救套件；自救止血器；止血凝胶；衣服；几盒弹药；额外手枪和／或卡宾枪弹匣；手电筒；折叠匕首。</t>
  </si>
  <si>
    <t>基础工具；制门器；粉笔；瓶装水；能量棒；电池；防晒霜；抗菌凝胶。</t>
  </si>
  <si>
    <t>自定义</t>
  </si>
  <si>
    <t>一台强固式笔电，加载先进的数据分析软件，化学嗅探器/分析仪。</t>
  </si>
  <si>
    <t>HRT还能获得专业便携式电脑，可使用FBI的指纹自动识别系统（IAFIS）及DoD的自动生物识别系统（ABIS）。</t>
  </si>
  <si>
    <t>特化的情报和许多不同的生存装备。</t>
  </si>
  <si>
    <t>专门的寒冷天气、高山和沙漠生存装备和设备。</t>
  </si>
  <si>
    <t>先进的监视、监听设备，包括远距离、加固的激光指示器。</t>
  </si>
  <si>
    <t>维修直升机设备的操作手册和现场手册。</t>
  </si>
  <si>
    <t>能查阅机密报告。</t>
  </si>
  <si>
    <t>野战医疗包（辅助救援）、先进的监视和电子套件（战斗控制员和战斗气象技术人员）。</t>
  </si>
  <si>
    <t>SCUBA 和游泳装备。所有设备都是防水的。</t>
  </si>
  <si>
    <t>先进的监视设备、安装在武器上的激光指示灯、莫斯伯格500 泵动式霰弹枪、远距离热成像仪。</t>
  </si>
  <si>
    <t>控制某INL项目的预算。</t>
  </si>
  <si>
    <t>控制某项目的预算。</t>
  </si>
  <si>
    <t>对CID，请，加上撬棍、锤子和扳手、呼吸器和危险品防护服。对于RTC，设备可能包括环境监测设备，如化学嗅探器和取样设备、下水道照相机和光离子a化检测器。</t>
  </si>
  <si>
    <t>水上生存装备。</t>
  </si>
  <si>
    <t>一只工作用犬（工作犬种或竞技犬种）、犬类处理设备和兽医医疗用品。</t>
  </si>
  <si>
    <t>各式各样的交通工具。</t>
  </si>
  <si>
    <t>丰富的医疗用品和创伤设备。</t>
  </si>
  <si>
    <t>一只工作用犬（工作犬种）、犬类处理设备和少量兽医医疗用品。</t>
  </si>
  <si>
    <t>丰富的便携式急救和创伤设备。</t>
  </si>
  <si>
    <t>爆炸物保护装备，大量工具、电子和化学诊断设备，并可利用遥控车辆接近、调查和消除可疑爆炸物。</t>
  </si>
  <si>
    <t>定制的巴雷特M82.50口径狙击步枪，配备了望远镜、红外、低光、全息或激光瞄准器。</t>
  </si>
  <si>
    <t>基础水上生存装备。</t>
  </si>
  <si>
    <t>用于逮捕和拘留嫌疑人的限制性工具。</t>
  </si>
  <si>
    <t>绿色三角洲人物卡｜更新记录</t>
  </si>
  <si>
    <t>原版作者</t>
  </si>
  <si>
    <t>DKWings</t>
  </si>
  <si>
    <t>联系方式</t>
  </si>
  <si>
    <t>QQ：280848250　Email：dkwings@gmail.com</t>
  </si>
  <si>
    <t>后续改版</t>
  </si>
  <si>
    <t>v0.4.7之后：Lindrich King　QQ：2113155803 Email：Shylosia@gmail.com</t>
  </si>
  <si>
    <t>项目仓库</t>
  </si>
  <si>
    <t>https://github.com/Shylosia/DeltaGreen</t>
  </si>
  <si>
    <t>当前版本</t>
  </si>
  <si>
    <t>v2.0</t>
  </si>
  <si>
    <t>版本</t>
  </si>
  <si>
    <t>更新内容</t>
  </si>
  <si>
    <t>v1.13</t>
  </si>
  <si>
    <t>理智、关系事件与单元格保护（2026-09-22）</t>
  </si>
  <si>
    <t>新增理智与关系记录：理智损失、投射、抑制、关系受损／破碎、DG关系、恢复和属性减值可逐次归档，记录实掷骰点与事件经过。</t>
  </si>
  <si>
    <t>自动区分原始SAN损失和投射后损失，核查毅力代价，提示临时／永久疯狂与新增疾病；触及崩溃点后记录新阈值和去除的动力。</t>
  </si>
  <si>
    <t>暴力与无力适应进度回填主卡，完成适应的1D6代价只计一次；暴力魅力减值自动连带关系，非自然疯狂启示须由掌局者允许。</t>
  </si>
  <si>
    <t>主卡、打印卡与幕间共用原归档，事件可连续记录且重复归档不重复计入；保留用户现有文字、版式和英文标签。</t>
  </si>
  <si>
    <t>以1014保护工作表及工作簿结构，锁定公式和固定内容；主卡填写、职业下拉、技能选择、事件输入及归档A至I列保留编辑权限。</t>
  </si>
  <si>
    <t>v1.12</t>
  </si>
  <si>
    <t>主卡建卡与幕间联动修正（2026-09-22）</t>
  </si>
  <si>
    <t>沿用主卡原属性区：原“数值”栏填写原值，原“暂降”栏显示计入背景和归档变化的现值；×5、衍生值与打印卡引用现值。</t>
  </si>
  <si>
    <t>体力、毅力、理智和崩溃点按主卡原始属性与背景计算，再累计归档变化；恢复主卡对应英文标签，幕间顶部显示当前值。</t>
  </si>
  <si>
    <t>提升技能或属性明确各自检定、失败时的3D6或+1、成功不变及每项提升的关系代价，并显示当前值与检定目标。</t>
  </si>
  <si>
    <t>保留原有主卡、幕间与A4打印版的行高、列宽、合并与版式；清除试填的职业、失败标记和幕间选项，提供空白母版。</t>
  </si>
  <si>
    <t>v1.11</t>
  </si>
  <si>
    <t>可重复幕间窗口与归档引用修复（2026-09-22）</t>
  </si>
  <si>
    <t>将两次幕间面板合为一个计算区，按事项切换相关字段、下拉选项和骰点提示；每次使用独立记录号归档，可连续复用。</t>
  </si>
  <si>
    <t>归档区改为Excel表格，计算按表格列读取记录。修复删除空白行后隐藏公式引用失效，进而导致属性、理智和关系出现#REF!的问题。</t>
  </si>
  <si>
    <t>幕间变化连续生成，不再夹杂空行；保留前后数值、关系代价和历史编号，重复归档不重复计分。</t>
  </si>
  <si>
    <t>模组名称按经历表序号查找，支持数字序号及01形式的文本序号；不再依赖固定行位置，未填写名称时留空。</t>
  </si>
  <si>
    <t>迁移当前角色已有的成长与心理治疗记录，保留主卡及A4版式；归档仍使用粘贴为值，每笔归档后可清空输入并更换记录号。</t>
  </si>
  <si>
    <t>v1.10</t>
  </si>
  <si>
    <t>主卡失败勾选、批量成长与职业装备（2026-09-22）</t>
  </si>
  <si>
    <t>恢复主卡失败技能下拉勾选；幕间页自动列出已勾选技能和当前值，分别填写1D4即可生成整批成长记录，不再逐项录入失败事件。</t>
  </si>
  <si>
    <t>复制生成记录的前九列，粘贴为值到归档区后统一计入主卡；同一模组同一技能只计一次。归档保留变更前后值，清空勾选不会删除已归档成长。</t>
  </si>
  <si>
    <t>模组结算后可接续一至两次幕间：选择事项、目标、结果及骰点，自动生成技能、属性、理智和关系变化；归档后联动主卡。</t>
  </si>
  <si>
    <t>将装备权衡中的五组装备加入物品栏下拉，默认随职业及子模板带入；保留可选、二选一和车载装备说明，亦可单独选择装备包。</t>
  </si>
  <si>
    <t>保留当前角色的职业、属性、武器及其他已填资料；保留主卡和双页A4的行高、列宽，更新说明按新到旧排列。</t>
  </si>
  <si>
    <t>成长骰点使用实际掷骰结果。归档后手动清空失败标记与骰点；下一模组更换编号并清空两组幕间输入，归档记录继续保留。</t>
  </si>
  <si>
    <t>v1.9</t>
  </si>
  <si>
    <t>幕间结算、成长记录与页面整理（2026-09-22）</t>
  </si>
  <si>
    <t>新增“幕间与结算”工作表，提供九类幕间事项下拉；记录游戏内日期、事件、变更前值、实际增减和关系代价，确认后按属性与技能上限累计到人物卡。</t>
  </si>
  <si>
    <t>初始属性移至“幕间与结算”填写，主卡显示计入背景与后续变化后的累计值。</t>
  </si>
  <si>
    <t>技能失败结算手动录入结算前值和固定1D4结果，同一模组的同一技能只结算一次；保留成长前后值，失败标记和成长历史联动主卡。</t>
  </si>
  <si>
    <t>重要关系名称使用下拉选择，移除“个人／群体”占位选项。</t>
  </si>
  <si>
    <t>隐藏职业列表、额外技能包、子技能、附表和职业选项，规则数据继续隐藏；删除空展示页。</t>
  </si>
  <si>
    <t>A4打印版只保留首页深绿色主标题，背面不再重复标题；保留两页A4、页脚、行高和列宽。</t>
  </si>
  <si>
    <t>v1.8</t>
  </si>
  <si>
    <t>固定工艺技能匹配修正（2026-09-22）</t>
  </si>
  <si>
    <t>固定工艺按主卡已有的专攻名称匹配，调整到其他工艺行后仍计入职业值；原位置优先，同名只计一次，无匹配时仍待填，不改写玩家输入。</t>
  </si>
  <si>
    <t>核对计算机科学家或工程师的电工30%、机械30%、微电子40%及相关模板；工艺下拉补入“电子学”，四个工艺名称格均可选择，保留“电子”和“微电子”为独立选项。</t>
  </si>
  <si>
    <t>保留人物卡版式、职业任选规则、技能包逐项替换与额外技能联动；同步角色版、公开空白母版和更新记录为v1.8。</t>
  </si>
  <si>
    <t>v1.7</t>
  </si>
  <si>
    <t>技能包单项替换与分配统计（2026-09-22）</t>
  </si>
  <si>
    <t>技能包的模板固定项也可在右栏替换；例如将运动员的一项换成其他技能，清空手选后恢复该模板默认项。</t>
  </si>
  <si>
    <t>保留八项各+20、同一技能可重复分配及创建上限80%；非自然知识不能通过技能包提升，原有任选与专攻范围保持不变。</t>
  </si>
  <si>
    <t>将分配统计移到第八项技能之后，八项连续排列，便于逐项核对。</t>
  </si>
  <si>
    <t>保留原人物卡行高、列宽及其余联动；同步角色版、公开空白母版和更新记录为v1.7。</t>
  </si>
  <si>
    <t>v1.6</t>
  </si>
  <si>
    <t>导航、模组备忘录与打印占位（2026-09-22）</t>
  </si>
  <si>
    <t>规则速查由68个分类链接精简为12个主题导航；冻结前8行替代原25行，保留538条正文，并提示筛选后先清除筛选再跳转。</t>
  </si>
  <si>
    <t>清理规则速查、精神疾病与参考选项中的出处栏目及备注末尾出处行，参考内容仍完整留在工作表中。</t>
  </si>
  <si>
    <t>新增20条空白场次的模组经历备忘录，可记录日期、行动、掌局者、同行特工、结果、角色变化与下次备忘。</t>
  </si>
  <si>
    <t>主卡底部和备忘录加入绿箱生成器、规则速查和版本记录入口；绿箱地址为 https://greenbox.thebackstop.app/。</t>
  </si>
  <si>
    <t>v0.4之后版本改编维护：Lindrich King，QQ：2113155803；保留原版作者DKWings及既有历史记录。</t>
  </si>
  <si>
    <t>项目入口：https://github.com/Shylosia/DeltaGreen。仓库发布空白母版；已填写角色版保留在本地。</t>
  </si>
  <si>
    <t>打印页135处数值或基础等级标签在空白时以0占位；姓名、专攻名称、背景叙述继续留白。未填力量时伤害加成显示0。</t>
  </si>
  <si>
    <t>同步版本v1.6。保留原人物卡与A4表的行高列宽、原有联动及已填写角色内容；新增底部导航不移动原外框。</t>
  </si>
  <si>
    <t>精简属性、规则和操作备注，删除坐标引导、页码引用及重复提示；关闭重复输入浮窗，保留输入错误提示。</t>
  </si>
  <si>
    <t>规则速查去掉条目后的“｜说明”等冗词；参考选项的共用规则集中保留，更新记录按版本倒序排列。</t>
  </si>
  <si>
    <t>统一新增工作表的黑灰、浅蓝配色、字体及细边框，与人物卡保持一致；原人物卡和A4打印表的行列尺寸保持不变。</t>
  </si>
  <si>
    <t>保留职业候选的下拉勾选与空候选隐藏；计数处显示“下拉选”及已选数量，检查选择状态和技能数值联动。</t>
  </si>
  <si>
    <t>v1.5</t>
  </si>
  <si>
    <t>属性备注与可见参考表（2026-09-22）</t>
  </si>
  <si>
    <t>新增45条基础属性和关键输入说明，正文8pt、标题9pt，保留原技能备注。</t>
  </si>
  <si>
    <t>职业任选改为原位☑／☐状态选择，只显示当前职业有效候选，修复固定多余勾选框；切换职业后核对已有选择。</t>
  </si>
  <si>
    <t>规则速查完整保留在工作簿；新增精神疾病与参考选项两张可编辑表，共87条手册参考，精神疾病含18项及细项、永久疯狂。</t>
  </si>
  <si>
    <t>非自然背景心理疾病下拉引用新表适用的8项；特训名称新增14项手册范例下拉，仍可自填。</t>
  </si>
  <si>
    <t>同步主卡、打印页和文档版本为v1.5；保留当前角色填写、原行高列宽与外框排版。状态区仅拆分原文字预留空间。</t>
  </si>
  <si>
    <t>本次交付为xlsx，所有规则和参考内容都在工作表中，无需另开PDF。</t>
  </si>
  <si>
    <t>v1.4</t>
  </si>
  <si>
    <t>装备、额外技能与创伤联动（2026-09-21）</t>
  </si>
  <si>
    <t>54项武器下拉按特工手册v2.0.1，自动带入技能、伤害、穿甲、射程与半径；增加护甲和特训对应项下拉。</t>
  </si>
  <si>
    <t>技能包自动分配八次+20；原框内选择可选项，科学等细项直接读取主卡，支持个人特长重复分配和80上限提示。</t>
  </si>
  <si>
    <t>创伤背景联动神秘学、非自然知识、理智、毅力、意志、魅力、适应与关系；艰苦经历五项在原框填写。</t>
  </si>
  <si>
    <t>创伤区填写原始意志与魅力，属性区显示修正后的数值；普通三种创伤不自动重置崩溃点。</t>
  </si>
  <si>
    <t>新增规则速查工作表：纯Excel文字表格，补齐检定、对抗、战斗、治疗及理智等；冲突以指定特工手册为准。</t>
  </si>
  <si>
    <t>保持原行高、列宽与既有合并；新增输入仅用原空白区域；人物卡A4可编辑打印表仍置于最后。</t>
  </si>
  <si>
    <t>v1.3</t>
  </si>
  <si>
    <t>原位职业选择与可编辑A4打印（2026-09-21）</t>
  </si>
  <si>
    <t>原职业候选框直接勾选，职业值由隐藏表自动计算；使用普通查表公式。</t>
  </si>
  <si>
    <t>科学、外语、工艺等细项直接填入人物卡对应格，不再跳到职业选项页。</t>
  </si>
  <si>
    <t>人类学／考古学的固定二选一在职业框内补充选择格；重复、超选和未填细项仍提示。</t>
  </si>
  <si>
    <t>保留当前角色输入；切换职业后核对旧选择和细项。</t>
  </si>
  <si>
    <t>备注正文8pt、标题9pt，删除尾部空白并按实际文字收紧备注框。</t>
  </si>
  <si>
    <t>末页重建为纯单元格文字与边框表格，无底图或文字框；完整引用人物数据，仍为两页A4。</t>
  </si>
  <si>
    <t>原人物卡行高、列宽和既有合并位置保留；二选一输入使用职业框原空白位置。</t>
  </si>
  <si>
    <t>v1.2</t>
  </si>
  <si>
    <t>技能悬停说明（2026-09-21）</t>
  </si>
  <si>
    <t>人物卡43种技能、56个技能名称格新增备注；鼠标悬停即可查看基础等级与完整说明。</t>
  </si>
  <si>
    <t>专攻技能各重复栏位均可查看；清理原文页眉、页码及断行，脚注按所属技能归位。</t>
  </si>
  <si>
    <t>保留原技能规则与措辞，现有职业勾选联动、原表排版和两页A4打印设置不变。</t>
  </si>
  <si>
    <t>v1.1</t>
  </si>
  <si>
    <t>职业任选勾选联动（2026-09-21）</t>
  </si>
  <si>
    <t>点击人物卡候选文字直达职业选项，勾选 N 项；各职业及子模板独立保存。</t>
  </si>
  <si>
    <t>新增职业选项页：固定任选、二选一及候选细项均可设置；点击人物卡提示区定位。</t>
  </si>
  <si>
    <t>职业值取模板最终水平；重复技能提示，超选时任选值暂不计入，取消勾选立即撤回。</t>
  </si>
  <si>
    <t>职业列表缺百分号的候选也可解析；明确的重型武器升级项以50替换40。</t>
  </si>
  <si>
    <t>原表行高、列宽、合并和A4两页打印设置保留；打印数据同步更新。</t>
  </si>
  <si>
    <t>各细项按来源固定占位；先确定职业与细项再填额外、成长，改选后核对。</t>
  </si>
  <si>
    <t>v1.0</t>
  </si>
  <si>
    <t>2026-09-21 · 职业联动与A4打印版</t>
  </si>
  <si>
    <t>新增：最后一张工作表“可打印版（A4）”，保留提供PDF的表框、标题与底纹。</t>
  </si>
  <si>
    <t>打印：原PDF为Letter；新表固定A4纵向、两页、指定打印区域及分页，支持双面长边翻页。</t>
  </si>
  <si>
    <t>联动：打印版自动引用人物卡的身份、属性、衍生属性、技能、关系、背景、装备、武器及特训。</t>
  </si>
  <si>
    <t>续栏：超出原PDF容量的重要关系、细分技能、其他技能和特训转入背面个人详情及备注。</t>
  </si>
  <si>
    <t>职业：选择职业及适用子模板后自动填写固定技能；任选项由玩家确认后填写。</t>
  </si>
  <si>
    <t>修复：职业公式空白时正确回落到基础值；保留额外与成长加点；补全职业下拉前两项。</t>
  </si>
  <si>
    <t>修复：武器致死率保留百分号并填入致死等级列；多项细分技能通过独立行与背面续栏完整呈现。</t>
  </si>
  <si>
    <t>保留：原有工作表的行高、列宽、合并、样式和历史更新记录不变。</t>
  </si>
  <si>
    <t>使用：先在“人物卡”编辑，后选择“可打印版（A4）”打印活动工作表；使用A4纸、100%缩放。</t>
  </si>
  <si>
    <t>注意：手动输入职业格会覆盖该格公式；建议保留母版，每名角色另存一份。</t>
  </si>
  <si>
    <t>说明：新打印页采用高分辨率原版式图与联动文字层；表框不是可单独编辑的Excel单元格。</t>
  </si>
  <si>
    <t>说明：原表没有的伤后急救确认、日常变故、弹药及签字保留空白，供纸上补填。</t>
  </si>
  <si>
    <t>已知：原模板“陆军（陆军）40%”名称异常及特种作战员子模板映射沿用原表。</t>
  </si>
  <si>
    <t>打印页保留原表框及文字结构；原作者信息保留。</t>
  </si>
  <si>
    <t>v0.4.7</t>
  </si>
  <si>
    <t>根据官方中文版规则书（2022-8-28）更新了部分译名。</t>
  </si>
  <si>
    <t>同上，根据新版官方人物卡，去除了“代号”一格。</t>
  </si>
  <si>
    <t>修正了创伤经历-艰苦经历的内容。</t>
  </si>
  <si>
    <t>细节格式修正。</t>
  </si>
  <si>
    <t>v0.4.6</t>
  </si>
  <si>
    <t>修正了Excel 2019或更低版本无法使用职业列表的问题。</t>
  </si>
  <si>
    <t>修正了深色行的成长勾的背景颜色错误的问题。</t>
  </si>
  <si>
    <t>v0.4.5</t>
  </si>
  <si>
    <t>修改：专攻技能的骰子指令现在只使用专攻名（括号内的技能）。</t>
  </si>
  <si>
    <t>v0.4.4</t>
  </si>
  <si>
    <t>修复创伤经历在WPS下显示错误的问题。</t>
  </si>
  <si>
    <t>修正了USSS贴身警卫处的职业技能。</t>
  </si>
  <si>
    <t>v0.4.3</t>
  </si>
  <si>
    <t>新功能：显示职业技能点对应的初始重要关系数。</t>
  </si>
  <si>
    <t>新功能：创伤背景查找表。</t>
  </si>
  <si>
    <t>修复职业技能点计算错误的问题。</t>
  </si>
  <si>
    <t>v0.4.2</t>
  </si>
  <si>
    <t>修复DB在WPS下显示错误的问题。</t>
  </si>
  <si>
    <t>v0.4.1</t>
  </si>
  <si>
    <t>职业模板：为职业模板页添加了5个可以自由编辑的栏。</t>
  </si>
  <si>
    <t>外观：带有职业技能值的技能，基础技能值现在会显示为灰色。</t>
  </si>
  <si>
    <t>修正了部分子模板错误。</t>
  </si>
  <si>
    <t>修正了工艺技能下拉菜单不全的问题。</t>
  </si>
  <si>
    <t>v0.4.0</t>
  </si>
  <si>
    <t>添加了来自CBP、ATF、USSS、USCG的职业模板。</t>
  </si>
  <si>
    <t>v0.3.1</t>
  </si>
  <si>
    <t>修正了创建新职业的本职技能点的叙述。</t>
  </si>
  <si>
    <t>v0.3.0</t>
  </si>
  <si>
    <t>新功能：职业技能模板查询。现在包含《特工手册》上的所有职业。</t>
  </si>
  <si>
    <t>新功能：可选额外技能包查询。</t>
  </si>
  <si>
    <t>新功能：骰子属性设置指令。</t>
  </si>
  <si>
    <t>改动了“总本职技能点”的计算方式：现在是技能值减去基础值。</t>
  </si>
  <si>
    <t>v0.2.1</t>
  </si>
  <si>
    <t>移除非自然知识技能前的方框</t>
  </si>
  <si>
    <t>修复了右栏技能方框无法编辑的问题</t>
  </si>
  <si>
    <t>修复了部分行突出属性颜色错误的问题。</t>
  </si>
  <si>
    <t>增加了几个科学技能。</t>
  </si>
  <si>
    <t>v0.2.0</t>
  </si>
  <si>
    <t>大幅度调整布局</t>
  </si>
  <si>
    <t>增加工艺（电子）</t>
  </si>
  <si>
    <t>v0.1.2</t>
  </si>
  <si>
    <t>自动填写初始衍生属性值</t>
  </si>
  <si>
    <t>修复了WPS体力上限显示错误的问题</t>
  </si>
  <si>
    <t>修复了理智上限应该是99-非自然知识的问题</t>
  </si>
  <si>
    <t>删除了重要关系上限（因为并没有上限）</t>
  </si>
  <si>
    <t>修复了重要关系计数错误的问题</t>
  </si>
  <si>
    <t>调整外观</t>
  </si>
  <si>
    <t>v0.1.1</t>
  </si>
  <si>
    <t>增加了武器栏、护甲栏、物品栏和背景栏</t>
  </si>
  <si>
    <t>重要关系栏：增添计数以及CHA显示</t>
  </si>
  <si>
    <t>职业技能点现在替换基础技能点，而不是增添</t>
  </si>
  <si>
    <t>v0.1.0</t>
  </si>
  <si>
    <t>第一版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</si>
</sst>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quot;%&quot;"/>
    <numFmt numFmtId="178" formatCode="0&quot;/72&quot;"/>
    <numFmt numFmtId="179" formatCode="0&quot;/160&quot;"/>
    <numFmt numFmtId="180" formatCode="&quot;/&quot;0"/>
  </numFmts>
  <fonts count="81">
    <font>
      <sz val="11"/>
      <color theme="1"/>
      <name val="等线"/>
      <charset val="134"/>
      <scheme val="minor"/>
    </font>
    <font>
      <b/>
      <sz val="16"/>
      <color rgb="FFFFFFFF"/>
      <name val="等线"/>
      <charset val="134"/>
    </font>
    <font>
      <sz val="11"/>
      <color rgb="FF202020"/>
      <name val="等线"/>
      <charset val="134"/>
    </font>
    <font>
      <b/>
      <sz val="11"/>
      <color rgb="FF303030"/>
      <name val="等线"/>
      <charset val="134"/>
    </font>
    <font>
      <sz val="11"/>
      <color rgb="FF0563C1"/>
      <name val="等线"/>
      <charset val="134"/>
    </font>
    <font>
      <b/>
      <sz val="11"/>
      <color rgb="FFFFFFFF"/>
      <name val="等线"/>
      <charset val="134"/>
    </font>
    <font>
      <b/>
      <sz val="11"/>
      <color rgb="FF202020"/>
      <name val="等线"/>
      <charset val="134"/>
    </font>
    <font>
      <sz val="11"/>
      <name val="Carlito"/>
      <charset val="134"/>
    </font>
    <font>
      <sz val="10"/>
      <color rgb="FF333333"/>
      <name val="微软雅黑"/>
      <charset val="134"/>
    </font>
    <font>
      <b/>
      <sz val="15"/>
      <color rgb="FF000000"/>
      <name val="微软雅黑"/>
      <charset val="134"/>
    </font>
    <font>
      <sz val="10"/>
      <color rgb="FF0563C1"/>
      <name val="微软雅黑"/>
      <charset val="134"/>
    </font>
    <font>
      <b/>
      <sz val="10"/>
      <color rgb="FFFFFFFF"/>
      <name val="微软雅黑"/>
      <charset val="134"/>
    </font>
    <font>
      <b/>
      <sz val="10"/>
      <color rgb="FF000000"/>
      <name val="微软雅黑"/>
      <charset val="134"/>
    </font>
    <font>
      <b/>
      <sz val="20"/>
      <color rgb="FFFFFFFF"/>
      <name val="微软雅黑"/>
      <charset val="134"/>
    </font>
    <font>
      <sz val="9"/>
      <color rgb="FF444444"/>
      <name val="微软雅黑"/>
      <charset val="134"/>
    </font>
    <font>
      <u/>
      <sz val="9"/>
      <color rgb="FF0563C1"/>
      <name val="微软雅黑"/>
      <charset val="134"/>
    </font>
    <font>
      <sz val="9.5"/>
      <color rgb="FF333333"/>
      <name val="微软雅黑"/>
      <charset val="134"/>
    </font>
    <font>
      <b/>
      <sz val="26"/>
      <color rgb="FFFFFFFF"/>
      <name val="微软雅黑"/>
      <charset val="134"/>
    </font>
    <font>
      <b/>
      <sz val="11"/>
      <color rgb="FF000000"/>
      <name val="微软雅黑"/>
      <charset val="134"/>
    </font>
    <font>
      <sz val="11"/>
      <color rgb="FF000000"/>
      <name val="微软雅黑"/>
      <charset val="134"/>
    </font>
    <font>
      <sz val="11"/>
      <color rgb="FF000000"/>
      <name val="宋体"/>
      <charset val="134"/>
    </font>
    <font>
      <b/>
      <sz val="11"/>
      <color rgb="FFFFFFFF"/>
      <name val="微软雅黑"/>
      <charset val="134"/>
    </font>
    <font>
      <b/>
      <sz val="10"/>
      <color rgb="FF0563C1"/>
      <name val="微软雅黑"/>
      <charset val="134"/>
    </font>
    <font>
      <sz val="10"/>
      <color rgb="FF222222"/>
      <name val="微软雅黑"/>
      <charset val="134"/>
    </font>
    <font>
      <sz val="10"/>
      <color rgb="FF202020"/>
      <name val="微软雅黑"/>
      <charset val="134"/>
    </font>
    <font>
      <sz val="10"/>
      <color rgb="FF666666"/>
      <name val="微软雅黑"/>
      <charset val="134"/>
    </font>
    <font>
      <b/>
      <sz val="12"/>
      <color rgb="FFFFFFFF"/>
      <name val="微软雅黑"/>
      <charset val="134"/>
    </font>
    <font>
      <b/>
      <sz val="11"/>
      <color rgb="FF1F4D3A"/>
      <name val="微软雅黑"/>
      <charset val="134"/>
    </font>
    <font>
      <b/>
      <sz val="15"/>
      <color rgb="FFFFFFFF"/>
      <name val="微软雅黑"/>
      <charset val="134"/>
    </font>
    <font>
      <b/>
      <i/>
      <sz val="11"/>
      <color rgb="FFFFFFFF"/>
      <name val="微软雅黑"/>
      <charset val="134"/>
    </font>
    <font>
      <sz val="11"/>
      <color theme="1"/>
      <name val="微软雅黑"/>
      <charset val="134"/>
    </font>
    <font>
      <b/>
      <i/>
      <sz val="11"/>
      <color theme="1"/>
      <name val="微软雅黑"/>
      <charset val="134"/>
    </font>
    <font>
      <i/>
      <sz val="11"/>
      <color theme="1"/>
      <name val="微软雅黑"/>
      <charset val="134"/>
    </font>
    <font>
      <b/>
      <sz val="11"/>
      <color theme="1"/>
      <name val="微软雅黑"/>
      <charset val="134"/>
    </font>
    <font>
      <sz val="11"/>
      <color theme="0"/>
      <name val="微软雅黑"/>
      <charset val="134"/>
    </font>
    <font>
      <sz val="11"/>
      <color theme="0"/>
      <name val="等线"/>
      <charset val="134"/>
      <scheme val="minor"/>
    </font>
    <font>
      <sz val="11"/>
      <color rgb="FFFF0000"/>
      <name val="微软雅黑"/>
      <charset val="134"/>
    </font>
    <font>
      <sz val="10"/>
      <color theme="1"/>
      <name val="微软雅黑"/>
      <charset val="134"/>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9"/>
      <color rgb="FF000000"/>
      <name val="微软雅黑"/>
      <charset val="134"/>
    </font>
    <font>
      <sz val="8"/>
      <color theme="0"/>
      <name val="微软雅黑"/>
      <charset val="134"/>
    </font>
    <font>
      <b/>
      <sz val="9"/>
      <color theme="1"/>
      <name val="微软雅黑"/>
      <charset val="134"/>
    </font>
    <font>
      <sz val="9"/>
      <color rgb="FF000000"/>
      <name val="宋体"/>
      <charset val="134"/>
    </font>
    <font>
      <b/>
      <sz val="9"/>
      <color theme="0"/>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10"/>
      <color theme="1"/>
      <name val="Segoe UI Symbol"/>
      <charset val="134"/>
    </font>
    <font>
      <sz val="9"/>
      <color rgb="FF205A8A"/>
      <name val="微软雅黑"/>
      <charset val="134"/>
    </font>
    <font>
      <sz val="9"/>
      <color theme="0" tint="-0.249977111117893"/>
      <name val="微软雅黑"/>
      <charset val="134"/>
    </font>
    <font>
      <u/>
      <sz val="9"/>
      <color rgb="FF0563C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color rgb="FF000000"/>
      <name val="等线"/>
      <charset val="134"/>
    </font>
    <font>
      <sz val="10"/>
      <name val="宋体"/>
      <charset val="134"/>
    </font>
  </fonts>
  <fills count="51">
    <fill>
      <patternFill patternType="none"/>
    </fill>
    <fill>
      <patternFill patternType="gray125"/>
    </fill>
    <fill>
      <patternFill patternType="solid">
        <fgColor rgb="FF202020"/>
        <bgColor indexed="64"/>
      </patternFill>
    </fill>
    <fill>
      <patternFill patternType="solid">
        <fgColor rgb="FFE8EDF8"/>
        <bgColor indexed="64"/>
      </patternFill>
    </fill>
    <fill>
      <patternFill patternType="solid">
        <fgColor rgb="FF303030"/>
        <bgColor indexed="64"/>
      </patternFill>
    </fill>
    <fill>
      <patternFill patternType="solid">
        <fgColor rgb="FF000000"/>
        <bgColor indexed="64"/>
      </patternFill>
    </fill>
    <fill>
      <patternFill patternType="solid">
        <fgColor rgb="FFF5F6F8"/>
        <bgColor indexed="64"/>
      </patternFill>
    </fill>
    <fill>
      <patternFill patternType="solid">
        <fgColor rgb="FFFFFFFF"/>
        <bgColor indexed="64"/>
      </patternFill>
    </fill>
    <fill>
      <patternFill patternType="solid">
        <fgColor rgb="FF173F35"/>
        <bgColor indexed="64"/>
      </patternFill>
    </fill>
    <fill>
      <patternFill patternType="solid">
        <fgColor rgb="FFE8E8E8"/>
        <bgColor indexed="64"/>
      </patternFill>
    </fill>
    <fill>
      <patternFill patternType="solid">
        <fgColor theme="1"/>
        <bgColor indexed="64"/>
      </patternFill>
    </fill>
    <fill>
      <patternFill patternType="solid">
        <fgColor rgb="FFEDF5FC"/>
        <bgColor indexed="64"/>
      </patternFill>
    </fill>
    <fill>
      <patternFill patternType="solid">
        <fgColor rgb="FF30343A"/>
        <bgColor indexed="64"/>
      </patternFill>
    </fill>
    <fill>
      <patternFill patternType="solid">
        <fgColor rgb="FFF4F5F7"/>
        <bgColor indexed="64"/>
      </patternFill>
    </fill>
    <fill>
      <patternFill patternType="solid">
        <fgColor rgb="FF1F4D3A"/>
        <bgColor indexed="64"/>
      </patternFill>
    </fill>
    <fill>
      <patternFill patternType="solid">
        <fgColor theme="7" tint="0.79985961485641"/>
        <bgColor indexed="64"/>
      </patternFill>
    </fill>
    <fill>
      <patternFill patternType="solid">
        <fgColor theme="0"/>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8764000366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4">
    <border>
      <left/>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auto="1"/>
      </right>
      <top style="thin">
        <color rgb="FF000000"/>
      </top>
      <bottom/>
      <diagonal/>
    </border>
    <border>
      <left/>
      <right style="thin">
        <color auto="1"/>
      </right>
      <top/>
      <bottom/>
      <diagonal/>
    </border>
    <border>
      <left style="thin">
        <color rgb="FF000000"/>
      </left>
      <right/>
      <top style="thin">
        <color rgb="FF000000"/>
      </top>
      <bottom style="thin">
        <color rgb="FF000000"/>
      </bottom>
      <diagonal/>
    </border>
    <border>
      <left style="thin">
        <color rgb="FF000000"/>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left>
      <right style="thin">
        <color theme="0"/>
      </right>
      <top style="thin">
        <color auto="1"/>
      </top>
      <bottom style="thin">
        <color auto="1"/>
      </bottom>
      <diagonal/>
    </border>
    <border>
      <left style="thin">
        <color auto="1"/>
      </left>
      <right style="thin">
        <color theme="0" tint="-0.149845881527146"/>
      </right>
      <top/>
      <bottom style="thin">
        <color theme="0" tint="-0.149845881527146"/>
      </bottom>
      <diagonal/>
    </border>
    <border>
      <left style="thin">
        <color theme="0" tint="-0.149845881527146"/>
      </left>
      <right style="thin">
        <color theme="0" tint="-0.149845881527146"/>
      </right>
      <top/>
      <bottom style="thin">
        <color theme="0" tint="-0.149845881527146"/>
      </bottom>
      <diagonal/>
    </border>
    <border>
      <left style="thin">
        <color theme="0" tint="-0.149845881527146"/>
      </left>
      <right style="thin">
        <color auto="1"/>
      </right>
      <top/>
      <bottom style="thin">
        <color theme="0" tint="-0.149845881527146"/>
      </bottom>
      <diagonal/>
    </border>
    <border>
      <left style="thin">
        <color theme="0" tint="-0.149845881527146"/>
      </left>
      <right style="thin">
        <color theme="0"/>
      </right>
      <top/>
      <bottom style="thin">
        <color theme="0" tint="-0.149845881527146"/>
      </bottom>
      <diagonal/>
    </border>
    <border>
      <left/>
      <right style="thin">
        <color theme="0" tint="-0.149845881527146"/>
      </right>
      <top/>
      <bottom style="thin">
        <color theme="0" tint="-0.149845881527146"/>
      </bottom>
      <diagonal/>
    </border>
    <border>
      <left style="thin">
        <color theme="0" tint="-0.149845881527146"/>
      </left>
      <right/>
      <top style="thin">
        <color auto="1"/>
      </top>
      <bottom style="thin">
        <color theme="0" tint="-0.149845881527146"/>
      </bottom>
      <diagonal/>
    </border>
    <border>
      <left/>
      <right/>
      <top style="thin">
        <color auto="1"/>
      </top>
      <bottom style="thin">
        <color theme="0" tint="-0.149845881527146"/>
      </bottom>
      <diagonal/>
    </border>
    <border>
      <left/>
      <right style="thin">
        <color auto="1"/>
      </right>
      <top style="thin">
        <color auto="1"/>
      </top>
      <bottom style="thin">
        <color theme="0" tint="-0.149845881527146"/>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45881527146"/>
      </right>
      <top style="thin">
        <color auto="1"/>
      </top>
      <bottom style="thin">
        <color theme="0" tint="-0.149845881527146"/>
      </bottom>
      <diagonal/>
    </border>
    <border>
      <left style="thin">
        <color theme="0" tint="-0.149845881527146"/>
      </left>
      <right style="thin">
        <color theme="0" tint="-0.149845881527146"/>
      </right>
      <top style="thin">
        <color auto="1"/>
      </top>
      <bottom style="thin">
        <color theme="0" tint="-0.149845881527146"/>
      </bottom>
      <diagonal/>
    </border>
    <border>
      <left style="thin">
        <color theme="0" tint="-0.149845881527146"/>
      </left>
      <right style="thin">
        <color rgb="FFC00000"/>
      </right>
      <top style="thin">
        <color auto="1"/>
      </top>
      <bottom style="thin">
        <color theme="0" tint="-0.149845881527146"/>
      </bottom>
      <diagonal/>
    </border>
    <border>
      <left style="thin">
        <color auto="1"/>
      </left>
      <right/>
      <top style="thin">
        <color auto="1"/>
      </top>
      <bottom/>
      <diagonal/>
    </border>
    <border>
      <left style="thin">
        <color theme="0" tint="-0.0499893185216834"/>
      </left>
      <right/>
      <top style="thin">
        <color auto="1"/>
      </top>
      <bottom/>
      <diagonal/>
    </border>
    <border>
      <left style="thin">
        <color auto="1"/>
      </left>
      <right style="thin">
        <color theme="0" tint="-0.149845881527146"/>
      </right>
      <top style="thin">
        <color theme="0" tint="-0.149845881527146"/>
      </top>
      <bottom style="thin">
        <color theme="0" tint="-0.149845881527146"/>
      </bottom>
      <diagonal/>
    </border>
    <border>
      <left style="thin">
        <color theme="0" tint="-0.149845881527146"/>
      </left>
      <right style="thin">
        <color theme="0" tint="-0.149845881527146"/>
      </right>
      <top style="thin">
        <color theme="0" tint="-0.149845881527146"/>
      </top>
      <bottom style="thin">
        <color theme="0" tint="-0.149845881527146"/>
      </bottom>
      <diagonal/>
    </border>
    <border>
      <left style="thin">
        <color theme="0" tint="-0.149845881527146"/>
      </left>
      <right/>
      <top style="thin">
        <color theme="0" tint="-0.149845881527146"/>
      </top>
      <bottom style="thin">
        <color theme="0" tint="-0.149845881527146"/>
      </bottom>
      <diagonal/>
    </border>
    <border>
      <left/>
      <right/>
      <top style="thin">
        <color theme="0" tint="-0.149845881527146"/>
      </top>
      <bottom style="thin">
        <color theme="0" tint="-0.149845881527146"/>
      </bottom>
      <diagonal/>
    </border>
    <border>
      <left/>
      <right style="thin">
        <color theme="0" tint="-0.149845881527146"/>
      </right>
      <top style="thin">
        <color theme="0" tint="-0.149845881527146"/>
      </top>
      <bottom style="thin">
        <color theme="0" tint="-0.149845881527146"/>
      </bottom>
      <diagonal/>
    </border>
    <border>
      <left/>
      <right style="thin">
        <color auto="1"/>
      </right>
      <top style="thin">
        <color theme="0" tint="-0.149845881527146"/>
      </top>
      <bottom style="thin">
        <color theme="0" tint="-0.149845881527146"/>
      </bottom>
      <diagonal/>
    </border>
    <border>
      <left style="thin">
        <color rgb="FFC00000"/>
      </left>
      <right style="thin">
        <color theme="0" tint="-0.149845881527146"/>
      </right>
      <top style="thin">
        <color theme="0" tint="-0.149845881527146"/>
      </top>
      <bottom style="thin">
        <color theme="0" tint="-0.149845881527146"/>
      </bottom>
      <diagonal/>
    </border>
    <border>
      <left style="thin">
        <color theme="0" tint="-0.149845881527146"/>
      </left>
      <right style="thin">
        <color rgb="FFC00000"/>
      </right>
      <top style="thin">
        <color theme="0" tint="-0.149845881527146"/>
      </top>
      <bottom style="thin">
        <color theme="0" tint="-0.149845881527146"/>
      </bottom>
      <diagonal/>
    </border>
    <border>
      <left style="thin">
        <color auto="1"/>
      </left>
      <right/>
      <top/>
      <bottom/>
      <diagonal/>
    </border>
    <border>
      <left style="thin">
        <color theme="0" tint="-0.0499893185216834"/>
      </left>
      <right/>
      <top/>
      <bottom/>
      <diagonal/>
    </border>
    <border>
      <left style="thin">
        <color theme="0" tint="-0.149845881527146"/>
      </left>
      <right style="thin">
        <color theme="0"/>
      </right>
      <top style="thin">
        <color theme="0" tint="-0.149845881527146"/>
      </top>
      <bottom style="thin">
        <color theme="0" tint="-0.149845881527146"/>
      </bottom>
      <diagonal/>
    </border>
    <border>
      <left style="thin">
        <color theme="0" tint="-0.149845881527146"/>
      </left>
      <right style="thin">
        <color auto="1"/>
      </right>
      <top style="thin">
        <color theme="0" tint="-0.149845881527146"/>
      </top>
      <bottom style="thin">
        <color theme="0" tint="-0.149845881527146"/>
      </bottom>
      <diagonal/>
    </border>
    <border>
      <left style="thin">
        <color auto="1"/>
      </left>
      <right style="thin">
        <color theme="0" tint="-0.149845881527146"/>
      </right>
      <top style="thin">
        <color theme="0" tint="-0.149845881527146"/>
      </top>
      <bottom style="thin">
        <color auto="1"/>
      </bottom>
      <diagonal/>
    </border>
    <border>
      <left style="thin">
        <color theme="0" tint="-0.149845881527146"/>
      </left>
      <right style="thin">
        <color theme="0" tint="-0.149845881527146"/>
      </right>
      <top style="thin">
        <color theme="0" tint="-0.149845881527146"/>
      </top>
      <bottom style="thin">
        <color auto="1"/>
      </bottom>
      <diagonal/>
    </border>
    <border>
      <left style="thin">
        <color theme="0" tint="-0.149845881527146"/>
      </left>
      <right/>
      <top style="thin">
        <color theme="0" tint="-0.149845881527146"/>
      </top>
      <bottom style="thin">
        <color auto="1"/>
      </bottom>
      <diagonal/>
    </border>
    <border>
      <left/>
      <right/>
      <top style="thin">
        <color theme="0" tint="-0.149845881527146"/>
      </top>
      <bottom style="thin">
        <color auto="1"/>
      </bottom>
      <diagonal/>
    </border>
    <border>
      <left/>
      <right style="thin">
        <color auto="1"/>
      </right>
      <top style="thin">
        <color theme="0" tint="-0.149845881527146"/>
      </top>
      <bottom style="thin">
        <color auto="1"/>
      </bottom>
      <diagonal/>
    </border>
    <border>
      <left style="thin">
        <color auto="1"/>
      </left>
      <right style="thin">
        <color auto="1"/>
      </right>
      <top style="thin">
        <color theme="0"/>
      </top>
      <bottom style="thin">
        <color theme="0"/>
      </bottom>
      <diagonal/>
    </border>
    <border>
      <left/>
      <right style="thin">
        <color theme="0" tint="-0.149845881527146"/>
      </right>
      <top style="thin">
        <color theme="0" tint="-0.149845881527146"/>
      </top>
      <bottom style="thin">
        <color auto="1"/>
      </bottom>
      <diagonal/>
    </border>
    <border>
      <left style="thin">
        <color theme="0"/>
      </left>
      <right/>
      <top style="thin">
        <color auto="1"/>
      </top>
      <bottom style="thin">
        <color auto="1"/>
      </bottom>
      <diagonal/>
    </border>
    <border>
      <left/>
      <right style="thin">
        <color theme="0"/>
      </right>
      <top style="thin">
        <color auto="1"/>
      </top>
      <bottom style="thin">
        <color auto="1"/>
      </bottom>
      <diagonal/>
    </border>
    <border>
      <left/>
      <right style="thin">
        <color theme="0"/>
      </right>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45881527146"/>
      </right>
      <top style="thin">
        <color auto="1"/>
      </top>
      <bottom style="thin">
        <color theme="0" tint="-0.499984740745262"/>
      </bottom>
      <diagonal/>
    </border>
    <border>
      <left style="thin">
        <color theme="0" tint="-0.149845881527146"/>
      </left>
      <right style="thin">
        <color theme="0" tint="-0.149845881527146"/>
      </right>
      <top style="thin">
        <color auto="1"/>
      </top>
      <bottom style="thin">
        <color theme="0" tint="-0.499984740745262"/>
      </bottom>
      <diagonal/>
    </border>
    <border>
      <left style="thin">
        <color theme="0" tint="-0.149845881527146"/>
      </left>
      <right style="thin">
        <color auto="1"/>
      </right>
      <top style="thin">
        <color auto="1"/>
      </top>
      <bottom style="thin">
        <color theme="0" tint="-0.499984740745262"/>
      </bottom>
      <diagonal/>
    </border>
    <border>
      <left style="thin">
        <color theme="0"/>
      </left>
      <right/>
      <top style="thin">
        <color theme="0"/>
      </top>
      <bottom style="thin">
        <color theme="0"/>
      </bottom>
      <diagonal/>
    </border>
    <border>
      <left style="thin">
        <color auto="1"/>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45881527146"/>
      </right>
      <top style="thin">
        <color theme="0" tint="-0.499984740745262"/>
      </top>
      <bottom style="thin">
        <color auto="1"/>
      </bottom>
      <diagonal/>
    </border>
    <border>
      <left style="thin">
        <color theme="0" tint="-0.149845881527146"/>
      </left>
      <right style="thin">
        <color theme="0" tint="-0.149845881527146"/>
      </right>
      <top style="thin">
        <color theme="0" tint="-0.499984740745262"/>
      </top>
      <bottom style="thin">
        <color auto="1"/>
      </bottom>
      <diagonal/>
    </border>
    <border>
      <left style="thin">
        <color theme="0" tint="-0.149845881527146"/>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45881527146"/>
      </right>
      <top style="thin">
        <color theme="0" tint="-0.149845881527146"/>
      </top>
      <bottom style="thin">
        <color rgb="FFC00000"/>
      </bottom>
      <diagonal/>
    </border>
    <border>
      <left style="thin">
        <color theme="0" tint="-0.149845881527146"/>
      </left>
      <right style="thin">
        <color theme="0" tint="-0.149845881527146"/>
      </right>
      <top style="thin">
        <color theme="0" tint="-0.149845881527146"/>
      </top>
      <bottom style="thin">
        <color rgb="FFC00000"/>
      </bottom>
      <diagonal/>
    </border>
    <border>
      <left style="thin">
        <color theme="0" tint="-0.149845881527146"/>
      </left>
      <right style="thin">
        <color rgb="FFC00000"/>
      </right>
      <top style="thin">
        <color theme="0" tint="-0.149845881527146"/>
      </top>
      <bottom style="thin">
        <color rgb="FFC00000"/>
      </bottom>
      <diagonal/>
    </border>
    <border>
      <left style="thin">
        <color theme="0" tint="-0.0499893185216834"/>
      </left>
      <right/>
      <top/>
      <bottom style="thin">
        <color auto="1"/>
      </bottom>
      <diagonal/>
    </border>
    <border>
      <left style="thin">
        <color auto="1"/>
      </left>
      <right style="thin">
        <color theme="0" tint="-0.149845881527146"/>
      </right>
      <top style="thin">
        <color auto="1"/>
      </top>
      <bottom style="thin">
        <color theme="0" tint="-0.149845881527146"/>
      </bottom>
      <diagonal/>
    </border>
    <border>
      <left style="thin">
        <color theme="0" tint="-0.149845881527146"/>
      </left>
      <right style="double">
        <color theme="0" tint="-0.499984740745262"/>
      </right>
      <top style="thin">
        <color auto="1"/>
      </top>
      <bottom style="thin">
        <color theme="0" tint="-0.149845881527146"/>
      </bottom>
      <diagonal/>
    </border>
    <border>
      <left style="double">
        <color theme="0" tint="-0.499984740745262"/>
      </left>
      <right style="thin">
        <color theme="0" tint="-0.149845881527146"/>
      </right>
      <top style="thin">
        <color auto="1"/>
      </top>
      <bottom style="thin">
        <color theme="0" tint="-0.149845881527146"/>
      </bottom>
      <diagonal/>
    </border>
    <border>
      <left style="thin">
        <color theme="0" tint="-0.149845881527146"/>
      </left>
      <right style="thin">
        <color theme="1"/>
      </right>
      <top style="thin">
        <color auto="1"/>
      </top>
      <bottom style="thin">
        <color theme="0" tint="-0.149845881527146"/>
      </bottom>
      <diagonal/>
    </border>
    <border>
      <left style="thin">
        <color theme="1"/>
      </left>
      <right style="thin">
        <color theme="0" tint="-0.149845881527146"/>
      </right>
      <top style="thin">
        <color theme="1"/>
      </top>
      <bottom style="thin">
        <color theme="0" tint="-0.149845881527146"/>
      </bottom>
      <diagonal/>
    </border>
    <border>
      <left style="thin">
        <color theme="0" tint="-0.149845881527146"/>
      </left>
      <right style="thin">
        <color theme="0" tint="-0.149845881527146"/>
      </right>
      <top style="thin">
        <color theme="1"/>
      </top>
      <bottom style="thin">
        <color theme="0" tint="-0.149845881527146"/>
      </bottom>
      <diagonal/>
    </border>
    <border>
      <left style="thin">
        <color theme="0" tint="-0.149845881527146"/>
      </left>
      <right style="thin">
        <color theme="1"/>
      </right>
      <top style="thin">
        <color theme="1"/>
      </top>
      <bottom style="thin">
        <color theme="0" tint="-0.149845881527146"/>
      </bottom>
      <diagonal/>
    </border>
    <border>
      <left style="thin">
        <color theme="0" tint="-0.149845881527146"/>
      </left>
      <right style="double">
        <color theme="0" tint="-0.499984740745262"/>
      </right>
      <top style="thin">
        <color theme="0" tint="-0.149845881527146"/>
      </top>
      <bottom style="thin">
        <color theme="0" tint="-0.149845881527146"/>
      </bottom>
      <diagonal/>
    </border>
    <border>
      <left style="double">
        <color theme="0" tint="-0.499984740745262"/>
      </left>
      <right style="thin">
        <color theme="0" tint="-0.149845881527146"/>
      </right>
      <top style="thin">
        <color theme="0" tint="-0.149845881527146"/>
      </top>
      <bottom style="thin">
        <color theme="0" tint="-0.149845881527146"/>
      </bottom>
      <diagonal/>
    </border>
    <border>
      <left style="thin">
        <color theme="0" tint="-0.149845881527146"/>
      </left>
      <right style="thin">
        <color theme="1"/>
      </right>
      <top style="thin">
        <color theme="0" tint="-0.149845881527146"/>
      </top>
      <bottom style="thin">
        <color theme="0" tint="-0.149845881527146"/>
      </bottom>
      <diagonal/>
    </border>
    <border>
      <left style="thin">
        <color theme="1"/>
      </left>
      <right style="thin">
        <color theme="0" tint="-0.149845881527146"/>
      </right>
      <top style="thin">
        <color theme="0" tint="-0.149845881527146"/>
      </top>
      <bottom style="thin">
        <color theme="0" tint="-0.149845881527146"/>
      </bottom>
      <diagonal/>
    </border>
    <border>
      <left style="thin">
        <color theme="1"/>
      </left>
      <right style="thin">
        <color theme="0"/>
      </right>
      <top style="thin">
        <color theme="0"/>
      </top>
      <bottom style="thin">
        <color theme="0"/>
      </bottom>
      <diagonal/>
    </border>
    <border>
      <left style="thin">
        <color auto="1"/>
      </left>
      <right/>
      <top/>
      <bottom style="thin">
        <color theme="0"/>
      </bottom>
      <diagonal/>
    </border>
    <border>
      <left/>
      <right/>
      <top/>
      <bottom style="thin">
        <color theme="0"/>
      </bottom>
      <diagonal/>
    </border>
    <border>
      <left/>
      <right style="thin">
        <color auto="1"/>
      </right>
      <top/>
      <bottom style="thin">
        <color theme="0"/>
      </bottom>
      <diagonal/>
    </border>
    <border>
      <left style="thin">
        <color theme="0"/>
      </left>
      <right style="thin">
        <color theme="0"/>
      </right>
      <top style="thin">
        <color theme="0" tint="-0.149845881527146"/>
      </top>
      <bottom style="thin">
        <color theme="0" tint="-0.149845881527146"/>
      </bottom>
      <diagonal/>
    </border>
    <border>
      <left style="thin">
        <color theme="0"/>
      </left>
      <right style="thin">
        <color theme="0" tint="-0.149845881527146"/>
      </right>
      <top style="thin">
        <color theme="0" tint="-0.149845881527146"/>
      </top>
      <bottom style="thin">
        <color theme="0" tint="-0.149845881527146"/>
      </bottom>
      <diagonal/>
    </border>
    <border>
      <left style="thin">
        <color auto="1"/>
      </left>
      <right/>
      <top style="thin">
        <color theme="0" tint="-0.149998474074526"/>
      </top>
      <bottom/>
      <diagonal/>
    </border>
    <border>
      <left/>
      <right/>
      <top style="thin">
        <color theme="0" tint="-0.149998474074526"/>
      </top>
      <bottom/>
      <diagonal/>
    </border>
    <border>
      <left style="thin">
        <color theme="0" tint="-0.149845881527146"/>
      </left>
      <right/>
      <top style="thin">
        <color theme="0" tint="-0.149845881527146"/>
      </top>
      <bottom/>
      <diagonal/>
    </border>
    <border>
      <left/>
      <right/>
      <top style="thin">
        <color theme="0" tint="-0.149845881527146"/>
      </top>
      <bottom/>
      <diagonal/>
    </border>
    <border>
      <left/>
      <right style="thin">
        <color auto="1"/>
      </right>
      <top style="thin">
        <color theme="0" tint="-0.149845881527146"/>
      </top>
      <bottom/>
      <diagonal/>
    </border>
    <border>
      <left style="thin">
        <color theme="0" tint="-0.149845881527146"/>
      </left>
      <right style="thin">
        <color rgb="FFE8EDF8"/>
      </right>
      <top style="thin">
        <color theme="0" tint="-0.149845881527146"/>
      </top>
      <bottom style="thin">
        <color theme="0" tint="-0.149845881527146"/>
      </bottom>
      <diagonal/>
    </border>
    <border>
      <left style="thin">
        <color rgb="FFE8EDF8"/>
      </left>
      <right style="thin">
        <color rgb="FFE8EDF8"/>
      </right>
      <top style="thin">
        <color theme="0" tint="-0.149845881527146"/>
      </top>
      <bottom style="thin">
        <color theme="0" tint="-0.149845881527146"/>
      </bottom>
      <diagonal/>
    </border>
    <border>
      <left style="thin">
        <color rgb="FFE8EDF8"/>
      </left>
      <right style="thin">
        <color theme="0" tint="-0.149845881527146"/>
      </right>
      <top style="thin">
        <color theme="0" tint="-0.149845881527146"/>
      </top>
      <bottom style="thin">
        <color theme="0" tint="-0.149845881527146"/>
      </bottom>
      <diagonal/>
    </border>
    <border>
      <left style="thin">
        <color theme="0" tint="-0.149845881527146"/>
      </left>
      <right/>
      <top/>
      <bottom style="thin">
        <color theme="0" tint="-0.149845881527146"/>
      </bottom>
      <diagonal/>
    </border>
    <border>
      <left/>
      <right/>
      <top/>
      <bottom style="thin">
        <color theme="0" tint="-0.149845881527146"/>
      </bottom>
      <diagonal/>
    </border>
    <border>
      <left/>
      <right style="thin">
        <color auto="1"/>
      </right>
      <top/>
      <bottom style="thin">
        <color theme="0" tint="-0.149845881527146"/>
      </bottom>
      <diagonal/>
    </border>
    <border>
      <left style="thin">
        <color theme="0" tint="-0.149998474074526"/>
      </left>
      <right/>
      <top style="thin">
        <color theme="0" tint="-0.149998474074526"/>
      </top>
      <bottom/>
      <diagonal/>
    </border>
    <border>
      <left/>
      <right style="thin">
        <color auto="1"/>
      </right>
      <top style="thin">
        <color theme="0" tint="-0.149998474074526"/>
      </top>
      <bottom/>
      <diagonal/>
    </border>
    <border>
      <left style="thin">
        <color theme="0" tint="-0.149998474074526"/>
      </left>
      <right/>
      <top/>
      <bottom style="thin">
        <color theme="0" tint="-0.149998474074526"/>
      </bottom>
      <diagonal/>
    </border>
    <border>
      <left/>
      <right/>
      <top/>
      <bottom style="thin">
        <color theme="0" tint="-0.149998474074526"/>
      </bottom>
      <diagonal/>
    </border>
    <border>
      <left/>
      <right style="thin">
        <color auto="1"/>
      </right>
      <top/>
      <bottom style="thin">
        <color theme="0" tint="-0.149998474074526"/>
      </bottom>
      <diagonal/>
    </border>
    <border>
      <left style="thin">
        <color theme="1"/>
      </left>
      <right style="thin">
        <color theme="0" tint="-0.149845881527146"/>
      </right>
      <top style="thin">
        <color theme="0" tint="-0.149845881527146"/>
      </top>
      <bottom style="thin">
        <color theme="1"/>
      </bottom>
      <diagonal/>
    </border>
    <border>
      <left style="thin">
        <color theme="0" tint="-0.149845881527146"/>
      </left>
      <right style="thin">
        <color theme="0" tint="-0.149845881527146"/>
      </right>
      <top style="thin">
        <color theme="0" tint="-0.149845881527146"/>
      </top>
      <bottom style="thin">
        <color theme="1"/>
      </bottom>
      <diagonal/>
    </border>
    <border>
      <left style="thin">
        <color theme="0" tint="-0.149845881527146"/>
      </left>
      <right style="thin">
        <color theme="1"/>
      </right>
      <top style="thin">
        <color theme="0" tint="-0.149845881527146"/>
      </top>
      <bottom style="thin">
        <color theme="1"/>
      </bottom>
      <diagonal/>
    </border>
    <border>
      <left style="thin">
        <color theme="1"/>
      </left>
      <right style="thin">
        <color theme="0" tint="-0.149845881527146"/>
      </right>
      <top style="thin">
        <color auto="1"/>
      </top>
      <bottom style="thin">
        <color theme="0" tint="-0.149845881527146"/>
      </bottom>
      <diagonal/>
    </border>
    <border>
      <left style="thin">
        <color theme="0" tint="-0.149845881527146"/>
      </left>
      <right style="thin">
        <color auto="1"/>
      </right>
      <top style="thin">
        <color auto="1"/>
      </top>
      <bottom style="thin">
        <color theme="0" tint="-0.149845881527146"/>
      </bottom>
      <diagonal/>
    </border>
    <border>
      <left/>
      <right style="thin">
        <color theme="0" tint="-0.149845881527146"/>
      </right>
      <top style="thin">
        <color theme="0" tint="-0.149845881527146"/>
      </top>
      <bottom/>
      <diagonal/>
    </border>
    <border>
      <left style="thin">
        <color theme="0" tint="-0.149998474074526"/>
      </left>
      <right/>
      <top style="thin">
        <color theme="0" tint="-0.149998474074526"/>
      </top>
      <bottom style="thin">
        <color theme="0" tint="-0.149998474074526"/>
      </bottom>
      <diagonal/>
    </border>
    <border>
      <left/>
      <right/>
      <top style="thin">
        <color theme="0" tint="-0.149998474074526"/>
      </top>
      <bottom style="thin">
        <color theme="0" tint="-0.149998474074526"/>
      </bottom>
      <diagonal/>
    </border>
    <border>
      <left/>
      <right style="thin">
        <color theme="0" tint="-0.149998474074526"/>
      </right>
      <top style="thin">
        <color theme="0" tint="-0.149998474074526"/>
      </top>
      <bottom style="thin">
        <color theme="0" tint="-0.149998474074526"/>
      </bottom>
      <diagonal/>
    </border>
    <border>
      <left/>
      <right style="thin">
        <color theme="2" tint="-0.0999786370433668"/>
      </right>
      <top/>
      <bottom/>
      <diagonal/>
    </border>
    <border>
      <left style="thin">
        <color auto="1"/>
      </left>
      <right/>
      <top/>
      <bottom style="thin">
        <color theme="0" tint="-0.149998474074526"/>
      </bottom>
      <diagonal/>
    </border>
    <border>
      <left style="thin">
        <color auto="1"/>
      </left>
      <right/>
      <top style="thin">
        <color theme="0"/>
      </top>
      <bottom/>
      <diagonal/>
    </border>
    <border>
      <left/>
      <right/>
      <top style="thin">
        <color theme="0"/>
      </top>
      <bottom/>
      <diagonal/>
    </border>
    <border>
      <left/>
      <right style="thin">
        <color auto="1"/>
      </right>
      <top style="thin">
        <color theme="0"/>
      </top>
      <bottom/>
      <diagonal/>
    </border>
    <border>
      <left style="thin">
        <color auto="1"/>
      </left>
      <right style="thin">
        <color theme="0" tint="-0.149845881527146"/>
      </right>
      <top style="thin">
        <color theme="0" tint="-0.149845881527146"/>
      </top>
      <bottom style="thin">
        <color theme="1"/>
      </bottom>
      <diagonal/>
    </border>
    <border>
      <left style="thin">
        <color theme="0" tint="-0.149845881527146"/>
      </left>
      <right style="double">
        <color theme="0" tint="-0.499984740745262"/>
      </right>
      <top style="thin">
        <color theme="0" tint="-0.149845881527146"/>
      </top>
      <bottom style="thin">
        <color theme="1"/>
      </bottom>
      <diagonal/>
    </border>
    <border>
      <left style="double">
        <color theme="0" tint="-0.499984740745262"/>
      </left>
      <right style="thin">
        <color theme="0" tint="-0.149845881527146"/>
      </right>
      <top style="thin">
        <color theme="0" tint="-0.149845881527146"/>
      </top>
      <bottom style="thin">
        <color theme="1"/>
      </bottom>
      <diagonal/>
    </border>
    <border>
      <left style="thin">
        <color theme="1"/>
      </left>
      <right style="thin">
        <color theme="0" tint="-0.149845881527146"/>
      </right>
      <top style="thin">
        <color theme="0" tint="-0.149845881527146"/>
      </top>
      <bottom style="thin">
        <color auto="1"/>
      </bottom>
      <diagonal/>
    </border>
    <border>
      <left style="thin">
        <color theme="0" tint="-0.149845881527146"/>
      </left>
      <right/>
      <top/>
      <bottom style="thin">
        <color auto="1"/>
      </bottom>
      <diagonal/>
    </border>
    <border>
      <left/>
      <right style="thin">
        <color theme="0" tint="-0.149845881527146"/>
      </right>
      <top/>
      <bottom style="thin">
        <color auto="1"/>
      </bottom>
      <diagonal/>
    </border>
    <border>
      <left style="thin">
        <color theme="0" tint="-0.149845881527146"/>
      </left>
      <right style="thin">
        <color auto="1"/>
      </right>
      <top style="thin">
        <color theme="0" tint="-0.149845881527146"/>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0"/>
      </left>
      <right style="thin">
        <color auto="1"/>
      </right>
      <top style="thin">
        <color auto="1"/>
      </top>
      <bottom style="thin">
        <color auto="1"/>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tint="-0.149845881527146"/>
      </right>
      <top style="thin">
        <color auto="1"/>
      </top>
      <bottom style="thin">
        <color auto="1"/>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auto="1"/>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21" borderId="205"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206" applyNumberFormat="0" applyFill="0" applyAlignment="0" applyProtection="0">
      <alignment vertical="center"/>
    </xf>
    <xf numFmtId="0" fontId="64" fillId="0" borderId="206" applyNumberFormat="0" applyFill="0" applyAlignment="0" applyProtection="0">
      <alignment vertical="center"/>
    </xf>
    <xf numFmtId="0" fontId="65" fillId="0" borderId="207" applyNumberFormat="0" applyFill="0" applyAlignment="0" applyProtection="0">
      <alignment vertical="center"/>
    </xf>
    <xf numFmtId="0" fontId="65" fillId="0" borderId="0" applyNumberFormat="0" applyFill="0" applyBorder="0" applyAlignment="0" applyProtection="0">
      <alignment vertical="center"/>
    </xf>
    <xf numFmtId="0" fontId="66" fillId="22" borderId="208" applyNumberFormat="0" applyAlignment="0" applyProtection="0">
      <alignment vertical="center"/>
    </xf>
    <xf numFmtId="0" fontId="67" fillId="23" borderId="209" applyNumberFormat="0" applyAlignment="0" applyProtection="0">
      <alignment vertical="center"/>
    </xf>
    <xf numFmtId="0" fontId="68" fillId="23" borderId="208" applyNumberFormat="0" applyAlignment="0" applyProtection="0">
      <alignment vertical="center"/>
    </xf>
    <xf numFmtId="0" fontId="69" fillId="24" borderId="210" applyNumberFormat="0" applyAlignment="0" applyProtection="0">
      <alignment vertical="center"/>
    </xf>
    <xf numFmtId="0" fontId="70" fillId="0" borderId="211" applyNumberFormat="0" applyFill="0" applyAlignment="0" applyProtection="0">
      <alignment vertical="center"/>
    </xf>
    <xf numFmtId="0" fontId="71" fillId="0" borderId="212" applyNumberFormat="0" applyFill="0" applyAlignment="0" applyProtection="0">
      <alignment vertical="center"/>
    </xf>
    <xf numFmtId="0" fontId="72" fillId="25" borderId="0" applyNumberFormat="0" applyBorder="0" applyAlignment="0" applyProtection="0">
      <alignment vertical="center"/>
    </xf>
    <xf numFmtId="0" fontId="73" fillId="26" borderId="0" applyNumberFormat="0" applyBorder="0" applyAlignment="0" applyProtection="0">
      <alignment vertical="center"/>
    </xf>
    <xf numFmtId="0" fontId="74" fillId="27" borderId="0" applyNumberFormat="0" applyBorder="0" applyAlignment="0" applyProtection="0">
      <alignment vertical="center"/>
    </xf>
    <xf numFmtId="0" fontId="75" fillId="28" borderId="0" applyNumberFormat="0" applyBorder="0" applyAlignment="0" applyProtection="0">
      <alignment vertical="center"/>
    </xf>
    <xf numFmtId="0" fontId="76" fillId="29" borderId="0" applyNumberFormat="0" applyBorder="0" applyAlignment="0" applyProtection="0">
      <alignment vertical="center"/>
    </xf>
    <xf numFmtId="0" fontId="76" fillId="18" borderId="0" applyNumberFormat="0" applyBorder="0" applyAlignment="0" applyProtection="0">
      <alignment vertical="center"/>
    </xf>
    <xf numFmtId="0" fontId="75" fillId="30" borderId="0" applyNumberFormat="0" applyBorder="0" applyAlignment="0" applyProtection="0">
      <alignment vertical="center"/>
    </xf>
    <xf numFmtId="0" fontId="75" fillId="31" borderId="0" applyNumberFormat="0" applyBorder="0" applyAlignment="0" applyProtection="0">
      <alignment vertical="center"/>
    </xf>
    <xf numFmtId="0" fontId="76" fillId="32" borderId="0" applyNumberFormat="0" applyBorder="0" applyAlignment="0" applyProtection="0">
      <alignment vertical="center"/>
    </xf>
    <xf numFmtId="0" fontId="76" fillId="33" borderId="0" applyNumberFormat="0" applyBorder="0" applyAlignment="0" applyProtection="0">
      <alignment vertical="center"/>
    </xf>
    <xf numFmtId="0" fontId="75" fillId="34" borderId="0" applyNumberFormat="0" applyBorder="0" applyAlignment="0" applyProtection="0">
      <alignment vertical="center"/>
    </xf>
    <xf numFmtId="0" fontId="75" fillId="35" borderId="0" applyNumberFormat="0" applyBorder="0" applyAlignment="0" applyProtection="0">
      <alignment vertical="center"/>
    </xf>
    <xf numFmtId="0" fontId="76" fillId="36" borderId="0" applyNumberFormat="0" applyBorder="0" applyAlignment="0" applyProtection="0">
      <alignment vertical="center"/>
    </xf>
    <xf numFmtId="0" fontId="76" fillId="37" borderId="0" applyNumberFormat="0" applyBorder="0" applyAlignment="0" applyProtection="0">
      <alignment vertical="center"/>
    </xf>
    <xf numFmtId="0" fontId="75" fillId="38" borderId="0" applyNumberFormat="0" applyBorder="0" applyAlignment="0" applyProtection="0">
      <alignment vertical="center"/>
    </xf>
    <xf numFmtId="0" fontId="75" fillId="39" borderId="0" applyNumberFormat="0" applyBorder="0" applyAlignment="0" applyProtection="0">
      <alignmen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75" fillId="42" borderId="0" applyNumberFormat="0" applyBorder="0" applyAlignment="0" applyProtection="0">
      <alignment vertical="center"/>
    </xf>
    <xf numFmtId="0" fontId="75"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5" fillId="46" borderId="0" applyNumberFormat="0" applyBorder="0" applyAlignment="0" applyProtection="0">
      <alignment vertical="center"/>
    </xf>
    <xf numFmtId="0" fontId="75"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5" fillId="50" borderId="0" applyNumberFormat="0" applyBorder="0" applyAlignment="0" applyProtection="0">
      <alignment vertical="center"/>
    </xf>
    <xf numFmtId="0" fontId="0" fillId="0" borderId="0"/>
    <xf numFmtId="0" fontId="77" fillId="10" borderId="0" applyBorder="0">
      <alignment horizontal="center"/>
    </xf>
    <xf numFmtId="0" fontId="78" fillId="10" borderId="0" applyBorder="0">
      <alignment horizontal="center"/>
    </xf>
    <xf numFmtId="0" fontId="77" fillId="0" borderId="213" applyNumberFormat="0" applyFont="0" applyFill="0" applyAlignment="0" applyProtection="0">
      <alignment horizontal="left"/>
    </xf>
  </cellStyleXfs>
  <cellXfs count="626">
    <xf numFmtId="0" fontId="0" fillId="0" borderId="0" xfId="0" applyProtection="1"/>
    <xf numFmtId="0" fontId="1" fillId="2" borderId="0" xfId="0" applyFont="1" applyFill="1" applyAlignment="1" applyProtection="1">
      <alignment vertical="center" wrapText="1"/>
    </xf>
    <xf numFmtId="0" fontId="2" fillId="0" borderId="0" xfId="0" applyFont="1" applyAlignment="1" applyProtection="1">
      <alignment vertical="top" wrapText="1"/>
    </xf>
    <xf numFmtId="0" fontId="3" fillId="3" borderId="0" xfId="0" applyFont="1" applyFill="1" applyAlignment="1" applyProtection="1">
      <alignment vertical="top" wrapText="1"/>
    </xf>
    <xf numFmtId="0" fontId="4" fillId="0" borderId="0" xfId="0" applyFont="1" applyAlignment="1" applyProtection="1">
      <alignment vertical="top" wrapText="1"/>
    </xf>
    <xf numFmtId="0" fontId="5" fillId="4" borderId="0" xfId="0" applyFont="1" applyFill="1" applyAlignment="1" applyProtection="1">
      <alignment vertical="center" wrapText="1"/>
    </xf>
    <xf numFmtId="0" fontId="6" fillId="3" borderId="1" xfId="0" applyFont="1" applyFill="1" applyBorder="1" applyAlignment="1" applyProtection="1">
      <alignment horizontal="center" vertical="top" wrapText="1"/>
    </xf>
    <xf numFmtId="0" fontId="6" fillId="3" borderId="2" xfId="0" applyFont="1" applyFill="1" applyBorder="1" applyAlignment="1" applyProtection="1">
      <alignment vertical="top" wrapText="1"/>
    </xf>
    <xf numFmtId="0" fontId="2" fillId="0" borderId="2" xfId="0" applyFont="1" applyBorder="1" applyAlignment="1" applyProtection="1">
      <alignment vertical="top" wrapText="1"/>
    </xf>
    <xf numFmtId="0" fontId="7" fillId="0" borderId="0" xfId="0" applyFont="1" applyProtection="1"/>
    <xf numFmtId="0" fontId="8" fillId="0" borderId="0" xfId="0" applyFont="1" applyProtection="1"/>
    <xf numFmtId="0" fontId="9" fillId="0" borderId="0" xfId="0" applyFont="1" applyAlignment="1" applyProtection="1">
      <alignment vertical="center" wrapText="1"/>
    </xf>
    <xf numFmtId="0" fontId="8" fillId="0" borderId="0" xfId="0" applyFont="1" applyAlignment="1" applyProtection="1">
      <alignment vertical="center" wrapText="1"/>
    </xf>
    <xf numFmtId="0" fontId="10" fillId="0" borderId="0" xfId="0" applyFont="1" applyProtection="1"/>
    <xf numFmtId="0" fontId="11" fillId="5" borderId="3" xfId="0" applyFont="1" applyFill="1" applyBorder="1" applyAlignment="1" applyProtection="1">
      <alignment horizontal="center" vertical="center"/>
    </xf>
    <xf numFmtId="0" fontId="12" fillId="3" borderId="3" xfId="0" applyFont="1" applyFill="1" applyBorder="1" applyAlignment="1" applyProtection="1">
      <alignment vertical="center" wrapText="1"/>
    </xf>
    <xf numFmtId="0" fontId="8" fillId="0" borderId="3" xfId="0" applyFont="1" applyBorder="1" applyAlignment="1" applyProtection="1">
      <alignment vertical="top" wrapText="1"/>
    </xf>
    <xf numFmtId="0" fontId="12" fillId="0" borderId="3" xfId="0" applyFont="1" applyBorder="1" applyAlignment="1" applyProtection="1">
      <alignment vertical="top" wrapText="1"/>
    </xf>
    <xf numFmtId="0" fontId="8" fillId="6" borderId="3" xfId="0" applyFont="1" applyFill="1" applyBorder="1" applyAlignment="1" applyProtection="1">
      <alignment vertical="top" wrapText="1"/>
    </xf>
    <xf numFmtId="0" fontId="12" fillId="6" borderId="3" xfId="0" applyFont="1" applyFill="1" applyBorder="1" applyAlignment="1" applyProtection="1">
      <alignment vertical="top" wrapText="1"/>
    </xf>
    <xf numFmtId="0" fontId="13" fillId="5" borderId="0" xfId="0" applyFont="1" applyFill="1" applyAlignment="1" applyProtection="1">
      <alignment vertical="center" indent="1"/>
    </xf>
    <xf numFmtId="0" fontId="14" fillId="0" borderId="0" xfId="0" applyFont="1" applyAlignment="1" applyProtection="1">
      <alignment vertical="center" wrapText="1"/>
    </xf>
    <xf numFmtId="0" fontId="15" fillId="0" borderId="0" xfId="50" applyFont="1" applyFill="1" applyBorder="1" applyAlignment="1" applyProtection="1">
      <alignment horizontal="left" vertical="center" shrinkToFit="1"/>
    </xf>
    <xf numFmtId="0" fontId="11" fillId="5" borderId="3" xfId="0" applyFont="1" applyFill="1" applyBorder="1" applyAlignment="1" applyProtection="1">
      <alignment vertical="center"/>
    </xf>
    <xf numFmtId="0" fontId="8" fillId="3" borderId="3" xfId="0" applyFont="1" applyFill="1" applyBorder="1" applyAlignment="1" applyProtection="1">
      <alignment vertical="top" wrapText="1"/>
    </xf>
    <xf numFmtId="0" fontId="12" fillId="3" borderId="3" xfId="0" applyFont="1" applyFill="1" applyBorder="1" applyAlignment="1" applyProtection="1">
      <alignment vertical="top" wrapText="1"/>
    </xf>
    <xf numFmtId="0" fontId="8" fillId="7" borderId="3" xfId="0" applyFont="1" applyFill="1" applyBorder="1" applyAlignment="1" applyProtection="1">
      <alignment vertical="top" wrapText="1"/>
    </xf>
    <xf numFmtId="0" fontId="12" fillId="7" borderId="3" xfId="0" applyFont="1" applyFill="1" applyBorder="1" applyAlignment="1" applyProtection="1">
      <alignment vertical="top" wrapText="1"/>
    </xf>
    <xf numFmtId="0" fontId="16" fillId="7" borderId="3" xfId="0" applyFont="1" applyFill="1" applyBorder="1" applyAlignment="1" applyProtection="1">
      <alignment vertical="top" wrapText="1"/>
    </xf>
    <xf numFmtId="0" fontId="17" fillId="8" borderId="4" xfId="0" applyFont="1" applyFill="1" applyBorder="1" applyAlignment="1" applyProtection="1">
      <alignment horizontal="center" vertical="center" shrinkToFit="1"/>
    </xf>
    <xf numFmtId="0" fontId="0" fillId="8" borderId="5" xfId="0" applyFill="1" applyBorder="1" applyProtection="1"/>
    <xf numFmtId="0" fontId="0" fillId="8" borderId="6" xfId="0" applyFill="1" applyBorder="1" applyProtection="1"/>
    <xf numFmtId="0" fontId="0" fillId="8" borderId="7" xfId="0" applyFill="1" applyBorder="1" applyProtection="1"/>
    <xf numFmtId="0" fontId="0" fillId="8" borderId="8" xfId="0" applyFill="1" applyBorder="1" applyProtection="1"/>
    <xf numFmtId="0" fontId="0" fillId="8" borderId="9" xfId="0" applyFill="1" applyBorder="1" applyProtection="1"/>
    <xf numFmtId="0" fontId="0" fillId="8" borderId="10" xfId="0" applyFill="1" applyBorder="1" applyProtection="1"/>
    <xf numFmtId="0" fontId="0" fillId="8" borderId="11" xfId="0" applyFill="1" applyBorder="1" applyProtection="1"/>
    <xf numFmtId="0" fontId="18" fillId="9" borderId="4" xfId="0" applyFont="1" applyFill="1" applyBorder="1" applyAlignment="1" applyProtection="1">
      <alignment horizontal="left" vertical="center" indent="1" shrinkToFit="1"/>
    </xf>
    <xf numFmtId="0" fontId="0" fillId="0" borderId="12" xfId="0" applyFont="1" applyBorder="1" applyProtection="1"/>
    <xf numFmtId="0" fontId="0" fillId="0" borderId="13" xfId="0" applyFont="1" applyBorder="1" applyProtection="1"/>
    <xf numFmtId="0" fontId="19" fillId="0" borderId="4" xfId="0" applyFont="1" applyBorder="1" applyAlignment="1" applyProtection="1">
      <alignment horizontal="left" vertical="center" indent="1" shrinkToFit="1"/>
    </xf>
    <xf numFmtId="0" fontId="18" fillId="9" borderId="4" xfId="0" applyFont="1" applyFill="1" applyBorder="1" applyAlignment="1" applyProtection="1">
      <alignment horizontal="center" vertical="center" shrinkToFit="1"/>
    </xf>
    <xf numFmtId="0" fontId="0" fillId="0" borderId="12" xfId="0" applyFont="1" applyBorder="1" applyAlignment="1" applyProtection="1">
      <alignment horizontal="center"/>
    </xf>
    <xf numFmtId="0" fontId="0" fillId="0" borderId="13" xfId="0" applyFont="1" applyBorder="1" applyAlignment="1" applyProtection="1">
      <alignment horizontal="center"/>
    </xf>
    <xf numFmtId="0" fontId="19" fillId="0" borderId="4" xfId="0" applyFont="1" applyBorder="1" applyAlignment="1" applyProtection="1">
      <alignment horizontal="center" vertical="center" shrinkToFit="1"/>
    </xf>
    <xf numFmtId="0" fontId="20" fillId="0" borderId="4" xfId="0" applyFont="1" applyBorder="1" applyAlignment="1" applyProtection="1">
      <alignment vertical="center" shrinkToFit="1"/>
    </xf>
    <xf numFmtId="0" fontId="19" fillId="0" borderId="12" xfId="0" applyFont="1" applyBorder="1" applyAlignment="1" applyProtection="1">
      <alignment horizontal="center" vertical="center" shrinkToFit="1"/>
    </xf>
    <xf numFmtId="0" fontId="19" fillId="0" borderId="13" xfId="0" applyFont="1" applyBorder="1" applyAlignment="1" applyProtection="1">
      <alignment horizontal="center" vertical="center" shrinkToFit="1"/>
    </xf>
    <xf numFmtId="0" fontId="19" fillId="0" borderId="14" xfId="0" applyFont="1" applyBorder="1" applyAlignment="1" applyProtection="1">
      <alignment horizontal="center" vertical="top" wrapText="1" shrinkToFit="1"/>
    </xf>
    <xf numFmtId="0" fontId="19" fillId="0" borderId="5" xfId="0" applyFont="1" applyBorder="1" applyAlignment="1" applyProtection="1">
      <alignment horizontal="center" vertical="top" wrapText="1" shrinkToFit="1"/>
    </xf>
    <xf numFmtId="0" fontId="19" fillId="0" borderId="15" xfId="0" applyFont="1" applyBorder="1" applyAlignment="1" applyProtection="1">
      <alignment horizontal="center" vertical="top" wrapText="1" shrinkToFit="1"/>
    </xf>
    <xf numFmtId="0" fontId="19" fillId="0" borderId="7" xfId="0" applyFont="1" applyBorder="1" applyAlignment="1" applyProtection="1">
      <alignment horizontal="center" vertical="top" wrapText="1" shrinkToFit="1"/>
    </xf>
    <xf numFmtId="0" fontId="19" fillId="0" borderId="0" xfId="0" applyFont="1" applyAlignment="1" applyProtection="1">
      <alignment horizontal="center" vertical="top" wrapText="1" shrinkToFit="1"/>
    </xf>
    <xf numFmtId="0" fontId="19" fillId="0" borderId="16" xfId="0" applyFont="1" applyBorder="1" applyAlignment="1" applyProtection="1">
      <alignment horizontal="center" vertical="top" wrapText="1" shrinkToFit="1"/>
    </xf>
    <xf numFmtId="0" fontId="19" fillId="0" borderId="17" xfId="0" applyFont="1" applyBorder="1" applyAlignment="1" applyProtection="1">
      <alignment horizontal="center" vertical="center" wrapText="1" shrinkToFit="1"/>
    </xf>
    <xf numFmtId="0" fontId="19" fillId="0" borderId="18" xfId="0" applyFont="1" applyBorder="1" applyAlignment="1" applyProtection="1">
      <alignment horizontal="center" vertical="top" wrapText="1" shrinkToFit="1"/>
    </xf>
    <xf numFmtId="0" fontId="19" fillId="0" borderId="19" xfId="0" applyFont="1" applyBorder="1" applyAlignment="1" applyProtection="1">
      <alignment horizontal="center" vertical="top" wrapText="1" shrinkToFit="1"/>
    </xf>
    <xf numFmtId="0" fontId="19" fillId="0" borderId="20" xfId="0" applyFont="1" applyBorder="1" applyAlignment="1" applyProtection="1">
      <alignment horizontal="center" vertical="top" wrapText="1" shrinkToFit="1"/>
    </xf>
    <xf numFmtId="0" fontId="19" fillId="0" borderId="21" xfId="0" applyFont="1" applyBorder="1" applyAlignment="1" applyProtection="1">
      <alignment horizontal="center" vertical="top" wrapText="1" shrinkToFit="1"/>
    </xf>
    <xf numFmtId="0" fontId="19" fillId="0" borderId="22" xfId="0" applyFont="1" applyBorder="1" applyAlignment="1" applyProtection="1">
      <alignment horizontal="center" vertical="top" wrapText="1" shrinkToFit="1"/>
    </xf>
    <xf numFmtId="0" fontId="19" fillId="0" borderId="23" xfId="0" applyFont="1" applyBorder="1" applyAlignment="1" applyProtection="1">
      <alignment horizontal="center" vertical="top" wrapText="1" shrinkToFit="1"/>
    </xf>
    <xf numFmtId="0" fontId="19" fillId="0" borderId="4" xfId="0" applyFont="1" applyBorder="1" applyAlignment="1" applyProtection="1">
      <alignment horizontal="left" vertical="top" wrapText="1" indent="1" shrinkToFit="1"/>
    </xf>
    <xf numFmtId="0" fontId="0" fillId="0" borderId="5" xfId="0" applyFont="1" applyBorder="1" applyProtection="1"/>
    <xf numFmtId="0" fontId="0" fillId="0" borderId="6" xfId="0" applyFont="1" applyBorder="1" applyProtection="1"/>
    <xf numFmtId="0" fontId="19" fillId="0" borderId="7" xfId="0" applyFont="1" applyBorder="1" applyAlignment="1" applyProtection="1">
      <alignment horizontal="center" vertical="top" wrapText="1" shrinkToFit="1"/>
    </xf>
    <xf numFmtId="0" fontId="19" fillId="0" borderId="16" xfId="0" applyFont="1" applyBorder="1" applyAlignment="1" applyProtection="1">
      <alignment horizontal="center" vertical="top" wrapText="1" shrinkToFit="1"/>
    </xf>
    <xf numFmtId="0" fontId="0" fillId="0" borderId="7" xfId="0" applyFont="1" applyBorder="1" applyProtection="1"/>
    <xf numFmtId="0" fontId="0" fillId="0" borderId="0" xfId="0" applyFont="1" applyProtection="1"/>
    <xf numFmtId="0" fontId="0" fillId="0" borderId="8" xfId="0" applyFont="1" applyBorder="1" applyProtection="1"/>
    <xf numFmtId="0" fontId="19" fillId="0" borderId="9" xfId="0" applyFont="1" applyBorder="1" applyAlignment="1" applyProtection="1">
      <alignment horizontal="center" vertical="top" wrapText="1" shrinkToFit="1"/>
    </xf>
    <xf numFmtId="0" fontId="19" fillId="0" borderId="10" xfId="0" applyFont="1" applyBorder="1" applyAlignment="1" applyProtection="1">
      <alignment horizontal="center" vertical="top" wrapText="1" shrinkToFit="1"/>
    </xf>
    <xf numFmtId="0" fontId="19" fillId="0" borderId="24" xfId="0" applyFont="1" applyBorder="1" applyAlignment="1" applyProtection="1">
      <alignment horizontal="center" vertical="top" wrapText="1" shrinkToFit="1"/>
    </xf>
    <xf numFmtId="0" fontId="0" fillId="0" borderId="9" xfId="0" applyFont="1" applyBorder="1" applyProtection="1"/>
    <xf numFmtId="0" fontId="0" fillId="0" borderId="10" xfId="0" applyFont="1" applyBorder="1" applyProtection="1"/>
    <xf numFmtId="0" fontId="0" fillId="0" borderId="11" xfId="0" applyFont="1" applyBorder="1" applyProtection="1"/>
    <xf numFmtId="0" fontId="20" fillId="0" borderId="4" xfId="0" applyFont="1" applyBorder="1" applyAlignment="1" applyProtection="1">
      <alignment horizontal="center" vertical="center" shrinkToFit="1"/>
    </xf>
    <xf numFmtId="0" fontId="19" fillId="0" borderId="4" xfId="0" applyFont="1" applyBorder="1" applyAlignment="1" applyProtection="1">
      <alignment horizontal="left" vertical="center" wrapText="1" indent="1" shrinkToFit="1"/>
    </xf>
    <xf numFmtId="0" fontId="19" fillId="0" borderId="4" xfId="0" applyFont="1" applyBorder="1" applyAlignment="1" applyProtection="1">
      <alignment horizontal="left" vertical="top" wrapText="1" indent="1" shrinkToFit="1"/>
      <protection locked="0"/>
    </xf>
    <xf numFmtId="0" fontId="0" fillId="0" borderId="5" xfId="0" applyFont="1" applyBorder="1" applyProtection="1">
      <protection locked="0"/>
    </xf>
    <xf numFmtId="0" fontId="0" fillId="0" borderId="6" xfId="0" applyFont="1" applyBorder="1" applyProtection="1">
      <protection locked="0"/>
    </xf>
    <xf numFmtId="0" fontId="0" fillId="0" borderId="7" xfId="0" applyFont="1" applyBorder="1" applyProtection="1">
      <protection locked="0"/>
    </xf>
    <xf numFmtId="0" fontId="0" fillId="0" borderId="0" xfId="0" applyFont="1" applyProtection="1">
      <protection locked="0"/>
    </xf>
    <xf numFmtId="0" fontId="0" fillId="0" borderId="8" xfId="0" applyFont="1" applyBorder="1" applyProtection="1">
      <protection locked="0"/>
    </xf>
    <xf numFmtId="0" fontId="0" fillId="0" borderId="9" xfId="0" applyFont="1" applyBorder="1" applyProtection="1">
      <protection locked="0"/>
    </xf>
    <xf numFmtId="0" fontId="0" fillId="0" borderId="10" xfId="0" applyFont="1" applyBorder="1" applyProtection="1">
      <protection locked="0"/>
    </xf>
    <xf numFmtId="0" fontId="0" fillId="0" borderId="11" xfId="0" applyFont="1" applyBorder="1" applyProtection="1">
      <protection locked="0"/>
    </xf>
    <xf numFmtId="0" fontId="0" fillId="0" borderId="13" xfId="0" applyFont="1" applyBorder="1" applyAlignment="1" applyProtection="1">
      <alignment horizontal="center" vertical="center"/>
    </xf>
    <xf numFmtId="0" fontId="0" fillId="0" borderId="12" xfId="0" applyFont="1" applyBorder="1" applyAlignment="1" applyProtection="1">
      <alignment horizontal="center" vertical="center"/>
    </xf>
    <xf numFmtId="0" fontId="19" fillId="0" borderId="4" xfId="0" applyNumberFormat="1" applyFont="1" applyBorder="1" applyAlignment="1" applyProtection="1">
      <alignment horizontal="left" vertical="top" wrapText="1" indent="1" shrinkToFit="1"/>
      <protection locked="0"/>
    </xf>
    <xf numFmtId="0" fontId="0" fillId="0" borderId="5" xfId="0" applyNumberFormat="1" applyFont="1" applyBorder="1" applyProtection="1">
      <protection locked="0"/>
    </xf>
    <xf numFmtId="0" fontId="0" fillId="0" borderId="6" xfId="0" applyNumberFormat="1" applyFont="1" applyBorder="1" applyProtection="1">
      <protection locked="0"/>
    </xf>
    <xf numFmtId="0" fontId="0" fillId="0" borderId="7" xfId="0" applyNumberFormat="1" applyFont="1" applyBorder="1" applyProtection="1">
      <protection locked="0"/>
    </xf>
    <xf numFmtId="0" fontId="0" fillId="0" borderId="0" xfId="0" applyNumberFormat="1" applyFont="1" applyProtection="1">
      <protection locked="0"/>
    </xf>
    <xf numFmtId="0" fontId="0" fillId="0" borderId="8" xfId="0" applyNumberFormat="1" applyFont="1" applyBorder="1" applyProtection="1">
      <protection locked="0"/>
    </xf>
    <xf numFmtId="0" fontId="0" fillId="0" borderId="9" xfId="0" applyNumberFormat="1" applyFont="1" applyBorder="1" applyProtection="1">
      <protection locked="0"/>
    </xf>
    <xf numFmtId="0" fontId="0" fillId="0" borderId="10" xfId="0" applyNumberFormat="1" applyFont="1" applyBorder="1" applyProtection="1">
      <protection locked="0"/>
    </xf>
    <xf numFmtId="0" fontId="0" fillId="0" borderId="11" xfId="0" applyNumberFormat="1" applyFont="1" applyBorder="1" applyProtection="1">
      <protection locked="0"/>
    </xf>
    <xf numFmtId="0" fontId="19" fillId="0" borderId="4" xfId="0" applyFont="1" applyBorder="1" applyAlignment="1" applyProtection="1">
      <alignment horizontal="left" vertical="center" indent="1" shrinkToFit="1"/>
      <protection locked="0"/>
    </xf>
    <xf numFmtId="0" fontId="18" fillId="0" borderId="4" xfId="0" applyFont="1" applyBorder="1" applyAlignment="1" applyProtection="1">
      <alignment horizontal="center" vertical="center" shrinkToFit="1"/>
    </xf>
    <xf numFmtId="0" fontId="19" fillId="0" borderId="4" xfId="0" applyFont="1" applyBorder="1" applyAlignment="1" applyProtection="1">
      <alignment horizontal="center" vertical="center" wrapText="1" shrinkToFit="1"/>
    </xf>
    <xf numFmtId="0" fontId="18" fillId="0" borderId="0" xfId="0" applyFont="1" applyAlignment="1" applyProtection="1">
      <alignment horizontal="center" vertical="center" shrinkToFit="1"/>
    </xf>
    <xf numFmtId="0" fontId="19" fillId="0" borderId="0" xfId="0" applyFont="1" applyAlignment="1" applyProtection="1">
      <alignment horizontal="center" vertical="center" shrinkToFit="1"/>
    </xf>
    <xf numFmtId="0" fontId="0" fillId="0" borderId="0" xfId="0" applyAlignment="1" applyProtection="1">
      <alignment horizontal="center"/>
    </xf>
    <xf numFmtId="0" fontId="21" fillId="10" borderId="0" xfId="0" applyFont="1" applyFill="1" applyAlignment="1" applyProtection="1">
      <alignment horizontal="center" vertical="center"/>
    </xf>
    <xf numFmtId="0" fontId="22" fillId="0" borderId="25" xfId="0" applyFont="1" applyBorder="1" applyAlignment="1" applyProtection="1">
      <alignment horizontal="center" vertical="center"/>
    </xf>
    <xf numFmtId="0" fontId="23" fillId="0" borderId="25" xfId="0" applyFont="1" applyBorder="1" applyAlignment="1" applyProtection="1">
      <alignment horizontal="center" vertical="center"/>
    </xf>
    <xf numFmtId="0" fontId="10" fillId="11" borderId="25" xfId="0" applyFont="1" applyFill="1" applyBorder="1" applyAlignment="1" applyProtection="1">
      <alignment horizontal="center" vertical="center"/>
      <protection locked="0"/>
    </xf>
    <xf numFmtId="0" fontId="23" fillId="3" borderId="25" xfId="0" applyFont="1" applyFill="1" applyBorder="1" applyAlignment="1" applyProtection="1">
      <alignment horizontal="center" vertical="center"/>
    </xf>
    <xf numFmtId="0" fontId="24" fillId="0" borderId="25" xfId="0" applyFont="1" applyFill="1" applyBorder="1" applyAlignment="1" applyProtection="1">
      <alignment horizontal="center" vertical="center"/>
    </xf>
    <xf numFmtId="0" fontId="25" fillId="0" borderId="0" xfId="0" applyFont="1" applyAlignment="1" applyProtection="1">
      <alignment horizontal="center" vertical="center"/>
    </xf>
    <xf numFmtId="0" fontId="21" fillId="12" borderId="0" xfId="0" applyFont="1" applyFill="1" applyAlignment="1" applyProtection="1">
      <alignment horizontal="center" vertical="center"/>
    </xf>
    <xf numFmtId="1" fontId="10" fillId="11" borderId="25" xfId="0" applyNumberFormat="1" applyFont="1" applyFill="1" applyBorder="1" applyAlignment="1" applyProtection="1">
      <alignment horizontal="center" vertical="center"/>
      <protection locked="0"/>
    </xf>
    <xf numFmtId="0" fontId="23" fillId="0" borderId="26" xfId="0" applyFont="1" applyBorder="1" applyAlignment="1" applyProtection="1">
      <alignment horizontal="center" vertical="center"/>
    </xf>
    <xf numFmtId="0" fontId="10" fillId="11" borderId="25" xfId="0" applyFont="1" applyFill="1" applyBorder="1" applyAlignment="1" applyProtection="1">
      <alignment horizontal="center" vertical="center" wrapText="1"/>
      <protection locked="0"/>
    </xf>
    <xf numFmtId="0" fontId="23" fillId="0" borderId="27" xfId="0" applyFont="1" applyBorder="1" applyAlignment="1" applyProtection="1">
      <alignment horizontal="center" vertical="center"/>
    </xf>
    <xf numFmtId="0" fontId="25" fillId="0" borderId="25" xfId="0" applyFont="1" applyBorder="1" applyAlignment="1" applyProtection="1">
      <alignment horizontal="center" vertical="center"/>
    </xf>
    <xf numFmtId="0" fontId="11" fillId="12" borderId="0" xfId="0" applyFont="1" applyFill="1" applyAlignment="1" applyProtection="1">
      <alignment horizontal="center" vertical="center"/>
    </xf>
    <xf numFmtId="0" fontId="23" fillId="13" borderId="25" xfId="0" applyFont="1" applyFill="1" applyBorder="1" applyAlignment="1" applyProtection="1">
      <alignment horizontal="center" vertical="center"/>
    </xf>
    <xf numFmtId="176" fontId="23" fillId="13" borderId="25" xfId="0" applyNumberFormat="1" applyFont="1" applyFill="1" applyBorder="1" applyAlignment="1" applyProtection="1">
      <alignment horizontal="center" vertical="center"/>
    </xf>
    <xf numFmtId="0" fontId="22" fillId="0" borderId="0" xfId="0" applyFont="1" applyAlignment="1" applyProtection="1">
      <alignment horizontal="center" vertical="center"/>
    </xf>
    <xf numFmtId="176" fontId="22" fillId="0" borderId="0" xfId="0" applyNumberFormat="1" applyFont="1" applyAlignment="1" applyProtection="1">
      <alignment horizontal="center" vertical="center"/>
    </xf>
    <xf numFmtId="176" fontId="25" fillId="0" borderId="0" xfId="0" applyNumberFormat="1" applyFont="1" applyAlignment="1" applyProtection="1">
      <alignment horizontal="center" vertical="center"/>
    </xf>
    <xf numFmtId="176" fontId="21" fillId="12" borderId="0" xfId="0" applyNumberFormat="1" applyFont="1" applyFill="1" applyAlignment="1" applyProtection="1">
      <alignment horizontal="center" vertical="center"/>
    </xf>
    <xf numFmtId="176" fontId="11" fillId="12" borderId="0" xfId="0" applyNumberFormat="1" applyFont="1" applyFill="1" applyAlignment="1" applyProtection="1">
      <alignment horizontal="center" vertical="center"/>
    </xf>
    <xf numFmtId="0" fontId="23" fillId="0" borderId="0" xfId="0" applyFont="1" applyAlignment="1" applyProtection="1">
      <alignment horizontal="center" vertical="center"/>
    </xf>
    <xf numFmtId="176" fontId="23" fillId="0" borderId="0" xfId="0" applyNumberFormat="1" applyFont="1" applyAlignment="1" applyProtection="1">
      <alignment horizontal="center" vertical="center"/>
    </xf>
    <xf numFmtId="176" fontId="10" fillId="11" borderId="25" xfId="0" applyNumberFormat="1" applyFont="1" applyFill="1" applyBorder="1" applyAlignment="1" applyProtection="1">
      <alignment horizontal="center" vertical="center"/>
      <protection locked="0"/>
    </xf>
    <xf numFmtId="0" fontId="26" fillId="10" borderId="0" xfId="0" applyNumberFormat="1" applyFont="1" applyFill="1" applyBorder="1" applyAlignment="1" applyProtection="1">
      <alignment horizontal="center" vertical="center" wrapText="1"/>
    </xf>
    <xf numFmtId="0" fontId="22" fillId="0" borderId="25" xfId="0" applyNumberFormat="1" applyFont="1" applyFill="1" applyBorder="1" applyAlignment="1" applyProtection="1">
      <alignment horizontal="center" vertical="center" wrapText="1"/>
    </xf>
    <xf numFmtId="0" fontId="23" fillId="0" borderId="0" xfId="0" applyNumberFormat="1" applyFont="1" applyFill="1" applyBorder="1" applyAlignment="1" applyProtection="1">
      <alignment horizontal="center" vertical="center" wrapText="1"/>
    </xf>
    <xf numFmtId="0" fontId="23" fillId="3" borderId="25" xfId="0" applyNumberFormat="1" applyFont="1" applyFill="1" applyBorder="1" applyAlignment="1" applyProtection="1">
      <alignment horizontal="center" vertical="center" wrapText="1"/>
    </xf>
    <xf numFmtId="0" fontId="23" fillId="0" borderId="25" xfId="0" applyNumberFormat="1" applyFont="1" applyFill="1" applyBorder="1" applyAlignment="1" applyProtection="1">
      <alignment horizontal="center" vertical="center" wrapText="1"/>
    </xf>
    <xf numFmtId="0" fontId="10" fillId="11" borderId="25" xfId="0" applyNumberFormat="1" applyFont="1" applyFill="1" applyBorder="1" applyAlignment="1" applyProtection="1">
      <alignment horizontal="center" vertical="center" wrapText="1"/>
      <protection locked="0"/>
    </xf>
    <xf numFmtId="176" fontId="10" fillId="11" borderId="25" xfId="0" applyNumberFormat="1" applyFont="1" applyFill="1" applyBorder="1" applyAlignment="1" applyProtection="1">
      <alignment horizontal="center" vertical="center" wrapText="1"/>
      <protection locked="0"/>
    </xf>
    <xf numFmtId="0" fontId="10" fillId="11" borderId="25" xfId="0" applyNumberFormat="1" applyFont="1" applyFill="1" applyBorder="1" applyAlignment="1" applyProtection="1">
      <alignment horizontal="center" vertical="top" wrapText="1"/>
      <protection locked="0"/>
    </xf>
    <xf numFmtId="0" fontId="27" fillId="0" borderId="0" xfId="0" applyNumberFormat="1" applyFont="1" applyFill="1" applyBorder="1" applyAlignment="1" applyProtection="1">
      <alignment horizontal="center" vertical="center" wrapText="1"/>
    </xf>
    <xf numFmtId="0" fontId="11" fillId="12" borderId="0" xfId="0" applyNumberFormat="1" applyFont="1" applyFill="1" applyBorder="1" applyAlignment="1" applyProtection="1">
      <alignment horizontal="center" vertical="center" wrapText="1"/>
    </xf>
    <xf numFmtId="0" fontId="23" fillId="13" borderId="25" xfId="0" applyNumberFormat="1" applyFont="1" applyFill="1" applyBorder="1" applyAlignment="1" applyProtection="1">
      <alignment horizontal="center" vertical="center" wrapText="1"/>
    </xf>
    <xf numFmtId="176" fontId="23" fillId="13" borderId="25" xfId="0" applyNumberFormat="1" applyFont="1" applyFill="1" applyBorder="1" applyAlignment="1" applyProtection="1">
      <alignment horizontal="center" vertical="center" wrapText="1"/>
    </xf>
    <xf numFmtId="0" fontId="23" fillId="13" borderId="25" xfId="0" applyNumberFormat="1" applyFont="1" applyFill="1" applyBorder="1" applyAlignment="1" applyProtection="1">
      <alignment horizontal="center" vertical="center"/>
    </xf>
    <xf numFmtId="0" fontId="22" fillId="0" borderId="0" xfId="0" applyNumberFormat="1" applyFont="1" applyFill="1" applyBorder="1" applyAlignment="1" applyProtection="1">
      <alignment horizontal="center" vertical="center" wrapText="1"/>
    </xf>
    <xf numFmtId="0" fontId="23" fillId="0" borderId="0" xfId="0" applyNumberFormat="1" applyFont="1" applyFill="1" applyBorder="1" applyAlignment="1" applyProtection="1">
      <alignment horizontal="center" vertical="top" wrapText="1"/>
    </xf>
    <xf numFmtId="0" fontId="26" fillId="14" borderId="0" xfId="0" applyNumberFormat="1" applyFont="1" applyFill="1" applyBorder="1" applyAlignment="1" applyProtection="1">
      <alignment horizontal="center" vertical="center" wrapText="1"/>
    </xf>
    <xf numFmtId="176" fontId="23" fillId="0" borderId="25" xfId="0" applyNumberFormat="1" applyFont="1" applyFill="1" applyBorder="1" applyAlignment="1" applyProtection="1">
      <alignment horizontal="center" vertical="center" wrapText="1"/>
    </xf>
    <xf numFmtId="0" fontId="28" fillId="5" borderId="0" xfId="0" applyFont="1" applyFill="1" applyAlignment="1" applyProtection="1">
      <alignment vertical="top" wrapText="1"/>
    </xf>
    <xf numFmtId="0" fontId="8" fillId="0" borderId="0" xfId="0" applyFont="1" applyAlignment="1" applyProtection="1">
      <alignment vertical="top" wrapText="1"/>
    </xf>
    <xf numFmtId="0" fontId="11" fillId="5" borderId="3" xfId="0" applyFont="1" applyFill="1" applyBorder="1" applyAlignment="1" applyProtection="1">
      <alignment horizontal="center" vertical="center" wrapText="1"/>
    </xf>
    <xf numFmtId="176" fontId="8" fillId="6" borderId="3" xfId="0" applyNumberFormat="1" applyFont="1" applyFill="1" applyBorder="1" applyAlignment="1" applyProtection="1">
      <alignment vertical="top" wrapText="1"/>
      <protection locked="0"/>
    </xf>
    <xf numFmtId="0" fontId="8" fillId="6" borderId="3" xfId="0" applyFont="1" applyFill="1" applyBorder="1" applyAlignment="1" applyProtection="1">
      <alignment vertical="top" wrapText="1"/>
      <protection locked="0"/>
    </xf>
    <xf numFmtId="176" fontId="8" fillId="0" borderId="3" xfId="0" applyNumberFormat="1" applyFont="1" applyBorder="1" applyAlignment="1" applyProtection="1">
      <alignment vertical="top" wrapText="1"/>
      <protection locked="0"/>
    </xf>
    <xf numFmtId="0" fontId="8" fillId="0" borderId="3" xfId="0" applyFont="1" applyBorder="1" applyAlignment="1" applyProtection="1">
      <alignment vertical="top" wrapText="1"/>
      <protection locked="0"/>
    </xf>
    <xf numFmtId="49" fontId="0" fillId="0" borderId="0" xfId="0" applyNumberFormat="1" applyProtection="1"/>
    <xf numFmtId="0" fontId="29" fillId="5" borderId="3" xfId="0" applyFont="1" applyFill="1" applyBorder="1" applyProtection="1"/>
    <xf numFmtId="0" fontId="30" fillId="0" borderId="3" xfId="0" applyFont="1" applyBorder="1" applyProtection="1"/>
    <xf numFmtId="0" fontId="31" fillId="0" borderId="3" xfId="0" applyFont="1" applyBorder="1" applyProtection="1"/>
    <xf numFmtId="0" fontId="30" fillId="0" borderId="0" xfId="0" applyFont="1" applyProtection="1"/>
    <xf numFmtId="0" fontId="32" fillId="0" borderId="3" xfId="0" applyFont="1" applyBorder="1" applyProtection="1"/>
    <xf numFmtId="0" fontId="33" fillId="0" borderId="3" xfId="0" applyFont="1" applyBorder="1" applyProtection="1"/>
    <xf numFmtId="49" fontId="30" fillId="0" borderId="0" xfId="0" applyNumberFormat="1" applyFont="1" applyProtection="1"/>
    <xf numFmtId="0" fontId="21" fillId="5" borderId="3" xfId="0" applyFont="1" applyFill="1" applyBorder="1" applyProtection="1"/>
    <xf numFmtId="0" fontId="21" fillId="5" borderId="3" xfId="0" applyFont="1" applyFill="1" applyBorder="1" applyAlignment="1" applyProtection="1">
      <alignment horizontal="left"/>
    </xf>
    <xf numFmtId="0" fontId="34" fillId="10" borderId="0" xfId="0" applyFont="1" applyFill="1" applyAlignment="1" applyProtection="1">
      <alignment horizontal="left"/>
    </xf>
    <xf numFmtId="0" fontId="30" fillId="0" borderId="3" xfId="0" applyFont="1" applyBorder="1" applyAlignment="1" applyProtection="1">
      <alignment wrapText="1"/>
    </xf>
    <xf numFmtId="0" fontId="30" fillId="0" borderId="3" xfId="0" applyFont="1" applyBorder="1" applyAlignment="1" applyProtection="1">
      <alignment horizontal="center"/>
    </xf>
    <xf numFmtId="0" fontId="35" fillId="10" borderId="0" xfId="0" applyFont="1" applyFill="1" applyAlignment="1" applyProtection="1">
      <alignment horizontal="left"/>
    </xf>
    <xf numFmtId="0" fontId="0" fillId="15" borderId="0" xfId="0" applyFill="1" applyProtection="1"/>
    <xf numFmtId="49" fontId="30" fillId="11" borderId="3" xfId="0" applyNumberFormat="1" applyFont="1" applyFill="1" applyBorder="1" applyProtection="1"/>
    <xf numFmtId="0" fontId="30" fillId="11" borderId="0" xfId="0" applyFont="1" applyFill="1" applyProtection="1"/>
    <xf numFmtId="0" fontId="30" fillId="11" borderId="3" xfId="0" applyFont="1" applyFill="1" applyBorder="1" applyProtection="1"/>
    <xf numFmtId="0" fontId="36" fillId="0" borderId="3" xfId="0" applyFont="1" applyBorder="1" applyProtection="1"/>
    <xf numFmtId="0" fontId="33" fillId="0" borderId="0" xfId="0" applyFont="1" applyProtection="1"/>
    <xf numFmtId="0" fontId="37" fillId="0" borderId="0" xfId="0" applyFont="1" applyAlignment="1" applyProtection="1">
      <alignment vertical="top" wrapText="1"/>
    </xf>
    <xf numFmtId="0" fontId="30" fillId="0" borderId="0" xfId="0" applyFont="1" applyAlignment="1" applyProtection="1">
      <alignment vertical="top" wrapText="1"/>
    </xf>
    <xf numFmtId="0" fontId="38" fillId="0" borderId="28" xfId="0" applyFont="1" applyBorder="1" applyProtection="1"/>
    <xf numFmtId="0" fontId="38" fillId="0" borderId="29" xfId="0" applyFont="1" applyBorder="1" applyProtection="1"/>
    <xf numFmtId="0" fontId="38" fillId="0" borderId="30" xfId="0" applyFont="1" applyBorder="1" applyProtection="1"/>
    <xf numFmtId="0" fontId="38" fillId="0" borderId="31" xfId="0" applyFont="1" applyBorder="1" applyProtection="1"/>
    <xf numFmtId="0" fontId="38" fillId="0" borderId="32" xfId="0" applyFont="1" applyBorder="1" applyProtection="1"/>
    <xf numFmtId="0" fontId="38" fillId="0" borderId="33" xfId="0" applyFont="1" applyBorder="1" applyProtection="1"/>
    <xf numFmtId="0" fontId="38" fillId="0" borderId="34" xfId="0" applyFont="1" applyBorder="1" applyAlignment="1" applyProtection="1">
      <alignment horizontal="center"/>
    </xf>
    <xf numFmtId="0" fontId="38" fillId="0" borderId="22" xfId="0" applyFont="1" applyBorder="1" applyAlignment="1" applyProtection="1">
      <alignment horizontal="center"/>
    </xf>
    <xf numFmtId="0" fontId="38" fillId="0" borderId="35" xfId="0" applyFont="1" applyBorder="1" applyAlignment="1" applyProtection="1">
      <alignment horizontal="center"/>
    </xf>
    <xf numFmtId="0" fontId="38" fillId="0" borderId="36" xfId="0" applyFont="1" applyBorder="1" applyProtection="1"/>
    <xf numFmtId="0" fontId="39" fillId="0" borderId="33" xfId="50" applyFont="1" applyFill="1" applyBorder="1" applyAlignment="1" applyProtection="1">
      <alignment vertical="center" textRotation="255" wrapText="1"/>
    </xf>
    <xf numFmtId="0" fontId="39" fillId="0" borderId="33" xfId="50" applyFont="1" applyFill="1" applyBorder="1" applyAlignment="1" applyProtection="1">
      <alignment vertical="center" textRotation="255"/>
    </xf>
    <xf numFmtId="0" fontId="38" fillId="0" borderId="33" xfId="0" applyFont="1" applyBorder="1" applyAlignment="1" applyProtection="1">
      <alignment vertical="top"/>
    </xf>
    <xf numFmtId="0" fontId="38" fillId="0" borderId="37" xfId="0" applyFont="1" applyBorder="1" applyAlignment="1" applyProtection="1">
      <alignment vertical="top"/>
    </xf>
    <xf numFmtId="0" fontId="38" fillId="0" borderId="38" xfId="0" applyFont="1" applyBorder="1" applyAlignment="1" applyProtection="1">
      <alignment vertical="top"/>
    </xf>
    <xf numFmtId="0" fontId="38" fillId="0" borderId="39" xfId="0" applyFont="1" applyBorder="1" applyAlignment="1" applyProtection="1">
      <alignment vertical="top"/>
    </xf>
    <xf numFmtId="0" fontId="38" fillId="0" borderId="19" xfId="0" applyFont="1" applyBorder="1" applyAlignment="1" applyProtection="1">
      <alignment vertical="top"/>
    </xf>
    <xf numFmtId="0" fontId="38" fillId="0" borderId="19" xfId="0" applyFont="1" applyBorder="1" applyProtection="1"/>
    <xf numFmtId="0" fontId="38" fillId="0" borderId="40" xfId="0" applyFont="1" applyBorder="1" applyProtection="1"/>
    <xf numFmtId="0" fontId="39" fillId="10" borderId="41" xfId="50" applyFont="1" applyBorder="1" applyAlignment="1" applyProtection="1">
      <alignment horizontal="left" vertical="center"/>
    </xf>
    <xf numFmtId="0" fontId="39" fillId="10" borderId="42" xfId="50" applyFont="1" applyBorder="1" applyAlignment="1" applyProtection="1">
      <alignment horizontal="left" vertical="center"/>
    </xf>
    <xf numFmtId="0" fontId="39" fillId="10" borderId="43" xfId="50" applyFont="1" applyBorder="1" applyAlignment="1" applyProtection="1">
      <alignment horizontal="left" vertical="center"/>
    </xf>
    <xf numFmtId="0" fontId="40" fillId="10" borderId="42" xfId="51" applyFont="1" applyBorder="1" applyAlignment="1" applyProtection="1">
      <alignment horizontal="center" vertical="center"/>
    </xf>
    <xf numFmtId="0" fontId="40" fillId="10" borderId="43" xfId="51" applyFont="1" applyBorder="1" applyAlignment="1" applyProtection="1">
      <alignment horizontal="center" vertical="center"/>
    </xf>
    <xf numFmtId="0" fontId="41" fillId="0" borderId="40" xfId="0" applyFont="1" applyBorder="1" applyAlignment="1" applyProtection="1">
      <alignment vertical="center"/>
    </xf>
    <xf numFmtId="0" fontId="41" fillId="0" borderId="44" xfId="0" applyFont="1" applyBorder="1" applyAlignment="1" applyProtection="1">
      <alignment horizontal="center" vertical="center"/>
    </xf>
    <xf numFmtId="0" fontId="41" fillId="0" borderId="45" xfId="0" applyFont="1" applyBorder="1" applyAlignment="1" applyProtection="1">
      <alignment horizontal="center" vertical="center"/>
    </xf>
    <xf numFmtId="0" fontId="41" fillId="0" borderId="46" xfId="0" applyFont="1" applyBorder="1" applyAlignment="1" applyProtection="1">
      <alignment horizontal="center" vertical="center"/>
    </xf>
    <xf numFmtId="0" fontId="40" fillId="10" borderId="42" xfId="50" applyFont="1" applyBorder="1" applyAlignment="1" applyProtection="1">
      <alignment horizontal="center" vertical="center"/>
    </xf>
    <xf numFmtId="0" fontId="40" fillId="10" borderId="43" xfId="50" applyFont="1" applyBorder="1" applyAlignment="1" applyProtection="1">
      <alignment horizontal="center" vertical="center"/>
    </xf>
    <xf numFmtId="0" fontId="39" fillId="10" borderId="41" xfId="50" applyFont="1" applyBorder="1" applyAlignment="1" applyProtection="1">
      <alignment horizontal="left"/>
    </xf>
    <xf numFmtId="0" fontId="39" fillId="10" borderId="42" xfId="50" applyFont="1" applyBorder="1" applyAlignment="1" applyProtection="1">
      <alignment horizontal="left"/>
    </xf>
    <xf numFmtId="0" fontId="38" fillId="0" borderId="47" xfId="0" applyFont="1" applyBorder="1" applyAlignment="1" applyProtection="1">
      <alignment horizontal="left"/>
      <protection locked="0"/>
    </xf>
    <xf numFmtId="0" fontId="39" fillId="10" borderId="42" xfId="50" applyFont="1" applyBorder="1" applyAlignment="1" applyProtection="1">
      <alignment horizontal="left"/>
      <protection locked="0"/>
    </xf>
    <xf numFmtId="0" fontId="39" fillId="10" borderId="19" xfId="50" applyFont="1" applyBorder="1" applyAlignment="1" applyProtection="1">
      <alignment horizontal="left"/>
      <protection locked="0"/>
    </xf>
    <xf numFmtId="0" fontId="39" fillId="10" borderId="43" xfId="50" applyFont="1" applyBorder="1" applyAlignment="1" applyProtection="1">
      <alignment horizontal="left"/>
      <protection locked="0"/>
    </xf>
    <xf numFmtId="0" fontId="38" fillId="0" borderId="48" xfId="0" applyFont="1" applyBorder="1" applyAlignment="1" applyProtection="1">
      <alignment horizontal="center" vertical="center"/>
    </xf>
    <xf numFmtId="0" fontId="38" fillId="0" borderId="49" xfId="0" applyFont="1" applyBorder="1" applyAlignment="1" applyProtection="1">
      <alignment horizontal="center" vertical="center"/>
    </xf>
    <xf numFmtId="0" fontId="38" fillId="0" borderId="49" xfId="0" applyFont="1" applyBorder="1" applyAlignment="1" applyProtection="1">
      <alignment horizontal="left" vertical="top"/>
      <protection locked="0"/>
    </xf>
    <xf numFmtId="0" fontId="38" fillId="0" borderId="50" xfId="0" applyFont="1" applyBorder="1" applyAlignment="1" applyProtection="1">
      <alignment horizontal="left" vertical="top"/>
      <protection locked="0"/>
    </xf>
    <xf numFmtId="0" fontId="38" fillId="0" borderId="51" xfId="0" applyFont="1" applyBorder="1" applyAlignment="1" applyProtection="1">
      <alignment horizontal="center" vertical="center"/>
    </xf>
    <xf numFmtId="0" fontId="38" fillId="0" borderId="52" xfId="0" applyFont="1" applyBorder="1" applyAlignment="1" applyProtection="1">
      <alignment horizontal="left" vertical="center"/>
    </xf>
    <xf numFmtId="0" fontId="38" fillId="0" borderId="49" xfId="0" applyFont="1" applyBorder="1" applyAlignment="1" applyProtection="1">
      <alignment horizontal="left" vertical="center"/>
    </xf>
    <xf numFmtId="0" fontId="38" fillId="0" borderId="49" xfId="0" applyFont="1" applyBorder="1" applyAlignment="1" applyProtection="1">
      <alignment horizontal="right" vertical="center"/>
      <protection locked="0"/>
    </xf>
    <xf numFmtId="177" fontId="38" fillId="0" borderId="49" xfId="0" applyNumberFormat="1" applyFont="1" applyBorder="1" applyAlignment="1" applyProtection="1">
      <alignment horizontal="right" vertical="center"/>
    </xf>
    <xf numFmtId="0" fontId="38" fillId="0" borderId="49" xfId="0" applyFont="1" applyBorder="1" applyAlignment="1" applyProtection="1">
      <alignment horizontal="right" vertical="center"/>
    </xf>
    <xf numFmtId="0" fontId="38" fillId="0" borderId="53" xfId="0" applyFont="1" applyBorder="1" applyAlignment="1" applyProtection="1">
      <alignment horizontal="center" vertical="center"/>
      <protection locked="0"/>
    </xf>
    <xf numFmtId="0" fontId="38" fillId="0" borderId="54" xfId="0" applyFont="1" applyBorder="1" applyAlignment="1" applyProtection="1">
      <alignment horizontal="center" vertical="center"/>
      <protection locked="0"/>
    </xf>
    <xf numFmtId="0" fontId="38" fillId="0" borderId="55" xfId="0" applyFont="1" applyBorder="1" applyAlignment="1" applyProtection="1">
      <alignment horizontal="center" vertical="center"/>
      <protection locked="0"/>
    </xf>
    <xf numFmtId="0" fontId="41" fillId="0" borderId="56" xfId="0" applyFont="1" applyBorder="1" applyAlignment="1" applyProtection="1">
      <alignment horizontal="center" vertical="center"/>
    </xf>
    <xf numFmtId="0" fontId="41" fillId="0" borderId="0" xfId="0" applyFont="1" applyAlignment="1" applyProtection="1">
      <alignment horizontal="center" vertical="center"/>
    </xf>
    <xf numFmtId="0" fontId="41" fillId="0" borderId="57" xfId="0" applyFont="1" applyBorder="1" applyAlignment="1" applyProtection="1">
      <alignment horizontal="center" vertical="center"/>
    </xf>
    <xf numFmtId="0" fontId="42" fillId="0" borderId="58" xfId="0" applyFont="1" applyBorder="1" applyAlignment="1" applyProtection="1">
      <alignment horizontal="center" vertical="center"/>
      <protection locked="0"/>
    </xf>
    <xf numFmtId="0" fontId="42" fillId="0" borderId="59" xfId="0" applyFont="1" applyBorder="1" applyAlignment="1" applyProtection="1">
      <alignment horizontal="center" vertical="center"/>
      <protection locked="0"/>
    </xf>
    <xf numFmtId="0" fontId="42" fillId="0" borderId="59" xfId="0" applyFont="1" applyBorder="1" applyAlignment="1" applyProtection="1">
      <alignment horizontal="center"/>
      <protection locked="0"/>
    </xf>
    <xf numFmtId="0" fontId="42" fillId="0" borderId="60" xfId="0" applyFont="1" applyBorder="1" applyAlignment="1" applyProtection="1">
      <alignment horizontal="center"/>
      <protection locked="0"/>
    </xf>
    <xf numFmtId="0" fontId="42" fillId="16" borderId="61" xfId="50" applyFont="1" applyFill="1" applyBorder="1" applyAlignment="1" applyProtection="1">
      <alignment horizontal="left" vertical="top" wrapText="1"/>
      <protection locked="0"/>
    </xf>
    <xf numFmtId="0" fontId="42" fillId="16" borderId="22" xfId="50" applyFont="1" applyFill="1" applyBorder="1" applyAlignment="1" applyProtection="1">
      <alignment horizontal="left" vertical="top" wrapText="1"/>
      <protection locked="0"/>
    </xf>
    <xf numFmtId="0" fontId="42" fillId="0" borderId="62" xfId="0" applyFont="1" applyBorder="1" applyAlignment="1" applyProtection="1">
      <alignment horizontal="left" vertical="top" wrapText="1"/>
      <protection locked="0"/>
    </xf>
    <xf numFmtId="0" fontId="42" fillId="0" borderId="22" xfId="0" applyFont="1" applyBorder="1" applyAlignment="1" applyProtection="1">
      <alignment horizontal="left" vertical="top" wrapText="1"/>
      <protection locked="0"/>
    </xf>
    <xf numFmtId="0" fontId="42" fillId="0" borderId="23" xfId="0" applyFont="1" applyBorder="1" applyAlignment="1" applyProtection="1">
      <alignment horizontal="left" vertical="top" wrapText="1"/>
      <protection locked="0"/>
    </xf>
    <xf numFmtId="0" fontId="38" fillId="0" borderId="63" xfId="0" applyFont="1" applyBorder="1" applyAlignment="1" applyProtection="1">
      <alignment horizontal="center" vertical="center"/>
    </xf>
    <xf numFmtId="0" fontId="38" fillId="0" borderId="64" xfId="0" applyFont="1" applyBorder="1" applyAlignment="1" applyProtection="1">
      <alignment horizontal="center" vertical="center"/>
    </xf>
    <xf numFmtId="0" fontId="38" fillId="0" borderId="65" xfId="0" applyFont="1" applyBorder="1" applyAlignment="1" applyProtection="1">
      <alignment horizontal="left" vertical="center"/>
      <protection locked="0"/>
    </xf>
    <xf numFmtId="0" fontId="38" fillId="0" borderId="66" xfId="0" applyFont="1" applyBorder="1" applyAlignment="1" applyProtection="1">
      <alignment horizontal="left" vertical="center"/>
      <protection locked="0"/>
    </xf>
    <xf numFmtId="0" fontId="38" fillId="0" borderId="65" xfId="0" applyFont="1" applyBorder="1" applyAlignment="1" applyProtection="1">
      <alignment horizontal="center" vertical="top"/>
    </xf>
    <xf numFmtId="0" fontId="38" fillId="0" borderId="66" xfId="0" applyFont="1" applyBorder="1" applyAlignment="1" applyProtection="1">
      <alignment horizontal="center" vertical="top"/>
    </xf>
    <xf numFmtId="0" fontId="38" fillId="0" borderId="67" xfId="0" applyFont="1" applyBorder="1" applyAlignment="1" applyProtection="1">
      <alignment horizontal="center" vertical="top"/>
    </xf>
    <xf numFmtId="0" fontId="38" fillId="0" borderId="68" xfId="0" applyFont="1" applyBorder="1" applyAlignment="1" applyProtection="1">
      <alignment horizontal="left" vertical="center"/>
      <protection locked="0"/>
    </xf>
    <xf numFmtId="0" fontId="38" fillId="0" borderId="65" xfId="0" applyFont="1" applyBorder="1" applyAlignment="1" applyProtection="1">
      <alignment horizontal="center" vertical="center"/>
    </xf>
    <xf numFmtId="0" fontId="38" fillId="0" borderId="67" xfId="0" applyFont="1" applyBorder="1" applyAlignment="1" applyProtection="1">
      <alignment horizontal="left" vertical="center"/>
    </xf>
    <xf numFmtId="0" fontId="38" fillId="0" borderId="64" xfId="0" applyFont="1" applyBorder="1" applyAlignment="1" applyProtection="1">
      <alignment horizontal="left" vertical="center"/>
    </xf>
    <xf numFmtId="0" fontId="38" fillId="0" borderId="64" xfId="0" applyFont="1" applyBorder="1" applyAlignment="1" applyProtection="1">
      <alignment horizontal="right" vertical="center"/>
      <protection locked="0"/>
    </xf>
    <xf numFmtId="0" fontId="38" fillId="0" borderId="64" xfId="0" applyFont="1" applyBorder="1" applyAlignment="1" applyProtection="1">
      <alignment horizontal="right" vertical="center"/>
    </xf>
    <xf numFmtId="0" fontId="38" fillId="0" borderId="65" xfId="0" applyFont="1" applyBorder="1" applyAlignment="1" applyProtection="1">
      <alignment horizontal="center" vertical="center"/>
      <protection locked="0"/>
    </xf>
    <xf numFmtId="0" fontId="38" fillId="0" borderId="66" xfId="0" applyFont="1" applyBorder="1" applyAlignment="1" applyProtection="1">
      <alignment horizontal="center" vertical="center"/>
      <protection locked="0"/>
    </xf>
    <xf numFmtId="0" fontId="38" fillId="0" borderId="68" xfId="0" applyFont="1" applyBorder="1" applyAlignment="1" applyProtection="1">
      <alignment horizontal="center" vertical="center"/>
      <protection locked="0"/>
    </xf>
    <xf numFmtId="0" fontId="42" fillId="0" borderId="69" xfId="0" applyFont="1" applyBorder="1" applyAlignment="1" applyProtection="1">
      <alignment horizontal="center" vertical="center"/>
      <protection locked="0"/>
    </xf>
    <xf numFmtId="0" fontId="42" fillId="0" borderId="64" xfId="0" applyFont="1" applyBorder="1" applyAlignment="1" applyProtection="1">
      <alignment horizontal="center" vertical="center"/>
      <protection locked="0"/>
    </xf>
    <xf numFmtId="0" fontId="42" fillId="0" borderId="64" xfId="0" applyFont="1" applyBorder="1" applyAlignment="1" applyProtection="1">
      <alignment horizontal="center"/>
      <protection locked="0"/>
    </xf>
    <xf numFmtId="0" fontId="42" fillId="0" borderId="70" xfId="0" applyFont="1" applyBorder="1" applyAlignment="1" applyProtection="1">
      <alignment horizontal="center"/>
      <protection locked="0"/>
    </xf>
    <xf numFmtId="0" fontId="42" fillId="16" borderId="71" xfId="50" applyFont="1" applyFill="1" applyBorder="1" applyAlignment="1" applyProtection="1">
      <alignment horizontal="left" vertical="top" wrapText="1"/>
      <protection locked="0"/>
    </xf>
    <xf numFmtId="0" fontId="42" fillId="16" borderId="0" xfId="50" applyFont="1" applyFill="1" applyBorder="1" applyAlignment="1" applyProtection="1">
      <alignment horizontal="left" vertical="top" wrapText="1"/>
      <protection locked="0"/>
    </xf>
    <xf numFmtId="0" fontId="42" fillId="0" borderId="72" xfId="0" applyFont="1" applyBorder="1" applyAlignment="1" applyProtection="1">
      <alignment horizontal="left" vertical="top" wrapText="1"/>
      <protection locked="0"/>
    </xf>
    <xf numFmtId="0" fontId="42" fillId="0" borderId="0" xfId="0" applyFont="1" applyAlignment="1" applyProtection="1">
      <alignment horizontal="left" vertical="top" wrapText="1"/>
      <protection locked="0"/>
    </xf>
    <xf numFmtId="0" fontId="42" fillId="0" borderId="16" xfId="0" applyFont="1" applyBorder="1" applyAlignment="1" applyProtection="1">
      <alignment horizontal="left" vertical="top" wrapText="1"/>
      <protection locked="0"/>
    </xf>
    <xf numFmtId="0" fontId="38" fillId="0" borderId="65" xfId="0" applyFont="1" applyBorder="1" applyAlignment="1" applyProtection="1">
      <alignment horizontal="left" vertical="top"/>
      <protection locked="0"/>
    </xf>
    <xf numFmtId="0" fontId="38" fillId="0" borderId="66" xfId="0" applyFont="1" applyBorder="1" applyAlignment="1" applyProtection="1">
      <alignment horizontal="left" vertical="top"/>
      <protection locked="0"/>
    </xf>
    <xf numFmtId="0" fontId="38" fillId="0" borderId="67" xfId="0" applyFont="1" applyBorder="1" applyAlignment="1" applyProtection="1">
      <alignment horizontal="left" vertical="top"/>
      <protection locked="0"/>
    </xf>
    <xf numFmtId="0" fontId="38" fillId="0" borderId="68" xfId="0" applyFont="1" applyBorder="1" applyAlignment="1" applyProtection="1">
      <alignment horizontal="left" vertical="top"/>
      <protection locked="0"/>
    </xf>
    <xf numFmtId="0" fontId="38" fillId="0" borderId="73" xfId="0" applyFont="1" applyBorder="1" applyAlignment="1" applyProtection="1">
      <alignment horizontal="center" vertical="center"/>
    </xf>
    <xf numFmtId="0" fontId="38" fillId="0" borderId="64" xfId="0" applyFont="1" applyBorder="1" applyAlignment="1" applyProtection="1">
      <alignment horizontal="left" vertical="top"/>
      <protection locked="0"/>
    </xf>
    <xf numFmtId="0" fontId="38" fillId="0" borderId="74" xfId="0" applyFont="1" applyBorder="1" applyAlignment="1" applyProtection="1">
      <alignment horizontal="left" vertical="top"/>
      <protection locked="0"/>
    </xf>
    <xf numFmtId="0" fontId="38" fillId="0" borderId="75" xfId="0" applyFont="1" applyBorder="1" applyAlignment="1" applyProtection="1">
      <alignment horizontal="center" vertical="center"/>
    </xf>
    <xf numFmtId="0" fontId="38" fillId="0" borderId="76" xfId="0" applyFont="1" applyBorder="1" applyAlignment="1" applyProtection="1">
      <alignment horizontal="center" vertical="center"/>
    </xf>
    <xf numFmtId="0" fontId="38" fillId="0" borderId="77" xfId="0" applyFont="1" applyBorder="1" applyAlignment="1" applyProtection="1">
      <alignment horizontal="left" vertical="top"/>
      <protection locked="0"/>
    </xf>
    <xf numFmtId="0" fontId="38" fillId="0" borderId="78" xfId="0" applyFont="1" applyBorder="1" applyAlignment="1" applyProtection="1">
      <alignment horizontal="left" vertical="top"/>
      <protection locked="0"/>
    </xf>
    <xf numFmtId="0" fontId="38" fillId="0" borderId="79" xfId="0" applyFont="1" applyBorder="1" applyAlignment="1" applyProtection="1">
      <alignment horizontal="left" vertical="top"/>
      <protection locked="0"/>
    </xf>
    <xf numFmtId="0" fontId="38" fillId="0" borderId="80" xfId="0" applyFont="1" applyBorder="1" applyProtection="1"/>
    <xf numFmtId="0" fontId="38" fillId="0" borderId="77" xfId="0" applyFont="1" applyBorder="1" applyAlignment="1" applyProtection="1">
      <alignment horizontal="center" vertical="center"/>
    </xf>
    <xf numFmtId="0" fontId="38" fillId="0" borderId="81" xfId="0" applyFont="1" applyBorder="1" applyAlignment="1" applyProtection="1">
      <alignment horizontal="left" vertical="center"/>
    </xf>
    <xf numFmtId="0" fontId="38" fillId="0" borderId="76" xfId="0" applyFont="1" applyBorder="1" applyAlignment="1" applyProtection="1">
      <alignment horizontal="left" vertical="center"/>
    </xf>
    <xf numFmtId="0" fontId="38" fillId="0" borderId="76" xfId="0" applyFont="1" applyBorder="1" applyAlignment="1" applyProtection="1">
      <alignment horizontal="right" vertical="center"/>
      <protection locked="0"/>
    </xf>
    <xf numFmtId="177" fontId="38" fillId="0" borderId="76" xfId="0" applyNumberFormat="1" applyFont="1" applyBorder="1" applyAlignment="1" applyProtection="1">
      <alignment horizontal="right" vertical="center"/>
    </xf>
    <xf numFmtId="0" fontId="38" fillId="0" borderId="76" xfId="0" applyFont="1" applyBorder="1" applyAlignment="1" applyProtection="1">
      <alignment horizontal="right" vertical="center"/>
    </xf>
    <xf numFmtId="0" fontId="38" fillId="0" borderId="77" xfId="0" applyFont="1" applyBorder="1" applyAlignment="1" applyProtection="1">
      <alignment horizontal="center" vertical="center"/>
      <protection locked="0"/>
    </xf>
    <xf numFmtId="0" fontId="38" fillId="0" borderId="78" xfId="0" applyFont="1" applyBorder="1" applyAlignment="1" applyProtection="1">
      <alignment horizontal="center" vertical="center"/>
      <protection locked="0"/>
    </xf>
    <xf numFmtId="0" fontId="38" fillId="0" borderId="79" xfId="0" applyFont="1" applyBorder="1" applyAlignment="1" applyProtection="1">
      <alignment horizontal="center" vertical="center"/>
      <protection locked="0"/>
    </xf>
    <xf numFmtId="0" fontId="39" fillId="10" borderId="0" xfId="50" applyFont="1" applyBorder="1" applyAlignment="1" applyProtection="1">
      <alignment horizontal="center" vertical="center" textRotation="255" wrapText="1"/>
      <protection locked="0"/>
    </xf>
    <xf numFmtId="0" fontId="38" fillId="0" borderId="32" xfId="0" applyFont="1" applyBorder="1" applyAlignment="1" applyProtection="1">
      <alignment vertical="center"/>
    </xf>
    <xf numFmtId="0" fontId="43" fillId="0" borderId="82" xfId="0" applyFont="1" applyBorder="1" applyAlignment="1" applyProtection="1">
      <alignment horizontal="right" vertical="center"/>
    </xf>
    <xf numFmtId="0" fontId="43" fillId="0" borderId="42" xfId="0" applyFont="1" applyBorder="1" applyAlignment="1" applyProtection="1">
      <alignment horizontal="right" vertical="center"/>
    </xf>
    <xf numFmtId="0" fontId="43" fillId="0" borderId="83" xfId="0" applyFont="1" applyBorder="1" applyAlignment="1" applyProtection="1">
      <alignment horizontal="right" vertical="center"/>
    </xf>
    <xf numFmtId="178" fontId="43" fillId="0" borderId="82" xfId="0" applyNumberFormat="1" applyFont="1" applyBorder="1" applyAlignment="1" applyProtection="1">
      <alignment horizontal="left" vertical="center"/>
    </xf>
    <xf numFmtId="178" fontId="43" fillId="0" borderId="42" xfId="0" applyNumberFormat="1" applyFont="1" applyBorder="1" applyAlignment="1" applyProtection="1">
      <alignment horizontal="left" vertical="center"/>
    </xf>
    <xf numFmtId="178" fontId="43" fillId="0" borderId="84" xfId="0" applyNumberFormat="1" applyFont="1" applyBorder="1" applyAlignment="1" applyProtection="1">
      <alignment horizontal="left" vertical="center"/>
    </xf>
    <xf numFmtId="1" fontId="43" fillId="0" borderId="82" xfId="0" applyNumberFormat="1" applyFont="1" applyBorder="1" applyAlignment="1" applyProtection="1">
      <alignment horizontal="left" vertical="center"/>
    </xf>
    <xf numFmtId="1" fontId="43" fillId="0" borderId="42" xfId="0" applyNumberFormat="1" applyFont="1" applyBorder="1" applyAlignment="1" applyProtection="1">
      <alignment horizontal="left" vertical="center"/>
    </xf>
    <xf numFmtId="1" fontId="43" fillId="0" borderId="83" xfId="0" applyNumberFormat="1" applyFont="1" applyBorder="1" applyAlignment="1" applyProtection="1">
      <alignment horizontal="left" vertical="center"/>
    </xf>
    <xf numFmtId="49" fontId="43" fillId="0" borderId="47" xfId="0" applyNumberFormat="1" applyFont="1" applyBorder="1" applyAlignment="1" applyProtection="1">
      <alignment horizontal="left" vertical="center"/>
    </xf>
    <xf numFmtId="0" fontId="43" fillId="0" borderId="47" xfId="0" applyFont="1" applyBorder="1" applyAlignment="1" applyProtection="1">
      <alignment horizontal="right" vertical="center"/>
    </xf>
    <xf numFmtId="179" fontId="43" fillId="0" borderId="47" xfId="0" applyNumberFormat="1" applyFont="1" applyBorder="1" applyAlignment="1" applyProtection="1">
      <alignment horizontal="center" vertical="center"/>
    </xf>
    <xf numFmtId="0" fontId="38" fillId="0" borderId="85" xfId="0" applyFont="1" applyBorder="1" applyProtection="1"/>
    <xf numFmtId="0" fontId="38" fillId="3" borderId="61" xfId="0" applyFont="1" applyFill="1" applyBorder="1" applyAlignment="1" applyProtection="1">
      <alignment horizontal="center"/>
    </xf>
    <xf numFmtId="0" fontId="38" fillId="3" borderId="22" xfId="0" applyFont="1" applyFill="1" applyBorder="1" applyAlignment="1" applyProtection="1">
      <alignment horizontal="center"/>
    </xf>
    <xf numFmtId="0" fontId="38" fillId="3" borderId="22" xfId="0" applyFont="1" applyFill="1" applyBorder="1" applyAlignment="1" applyProtection="1">
      <alignment horizontal="right" vertical="center"/>
    </xf>
    <xf numFmtId="0" fontId="38" fillId="3" borderId="86" xfId="0" applyFont="1" applyFill="1" applyBorder="1" applyAlignment="1" applyProtection="1">
      <alignment horizontal="right" vertical="center"/>
    </xf>
    <xf numFmtId="180" fontId="38" fillId="3" borderId="87" xfId="0" applyNumberFormat="1" applyFont="1" applyFill="1" applyBorder="1" applyAlignment="1" applyProtection="1">
      <alignment horizontal="left" vertical="center"/>
    </xf>
    <xf numFmtId="180" fontId="38" fillId="3" borderId="22" xfId="0" applyNumberFormat="1" applyFont="1" applyFill="1" applyBorder="1" applyAlignment="1" applyProtection="1">
      <alignment horizontal="left" vertical="center"/>
    </xf>
    <xf numFmtId="180" fontId="38" fillId="3" borderId="88" xfId="0" applyNumberFormat="1" applyFont="1" applyFill="1" applyBorder="1" applyAlignment="1" applyProtection="1">
      <alignment horizontal="left" vertical="center"/>
    </xf>
    <xf numFmtId="0" fontId="38" fillId="17" borderId="89" xfId="0" applyFont="1" applyFill="1" applyBorder="1" applyAlignment="1" applyProtection="1">
      <alignment horizontal="center"/>
    </xf>
    <xf numFmtId="0" fontId="38" fillId="17" borderId="22" xfId="0" applyFont="1" applyFill="1" applyBorder="1" applyAlignment="1" applyProtection="1">
      <alignment horizontal="center"/>
    </xf>
    <xf numFmtId="0" fontId="38" fillId="17" borderId="90" xfId="0" applyFont="1" applyFill="1" applyBorder="1" applyAlignment="1" applyProtection="1">
      <alignment horizontal="center"/>
    </xf>
    <xf numFmtId="0" fontId="38" fillId="17" borderId="91" xfId="0" applyFont="1" applyFill="1" applyBorder="1" applyAlignment="1" applyProtection="1">
      <alignment horizontal="right" vertical="center"/>
    </xf>
    <xf numFmtId="0" fontId="38" fillId="17" borderId="22" xfId="0" applyFont="1" applyFill="1" applyBorder="1" applyAlignment="1" applyProtection="1">
      <alignment horizontal="right" vertical="center"/>
    </xf>
    <xf numFmtId="0" fontId="38" fillId="17" borderId="90" xfId="0" applyFont="1" applyFill="1" applyBorder="1" applyAlignment="1" applyProtection="1">
      <alignment horizontal="right" vertical="center"/>
    </xf>
    <xf numFmtId="180" fontId="38" fillId="17" borderId="91" xfId="0" applyNumberFormat="1" applyFont="1" applyFill="1" applyBorder="1" applyAlignment="1" applyProtection="1">
      <alignment horizontal="left" vertical="center"/>
    </xf>
    <xf numFmtId="180" fontId="38" fillId="17" borderId="22" xfId="0" applyNumberFormat="1" applyFont="1" applyFill="1" applyBorder="1" applyAlignment="1" applyProtection="1">
      <alignment horizontal="left" vertical="center"/>
    </xf>
    <xf numFmtId="180" fontId="38" fillId="17" borderId="92" xfId="0" applyNumberFormat="1" applyFont="1" applyFill="1" applyBorder="1" applyAlignment="1" applyProtection="1">
      <alignment horizontal="left" vertical="center"/>
    </xf>
    <xf numFmtId="0" fontId="38" fillId="3" borderId="93" xfId="0" applyFont="1" applyFill="1" applyBorder="1" applyAlignment="1" applyProtection="1">
      <alignment horizontal="center"/>
    </xf>
    <xf numFmtId="0" fontId="38" fillId="3" borderId="86" xfId="0" applyFont="1" applyFill="1" applyBorder="1" applyAlignment="1" applyProtection="1">
      <alignment horizontal="center"/>
    </xf>
    <xf numFmtId="0" fontId="38" fillId="3" borderId="87" xfId="0" applyFont="1" applyFill="1" applyBorder="1" applyAlignment="1" applyProtection="1">
      <alignment horizontal="right" vertical="center"/>
    </xf>
    <xf numFmtId="180" fontId="38" fillId="3" borderId="35" xfId="0" applyNumberFormat="1" applyFont="1" applyFill="1" applyBorder="1" applyAlignment="1" applyProtection="1">
      <alignment horizontal="left" vertical="center"/>
    </xf>
    <xf numFmtId="0" fontId="38" fillId="18" borderId="89" xfId="0" applyFont="1" applyFill="1" applyBorder="1" applyAlignment="1" applyProtection="1">
      <alignment horizontal="center"/>
    </xf>
    <xf numFmtId="0" fontId="38" fillId="18" borderId="22" xfId="0" applyFont="1" applyFill="1" applyBorder="1" applyAlignment="1" applyProtection="1">
      <alignment horizontal="center"/>
    </xf>
    <xf numFmtId="0" fontId="38" fillId="18" borderId="91" xfId="0" applyFont="1" applyFill="1" applyBorder="1" applyAlignment="1" applyProtection="1">
      <alignment horizontal="center" vertical="center"/>
    </xf>
    <xf numFmtId="0" fontId="38" fillId="18" borderId="22" xfId="0" applyFont="1" applyFill="1" applyBorder="1" applyAlignment="1" applyProtection="1">
      <alignment horizontal="center" vertical="center"/>
    </xf>
    <xf numFmtId="0" fontId="38" fillId="18" borderId="94" xfId="0" applyFont="1" applyFill="1" applyBorder="1" applyAlignment="1" applyProtection="1">
      <alignment horizontal="center" vertical="center"/>
    </xf>
    <xf numFmtId="0" fontId="38" fillId="18" borderId="95" xfId="0" applyFont="1" applyFill="1" applyBorder="1" applyAlignment="1" applyProtection="1">
      <alignment horizontal="center" vertical="center"/>
    </xf>
    <xf numFmtId="0" fontId="38" fillId="18" borderId="96" xfId="0" applyFont="1" applyFill="1" applyBorder="1" applyAlignment="1" applyProtection="1">
      <alignment horizontal="center" vertical="center"/>
    </xf>
    <xf numFmtId="0" fontId="38" fillId="18" borderId="97" xfId="0" applyFont="1" applyFill="1" applyBorder="1" applyAlignment="1" applyProtection="1">
      <alignment horizontal="center" vertical="center"/>
    </xf>
    <xf numFmtId="0" fontId="38" fillId="0" borderId="98" xfId="0" applyFont="1" applyBorder="1" applyProtection="1"/>
    <xf numFmtId="0" fontId="44" fillId="3" borderId="99" xfId="0" applyFont="1" applyFill="1" applyBorder="1" applyAlignment="1" applyProtection="1">
      <alignment horizontal="center" vertical="top"/>
    </xf>
    <xf numFmtId="0" fontId="44" fillId="3" borderId="19" xfId="0" applyFont="1" applyFill="1" applyBorder="1" applyAlignment="1" applyProtection="1">
      <alignment horizontal="center" vertical="top"/>
    </xf>
    <xf numFmtId="0" fontId="38" fillId="3" borderId="19" xfId="0" applyFont="1" applyFill="1" applyBorder="1" applyAlignment="1" applyProtection="1">
      <alignment horizontal="right" vertical="center"/>
    </xf>
    <xf numFmtId="0" fontId="38" fillId="3" borderId="100" xfId="0" applyFont="1" applyFill="1" applyBorder="1" applyAlignment="1" applyProtection="1">
      <alignment horizontal="right" vertical="center"/>
    </xf>
    <xf numFmtId="180" fontId="38" fillId="3" borderId="101" xfId="0" applyNumberFormat="1" applyFont="1" applyFill="1" applyBorder="1" applyAlignment="1" applyProtection="1">
      <alignment horizontal="left" vertical="center"/>
    </xf>
    <xf numFmtId="180" fontId="38" fillId="3" borderId="19" xfId="0" applyNumberFormat="1" applyFont="1" applyFill="1" applyBorder="1" applyAlignment="1" applyProtection="1">
      <alignment horizontal="left" vertical="center"/>
    </xf>
    <xf numFmtId="180" fontId="38" fillId="3" borderId="102" xfId="0" applyNumberFormat="1" applyFont="1" applyFill="1" applyBorder="1" applyAlignment="1" applyProtection="1">
      <alignment horizontal="left" vertical="center"/>
    </xf>
    <xf numFmtId="0" fontId="44" fillId="17" borderId="103" xfId="0" applyFont="1" applyFill="1" applyBorder="1" applyAlignment="1" applyProtection="1">
      <alignment horizontal="center" vertical="top"/>
    </xf>
    <xf numFmtId="0" fontId="44" fillId="17" borderId="19" xfId="0" applyFont="1" applyFill="1" applyBorder="1" applyAlignment="1" applyProtection="1">
      <alignment horizontal="center" vertical="top"/>
    </xf>
    <xf numFmtId="0" fontId="44" fillId="17" borderId="104" xfId="0" applyFont="1" applyFill="1" applyBorder="1" applyAlignment="1" applyProtection="1">
      <alignment horizontal="center" vertical="top"/>
    </xf>
    <xf numFmtId="0" fontId="38" fillId="17" borderId="105" xfId="0" applyFont="1" applyFill="1" applyBorder="1" applyAlignment="1" applyProtection="1">
      <alignment horizontal="right" vertical="center"/>
    </xf>
    <xf numFmtId="0" fontId="38" fillId="17" borderId="19" xfId="0" applyFont="1" applyFill="1" applyBorder="1" applyAlignment="1" applyProtection="1">
      <alignment horizontal="right" vertical="center"/>
    </xf>
    <xf numFmtId="0" fontId="38" fillId="17" borderId="104" xfId="0" applyFont="1" applyFill="1" applyBorder="1" applyAlignment="1" applyProtection="1">
      <alignment horizontal="right" vertical="center"/>
    </xf>
    <xf numFmtId="180" fontId="38" fillId="17" borderId="105" xfId="0" applyNumberFormat="1" applyFont="1" applyFill="1" applyBorder="1" applyAlignment="1" applyProtection="1">
      <alignment horizontal="left" vertical="center"/>
    </xf>
    <xf numFmtId="180" fontId="38" fillId="17" borderId="19" xfId="0" applyNumberFormat="1" applyFont="1" applyFill="1" applyBorder="1" applyAlignment="1" applyProtection="1">
      <alignment horizontal="left" vertical="center"/>
    </xf>
    <xf numFmtId="180" fontId="38" fillId="17" borderId="106" xfId="0" applyNumberFormat="1" applyFont="1" applyFill="1" applyBorder="1" applyAlignment="1" applyProtection="1">
      <alignment horizontal="left" vertical="center"/>
    </xf>
    <xf numFmtId="0" fontId="44" fillId="3" borderId="107" xfId="0" applyFont="1" applyFill="1" applyBorder="1" applyAlignment="1" applyProtection="1">
      <alignment horizontal="center" vertical="top"/>
    </xf>
    <xf numFmtId="0" fontId="44" fillId="3" borderId="100" xfId="0" applyFont="1" applyFill="1" applyBorder="1" applyAlignment="1" applyProtection="1">
      <alignment horizontal="center" vertical="top"/>
    </xf>
    <xf numFmtId="0" fontId="38" fillId="3" borderId="101" xfId="0" applyFont="1" applyFill="1" applyBorder="1" applyAlignment="1" applyProtection="1">
      <alignment horizontal="right" vertical="center"/>
    </xf>
    <xf numFmtId="180" fontId="38" fillId="3" borderId="84" xfId="0" applyNumberFormat="1" applyFont="1" applyFill="1" applyBorder="1" applyAlignment="1" applyProtection="1">
      <alignment horizontal="left" vertical="center"/>
    </xf>
    <xf numFmtId="0" fontId="44" fillId="18" borderId="103" xfId="0" applyFont="1" applyFill="1" applyBorder="1" applyAlignment="1" applyProtection="1">
      <alignment horizontal="center" vertical="top"/>
    </xf>
    <xf numFmtId="0" fontId="44" fillId="18" borderId="19" xfId="0" applyFont="1" applyFill="1" applyBorder="1" applyAlignment="1" applyProtection="1">
      <alignment horizontal="center" vertical="top"/>
    </xf>
    <xf numFmtId="0" fontId="38" fillId="18" borderId="105" xfId="0" applyFont="1" applyFill="1" applyBorder="1" applyAlignment="1" applyProtection="1">
      <alignment horizontal="center" vertical="center"/>
    </xf>
    <xf numFmtId="0" fontId="38" fillId="18" borderId="19" xfId="0" applyFont="1" applyFill="1" applyBorder="1" applyAlignment="1" applyProtection="1">
      <alignment horizontal="center" vertical="center"/>
    </xf>
    <xf numFmtId="0" fontId="38" fillId="18" borderId="108" xfId="0" applyFont="1" applyFill="1" applyBorder="1" applyAlignment="1" applyProtection="1">
      <alignment horizontal="center" vertical="center"/>
    </xf>
    <xf numFmtId="0" fontId="38" fillId="18" borderId="109" xfId="0" applyFont="1" applyFill="1" applyBorder="1" applyAlignment="1" applyProtection="1">
      <alignment horizontal="center" vertical="center"/>
    </xf>
    <xf numFmtId="0" fontId="38" fillId="18" borderId="110" xfId="0" applyFont="1" applyFill="1" applyBorder="1" applyAlignment="1" applyProtection="1">
      <alignment horizontal="center" vertical="center"/>
    </xf>
    <xf numFmtId="0" fontId="38" fillId="18" borderId="111" xfId="0" applyFont="1" applyFill="1" applyBorder="1" applyAlignment="1" applyProtection="1">
      <alignment horizontal="center" vertical="center"/>
    </xf>
    <xf numFmtId="0" fontId="41" fillId="0" borderId="112" xfId="0" applyFont="1" applyBorder="1" applyAlignment="1" applyProtection="1">
      <alignment horizontal="center" vertical="center"/>
    </xf>
    <xf numFmtId="0" fontId="41" fillId="0" borderId="113" xfId="0" applyFont="1" applyBorder="1" applyAlignment="1" applyProtection="1">
      <alignment horizontal="center" vertical="center"/>
    </xf>
    <xf numFmtId="0" fontId="41" fillId="0" borderId="114" xfId="0" applyFont="1" applyBorder="1" applyAlignment="1" applyProtection="1">
      <alignment horizontal="center" vertical="center"/>
    </xf>
    <xf numFmtId="0" fontId="42" fillId="0" borderId="115" xfId="0" applyFont="1" applyBorder="1" applyAlignment="1" applyProtection="1">
      <alignment horizontal="center" vertical="center"/>
      <protection locked="0"/>
    </xf>
    <xf numFmtId="0" fontId="42" fillId="0" borderId="116" xfId="0" applyFont="1" applyBorder="1" applyAlignment="1" applyProtection="1">
      <alignment horizontal="center" vertical="center"/>
      <protection locked="0"/>
    </xf>
    <xf numFmtId="0" fontId="42" fillId="0" borderId="116" xfId="0" applyFont="1" applyBorder="1" applyAlignment="1" applyProtection="1">
      <alignment horizontal="center"/>
      <protection locked="0"/>
    </xf>
    <xf numFmtId="0" fontId="42" fillId="0" borderId="117" xfId="0" applyFont="1" applyBorder="1" applyAlignment="1" applyProtection="1">
      <alignment horizontal="center"/>
      <protection locked="0"/>
    </xf>
    <xf numFmtId="0" fontId="42" fillId="16" borderId="99" xfId="50" applyFont="1" applyFill="1" applyBorder="1" applyAlignment="1" applyProtection="1">
      <alignment horizontal="left" vertical="top" wrapText="1"/>
      <protection locked="0"/>
    </xf>
    <xf numFmtId="0" fontId="42" fillId="16" borderId="19" xfId="50" applyFont="1" applyFill="1" applyBorder="1" applyAlignment="1" applyProtection="1">
      <alignment horizontal="left" vertical="top" wrapText="1"/>
      <protection locked="0"/>
    </xf>
    <xf numFmtId="0" fontId="42" fillId="0" borderId="118" xfId="0" applyFont="1" applyBorder="1" applyAlignment="1" applyProtection="1">
      <alignment horizontal="left" vertical="top" wrapText="1"/>
      <protection locked="0"/>
    </xf>
    <xf numFmtId="0" fontId="42" fillId="0" borderId="19" xfId="0" applyFont="1" applyBorder="1" applyAlignment="1" applyProtection="1">
      <alignment horizontal="left" vertical="top" wrapText="1"/>
      <protection locked="0"/>
    </xf>
    <xf numFmtId="0" fontId="42" fillId="0" borderId="20" xfId="0" applyFont="1" applyBorder="1" applyAlignment="1" applyProtection="1">
      <alignment horizontal="left" vertical="top" wrapText="1"/>
      <protection locked="0"/>
    </xf>
    <xf numFmtId="0" fontId="39" fillId="10" borderId="19" xfId="50" applyFont="1" applyBorder="1" applyAlignment="1" applyProtection="1">
      <alignment horizontal="center" vertical="center" textRotation="255" wrapText="1"/>
      <protection locked="0"/>
    </xf>
    <xf numFmtId="0" fontId="38" fillId="0" borderId="32" xfId="0" applyFont="1" applyBorder="1" applyAlignment="1" applyProtection="1">
      <alignment vertical="top" wrapText="1"/>
    </xf>
    <xf numFmtId="0" fontId="39" fillId="10" borderId="25" xfId="50" applyFont="1" applyBorder="1" applyAlignment="1" applyProtection="1">
      <alignment horizontal="left" vertical="center"/>
    </xf>
    <xf numFmtId="0" fontId="40" fillId="10" borderId="25" xfId="51" applyFont="1" applyBorder="1" applyAlignment="1" applyProtection="1">
      <alignment horizontal="center" vertical="center"/>
    </xf>
    <xf numFmtId="0" fontId="39" fillId="0" borderId="80" xfId="50" applyFont="1" applyFill="1" applyBorder="1" applyAlignment="1" applyProtection="1"/>
    <xf numFmtId="0" fontId="39" fillId="10" borderId="41" xfId="50" applyFont="1" applyBorder="1" applyAlignment="1" applyProtection="1"/>
    <xf numFmtId="0" fontId="39" fillId="10" borderId="42" xfId="50" applyFont="1" applyBorder="1" applyAlignment="1" applyProtection="1"/>
    <xf numFmtId="0" fontId="39" fillId="10" borderId="61" xfId="50" applyFont="1" applyBorder="1" applyAlignment="1" applyProtection="1">
      <alignment horizontal="left"/>
    </xf>
    <xf numFmtId="0" fontId="39" fillId="10" borderId="22" xfId="50" applyFont="1" applyBorder="1" applyAlignment="1" applyProtection="1">
      <alignment horizontal="left"/>
    </xf>
    <xf numFmtId="0" fontId="39" fillId="10" borderId="23" xfId="50" applyFont="1" applyBorder="1" applyAlignment="1" applyProtection="1">
      <alignment horizontal="left"/>
    </xf>
    <xf numFmtId="0" fontId="40" fillId="10" borderId="61" xfId="50" applyFont="1" applyBorder="1" applyProtection="1">
      <alignment horizontal="center"/>
    </xf>
    <xf numFmtId="0" fontId="40" fillId="10" borderId="22" xfId="50" applyFont="1" applyBorder="1" applyProtection="1">
      <alignment horizontal="center"/>
    </xf>
    <xf numFmtId="0" fontId="40" fillId="10" borderId="23" xfId="50" applyFont="1" applyBorder="1" applyProtection="1">
      <alignment horizontal="center"/>
    </xf>
    <xf numFmtId="0" fontId="40" fillId="10" borderId="26" xfId="50" applyFont="1" applyBorder="1" applyProtection="1">
      <alignment horizontal="center"/>
    </xf>
    <xf numFmtId="0" fontId="45" fillId="0" borderId="40" xfId="0" applyFont="1" applyBorder="1" applyProtection="1"/>
    <xf numFmtId="0" fontId="39" fillId="10" borderId="61" xfId="0" applyFont="1" applyFill="1" applyBorder="1" applyAlignment="1" applyProtection="1">
      <alignment horizontal="center"/>
    </xf>
    <xf numFmtId="0" fontId="39" fillId="10" borderId="22" xfId="0" applyFont="1" applyFill="1" applyBorder="1" applyAlignment="1" applyProtection="1">
      <alignment horizontal="center"/>
    </xf>
    <xf numFmtId="0" fontId="38" fillId="16" borderId="22" xfId="0" applyFont="1" applyFill="1" applyBorder="1" applyAlignment="1" applyProtection="1">
      <alignment horizontal="center" vertical="center"/>
    </xf>
    <xf numFmtId="0" fontId="38" fillId="16" borderId="23" xfId="0" applyFont="1" applyFill="1" applyBorder="1" applyAlignment="1" applyProtection="1">
      <alignment horizontal="center" vertical="center"/>
    </xf>
    <xf numFmtId="49" fontId="46" fillId="0" borderId="119" xfId="0" applyNumberFormat="1" applyFont="1" applyBorder="1" applyAlignment="1" applyProtection="1">
      <alignment horizontal="center" vertical="center"/>
      <protection locked="0"/>
    </xf>
    <xf numFmtId="49" fontId="46" fillId="0" borderId="59" xfId="0" applyNumberFormat="1" applyFont="1" applyBorder="1" applyAlignment="1" applyProtection="1">
      <alignment horizontal="center" vertical="center"/>
      <protection locked="0"/>
    </xf>
    <xf numFmtId="0" fontId="38" fillId="0" borderId="59" xfId="49" applyFont="1" applyBorder="1" applyAlignment="1" applyProtection="1">
      <alignment horizontal="center" vertical="center"/>
    </xf>
    <xf numFmtId="177" fontId="38" fillId="0" borderId="59" xfId="0" applyNumberFormat="1" applyFont="1" applyBorder="1" applyAlignment="1" applyProtection="1">
      <alignment horizontal="right" vertical="center"/>
    </xf>
    <xf numFmtId="0" fontId="38" fillId="0" borderId="59" xfId="0" applyFont="1" applyBorder="1" applyAlignment="1" applyProtection="1">
      <alignment horizontal="right" vertical="center"/>
    </xf>
    <xf numFmtId="0" fontId="38" fillId="0" borderId="120" xfId="0" applyFont="1" applyBorder="1" applyAlignment="1" applyProtection="1">
      <alignment horizontal="right" vertical="center"/>
    </xf>
    <xf numFmtId="49" fontId="46" fillId="0" borderId="121" xfId="0" applyNumberFormat="1" applyFont="1" applyBorder="1" applyAlignment="1" applyProtection="1">
      <alignment horizontal="center" vertical="center"/>
      <protection locked="0"/>
    </xf>
    <xf numFmtId="0" fontId="38" fillId="0" borderId="122" xfId="0" applyFont="1" applyBorder="1" applyAlignment="1" applyProtection="1">
      <alignment horizontal="right" vertical="center"/>
    </xf>
    <xf numFmtId="0" fontId="38" fillId="0" borderId="61" xfId="0" applyFont="1" applyBorder="1" applyAlignment="1" applyProtection="1">
      <alignment horizontal="center" vertical="center"/>
    </xf>
    <xf numFmtId="0" fontId="38" fillId="0" borderId="22" xfId="0" applyFont="1" applyBorder="1" applyAlignment="1" applyProtection="1">
      <alignment horizontal="center" vertical="center"/>
    </xf>
    <xf numFmtId="0" fontId="38" fillId="0" borderId="22" xfId="0" applyFont="1" applyBorder="1" applyAlignment="1" applyProtection="1">
      <alignment horizontal="left" vertical="center" wrapText="1"/>
      <protection locked="0"/>
    </xf>
    <xf numFmtId="0" fontId="38" fillId="0" borderId="23" xfId="0" applyFont="1" applyBorder="1" applyAlignment="1" applyProtection="1">
      <alignment horizontal="left" vertical="center" wrapText="1"/>
      <protection locked="0"/>
    </xf>
    <xf numFmtId="0" fontId="38" fillId="0" borderId="123" xfId="0" applyFont="1" applyBorder="1" applyAlignment="1" applyProtection="1">
      <alignment horizontal="center" vertical="center"/>
      <protection locked="0"/>
    </xf>
    <xf numFmtId="0" fontId="38" fillId="0" borderId="124" xfId="0" applyFont="1" applyBorder="1" applyAlignment="1" applyProtection="1">
      <alignment horizontal="center" vertical="center"/>
      <protection locked="0"/>
    </xf>
    <xf numFmtId="0" fontId="38" fillId="0" borderId="124" xfId="0" applyFont="1" applyBorder="1" applyAlignment="1" applyProtection="1">
      <alignment horizontal="center" vertical="center"/>
    </xf>
    <xf numFmtId="0" fontId="38" fillId="0" borderId="125" xfId="0" applyFont="1" applyBorder="1" applyAlignment="1" applyProtection="1">
      <alignment horizontal="center" vertical="center"/>
    </xf>
    <xf numFmtId="0" fontId="47" fillId="10" borderId="99" xfId="0" applyFont="1" applyFill="1" applyBorder="1" applyAlignment="1" applyProtection="1">
      <alignment horizontal="center" vertical="top"/>
    </xf>
    <xf numFmtId="0" fontId="47" fillId="10" borderId="19" xfId="0" applyFont="1" applyFill="1" applyBorder="1" applyAlignment="1" applyProtection="1">
      <alignment horizontal="center" vertical="top"/>
    </xf>
    <xf numFmtId="0" fontId="38" fillId="16" borderId="19" xfId="0" applyFont="1" applyFill="1" applyBorder="1" applyAlignment="1" applyProtection="1">
      <alignment horizontal="center" vertical="center"/>
    </xf>
    <xf numFmtId="0" fontId="38" fillId="16" borderId="20" xfId="0" applyFont="1" applyFill="1" applyBorder="1" applyAlignment="1" applyProtection="1">
      <alignment horizontal="center" vertical="center"/>
    </xf>
    <xf numFmtId="49" fontId="46" fillId="0" borderId="63" xfId="0" applyNumberFormat="1" applyFont="1" applyBorder="1" applyAlignment="1" applyProtection="1">
      <alignment horizontal="center" vertical="center"/>
      <protection locked="0"/>
    </xf>
    <xf numFmtId="49" fontId="46" fillId="0" borderId="64" xfId="0" applyNumberFormat="1" applyFont="1" applyBorder="1" applyAlignment="1" applyProtection="1">
      <alignment horizontal="center" vertical="center"/>
      <protection locked="0"/>
    </xf>
    <xf numFmtId="0" fontId="38" fillId="0" borderId="64" xfId="49" applyFont="1" applyBorder="1" applyAlignment="1" applyProtection="1">
      <alignment horizontal="center" vertical="center"/>
    </xf>
    <xf numFmtId="177" fontId="38" fillId="0" borderId="64" xfId="0" applyNumberFormat="1" applyFont="1" applyBorder="1" applyAlignment="1" applyProtection="1">
      <alignment horizontal="right" vertical="center"/>
    </xf>
    <xf numFmtId="0" fontId="38" fillId="0" borderId="126" xfId="0" applyFont="1" applyBorder="1" applyAlignment="1" applyProtection="1">
      <alignment horizontal="right" vertical="center"/>
    </xf>
    <xf numFmtId="49" fontId="46" fillId="0" borderId="127" xfId="0" applyNumberFormat="1" applyFont="1" applyBorder="1" applyAlignment="1" applyProtection="1">
      <alignment horizontal="center" vertical="center"/>
      <protection locked="0"/>
    </xf>
    <xf numFmtId="0" fontId="38" fillId="0" borderId="128" xfId="0" applyFont="1" applyBorder="1" applyAlignment="1" applyProtection="1">
      <alignment horizontal="right" vertical="center"/>
    </xf>
    <xf numFmtId="0" fontId="38" fillId="0" borderId="71" xfId="0" applyFont="1" applyBorder="1" applyAlignment="1" applyProtection="1">
      <alignment horizontal="center" vertical="center"/>
    </xf>
    <xf numFmtId="0" fontId="38" fillId="0" borderId="0" xfId="0" applyFont="1" applyAlignment="1" applyProtection="1">
      <alignment horizontal="center" vertical="center"/>
    </xf>
    <xf numFmtId="0" fontId="38" fillId="0" borderId="0" xfId="0" applyFont="1" applyAlignment="1" applyProtection="1">
      <alignment horizontal="left" vertical="center" wrapText="1"/>
      <protection locked="0"/>
    </xf>
    <xf numFmtId="0" fontId="38" fillId="0" borderId="16" xfId="0" applyFont="1" applyBorder="1" applyAlignment="1" applyProtection="1">
      <alignment horizontal="left" vertical="center" wrapText="1"/>
      <protection locked="0"/>
    </xf>
    <xf numFmtId="0" fontId="38" fillId="0" borderId="129" xfId="0" applyFont="1" applyBorder="1" applyAlignment="1" applyProtection="1">
      <alignment horizontal="center" vertical="center"/>
      <protection locked="0"/>
    </xf>
    <xf numFmtId="0" fontId="38" fillId="0" borderId="64" xfId="0" applyFont="1" applyBorder="1" applyAlignment="1" applyProtection="1">
      <alignment horizontal="center" vertical="center"/>
      <protection locked="0"/>
    </xf>
    <xf numFmtId="0" fontId="38" fillId="0" borderId="128" xfId="0" applyFont="1" applyBorder="1" applyAlignment="1" applyProtection="1">
      <alignment horizontal="center" vertical="center"/>
    </xf>
    <xf numFmtId="0" fontId="45" fillId="0" borderId="130" xfId="0" applyFont="1" applyBorder="1" applyProtection="1"/>
    <xf numFmtId="0" fontId="38" fillId="0" borderId="34" xfId="0" applyFont="1" applyBorder="1" applyAlignment="1" applyProtection="1">
      <alignment horizontal="center" vertical="top" wrapText="1"/>
    </xf>
    <xf numFmtId="0" fontId="38" fillId="0" borderId="22" xfId="0" applyFont="1" applyBorder="1" applyAlignment="1" applyProtection="1">
      <alignment horizontal="center" vertical="top" wrapText="1"/>
    </xf>
    <xf numFmtId="0" fontId="38" fillId="0" borderId="35" xfId="0" applyFont="1" applyBorder="1" applyAlignment="1" applyProtection="1">
      <alignment horizontal="center" vertical="top" wrapText="1"/>
    </xf>
    <xf numFmtId="0" fontId="38" fillId="0" borderId="131" xfId="0" applyFont="1" applyBorder="1" applyAlignment="1" applyProtection="1">
      <alignment horizontal="center" vertical="center"/>
    </xf>
    <xf numFmtId="0" fontId="38" fillId="0" borderId="132" xfId="0" applyFont="1" applyBorder="1" applyAlignment="1" applyProtection="1">
      <alignment horizontal="center" vertical="center"/>
    </xf>
    <xf numFmtId="0" fontId="38" fillId="0" borderId="132" xfId="0" applyFont="1" applyBorder="1" applyAlignment="1" applyProtection="1">
      <alignment horizontal="left" vertical="center" wrapText="1"/>
      <protection locked="0"/>
    </xf>
    <xf numFmtId="0" fontId="38" fillId="0" borderId="133" xfId="0" applyFont="1" applyBorder="1" applyAlignment="1" applyProtection="1">
      <alignment horizontal="left" vertical="center" wrapText="1"/>
      <protection locked="0"/>
    </xf>
    <xf numFmtId="0" fontId="39" fillId="10" borderId="71" xfId="50" applyFont="1" applyBorder="1" applyAlignment="1" applyProtection="1">
      <alignment horizontal="left" wrapText="1"/>
    </xf>
    <xf numFmtId="0" fontId="39" fillId="10" borderId="0" xfId="50" applyFont="1" applyBorder="1" applyAlignment="1" applyProtection="1">
      <alignment horizontal="left" wrapText="1"/>
    </xf>
    <xf numFmtId="0" fontId="39" fillId="10" borderId="16" xfId="50" applyFont="1" applyBorder="1" applyAlignment="1" applyProtection="1">
      <alignment horizontal="left" wrapText="1"/>
    </xf>
    <xf numFmtId="0" fontId="38" fillId="0" borderId="73" xfId="49" applyFont="1" applyBorder="1" applyAlignment="1" applyProtection="1">
      <alignment horizontal="right" vertical="center"/>
    </xf>
    <xf numFmtId="0" fontId="38" fillId="0" borderId="134" xfId="49" applyFont="1" applyBorder="1" applyAlignment="1" applyProtection="1">
      <alignment horizontal="right" vertical="center"/>
    </xf>
    <xf numFmtId="0" fontId="38" fillId="0" borderId="134" xfId="49" applyFont="1" applyBorder="1" applyAlignment="1" applyProtection="1">
      <alignment horizontal="left" vertical="center"/>
      <protection locked="0"/>
    </xf>
    <xf numFmtId="0" fontId="38" fillId="0" borderId="135" xfId="49" applyFont="1" applyBorder="1" applyAlignment="1" applyProtection="1">
      <alignment horizontal="left" vertical="center"/>
      <protection locked="0"/>
    </xf>
    <xf numFmtId="0" fontId="38" fillId="3" borderId="136" xfId="0" applyFont="1" applyFill="1" applyBorder="1" applyAlignment="1" applyProtection="1">
      <alignment horizontal="center" vertical="center" wrapText="1"/>
    </xf>
    <xf numFmtId="0" fontId="38" fillId="3" borderId="137" xfId="0" applyFont="1" applyFill="1" applyBorder="1" applyAlignment="1" applyProtection="1">
      <alignment horizontal="center" vertical="center" wrapText="1"/>
    </xf>
    <xf numFmtId="0" fontId="38" fillId="3" borderId="138" xfId="0" applyFont="1" applyFill="1" applyBorder="1" applyAlignment="1" applyProtection="1">
      <alignment horizontal="left" vertical="center"/>
      <protection locked="0"/>
    </xf>
    <xf numFmtId="0" fontId="38" fillId="3" borderId="139" xfId="0" applyFont="1" applyFill="1" applyBorder="1" applyAlignment="1" applyProtection="1">
      <alignment horizontal="left" vertical="center"/>
      <protection locked="0"/>
    </xf>
    <xf numFmtId="0" fontId="38" fillId="3" borderId="140" xfId="0" applyFont="1" applyFill="1" applyBorder="1" applyAlignment="1" applyProtection="1">
      <alignment horizontal="left" vertical="center"/>
      <protection locked="0"/>
    </xf>
    <xf numFmtId="0" fontId="42" fillId="0" borderId="71" xfId="0" applyFont="1" applyBorder="1" applyAlignment="1" applyProtection="1">
      <alignment horizontal="left" vertical="top" wrapText="1"/>
      <protection locked="0"/>
    </xf>
    <xf numFmtId="0" fontId="38" fillId="0" borderId="141" xfId="49" applyFont="1" applyBorder="1" applyAlignment="1" applyProtection="1">
      <alignment horizontal="right" vertical="center"/>
    </xf>
    <xf numFmtId="0" fontId="38" fillId="0" borderId="142" xfId="49" applyFont="1" applyBorder="1" applyAlignment="1" applyProtection="1">
      <alignment horizontal="right" vertical="center"/>
    </xf>
    <xf numFmtId="0" fontId="38" fillId="0" borderId="142" xfId="49" applyFont="1" applyBorder="1" applyAlignment="1" applyProtection="1">
      <alignment horizontal="left" vertical="center"/>
      <protection locked="0"/>
    </xf>
    <xf numFmtId="0" fontId="38" fillId="0" borderId="143" xfId="49" applyFont="1" applyBorder="1" applyAlignment="1" applyProtection="1">
      <alignment horizontal="left" vertical="center"/>
      <protection locked="0"/>
    </xf>
    <xf numFmtId="0" fontId="38" fillId="3" borderId="71" xfId="0" applyFont="1" applyFill="1" applyBorder="1" applyAlignment="1" applyProtection="1">
      <alignment horizontal="center" vertical="center" wrapText="1"/>
    </xf>
    <xf numFmtId="0" fontId="38" fillId="3" borderId="0" xfId="0" applyFont="1" applyFill="1" applyAlignment="1" applyProtection="1">
      <alignment horizontal="center" vertical="center" wrapText="1"/>
    </xf>
    <xf numFmtId="0" fontId="38" fillId="3" borderId="144" xfId="0" applyFont="1" applyFill="1" applyBorder="1" applyAlignment="1" applyProtection="1">
      <alignment horizontal="left" vertical="center"/>
      <protection locked="0"/>
    </xf>
    <xf numFmtId="0" fontId="38" fillId="3" borderId="145" xfId="0" applyFont="1" applyFill="1" applyBorder="1" applyAlignment="1" applyProtection="1">
      <alignment horizontal="left" vertical="center"/>
      <protection locked="0"/>
    </xf>
    <xf numFmtId="0" fontId="38" fillId="3" borderId="146" xfId="0" applyFont="1" applyFill="1" applyBorder="1" applyAlignment="1" applyProtection="1">
      <alignment horizontal="left" vertical="center"/>
      <protection locked="0"/>
    </xf>
    <xf numFmtId="0" fontId="38" fillId="0" borderId="147" xfId="0" applyFont="1" applyBorder="1" applyAlignment="1" applyProtection="1">
      <alignment horizontal="left" vertical="center" wrapText="1"/>
      <protection locked="0"/>
    </xf>
    <xf numFmtId="0" fontId="38" fillId="0" borderId="137" xfId="0" applyFont="1" applyBorder="1" applyAlignment="1" applyProtection="1">
      <alignment horizontal="left" vertical="center" wrapText="1"/>
      <protection locked="0"/>
    </xf>
    <xf numFmtId="0" fontId="38" fillId="0" borderId="136" xfId="0" applyFont="1" applyBorder="1" applyAlignment="1" applyProtection="1">
      <alignment horizontal="left" vertical="center" wrapText="1"/>
      <protection locked="0"/>
    </xf>
    <xf numFmtId="0" fontId="38" fillId="0" borderId="148" xfId="0" applyFont="1" applyBorder="1" applyAlignment="1" applyProtection="1">
      <alignment horizontal="left" vertical="center" wrapText="1"/>
      <protection locked="0"/>
    </xf>
    <xf numFmtId="0" fontId="38" fillId="0" borderId="149" xfId="0" applyFont="1" applyBorder="1" applyAlignment="1" applyProtection="1">
      <alignment horizontal="left" vertical="center" wrapText="1"/>
      <protection locked="0"/>
    </xf>
    <xf numFmtId="0" fontId="38" fillId="0" borderId="150" xfId="0" applyFont="1" applyBorder="1" applyAlignment="1" applyProtection="1">
      <alignment horizontal="left" vertical="center" wrapText="1"/>
      <protection locked="0"/>
    </xf>
    <xf numFmtId="0" fontId="38" fillId="0" borderId="151" xfId="0" applyFont="1" applyBorder="1" applyAlignment="1" applyProtection="1">
      <alignment horizontal="left" vertical="center" wrapText="1"/>
      <protection locked="0"/>
    </xf>
    <xf numFmtId="0" fontId="38" fillId="0" borderId="152" xfId="0" applyFont="1" applyBorder="1" applyAlignment="1" applyProtection="1">
      <alignment horizontal="center" vertical="center"/>
      <protection locked="0"/>
    </xf>
    <xf numFmtId="0" fontId="38" fillId="0" borderId="153" xfId="0" applyFont="1" applyBorder="1" applyAlignment="1" applyProtection="1">
      <alignment horizontal="center" vertical="center"/>
      <protection locked="0"/>
    </xf>
    <xf numFmtId="0" fontId="38" fillId="0" borderId="153" xfId="0" applyFont="1" applyBorder="1" applyAlignment="1" applyProtection="1">
      <alignment horizontal="center" vertical="center"/>
    </xf>
    <xf numFmtId="0" fontId="38" fillId="0" borderId="154" xfId="0" applyFont="1" applyBorder="1" applyAlignment="1" applyProtection="1">
      <alignment horizontal="center" vertical="center"/>
    </xf>
    <xf numFmtId="0" fontId="42" fillId="0" borderId="99" xfId="0" applyFont="1" applyBorder="1" applyAlignment="1" applyProtection="1">
      <alignment horizontal="left" vertical="top" wrapText="1"/>
      <protection locked="0"/>
    </xf>
    <xf numFmtId="0" fontId="45" fillId="0" borderId="30" xfId="0" applyFont="1" applyBorder="1" applyProtection="1"/>
    <xf numFmtId="0" fontId="38" fillId="10" borderId="42" xfId="0" applyFont="1" applyFill="1" applyBorder="1" applyProtection="1"/>
    <xf numFmtId="0" fontId="40" fillId="10" borderId="42" xfId="51" applyFont="1" applyBorder="1" applyAlignment="1" applyProtection="1">
      <alignment horizontal="left"/>
    </xf>
    <xf numFmtId="0" fontId="40" fillId="10" borderId="42" xfId="51" applyFont="1" applyBorder="1" applyAlignment="1" applyProtection="1">
      <alignment horizontal="right"/>
    </xf>
    <xf numFmtId="0" fontId="47" fillId="10" borderId="42" xfId="50" applyFont="1" applyBorder="1" applyAlignment="1" applyProtection="1">
      <alignment horizontal="left"/>
    </xf>
    <xf numFmtId="0" fontId="44" fillId="10" borderId="42" xfId="0" applyFont="1" applyFill="1" applyBorder="1" applyProtection="1"/>
    <xf numFmtId="0" fontId="40" fillId="10" borderId="42" xfId="0" applyFont="1" applyFill="1" applyBorder="1" applyAlignment="1" applyProtection="1">
      <alignment horizontal="left"/>
    </xf>
    <xf numFmtId="0" fontId="40" fillId="10" borderId="42" xfId="0" applyFont="1" applyFill="1" applyBorder="1" applyAlignment="1" applyProtection="1">
      <alignment horizontal="right"/>
    </xf>
    <xf numFmtId="0" fontId="38" fillId="0" borderId="155" xfId="0" applyFont="1" applyBorder="1" applyAlignment="1" applyProtection="1">
      <alignment horizontal="left" vertical="top" wrapText="1"/>
      <protection locked="0"/>
    </xf>
    <xf numFmtId="0" fontId="38" fillId="0" borderId="59" xfId="0" applyFont="1" applyBorder="1" applyAlignment="1" applyProtection="1">
      <alignment horizontal="left" vertical="top" wrapText="1"/>
      <protection locked="0"/>
    </xf>
    <xf numFmtId="0" fontId="38" fillId="0" borderId="59" xfId="0" applyFont="1" applyBorder="1" applyAlignment="1" applyProtection="1">
      <alignment horizontal="center" vertical="center"/>
    </xf>
    <xf numFmtId="0" fontId="38" fillId="0" borderId="156" xfId="0" applyFont="1" applyBorder="1" applyAlignment="1" applyProtection="1">
      <alignment horizontal="center" vertical="center"/>
    </xf>
    <xf numFmtId="0" fontId="42" fillId="0" borderId="41" xfId="0" applyFont="1" applyBorder="1" applyAlignment="1" applyProtection="1">
      <alignment horizontal="left" vertical="top" wrapText="1"/>
      <protection locked="0"/>
    </xf>
    <xf numFmtId="0" fontId="42" fillId="0" borderId="42" xfId="0" applyFont="1" applyBorder="1" applyAlignment="1" applyProtection="1">
      <alignment horizontal="left" vertical="top" wrapText="1"/>
      <protection locked="0"/>
    </xf>
    <xf numFmtId="0" fontId="42" fillId="0" borderId="43" xfId="0" applyFont="1" applyBorder="1" applyAlignment="1" applyProtection="1">
      <alignment horizontal="left" vertical="top" wrapText="1"/>
      <protection locked="0"/>
    </xf>
    <xf numFmtId="0" fontId="38" fillId="0" borderId="129" xfId="0" applyFont="1" applyBorder="1" applyAlignment="1" applyProtection="1">
      <alignment horizontal="left" vertical="top" wrapText="1"/>
      <protection locked="0"/>
    </xf>
    <xf numFmtId="0" fontId="38" fillId="0" borderId="64" xfId="0" applyFont="1" applyBorder="1" applyAlignment="1" applyProtection="1">
      <alignment horizontal="left" vertical="top" wrapText="1"/>
      <protection locked="0"/>
    </xf>
    <xf numFmtId="0" fontId="38" fillId="0" borderId="138" xfId="0" applyFont="1" applyBorder="1" applyAlignment="1" applyProtection="1">
      <alignment horizontal="right" vertical="center"/>
    </xf>
    <xf numFmtId="0" fontId="38" fillId="0" borderId="157" xfId="0" applyFont="1" applyBorder="1" applyAlignment="1" applyProtection="1">
      <alignment horizontal="right" vertical="center"/>
    </xf>
    <xf numFmtId="0" fontId="38" fillId="0" borderId="74" xfId="0" applyFont="1" applyBorder="1" applyAlignment="1" applyProtection="1">
      <alignment horizontal="center" vertical="center"/>
      <protection locked="0"/>
    </xf>
    <xf numFmtId="0" fontId="38" fillId="3" borderId="158" xfId="0" applyFont="1" applyFill="1" applyBorder="1" applyAlignment="1" applyProtection="1">
      <alignment horizontal="left" vertical="center"/>
      <protection locked="0"/>
    </xf>
    <xf numFmtId="0" fontId="38" fillId="3" borderId="159" xfId="0" applyFont="1" applyFill="1" applyBorder="1" applyAlignment="1" applyProtection="1">
      <alignment horizontal="left" vertical="center"/>
      <protection locked="0"/>
    </xf>
    <xf numFmtId="0" fontId="38" fillId="3" borderId="160" xfId="0" applyFont="1" applyFill="1" applyBorder="1" applyAlignment="1" applyProtection="1">
      <alignment horizontal="left" vertical="center"/>
      <protection locked="0"/>
    </xf>
    <xf numFmtId="0" fontId="38" fillId="3" borderId="137" xfId="0" applyFont="1" applyFill="1" applyBorder="1" applyAlignment="1" applyProtection="1">
      <alignment horizontal="left" vertical="center"/>
      <protection locked="0"/>
    </xf>
    <xf numFmtId="0" fontId="38" fillId="0" borderId="144" xfId="0" applyFont="1" applyBorder="1" applyAlignment="1" applyProtection="1">
      <alignment horizontal="right" vertical="center"/>
    </xf>
    <xf numFmtId="0" fontId="38" fillId="0" borderId="52" xfId="0" applyFont="1" applyBorder="1" applyAlignment="1" applyProtection="1">
      <alignment horizontal="right" vertical="center"/>
    </xf>
    <xf numFmtId="0" fontId="38" fillId="3" borderId="161" xfId="0" applyFont="1" applyFill="1" applyBorder="1" applyAlignment="1" applyProtection="1">
      <alignment horizontal="left" vertical="center"/>
      <protection locked="0"/>
    </xf>
    <xf numFmtId="0" fontId="38" fillId="3" borderId="0" xfId="0" applyFont="1" applyFill="1" applyAlignment="1" applyProtection="1">
      <alignment horizontal="left" vertical="center"/>
      <protection locked="0"/>
    </xf>
    <xf numFmtId="0" fontId="38" fillId="3" borderId="16" xfId="0" applyFont="1" applyFill="1" applyBorder="1" applyAlignment="1" applyProtection="1">
      <alignment horizontal="left" vertical="center"/>
      <protection locked="0"/>
    </xf>
    <xf numFmtId="0" fontId="38" fillId="0" borderId="74" xfId="0" applyFont="1" applyBorder="1" applyAlignment="1" applyProtection="1">
      <alignment horizontal="center" vertical="center"/>
    </xf>
    <xf numFmtId="0" fontId="48" fillId="0" borderId="147" xfId="0" applyFont="1" applyBorder="1" applyAlignment="1" applyProtection="1">
      <alignment horizontal="left" vertical="center" wrapText="1"/>
    </xf>
    <xf numFmtId="0" fontId="48" fillId="0" borderId="137" xfId="0" applyFont="1" applyBorder="1" applyAlignment="1" applyProtection="1">
      <alignment horizontal="left" vertical="center" wrapText="1"/>
    </xf>
    <xf numFmtId="0" fontId="48" fillId="0" borderId="148" xfId="0" applyFont="1" applyBorder="1" applyAlignment="1" applyProtection="1">
      <alignment horizontal="left" vertical="center" wrapText="1"/>
    </xf>
    <xf numFmtId="0" fontId="38" fillId="0" borderId="40" xfId="0" applyFont="1" applyBorder="1" applyAlignment="1" applyProtection="1">
      <alignment vertical="top" wrapText="1"/>
    </xf>
    <xf numFmtId="0" fontId="38" fillId="3" borderId="162" xfId="0" applyFont="1" applyFill="1" applyBorder="1" applyAlignment="1" applyProtection="1">
      <alignment horizontal="center" vertical="center" wrapText="1"/>
    </xf>
    <xf numFmtId="0" fontId="38" fillId="3" borderId="150" xfId="0" applyFont="1" applyFill="1" applyBorder="1" applyAlignment="1" applyProtection="1">
      <alignment horizontal="center" vertical="center" wrapText="1"/>
    </xf>
    <xf numFmtId="0" fontId="48" fillId="0" borderId="149" xfId="0" applyFont="1" applyBorder="1" applyAlignment="1" applyProtection="1">
      <alignment horizontal="left" vertical="center" wrapText="1"/>
    </xf>
    <xf numFmtId="0" fontId="48" fillId="0" borderId="150" xfId="0" applyFont="1" applyBorder="1" applyAlignment="1" applyProtection="1">
      <alignment horizontal="left" vertical="center" wrapText="1"/>
    </xf>
    <xf numFmtId="0" fontId="48" fillId="0" borderId="151" xfId="0" applyFont="1" applyBorder="1" applyAlignment="1" applyProtection="1">
      <alignment horizontal="left" vertical="center" wrapText="1"/>
    </xf>
    <xf numFmtId="0" fontId="38" fillId="0" borderId="163" xfId="0" applyFont="1" applyBorder="1" applyAlignment="1" applyProtection="1">
      <alignment horizontal="left" vertical="top" wrapText="1"/>
      <protection locked="0"/>
    </xf>
    <xf numFmtId="0" fontId="38" fillId="0" borderId="164" xfId="0" applyFont="1" applyBorder="1" applyAlignment="1" applyProtection="1">
      <alignment horizontal="left" vertical="top"/>
      <protection locked="0"/>
    </xf>
    <xf numFmtId="0" fontId="38" fillId="0" borderId="165" xfId="0" applyFont="1" applyBorder="1" applyAlignment="1" applyProtection="1">
      <alignment horizontal="left" vertical="top"/>
      <protection locked="0"/>
    </xf>
    <xf numFmtId="0" fontId="38" fillId="0" borderId="71" xfId="0" applyFont="1" applyBorder="1" applyAlignment="1" applyProtection="1">
      <alignment horizontal="left" vertical="top"/>
      <protection locked="0"/>
    </xf>
    <xf numFmtId="0" fontId="38" fillId="0" borderId="0" xfId="0" applyFont="1" applyAlignment="1" applyProtection="1">
      <alignment horizontal="left" vertical="top"/>
      <protection locked="0"/>
    </xf>
    <xf numFmtId="0" fontId="38" fillId="0" borderId="16" xfId="0" applyFont="1" applyBorder="1" applyAlignment="1" applyProtection="1">
      <alignment horizontal="left" vertical="top"/>
      <protection locked="0"/>
    </xf>
    <xf numFmtId="49" fontId="49" fillId="0" borderId="127" xfId="0" applyNumberFormat="1" applyFont="1" applyBorder="1" applyAlignment="1" applyProtection="1">
      <alignment horizontal="center" vertical="center"/>
      <protection locked="0"/>
    </xf>
    <xf numFmtId="49" fontId="46" fillId="0" borderId="166" xfId="0" applyNumberFormat="1" applyFont="1" applyBorder="1" applyAlignment="1" applyProtection="1">
      <alignment horizontal="center" vertical="center"/>
      <protection locked="0"/>
    </xf>
    <xf numFmtId="49" fontId="46" fillId="0" borderId="153" xfId="0" applyNumberFormat="1" applyFont="1" applyBorder="1" applyAlignment="1" applyProtection="1">
      <alignment horizontal="center" vertical="center"/>
      <protection locked="0"/>
    </xf>
    <xf numFmtId="0" fontId="38" fillId="0" borderId="153" xfId="49" applyFont="1" applyBorder="1" applyAlignment="1" applyProtection="1">
      <alignment horizontal="center" vertical="center"/>
    </xf>
    <xf numFmtId="177" fontId="38" fillId="0" borderId="153" xfId="0" applyNumberFormat="1" applyFont="1" applyBorder="1" applyAlignment="1" applyProtection="1">
      <alignment horizontal="right" vertical="center"/>
    </xf>
    <xf numFmtId="0" fontId="38" fillId="0" borderId="153" xfId="0" applyFont="1" applyBorder="1" applyAlignment="1" applyProtection="1">
      <alignment horizontal="right" vertical="center"/>
    </xf>
    <xf numFmtId="0" fontId="38" fillId="0" borderId="167" xfId="0" applyFont="1" applyBorder="1" applyAlignment="1" applyProtection="1">
      <alignment horizontal="right" vertical="center"/>
    </xf>
    <xf numFmtId="49" fontId="46" fillId="0" borderId="168" xfId="0" applyNumberFormat="1" applyFont="1" applyBorder="1" applyAlignment="1" applyProtection="1">
      <alignment horizontal="center" vertical="center"/>
      <protection locked="0"/>
    </xf>
    <xf numFmtId="0" fontId="38" fillId="0" borderId="153" xfId="0" applyFont="1" applyBorder="1" applyAlignment="1" applyProtection="1">
      <alignment horizontal="right" vertical="center"/>
      <protection locked="0"/>
    </xf>
    <xf numFmtId="0" fontId="38" fillId="0" borderId="154" xfId="0" applyFont="1" applyBorder="1" applyAlignment="1" applyProtection="1">
      <alignment horizontal="right" vertical="center"/>
    </xf>
    <xf numFmtId="0" fontId="38" fillId="0" borderId="99" xfId="0" applyFont="1" applyBorder="1" applyAlignment="1" applyProtection="1">
      <alignment horizontal="left" vertical="top"/>
      <protection locked="0"/>
    </xf>
    <xf numFmtId="0" fontId="38" fillId="0" borderId="19" xfId="0" applyFont="1" applyBorder="1" applyAlignment="1" applyProtection="1">
      <alignment horizontal="left" vertical="top"/>
      <protection locked="0"/>
    </xf>
    <xf numFmtId="0" fontId="38" fillId="0" borderId="20" xfId="0" applyFont="1" applyBorder="1" applyAlignment="1" applyProtection="1">
      <alignment horizontal="left" vertical="top"/>
      <protection locked="0"/>
    </xf>
    <xf numFmtId="0" fontId="38" fillId="0" borderId="169" xfId="0" applyFont="1" applyBorder="1" applyAlignment="1" applyProtection="1">
      <alignment horizontal="left" vertical="top" wrapText="1"/>
      <protection locked="0"/>
    </xf>
    <xf numFmtId="0" fontId="38" fillId="0" borderId="76" xfId="0" applyFont="1" applyBorder="1" applyAlignment="1" applyProtection="1">
      <alignment horizontal="left" vertical="top" wrapText="1"/>
      <protection locked="0"/>
    </xf>
    <xf numFmtId="0" fontId="38" fillId="0" borderId="170" xfId="0" applyFont="1" applyBorder="1" applyAlignment="1" applyProtection="1">
      <alignment horizontal="right" vertical="center"/>
    </xf>
    <xf numFmtId="0" fontId="38" fillId="0" borderId="171" xfId="0" applyFont="1" applyBorder="1" applyAlignment="1" applyProtection="1">
      <alignment horizontal="right" vertical="center"/>
    </xf>
    <xf numFmtId="0" fontId="38" fillId="0" borderId="76" xfId="0" applyFont="1" applyBorder="1" applyAlignment="1" applyProtection="1">
      <alignment horizontal="center" vertical="center"/>
      <protection locked="0"/>
    </xf>
    <xf numFmtId="0" fontId="38" fillId="0" borderId="172" xfId="0" applyFont="1" applyBorder="1" applyAlignment="1" applyProtection="1">
      <alignment horizontal="center" vertical="center"/>
      <protection locked="0"/>
    </xf>
    <xf numFmtId="0" fontId="45" fillId="0" borderId="28" xfId="0" applyFont="1" applyBorder="1" applyProtection="1"/>
    <xf numFmtId="0" fontId="38" fillId="0" borderId="173" xfId="0" applyFont="1" applyBorder="1" applyProtection="1"/>
    <xf numFmtId="0" fontId="45" fillId="0" borderId="173" xfId="0" applyFont="1" applyBorder="1" applyProtection="1"/>
    <xf numFmtId="0" fontId="45" fillId="0" borderId="32" xfId="0" applyFont="1" applyBorder="1" applyProtection="1"/>
    <xf numFmtId="0" fontId="50" fillId="19" borderId="41" xfId="0" applyFont="1" applyFill="1" applyBorder="1" applyAlignment="1" applyProtection="1">
      <alignment horizontal="left"/>
    </xf>
    <xf numFmtId="0" fontId="50" fillId="19" borderId="42" xfId="0" applyFont="1" applyFill="1" applyBorder="1" applyAlignment="1" applyProtection="1">
      <alignment horizontal="left"/>
    </xf>
    <xf numFmtId="0" fontId="50" fillId="19" borderId="174" xfId="0" applyFont="1" applyFill="1" applyBorder="1" applyAlignment="1" applyProtection="1">
      <alignment horizontal="left"/>
    </xf>
    <xf numFmtId="0" fontId="38" fillId="0" borderId="175" xfId="0" applyFont="1" applyBorder="1" applyAlignment="1" applyProtection="1">
      <alignment horizontal="left"/>
      <protection locked="0"/>
    </xf>
    <xf numFmtId="0" fontId="38" fillId="0" borderId="176" xfId="0" applyFont="1" applyBorder="1" applyAlignment="1" applyProtection="1">
      <alignment horizontal="left"/>
      <protection locked="0"/>
    </xf>
    <xf numFmtId="0" fontId="38" fillId="0" borderId="177" xfId="0" applyFont="1" applyBorder="1" applyAlignment="1" applyProtection="1">
      <alignment horizontal="left"/>
      <protection locked="0"/>
    </xf>
    <xf numFmtId="0" fontId="38" fillId="0" borderId="178" xfId="0" applyFont="1" applyBorder="1" applyProtection="1"/>
    <xf numFmtId="0" fontId="38" fillId="0" borderId="179" xfId="0" applyFont="1" applyBorder="1" applyProtection="1"/>
    <xf numFmtId="0" fontId="38" fillId="0" borderId="180" xfId="0" applyFont="1" applyBorder="1" applyProtection="1"/>
    <xf numFmtId="0" fontId="50" fillId="19" borderId="83" xfId="0" applyFont="1" applyFill="1" applyBorder="1" applyAlignment="1" applyProtection="1">
      <alignment horizontal="left"/>
    </xf>
    <xf numFmtId="0" fontId="38" fillId="0" borderId="181" xfId="0" applyFont="1" applyBorder="1" applyAlignment="1" applyProtection="1">
      <alignment horizontal="left"/>
      <protection locked="0"/>
    </xf>
    <xf numFmtId="0" fontId="50" fillId="19" borderId="182" xfId="0" applyFont="1" applyFill="1" applyBorder="1" applyAlignment="1" applyProtection="1">
      <alignment horizontal="left"/>
    </xf>
    <xf numFmtId="0" fontId="50" fillId="19" borderId="183" xfId="0" applyFont="1" applyFill="1" applyBorder="1" applyAlignment="1" applyProtection="1">
      <alignment horizontal="left"/>
    </xf>
    <xf numFmtId="0" fontId="38" fillId="0" borderId="41" xfId="0" applyFont="1" applyBorder="1" applyAlignment="1" applyProtection="1">
      <alignment horizontal="left"/>
      <protection locked="0"/>
    </xf>
    <xf numFmtId="0" fontId="38" fillId="0" borderId="42" xfId="0" applyFont="1" applyBorder="1" applyAlignment="1" applyProtection="1">
      <alignment horizontal="left"/>
      <protection locked="0"/>
    </xf>
    <xf numFmtId="0" fontId="38" fillId="0" borderId="43" xfId="0" applyFont="1" applyBorder="1" applyAlignment="1" applyProtection="1">
      <alignment horizontal="left"/>
      <protection locked="0"/>
    </xf>
    <xf numFmtId="0" fontId="48" fillId="20" borderId="41" xfId="0" applyFont="1" applyFill="1" applyBorder="1" applyAlignment="1" applyProtection="1">
      <alignment horizontal="left"/>
    </xf>
    <xf numFmtId="0" fontId="48" fillId="20" borderId="42" xfId="0" applyFont="1" applyFill="1" applyBorder="1" applyAlignment="1" applyProtection="1">
      <alignment horizontal="left"/>
    </xf>
    <xf numFmtId="0" fontId="48" fillId="20" borderId="184" xfId="0" applyFont="1" applyFill="1" applyBorder="1" applyAlignment="1" applyProtection="1">
      <alignment horizontal="left"/>
    </xf>
    <xf numFmtId="0" fontId="38" fillId="0" borderId="170" xfId="0" applyFont="1" applyBorder="1" applyAlignment="1" applyProtection="1">
      <alignment horizontal="left"/>
      <protection locked="0"/>
    </xf>
    <xf numFmtId="0" fontId="38" fillId="0" borderId="19" xfId="0" applyFont="1" applyBorder="1" applyAlignment="1" applyProtection="1">
      <alignment horizontal="left"/>
      <protection locked="0"/>
    </xf>
    <xf numFmtId="0" fontId="38" fillId="0" borderId="20" xfId="0" applyFont="1" applyBorder="1" applyAlignment="1" applyProtection="1">
      <alignment horizontal="left"/>
      <protection locked="0"/>
    </xf>
    <xf numFmtId="0" fontId="38" fillId="0" borderId="132" xfId="0" applyFont="1" applyBorder="1" applyAlignment="1" applyProtection="1">
      <alignment horizontal="left"/>
    </xf>
    <xf numFmtId="0" fontId="38" fillId="0" borderId="28" xfId="0" applyFont="1" applyBorder="1" applyAlignment="1" applyProtection="1">
      <alignment wrapText="1"/>
    </xf>
    <xf numFmtId="0" fontId="38" fillId="0" borderId="185" xfId="0" applyFont="1" applyBorder="1" applyAlignment="1" applyProtection="1">
      <alignment wrapText="1"/>
    </xf>
    <xf numFmtId="0" fontId="38" fillId="0" borderId="29" xfId="0" applyFont="1" applyBorder="1" applyAlignment="1" applyProtection="1">
      <alignment wrapText="1"/>
    </xf>
    <xf numFmtId="0" fontId="38" fillId="0" borderId="30" xfId="0" applyFont="1" applyBorder="1" applyAlignment="1" applyProtection="1">
      <alignment wrapText="1"/>
    </xf>
    <xf numFmtId="0" fontId="51" fillId="0" borderId="71" xfId="0" applyFont="1" applyBorder="1" applyAlignment="1" applyProtection="1">
      <alignment vertical="center" shrinkToFit="1"/>
    </xf>
    <xf numFmtId="0" fontId="52" fillId="0" borderId="186" xfId="0" applyFont="1" applyBorder="1" applyAlignment="1" applyProtection="1">
      <alignment horizontal="center"/>
    </xf>
    <xf numFmtId="0" fontId="52" fillId="0" borderId="187" xfId="0" applyFont="1" applyBorder="1" applyAlignment="1" applyProtection="1">
      <alignment horizontal="center"/>
    </xf>
    <xf numFmtId="0" fontId="38" fillId="0" borderId="188" xfId="0" applyFont="1" applyBorder="1" applyProtection="1"/>
    <xf numFmtId="0" fontId="38" fillId="0" borderId="189" xfId="0" applyFont="1" applyBorder="1" applyProtection="1"/>
    <xf numFmtId="0" fontId="38" fillId="0" borderId="190" xfId="0" applyFont="1" applyBorder="1" applyProtection="1"/>
    <xf numFmtId="0" fontId="38" fillId="0" borderId="191" xfId="0" applyFont="1" applyBorder="1" applyAlignment="1" applyProtection="1">
      <alignment horizontal="left" vertical="top" wrapText="1"/>
    </xf>
    <xf numFmtId="0" fontId="38" fillId="0" borderId="28" xfId="0" applyFont="1" applyBorder="1" applyAlignment="1" applyProtection="1">
      <alignment horizontal="left" vertical="top" wrapText="1"/>
    </xf>
    <xf numFmtId="0" fontId="48" fillId="0" borderId="28" xfId="0" applyFont="1" applyBorder="1" applyAlignment="1" applyProtection="1">
      <alignment horizontal="left" vertical="top" wrapText="1"/>
    </xf>
    <xf numFmtId="0" fontId="38" fillId="0" borderId="31" xfId="0" applyFont="1" applyBorder="1" applyAlignment="1" applyProtection="1">
      <alignment vertical="top" wrapText="1"/>
    </xf>
    <xf numFmtId="0" fontId="48" fillId="0" borderId="85" xfId="0" applyFont="1" applyBorder="1" applyAlignment="1" applyProtection="1">
      <alignment horizontal="left" vertical="top" wrapText="1"/>
    </xf>
    <xf numFmtId="0" fontId="48" fillId="0" borderId="132" xfId="0" applyFont="1" applyBorder="1" applyAlignment="1" applyProtection="1">
      <alignment horizontal="left" vertical="top" wrapText="1"/>
    </xf>
    <xf numFmtId="0" fontId="38" fillId="0" borderId="85" xfId="0" applyFont="1" applyBorder="1" applyAlignment="1" applyProtection="1">
      <alignment horizontal="left" vertical="top" wrapText="1"/>
    </xf>
    <xf numFmtId="0" fontId="38" fillId="0" borderId="132" xfId="0" applyFont="1" applyBorder="1" applyAlignment="1" applyProtection="1">
      <alignment horizontal="left" vertical="top" wrapText="1"/>
    </xf>
    <xf numFmtId="0" fontId="48" fillId="0" borderId="30" xfId="0" applyFont="1" applyBorder="1" applyAlignment="1" applyProtection="1">
      <alignment horizontal="left"/>
    </xf>
    <xf numFmtId="0" fontId="48" fillId="0" borderId="192" xfId="0" applyFont="1" applyBorder="1" applyAlignment="1" applyProtection="1">
      <alignment horizontal="left"/>
    </xf>
    <xf numFmtId="0" fontId="53" fillId="0" borderId="71" xfId="0" applyFont="1" applyBorder="1" applyAlignment="1" applyProtection="1">
      <alignment vertical="center" shrinkToFit="1"/>
    </xf>
    <xf numFmtId="0" fontId="53" fillId="0" borderId="0" xfId="0" applyFont="1" applyBorder="1" applyAlignment="1" applyProtection="1">
      <alignment vertical="center" shrinkToFit="1"/>
    </xf>
    <xf numFmtId="0" fontId="38" fillId="0" borderId="193" xfId="0" applyFont="1" applyBorder="1" applyProtection="1"/>
    <xf numFmtId="0" fontId="38" fillId="0" borderId="194" xfId="0" applyFont="1" applyBorder="1" applyProtection="1"/>
    <xf numFmtId="0" fontId="54" fillId="0" borderId="85" xfId="0" applyFont="1" applyBorder="1" applyAlignment="1" applyProtection="1">
      <alignment horizontal="center" vertical="center" wrapText="1" shrinkToFit="1"/>
      <protection locked="0"/>
    </xf>
    <xf numFmtId="0" fontId="38" fillId="0" borderId="132" xfId="0" applyFont="1" applyBorder="1" applyAlignment="1" applyProtection="1">
      <alignment horizontal="left" vertical="top" wrapText="1"/>
      <protection locked="0"/>
    </xf>
    <xf numFmtId="0" fontId="38" fillId="0" borderId="132" xfId="0" applyFont="1" applyBorder="1" applyAlignment="1" applyProtection="1">
      <alignment horizontal="left" vertical="center" wrapText="1" shrinkToFit="1"/>
    </xf>
    <xf numFmtId="0" fontId="38" fillId="0" borderId="29" xfId="0" applyFont="1" applyBorder="1" applyAlignment="1" applyProtection="1">
      <alignment horizontal="left" vertical="top" wrapText="1"/>
    </xf>
    <xf numFmtId="0" fontId="48" fillId="0" borderId="30" xfId="0" applyFont="1" applyBorder="1" applyAlignment="1" applyProtection="1">
      <alignment horizontal="left" vertical="top" wrapText="1"/>
    </xf>
    <xf numFmtId="0" fontId="38" fillId="0" borderId="30" xfId="0" applyFont="1" applyBorder="1" applyAlignment="1" applyProtection="1">
      <alignment vertical="top" wrapText="1"/>
    </xf>
    <xf numFmtId="0" fontId="38" fillId="0" borderId="98" xfId="0" applyFont="1" applyBorder="1" applyAlignment="1" applyProtection="1">
      <alignment vertical="top" wrapText="1"/>
    </xf>
    <xf numFmtId="0" fontId="38" fillId="0" borderId="30" xfId="0" applyFont="1" applyBorder="1" applyAlignment="1" applyProtection="1">
      <alignment horizontal="left" vertical="top" wrapText="1"/>
    </xf>
    <xf numFmtId="0" fontId="38" fillId="0" borderId="192" xfId="0" applyFont="1" applyBorder="1" applyAlignment="1" applyProtection="1">
      <alignment horizontal="left" vertical="top" wrapText="1"/>
    </xf>
    <xf numFmtId="0" fontId="38" fillId="0" borderId="30" xfId="0" applyFont="1" applyBorder="1" applyAlignment="1" applyProtection="1">
      <alignment horizontal="left"/>
    </xf>
    <xf numFmtId="0" fontId="55" fillId="11" borderId="0" xfId="0" applyFont="1" applyFill="1" applyBorder="1" applyAlignment="1" applyProtection="1">
      <alignment vertical="center" shrinkToFit="1"/>
      <protection locked="0"/>
    </xf>
    <xf numFmtId="0" fontId="38" fillId="0" borderId="30" xfId="0" applyFont="1" applyBorder="1" applyAlignment="1" applyProtection="1">
      <alignment horizontal="left"/>
      <protection locked="0"/>
    </xf>
    <xf numFmtId="0" fontId="38" fillId="0" borderId="98" xfId="0" applyFont="1" applyBorder="1" applyAlignment="1" applyProtection="1">
      <alignment horizontal="left" vertical="top" wrapText="1"/>
    </xf>
    <xf numFmtId="0" fontId="38" fillId="0" borderId="40" xfId="0" applyFont="1" applyBorder="1" applyAlignment="1" applyProtection="1">
      <alignment horizontal="left" vertical="top" wrapText="1"/>
    </xf>
    <xf numFmtId="0" fontId="48" fillId="0" borderId="98" xfId="0" applyFont="1" applyBorder="1" applyAlignment="1" applyProtection="1">
      <alignment horizontal="left" vertical="top" wrapText="1"/>
    </xf>
    <xf numFmtId="0" fontId="48" fillId="0" borderId="40" xfId="0" applyFont="1" applyBorder="1" applyAlignment="1" applyProtection="1">
      <alignment horizontal="left" vertical="top" wrapText="1"/>
    </xf>
    <xf numFmtId="0" fontId="38" fillId="0" borderId="195" xfId="0" applyFont="1" applyBorder="1" applyProtection="1"/>
    <xf numFmtId="0" fontId="38" fillId="0" borderId="196" xfId="0" applyFont="1" applyBorder="1" applyProtection="1"/>
    <xf numFmtId="0" fontId="38" fillId="0" borderId="197" xfId="0" applyFont="1" applyBorder="1" applyProtection="1"/>
    <xf numFmtId="0" fontId="53" fillId="0" borderId="61" xfId="0" applyFont="1" applyBorder="1" applyAlignment="1" applyProtection="1">
      <alignment vertical="center" shrinkToFit="1"/>
    </xf>
    <xf numFmtId="0" fontId="55" fillId="11" borderId="22" xfId="0" applyFont="1" applyFill="1" applyBorder="1" applyAlignment="1" applyProtection="1">
      <alignment vertical="center" shrinkToFit="1"/>
    </xf>
    <xf numFmtId="0" fontId="53" fillId="0" borderId="22" xfId="0" applyFont="1" applyBorder="1" applyAlignment="1" applyProtection="1">
      <alignment vertical="center" shrinkToFit="1"/>
    </xf>
    <xf numFmtId="0" fontId="38" fillId="0" borderId="30" xfId="0" applyFont="1" applyBorder="1" applyProtection="1">
      <protection locked="0"/>
    </xf>
    <xf numFmtId="0" fontId="38" fillId="0" borderId="193" xfId="0" applyFont="1" applyBorder="1" applyProtection="1">
      <protection locked="0"/>
    </xf>
    <xf numFmtId="0" fontId="38" fillId="0" borderId="173" xfId="0" applyFont="1" applyBorder="1" applyAlignment="1" applyProtection="1">
      <alignment horizontal="left"/>
    </xf>
    <xf numFmtId="0" fontId="38" fillId="0" borderId="173" xfId="0" applyFont="1" applyBorder="1" applyAlignment="1" applyProtection="1">
      <alignment horizontal="left"/>
      <protection locked="0"/>
    </xf>
    <xf numFmtId="0" fontId="38" fillId="0" borderId="198" xfId="0" applyFont="1" applyBorder="1" applyProtection="1"/>
    <xf numFmtId="0" fontId="51" fillId="0" borderId="41" xfId="0" applyFont="1" applyBorder="1" applyAlignment="1" applyProtection="1">
      <alignment vertical="center" shrinkToFit="1"/>
    </xf>
    <xf numFmtId="0" fontId="38" fillId="0" borderId="47" xfId="0" applyFont="1" applyBorder="1" applyAlignment="1" applyProtection="1">
      <alignment horizontal="left"/>
    </xf>
    <xf numFmtId="0" fontId="38" fillId="0" borderId="181" xfId="0" applyFont="1" applyBorder="1" applyProtection="1"/>
    <xf numFmtId="0" fontId="56" fillId="0" borderId="199" xfId="0" applyFont="1" applyBorder="1" applyAlignment="1" applyProtection="1">
      <alignment horizontal="left" wrapText="1"/>
    </xf>
    <xf numFmtId="0" fontId="56" fillId="0" borderId="164" xfId="0" applyFont="1" applyBorder="1" applyAlignment="1" applyProtection="1">
      <alignment horizontal="left" wrapText="1"/>
    </xf>
    <xf numFmtId="0" fontId="56" fillId="0" borderId="200" xfId="0" applyFont="1" applyBorder="1" applyAlignment="1" applyProtection="1">
      <alignment horizontal="left" wrapText="1"/>
    </xf>
    <xf numFmtId="0" fontId="56" fillId="0" borderId="201" xfId="0" applyFont="1" applyBorder="1" applyAlignment="1" applyProtection="1">
      <alignment horizontal="left" wrapText="1"/>
    </xf>
    <xf numFmtId="0" fontId="56" fillId="0" borderId="0" xfId="0" applyFont="1" applyAlignment="1" applyProtection="1">
      <alignment horizontal="left" wrapText="1"/>
    </xf>
    <xf numFmtId="0" fontId="56" fillId="0" borderId="36" xfId="0" applyFont="1" applyBorder="1" applyAlignment="1" applyProtection="1">
      <alignment horizontal="left" wrapText="1"/>
    </xf>
    <xf numFmtId="0" fontId="53" fillId="0" borderId="99" xfId="0" applyFont="1" applyBorder="1" applyAlignment="1" applyProtection="1">
      <alignment vertical="center" shrinkToFit="1"/>
    </xf>
    <xf numFmtId="0" fontId="55" fillId="11" borderId="19" xfId="0" applyFont="1" applyFill="1" applyBorder="1" applyAlignment="1" applyProtection="1">
      <alignment vertical="center" shrinkToFit="1"/>
      <protection locked="0"/>
    </xf>
    <xf numFmtId="0" fontId="38" fillId="0" borderId="196" xfId="0" applyFont="1" applyBorder="1" applyProtection="1">
      <protection locked="0"/>
    </xf>
    <xf numFmtId="0" fontId="38" fillId="0" borderId="197" xfId="0" applyFont="1" applyBorder="1" applyProtection="1">
      <protection locked="0"/>
    </xf>
    <xf numFmtId="0" fontId="38" fillId="0" borderId="28" xfId="0" applyFont="1" applyBorder="1" applyAlignment="1" applyProtection="1">
      <alignment horizontal="left" vertical="top" wrapText="1"/>
      <protection locked="0"/>
    </xf>
    <xf numFmtId="0" fontId="38" fillId="0" borderId="195" xfId="0" applyFont="1" applyBorder="1" applyAlignment="1" applyProtection="1">
      <alignment horizontal="left" vertical="top" wrapText="1"/>
    </xf>
    <xf numFmtId="0" fontId="38" fillId="0" borderId="196" xfId="0" applyFont="1" applyBorder="1" applyAlignment="1" applyProtection="1">
      <alignment horizontal="left" vertical="top" wrapText="1"/>
    </xf>
    <xf numFmtId="0" fontId="56" fillId="0" borderId="202" xfId="0" applyFont="1" applyBorder="1" applyAlignment="1" applyProtection="1">
      <alignment horizontal="left" wrapText="1"/>
    </xf>
    <xf numFmtId="0" fontId="56" fillId="0" borderId="19" xfId="0" applyFont="1" applyBorder="1" applyAlignment="1" applyProtection="1">
      <alignment horizontal="left" wrapText="1"/>
    </xf>
    <xf numFmtId="0" fontId="56" fillId="0" borderId="84" xfId="0" applyFont="1" applyBorder="1" applyAlignment="1" applyProtection="1">
      <alignment horizontal="left" wrapText="1"/>
    </xf>
    <xf numFmtId="0" fontId="38" fillId="0" borderId="203" xfId="0" applyFont="1" applyBorder="1" applyAlignment="1" applyProtection="1">
      <alignment horizontal="left" vertical="top" wrapText="1"/>
    </xf>
    <xf numFmtId="0" fontId="38" fillId="0" borderId="204" xfId="0" applyFont="1" applyBorder="1" applyAlignment="1" applyProtection="1">
      <alignment horizontal="left" vertical="top" wrapText="1"/>
    </xf>
    <xf numFmtId="0" fontId="57" fillId="0" borderId="0" xfId="50" applyFont="1" applyFill="1" applyBorder="1" applyAlignment="1" applyProtection="1">
      <alignment horizontal="left" vertical="center" shrinkToFit="1"/>
    </xf>
    <xf numFmtId="0" fontId="48" fillId="0" borderId="98" xfId="0" applyFont="1" applyBorder="1" applyAlignment="1" applyProtection="1">
      <alignment vertical="top" wrapText="1"/>
    </xf>
    <xf numFmtId="0" fontId="38" fillId="0" borderId="199" xfId="0" applyFont="1" applyBorder="1" applyAlignment="1" applyProtection="1">
      <alignmen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33">
    <dxf>
      <fill>
        <patternFill patternType="solid">
          <bgColor rgb="FFE8EDF8"/>
        </patternFill>
      </fill>
    </dxf>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ont>
        <b val="0"/>
        <i val="1"/>
      </font>
      <fill>
        <patternFill patternType="solid">
          <bgColor rgb="FFFFB9B9"/>
        </patternFill>
      </fill>
    </dxf>
    <dxf>
      <font>
        <b val="0"/>
        <i val="1"/>
      </font>
      <fill>
        <patternFill patternType="solid">
          <bgColor rgb="FFFFFFBD"/>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rgb="FFFFFFFF"/>
      </font>
      <numFmt numFmtId="181" formatCode=";;;"/>
      <fill>
        <patternFill patternType="solid">
          <fgColor rgb="FFFFFFFF"/>
          <bgColor rgb="FFFFFFFF"/>
        </patternFill>
      </fill>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rgb="FFFFFFFF"/>
      </font>
      <fill>
        <patternFill patternType="solid">
          <bgColor rgb="FFFFFFFF"/>
        </patternFill>
      </fill>
    </dxf>
    <dxf/>
    <dxf/>
    <dxf/>
    <dxf/>
    <dxf/>
    <dxf/>
    <dxf/>
    <dxf/>
    <dxf/>
    <dxf/>
    <dxf/>
    <dxf>
      <font>
        <color rgb="FFFFFFFF"/>
      </font>
      <numFmt numFmtId="182" formatCode=";;;"/>
      <fill>
        <patternFill patternType="solid">
          <bgColor rgb="FFFFFFFF"/>
        </patternFill>
      </fill>
    </dxf>
    <dxf>
      <font>
        <color theme="4" tint="0.79985961485641"/>
      </font>
    </dxf>
  </dxfs>
  <tableStyles count="1" defaultTableStyle="TableStyleMedium2" defaultPivotStyle="PivotStyleLight16">
    <tableStyle name="基本相间" pivot="0" count="1" xr9:uid="{A80111AC-5A5B-4048-8321-E3C826F19BAF}">
      <tableStyleElement type="secondRowStripe" dxfId="32"/>
    </tableStyle>
  </tableStyles>
  <colors>
    <mruColors>
      <color rgb="00B4C6E7"/>
      <color rgb="00FF7D7D"/>
      <color rgb="00FFB9B9"/>
      <color rgb="00FFFFBD"/>
      <color rgb="00FFFF7D"/>
      <color rgb="00FF8B8B"/>
      <color rgb="00F6F8FC"/>
      <color rgb="00F0F3FA"/>
      <color rgb="00E8ED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ables/table6.xml><?xml version="1.0" encoding="utf-8"?>
<table xmlns="http://schemas.openxmlformats.org/spreadsheetml/2006/main" id="111" name="DGArchive" displayName="DGArchive" ref="A95:K1095" totalsRowShown="0">
  <tableColumns count="11">
    <tableColumn id="1" name="模组" dataDxfId="20"/>
    <tableColumn id="2" name="阶段" dataDxfId="21"/>
    <tableColumn id="3" name="游戏内日期" dataDxfId="22"/>
    <tableColumn id="4" name="目标" dataDxfId="23"/>
    <tableColumn id="5" name="变更前" dataDxfId="24"/>
    <tableColumn id="6" name="增减" dataDxfId="25"/>
    <tableColumn id="7" name="变更后" dataDxfId="26"/>
    <tableColumn id="8" name="事件／活动" dataDxfId="27"/>
    <tableColumn id="9" name="记录编号" dataDxfId="28"/>
    <tableColumn id="10" name="已计变化" dataDxfId="29">
      <calculatedColumnFormula>IF(DGArchive[[#This Row],[目标]]="","",INDEX(幕间计算!$E$200:$E$1199,ROW()-ROW(DGArchive[#Headers])))</calculatedColumnFormula>
    </tableColumn>
    <tableColumn id="11" name="校验" dataDxfId="30">
      <calculatedColumnFormula>IF(DGArchive[[#This Row],[目标]]="","",INDEX(幕间计算!$F$200:$F$1199,ROW()-ROW(DGArchive[#Headers])))</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reenbox.thebackstop.app/"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greenbox.thebackstop.app/"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hyperlink" Target="https://greenbox.thebackstop.app/"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greenbox.thebackstop.app/" TargetMode="External"/><Relationship Id="rId2" Type="http://schemas.openxmlformats.org/officeDocument/2006/relationships/hyperlink" Target="https://github.com/Shylosia/DeltaGreen" TargetMode="External"/><Relationship Id="rId1" Type="http://schemas.openxmlformats.org/officeDocument/2006/relationships/hyperlink" Target="mailto:dkw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zoomScale="85" zoomScaleNormal="85" workbookViewId="0">
      <selection activeCell="DR55" sqref="DR55:EY55"/>
    </sheetView>
  </sheetViews>
  <sheetFormatPr defaultColWidth="4.25" defaultRowHeight="14.15" customHeight="1"/>
  <cols>
    <col min="1" max="1" width="1.08333333333333" style="174" customWidth="1"/>
    <col min="2" max="59" width="1.58333333333333" style="175"/>
    <col min="60" max="60" width="1.08333333333333" style="175" customWidth="1"/>
    <col min="61" max="102" width="1.58333333333333" style="175"/>
    <col min="103" max="103" width="1.16666666666667" style="175" customWidth="1"/>
    <col min="104" max="104" width="2" style="175" customWidth="1"/>
    <col min="105" max="137" width="1.58333333333333" style="175"/>
    <col min="138" max="138" width="1.16666666666667" style="175" customWidth="1"/>
    <col min="139" max="160" width="1.58333333333333" style="175" customWidth="1"/>
    <col min="161" max="16384" width="4.25" style="175"/>
  </cols>
  <sheetData>
    <row r="1" s="173" customFormat="1" ht="4.9" customHeight="1" spans="1:156">
      <c r="A1" s="176"/>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3"/>
      <c r="AB1" s="178"/>
      <c r="AC1" s="178"/>
      <c r="AD1" s="178"/>
      <c r="AE1" s="178"/>
      <c r="AF1" s="178"/>
      <c r="AG1" s="178"/>
      <c r="AH1" s="178"/>
      <c r="AI1" s="178"/>
      <c r="AJ1" s="178"/>
      <c r="AK1" s="178"/>
      <c r="AL1" s="178"/>
      <c r="AM1" s="178"/>
      <c r="AN1" s="178"/>
      <c r="AO1" s="178"/>
      <c r="AP1" s="178"/>
      <c r="AQ1" s="179"/>
      <c r="AR1" s="180"/>
      <c r="AS1" s="180"/>
      <c r="AT1" s="180"/>
      <c r="AU1" s="180"/>
      <c r="AV1" s="180"/>
      <c r="AW1" s="180"/>
      <c r="AX1" s="180"/>
      <c r="AY1" s="180"/>
      <c r="AZ1" s="180"/>
      <c r="BA1" s="180"/>
      <c r="BB1" s="180"/>
      <c r="BC1" s="180"/>
      <c r="BD1" s="180"/>
      <c r="BE1" s="180"/>
      <c r="BF1" s="180"/>
      <c r="BG1" s="181"/>
      <c r="BH1" s="175"/>
      <c r="BI1" s="182"/>
      <c r="BJ1" s="177"/>
      <c r="BK1" s="177"/>
      <c r="BL1" s="177"/>
      <c r="BM1" s="177"/>
      <c r="BN1" s="177"/>
      <c r="BO1" s="177"/>
      <c r="BP1" s="177"/>
      <c r="BQ1" s="177"/>
      <c r="BR1" s="177"/>
      <c r="BS1" s="177"/>
      <c r="BT1" s="177"/>
      <c r="BU1" s="177"/>
      <c r="BV1" s="177"/>
      <c r="BW1" s="177"/>
      <c r="BX1" s="177"/>
      <c r="BY1" s="177"/>
      <c r="BZ1" s="177"/>
      <c r="CA1" s="177"/>
      <c r="CB1" s="177"/>
      <c r="CC1" s="177"/>
      <c r="CD1" s="177"/>
      <c r="CE1" s="177"/>
      <c r="CF1" s="177"/>
      <c r="CG1" s="177"/>
      <c r="CH1" s="177"/>
      <c r="CI1" s="177"/>
      <c r="CJ1" s="177"/>
      <c r="CK1" s="177"/>
      <c r="CL1" s="177"/>
      <c r="CM1" s="177"/>
      <c r="CN1" s="177"/>
      <c r="CO1" s="177"/>
      <c r="CP1" s="177"/>
      <c r="CQ1" s="177"/>
      <c r="CR1" s="177"/>
      <c r="CS1" s="177"/>
      <c r="CT1" s="177"/>
      <c r="CU1" s="177"/>
      <c r="CV1" s="177"/>
      <c r="CW1" s="177"/>
      <c r="CX1" s="177"/>
      <c r="CY1" s="173"/>
      <c r="CZ1" s="183" t="s">
        <v>0</v>
      </c>
      <c r="DA1" s="184"/>
      <c r="DB1" s="185"/>
      <c r="DC1" s="186"/>
      <c r="DD1" s="187"/>
      <c r="DE1" s="187"/>
      <c r="DF1" s="187"/>
      <c r="DG1" s="187"/>
      <c r="DH1" s="187"/>
      <c r="DI1" s="187"/>
      <c r="DJ1" s="187"/>
      <c r="DK1" s="187"/>
      <c r="DL1" s="187"/>
      <c r="DM1" s="187"/>
      <c r="DN1" s="187"/>
      <c r="DO1" s="187"/>
      <c r="DP1" s="187"/>
      <c r="DQ1" s="187"/>
      <c r="DR1" s="187"/>
      <c r="DS1" s="187"/>
      <c r="DT1" s="187"/>
      <c r="DU1" s="187"/>
      <c r="DV1" s="187"/>
      <c r="DW1" s="187"/>
      <c r="DX1" s="187"/>
      <c r="DY1" s="187"/>
      <c r="DZ1" s="187"/>
      <c r="EA1" s="187"/>
      <c r="EB1" s="187"/>
      <c r="EC1" s="187"/>
      <c r="ED1" s="187"/>
      <c r="EE1" s="187"/>
      <c r="EF1" s="188"/>
      <c r="EG1" s="189"/>
      <c r="EH1" s="190"/>
      <c r="EI1" s="182"/>
      <c r="EJ1" s="177"/>
      <c r="EK1" s="177"/>
      <c r="EL1" s="177"/>
      <c r="EM1" s="177"/>
      <c r="EN1" s="177"/>
      <c r="EO1" s="177"/>
      <c r="EP1" s="177"/>
      <c r="EQ1" s="177"/>
      <c r="ER1" s="177"/>
      <c r="ES1" s="177"/>
      <c r="ET1" s="177"/>
      <c r="EU1" s="177"/>
      <c r="EV1" s="177"/>
      <c r="EW1" s="177"/>
      <c r="EX1" s="177"/>
      <c r="EY1" s="177"/>
    </row>
    <row r="2" customHeight="1" spans="1:156">
      <c r="A2" s="191"/>
      <c r="B2" s="192" t="s">
        <v>1</v>
      </c>
      <c r="C2" s="193"/>
      <c r="D2" s="193"/>
      <c r="E2" s="193"/>
      <c r="F2" s="193"/>
      <c r="G2" s="193"/>
      <c r="H2" s="193"/>
      <c r="I2" s="193"/>
      <c r="J2" s="193"/>
      <c r="K2" s="193"/>
      <c r="L2" s="193"/>
      <c r="M2" s="193"/>
      <c r="N2" s="193"/>
      <c r="O2" s="193"/>
      <c r="P2" s="193"/>
      <c r="Q2" s="193"/>
      <c r="R2" s="193"/>
      <c r="S2" s="193"/>
      <c r="T2" s="193"/>
      <c r="U2" s="193"/>
      <c r="V2" s="193"/>
      <c r="W2" s="193"/>
      <c r="X2" s="193"/>
      <c r="Y2" s="193"/>
      <c r="Z2" s="194"/>
      <c r="AA2" s="191"/>
      <c r="AB2" s="192" t="s">
        <v>2</v>
      </c>
      <c r="AC2" s="193"/>
      <c r="AD2" s="193"/>
      <c r="AE2" s="193"/>
      <c r="AF2" s="193"/>
      <c r="AG2" s="193"/>
      <c r="AH2" s="195" t="s">
        <v>3</v>
      </c>
      <c r="AI2" s="195"/>
      <c r="AJ2" s="195"/>
      <c r="AK2" s="195" t="s">
        <v>4</v>
      </c>
      <c r="AL2" s="195"/>
      <c r="AM2" s="195"/>
      <c r="AN2" s="195" t="s">
        <v>5</v>
      </c>
      <c r="AO2" s="195"/>
      <c r="AP2" s="195"/>
      <c r="AQ2" s="195" t="s">
        <v>6</v>
      </c>
      <c r="AR2" s="195"/>
      <c r="AS2" s="195"/>
      <c r="AT2" s="195"/>
      <c r="AU2" s="195"/>
      <c r="AV2" s="195"/>
      <c r="AW2" s="195"/>
      <c r="AX2" s="195"/>
      <c r="AY2" s="195"/>
      <c r="AZ2" s="195"/>
      <c r="BA2" s="195"/>
      <c r="BB2" s="195"/>
      <c r="BC2" s="195"/>
      <c r="BD2" s="195"/>
      <c r="BE2" s="195"/>
      <c r="BF2" s="195"/>
      <c r="BG2" s="196"/>
      <c r="BH2" s="197"/>
      <c r="BI2" s="198" t="s">
        <v>7</v>
      </c>
      <c r="BJ2" s="199"/>
      <c r="BK2" s="199"/>
      <c r="BL2" s="199"/>
      <c r="BM2" s="199"/>
      <c r="BN2" s="199"/>
      <c r="BO2" s="199"/>
      <c r="BP2" s="199"/>
      <c r="BQ2" s="199"/>
      <c r="BR2" s="199"/>
      <c r="BS2" s="199"/>
      <c r="BT2" s="199"/>
      <c r="BU2" s="199"/>
      <c r="BV2" s="200"/>
      <c r="BW2" s="197"/>
      <c r="BX2" s="193" t="s">
        <v>8</v>
      </c>
      <c r="BY2" s="193"/>
      <c r="BZ2" s="193"/>
      <c r="CA2" s="193"/>
      <c r="CB2" s="193"/>
      <c r="CC2" s="193"/>
      <c r="CD2" s="193"/>
      <c r="CE2" s="193"/>
      <c r="CF2" s="193"/>
      <c r="CG2" s="193"/>
      <c r="CH2" s="193"/>
      <c r="CI2" s="193"/>
      <c r="CJ2" s="193"/>
      <c r="CK2" s="193"/>
      <c r="CL2" s="193"/>
      <c r="CM2" s="193"/>
      <c r="CN2" s="193"/>
      <c r="CO2" s="194"/>
      <c r="CP2" s="201" t="s">
        <v>9</v>
      </c>
      <c r="CQ2" s="201"/>
      <c r="CR2" s="201"/>
      <c r="CS2" s="201"/>
      <c r="CT2" s="201"/>
      <c r="CU2" s="201"/>
      <c r="CV2" s="201"/>
      <c r="CW2" s="201"/>
      <c r="CX2" s="202"/>
      <c r="CY2" s="191"/>
      <c r="CZ2" s="203" t="s">
        <v>10</v>
      </c>
      <c r="DA2" s="204"/>
      <c r="DB2" s="204"/>
      <c r="DC2" s="204"/>
      <c r="DD2" s="204"/>
      <c r="DE2" s="204"/>
      <c r="DF2" s="204"/>
      <c r="DG2" s="204"/>
      <c r="DH2" s="205" t="s">
        <v>11</v>
      </c>
      <c r="DI2" s="206"/>
      <c r="DJ2" s="206"/>
      <c r="DK2" s="206"/>
      <c r="DL2" s="206"/>
      <c r="DM2" s="206"/>
      <c r="DN2" s="206"/>
      <c r="DO2" s="206"/>
      <c r="DP2" s="206"/>
      <c r="DQ2" s="206"/>
      <c r="DR2" s="206"/>
      <c r="DS2" s="206"/>
      <c r="DT2" s="206"/>
      <c r="DU2" s="206"/>
      <c r="DV2" s="206"/>
      <c r="DW2" s="206"/>
      <c r="DX2" s="206"/>
      <c r="DY2" s="206"/>
      <c r="DZ2" s="206"/>
      <c r="EA2" s="206"/>
      <c r="EB2" s="206"/>
      <c r="EC2" s="206"/>
      <c r="ED2" s="206"/>
      <c r="EE2" s="206"/>
      <c r="EF2" s="206"/>
      <c r="EG2" s="207"/>
      <c r="EH2" s="207"/>
      <c r="EI2" s="206"/>
      <c r="EJ2" s="206"/>
      <c r="EK2" s="206"/>
      <c r="EL2" s="206"/>
      <c r="EM2" s="206"/>
      <c r="EN2" s="206"/>
      <c r="EO2" s="206"/>
      <c r="EP2" s="206"/>
      <c r="EQ2" s="206"/>
      <c r="ER2" s="206"/>
      <c r="ES2" s="206"/>
      <c r="ET2" s="206"/>
      <c r="EU2" s="206"/>
      <c r="EV2" s="206"/>
      <c r="EW2" s="206"/>
      <c r="EX2" s="206"/>
      <c r="EY2" s="208"/>
      <c r="EZ2" s="174"/>
    </row>
    <row r="3" customHeight="1" spans="1:156">
      <c r="A3" s="191"/>
      <c r="B3" s="209" t="s">
        <v>12</v>
      </c>
      <c r="C3" s="210"/>
      <c r="D3" s="210"/>
      <c r="E3" s="211"/>
      <c r="F3" s="211"/>
      <c r="G3" s="211"/>
      <c r="H3" s="211"/>
      <c r="I3" s="211"/>
      <c r="J3" s="211"/>
      <c r="K3" s="211"/>
      <c r="L3" s="211"/>
      <c r="M3" s="211"/>
      <c r="N3" s="211"/>
      <c r="O3" s="211"/>
      <c r="P3" s="211"/>
      <c r="Q3" s="211"/>
      <c r="R3" s="211"/>
      <c r="S3" s="211"/>
      <c r="T3" s="211"/>
      <c r="U3" s="211"/>
      <c r="V3" s="211"/>
      <c r="W3" s="211"/>
      <c r="X3" s="211"/>
      <c r="Y3" s="211"/>
      <c r="Z3" s="212"/>
      <c r="AA3" s="191"/>
      <c r="AB3" s="209" t="s">
        <v>13</v>
      </c>
      <c r="AC3" s="210"/>
      <c r="AD3" s="213"/>
      <c r="AE3" s="214" t="s">
        <v>14</v>
      </c>
      <c r="AF3" s="215"/>
      <c r="AG3" s="215"/>
      <c r="AH3" s="216"/>
      <c r="AI3" s="216"/>
      <c r="AJ3" s="216"/>
      <c r="AK3" s="217">
        <f>附表!B2*5</f>
        <v>0</v>
      </c>
      <c r="AL3" s="217"/>
      <c r="AM3" s="217"/>
      <c r="AN3" s="218">
        <f>幕间计算!BF1199</f>
        <v>0</v>
      </c>
      <c r="AO3" s="218"/>
      <c r="AP3" s="218"/>
      <c r="AQ3" s="219"/>
      <c r="AR3" s="220"/>
      <c r="AS3" s="220"/>
      <c r="AT3" s="220"/>
      <c r="AU3" s="220"/>
      <c r="AV3" s="220"/>
      <c r="AW3" s="220"/>
      <c r="AX3" s="220"/>
      <c r="AY3" s="220"/>
      <c r="AZ3" s="220"/>
      <c r="BA3" s="220"/>
      <c r="BB3" s="220"/>
      <c r="BC3" s="220"/>
      <c r="BD3" s="220"/>
      <c r="BE3" s="220"/>
      <c r="BF3" s="220"/>
      <c r="BG3" s="221"/>
      <c r="BH3" s="197"/>
      <c r="BI3" s="222"/>
      <c r="BJ3" s="223"/>
      <c r="BK3" s="223"/>
      <c r="BL3" s="223"/>
      <c r="BM3" s="223"/>
      <c r="BN3" s="223"/>
      <c r="BO3" s="223"/>
      <c r="BP3" s="223"/>
      <c r="BQ3" s="223"/>
      <c r="BR3" s="223"/>
      <c r="BS3" s="223"/>
      <c r="BT3" s="223"/>
      <c r="BU3" s="223"/>
      <c r="BV3" s="224"/>
      <c r="BW3" s="197"/>
      <c r="BX3" s="225"/>
      <c r="BY3" s="226"/>
      <c r="BZ3" s="226"/>
      <c r="CA3" s="226"/>
      <c r="CB3" s="226"/>
      <c r="CC3" s="226"/>
      <c r="CD3" s="226"/>
      <c r="CE3" s="226"/>
      <c r="CF3" s="226"/>
      <c r="CG3" s="226"/>
      <c r="CH3" s="226"/>
      <c r="CI3" s="226"/>
      <c r="CJ3" s="226"/>
      <c r="CK3" s="226"/>
      <c r="CL3" s="226"/>
      <c r="CM3" s="226"/>
      <c r="CN3" s="226"/>
      <c r="CO3" s="226"/>
      <c r="CP3" s="227"/>
      <c r="CQ3" s="227"/>
      <c r="CR3" s="227"/>
      <c r="CS3" s="227"/>
      <c r="CT3" s="227"/>
      <c r="CU3" s="227"/>
      <c r="CV3" s="227"/>
      <c r="CW3" s="227"/>
      <c r="CX3" s="228"/>
      <c r="CY3" s="191"/>
      <c r="CZ3" s="229" t="str">
        <f>IF(装备选项!L6&lt;&gt;"",装备选项!L6,IF(DH2="自定义","",装备选项!L5))</f>
        <v/>
      </c>
      <c r="DA3" s="230"/>
      <c r="DB3" s="230"/>
      <c r="DC3" s="230"/>
      <c r="DD3" s="230"/>
      <c r="DE3" s="230"/>
      <c r="DF3" s="230"/>
      <c r="DG3" s="230"/>
      <c r="DH3" s="230"/>
      <c r="DI3" s="230"/>
      <c r="DJ3" s="230"/>
      <c r="DK3" s="230"/>
      <c r="DL3" s="230"/>
      <c r="DM3" s="230"/>
      <c r="DN3" s="230"/>
      <c r="DO3" s="230"/>
      <c r="DP3" s="230"/>
      <c r="DQ3" s="230"/>
      <c r="DR3" s="231" t="str">
        <f>装备选项!L7</f>
        <v/>
      </c>
      <c r="DS3" s="232"/>
      <c r="DT3" s="232"/>
      <c r="DU3" s="232"/>
      <c r="DV3" s="232"/>
      <c r="DW3" s="232"/>
      <c r="DX3" s="232"/>
      <c r="DY3" s="232"/>
      <c r="DZ3" s="232"/>
      <c r="EA3" s="232"/>
      <c r="EB3" s="232"/>
      <c r="EC3" s="232"/>
      <c r="ED3" s="232"/>
      <c r="EE3" s="232"/>
      <c r="EF3" s="232"/>
      <c r="EG3" s="232"/>
      <c r="EH3" s="232"/>
      <c r="EI3" s="231" t="str">
        <f>IF(AND(DH2&lt;&gt;"自定义",装备选项!L6&lt;&gt;""),装备选项!L5,"")</f>
        <v/>
      </c>
      <c r="EJ3" s="232"/>
      <c r="EK3" s="232"/>
      <c r="EL3" s="232"/>
      <c r="EM3" s="232"/>
      <c r="EN3" s="232"/>
      <c r="EO3" s="232"/>
      <c r="EP3" s="232"/>
      <c r="EQ3" s="232"/>
      <c r="ER3" s="232"/>
      <c r="ES3" s="232"/>
      <c r="ET3" s="232"/>
      <c r="EU3" s="232"/>
      <c r="EV3" s="232"/>
      <c r="EW3" s="232"/>
      <c r="EX3" s="232"/>
      <c r="EY3" s="233"/>
      <c r="EZ3" s="174"/>
    </row>
    <row r="4" customHeight="1" spans="1:156">
      <c r="A4" s="191"/>
      <c r="B4" s="234" t="s">
        <v>15</v>
      </c>
      <c r="C4" s="235"/>
      <c r="D4" s="235"/>
      <c r="E4" s="236"/>
      <c r="F4" s="237"/>
      <c r="G4" s="237"/>
      <c r="H4" s="237"/>
      <c r="I4" s="237"/>
      <c r="J4" s="237"/>
      <c r="K4" s="237"/>
      <c r="L4" s="237"/>
      <c r="M4" s="237"/>
      <c r="N4" s="238" t="s">
        <v>16</v>
      </c>
      <c r="O4" s="239"/>
      <c r="P4" s="240"/>
      <c r="Q4" s="237"/>
      <c r="R4" s="237"/>
      <c r="S4" s="237"/>
      <c r="T4" s="237"/>
      <c r="U4" s="237"/>
      <c r="V4" s="237"/>
      <c r="W4" s="237"/>
      <c r="X4" s="237"/>
      <c r="Y4" s="237"/>
      <c r="Z4" s="241"/>
      <c r="AA4" s="191"/>
      <c r="AB4" s="234" t="s">
        <v>17</v>
      </c>
      <c r="AC4" s="235"/>
      <c r="AD4" s="242"/>
      <c r="AE4" s="243" t="s">
        <v>18</v>
      </c>
      <c r="AF4" s="244"/>
      <c r="AG4" s="244"/>
      <c r="AH4" s="245"/>
      <c r="AI4" s="245"/>
      <c r="AJ4" s="245"/>
      <c r="AK4" s="217">
        <f>附表!B3*5</f>
        <v>0</v>
      </c>
      <c r="AL4" s="217"/>
      <c r="AM4" s="217"/>
      <c r="AN4" s="246">
        <f>幕间计算!BG1199</f>
        <v>0</v>
      </c>
      <c r="AO4" s="246"/>
      <c r="AP4" s="246"/>
      <c r="AQ4" s="247"/>
      <c r="AR4" s="248"/>
      <c r="AS4" s="248"/>
      <c r="AT4" s="248"/>
      <c r="AU4" s="248"/>
      <c r="AV4" s="248"/>
      <c r="AW4" s="248"/>
      <c r="AX4" s="248"/>
      <c r="AY4" s="248"/>
      <c r="AZ4" s="248"/>
      <c r="BA4" s="248"/>
      <c r="BB4" s="248"/>
      <c r="BC4" s="248"/>
      <c r="BD4" s="248"/>
      <c r="BE4" s="248"/>
      <c r="BF4" s="248"/>
      <c r="BG4" s="249"/>
      <c r="BH4" s="197"/>
      <c r="BI4" s="222"/>
      <c r="BJ4" s="223"/>
      <c r="BK4" s="223"/>
      <c r="BL4" s="223"/>
      <c r="BM4" s="223"/>
      <c r="BN4" s="223"/>
      <c r="BO4" s="223"/>
      <c r="BP4" s="223"/>
      <c r="BQ4" s="223"/>
      <c r="BR4" s="223"/>
      <c r="BS4" s="223"/>
      <c r="BT4" s="223"/>
      <c r="BU4" s="223"/>
      <c r="BV4" s="224"/>
      <c r="BW4" s="197"/>
      <c r="BX4" s="250"/>
      <c r="BY4" s="251"/>
      <c r="BZ4" s="251"/>
      <c r="CA4" s="251"/>
      <c r="CB4" s="251"/>
      <c r="CC4" s="251"/>
      <c r="CD4" s="251"/>
      <c r="CE4" s="251"/>
      <c r="CF4" s="251"/>
      <c r="CG4" s="251"/>
      <c r="CH4" s="251"/>
      <c r="CI4" s="251"/>
      <c r="CJ4" s="251"/>
      <c r="CK4" s="251"/>
      <c r="CL4" s="251"/>
      <c r="CM4" s="251"/>
      <c r="CN4" s="251"/>
      <c r="CO4" s="251"/>
      <c r="CP4" s="252"/>
      <c r="CQ4" s="252"/>
      <c r="CR4" s="252"/>
      <c r="CS4" s="252"/>
      <c r="CT4" s="252"/>
      <c r="CU4" s="252"/>
      <c r="CV4" s="252"/>
      <c r="CW4" s="252"/>
      <c r="CX4" s="253"/>
      <c r="CY4" s="191"/>
      <c r="CZ4" s="254"/>
      <c r="DA4" s="255"/>
      <c r="DB4" s="255"/>
      <c r="DC4" s="255"/>
      <c r="DD4" s="255"/>
      <c r="DE4" s="255"/>
      <c r="DF4" s="255"/>
      <c r="DG4" s="255"/>
      <c r="DH4" s="255"/>
      <c r="DI4" s="255"/>
      <c r="DJ4" s="255"/>
      <c r="DK4" s="255"/>
      <c r="DL4" s="255"/>
      <c r="DM4" s="255"/>
      <c r="DN4" s="255"/>
      <c r="DO4" s="255"/>
      <c r="DP4" s="255"/>
      <c r="DQ4" s="255"/>
      <c r="DR4" s="256"/>
      <c r="DS4" s="257"/>
      <c r="DT4" s="257"/>
      <c r="DU4" s="257"/>
      <c r="DV4" s="257"/>
      <c r="DW4" s="257"/>
      <c r="DX4" s="257"/>
      <c r="DY4" s="257"/>
      <c r="DZ4" s="257"/>
      <c r="EA4" s="257"/>
      <c r="EB4" s="257"/>
      <c r="EC4" s="257"/>
      <c r="ED4" s="257"/>
      <c r="EE4" s="257"/>
      <c r="EF4" s="257"/>
      <c r="EG4" s="257"/>
      <c r="EH4" s="257"/>
      <c r="EI4" s="256"/>
      <c r="EJ4" s="257"/>
      <c r="EK4" s="257"/>
      <c r="EL4" s="257"/>
      <c r="EM4" s="257"/>
      <c r="EN4" s="257"/>
      <c r="EO4" s="257"/>
      <c r="EP4" s="257"/>
      <c r="EQ4" s="257"/>
      <c r="ER4" s="257"/>
      <c r="ES4" s="257"/>
      <c r="ET4" s="257"/>
      <c r="EU4" s="257"/>
      <c r="EV4" s="257"/>
      <c r="EW4" s="257"/>
      <c r="EX4" s="257"/>
      <c r="EY4" s="258"/>
      <c r="EZ4" s="174"/>
    </row>
    <row r="5" customHeight="1" spans="1:156">
      <c r="A5" s="191"/>
      <c r="B5" s="234" t="s">
        <v>19</v>
      </c>
      <c r="C5" s="235"/>
      <c r="D5" s="235"/>
      <c r="E5" s="259"/>
      <c r="F5" s="260"/>
      <c r="G5" s="260"/>
      <c r="H5" s="260"/>
      <c r="I5" s="260"/>
      <c r="J5" s="260"/>
      <c r="K5" s="260"/>
      <c r="L5" s="260"/>
      <c r="M5" s="261"/>
      <c r="N5" s="238" t="s">
        <v>20</v>
      </c>
      <c r="O5" s="239"/>
      <c r="P5" s="240"/>
      <c r="Q5" s="259"/>
      <c r="R5" s="260"/>
      <c r="S5" s="260"/>
      <c r="T5" s="260"/>
      <c r="U5" s="260"/>
      <c r="V5" s="260"/>
      <c r="W5" s="260"/>
      <c r="X5" s="260"/>
      <c r="Y5" s="260"/>
      <c r="Z5" s="262"/>
      <c r="AA5" s="191"/>
      <c r="AB5" s="234" t="s">
        <v>21</v>
      </c>
      <c r="AC5" s="235"/>
      <c r="AD5" s="263"/>
      <c r="AE5" s="243" t="s">
        <v>22</v>
      </c>
      <c r="AF5" s="244"/>
      <c r="AG5" s="244"/>
      <c r="AH5" s="245"/>
      <c r="AI5" s="245"/>
      <c r="AJ5" s="245"/>
      <c r="AK5" s="217">
        <f>附表!B4*5</f>
        <v>0</v>
      </c>
      <c r="AL5" s="217"/>
      <c r="AM5" s="217"/>
      <c r="AN5" s="246">
        <f>幕间计算!BH1199</f>
        <v>0</v>
      </c>
      <c r="AO5" s="246"/>
      <c r="AP5" s="246"/>
      <c r="AQ5" s="247"/>
      <c r="AR5" s="248"/>
      <c r="AS5" s="248"/>
      <c r="AT5" s="248"/>
      <c r="AU5" s="248"/>
      <c r="AV5" s="248"/>
      <c r="AW5" s="248"/>
      <c r="AX5" s="248"/>
      <c r="AY5" s="248"/>
      <c r="AZ5" s="248"/>
      <c r="BA5" s="248"/>
      <c r="BB5" s="248"/>
      <c r="BC5" s="248"/>
      <c r="BD5" s="248"/>
      <c r="BE5" s="248"/>
      <c r="BF5" s="248"/>
      <c r="BG5" s="249"/>
      <c r="BH5" s="197"/>
      <c r="BI5" s="222"/>
      <c r="BJ5" s="223"/>
      <c r="BK5" s="223"/>
      <c r="BL5" s="223"/>
      <c r="BM5" s="223"/>
      <c r="BN5" s="223"/>
      <c r="BO5" s="223"/>
      <c r="BP5" s="223"/>
      <c r="BQ5" s="223"/>
      <c r="BR5" s="223"/>
      <c r="BS5" s="223"/>
      <c r="BT5" s="223"/>
      <c r="BU5" s="223"/>
      <c r="BV5" s="224"/>
      <c r="BW5" s="197"/>
      <c r="BX5" s="250"/>
      <c r="BY5" s="251"/>
      <c r="BZ5" s="251"/>
      <c r="CA5" s="251"/>
      <c r="CB5" s="251"/>
      <c r="CC5" s="251"/>
      <c r="CD5" s="251"/>
      <c r="CE5" s="251"/>
      <c r="CF5" s="251"/>
      <c r="CG5" s="251"/>
      <c r="CH5" s="251"/>
      <c r="CI5" s="251"/>
      <c r="CJ5" s="251"/>
      <c r="CK5" s="251"/>
      <c r="CL5" s="251"/>
      <c r="CM5" s="251"/>
      <c r="CN5" s="251"/>
      <c r="CO5" s="251"/>
      <c r="CP5" s="252"/>
      <c r="CQ5" s="252"/>
      <c r="CR5" s="252"/>
      <c r="CS5" s="252"/>
      <c r="CT5" s="252"/>
      <c r="CU5" s="252"/>
      <c r="CV5" s="252"/>
      <c r="CW5" s="252"/>
      <c r="CX5" s="253"/>
      <c r="CY5" s="191"/>
      <c r="CZ5" s="254"/>
      <c r="DA5" s="255"/>
      <c r="DB5" s="255"/>
      <c r="DC5" s="255"/>
      <c r="DD5" s="255"/>
      <c r="DE5" s="255"/>
      <c r="DF5" s="255"/>
      <c r="DG5" s="255"/>
      <c r="DH5" s="255"/>
      <c r="DI5" s="255"/>
      <c r="DJ5" s="255"/>
      <c r="DK5" s="255"/>
      <c r="DL5" s="255"/>
      <c r="DM5" s="255"/>
      <c r="DN5" s="255"/>
      <c r="DO5" s="255"/>
      <c r="DP5" s="255"/>
      <c r="DQ5" s="255"/>
      <c r="DR5" s="256"/>
      <c r="DS5" s="257"/>
      <c r="DT5" s="257"/>
      <c r="DU5" s="257"/>
      <c r="DV5" s="257"/>
      <c r="DW5" s="257"/>
      <c r="DX5" s="257"/>
      <c r="DY5" s="257"/>
      <c r="DZ5" s="257"/>
      <c r="EA5" s="257"/>
      <c r="EB5" s="257"/>
      <c r="EC5" s="257"/>
      <c r="ED5" s="257"/>
      <c r="EE5" s="257"/>
      <c r="EF5" s="257"/>
      <c r="EG5" s="257"/>
      <c r="EH5" s="257"/>
      <c r="EI5" s="256"/>
      <c r="EJ5" s="257"/>
      <c r="EK5" s="257"/>
      <c r="EL5" s="257"/>
      <c r="EM5" s="257"/>
      <c r="EN5" s="257"/>
      <c r="EO5" s="257"/>
      <c r="EP5" s="257"/>
      <c r="EQ5" s="257"/>
      <c r="ER5" s="257"/>
      <c r="ES5" s="257"/>
      <c r="ET5" s="257"/>
      <c r="EU5" s="257"/>
      <c r="EV5" s="257"/>
      <c r="EW5" s="257"/>
      <c r="EX5" s="257"/>
      <c r="EY5" s="258"/>
      <c r="EZ5" s="174"/>
    </row>
    <row r="6" customHeight="1" spans="1:156">
      <c r="A6" s="191"/>
      <c r="B6" s="234" t="s">
        <v>23</v>
      </c>
      <c r="C6" s="235"/>
      <c r="D6" s="235"/>
      <c r="E6" s="259"/>
      <c r="F6" s="260"/>
      <c r="G6" s="260"/>
      <c r="H6" s="260"/>
      <c r="I6" s="260"/>
      <c r="J6" s="260"/>
      <c r="K6" s="260"/>
      <c r="L6" s="260"/>
      <c r="M6" s="260"/>
      <c r="N6" s="238" t="s">
        <v>24</v>
      </c>
      <c r="O6" s="239"/>
      <c r="P6" s="240"/>
      <c r="Q6" s="260"/>
      <c r="R6" s="260"/>
      <c r="S6" s="260"/>
      <c r="T6" s="260"/>
      <c r="U6" s="260"/>
      <c r="V6" s="260"/>
      <c r="W6" s="260"/>
      <c r="X6" s="260"/>
      <c r="Y6" s="260"/>
      <c r="Z6" s="262"/>
      <c r="AA6" s="191"/>
      <c r="AB6" s="234" t="s">
        <v>25</v>
      </c>
      <c r="AC6" s="235"/>
      <c r="AD6" s="242"/>
      <c r="AE6" s="243" t="s">
        <v>26</v>
      </c>
      <c r="AF6" s="244"/>
      <c r="AG6" s="244"/>
      <c r="AH6" s="245"/>
      <c r="AI6" s="245"/>
      <c r="AJ6" s="245"/>
      <c r="AK6" s="217">
        <f>附表!B5*5</f>
        <v>0</v>
      </c>
      <c r="AL6" s="217"/>
      <c r="AM6" s="217"/>
      <c r="AN6" s="246">
        <f>幕间计算!BI1199</f>
        <v>0</v>
      </c>
      <c r="AO6" s="246"/>
      <c r="AP6" s="246"/>
      <c r="AQ6" s="247"/>
      <c r="AR6" s="248"/>
      <c r="AS6" s="248"/>
      <c r="AT6" s="248"/>
      <c r="AU6" s="248"/>
      <c r="AV6" s="248"/>
      <c r="AW6" s="248"/>
      <c r="AX6" s="248"/>
      <c r="AY6" s="248"/>
      <c r="AZ6" s="248"/>
      <c r="BA6" s="248"/>
      <c r="BB6" s="248"/>
      <c r="BC6" s="248"/>
      <c r="BD6" s="248"/>
      <c r="BE6" s="248"/>
      <c r="BF6" s="248"/>
      <c r="BG6" s="249"/>
      <c r="BH6" s="197"/>
      <c r="BI6" s="222"/>
      <c r="BJ6" s="223"/>
      <c r="BK6" s="223"/>
      <c r="BL6" s="223"/>
      <c r="BM6" s="223"/>
      <c r="BN6" s="223"/>
      <c r="BO6" s="223"/>
      <c r="BP6" s="223"/>
      <c r="BQ6" s="223"/>
      <c r="BR6" s="223"/>
      <c r="BS6" s="223"/>
      <c r="BT6" s="223"/>
      <c r="BU6" s="223"/>
      <c r="BV6" s="224"/>
      <c r="BW6" s="197"/>
      <c r="BX6" s="250"/>
      <c r="BY6" s="251"/>
      <c r="BZ6" s="251"/>
      <c r="CA6" s="251"/>
      <c r="CB6" s="251"/>
      <c r="CC6" s="251"/>
      <c r="CD6" s="251"/>
      <c r="CE6" s="251"/>
      <c r="CF6" s="251"/>
      <c r="CG6" s="251"/>
      <c r="CH6" s="251"/>
      <c r="CI6" s="251"/>
      <c r="CJ6" s="251"/>
      <c r="CK6" s="251"/>
      <c r="CL6" s="251"/>
      <c r="CM6" s="251"/>
      <c r="CN6" s="251"/>
      <c r="CO6" s="251"/>
      <c r="CP6" s="252"/>
      <c r="CQ6" s="252"/>
      <c r="CR6" s="252"/>
      <c r="CS6" s="252"/>
      <c r="CT6" s="252"/>
      <c r="CU6" s="252"/>
      <c r="CV6" s="252"/>
      <c r="CW6" s="252"/>
      <c r="CX6" s="253"/>
      <c r="CY6" s="191"/>
      <c r="CZ6" s="254"/>
      <c r="DA6" s="255"/>
      <c r="DB6" s="255"/>
      <c r="DC6" s="255"/>
      <c r="DD6" s="255"/>
      <c r="DE6" s="255"/>
      <c r="DF6" s="255"/>
      <c r="DG6" s="255"/>
      <c r="DH6" s="255"/>
      <c r="DI6" s="255"/>
      <c r="DJ6" s="255"/>
      <c r="DK6" s="255"/>
      <c r="DL6" s="255"/>
      <c r="DM6" s="255"/>
      <c r="DN6" s="255"/>
      <c r="DO6" s="255"/>
      <c r="DP6" s="255"/>
      <c r="DQ6" s="255"/>
      <c r="DR6" s="256"/>
      <c r="DS6" s="257"/>
      <c r="DT6" s="257"/>
      <c r="DU6" s="257"/>
      <c r="DV6" s="257"/>
      <c r="DW6" s="257"/>
      <c r="DX6" s="257"/>
      <c r="DY6" s="257"/>
      <c r="DZ6" s="257"/>
      <c r="EA6" s="257"/>
      <c r="EB6" s="257"/>
      <c r="EC6" s="257"/>
      <c r="ED6" s="257"/>
      <c r="EE6" s="257"/>
      <c r="EF6" s="257"/>
      <c r="EG6" s="257"/>
      <c r="EH6" s="257"/>
      <c r="EI6" s="256"/>
      <c r="EJ6" s="257"/>
      <c r="EK6" s="257"/>
      <c r="EL6" s="257"/>
      <c r="EM6" s="257"/>
      <c r="EN6" s="257"/>
      <c r="EO6" s="257"/>
      <c r="EP6" s="257"/>
      <c r="EQ6" s="257"/>
      <c r="ER6" s="257"/>
      <c r="ES6" s="257"/>
      <c r="ET6" s="257"/>
      <c r="EU6" s="257"/>
      <c r="EV6" s="257"/>
      <c r="EW6" s="257"/>
      <c r="EX6" s="257"/>
      <c r="EY6" s="258"/>
      <c r="EZ6" s="174"/>
    </row>
    <row r="7" customHeight="1" spans="1:156">
      <c r="A7" s="191"/>
      <c r="B7" s="234" t="s">
        <v>27</v>
      </c>
      <c r="C7" s="235"/>
      <c r="D7" s="235"/>
      <c r="E7" s="264"/>
      <c r="F7" s="264"/>
      <c r="G7" s="264"/>
      <c r="H7" s="264"/>
      <c r="I7" s="264"/>
      <c r="J7" s="264"/>
      <c r="K7" s="264"/>
      <c r="L7" s="264"/>
      <c r="M7" s="264"/>
      <c r="N7" s="264"/>
      <c r="O7" s="264"/>
      <c r="P7" s="264"/>
      <c r="Q7" s="264"/>
      <c r="R7" s="264"/>
      <c r="S7" s="264"/>
      <c r="T7" s="264"/>
      <c r="U7" s="264"/>
      <c r="V7" s="264"/>
      <c r="W7" s="264"/>
      <c r="X7" s="264"/>
      <c r="Y7" s="264"/>
      <c r="Z7" s="265"/>
      <c r="AA7" s="191"/>
      <c r="AB7" s="234" t="s">
        <v>28</v>
      </c>
      <c r="AC7" s="235"/>
      <c r="AD7" s="263"/>
      <c r="AE7" s="243" t="s">
        <v>29</v>
      </c>
      <c r="AF7" s="244"/>
      <c r="AG7" s="244"/>
      <c r="AH7" s="245"/>
      <c r="AI7" s="245"/>
      <c r="AJ7" s="245"/>
      <c r="AK7" s="217">
        <f>附表!B6*5</f>
        <v>0</v>
      </c>
      <c r="AL7" s="217"/>
      <c r="AM7" s="217"/>
      <c r="AN7" s="246">
        <f>幕间计算!BJ1199</f>
        <v>0</v>
      </c>
      <c r="AO7" s="246"/>
      <c r="AP7" s="246"/>
      <c r="AQ7" s="247"/>
      <c r="AR7" s="248"/>
      <c r="AS7" s="248"/>
      <c r="AT7" s="248"/>
      <c r="AU7" s="248"/>
      <c r="AV7" s="248"/>
      <c r="AW7" s="248"/>
      <c r="AX7" s="248"/>
      <c r="AY7" s="248"/>
      <c r="AZ7" s="248"/>
      <c r="BA7" s="248"/>
      <c r="BB7" s="248"/>
      <c r="BC7" s="248"/>
      <c r="BD7" s="248"/>
      <c r="BE7" s="248"/>
      <c r="BF7" s="248"/>
      <c r="BG7" s="249"/>
      <c r="BH7" s="197"/>
      <c r="BI7" s="222"/>
      <c r="BJ7" s="223"/>
      <c r="BK7" s="223"/>
      <c r="BL7" s="223"/>
      <c r="BM7" s="223"/>
      <c r="BN7" s="223"/>
      <c r="BO7" s="223"/>
      <c r="BP7" s="223"/>
      <c r="BQ7" s="223"/>
      <c r="BR7" s="223"/>
      <c r="BS7" s="223"/>
      <c r="BT7" s="223"/>
      <c r="BU7" s="223"/>
      <c r="BV7" s="224"/>
      <c r="BW7" s="197"/>
      <c r="BX7" s="250"/>
      <c r="BY7" s="251"/>
      <c r="BZ7" s="251"/>
      <c r="CA7" s="251"/>
      <c r="CB7" s="251"/>
      <c r="CC7" s="251"/>
      <c r="CD7" s="251"/>
      <c r="CE7" s="251"/>
      <c r="CF7" s="251"/>
      <c r="CG7" s="251"/>
      <c r="CH7" s="251"/>
      <c r="CI7" s="251"/>
      <c r="CJ7" s="251"/>
      <c r="CK7" s="251"/>
      <c r="CL7" s="251"/>
      <c r="CM7" s="251"/>
      <c r="CN7" s="251"/>
      <c r="CO7" s="251"/>
      <c r="CP7" s="252"/>
      <c r="CQ7" s="252"/>
      <c r="CR7" s="252"/>
      <c r="CS7" s="252"/>
      <c r="CT7" s="252"/>
      <c r="CU7" s="252"/>
      <c r="CV7" s="252"/>
      <c r="CW7" s="252"/>
      <c r="CX7" s="253"/>
      <c r="CY7" s="191"/>
      <c r="CZ7" s="254"/>
      <c r="DA7" s="255"/>
      <c r="DB7" s="255"/>
      <c r="DC7" s="255"/>
      <c r="DD7" s="255"/>
      <c r="DE7" s="255"/>
      <c r="DF7" s="255"/>
      <c r="DG7" s="255"/>
      <c r="DH7" s="255"/>
      <c r="DI7" s="255"/>
      <c r="DJ7" s="255"/>
      <c r="DK7" s="255"/>
      <c r="DL7" s="255"/>
      <c r="DM7" s="255"/>
      <c r="DN7" s="255"/>
      <c r="DO7" s="255"/>
      <c r="DP7" s="255"/>
      <c r="DQ7" s="255"/>
      <c r="DR7" s="256"/>
      <c r="DS7" s="257"/>
      <c r="DT7" s="257"/>
      <c r="DU7" s="257"/>
      <c r="DV7" s="257"/>
      <c r="DW7" s="257"/>
      <c r="DX7" s="257"/>
      <c r="DY7" s="257"/>
      <c r="DZ7" s="257"/>
      <c r="EA7" s="257"/>
      <c r="EB7" s="257"/>
      <c r="EC7" s="257"/>
      <c r="ED7" s="257"/>
      <c r="EE7" s="257"/>
      <c r="EF7" s="257"/>
      <c r="EG7" s="257"/>
      <c r="EH7" s="257"/>
      <c r="EI7" s="256"/>
      <c r="EJ7" s="257"/>
      <c r="EK7" s="257"/>
      <c r="EL7" s="257"/>
      <c r="EM7" s="257"/>
      <c r="EN7" s="257"/>
      <c r="EO7" s="257"/>
      <c r="EP7" s="257"/>
      <c r="EQ7" s="257"/>
      <c r="ER7" s="257"/>
      <c r="ES7" s="257"/>
      <c r="ET7" s="257"/>
      <c r="EU7" s="257"/>
      <c r="EV7" s="257"/>
      <c r="EW7" s="257"/>
      <c r="EX7" s="257"/>
      <c r="EY7" s="258"/>
      <c r="EZ7" s="174"/>
    </row>
    <row r="8" customHeight="1" spans="1:156">
      <c r="A8" s="191"/>
      <c r="B8" s="266" t="s">
        <v>30</v>
      </c>
      <c r="C8" s="267"/>
      <c r="D8" s="267"/>
      <c r="E8" s="268"/>
      <c r="F8" s="269"/>
      <c r="G8" s="269"/>
      <c r="H8" s="269"/>
      <c r="I8" s="269"/>
      <c r="J8" s="269"/>
      <c r="K8" s="269"/>
      <c r="L8" s="269"/>
      <c r="M8" s="269"/>
      <c r="N8" s="269"/>
      <c r="O8" s="269"/>
      <c r="P8" s="269"/>
      <c r="Q8" s="269"/>
      <c r="R8" s="269"/>
      <c r="S8" s="269"/>
      <c r="T8" s="269"/>
      <c r="U8" s="269"/>
      <c r="V8" s="269"/>
      <c r="W8" s="269"/>
      <c r="X8" s="269"/>
      <c r="Y8" s="269"/>
      <c r="Z8" s="270"/>
      <c r="AA8" s="271"/>
      <c r="AB8" s="266" t="s">
        <v>31</v>
      </c>
      <c r="AC8" s="267"/>
      <c r="AD8" s="272"/>
      <c r="AE8" s="273" t="s">
        <v>32</v>
      </c>
      <c r="AF8" s="274"/>
      <c r="AG8" s="274"/>
      <c r="AH8" s="275"/>
      <c r="AI8" s="275"/>
      <c r="AJ8" s="275"/>
      <c r="AK8" s="276">
        <f>附表!B7*5</f>
        <v>0</v>
      </c>
      <c r="AL8" s="276"/>
      <c r="AM8" s="276"/>
      <c r="AN8" s="277">
        <f>幕间计算!BK1199</f>
        <v>0</v>
      </c>
      <c r="AO8" s="277"/>
      <c r="AP8" s="277"/>
      <c r="AQ8" s="278"/>
      <c r="AR8" s="279"/>
      <c r="AS8" s="279"/>
      <c r="AT8" s="279"/>
      <c r="AU8" s="279"/>
      <c r="AV8" s="279"/>
      <c r="AW8" s="279"/>
      <c r="AX8" s="279"/>
      <c r="AY8" s="279"/>
      <c r="AZ8" s="279"/>
      <c r="BA8" s="279"/>
      <c r="BB8" s="279"/>
      <c r="BC8" s="279"/>
      <c r="BD8" s="279"/>
      <c r="BE8" s="279"/>
      <c r="BF8" s="279"/>
      <c r="BG8" s="280"/>
      <c r="BH8" s="197"/>
      <c r="BI8" s="222"/>
      <c r="BJ8" s="223"/>
      <c r="BK8" s="223"/>
      <c r="BL8" s="223"/>
      <c r="BM8" s="223"/>
      <c r="BN8" s="223"/>
      <c r="BO8" s="223"/>
      <c r="BP8" s="223"/>
      <c r="BQ8" s="223"/>
      <c r="BR8" s="223"/>
      <c r="BS8" s="223"/>
      <c r="BT8" s="223"/>
      <c r="BU8" s="223"/>
      <c r="BV8" s="224"/>
      <c r="BW8" s="197"/>
      <c r="BX8" s="250"/>
      <c r="BY8" s="251"/>
      <c r="BZ8" s="251"/>
      <c r="CA8" s="251"/>
      <c r="CB8" s="251"/>
      <c r="CC8" s="251"/>
      <c r="CD8" s="251"/>
      <c r="CE8" s="251"/>
      <c r="CF8" s="251"/>
      <c r="CG8" s="251"/>
      <c r="CH8" s="251"/>
      <c r="CI8" s="251"/>
      <c r="CJ8" s="251"/>
      <c r="CK8" s="251"/>
      <c r="CL8" s="251"/>
      <c r="CM8" s="251"/>
      <c r="CN8" s="251"/>
      <c r="CO8" s="251"/>
      <c r="CP8" s="252"/>
      <c r="CQ8" s="252"/>
      <c r="CR8" s="252"/>
      <c r="CS8" s="252"/>
      <c r="CT8" s="252"/>
      <c r="CU8" s="252"/>
      <c r="CV8" s="252"/>
      <c r="CW8" s="252"/>
      <c r="CX8" s="253"/>
      <c r="CY8" s="191"/>
      <c r="CZ8" s="254"/>
      <c r="DA8" s="255"/>
      <c r="DB8" s="255"/>
      <c r="DC8" s="255"/>
      <c r="DD8" s="255"/>
      <c r="DE8" s="255"/>
      <c r="DF8" s="255"/>
      <c r="DG8" s="255"/>
      <c r="DH8" s="255"/>
      <c r="DI8" s="255"/>
      <c r="DJ8" s="255"/>
      <c r="DK8" s="255"/>
      <c r="DL8" s="255"/>
      <c r="DM8" s="255"/>
      <c r="DN8" s="255"/>
      <c r="DO8" s="255"/>
      <c r="DP8" s="255"/>
      <c r="DQ8" s="255"/>
      <c r="DR8" s="256"/>
      <c r="DS8" s="257"/>
      <c r="DT8" s="257"/>
      <c r="DU8" s="257"/>
      <c r="DV8" s="257"/>
      <c r="DW8" s="257"/>
      <c r="DX8" s="257"/>
      <c r="DY8" s="257"/>
      <c r="DZ8" s="257"/>
      <c r="EA8" s="257"/>
      <c r="EB8" s="257"/>
      <c r="EC8" s="257"/>
      <c r="ED8" s="257"/>
      <c r="EE8" s="257"/>
      <c r="EF8" s="257"/>
      <c r="EG8" s="257"/>
      <c r="EH8" s="257"/>
      <c r="EI8" s="281" t="s">
        <v>33</v>
      </c>
      <c r="EJ8" s="281"/>
      <c r="EK8" s="257"/>
      <c r="EL8" s="257"/>
      <c r="EM8" s="257"/>
      <c r="EN8" s="257"/>
      <c r="EO8" s="257"/>
      <c r="EP8" s="257"/>
      <c r="EQ8" s="257"/>
      <c r="ER8" s="257"/>
      <c r="ES8" s="257"/>
      <c r="ET8" s="257"/>
      <c r="EU8" s="257"/>
      <c r="EV8" s="257"/>
      <c r="EW8" s="257"/>
      <c r="EX8" s="257"/>
      <c r="EY8" s="258"/>
      <c r="EZ8" s="174"/>
    </row>
    <row r="9" customHeight="1" spans="1:156">
      <c r="B9" s="177"/>
      <c r="C9" s="177"/>
      <c r="D9" s="177"/>
      <c r="E9" s="177"/>
      <c r="F9" s="177"/>
      <c r="G9" s="177"/>
      <c r="H9" s="177"/>
      <c r="I9" s="177"/>
      <c r="J9" s="177"/>
      <c r="K9" s="177"/>
      <c r="L9" s="177"/>
      <c r="M9" s="177"/>
      <c r="N9" s="177"/>
      <c r="O9" s="282"/>
      <c r="R9" s="283" t="s">
        <v>34</v>
      </c>
      <c r="S9" s="284"/>
      <c r="T9" s="284"/>
      <c r="U9" s="284"/>
      <c r="V9" s="284"/>
      <c r="W9" s="285"/>
      <c r="X9" s="286">
        <f>SUM(AH3:AH8)</f>
        <v>0</v>
      </c>
      <c r="Y9" s="287"/>
      <c r="Z9" s="287"/>
      <c r="AA9" s="288"/>
      <c r="AB9" s="283" t="s">
        <v>35</v>
      </c>
      <c r="AC9" s="284"/>
      <c r="AD9" s="284"/>
      <c r="AE9" s="284"/>
      <c r="AF9" s="284"/>
      <c r="AG9" s="284"/>
      <c r="AH9" s="285"/>
      <c r="AI9" s="289">
        <f ca="1">SUM(V14:V43,AY14:AY43)-SUMIF(V14:V43,"&gt;0",S14:S43)-SUMIF(AY14:AY43,"&gt;0",AV14:AV43)</f>
        <v>0</v>
      </c>
      <c r="AJ9" s="290"/>
      <c r="AK9" s="291"/>
      <c r="AL9" s="289" t="s">
        <v>36</v>
      </c>
      <c r="AM9" s="290"/>
      <c r="AN9" s="290"/>
      <c r="AO9" s="290"/>
      <c r="AP9" s="290"/>
      <c r="AQ9" s="290"/>
      <c r="AR9" s="290"/>
      <c r="AS9" s="291"/>
      <c r="AT9" s="292" t="str">
        <f ca="1">IF(AI9=0,"未分配）",IFERROR(MAX(0,IF(AND(AI9&gt;=350,AI9&lt;=500,MOD(AI9,50)=0),(550-AI9)/50,"错误")-IF(DF46="艰苦经历",1,0)),"错误")&amp;"）")</f>
        <v>未分配）</v>
      </c>
      <c r="AU9" s="292"/>
      <c r="AV9" s="292"/>
      <c r="AW9" s="293" t="s">
        <v>37</v>
      </c>
      <c r="AX9" s="293"/>
      <c r="AY9" s="293"/>
      <c r="AZ9" s="293"/>
      <c r="BA9" s="293"/>
      <c r="BB9" s="293"/>
      <c r="BC9" s="293"/>
      <c r="BD9" s="294">
        <f ca="1">规则数据!S3</f>
        <v>0</v>
      </c>
      <c r="BE9" s="294"/>
      <c r="BF9" s="294"/>
      <c r="BG9" s="294"/>
      <c r="BH9" s="295"/>
      <c r="BI9" s="222"/>
      <c r="BJ9" s="223"/>
      <c r="BK9" s="223"/>
      <c r="BL9" s="223"/>
      <c r="BM9" s="223"/>
      <c r="BN9" s="223"/>
      <c r="BO9" s="223"/>
      <c r="BP9" s="223"/>
      <c r="BQ9" s="223"/>
      <c r="BR9" s="223"/>
      <c r="BS9" s="223"/>
      <c r="BT9" s="223"/>
      <c r="BU9" s="223"/>
      <c r="BV9" s="224"/>
      <c r="BW9" s="197"/>
      <c r="BX9" s="250"/>
      <c r="BY9" s="251"/>
      <c r="BZ9" s="251"/>
      <c r="CA9" s="251"/>
      <c r="CB9" s="251"/>
      <c r="CC9" s="251"/>
      <c r="CD9" s="251"/>
      <c r="CE9" s="251"/>
      <c r="CF9" s="251"/>
      <c r="CG9" s="251"/>
      <c r="CH9" s="251"/>
      <c r="CI9" s="251"/>
      <c r="CJ9" s="251"/>
      <c r="CK9" s="251"/>
      <c r="CL9" s="251"/>
      <c r="CM9" s="251"/>
      <c r="CN9" s="251"/>
      <c r="CO9" s="251"/>
      <c r="CP9" s="252"/>
      <c r="CQ9" s="252"/>
      <c r="CR9" s="252"/>
      <c r="CS9" s="252"/>
      <c r="CT9" s="252"/>
      <c r="CU9" s="252"/>
      <c r="CV9" s="252"/>
      <c r="CW9" s="252"/>
      <c r="CX9" s="253"/>
      <c r="CY9" s="191"/>
      <c r="CZ9" s="254"/>
      <c r="DA9" s="255"/>
      <c r="DB9" s="255"/>
      <c r="DC9" s="255"/>
      <c r="DD9" s="255"/>
      <c r="DE9" s="255"/>
      <c r="DF9" s="255"/>
      <c r="DG9" s="255"/>
      <c r="DH9" s="255"/>
      <c r="DI9" s="255"/>
      <c r="DJ9" s="255"/>
      <c r="DK9" s="255"/>
      <c r="DL9" s="255"/>
      <c r="DM9" s="255"/>
      <c r="DN9" s="255"/>
      <c r="DO9" s="255"/>
      <c r="DP9" s="255"/>
      <c r="DQ9" s="255"/>
      <c r="DR9" s="256"/>
      <c r="DS9" s="257"/>
      <c r="DT9" s="257"/>
      <c r="DU9" s="257"/>
      <c r="DV9" s="257"/>
      <c r="DW9" s="257"/>
      <c r="DX9" s="257"/>
      <c r="DY9" s="257"/>
      <c r="DZ9" s="257"/>
      <c r="EA9" s="257"/>
      <c r="EB9" s="257"/>
      <c r="EC9" s="257"/>
      <c r="ED9" s="257"/>
      <c r="EE9" s="257"/>
      <c r="EF9" s="257"/>
      <c r="EG9" s="257"/>
      <c r="EH9" s="257"/>
      <c r="EI9" s="281"/>
      <c r="EJ9" s="281"/>
      <c r="EK9" s="257"/>
      <c r="EL9" s="257"/>
      <c r="EM9" s="257"/>
      <c r="EN9" s="257"/>
      <c r="EO9" s="257"/>
      <c r="EP9" s="257"/>
      <c r="EQ9" s="257"/>
      <c r="ER9" s="257"/>
      <c r="ES9" s="257"/>
      <c r="ET9" s="257"/>
      <c r="EU9" s="257"/>
      <c r="EV9" s="257"/>
      <c r="EW9" s="257"/>
      <c r="EX9" s="257"/>
      <c r="EY9" s="258"/>
      <c r="EZ9" s="174"/>
    </row>
    <row r="10" customHeight="1" spans="1:156">
      <c r="A10" s="191"/>
      <c r="B10" s="296" t="s">
        <v>38</v>
      </c>
      <c r="C10" s="297"/>
      <c r="D10" s="297"/>
      <c r="E10" s="297"/>
      <c r="F10" s="297"/>
      <c r="G10" s="297"/>
      <c r="H10" s="298">
        <f>幕间计算!BM1199</f>
        <v>0</v>
      </c>
      <c r="I10" s="298"/>
      <c r="J10" s="299"/>
      <c r="K10" s="300">
        <f>CEILING((附表!B2+附表!B3)/2,1)</f>
        <v>0</v>
      </c>
      <c r="L10" s="301"/>
      <c r="M10" s="302"/>
      <c r="N10" s="303" t="s">
        <v>39</v>
      </c>
      <c r="O10" s="304"/>
      <c r="P10" s="304"/>
      <c r="Q10" s="304"/>
      <c r="R10" s="304"/>
      <c r="S10" s="304"/>
      <c r="T10" s="304"/>
      <c r="U10" s="305"/>
      <c r="V10" s="306">
        <f>幕间计算!BN1199</f>
        <v>0</v>
      </c>
      <c r="W10" s="307"/>
      <c r="X10" s="308"/>
      <c r="Y10" s="309">
        <f>附表!B6</f>
        <v>0</v>
      </c>
      <c r="Z10" s="310"/>
      <c r="AA10" s="311"/>
      <c r="AB10" s="312" t="s">
        <v>40</v>
      </c>
      <c r="AC10" s="297"/>
      <c r="AD10" s="297"/>
      <c r="AE10" s="297"/>
      <c r="AF10" s="297"/>
      <c r="AG10" s="313"/>
      <c r="AH10" s="314">
        <f>幕间计算!BO1199</f>
        <v>0</v>
      </c>
      <c r="AI10" s="298"/>
      <c r="AJ10" s="299"/>
      <c r="AK10" s="301">
        <f ca="1">99-AS39</f>
        <v>99</v>
      </c>
      <c r="AL10" s="301"/>
      <c r="AM10" s="315"/>
      <c r="AN10" s="316" t="s">
        <v>41</v>
      </c>
      <c r="AO10" s="317"/>
      <c r="AP10" s="317"/>
      <c r="AQ10" s="317"/>
      <c r="AR10" s="317"/>
      <c r="AS10" s="317"/>
      <c r="AT10" s="317"/>
      <c r="AU10" s="318">
        <f>幕间计算!BP1199</f>
        <v>0</v>
      </c>
      <c r="AV10" s="319"/>
      <c r="AW10" s="320"/>
      <c r="AX10" s="321" t="s">
        <v>42</v>
      </c>
      <c r="AY10" s="322"/>
      <c r="AZ10" s="322"/>
      <c r="BA10" s="322"/>
      <c r="BB10" s="322"/>
      <c r="BC10" s="322"/>
      <c r="BD10" s="322" t="str">
        <f>CHOOSE(幕间计算!GA1199+1,"☐☐☐","√☐☐","√√☐","已适应")</f>
        <v>☐☐☐</v>
      </c>
      <c r="BE10" s="322"/>
      <c r="BF10" s="322"/>
      <c r="BG10" s="323"/>
      <c r="BH10" s="324"/>
      <c r="BI10" s="222"/>
      <c r="BJ10" s="223"/>
      <c r="BK10" s="223"/>
      <c r="BL10" s="223"/>
      <c r="BM10" s="223"/>
      <c r="BN10" s="223"/>
      <c r="BO10" s="223"/>
      <c r="BP10" s="223"/>
      <c r="BQ10" s="223"/>
      <c r="BR10" s="223"/>
      <c r="BS10" s="223"/>
      <c r="BT10" s="223"/>
      <c r="BU10" s="223"/>
      <c r="BV10" s="224"/>
      <c r="BW10" s="197"/>
      <c r="BX10" s="250"/>
      <c r="BY10" s="251"/>
      <c r="BZ10" s="251"/>
      <c r="CA10" s="251"/>
      <c r="CB10" s="251"/>
      <c r="CC10" s="251"/>
      <c r="CD10" s="251"/>
      <c r="CE10" s="251"/>
      <c r="CF10" s="251"/>
      <c r="CG10" s="251"/>
      <c r="CH10" s="251"/>
      <c r="CI10" s="251"/>
      <c r="CJ10" s="251"/>
      <c r="CK10" s="251"/>
      <c r="CL10" s="251"/>
      <c r="CM10" s="251"/>
      <c r="CN10" s="251"/>
      <c r="CO10" s="251"/>
      <c r="CP10" s="252"/>
      <c r="CQ10" s="252"/>
      <c r="CR10" s="252"/>
      <c r="CS10" s="252"/>
      <c r="CT10" s="252"/>
      <c r="CU10" s="252"/>
      <c r="CV10" s="252"/>
      <c r="CW10" s="252"/>
      <c r="CX10" s="253"/>
      <c r="CY10" s="191"/>
      <c r="CZ10" s="254"/>
      <c r="DA10" s="255"/>
      <c r="DB10" s="255"/>
      <c r="DC10" s="255"/>
      <c r="DD10" s="255"/>
      <c r="DE10" s="255"/>
      <c r="DF10" s="255"/>
      <c r="DG10" s="255"/>
      <c r="DH10" s="255"/>
      <c r="DI10" s="255"/>
      <c r="DJ10" s="255"/>
      <c r="DK10" s="255"/>
      <c r="DL10" s="255"/>
      <c r="DM10" s="255"/>
      <c r="DN10" s="255"/>
      <c r="DO10" s="255"/>
      <c r="DP10" s="255"/>
      <c r="DQ10" s="255"/>
      <c r="DR10" s="256"/>
      <c r="DS10" s="257"/>
      <c r="DT10" s="257"/>
      <c r="DU10" s="257"/>
      <c r="DV10" s="257"/>
      <c r="DW10" s="257"/>
      <c r="DX10" s="257"/>
      <c r="DY10" s="257"/>
      <c r="DZ10" s="257"/>
      <c r="EA10" s="257"/>
      <c r="EB10" s="257"/>
      <c r="EC10" s="257"/>
      <c r="ED10" s="257"/>
      <c r="EE10" s="257"/>
      <c r="EF10" s="257"/>
      <c r="EG10" s="257"/>
      <c r="EH10" s="258"/>
      <c r="EI10" s="281"/>
      <c r="EJ10" s="281"/>
      <c r="EK10" s="257"/>
      <c r="EL10" s="257"/>
      <c r="EM10" s="257"/>
      <c r="EN10" s="257"/>
      <c r="EO10" s="257"/>
      <c r="EP10" s="257"/>
      <c r="EQ10" s="257"/>
      <c r="ER10" s="257"/>
      <c r="ES10" s="257"/>
      <c r="ET10" s="257"/>
      <c r="EU10" s="257"/>
      <c r="EV10" s="257"/>
      <c r="EW10" s="257"/>
      <c r="EX10" s="257"/>
      <c r="EY10" s="258"/>
      <c r="EZ10" s="174"/>
    </row>
    <row r="11" customHeight="1" spans="1:156">
      <c r="A11" s="191"/>
      <c r="B11" s="325" t="s">
        <v>43</v>
      </c>
      <c r="C11" s="326"/>
      <c r="D11" s="326"/>
      <c r="E11" s="326"/>
      <c r="F11" s="326"/>
      <c r="G11" s="326"/>
      <c r="H11" s="327"/>
      <c r="I11" s="327"/>
      <c r="J11" s="328"/>
      <c r="K11" s="329"/>
      <c r="L11" s="330"/>
      <c r="M11" s="331"/>
      <c r="N11" s="332" t="s">
        <v>44</v>
      </c>
      <c r="O11" s="333"/>
      <c r="P11" s="333"/>
      <c r="Q11" s="333"/>
      <c r="R11" s="333"/>
      <c r="S11" s="333"/>
      <c r="T11" s="333"/>
      <c r="U11" s="334"/>
      <c r="V11" s="335"/>
      <c r="W11" s="336"/>
      <c r="X11" s="337"/>
      <c r="Y11" s="338"/>
      <c r="Z11" s="339"/>
      <c r="AA11" s="340"/>
      <c r="AB11" s="341" t="s">
        <v>45</v>
      </c>
      <c r="AC11" s="326"/>
      <c r="AD11" s="326"/>
      <c r="AE11" s="326"/>
      <c r="AF11" s="326"/>
      <c r="AG11" s="342"/>
      <c r="AH11" s="343"/>
      <c r="AI11" s="327"/>
      <c r="AJ11" s="328"/>
      <c r="AK11" s="330"/>
      <c r="AL11" s="330"/>
      <c r="AM11" s="344"/>
      <c r="AN11" s="345" t="s">
        <v>46</v>
      </c>
      <c r="AO11" s="346"/>
      <c r="AP11" s="346"/>
      <c r="AQ11" s="346"/>
      <c r="AR11" s="346"/>
      <c r="AS11" s="346"/>
      <c r="AT11" s="346"/>
      <c r="AU11" s="347"/>
      <c r="AV11" s="348"/>
      <c r="AW11" s="349"/>
      <c r="AX11" s="350" t="s">
        <v>47</v>
      </c>
      <c r="AY11" s="351"/>
      <c r="AZ11" s="351"/>
      <c r="BA11" s="351"/>
      <c r="BB11" s="351"/>
      <c r="BC11" s="351"/>
      <c r="BD11" s="351" t="str">
        <f>CHOOSE(幕间计算!GB1199+1,"☐☐☐","√☐☐","√√☐","已适应")</f>
        <v>☐☐☐</v>
      </c>
      <c r="BE11" s="351"/>
      <c r="BF11" s="351"/>
      <c r="BG11" s="352"/>
      <c r="BH11" s="324"/>
      <c r="BI11" s="353"/>
      <c r="BJ11" s="354"/>
      <c r="BK11" s="354"/>
      <c r="BL11" s="354"/>
      <c r="BM11" s="354"/>
      <c r="BN11" s="354"/>
      <c r="BO11" s="354"/>
      <c r="BP11" s="354"/>
      <c r="BQ11" s="354"/>
      <c r="BR11" s="354"/>
      <c r="BS11" s="354"/>
      <c r="BT11" s="354"/>
      <c r="BU11" s="354"/>
      <c r="BV11" s="355"/>
      <c r="BW11" s="197"/>
      <c r="BX11" s="356"/>
      <c r="BY11" s="357"/>
      <c r="BZ11" s="357"/>
      <c r="CA11" s="357"/>
      <c r="CB11" s="357"/>
      <c r="CC11" s="357"/>
      <c r="CD11" s="357"/>
      <c r="CE11" s="357"/>
      <c r="CF11" s="357"/>
      <c r="CG11" s="357"/>
      <c r="CH11" s="357"/>
      <c r="CI11" s="357"/>
      <c r="CJ11" s="357"/>
      <c r="CK11" s="357"/>
      <c r="CL11" s="357"/>
      <c r="CM11" s="357"/>
      <c r="CN11" s="357"/>
      <c r="CO11" s="357"/>
      <c r="CP11" s="358"/>
      <c r="CQ11" s="358"/>
      <c r="CR11" s="358"/>
      <c r="CS11" s="358"/>
      <c r="CT11" s="358"/>
      <c r="CU11" s="358"/>
      <c r="CV11" s="358"/>
      <c r="CW11" s="358"/>
      <c r="CX11" s="359"/>
      <c r="CY11" s="191"/>
      <c r="CZ11" s="360"/>
      <c r="DA11" s="361"/>
      <c r="DB11" s="361"/>
      <c r="DC11" s="361"/>
      <c r="DD11" s="361"/>
      <c r="DE11" s="361"/>
      <c r="DF11" s="361"/>
      <c r="DG11" s="361"/>
      <c r="DH11" s="361"/>
      <c r="DI11" s="361"/>
      <c r="DJ11" s="361"/>
      <c r="DK11" s="361"/>
      <c r="DL11" s="361"/>
      <c r="DM11" s="361"/>
      <c r="DN11" s="361"/>
      <c r="DO11" s="361"/>
      <c r="DP11" s="361"/>
      <c r="DQ11" s="361"/>
      <c r="DR11" s="362"/>
      <c r="DS11" s="363"/>
      <c r="DT11" s="363"/>
      <c r="DU11" s="363"/>
      <c r="DV11" s="363"/>
      <c r="DW11" s="363"/>
      <c r="DX11" s="363"/>
      <c r="DY11" s="363"/>
      <c r="DZ11" s="363"/>
      <c r="EA11" s="363"/>
      <c r="EB11" s="363"/>
      <c r="EC11" s="363"/>
      <c r="ED11" s="363"/>
      <c r="EE11" s="363"/>
      <c r="EF11" s="363"/>
      <c r="EG11" s="363"/>
      <c r="EH11" s="364"/>
      <c r="EI11" s="365"/>
      <c r="EJ11" s="365"/>
      <c r="EK11" s="363"/>
      <c r="EL11" s="363"/>
      <c r="EM11" s="363"/>
      <c r="EN11" s="363"/>
      <c r="EO11" s="363"/>
      <c r="EP11" s="363"/>
      <c r="EQ11" s="363"/>
      <c r="ER11" s="363"/>
      <c r="ES11" s="363"/>
      <c r="ET11" s="363"/>
      <c r="EU11" s="363"/>
      <c r="EV11" s="363"/>
      <c r="EW11" s="363"/>
      <c r="EX11" s="363"/>
      <c r="EY11" s="364"/>
      <c r="EZ11" s="174"/>
    </row>
    <row r="12" ht="6.65" customHeight="1" spans="1:156">
      <c r="B12" s="177"/>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c r="CY12" s="191"/>
      <c r="CZ12" s="177"/>
      <c r="DA12" s="177"/>
      <c r="DB12" s="177"/>
      <c r="DC12" s="177"/>
      <c r="DD12" s="177"/>
      <c r="DE12" s="177"/>
      <c r="DF12" s="177"/>
      <c r="DG12" s="177"/>
      <c r="DH12" s="177"/>
      <c r="DI12" s="177"/>
      <c r="DJ12" s="177"/>
      <c r="DK12" s="177"/>
      <c r="DL12" s="177"/>
      <c r="DM12" s="177"/>
      <c r="DN12" s="177"/>
      <c r="DO12" s="177"/>
      <c r="DP12" s="177"/>
      <c r="DQ12" s="177"/>
      <c r="DR12" s="177"/>
      <c r="DS12" s="177"/>
      <c r="DT12" s="177"/>
      <c r="DU12" s="177"/>
      <c r="DV12" s="177"/>
      <c r="DW12" s="177"/>
      <c r="DX12" s="177"/>
      <c r="DY12" s="177"/>
      <c r="DZ12" s="177"/>
      <c r="EA12" s="177"/>
      <c r="EB12" s="177"/>
      <c r="EC12" s="177"/>
      <c r="ED12" s="177"/>
      <c r="EE12" s="177"/>
      <c r="EF12" s="177"/>
      <c r="EG12" s="177"/>
      <c r="EH12" s="173"/>
      <c r="EI12" s="366"/>
      <c r="EJ12" s="366"/>
      <c r="EK12" s="366"/>
      <c r="EL12" s="366"/>
      <c r="EM12" s="366"/>
      <c r="EN12" s="366"/>
      <c r="EO12" s="366"/>
      <c r="EP12" s="366"/>
      <c r="EQ12" s="366"/>
      <c r="ER12" s="366"/>
      <c r="ES12" s="366"/>
      <c r="ET12" s="366"/>
      <c r="EU12" s="366"/>
      <c r="EV12" s="366"/>
      <c r="EW12" s="366"/>
      <c r="EX12" s="366"/>
      <c r="EY12" s="366"/>
    </row>
    <row r="13" customHeight="1" spans="1:156">
      <c r="A13" s="191"/>
      <c r="B13" s="367" t="s">
        <v>48</v>
      </c>
      <c r="C13" s="367"/>
      <c r="D13" s="367"/>
      <c r="E13" s="367"/>
      <c r="F13" s="367"/>
      <c r="G13" s="367"/>
      <c r="H13" s="367"/>
      <c r="I13" s="367"/>
      <c r="J13" s="367"/>
      <c r="K13" s="367"/>
      <c r="L13" s="367"/>
      <c r="M13" s="367"/>
      <c r="N13" s="367"/>
      <c r="O13" s="367"/>
      <c r="P13" s="368" t="s">
        <v>49</v>
      </c>
      <c r="Q13" s="368"/>
      <c r="R13" s="368"/>
      <c r="S13" s="368" t="s">
        <v>50</v>
      </c>
      <c r="T13" s="368"/>
      <c r="U13" s="368"/>
      <c r="V13" s="368" t="s">
        <v>51</v>
      </c>
      <c r="W13" s="368"/>
      <c r="X13" s="368"/>
      <c r="Y13" s="368" t="s">
        <v>52</v>
      </c>
      <c r="Z13" s="368"/>
      <c r="AA13" s="368"/>
      <c r="AB13" s="368" t="s">
        <v>53</v>
      </c>
      <c r="AC13" s="368"/>
      <c r="AD13" s="368"/>
      <c r="AE13" s="368"/>
      <c r="AF13" s="368"/>
      <c r="AG13" s="368"/>
      <c r="AH13" s="368"/>
      <c r="AI13" s="368"/>
      <c r="AJ13" s="368"/>
      <c r="AK13" s="368"/>
      <c r="AL13" s="368"/>
      <c r="AM13" s="368"/>
      <c r="AN13" s="368"/>
      <c r="AO13" s="368"/>
      <c r="AP13" s="368"/>
      <c r="AQ13" s="368"/>
      <c r="AR13" s="368"/>
      <c r="AS13" s="368" t="s">
        <v>49</v>
      </c>
      <c r="AT13" s="368"/>
      <c r="AU13" s="368"/>
      <c r="AV13" s="368" t="s">
        <v>50</v>
      </c>
      <c r="AW13" s="368"/>
      <c r="AX13" s="368"/>
      <c r="AY13" s="368" t="s">
        <v>51</v>
      </c>
      <c r="AZ13" s="368"/>
      <c r="BA13" s="368"/>
      <c r="BB13" s="368" t="s">
        <v>52</v>
      </c>
      <c r="BC13" s="368"/>
      <c r="BD13" s="368"/>
      <c r="BE13" s="368" t="s">
        <v>53</v>
      </c>
      <c r="BF13" s="368"/>
      <c r="BG13" s="368"/>
      <c r="BH13" s="369"/>
      <c r="BI13" s="370" t="s">
        <v>54</v>
      </c>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191"/>
      <c r="CZ13" s="372" t="s">
        <v>55</v>
      </c>
      <c r="DA13" s="373"/>
      <c r="DB13" s="373"/>
      <c r="DC13" s="373"/>
      <c r="DD13" s="373"/>
      <c r="DE13" s="373"/>
      <c r="DF13" s="373"/>
      <c r="DG13" s="373"/>
      <c r="DH13" s="373"/>
      <c r="DI13" s="373"/>
      <c r="DJ13" s="373"/>
      <c r="DK13" s="373"/>
      <c r="DL13" s="374"/>
      <c r="DM13" s="375" t="s">
        <v>56</v>
      </c>
      <c r="DN13" s="376"/>
      <c r="DO13" s="376"/>
      <c r="DP13" s="377"/>
      <c r="DQ13" s="375" t="s">
        <v>57</v>
      </c>
      <c r="DR13" s="376"/>
      <c r="DS13" s="376"/>
      <c r="DT13" s="376"/>
      <c r="DU13" s="376"/>
      <c r="DV13" s="377"/>
      <c r="DW13" s="378" t="s">
        <v>58</v>
      </c>
      <c r="DX13" s="378"/>
      <c r="DY13" s="378"/>
      <c r="DZ13" s="375" t="s">
        <v>59</v>
      </c>
      <c r="EA13" s="376"/>
      <c r="EB13" s="376"/>
      <c r="EC13" s="377"/>
      <c r="ED13" s="375" t="s">
        <v>60</v>
      </c>
      <c r="EE13" s="376"/>
      <c r="EF13" s="376"/>
      <c r="EG13" s="377"/>
      <c r="EH13" s="379"/>
      <c r="EI13" s="380" t="s">
        <v>61</v>
      </c>
      <c r="EJ13" s="381"/>
      <c r="EK13" s="381"/>
      <c r="EL13" s="381"/>
      <c r="EM13" s="381"/>
      <c r="EN13" s="381"/>
      <c r="EO13" s="381"/>
      <c r="EP13" s="381"/>
      <c r="EQ13" s="382">
        <f>IF(AN3="",0,FLOOR((附表!B2-9)/4,1))</f>
        <v>-3</v>
      </c>
      <c r="ER13" s="382"/>
      <c r="ES13" s="382"/>
      <c r="ET13" s="382"/>
      <c r="EU13" s="382"/>
      <c r="EV13" s="382"/>
      <c r="EW13" s="382"/>
      <c r="EX13" s="382"/>
      <c r="EY13" s="383"/>
      <c r="EZ13" s="174"/>
    </row>
    <row r="14" customHeight="1" spans="1:156">
      <c r="A14" s="191"/>
      <c r="B14" s="384" t="s">
        <v>62</v>
      </c>
      <c r="C14" s="385"/>
      <c r="D14" s="386" t="s">
        <v>63</v>
      </c>
      <c r="E14" s="386"/>
      <c r="F14" s="386"/>
      <c r="G14" s="386"/>
      <c r="H14" s="386"/>
      <c r="I14" s="386"/>
      <c r="J14" s="386"/>
      <c r="K14" s="386"/>
      <c r="L14" s="386"/>
      <c r="M14" s="386"/>
      <c r="N14" s="386"/>
      <c r="O14" s="386"/>
      <c r="P14" s="387">
        <f ca="1" t="shared" ref="P14:P43" si="0">MAX(0,MIN(99,IF(V14="",N(S14),N(V14))+N(Y14)+N(AB14)))</f>
        <v>10</v>
      </c>
      <c r="Q14" s="387"/>
      <c r="R14" s="387"/>
      <c r="S14" s="388">
        <v>10</v>
      </c>
      <c r="T14" s="388"/>
      <c r="U14" s="388"/>
      <c r="V14" s="388" t="str">
        <f ca="1">IF(职业选项!V40&gt;0,职业选项!V40,"")</f>
        <v/>
      </c>
      <c r="W14" s="388"/>
      <c r="X14" s="388"/>
      <c r="Y14" s="388" t="str">
        <f ca="1">规则数据!H20</f>
        <v/>
      </c>
      <c r="Z14" s="388"/>
      <c r="AA14" s="388"/>
      <c r="AB14" s="388">
        <f>幕间计算!B2+IF(AND(幕间计算!A2&lt;&gt;"",COUNTIF(幕间计算!$A$2:A2,幕间计算!A2)=1),SUMIF(幕间计算!$C$200:$C$1199,幕间计算!A2,幕间计算!$E$200:$E$1199),0)</f>
        <v>0</v>
      </c>
      <c r="AC14" s="388"/>
      <c r="AD14" s="389"/>
      <c r="AE14" s="390" t="s">
        <v>62</v>
      </c>
      <c r="AF14" s="385"/>
      <c r="AG14" s="386" t="s">
        <v>64</v>
      </c>
      <c r="AH14" s="386"/>
      <c r="AI14" s="386"/>
      <c r="AJ14" s="386"/>
      <c r="AK14" s="386"/>
      <c r="AL14" s="386"/>
      <c r="AM14" s="386"/>
      <c r="AN14" s="386"/>
      <c r="AO14" s="386"/>
      <c r="AP14" s="386"/>
      <c r="AQ14" s="386"/>
      <c r="AR14" s="386"/>
      <c r="AS14" s="387">
        <f ca="1" t="shared" ref="AS14:AS38" si="1">MAX(0,MIN(99,IF(AY14="",N(AV14),N(AY14))+N(BB14)+N(BE14)))</f>
        <v>0</v>
      </c>
      <c r="AT14" s="387"/>
      <c r="AU14" s="387"/>
      <c r="AV14" s="388">
        <v>0</v>
      </c>
      <c r="AW14" s="388"/>
      <c r="AX14" s="388"/>
      <c r="AY14" s="388" t="str">
        <f ca="1">IF(职业选项!V41&gt;0,职业选项!V41,"")</f>
        <v/>
      </c>
      <c r="AZ14" s="388"/>
      <c r="BA14" s="388"/>
      <c r="BB14" s="388" t="str">
        <f ca="1">规则数据!H50</f>
        <v/>
      </c>
      <c r="BC14" s="388"/>
      <c r="BD14" s="388"/>
      <c r="BE14" s="388">
        <f ca="1">幕间计算!B32+IF(AND(幕间计算!A32&lt;&gt;"",COUNTIF(幕间计算!$A$2:A32,幕间计算!A32)=1),SUMIF(幕间计算!$C$200:$C$1199,幕间计算!A32,幕间计算!$E$200:$E$1199),0)</f>
        <v>0</v>
      </c>
      <c r="BF14" s="388"/>
      <c r="BG14" s="391"/>
      <c r="BH14" s="191"/>
      <c r="BI14" s="392" t="s">
        <v>65</v>
      </c>
      <c r="BJ14" s="393"/>
      <c r="BK14" s="393"/>
      <c r="BL14" s="393"/>
      <c r="BM14" s="393"/>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5"/>
      <c r="CY14" s="191"/>
      <c r="CZ14" s="396"/>
      <c r="DA14" s="397"/>
      <c r="DB14" s="397"/>
      <c r="DC14" s="397"/>
      <c r="DD14" s="397"/>
      <c r="DE14" s="397"/>
      <c r="DF14" s="397"/>
      <c r="DG14" s="397"/>
      <c r="DH14" s="397"/>
      <c r="DI14" s="397"/>
      <c r="DJ14" s="397"/>
      <c r="DK14" s="397"/>
      <c r="DL14" s="397"/>
      <c r="DM14" s="398" t="str">
        <f ca="1">IFERROR(INDIRECT(INDEX(规则数据!$C$500:$C$553,MATCH(CZ14,规则数据!$A$500:$A$553,0))),"")</f>
        <v/>
      </c>
      <c r="DN14" s="398"/>
      <c r="DO14" s="398"/>
      <c r="DP14" s="398"/>
      <c r="DQ14" s="398" t="str">
        <f>IFERROR(IF(INDEX(规则数据!$D$500:$D$553,MATCH(CZ14,规则数据!$A$500:$A$553,0))="","",INDEX(规则数据!$D$500:$D$553,MATCH(CZ14,规则数据!$A$500:$A$553,0))),"")</f>
        <v/>
      </c>
      <c r="DR14" s="398"/>
      <c r="DS14" s="398"/>
      <c r="DT14" s="398"/>
      <c r="DU14" s="398"/>
      <c r="DV14" s="398"/>
      <c r="DW14" s="398" t="str">
        <f>IFERROR(IF(INDEX(规则数据!$E$500:$E$553,MATCH(CZ14,规则数据!$A$500:$A$553,0))="","",INDEX(规则数据!$E$500:$E$553,MATCH(CZ14,规则数据!$A$500:$A$553,0))),"")</f>
        <v/>
      </c>
      <c r="DX14" s="398"/>
      <c r="DY14" s="398"/>
      <c r="DZ14" s="398" t="str">
        <f>IFERROR(IF(INDEX(规则数据!$F$500:$F$553,MATCH(CZ14,规则数据!$A$500:$A$553,0))="","",INDEX(规则数据!$F$500:$F$553,MATCH(CZ14,规则数据!$A$500:$A$553,0))),"")</f>
        <v/>
      </c>
      <c r="EA14" s="398"/>
      <c r="EB14" s="398"/>
      <c r="EC14" s="398"/>
      <c r="ED14" s="398" t="str">
        <f>IFERROR(IF(INDEX(规则数据!$G$500:$G$553,MATCH(CZ14,规则数据!$A$500:$A$553,0))="","",INDEX(规则数据!$G$500:$G$553,MATCH(CZ14,规则数据!$A$500:$A$553,0))),"")</f>
        <v/>
      </c>
      <c r="EE14" s="398"/>
      <c r="EF14" s="398"/>
      <c r="EG14" s="399"/>
      <c r="EH14" s="379"/>
      <c r="EI14" s="400" t="s">
        <v>66</v>
      </c>
      <c r="EJ14" s="401"/>
      <c r="EK14" s="401"/>
      <c r="EL14" s="401"/>
      <c r="EM14" s="401"/>
      <c r="EN14" s="401"/>
      <c r="EO14" s="401"/>
      <c r="EP14" s="401"/>
      <c r="EQ14" s="402"/>
      <c r="ER14" s="402"/>
      <c r="ES14" s="402"/>
      <c r="ET14" s="402"/>
      <c r="EU14" s="402"/>
      <c r="EV14" s="402"/>
      <c r="EW14" s="402"/>
      <c r="EX14" s="402"/>
      <c r="EY14" s="403"/>
      <c r="EZ14" s="174"/>
    </row>
    <row r="15" customHeight="1" spans="1:156">
      <c r="A15" s="191"/>
      <c r="B15" s="404" t="s">
        <v>62</v>
      </c>
      <c r="C15" s="405"/>
      <c r="D15" s="406" t="s">
        <v>67</v>
      </c>
      <c r="E15" s="406"/>
      <c r="F15" s="406"/>
      <c r="G15" s="406"/>
      <c r="H15" s="406"/>
      <c r="I15" s="406"/>
      <c r="J15" s="406"/>
      <c r="K15" s="406"/>
      <c r="L15" s="406"/>
      <c r="M15" s="406"/>
      <c r="N15" s="406"/>
      <c r="O15" s="406"/>
      <c r="P15" s="407">
        <f ca="1" t="shared" si="0"/>
        <v>20</v>
      </c>
      <c r="Q15" s="407"/>
      <c r="R15" s="407"/>
      <c r="S15" s="246">
        <v>20</v>
      </c>
      <c r="T15" s="246"/>
      <c r="U15" s="246"/>
      <c r="V15" s="246" t="str">
        <f ca="1">IF(职业选项!V42&gt;0,职业选项!V42,"")</f>
        <v/>
      </c>
      <c r="W15" s="246"/>
      <c r="X15" s="246"/>
      <c r="Y15" s="246" t="str">
        <f ca="1">规则数据!H21</f>
        <v/>
      </c>
      <c r="Z15" s="246"/>
      <c r="AA15" s="246"/>
      <c r="AB15" s="246">
        <f>幕间计算!B3+IF(AND(幕间计算!A3&lt;&gt;"",COUNTIF(幕间计算!$A$2:A3,幕间计算!A3)=1),SUMIF(幕间计算!$C$200:$C$1199,幕间计算!A3,幕间计算!$E$200:$E$1199),0)</f>
        <v>0</v>
      </c>
      <c r="AC15" s="246"/>
      <c r="AD15" s="408"/>
      <c r="AE15" s="409" t="s">
        <v>62</v>
      </c>
      <c r="AF15" s="405"/>
      <c r="AG15" s="406" t="s">
        <v>68</v>
      </c>
      <c r="AH15" s="406"/>
      <c r="AI15" s="406"/>
      <c r="AJ15" s="406"/>
      <c r="AK15" s="406"/>
      <c r="AL15" s="406"/>
      <c r="AM15" s="406"/>
      <c r="AN15" s="406"/>
      <c r="AO15" s="406"/>
      <c r="AP15" s="406"/>
      <c r="AQ15" s="406"/>
      <c r="AR15" s="406"/>
      <c r="AS15" s="407">
        <f ca="1" t="shared" si="1"/>
        <v>0</v>
      </c>
      <c r="AT15" s="407"/>
      <c r="AU15" s="407"/>
      <c r="AV15" s="246">
        <v>0</v>
      </c>
      <c r="AW15" s="246"/>
      <c r="AX15" s="246"/>
      <c r="AY15" s="246" t="str">
        <f ca="1">IF(职业选项!V43&gt;0,职业选项!V43,"")</f>
        <v/>
      </c>
      <c r="AZ15" s="246"/>
      <c r="BA15" s="246"/>
      <c r="BB15" s="246" t="str">
        <f ca="1">规则数据!H51</f>
        <v/>
      </c>
      <c r="BC15" s="246"/>
      <c r="BD15" s="246"/>
      <c r="BE15" s="246">
        <f ca="1">幕间计算!B33+IF(AND(幕间计算!A33&lt;&gt;"",COUNTIF(幕间计算!$A$2:A33,幕间计算!A33)=1),SUMIF(幕间计算!$C$200:$C$1199,幕间计算!A33,幕间计算!$E$200:$E$1199),0)</f>
        <v>0</v>
      </c>
      <c r="BF15" s="246"/>
      <c r="BG15" s="410"/>
      <c r="BH15" s="191"/>
      <c r="BI15" s="411"/>
      <c r="BJ15" s="412"/>
      <c r="BK15" s="412"/>
      <c r="BL15" s="412"/>
      <c r="BM15" s="412"/>
      <c r="BN15" s="413"/>
      <c r="BO15" s="413"/>
      <c r="BP15" s="413"/>
      <c r="BQ15" s="413"/>
      <c r="BR15" s="413"/>
      <c r="BS15" s="413"/>
      <c r="BT15" s="413"/>
      <c r="BU15" s="413"/>
      <c r="BV15" s="413"/>
      <c r="BW15" s="413"/>
      <c r="BX15" s="413"/>
      <c r="BY15" s="413"/>
      <c r="BZ15" s="413"/>
      <c r="CA15" s="413"/>
      <c r="CB15" s="413"/>
      <c r="CC15" s="413"/>
      <c r="CD15" s="413"/>
      <c r="CE15" s="413"/>
      <c r="CF15" s="413"/>
      <c r="CG15" s="413"/>
      <c r="CH15" s="413"/>
      <c r="CI15" s="413"/>
      <c r="CJ15" s="413"/>
      <c r="CK15" s="413"/>
      <c r="CL15" s="413"/>
      <c r="CM15" s="413"/>
      <c r="CN15" s="413"/>
      <c r="CO15" s="413"/>
      <c r="CP15" s="413"/>
      <c r="CQ15" s="413"/>
      <c r="CR15" s="413"/>
      <c r="CS15" s="413"/>
      <c r="CT15" s="413"/>
      <c r="CU15" s="413"/>
      <c r="CV15" s="413"/>
      <c r="CW15" s="413"/>
      <c r="CX15" s="414"/>
      <c r="CY15" s="191"/>
      <c r="CZ15" s="415"/>
      <c r="DA15" s="416"/>
      <c r="DB15" s="416"/>
      <c r="DC15" s="416"/>
      <c r="DD15" s="416"/>
      <c r="DE15" s="416"/>
      <c r="DF15" s="416"/>
      <c r="DG15" s="416"/>
      <c r="DH15" s="416"/>
      <c r="DI15" s="416"/>
      <c r="DJ15" s="416"/>
      <c r="DK15" s="416"/>
      <c r="DL15" s="416"/>
      <c r="DM15" s="235" t="str">
        <f ca="1">IFERROR(INDIRECT(INDEX(规则数据!$C$500:$C$553,MATCH(CZ15,规则数据!$A$500:$A$553,0))),"")</f>
        <v/>
      </c>
      <c r="DN15" s="235"/>
      <c r="DO15" s="235"/>
      <c r="DP15" s="235"/>
      <c r="DQ15" s="235" t="str">
        <f>IFERROR(IF(INDEX(规则数据!$D$500:$D$553,MATCH(CZ15,规则数据!$A$500:$A$553,0))="","",INDEX(规则数据!$D$500:$D$553,MATCH(CZ15,规则数据!$A$500:$A$553,0))),"")</f>
        <v/>
      </c>
      <c r="DR15" s="235"/>
      <c r="DS15" s="235"/>
      <c r="DT15" s="235"/>
      <c r="DU15" s="235"/>
      <c r="DV15" s="235"/>
      <c r="DW15" s="235" t="str">
        <f>IFERROR(IF(INDEX(规则数据!$E$500:$E$553,MATCH(CZ15,规则数据!$A$500:$A$553,0))="","",INDEX(规则数据!$E$500:$E$553,MATCH(CZ15,规则数据!$A$500:$A$553,0))),"")</f>
        <v/>
      </c>
      <c r="DX15" s="235"/>
      <c r="DY15" s="235"/>
      <c r="DZ15" s="235" t="str">
        <f>IFERROR(IF(INDEX(规则数据!$F$500:$F$553,MATCH(CZ15,规则数据!$A$500:$A$553,0))="","",INDEX(规则数据!$F$500:$F$553,MATCH(CZ15,规则数据!$A$500:$A$553,0))),"")</f>
        <v/>
      </c>
      <c r="EA15" s="235"/>
      <c r="EB15" s="235"/>
      <c r="EC15" s="235"/>
      <c r="ED15" s="235" t="str">
        <f>IFERROR(IF(INDEX(规则数据!$G$500:$G$553,MATCH(CZ15,规则数据!$A$500:$A$553,0))="","",INDEX(规则数据!$G$500:$G$553,MATCH(CZ15,规则数据!$A$500:$A$553,0))),"")</f>
        <v/>
      </c>
      <c r="EE15" s="235"/>
      <c r="EF15" s="235"/>
      <c r="EG15" s="417"/>
      <c r="EH15" s="418"/>
      <c r="EI15" s="419"/>
      <c r="EJ15" s="420"/>
      <c r="EK15" s="420"/>
      <c r="EL15" s="420"/>
      <c r="EM15" s="420"/>
      <c r="EN15" s="420"/>
      <c r="EO15" s="420"/>
      <c r="EP15" s="420"/>
      <c r="EQ15" s="420"/>
      <c r="ER15" s="420"/>
      <c r="ES15" s="420"/>
      <c r="ET15" s="420"/>
      <c r="EU15" s="420"/>
      <c r="EV15" s="420"/>
      <c r="EW15" s="420"/>
      <c r="EX15" s="420"/>
      <c r="EY15" s="421"/>
    </row>
    <row r="16" customHeight="1" spans="1:156">
      <c r="A16" s="191"/>
      <c r="B16" s="404" t="s">
        <v>62</v>
      </c>
      <c r="C16" s="405"/>
      <c r="D16" s="406" t="s">
        <v>69</v>
      </c>
      <c r="E16" s="406"/>
      <c r="F16" s="406"/>
      <c r="G16" s="406"/>
      <c r="H16" s="406"/>
      <c r="I16" s="406"/>
      <c r="J16" s="406"/>
      <c r="K16" s="406"/>
      <c r="L16" s="406"/>
      <c r="M16" s="406"/>
      <c r="N16" s="406"/>
      <c r="O16" s="406"/>
      <c r="P16" s="407">
        <f ca="1" t="shared" si="0"/>
        <v>0</v>
      </c>
      <c r="Q16" s="407"/>
      <c r="R16" s="407"/>
      <c r="S16" s="246">
        <v>0</v>
      </c>
      <c r="T16" s="246"/>
      <c r="U16" s="246"/>
      <c r="V16" s="246" t="str">
        <f ca="1">IF(职业选项!V44&gt;0,职业选项!V44,"")</f>
        <v/>
      </c>
      <c r="W16" s="246"/>
      <c r="X16" s="246"/>
      <c r="Y16" s="246" t="str">
        <f ca="1">规则数据!H22</f>
        <v/>
      </c>
      <c r="Z16" s="246"/>
      <c r="AA16" s="246"/>
      <c r="AB16" s="246">
        <f>幕间计算!B4+IF(AND(幕间计算!A4&lt;&gt;"",COUNTIF(幕间计算!$A$2:A4,幕间计算!A4)=1),SUMIF(幕间计算!$C$200:$C$1199,幕间计算!A4,幕间计算!$E$200:$E$1199),0)</f>
        <v>0</v>
      </c>
      <c r="AC16" s="246"/>
      <c r="AD16" s="408"/>
      <c r="AE16" s="409" t="s">
        <v>62</v>
      </c>
      <c r="AF16" s="405"/>
      <c r="AG16" s="406" t="s">
        <v>70</v>
      </c>
      <c r="AH16" s="406"/>
      <c r="AI16" s="406"/>
      <c r="AJ16" s="406"/>
      <c r="AK16" s="406"/>
      <c r="AL16" s="406"/>
      <c r="AM16" s="406"/>
      <c r="AN16" s="406"/>
      <c r="AO16" s="406"/>
      <c r="AP16" s="406"/>
      <c r="AQ16" s="406"/>
      <c r="AR16" s="406"/>
      <c r="AS16" s="407">
        <f ca="1" t="shared" si="1"/>
        <v>30</v>
      </c>
      <c r="AT16" s="407"/>
      <c r="AU16" s="407"/>
      <c r="AV16" s="246">
        <v>30</v>
      </c>
      <c r="AW16" s="246"/>
      <c r="AX16" s="246"/>
      <c r="AY16" s="246" t="str">
        <f ca="1">IF(职业选项!V45&gt;0,职业选项!V45,"")</f>
        <v/>
      </c>
      <c r="AZ16" s="246"/>
      <c r="BA16" s="246"/>
      <c r="BB16" s="246" t="str">
        <f ca="1">规则数据!H52</f>
        <v/>
      </c>
      <c r="BC16" s="246"/>
      <c r="BD16" s="246"/>
      <c r="BE16" s="246">
        <f ca="1">幕间计算!B34+IF(AND(幕间计算!A34&lt;&gt;"",COUNTIF(幕间计算!$A$2:A34,幕间计算!A34)=1),SUMIF(幕间计算!$C$200:$C$1199,幕间计算!A34,幕间计算!$E$200:$E$1199),0)</f>
        <v>0</v>
      </c>
      <c r="BF16" s="246"/>
      <c r="BG16" s="410"/>
      <c r="BH16" s="191"/>
      <c r="BI16" s="422"/>
      <c r="BJ16" s="423"/>
      <c r="BK16" s="423"/>
      <c r="BL16" s="423"/>
      <c r="BM16" s="423"/>
      <c r="BN16" s="424"/>
      <c r="BO16" s="424"/>
      <c r="BP16" s="424"/>
      <c r="BQ16" s="424"/>
      <c r="BR16" s="424"/>
      <c r="BS16" s="424"/>
      <c r="BT16" s="424"/>
      <c r="BU16" s="424"/>
      <c r="BV16" s="424"/>
      <c r="BW16" s="424"/>
      <c r="BX16" s="424"/>
      <c r="BY16" s="424"/>
      <c r="BZ16" s="424"/>
      <c r="CA16" s="424"/>
      <c r="CB16" s="424"/>
      <c r="CC16" s="424"/>
      <c r="CD16" s="424"/>
      <c r="CE16" s="424"/>
      <c r="CF16" s="424"/>
      <c r="CG16" s="424"/>
      <c r="CH16" s="424"/>
      <c r="CI16" s="424"/>
      <c r="CJ16" s="424"/>
      <c r="CK16" s="424"/>
      <c r="CL16" s="424"/>
      <c r="CM16" s="424"/>
      <c r="CN16" s="424"/>
      <c r="CO16" s="424"/>
      <c r="CP16" s="424"/>
      <c r="CQ16" s="424"/>
      <c r="CR16" s="424"/>
      <c r="CS16" s="424"/>
      <c r="CT16" s="424"/>
      <c r="CU16" s="424"/>
      <c r="CV16" s="424"/>
      <c r="CW16" s="424"/>
      <c r="CX16" s="425"/>
      <c r="CY16" s="191"/>
      <c r="CZ16" s="415"/>
      <c r="DA16" s="416"/>
      <c r="DB16" s="416"/>
      <c r="DC16" s="416"/>
      <c r="DD16" s="416"/>
      <c r="DE16" s="416"/>
      <c r="DF16" s="416"/>
      <c r="DG16" s="416"/>
      <c r="DH16" s="416"/>
      <c r="DI16" s="416"/>
      <c r="DJ16" s="416"/>
      <c r="DK16" s="416"/>
      <c r="DL16" s="416"/>
      <c r="DM16" s="235" t="str">
        <f ca="1">IFERROR(INDIRECT(INDEX(规则数据!$C$500:$C$553,MATCH(CZ16,规则数据!$A$500:$A$553,0))),"")</f>
        <v/>
      </c>
      <c r="DN16" s="235"/>
      <c r="DO16" s="235"/>
      <c r="DP16" s="235"/>
      <c r="DQ16" s="235" t="str">
        <f>IFERROR(IF(INDEX(规则数据!$D$500:$D$553,MATCH(CZ16,规则数据!$A$500:$A$553,0))="","",INDEX(规则数据!$D$500:$D$553,MATCH(CZ16,规则数据!$A$500:$A$553,0))),"")</f>
        <v/>
      </c>
      <c r="DR16" s="235"/>
      <c r="DS16" s="235"/>
      <c r="DT16" s="235"/>
      <c r="DU16" s="235"/>
      <c r="DV16" s="235"/>
      <c r="DW16" s="235" t="str">
        <f>IFERROR(IF(INDEX(规则数据!$E$500:$E$553,MATCH(CZ16,规则数据!$A$500:$A$553,0))="","",INDEX(规则数据!$E$500:$E$553,MATCH(CZ16,规则数据!$A$500:$A$553,0))),"")</f>
        <v/>
      </c>
      <c r="DX16" s="235"/>
      <c r="DY16" s="235"/>
      <c r="DZ16" s="235" t="str">
        <f>IFERROR(IF(INDEX(规则数据!$F$500:$F$553,MATCH(CZ16,规则数据!$A$500:$A$553,0))="","",INDEX(规则数据!$F$500:$F$553,MATCH(CZ16,规则数据!$A$500:$A$553,0))),"")</f>
        <v/>
      </c>
      <c r="EA16" s="235"/>
      <c r="EB16" s="235"/>
      <c r="EC16" s="235"/>
      <c r="ED16" s="235" t="str">
        <f>IFERROR(IF(INDEX(规则数据!$G$500:$G$553,MATCH(CZ16,规则数据!$A$500:$A$553,0))="","",INDEX(规则数据!$G$500:$G$553,MATCH(CZ16,规则数据!$A$500:$A$553,0))),"")</f>
        <v/>
      </c>
      <c r="EE16" s="235"/>
      <c r="EF16" s="235"/>
      <c r="EG16" s="417"/>
      <c r="EH16" s="379"/>
      <c r="EI16" s="426" t="s">
        <v>71</v>
      </c>
      <c r="EJ16" s="427"/>
      <c r="EK16" s="427"/>
      <c r="EL16" s="427"/>
      <c r="EM16" s="427"/>
      <c r="EN16" s="427"/>
      <c r="EO16" s="427"/>
      <c r="EP16" s="427"/>
      <c r="EQ16" s="427"/>
      <c r="ER16" s="427"/>
      <c r="ES16" s="427"/>
      <c r="ET16" s="427"/>
      <c r="EU16" s="427"/>
      <c r="EV16" s="427"/>
      <c r="EW16" s="427"/>
      <c r="EX16" s="427"/>
      <c r="EY16" s="428"/>
      <c r="EZ16" s="174"/>
    </row>
    <row r="17" customHeight="1" spans="1:156">
      <c r="A17" s="191"/>
      <c r="B17" s="404" t="s">
        <v>62</v>
      </c>
      <c r="C17" s="405"/>
      <c r="D17" s="406" t="s">
        <v>72</v>
      </c>
      <c r="E17" s="406"/>
      <c r="F17" s="406"/>
      <c r="G17" s="406"/>
      <c r="H17" s="406"/>
      <c r="I17" s="406"/>
      <c r="J17" s="406"/>
      <c r="K17" s="406"/>
      <c r="L17" s="406"/>
      <c r="M17" s="406"/>
      <c r="N17" s="406"/>
      <c r="O17" s="406"/>
      <c r="P17" s="407">
        <f ca="1" t="shared" si="0"/>
        <v>0</v>
      </c>
      <c r="Q17" s="407"/>
      <c r="R17" s="407"/>
      <c r="S17" s="246">
        <v>0</v>
      </c>
      <c r="T17" s="246"/>
      <c r="U17" s="246"/>
      <c r="V17" s="246" t="str">
        <f ca="1">IF(职业选项!V46&gt;0,职业选项!V46,"")</f>
        <v/>
      </c>
      <c r="W17" s="246"/>
      <c r="X17" s="246"/>
      <c r="Y17" s="246" t="str">
        <f ca="1">规则数据!H23</f>
        <v/>
      </c>
      <c r="Z17" s="246"/>
      <c r="AA17" s="246"/>
      <c r="AB17" s="246">
        <f>幕间计算!B5+IF(AND(幕间计算!A5&lt;&gt;"",COUNTIF(幕间计算!$A$2:A5,幕间计算!A5)=1),SUMIF(幕间计算!$C$200:$C$1199,幕间计算!A5,幕间计算!$E$200:$E$1199),0)</f>
        <v>0</v>
      </c>
      <c r="AC17" s="246"/>
      <c r="AD17" s="408"/>
      <c r="AE17" s="409" t="s">
        <v>62</v>
      </c>
      <c r="AF17" s="405"/>
      <c r="AG17" s="429" t="s">
        <v>73</v>
      </c>
      <c r="AH17" s="430"/>
      <c r="AI17" s="430"/>
      <c r="AJ17" s="430"/>
      <c r="AK17" s="430"/>
      <c r="AL17" s="430"/>
      <c r="AM17" s="431"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431"/>
      <c r="AO17" s="431"/>
      <c r="AP17" s="431"/>
      <c r="AQ17" s="431"/>
      <c r="AR17" s="432"/>
      <c r="AS17" s="407">
        <f ca="1" t="shared" si="1"/>
        <v>0</v>
      </c>
      <c r="AT17" s="407"/>
      <c r="AU17" s="407"/>
      <c r="AV17" s="246">
        <v>0</v>
      </c>
      <c r="AW17" s="246"/>
      <c r="AX17" s="246"/>
      <c r="AY17" s="246" t="str">
        <f ca="1">IF(职业选项!V47&gt;0,职业选项!V47,"")</f>
        <v/>
      </c>
      <c r="AZ17" s="246"/>
      <c r="BA17" s="246"/>
      <c r="BB17" s="246" t="str">
        <f ca="1">规则数据!H53</f>
        <v/>
      </c>
      <c r="BC17" s="246"/>
      <c r="BD17" s="246"/>
      <c r="BE17" s="246">
        <f ca="1">幕间计算!B35+IF(AND(幕间计算!A35&lt;&gt;"",COUNTIF(幕间计算!$A$2:A35,幕间计算!A35)=1),SUMIF(幕间计算!$C$200:$C$1199,幕间计算!A35,幕间计算!$E$200:$E$1199),0)</f>
        <v>0</v>
      </c>
      <c r="BF17" s="246"/>
      <c r="BG17" s="410"/>
      <c r="BH17" s="191"/>
      <c r="BI17" s="433" t="s">
        <v>74</v>
      </c>
      <c r="BJ17" s="434"/>
      <c r="BK17" s="434"/>
      <c r="BL17" s="434"/>
      <c r="BM17" s="434"/>
      <c r="BN17" s="435"/>
      <c r="BO17" s="436"/>
      <c r="BP17" s="436"/>
      <c r="BQ17" s="436"/>
      <c r="BR17" s="436"/>
      <c r="BS17" s="436"/>
      <c r="BT17" s="436"/>
      <c r="BU17" s="436"/>
      <c r="BV17" s="436"/>
      <c r="BW17" s="436"/>
      <c r="BX17" s="436"/>
      <c r="BY17" s="436"/>
      <c r="BZ17" s="436"/>
      <c r="CA17" s="436"/>
      <c r="CB17" s="436"/>
      <c r="CC17" s="436"/>
      <c r="CD17" s="436"/>
      <c r="CE17" s="436"/>
      <c r="CF17" s="436"/>
      <c r="CG17" s="436"/>
      <c r="CH17" s="436"/>
      <c r="CI17" s="436"/>
      <c r="CJ17" s="436"/>
      <c r="CK17" s="436"/>
      <c r="CL17" s="436"/>
      <c r="CM17" s="436"/>
      <c r="CN17" s="436"/>
      <c r="CO17" s="436"/>
      <c r="CP17" s="436"/>
      <c r="CQ17" s="436"/>
      <c r="CR17" s="436"/>
      <c r="CS17" s="436"/>
      <c r="CT17" s="436"/>
      <c r="CU17" s="436"/>
      <c r="CV17" s="436"/>
      <c r="CW17" s="436"/>
      <c r="CX17" s="437"/>
      <c r="CY17" s="191"/>
      <c r="CZ17" s="415"/>
      <c r="DA17" s="416"/>
      <c r="DB17" s="416"/>
      <c r="DC17" s="416"/>
      <c r="DD17" s="416"/>
      <c r="DE17" s="416"/>
      <c r="DF17" s="416"/>
      <c r="DG17" s="416"/>
      <c r="DH17" s="416"/>
      <c r="DI17" s="416"/>
      <c r="DJ17" s="416"/>
      <c r="DK17" s="416"/>
      <c r="DL17" s="416"/>
      <c r="DM17" s="235" t="str">
        <f ca="1">IFERROR(INDIRECT(INDEX(规则数据!$C$500:$C$553,MATCH(CZ17,规则数据!$A$500:$A$553,0))),"")</f>
        <v/>
      </c>
      <c r="DN17" s="235"/>
      <c r="DO17" s="235"/>
      <c r="DP17" s="235"/>
      <c r="DQ17" s="235" t="str">
        <f>IFERROR(IF(INDEX(规则数据!$D$500:$D$553,MATCH(CZ17,规则数据!$A$500:$A$553,0))="","",INDEX(规则数据!$D$500:$D$553,MATCH(CZ17,规则数据!$A$500:$A$553,0))),"")</f>
        <v/>
      </c>
      <c r="DR17" s="235"/>
      <c r="DS17" s="235"/>
      <c r="DT17" s="235"/>
      <c r="DU17" s="235"/>
      <c r="DV17" s="235"/>
      <c r="DW17" s="235" t="str">
        <f>IFERROR(IF(INDEX(规则数据!$E$500:$E$553,MATCH(CZ17,规则数据!$A$500:$A$553,0))="","",INDEX(规则数据!$E$500:$E$553,MATCH(CZ17,规则数据!$A$500:$A$553,0))),"")</f>
        <v/>
      </c>
      <c r="DX17" s="235"/>
      <c r="DY17" s="235"/>
      <c r="DZ17" s="235" t="str">
        <f>IFERROR(IF(INDEX(规则数据!$F$500:$F$553,MATCH(CZ17,规则数据!$A$500:$A$553,0))="","",INDEX(规则数据!$F$500:$F$553,MATCH(CZ17,规则数据!$A$500:$A$553,0))),"")</f>
        <v/>
      </c>
      <c r="EA17" s="235"/>
      <c r="EB17" s="235"/>
      <c r="EC17" s="235"/>
      <c r="ED17" s="235" t="str">
        <f>IFERROR(IF(INDEX(规则数据!$G$500:$G$553,MATCH(CZ17,规则数据!$A$500:$A$553,0))="","",INDEX(规则数据!$G$500:$G$553,MATCH(CZ17,规则数据!$A$500:$A$553,0))),"")</f>
        <v/>
      </c>
      <c r="EE17" s="235"/>
      <c r="EF17" s="235"/>
      <c r="EG17" s="417"/>
      <c r="EH17" s="379"/>
      <c r="EI17" s="438"/>
      <c r="EJ17" s="257"/>
      <c r="EK17" s="257"/>
      <c r="EL17" s="257"/>
      <c r="EM17" s="257"/>
      <c r="EN17" s="257"/>
      <c r="EO17" s="257"/>
      <c r="EP17" s="257"/>
      <c r="EQ17" s="257"/>
      <c r="ER17" s="257"/>
      <c r="ES17" s="257"/>
      <c r="ET17" s="257"/>
      <c r="EU17" s="257"/>
      <c r="EV17" s="257"/>
      <c r="EW17" s="257"/>
      <c r="EX17" s="257"/>
      <c r="EY17" s="258"/>
      <c r="EZ17" s="174"/>
    </row>
    <row r="18" customHeight="1" spans="1:156">
      <c r="A18" s="191"/>
      <c r="B18" s="404" t="s">
        <v>62</v>
      </c>
      <c r="C18" s="405"/>
      <c r="D18" s="439" t="s">
        <v>75</v>
      </c>
      <c r="E18" s="440"/>
      <c r="F18" s="440"/>
      <c r="G18" s="440"/>
      <c r="H18" s="440"/>
      <c r="I18" s="440"/>
      <c r="J18" s="441"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441"/>
      <c r="L18" s="441"/>
      <c r="M18" s="441"/>
      <c r="N18" s="441"/>
      <c r="O18" s="442"/>
      <c r="P18" s="407">
        <f ca="1" t="shared" si="0"/>
        <v>0</v>
      </c>
      <c r="Q18" s="407"/>
      <c r="R18" s="407"/>
      <c r="S18" s="246">
        <v>0</v>
      </c>
      <c r="T18" s="246"/>
      <c r="U18" s="246"/>
      <c r="V18" s="246" t="str">
        <f ca="1">IF(职业选项!V48&gt;0,职业选项!V48,"")</f>
        <v/>
      </c>
      <c r="W18" s="246"/>
      <c r="X18" s="246"/>
      <c r="Y18" s="246" t="str">
        <f ca="1">规则数据!H24</f>
        <v/>
      </c>
      <c r="Z18" s="246"/>
      <c r="AA18" s="246"/>
      <c r="AB18" s="246">
        <f ca="1">幕间计算!B6+IF(AND(幕间计算!A6&lt;&gt;"",COUNTIF(幕间计算!$A$2:A6,幕间计算!A6)=1),SUMIF(幕间计算!$C$200:$C$1199,幕间计算!A6,幕间计算!$E$200:$E$1199),0)</f>
        <v>0</v>
      </c>
      <c r="AC18" s="246"/>
      <c r="AD18" s="408"/>
      <c r="AE18" s="409" t="s">
        <v>62</v>
      </c>
      <c r="AF18" s="405"/>
      <c r="AG18" s="439" t="s">
        <v>73</v>
      </c>
      <c r="AH18" s="440"/>
      <c r="AI18" s="440"/>
      <c r="AJ18" s="440"/>
      <c r="AK18" s="440"/>
      <c r="AL18" s="440"/>
      <c r="AM18" s="441"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441"/>
      <c r="AO18" s="441"/>
      <c r="AP18" s="441"/>
      <c r="AQ18" s="441"/>
      <c r="AR18" s="442"/>
      <c r="AS18" s="407">
        <f ca="1" t="shared" si="1"/>
        <v>0</v>
      </c>
      <c r="AT18" s="407"/>
      <c r="AU18" s="407"/>
      <c r="AV18" s="246">
        <v>0</v>
      </c>
      <c r="AW18" s="246"/>
      <c r="AX18" s="246"/>
      <c r="AY18" s="246" t="str">
        <f ca="1">IF(职业选项!V49&gt;0,职业选项!V49,"")</f>
        <v/>
      </c>
      <c r="AZ18" s="246"/>
      <c r="BA18" s="246"/>
      <c r="BB18" s="246" t="str">
        <f ca="1">规则数据!H54</f>
        <v/>
      </c>
      <c r="BC18" s="246"/>
      <c r="BD18" s="246"/>
      <c r="BE18" s="246">
        <f ca="1">幕间计算!B36+IF(AND(幕间计算!A36&lt;&gt;"",COUNTIF(幕间计算!$A$2:A36,幕间计算!A36)=1),SUMIF(幕间计算!$C$200:$C$1199,幕间计算!A36,幕间计算!$E$200:$E$1199),0)</f>
        <v>0</v>
      </c>
      <c r="BF18" s="246"/>
      <c r="BG18" s="410"/>
      <c r="BH18" s="191"/>
      <c r="BI18" s="443"/>
      <c r="BJ18" s="444"/>
      <c r="BK18" s="444"/>
      <c r="BL18" s="444"/>
      <c r="BM18" s="444"/>
      <c r="BN18" s="445"/>
      <c r="BO18" s="446"/>
      <c r="BP18" s="446"/>
      <c r="BQ18" s="446"/>
      <c r="BR18" s="446"/>
      <c r="BS18" s="446"/>
      <c r="BT18" s="446"/>
      <c r="BU18" s="446"/>
      <c r="BV18" s="446"/>
      <c r="BW18" s="446"/>
      <c r="BX18" s="446"/>
      <c r="BY18" s="446"/>
      <c r="BZ18" s="446"/>
      <c r="CA18" s="446"/>
      <c r="CB18" s="446"/>
      <c r="CC18" s="446"/>
      <c r="CD18" s="446"/>
      <c r="CE18" s="446"/>
      <c r="CF18" s="446"/>
      <c r="CG18" s="446"/>
      <c r="CH18" s="446"/>
      <c r="CI18" s="446"/>
      <c r="CJ18" s="446"/>
      <c r="CK18" s="446"/>
      <c r="CL18" s="446"/>
      <c r="CM18" s="446"/>
      <c r="CN18" s="446"/>
      <c r="CO18" s="446"/>
      <c r="CP18" s="446"/>
      <c r="CQ18" s="446"/>
      <c r="CR18" s="446"/>
      <c r="CS18" s="446"/>
      <c r="CT18" s="446"/>
      <c r="CU18" s="446"/>
      <c r="CV18" s="446"/>
      <c r="CW18" s="446"/>
      <c r="CX18" s="447"/>
      <c r="CY18" s="191"/>
      <c r="CZ18" s="415"/>
      <c r="DA18" s="416"/>
      <c r="DB18" s="416"/>
      <c r="DC18" s="416"/>
      <c r="DD18" s="416"/>
      <c r="DE18" s="416"/>
      <c r="DF18" s="416"/>
      <c r="DG18" s="416"/>
      <c r="DH18" s="416"/>
      <c r="DI18" s="416"/>
      <c r="DJ18" s="416"/>
      <c r="DK18" s="416"/>
      <c r="DL18" s="416"/>
      <c r="DM18" s="235" t="str">
        <f ca="1">IFERROR(INDIRECT(INDEX(规则数据!$C$500:$C$553,MATCH(CZ18,规则数据!$A$500:$A$553,0))),"")</f>
        <v/>
      </c>
      <c r="DN18" s="235"/>
      <c r="DO18" s="235"/>
      <c r="DP18" s="235"/>
      <c r="DQ18" s="235" t="str">
        <f>IFERROR(IF(INDEX(规则数据!$D$500:$D$553,MATCH(CZ18,规则数据!$A$500:$A$553,0))="","",INDEX(规则数据!$D$500:$D$553,MATCH(CZ18,规则数据!$A$500:$A$553,0))),"")</f>
        <v/>
      </c>
      <c r="DR18" s="235"/>
      <c r="DS18" s="235"/>
      <c r="DT18" s="235"/>
      <c r="DU18" s="235"/>
      <c r="DV18" s="235"/>
      <c r="DW18" s="235" t="str">
        <f>IFERROR(IF(INDEX(规则数据!$E$500:$E$553,MATCH(CZ18,规则数据!$A$500:$A$553,0))="","",INDEX(规则数据!$E$500:$E$553,MATCH(CZ18,规则数据!$A$500:$A$553,0))),"")</f>
        <v/>
      </c>
      <c r="DX18" s="235"/>
      <c r="DY18" s="235"/>
      <c r="DZ18" s="235" t="str">
        <f>IFERROR(IF(INDEX(规则数据!$F$500:$F$553,MATCH(CZ18,规则数据!$A$500:$A$553,0))="","",INDEX(规则数据!$F$500:$F$553,MATCH(CZ18,规则数据!$A$500:$A$553,0))),"")</f>
        <v/>
      </c>
      <c r="EA18" s="235"/>
      <c r="EB18" s="235"/>
      <c r="EC18" s="235"/>
      <c r="ED18" s="235" t="str">
        <f>IFERROR(IF(INDEX(规则数据!$G$500:$G$553,MATCH(CZ18,规则数据!$A$500:$A$553,0))="","",INDEX(规则数据!$G$500:$G$553,MATCH(CZ18,规则数据!$A$500:$A$553,0))),"")</f>
        <v/>
      </c>
      <c r="EE18" s="235"/>
      <c r="EF18" s="235"/>
      <c r="EG18" s="417"/>
      <c r="EH18" s="379"/>
      <c r="EI18" s="438"/>
      <c r="EJ18" s="257"/>
      <c r="EK18" s="257"/>
      <c r="EL18" s="257"/>
      <c r="EM18" s="257"/>
      <c r="EN18" s="257"/>
      <c r="EO18" s="257"/>
      <c r="EP18" s="257"/>
      <c r="EQ18" s="257"/>
      <c r="ER18" s="257"/>
      <c r="ES18" s="257"/>
      <c r="ET18" s="257"/>
      <c r="EU18" s="257"/>
      <c r="EV18" s="257"/>
      <c r="EW18" s="257"/>
      <c r="EX18" s="257"/>
      <c r="EY18" s="258"/>
      <c r="EZ18" s="174"/>
    </row>
    <row r="19" customHeight="1" spans="1:156">
      <c r="A19" s="191"/>
      <c r="B19" s="404" t="s">
        <v>62</v>
      </c>
      <c r="C19" s="405"/>
      <c r="D19" s="429" t="s">
        <v>75</v>
      </c>
      <c r="E19" s="430"/>
      <c r="F19" s="430"/>
      <c r="G19" s="430"/>
      <c r="H19" s="430"/>
      <c r="I19" s="430"/>
      <c r="J19" s="431"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431"/>
      <c r="L19" s="431"/>
      <c r="M19" s="431"/>
      <c r="N19" s="431"/>
      <c r="O19" s="432"/>
      <c r="P19" s="407">
        <f ca="1" t="shared" si="0"/>
        <v>0</v>
      </c>
      <c r="Q19" s="407"/>
      <c r="R19" s="407"/>
      <c r="S19" s="246">
        <v>0</v>
      </c>
      <c r="T19" s="246"/>
      <c r="U19" s="246"/>
      <c r="V19" s="246" t="str">
        <f ca="1">IF(职业选项!V50&gt;0,职业选项!V50,"")</f>
        <v/>
      </c>
      <c r="W19" s="246"/>
      <c r="X19" s="246"/>
      <c r="Y19" s="246" t="str">
        <f ca="1">规则数据!H25</f>
        <v/>
      </c>
      <c r="Z19" s="246"/>
      <c r="AA19" s="246"/>
      <c r="AB19" s="246">
        <f ca="1">幕间计算!B7+IF(AND(幕间计算!A7&lt;&gt;"",COUNTIF(幕间计算!$A$2:A7,幕间计算!A7)=1),SUMIF(幕间计算!$C$200:$C$1199,幕间计算!A7,幕间计算!$E$200:$E$1199),0)</f>
        <v>0</v>
      </c>
      <c r="AC19" s="246"/>
      <c r="AD19" s="408"/>
      <c r="AE19" s="409" t="s">
        <v>62</v>
      </c>
      <c r="AF19" s="405"/>
      <c r="AG19" s="429" t="s">
        <v>73</v>
      </c>
      <c r="AH19" s="430"/>
      <c r="AI19" s="430"/>
      <c r="AJ19" s="430"/>
      <c r="AK19" s="430"/>
      <c r="AL19" s="430"/>
      <c r="AM19" s="431"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431"/>
      <c r="AO19" s="431"/>
      <c r="AP19" s="431"/>
      <c r="AQ19" s="431"/>
      <c r="AR19" s="432"/>
      <c r="AS19" s="407">
        <f ca="1" t="shared" si="1"/>
        <v>0</v>
      </c>
      <c r="AT19" s="407"/>
      <c r="AU19" s="407"/>
      <c r="AV19" s="246">
        <v>0</v>
      </c>
      <c r="AW19" s="246"/>
      <c r="AX19" s="246"/>
      <c r="AY19" s="246" t="str">
        <f ca="1">IF(职业选项!V51&gt;0,职业选项!V51,"")</f>
        <v/>
      </c>
      <c r="AZ19" s="246"/>
      <c r="BA19" s="246"/>
      <c r="BB19" s="246" t="str">
        <f ca="1">规则数据!H55</f>
        <v/>
      </c>
      <c r="BC19" s="246"/>
      <c r="BD19" s="246"/>
      <c r="BE19" s="246">
        <f ca="1">幕间计算!B37+IF(AND(幕间计算!A37&lt;&gt;"",COUNTIF(幕间计算!$A$2:A37,幕间计算!A37)=1),SUMIF(幕间计算!$C$200:$C$1199,幕间计算!A37,幕间计算!$E$200:$E$1199),0)</f>
        <v>0</v>
      </c>
      <c r="BF19" s="246"/>
      <c r="BG19" s="410"/>
      <c r="BH19" s="191"/>
      <c r="BI19" s="443"/>
      <c r="BJ19" s="444"/>
      <c r="BK19" s="444"/>
      <c r="BL19" s="444"/>
      <c r="BM19" s="444"/>
      <c r="BN19" s="448"/>
      <c r="BO19" s="449"/>
      <c r="BP19" s="449"/>
      <c r="BQ19" s="449"/>
      <c r="BR19" s="449"/>
      <c r="BS19" s="449"/>
      <c r="BT19" s="450"/>
      <c r="BU19" s="449"/>
      <c r="BV19" s="449"/>
      <c r="BW19" s="449"/>
      <c r="BX19" s="449"/>
      <c r="BY19" s="449"/>
      <c r="BZ19" s="449"/>
      <c r="CA19" s="449"/>
      <c r="CB19" s="449"/>
      <c r="CC19" s="449"/>
      <c r="CD19" s="449"/>
      <c r="CE19" s="449"/>
      <c r="CF19" s="449"/>
      <c r="CG19" s="449"/>
      <c r="CH19" s="449"/>
      <c r="CI19" s="449"/>
      <c r="CJ19" s="449"/>
      <c r="CK19" s="449"/>
      <c r="CL19" s="449"/>
      <c r="CM19" s="449"/>
      <c r="CN19" s="449"/>
      <c r="CO19" s="449"/>
      <c r="CP19" s="449"/>
      <c r="CQ19" s="449"/>
      <c r="CR19" s="449"/>
      <c r="CS19" s="449"/>
      <c r="CT19" s="449"/>
      <c r="CU19" s="449"/>
      <c r="CV19" s="449"/>
      <c r="CW19" s="449"/>
      <c r="CX19" s="451"/>
      <c r="CY19" s="191"/>
      <c r="CZ19" s="415"/>
      <c r="DA19" s="416"/>
      <c r="DB19" s="416"/>
      <c r="DC19" s="416"/>
      <c r="DD19" s="416"/>
      <c r="DE19" s="416"/>
      <c r="DF19" s="416"/>
      <c r="DG19" s="416"/>
      <c r="DH19" s="416"/>
      <c r="DI19" s="416"/>
      <c r="DJ19" s="416"/>
      <c r="DK19" s="416"/>
      <c r="DL19" s="416"/>
      <c r="DM19" s="235" t="str">
        <f ca="1">IFERROR(INDIRECT(INDEX(规则数据!$C$500:$C$553,MATCH(CZ19,规则数据!$A$500:$A$553,0))),"")</f>
        <v/>
      </c>
      <c r="DN19" s="235"/>
      <c r="DO19" s="235"/>
      <c r="DP19" s="235"/>
      <c r="DQ19" s="235" t="str">
        <f>IFERROR(IF(INDEX(规则数据!$D$500:$D$553,MATCH(CZ19,规则数据!$A$500:$A$553,0))="","",INDEX(规则数据!$D$500:$D$553,MATCH(CZ19,规则数据!$A$500:$A$553,0))),"")</f>
        <v/>
      </c>
      <c r="DR19" s="235"/>
      <c r="DS19" s="235"/>
      <c r="DT19" s="235"/>
      <c r="DU19" s="235"/>
      <c r="DV19" s="235"/>
      <c r="DW19" s="235" t="str">
        <f>IFERROR(IF(INDEX(规则数据!$E$500:$E$553,MATCH(CZ19,规则数据!$A$500:$A$553,0))="","",INDEX(规则数据!$E$500:$E$553,MATCH(CZ19,规则数据!$A$500:$A$553,0))),"")</f>
        <v/>
      </c>
      <c r="DX19" s="235"/>
      <c r="DY19" s="235"/>
      <c r="DZ19" s="235" t="str">
        <f>IFERROR(IF(INDEX(规则数据!$F$500:$F$553,MATCH(CZ19,规则数据!$A$500:$A$553,0))="","",INDEX(规则数据!$F$500:$F$553,MATCH(CZ19,规则数据!$A$500:$A$553,0))),"")</f>
        <v/>
      </c>
      <c r="EA19" s="235"/>
      <c r="EB19" s="235"/>
      <c r="EC19" s="235"/>
      <c r="ED19" s="235" t="str">
        <f>IFERROR(IF(INDEX(规则数据!$G$500:$G$553,MATCH(CZ19,规则数据!$A$500:$A$553,0))="","",INDEX(规则数据!$G$500:$G$553,MATCH(CZ19,规则数据!$A$500:$A$553,0))),"")</f>
        <v/>
      </c>
      <c r="EE19" s="235"/>
      <c r="EF19" s="235"/>
      <c r="EG19" s="417"/>
      <c r="EH19" s="379"/>
      <c r="EI19" s="438"/>
      <c r="EJ19" s="257"/>
      <c r="EK19" s="257"/>
      <c r="EL19" s="257"/>
      <c r="EM19" s="257"/>
      <c r="EN19" s="257"/>
      <c r="EO19" s="257"/>
      <c r="EP19" s="257"/>
      <c r="EQ19" s="257"/>
      <c r="ER19" s="257"/>
      <c r="ES19" s="257"/>
      <c r="ET19" s="257"/>
      <c r="EU19" s="257"/>
      <c r="EV19" s="257"/>
      <c r="EW19" s="257"/>
      <c r="EX19" s="257"/>
      <c r="EY19" s="258"/>
      <c r="EZ19" s="174"/>
    </row>
    <row r="20" customHeight="1" spans="1:156">
      <c r="A20" s="191"/>
      <c r="B20" s="404" t="s">
        <v>62</v>
      </c>
      <c r="C20" s="405"/>
      <c r="D20" s="439" t="s">
        <v>75</v>
      </c>
      <c r="E20" s="440"/>
      <c r="F20" s="440"/>
      <c r="G20" s="440"/>
      <c r="H20" s="440"/>
      <c r="I20" s="440"/>
      <c r="J20" s="441"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441"/>
      <c r="L20" s="441"/>
      <c r="M20" s="441"/>
      <c r="N20" s="441"/>
      <c r="O20" s="442"/>
      <c r="P20" s="407">
        <f ca="1" t="shared" si="0"/>
        <v>0</v>
      </c>
      <c r="Q20" s="407"/>
      <c r="R20" s="407"/>
      <c r="S20" s="246">
        <v>0</v>
      </c>
      <c r="T20" s="246"/>
      <c r="U20" s="246"/>
      <c r="V20" s="246" t="str">
        <f ca="1">IF(职业选项!V52&gt;0,职业选项!V52,"")</f>
        <v/>
      </c>
      <c r="W20" s="246"/>
      <c r="X20" s="246"/>
      <c r="Y20" s="246" t="str">
        <f ca="1">规则数据!H26</f>
        <v/>
      </c>
      <c r="Z20" s="246"/>
      <c r="AA20" s="246"/>
      <c r="AB20" s="246">
        <f ca="1">幕间计算!B8+IF(AND(幕间计算!A8&lt;&gt;"",COUNTIF(幕间计算!$A$2:A8,幕间计算!A8)=1),SUMIF(幕间计算!$C$200:$C$1199,幕间计算!A8,幕间计算!$E$200:$E$1199),0)</f>
        <v>0</v>
      </c>
      <c r="AC20" s="246"/>
      <c r="AD20" s="408"/>
      <c r="AE20" s="409" t="s">
        <v>62</v>
      </c>
      <c r="AF20" s="405"/>
      <c r="AG20" s="406" t="s">
        <v>76</v>
      </c>
      <c r="AH20" s="406"/>
      <c r="AI20" s="406"/>
      <c r="AJ20" s="406"/>
      <c r="AK20" s="406"/>
      <c r="AL20" s="406"/>
      <c r="AM20" s="406"/>
      <c r="AN20" s="406"/>
      <c r="AO20" s="406"/>
      <c r="AP20" s="406"/>
      <c r="AQ20" s="406"/>
      <c r="AR20" s="406"/>
      <c r="AS20" s="407">
        <f ca="1" t="shared" si="1"/>
        <v>10</v>
      </c>
      <c r="AT20" s="407"/>
      <c r="AU20" s="407"/>
      <c r="AV20" s="246">
        <v>10</v>
      </c>
      <c r="AW20" s="246"/>
      <c r="AX20" s="246"/>
      <c r="AY20" s="246" t="str">
        <f ca="1">IF(职业选项!V53&gt;0,职业选项!V53,"")</f>
        <v/>
      </c>
      <c r="AZ20" s="246"/>
      <c r="BA20" s="246"/>
      <c r="BB20" s="246" t="str">
        <f ca="1">规则数据!H56</f>
        <v/>
      </c>
      <c r="BC20" s="246"/>
      <c r="BD20" s="246"/>
      <c r="BE20" s="246">
        <f ca="1">幕间计算!B38+IF(AND(幕间计算!A38&lt;&gt;"",COUNTIF(幕间计算!$A$2:A38,幕间计算!A38)=1),SUMIF(幕间计算!$C$200:$C$1199,幕间计算!A38,幕间计算!$E$200:$E$1199),0)</f>
        <v>0</v>
      </c>
      <c r="BF20" s="246"/>
      <c r="BG20" s="410"/>
      <c r="BH20" s="191"/>
      <c r="BI20" s="443"/>
      <c r="BJ20" s="444"/>
      <c r="BK20" s="444"/>
      <c r="BL20" s="444"/>
      <c r="BM20" s="444"/>
      <c r="BN20" s="452"/>
      <c r="BO20" s="453"/>
      <c r="BP20" s="453"/>
      <c r="BQ20" s="453"/>
      <c r="BR20" s="453"/>
      <c r="BS20" s="453"/>
      <c r="BT20" s="453"/>
      <c r="BU20" s="453"/>
      <c r="BV20" s="453"/>
      <c r="BW20" s="453"/>
      <c r="BX20" s="453"/>
      <c r="BY20" s="453"/>
      <c r="BZ20" s="453"/>
      <c r="CA20" s="453"/>
      <c r="CB20" s="453"/>
      <c r="CC20" s="453"/>
      <c r="CD20" s="453"/>
      <c r="CE20" s="453"/>
      <c r="CF20" s="453"/>
      <c r="CG20" s="453"/>
      <c r="CH20" s="453"/>
      <c r="CI20" s="453"/>
      <c r="CJ20" s="453"/>
      <c r="CK20" s="453"/>
      <c r="CL20" s="453"/>
      <c r="CM20" s="453"/>
      <c r="CN20" s="453"/>
      <c r="CO20" s="453"/>
      <c r="CP20" s="453"/>
      <c r="CQ20" s="453"/>
      <c r="CR20" s="453"/>
      <c r="CS20" s="453"/>
      <c r="CT20" s="453"/>
      <c r="CU20" s="453"/>
      <c r="CV20" s="453"/>
      <c r="CW20" s="453"/>
      <c r="CX20" s="454"/>
      <c r="CY20" s="191"/>
      <c r="CZ20" s="455"/>
      <c r="DA20" s="456"/>
      <c r="DB20" s="456"/>
      <c r="DC20" s="456"/>
      <c r="DD20" s="456"/>
      <c r="DE20" s="456"/>
      <c r="DF20" s="456"/>
      <c r="DG20" s="456"/>
      <c r="DH20" s="456"/>
      <c r="DI20" s="456"/>
      <c r="DJ20" s="456"/>
      <c r="DK20" s="456"/>
      <c r="DL20" s="456"/>
      <c r="DM20" s="457" t="str">
        <f ca="1">IFERROR(INDIRECT(INDEX(规则数据!$C$500:$C$553,MATCH(CZ20,规则数据!$A$500:$A$553,0))),"")</f>
        <v/>
      </c>
      <c r="DN20" s="457"/>
      <c r="DO20" s="457"/>
      <c r="DP20" s="457"/>
      <c r="DQ20" s="457" t="str">
        <f>IFERROR(IF(INDEX(规则数据!$D$500:$D$553,MATCH(CZ20,规则数据!$A$500:$A$553,0))="","",INDEX(规则数据!$D$500:$D$553,MATCH(CZ20,规则数据!$A$500:$A$553,0))),"")</f>
        <v/>
      </c>
      <c r="DR20" s="457"/>
      <c r="DS20" s="457"/>
      <c r="DT20" s="457"/>
      <c r="DU20" s="457"/>
      <c r="DV20" s="457"/>
      <c r="DW20" s="457" t="str">
        <f>IFERROR(IF(INDEX(规则数据!$E$500:$E$553,MATCH(CZ20,规则数据!$A$500:$A$553,0))="","",INDEX(规则数据!$E$500:$E$553,MATCH(CZ20,规则数据!$A$500:$A$553,0))),"")</f>
        <v/>
      </c>
      <c r="DX20" s="457"/>
      <c r="DY20" s="457"/>
      <c r="DZ20" s="457" t="str">
        <f>IFERROR(IF(INDEX(规则数据!$F$500:$F$553,MATCH(CZ20,规则数据!$A$500:$A$553,0))="","",INDEX(规则数据!$F$500:$F$553,MATCH(CZ20,规则数据!$A$500:$A$553,0))),"")</f>
        <v/>
      </c>
      <c r="EA20" s="457"/>
      <c r="EB20" s="457"/>
      <c r="EC20" s="457"/>
      <c r="ED20" s="457" t="str">
        <f>IFERROR(IF(INDEX(规则数据!$G$500:$G$553,MATCH(CZ20,规则数据!$A$500:$A$553,0))="","",INDEX(规则数据!$G$500:$G$553,MATCH(CZ20,规则数据!$A$500:$A$553,0))),"")</f>
        <v/>
      </c>
      <c r="EE20" s="457"/>
      <c r="EF20" s="457"/>
      <c r="EG20" s="458"/>
      <c r="EH20" s="379"/>
      <c r="EI20" s="459"/>
      <c r="EJ20" s="363"/>
      <c r="EK20" s="363"/>
      <c r="EL20" s="363"/>
      <c r="EM20" s="363"/>
      <c r="EN20" s="363"/>
      <c r="EO20" s="363"/>
      <c r="EP20" s="363"/>
      <c r="EQ20" s="363"/>
      <c r="ER20" s="363"/>
      <c r="ES20" s="363"/>
      <c r="ET20" s="363"/>
      <c r="EU20" s="363"/>
      <c r="EV20" s="363"/>
      <c r="EW20" s="363"/>
      <c r="EX20" s="363"/>
      <c r="EY20" s="364"/>
      <c r="EZ20" s="174"/>
    </row>
    <row r="21" customHeight="1" spans="1:156">
      <c r="A21" s="191"/>
      <c r="B21" s="404" t="s">
        <v>62</v>
      </c>
      <c r="C21" s="405"/>
      <c r="D21" s="406" t="s">
        <v>77</v>
      </c>
      <c r="E21" s="406"/>
      <c r="F21" s="406"/>
      <c r="G21" s="406"/>
      <c r="H21" s="406"/>
      <c r="I21" s="406"/>
      <c r="J21" s="406"/>
      <c r="K21" s="406"/>
      <c r="L21" s="406"/>
      <c r="M21" s="406"/>
      <c r="N21" s="406"/>
      <c r="O21" s="406"/>
      <c r="P21" s="407">
        <f ca="1" t="shared" si="0"/>
        <v>0</v>
      </c>
      <c r="Q21" s="407"/>
      <c r="R21" s="407"/>
      <c r="S21" s="246">
        <v>0</v>
      </c>
      <c r="T21" s="246"/>
      <c r="U21" s="246"/>
      <c r="V21" s="246" t="str">
        <f ca="1">IF(职业选项!V54&gt;0,职业选项!V54,"")</f>
        <v/>
      </c>
      <c r="W21" s="246"/>
      <c r="X21" s="246"/>
      <c r="Y21" s="246" t="str">
        <f ca="1">规则数据!H27</f>
        <v/>
      </c>
      <c r="Z21" s="246"/>
      <c r="AA21" s="246"/>
      <c r="AB21" s="246">
        <f ca="1">幕间计算!B9+IF(AND(幕间计算!A9&lt;&gt;"",COUNTIF(幕间计算!$A$2:A9,幕间计算!A9)=1),SUMIF(幕间计算!$C$200:$C$1199,幕间计算!A9,幕间计算!$E$200:$E$1199),0)</f>
        <v>0</v>
      </c>
      <c r="AC21" s="246"/>
      <c r="AD21" s="408"/>
      <c r="AE21" s="409" t="s">
        <v>62</v>
      </c>
      <c r="AF21" s="405"/>
      <c r="AG21" s="406" t="s">
        <v>78</v>
      </c>
      <c r="AH21" s="406"/>
      <c r="AI21" s="406"/>
      <c r="AJ21" s="406"/>
      <c r="AK21" s="406"/>
      <c r="AL21" s="406"/>
      <c r="AM21" s="406"/>
      <c r="AN21" s="406"/>
      <c r="AO21" s="406"/>
      <c r="AP21" s="406"/>
      <c r="AQ21" s="406"/>
      <c r="AR21" s="406"/>
      <c r="AS21" s="407">
        <f ca="1" t="shared" si="1"/>
        <v>10</v>
      </c>
      <c r="AT21" s="407"/>
      <c r="AU21" s="407"/>
      <c r="AV21" s="246">
        <v>10</v>
      </c>
      <c r="AW21" s="246"/>
      <c r="AX21" s="246"/>
      <c r="AY21" s="246" t="str">
        <f ca="1">IF(职业选项!V55&gt;0,职业选项!V55,"")</f>
        <v/>
      </c>
      <c r="AZ21" s="246"/>
      <c r="BA21" s="246"/>
      <c r="BB21" s="246" t="str">
        <f ca="1">规则数据!H57</f>
        <v/>
      </c>
      <c r="BC21" s="246"/>
      <c r="BD21" s="246"/>
      <c r="BE21" s="246">
        <f ca="1">幕间计算!B39+IF(AND(幕间计算!A39&lt;&gt;"",COUNTIF(幕间计算!$A$2:A39,幕间计算!A39)=1),SUMIF(幕间计算!$C$200:$C$1199,幕间计算!A39,幕间计算!$E$200:$E$1199),0)</f>
        <v>0</v>
      </c>
      <c r="BF21" s="246"/>
      <c r="BG21" s="410"/>
      <c r="BH21" s="191"/>
      <c r="BI21" s="443"/>
      <c r="BJ21" s="444"/>
      <c r="BK21" s="444"/>
      <c r="BL21" s="444"/>
      <c r="BM21" s="444"/>
      <c r="BN21" s="435"/>
      <c r="BO21" s="436"/>
      <c r="BP21" s="436"/>
      <c r="BQ21" s="436"/>
      <c r="BR21" s="436"/>
      <c r="BS21" s="436"/>
      <c r="BT21" s="436"/>
      <c r="BU21" s="436"/>
      <c r="BV21" s="436"/>
      <c r="BW21" s="436"/>
      <c r="BX21" s="436"/>
      <c r="BY21" s="436"/>
      <c r="BZ21" s="436"/>
      <c r="CA21" s="436"/>
      <c r="CB21" s="436"/>
      <c r="CC21" s="436"/>
      <c r="CD21" s="436"/>
      <c r="CE21" s="436"/>
      <c r="CF21" s="436"/>
      <c r="CG21" s="436"/>
      <c r="CH21" s="436"/>
      <c r="CI21" s="436"/>
      <c r="CJ21" s="436"/>
      <c r="CK21" s="436"/>
      <c r="CL21" s="436"/>
      <c r="CM21" s="436"/>
      <c r="CN21" s="436"/>
      <c r="CO21" s="436"/>
      <c r="CP21" s="436"/>
      <c r="CQ21" s="436"/>
      <c r="CR21" s="436"/>
      <c r="CS21" s="436"/>
      <c r="CT21" s="436"/>
      <c r="CU21" s="436"/>
      <c r="CV21" s="436"/>
      <c r="CW21" s="436"/>
      <c r="CX21" s="437"/>
      <c r="CY21" s="191"/>
      <c r="CZ21" s="173"/>
      <c r="DA21" s="173"/>
      <c r="DB21" s="173"/>
      <c r="DC21" s="173"/>
      <c r="DD21" s="173"/>
      <c r="DE21" s="173"/>
      <c r="DF21" s="173"/>
      <c r="DG21" s="173"/>
      <c r="DH21" s="173"/>
      <c r="DI21" s="173"/>
      <c r="DJ21" s="173"/>
      <c r="DK21" s="173"/>
      <c r="DL21" s="173"/>
      <c r="DM21" s="173"/>
      <c r="DN21" s="173"/>
      <c r="DO21" s="173"/>
      <c r="DP21" s="173"/>
      <c r="DQ21" s="173"/>
      <c r="DR21" s="173"/>
      <c r="DS21" s="173"/>
      <c r="DT21" s="173"/>
      <c r="DU21" s="173"/>
      <c r="DV21" s="173"/>
      <c r="DW21" s="173"/>
      <c r="DX21" s="173"/>
      <c r="DY21" s="173"/>
      <c r="DZ21" s="173"/>
      <c r="EA21" s="173"/>
      <c r="EB21" s="173"/>
      <c r="EC21" s="173"/>
      <c r="ED21" s="173"/>
      <c r="EE21" s="173"/>
      <c r="EF21" s="173"/>
      <c r="EG21" s="173"/>
      <c r="EH21" s="460"/>
      <c r="EI21" s="366"/>
      <c r="EJ21" s="366"/>
      <c r="EK21" s="366"/>
      <c r="EL21" s="366"/>
      <c r="EM21" s="366"/>
      <c r="EN21" s="366"/>
      <c r="EO21" s="366"/>
      <c r="EP21" s="366"/>
      <c r="EQ21" s="366"/>
      <c r="ER21" s="366"/>
      <c r="ES21" s="366"/>
      <c r="ET21" s="366"/>
      <c r="EU21" s="366"/>
      <c r="EV21" s="366"/>
      <c r="EW21" s="366"/>
      <c r="EX21" s="366"/>
      <c r="EY21" s="366"/>
    </row>
    <row r="22" customHeight="1" spans="1:156">
      <c r="A22" s="191"/>
      <c r="B22" s="404" t="s">
        <v>62</v>
      </c>
      <c r="C22" s="405"/>
      <c r="D22" s="406" t="s">
        <v>79</v>
      </c>
      <c r="E22" s="406"/>
      <c r="F22" s="406"/>
      <c r="G22" s="406"/>
      <c r="H22" s="406"/>
      <c r="I22" s="406"/>
      <c r="J22" s="406"/>
      <c r="K22" s="406"/>
      <c r="L22" s="406"/>
      <c r="M22" s="406"/>
      <c r="N22" s="406"/>
      <c r="O22" s="406"/>
      <c r="P22" s="407">
        <f ca="1" t="shared" si="0"/>
        <v>30</v>
      </c>
      <c r="Q22" s="407"/>
      <c r="R22" s="407"/>
      <c r="S22" s="246">
        <v>30</v>
      </c>
      <c r="T22" s="246"/>
      <c r="U22" s="246"/>
      <c r="V22" s="246" t="str">
        <f ca="1">IF(职业选项!V56&gt;0,职业选项!V56,"")</f>
        <v/>
      </c>
      <c r="W22" s="246"/>
      <c r="X22" s="246"/>
      <c r="Y22" s="246" t="str">
        <f ca="1">规则数据!H28</f>
        <v/>
      </c>
      <c r="Z22" s="246"/>
      <c r="AA22" s="246"/>
      <c r="AB22" s="246">
        <f ca="1">幕间计算!B10+IF(AND(幕间计算!A10&lt;&gt;"",COUNTIF(幕间计算!$A$2:A10,幕间计算!A10)=1),SUMIF(幕间计算!$C$200:$C$1199,幕间计算!A10,幕间计算!$E$200:$E$1199),0)</f>
        <v>0</v>
      </c>
      <c r="AC22" s="246"/>
      <c r="AD22" s="408"/>
      <c r="AE22" s="409" t="s">
        <v>62</v>
      </c>
      <c r="AF22" s="405"/>
      <c r="AG22" s="406" t="s">
        <v>80</v>
      </c>
      <c r="AH22" s="406"/>
      <c r="AI22" s="406"/>
      <c r="AJ22" s="406"/>
      <c r="AK22" s="406"/>
      <c r="AL22" s="406"/>
      <c r="AM22" s="406"/>
      <c r="AN22" s="406"/>
      <c r="AO22" s="406"/>
      <c r="AP22" s="406"/>
      <c r="AQ22" s="406"/>
      <c r="AR22" s="406"/>
      <c r="AS22" s="407">
        <f ca="1" t="shared" si="1"/>
        <v>20</v>
      </c>
      <c r="AT22" s="407"/>
      <c r="AU22" s="407"/>
      <c r="AV22" s="246">
        <v>20</v>
      </c>
      <c r="AW22" s="246"/>
      <c r="AX22" s="246"/>
      <c r="AY22" s="246" t="str">
        <f ca="1">IF(职业选项!V57&gt;0,职业选项!V57,"")</f>
        <v/>
      </c>
      <c r="AZ22" s="246"/>
      <c r="BA22" s="246"/>
      <c r="BB22" s="246" t="str">
        <f ca="1">规则数据!H58</f>
        <v/>
      </c>
      <c r="BC22" s="246"/>
      <c r="BD22" s="246"/>
      <c r="BE22" s="246">
        <f ca="1">幕间计算!B40+IF(AND(幕间计算!A40&lt;&gt;"",COUNTIF(幕间计算!$A$2:A40,幕间计算!A40)=1),SUMIF(幕间计算!$C$200:$C$1199,幕间计算!A40,幕间计算!$E$200:$E$1199),0)</f>
        <v>0</v>
      </c>
      <c r="BF22" s="246"/>
      <c r="BG22" s="410"/>
      <c r="BH22" s="191"/>
      <c r="BI22" s="443"/>
      <c r="BJ22" s="444"/>
      <c r="BK22" s="444"/>
      <c r="BL22" s="444"/>
      <c r="BM22" s="444"/>
      <c r="BN22" s="445"/>
      <c r="BO22" s="446"/>
      <c r="BP22" s="446"/>
      <c r="BQ22" s="446"/>
      <c r="BR22" s="446"/>
      <c r="BS22" s="446"/>
      <c r="BT22" s="446"/>
      <c r="BU22" s="446"/>
      <c r="BV22" s="446"/>
      <c r="BW22" s="446"/>
      <c r="BX22" s="446"/>
      <c r="BY22" s="446"/>
      <c r="BZ22" s="446"/>
      <c r="CA22" s="446"/>
      <c r="CB22" s="446"/>
      <c r="CC22" s="446"/>
      <c r="CD22" s="446"/>
      <c r="CE22" s="446"/>
      <c r="CF22" s="446"/>
      <c r="CG22" s="446"/>
      <c r="CH22" s="446"/>
      <c r="CI22" s="446"/>
      <c r="CJ22" s="446"/>
      <c r="CK22" s="446"/>
      <c r="CL22" s="446"/>
      <c r="CM22" s="446"/>
      <c r="CN22" s="446"/>
      <c r="CO22" s="446"/>
      <c r="CP22" s="446"/>
      <c r="CQ22" s="446"/>
      <c r="CR22" s="446"/>
      <c r="CS22" s="446"/>
      <c r="CT22" s="446"/>
      <c r="CU22" s="446"/>
      <c r="CV22" s="446"/>
      <c r="CW22" s="446"/>
      <c r="CX22" s="447"/>
      <c r="CY22" s="191"/>
      <c r="CZ22" s="370" t="s">
        <v>81</v>
      </c>
      <c r="DA22" s="371"/>
      <c r="DB22" s="371"/>
      <c r="DC22" s="371"/>
      <c r="DD22" s="371"/>
      <c r="DE22" s="371"/>
      <c r="DF22" s="371"/>
      <c r="DG22" s="371"/>
      <c r="DH22" s="371"/>
      <c r="DI22" s="461"/>
      <c r="DJ22" s="461"/>
      <c r="DK22" s="461"/>
      <c r="DL22" s="461"/>
      <c r="DM22" s="461"/>
      <c r="DN22" s="461"/>
      <c r="DO22" s="461"/>
      <c r="DP22" s="461"/>
      <c r="DQ22" s="371"/>
      <c r="DR22" s="461"/>
      <c r="DS22" s="461"/>
      <c r="DT22" s="462" t="s">
        <v>82</v>
      </c>
      <c r="DU22" s="462"/>
      <c r="DV22" s="462"/>
      <c r="DW22" s="462"/>
      <c r="DX22" s="463">
        <f>COUNTIF(ED24,"&gt;0")+COUNTIF(ED27,"&gt;0")+COUNTIF(ED30,"&gt;0")+COUNTIF(ED33,"&gt;0")+COUNTIF(ED36,"&gt;0")+COUNTIF(ED39,"&gt;0")+COUNTIF(ED42,"&gt;0")</f>
        <v>0</v>
      </c>
      <c r="DY22" s="463"/>
      <c r="DZ22" s="464"/>
      <c r="EA22" s="464"/>
      <c r="EB22" s="465"/>
      <c r="EC22" s="466" t="s">
        <v>83</v>
      </c>
      <c r="ED22" s="466"/>
      <c r="EE22" s="466"/>
      <c r="EF22" s="467">
        <f>附表!B7</f>
        <v>0</v>
      </c>
      <c r="EG22" s="467"/>
      <c r="EH22" s="379"/>
      <c r="EI22" s="192" t="s">
        <v>84</v>
      </c>
      <c r="EJ22" s="193"/>
      <c r="EK22" s="193"/>
      <c r="EL22" s="193"/>
      <c r="EM22" s="193"/>
      <c r="EN22" s="193"/>
      <c r="EO22" s="193"/>
      <c r="EP22" s="193"/>
      <c r="EQ22" s="193"/>
      <c r="ER22" s="193"/>
      <c r="ES22" s="193"/>
      <c r="ET22" s="193"/>
      <c r="EU22" s="193"/>
      <c r="EV22" s="193"/>
      <c r="EW22" s="193"/>
      <c r="EX22" s="193"/>
      <c r="EY22" s="194"/>
      <c r="EZ22" s="174"/>
    </row>
    <row r="23" customHeight="1" spans="1:156">
      <c r="A23" s="191"/>
      <c r="B23" s="404" t="s">
        <v>62</v>
      </c>
      <c r="C23" s="405"/>
      <c r="D23" s="406" t="s">
        <v>85</v>
      </c>
      <c r="E23" s="406"/>
      <c r="F23" s="406"/>
      <c r="G23" s="406"/>
      <c r="H23" s="406"/>
      <c r="I23" s="406"/>
      <c r="J23" s="406"/>
      <c r="K23" s="406"/>
      <c r="L23" s="406"/>
      <c r="M23" s="406"/>
      <c r="N23" s="406"/>
      <c r="O23" s="406"/>
      <c r="P23" s="407">
        <f ca="1" t="shared" si="0"/>
        <v>10</v>
      </c>
      <c r="Q23" s="407"/>
      <c r="R23" s="407"/>
      <c r="S23" s="246">
        <v>10</v>
      </c>
      <c r="T23" s="246"/>
      <c r="U23" s="246"/>
      <c r="V23" s="246" t="str">
        <f ca="1">IF(职业选项!V58&gt;0,职业选项!V58,"")</f>
        <v/>
      </c>
      <c r="W23" s="246"/>
      <c r="X23" s="246"/>
      <c r="Y23" s="246" t="str">
        <f ca="1">规则数据!H29</f>
        <v/>
      </c>
      <c r="Z23" s="246"/>
      <c r="AA23" s="246"/>
      <c r="AB23" s="246">
        <f ca="1">幕间计算!B11+IF(AND(幕间计算!A11&lt;&gt;"",COUNTIF(幕间计算!$A$2:A11,幕间计算!A11)=1),SUMIF(幕间计算!$C$200:$C$1199,幕间计算!A11,幕间计算!$E$200:$E$1199),0)</f>
        <v>0</v>
      </c>
      <c r="AC23" s="246"/>
      <c r="AD23" s="408"/>
      <c r="AE23" s="409" t="s">
        <v>62</v>
      </c>
      <c r="AF23" s="405"/>
      <c r="AG23" s="406" t="s">
        <v>86</v>
      </c>
      <c r="AH23" s="406"/>
      <c r="AI23" s="406"/>
      <c r="AJ23" s="406"/>
      <c r="AK23" s="406"/>
      <c r="AL23" s="406"/>
      <c r="AM23" s="406"/>
      <c r="AN23" s="406"/>
      <c r="AO23" s="406"/>
      <c r="AP23" s="406"/>
      <c r="AQ23" s="406"/>
      <c r="AR23" s="406"/>
      <c r="AS23" s="407">
        <f ca="1" t="shared" si="1"/>
        <v>0</v>
      </c>
      <c r="AT23" s="407"/>
      <c r="AU23" s="407"/>
      <c r="AV23" s="246">
        <v>0</v>
      </c>
      <c r="AW23" s="246"/>
      <c r="AX23" s="246"/>
      <c r="AY23" s="246" t="str">
        <f ca="1">IF(职业选项!V59&gt;0,职业选项!V59,"")</f>
        <v/>
      </c>
      <c r="AZ23" s="246"/>
      <c r="BA23" s="246"/>
      <c r="BB23" s="246" t="str">
        <f ca="1">规则数据!H59</f>
        <v/>
      </c>
      <c r="BC23" s="246"/>
      <c r="BD23" s="246"/>
      <c r="BE23" s="246">
        <f ca="1">幕间计算!B41+IF(AND(幕间计算!A41&lt;&gt;"",COUNTIF(幕间计算!$A$2:A41,幕间计算!A41)=1),SUMIF(幕间计算!$C$200:$C$1199,幕间计算!A41,幕间计算!$E$200:$E$1199),0)</f>
        <v>0</v>
      </c>
      <c r="BF23" s="246"/>
      <c r="BG23" s="410"/>
      <c r="BH23" s="191"/>
      <c r="BI23" s="443"/>
      <c r="BJ23" s="444"/>
      <c r="BK23" s="444"/>
      <c r="BL23" s="444"/>
      <c r="BM23" s="444"/>
      <c r="BN23" s="448"/>
      <c r="BO23" s="449"/>
      <c r="BP23" s="449"/>
      <c r="BQ23" s="449"/>
      <c r="BR23" s="449"/>
      <c r="BS23" s="449"/>
      <c r="BT23" s="449"/>
      <c r="BU23" s="449"/>
      <c r="BV23" s="449"/>
      <c r="BW23" s="449"/>
      <c r="BX23" s="449"/>
      <c r="BY23" s="449"/>
      <c r="BZ23" s="449"/>
      <c r="CA23" s="449"/>
      <c r="CB23" s="449"/>
      <c r="CC23" s="449"/>
      <c r="CD23" s="449"/>
      <c r="CE23" s="449"/>
      <c r="CF23" s="449"/>
      <c r="CG23" s="449"/>
      <c r="CH23" s="449"/>
      <c r="CI23" s="449"/>
      <c r="CJ23" s="449"/>
      <c r="CK23" s="449"/>
      <c r="CL23" s="449"/>
      <c r="CM23" s="449"/>
      <c r="CN23" s="449"/>
      <c r="CO23" s="449"/>
      <c r="CP23" s="449"/>
      <c r="CQ23" s="449"/>
      <c r="CR23" s="449"/>
      <c r="CS23" s="449"/>
      <c r="CT23" s="449"/>
      <c r="CU23" s="449"/>
      <c r="CV23" s="449"/>
      <c r="CW23" s="449"/>
      <c r="CX23" s="451"/>
      <c r="CY23" s="191"/>
      <c r="CZ23" s="468" t="s">
        <v>87</v>
      </c>
      <c r="DA23" s="469"/>
      <c r="DB23" s="469"/>
      <c r="DC23" s="469"/>
      <c r="DD23" s="469"/>
      <c r="DE23" s="469"/>
      <c r="DF23" s="469"/>
      <c r="DG23" s="469"/>
      <c r="DH23" s="469"/>
      <c r="DI23" s="469"/>
      <c r="DJ23" s="469"/>
      <c r="DK23" s="469"/>
      <c r="DL23" s="469"/>
      <c r="DM23" s="469"/>
      <c r="DN23" s="469"/>
      <c r="DO23" s="469"/>
      <c r="DP23" s="469"/>
      <c r="DQ23" s="469"/>
      <c r="DR23" s="469"/>
      <c r="DS23" s="469"/>
      <c r="DT23" s="469"/>
      <c r="DU23" s="469"/>
      <c r="DV23" s="469"/>
      <c r="DW23" s="469"/>
      <c r="DX23" s="469"/>
      <c r="DY23" s="469"/>
      <c r="DZ23" s="469"/>
      <c r="EA23" s="469"/>
      <c r="EB23" s="469"/>
      <c r="EC23" s="469"/>
      <c r="ED23" s="470" t="s">
        <v>88</v>
      </c>
      <c r="EE23" s="470"/>
      <c r="EF23" s="470" t="s">
        <v>89</v>
      </c>
      <c r="EG23" s="471"/>
      <c r="EH23" s="379"/>
      <c r="EI23" s="472"/>
      <c r="EJ23" s="473"/>
      <c r="EK23" s="473"/>
      <c r="EL23" s="473"/>
      <c r="EM23" s="473"/>
      <c r="EN23" s="473"/>
      <c r="EO23" s="473"/>
      <c r="EP23" s="473"/>
      <c r="EQ23" s="473"/>
      <c r="ER23" s="473"/>
      <c r="ES23" s="473"/>
      <c r="ET23" s="473"/>
      <c r="EU23" s="473"/>
      <c r="EV23" s="473"/>
      <c r="EW23" s="473"/>
      <c r="EX23" s="473"/>
      <c r="EY23" s="474"/>
      <c r="EZ23" s="174"/>
    </row>
    <row r="24" customHeight="1" spans="1:156">
      <c r="A24" s="191"/>
      <c r="B24" s="404" t="s">
        <v>62</v>
      </c>
      <c r="C24" s="405"/>
      <c r="D24" s="406" t="s">
        <v>90</v>
      </c>
      <c r="E24" s="406"/>
      <c r="F24" s="406"/>
      <c r="G24" s="406"/>
      <c r="H24" s="406"/>
      <c r="I24" s="406"/>
      <c r="J24" s="406"/>
      <c r="K24" s="406"/>
      <c r="L24" s="406"/>
      <c r="M24" s="406"/>
      <c r="N24" s="406"/>
      <c r="O24" s="406"/>
      <c r="P24" s="407">
        <f ca="1" t="shared" si="0"/>
        <v>0</v>
      </c>
      <c r="Q24" s="407"/>
      <c r="R24" s="407"/>
      <c r="S24" s="246">
        <v>0</v>
      </c>
      <c r="T24" s="246"/>
      <c r="U24" s="246"/>
      <c r="V24" s="246" t="str">
        <f ca="1">IF(职业选项!V60&gt;0,职业选项!V60,"")</f>
        <v/>
      </c>
      <c r="W24" s="246"/>
      <c r="X24" s="246"/>
      <c r="Y24" s="246" t="str">
        <f ca="1">规则数据!H30</f>
        <v/>
      </c>
      <c r="Z24" s="246"/>
      <c r="AA24" s="246"/>
      <c r="AB24" s="246">
        <f ca="1">幕间计算!B12+IF(AND(幕间计算!A12&lt;&gt;"",COUNTIF(幕间计算!$A$2:A12,幕间计算!A12)=1),SUMIF(幕间计算!$C$200:$C$1199,幕间计算!A12,幕间计算!$E$200:$E$1199),0)</f>
        <v>0</v>
      </c>
      <c r="AC24" s="246"/>
      <c r="AD24" s="408"/>
      <c r="AE24" s="409" t="s">
        <v>62</v>
      </c>
      <c r="AF24" s="405"/>
      <c r="AG24" s="439" t="s">
        <v>91</v>
      </c>
      <c r="AH24" s="440"/>
      <c r="AI24" s="440"/>
      <c r="AJ24" s="440"/>
      <c r="AK24" s="440"/>
      <c r="AL24" s="440"/>
      <c r="AM24" s="441"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441"/>
      <c r="AO24" s="441"/>
      <c r="AP24" s="441"/>
      <c r="AQ24" s="441"/>
      <c r="AR24" s="442"/>
      <c r="AS24" s="407">
        <f ca="1" t="shared" si="1"/>
        <v>0</v>
      </c>
      <c r="AT24" s="407"/>
      <c r="AU24" s="407"/>
      <c r="AV24" s="246">
        <v>0</v>
      </c>
      <c r="AW24" s="246"/>
      <c r="AX24" s="246"/>
      <c r="AY24" s="246" t="str">
        <f ca="1">IF(职业选项!V61&gt;0,职业选项!V61,"")</f>
        <v/>
      </c>
      <c r="AZ24" s="246"/>
      <c r="BA24" s="246"/>
      <c r="BB24" s="246" t="str">
        <f ca="1">规则数据!H60</f>
        <v/>
      </c>
      <c r="BC24" s="246"/>
      <c r="BD24" s="246"/>
      <c r="BE24" s="246">
        <f ca="1">幕间计算!B42+IF(AND(幕间计算!A42&lt;&gt;"",COUNTIF(幕间计算!$A$2:A42,幕间计算!A42)=1),SUMIF(幕间计算!$C$200:$C$1199,幕间计算!A42,幕间计算!$E$200:$E$1199),0)</f>
        <v>0</v>
      </c>
      <c r="BF24" s="246"/>
      <c r="BG24" s="410"/>
      <c r="BH24" s="191"/>
      <c r="BI24" s="443"/>
      <c r="BJ24" s="444"/>
      <c r="BK24" s="444"/>
      <c r="BL24" s="444"/>
      <c r="BM24" s="444"/>
      <c r="BN24" s="452"/>
      <c r="BO24" s="453"/>
      <c r="BP24" s="453"/>
      <c r="BQ24" s="453"/>
      <c r="BR24" s="453"/>
      <c r="BS24" s="453"/>
      <c r="BT24" s="453"/>
      <c r="BU24" s="453"/>
      <c r="BV24" s="453"/>
      <c r="BW24" s="453"/>
      <c r="BX24" s="453"/>
      <c r="BY24" s="453"/>
      <c r="BZ24" s="453"/>
      <c r="CA24" s="453"/>
      <c r="CB24" s="453"/>
      <c r="CC24" s="453"/>
      <c r="CD24" s="453"/>
      <c r="CE24" s="453"/>
      <c r="CF24" s="453"/>
      <c r="CG24" s="453"/>
      <c r="CH24" s="453"/>
      <c r="CI24" s="453"/>
      <c r="CJ24" s="453"/>
      <c r="CK24" s="453"/>
      <c r="CL24" s="453"/>
      <c r="CM24" s="453"/>
      <c r="CN24" s="453"/>
      <c r="CO24" s="453"/>
      <c r="CP24" s="453"/>
      <c r="CQ24" s="453"/>
      <c r="CR24" s="453"/>
      <c r="CS24" s="453"/>
      <c r="CT24" s="453"/>
      <c r="CU24" s="453"/>
      <c r="CV24" s="453"/>
      <c r="CW24" s="453"/>
      <c r="CX24" s="454"/>
      <c r="CY24" s="191"/>
      <c r="CZ24" s="475"/>
      <c r="DA24" s="476"/>
      <c r="DB24" s="476"/>
      <c r="DC24" s="476"/>
      <c r="DD24" s="476"/>
      <c r="DE24" s="476"/>
      <c r="DF24" s="476"/>
      <c r="DG24" s="476"/>
      <c r="DH24" s="476"/>
      <c r="DI24" s="476"/>
      <c r="DJ24" s="476"/>
      <c r="DK24" s="476"/>
      <c r="DL24" s="476"/>
      <c r="DM24" s="476"/>
      <c r="DN24" s="476"/>
      <c r="DO24" s="476"/>
      <c r="DP24" s="476"/>
      <c r="DQ24" s="476"/>
      <c r="DR24" s="476"/>
      <c r="DS24" s="476"/>
      <c r="DT24" s="476"/>
      <c r="DU24" s="476"/>
      <c r="DV24" s="476"/>
      <c r="DW24" s="476"/>
      <c r="DX24" s="476"/>
      <c r="DY24" s="476"/>
      <c r="DZ24" s="476"/>
      <c r="EA24" s="476"/>
      <c r="EB24" s="476"/>
      <c r="EC24" s="476"/>
      <c r="ED24" s="477">
        <f>IF(CZ23="","",幕间计算!BQ1199)</f>
        <v>0</v>
      </c>
      <c r="EE24" s="478"/>
      <c r="EF24" s="416" t="s">
        <v>92</v>
      </c>
      <c r="EG24" s="479"/>
      <c r="EH24" s="379"/>
      <c r="EI24" s="472"/>
      <c r="EJ24" s="473"/>
      <c r="EK24" s="473"/>
      <c r="EL24" s="473"/>
      <c r="EM24" s="473"/>
      <c r="EN24" s="473"/>
      <c r="EO24" s="473"/>
      <c r="EP24" s="473"/>
      <c r="EQ24" s="473"/>
      <c r="ER24" s="473"/>
      <c r="ES24" s="473"/>
      <c r="ET24" s="473"/>
      <c r="EU24" s="473"/>
      <c r="EV24" s="473"/>
      <c r="EW24" s="473"/>
      <c r="EX24" s="473"/>
      <c r="EY24" s="474"/>
      <c r="EZ24" s="174"/>
    </row>
    <row r="25" customHeight="1" spans="1:156">
      <c r="A25" s="191"/>
      <c r="B25" s="404" t="s">
        <v>62</v>
      </c>
      <c r="C25" s="405"/>
      <c r="D25" s="429" t="s">
        <v>93</v>
      </c>
      <c r="E25" s="430"/>
      <c r="F25" s="430"/>
      <c r="G25" s="430"/>
      <c r="H25" s="430"/>
      <c r="I25" s="430"/>
      <c r="J25" s="431"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431"/>
      <c r="L25" s="431"/>
      <c r="M25" s="431"/>
      <c r="N25" s="431"/>
      <c r="O25" s="432"/>
      <c r="P25" s="407">
        <f ca="1" t="shared" si="0"/>
        <v>0</v>
      </c>
      <c r="Q25" s="407"/>
      <c r="R25" s="407"/>
      <c r="S25" s="246">
        <v>0</v>
      </c>
      <c r="T25" s="246"/>
      <c r="U25" s="246"/>
      <c r="V25" s="246" t="str">
        <f ca="1">IF(职业选项!V62&gt;0,职业选项!V62,"")</f>
        <v/>
      </c>
      <c r="W25" s="246"/>
      <c r="X25" s="246"/>
      <c r="Y25" s="246" t="str">
        <f ca="1">规则数据!H31</f>
        <v/>
      </c>
      <c r="Z25" s="246"/>
      <c r="AA25" s="246"/>
      <c r="AB25" s="246">
        <f ca="1">幕间计算!B13+IF(AND(幕间计算!A13&lt;&gt;"",COUNTIF(幕间计算!$A$2:A13,幕间计算!A13)=1),SUMIF(幕间计算!$C$200:$C$1199,幕间计算!A13,幕间计算!$E$200:$E$1199),0)</f>
        <v>0</v>
      </c>
      <c r="AC25" s="246"/>
      <c r="AD25" s="408"/>
      <c r="AE25" s="409" t="s">
        <v>62</v>
      </c>
      <c r="AF25" s="405"/>
      <c r="AG25" s="429" t="s">
        <v>91</v>
      </c>
      <c r="AH25" s="430"/>
      <c r="AI25" s="430"/>
      <c r="AJ25" s="430"/>
      <c r="AK25" s="430"/>
      <c r="AL25" s="430"/>
      <c r="AM25" s="431"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431"/>
      <c r="AO25" s="431"/>
      <c r="AP25" s="431"/>
      <c r="AQ25" s="431"/>
      <c r="AR25" s="432"/>
      <c r="AS25" s="407">
        <f ca="1" t="shared" si="1"/>
        <v>0</v>
      </c>
      <c r="AT25" s="407"/>
      <c r="AU25" s="407"/>
      <c r="AV25" s="246">
        <v>0</v>
      </c>
      <c r="AW25" s="246"/>
      <c r="AX25" s="246"/>
      <c r="AY25" s="246" t="str">
        <f ca="1">IF(职业选项!V63&gt;0,职业选项!V63,"")</f>
        <v/>
      </c>
      <c r="AZ25" s="246"/>
      <c r="BA25" s="246"/>
      <c r="BB25" s="246" t="str">
        <f ca="1">规则数据!H61</f>
        <v/>
      </c>
      <c r="BC25" s="246"/>
      <c r="BD25" s="246"/>
      <c r="BE25" s="246">
        <f ca="1">幕间计算!B43+IF(AND(幕间计算!A43&lt;&gt;"",COUNTIF(幕间计算!$A$2:A43,幕间计算!A43)=1),SUMIF(幕间计算!$C$200:$C$1199,幕间计算!A43,幕间计算!$E$200:$E$1199),0)</f>
        <v>0</v>
      </c>
      <c r="BF25" s="246"/>
      <c r="BG25" s="410"/>
      <c r="BH25" s="191"/>
      <c r="BI25" s="443"/>
      <c r="BJ25" s="444"/>
      <c r="BK25" s="444"/>
      <c r="BL25" s="444"/>
      <c r="BM25" s="444"/>
      <c r="BN25" s="480"/>
      <c r="BO25" s="481"/>
      <c r="BP25" s="481"/>
      <c r="BQ25" s="481"/>
      <c r="BR25" s="482"/>
      <c r="BS25" s="483"/>
      <c r="BT25" s="483"/>
      <c r="BU25" s="483"/>
      <c r="BV25" s="483"/>
      <c r="BW25" s="483"/>
      <c r="BX25" s="483"/>
      <c r="BY25" s="483"/>
      <c r="BZ25" s="483"/>
      <c r="CA25" s="483"/>
      <c r="CB25" s="483"/>
      <c r="CC25" s="483"/>
      <c r="CD25" s="483"/>
      <c r="CE25" s="483"/>
      <c r="CF25" s="483"/>
      <c r="CG25" s="483"/>
      <c r="CH25" s="436"/>
      <c r="CI25" s="436"/>
      <c r="CJ25" s="436"/>
      <c r="CK25" s="436"/>
      <c r="CL25" s="436"/>
      <c r="CM25" s="436"/>
      <c r="CN25" s="436"/>
      <c r="CO25" s="436"/>
      <c r="CP25" s="436"/>
      <c r="CQ25" s="436"/>
      <c r="CR25" s="436"/>
      <c r="CS25" s="436"/>
      <c r="CT25" s="436"/>
      <c r="CU25" s="436"/>
      <c r="CV25" s="436"/>
      <c r="CW25" s="436"/>
      <c r="CX25" s="437"/>
      <c r="CY25" s="191"/>
      <c r="CZ25" s="475"/>
      <c r="DA25" s="476"/>
      <c r="DB25" s="476"/>
      <c r="DC25" s="476"/>
      <c r="DD25" s="476"/>
      <c r="DE25" s="476"/>
      <c r="DF25" s="476"/>
      <c r="DG25" s="476"/>
      <c r="DH25" s="476"/>
      <c r="DI25" s="476"/>
      <c r="DJ25" s="476"/>
      <c r="DK25" s="476"/>
      <c r="DL25" s="476"/>
      <c r="DM25" s="476"/>
      <c r="DN25" s="476"/>
      <c r="DO25" s="476"/>
      <c r="DP25" s="476"/>
      <c r="DQ25" s="476"/>
      <c r="DR25" s="476"/>
      <c r="DS25" s="476"/>
      <c r="DT25" s="476"/>
      <c r="DU25" s="476"/>
      <c r="DV25" s="476"/>
      <c r="DW25" s="476"/>
      <c r="DX25" s="476"/>
      <c r="DY25" s="476"/>
      <c r="DZ25" s="476"/>
      <c r="EA25" s="476"/>
      <c r="EB25" s="476"/>
      <c r="EC25" s="476"/>
      <c r="ED25" s="484"/>
      <c r="EE25" s="485"/>
      <c r="EF25" s="416"/>
      <c r="EG25" s="479"/>
      <c r="EH25" s="379"/>
      <c r="EI25" s="472"/>
      <c r="EJ25" s="473"/>
      <c r="EK25" s="473"/>
      <c r="EL25" s="473"/>
      <c r="EM25" s="473"/>
      <c r="EN25" s="473"/>
      <c r="EO25" s="473"/>
      <c r="EP25" s="473"/>
      <c r="EQ25" s="473"/>
      <c r="ER25" s="473"/>
      <c r="ES25" s="473"/>
      <c r="ET25" s="473"/>
      <c r="EU25" s="473"/>
      <c r="EV25" s="473"/>
      <c r="EW25" s="473"/>
      <c r="EX25" s="473"/>
      <c r="EY25" s="474"/>
      <c r="EZ25" s="174"/>
    </row>
    <row r="26" customHeight="1" spans="1:156">
      <c r="A26" s="191"/>
      <c r="B26" s="404" t="s">
        <v>62</v>
      </c>
      <c r="C26" s="405"/>
      <c r="D26" s="439" t="s">
        <v>93</v>
      </c>
      <c r="E26" s="440"/>
      <c r="F26" s="440"/>
      <c r="G26" s="440"/>
      <c r="H26" s="440"/>
      <c r="I26" s="440"/>
      <c r="J26" s="441"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441"/>
      <c r="L26" s="441"/>
      <c r="M26" s="441"/>
      <c r="N26" s="441"/>
      <c r="O26" s="442"/>
      <c r="P26" s="407">
        <f ca="1" t="shared" si="0"/>
        <v>0</v>
      </c>
      <c r="Q26" s="407"/>
      <c r="R26" s="407"/>
      <c r="S26" s="246">
        <v>0</v>
      </c>
      <c r="T26" s="246"/>
      <c r="U26" s="246"/>
      <c r="V26" s="246" t="str">
        <f ca="1">IF(职业选项!V64&gt;0,职业选项!V64,"")</f>
        <v/>
      </c>
      <c r="W26" s="246"/>
      <c r="X26" s="246"/>
      <c r="Y26" s="246" t="str">
        <f ca="1">规则数据!H32</f>
        <v/>
      </c>
      <c r="Z26" s="246"/>
      <c r="AA26" s="246"/>
      <c r="AB26" s="246">
        <f ca="1">幕间计算!B14+IF(AND(幕间计算!A14&lt;&gt;"",COUNTIF(幕间计算!$A$2:A14,幕间计算!A14)=1),SUMIF(幕间计算!$C$200:$C$1199,幕间计算!A14,幕间计算!$E$200:$E$1199),0)</f>
        <v>0</v>
      </c>
      <c r="AC26" s="246"/>
      <c r="AD26" s="408"/>
      <c r="AE26" s="409" t="s">
        <v>62</v>
      </c>
      <c r="AF26" s="405"/>
      <c r="AG26" s="439" t="s">
        <v>91</v>
      </c>
      <c r="AH26" s="440"/>
      <c r="AI26" s="440"/>
      <c r="AJ26" s="440"/>
      <c r="AK26" s="440"/>
      <c r="AL26" s="440"/>
      <c r="AM26" s="441"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441"/>
      <c r="AO26" s="441"/>
      <c r="AP26" s="441"/>
      <c r="AQ26" s="441"/>
      <c r="AR26" s="442"/>
      <c r="AS26" s="407">
        <f ca="1" t="shared" si="1"/>
        <v>0</v>
      </c>
      <c r="AT26" s="407"/>
      <c r="AU26" s="407"/>
      <c r="AV26" s="246">
        <v>0</v>
      </c>
      <c r="AW26" s="246"/>
      <c r="AX26" s="246"/>
      <c r="AY26" s="246" t="str">
        <f ca="1">IF(职业选项!V65&gt;0,职业选项!V65,"")</f>
        <v/>
      </c>
      <c r="AZ26" s="246"/>
      <c r="BA26" s="246"/>
      <c r="BB26" s="246" t="str">
        <f ca="1">规则数据!H62</f>
        <v/>
      </c>
      <c r="BC26" s="246"/>
      <c r="BD26" s="246"/>
      <c r="BE26" s="246">
        <f ca="1">幕间计算!B44+IF(AND(幕间计算!A44&lt;&gt;"",COUNTIF(幕间计算!$A$2:A44,幕间计算!A44)=1),SUMIF(幕间计算!$C$200:$C$1199,幕间计算!A44,幕间计算!$E$200:$E$1199),0)</f>
        <v>0</v>
      </c>
      <c r="BF26" s="246"/>
      <c r="BG26" s="410"/>
      <c r="BH26" s="191"/>
      <c r="BI26" s="443"/>
      <c r="BJ26" s="444"/>
      <c r="BK26" s="444"/>
      <c r="BL26" s="444"/>
      <c r="BM26" s="444"/>
      <c r="BN26" s="486"/>
      <c r="BO26" s="487"/>
      <c r="BP26" s="487"/>
      <c r="BQ26" s="487"/>
      <c r="BR26" s="487"/>
      <c r="BS26" s="487"/>
      <c r="BT26" s="487"/>
      <c r="BU26" s="487"/>
      <c r="BV26" s="487"/>
      <c r="BW26" s="487"/>
      <c r="BX26" s="487"/>
      <c r="BY26" s="487"/>
      <c r="BZ26" s="487"/>
      <c r="CA26" s="487"/>
      <c r="CB26" s="487"/>
      <c r="CC26" s="487"/>
      <c r="CD26" s="487"/>
      <c r="CE26" s="487"/>
      <c r="CF26" s="487"/>
      <c r="CG26" s="487"/>
      <c r="CH26" s="487"/>
      <c r="CI26" s="487"/>
      <c r="CJ26" s="487"/>
      <c r="CK26" s="487"/>
      <c r="CL26" s="487"/>
      <c r="CM26" s="487"/>
      <c r="CN26" s="487"/>
      <c r="CO26" s="487"/>
      <c r="CP26" s="487"/>
      <c r="CQ26" s="487"/>
      <c r="CR26" s="487"/>
      <c r="CS26" s="487"/>
      <c r="CT26" s="487"/>
      <c r="CU26" s="487"/>
      <c r="CV26" s="487"/>
      <c r="CW26" s="487"/>
      <c r="CX26" s="488"/>
      <c r="CY26" s="191"/>
      <c r="CZ26" s="475" t="s">
        <v>94</v>
      </c>
      <c r="DA26" s="476"/>
      <c r="DB26" s="476"/>
      <c r="DC26" s="476"/>
      <c r="DD26" s="476"/>
      <c r="DE26" s="476"/>
      <c r="DF26" s="476"/>
      <c r="DG26" s="476"/>
      <c r="DH26" s="476"/>
      <c r="DI26" s="476"/>
      <c r="DJ26" s="476"/>
      <c r="DK26" s="476"/>
      <c r="DL26" s="476"/>
      <c r="DM26" s="476"/>
      <c r="DN26" s="476"/>
      <c r="DO26" s="476"/>
      <c r="DP26" s="476"/>
      <c r="DQ26" s="476"/>
      <c r="DR26" s="476"/>
      <c r="DS26" s="476"/>
      <c r="DT26" s="476"/>
      <c r="DU26" s="476"/>
      <c r="DV26" s="476"/>
      <c r="DW26" s="476"/>
      <c r="DX26" s="476"/>
      <c r="DY26" s="476"/>
      <c r="DZ26" s="476"/>
      <c r="EA26" s="476"/>
      <c r="EB26" s="476"/>
      <c r="EC26" s="476"/>
      <c r="ED26" s="235" t="s">
        <v>88</v>
      </c>
      <c r="EE26" s="235"/>
      <c r="EF26" s="235" t="s">
        <v>89</v>
      </c>
      <c r="EG26" s="489"/>
      <c r="EH26" s="379"/>
      <c r="EI26" s="472"/>
      <c r="EJ26" s="473"/>
      <c r="EK26" s="473"/>
      <c r="EL26" s="473"/>
      <c r="EM26" s="473"/>
      <c r="EN26" s="473"/>
      <c r="EO26" s="473"/>
      <c r="EP26" s="473"/>
      <c r="EQ26" s="473"/>
      <c r="ER26" s="473"/>
      <c r="ES26" s="473"/>
      <c r="ET26" s="473"/>
      <c r="EU26" s="473"/>
      <c r="EV26" s="473"/>
      <c r="EW26" s="473"/>
      <c r="EX26" s="473"/>
      <c r="EY26" s="474"/>
      <c r="EZ26" s="174"/>
    </row>
    <row r="27" customHeight="1" spans="1:156">
      <c r="A27" s="191"/>
      <c r="B27" s="404" t="s">
        <v>62</v>
      </c>
      <c r="C27" s="405"/>
      <c r="D27" s="429" t="s">
        <v>93</v>
      </c>
      <c r="E27" s="430"/>
      <c r="F27" s="430"/>
      <c r="G27" s="430"/>
      <c r="H27" s="430"/>
      <c r="I27" s="430"/>
      <c r="J27" s="431"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431"/>
      <c r="L27" s="431"/>
      <c r="M27" s="431"/>
      <c r="N27" s="431"/>
      <c r="O27" s="432"/>
      <c r="P27" s="407">
        <f ca="1" t="shared" si="0"/>
        <v>0</v>
      </c>
      <c r="Q27" s="407"/>
      <c r="R27" s="407"/>
      <c r="S27" s="246">
        <v>0</v>
      </c>
      <c r="T27" s="246"/>
      <c r="U27" s="246"/>
      <c r="V27" s="246" t="str">
        <f ca="1">IF(职业选项!V66&gt;0,职业选项!V66,"")</f>
        <v/>
      </c>
      <c r="W27" s="246"/>
      <c r="X27" s="246"/>
      <c r="Y27" s="246" t="str">
        <f ca="1">规则数据!H33</f>
        <v/>
      </c>
      <c r="Z27" s="246"/>
      <c r="AA27" s="246"/>
      <c r="AB27" s="246">
        <f ca="1">幕间计算!B15+IF(AND(幕间计算!A15&lt;&gt;"",COUNTIF(幕间计算!$A$2:A15,幕间计算!A15)=1),SUMIF(幕间计算!$C$200:$C$1199,幕间计算!A15,幕间计算!$E$200:$E$1199),0)</f>
        <v>0</v>
      </c>
      <c r="AC27" s="246"/>
      <c r="AD27" s="408"/>
      <c r="AE27" s="409" t="s">
        <v>62</v>
      </c>
      <c r="AF27" s="405"/>
      <c r="AG27" s="406" t="s">
        <v>95</v>
      </c>
      <c r="AH27" s="406"/>
      <c r="AI27" s="406"/>
      <c r="AJ27" s="406"/>
      <c r="AK27" s="406"/>
      <c r="AL27" s="406"/>
      <c r="AM27" s="406"/>
      <c r="AN27" s="406"/>
      <c r="AO27" s="406"/>
      <c r="AP27" s="406"/>
      <c r="AQ27" s="406"/>
      <c r="AR27" s="406"/>
      <c r="AS27" s="407">
        <f ca="1" t="shared" si="1"/>
        <v>10</v>
      </c>
      <c r="AT27" s="407"/>
      <c r="AU27" s="407"/>
      <c r="AV27" s="246">
        <v>10</v>
      </c>
      <c r="AW27" s="246"/>
      <c r="AX27" s="246"/>
      <c r="AY27" s="246" t="str">
        <f ca="1">IF(职业选项!V67&gt;0,职业选项!V67,"")</f>
        <v/>
      </c>
      <c r="AZ27" s="246"/>
      <c r="BA27" s="246"/>
      <c r="BB27" s="246" t="str">
        <f ca="1">规则数据!H63</f>
        <v/>
      </c>
      <c r="BC27" s="246"/>
      <c r="BD27" s="246"/>
      <c r="BE27" s="246">
        <f ca="1">幕间计算!B45+IF(AND(幕间计算!A45&lt;&gt;"",COUNTIF(幕间计算!$A$2:A45,幕间计算!A45)=1),SUMIF(幕间计算!$C$200:$C$1199,幕间计算!A45,幕间计算!$E$200:$E$1199),0)</f>
        <v>0</v>
      </c>
      <c r="BF27" s="246"/>
      <c r="BG27" s="410"/>
      <c r="BH27" s="191"/>
      <c r="BI27" s="443"/>
      <c r="BJ27" s="444"/>
      <c r="BK27" s="444"/>
      <c r="BL27" s="444"/>
      <c r="BM27" s="444"/>
      <c r="BN27" s="490" t="str">
        <f>规则数据!S10&amp;IF(AND(DF46="人类不应知道之事",DR55&lt;&gt;""),IF(规则数据!S10&lt;&gt;"",CHAR(10),"")&amp;"创伤心理疾病："&amp;DR55,"")</f>
        <v/>
      </c>
      <c r="BO27" s="491"/>
      <c r="BP27" s="491"/>
      <c r="BQ27" s="491"/>
      <c r="BR27" s="491"/>
      <c r="BS27" s="491"/>
      <c r="BT27" s="491"/>
      <c r="BU27" s="491"/>
      <c r="BV27" s="491"/>
      <c r="BW27" s="491"/>
      <c r="BX27" s="491"/>
      <c r="BY27" s="491"/>
      <c r="BZ27" s="491"/>
      <c r="CA27" s="491"/>
      <c r="CB27" s="491"/>
      <c r="CC27" s="491"/>
      <c r="CD27" s="491"/>
      <c r="CE27" s="491"/>
      <c r="CF27" s="491"/>
      <c r="CG27" s="491"/>
      <c r="CH27" s="491"/>
      <c r="CI27" s="491"/>
      <c r="CJ27" s="491"/>
      <c r="CK27" s="491"/>
      <c r="CL27" s="491"/>
      <c r="CM27" s="491"/>
      <c r="CN27" s="491"/>
      <c r="CO27" s="491"/>
      <c r="CP27" s="491"/>
      <c r="CQ27" s="491"/>
      <c r="CR27" s="491"/>
      <c r="CS27" s="491"/>
      <c r="CT27" s="491"/>
      <c r="CU27" s="491"/>
      <c r="CV27" s="491"/>
      <c r="CW27" s="491"/>
      <c r="CX27" s="492"/>
      <c r="CY27" s="191"/>
      <c r="CZ27" s="475"/>
      <c r="DA27" s="476"/>
      <c r="DB27" s="476"/>
      <c r="DC27" s="476"/>
      <c r="DD27" s="476"/>
      <c r="DE27" s="476"/>
      <c r="DF27" s="476"/>
      <c r="DG27" s="476"/>
      <c r="DH27" s="476"/>
      <c r="DI27" s="476"/>
      <c r="DJ27" s="476"/>
      <c r="DK27" s="476"/>
      <c r="DL27" s="476"/>
      <c r="DM27" s="476"/>
      <c r="DN27" s="476"/>
      <c r="DO27" s="476"/>
      <c r="DP27" s="476"/>
      <c r="DQ27" s="476"/>
      <c r="DR27" s="476"/>
      <c r="DS27" s="476"/>
      <c r="DT27" s="476"/>
      <c r="DU27" s="476"/>
      <c r="DV27" s="476"/>
      <c r="DW27" s="476"/>
      <c r="DX27" s="476"/>
      <c r="DY27" s="476"/>
      <c r="DZ27" s="476"/>
      <c r="EA27" s="476"/>
      <c r="EB27" s="476"/>
      <c r="EC27" s="476"/>
      <c r="ED27" s="477">
        <f>IF(CZ26="","",幕间计算!BR1199)</f>
        <v>0</v>
      </c>
      <c r="EE27" s="478"/>
      <c r="EF27" s="416" t="s">
        <v>92</v>
      </c>
      <c r="EG27" s="479"/>
      <c r="EH27" s="379"/>
      <c r="EI27" s="472"/>
      <c r="EJ27" s="473"/>
      <c r="EK27" s="473"/>
      <c r="EL27" s="473"/>
      <c r="EM27" s="473"/>
      <c r="EN27" s="473"/>
      <c r="EO27" s="473"/>
      <c r="EP27" s="473"/>
      <c r="EQ27" s="473"/>
      <c r="ER27" s="473"/>
      <c r="ES27" s="473"/>
      <c r="ET27" s="473"/>
      <c r="EU27" s="473"/>
      <c r="EV27" s="473"/>
      <c r="EW27" s="473"/>
      <c r="EX27" s="473"/>
      <c r="EY27" s="474"/>
      <c r="EZ27" s="174"/>
    </row>
    <row r="28" customHeight="1" spans="1:156">
      <c r="A28" s="191"/>
      <c r="B28" s="404" t="s">
        <v>62</v>
      </c>
      <c r="C28" s="405"/>
      <c r="D28" s="439" t="s">
        <v>93</v>
      </c>
      <c r="E28" s="440"/>
      <c r="F28" s="440"/>
      <c r="G28" s="440"/>
      <c r="H28" s="440"/>
      <c r="I28" s="440"/>
      <c r="J28" s="441"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441"/>
      <c r="L28" s="441"/>
      <c r="M28" s="441"/>
      <c r="N28" s="441"/>
      <c r="O28" s="442"/>
      <c r="P28" s="407">
        <f ca="1" t="shared" si="0"/>
        <v>0</v>
      </c>
      <c r="Q28" s="407"/>
      <c r="R28" s="407"/>
      <c r="S28" s="246">
        <v>0</v>
      </c>
      <c r="T28" s="246"/>
      <c r="U28" s="246"/>
      <c r="V28" s="246" t="str">
        <f ca="1">IF(职业选项!V68&gt;0,职业选项!V68,"")</f>
        <v/>
      </c>
      <c r="W28" s="246"/>
      <c r="X28" s="246"/>
      <c r="Y28" s="246" t="str">
        <f ca="1">规则数据!H34</f>
        <v/>
      </c>
      <c r="Z28" s="246"/>
      <c r="AA28" s="246"/>
      <c r="AB28" s="246">
        <f ca="1">幕间计算!B16+IF(AND(幕间计算!A16&lt;&gt;"",COUNTIF(幕间计算!$A$2:A16,幕间计算!A16)=1),SUMIF(幕间计算!$C$200:$C$1199,幕间计算!A16,幕间计算!$E$200:$E$1199),0)</f>
        <v>0</v>
      </c>
      <c r="AC28" s="246"/>
      <c r="AD28" s="408"/>
      <c r="AE28" s="409" t="s">
        <v>62</v>
      </c>
      <c r="AF28" s="405"/>
      <c r="AG28" s="406" t="s">
        <v>96</v>
      </c>
      <c r="AH28" s="406"/>
      <c r="AI28" s="406"/>
      <c r="AJ28" s="406"/>
      <c r="AK28" s="406"/>
      <c r="AL28" s="406"/>
      <c r="AM28" s="406"/>
      <c r="AN28" s="406"/>
      <c r="AO28" s="406"/>
      <c r="AP28" s="406"/>
      <c r="AQ28" s="406"/>
      <c r="AR28" s="406"/>
      <c r="AS28" s="407">
        <f ca="1" t="shared" si="1"/>
        <v>10</v>
      </c>
      <c r="AT28" s="407"/>
      <c r="AU28" s="407"/>
      <c r="AV28" s="246">
        <v>10</v>
      </c>
      <c r="AW28" s="246"/>
      <c r="AX28" s="246"/>
      <c r="AY28" s="246" t="str">
        <f ca="1">IF(职业选项!V69&gt;0,职业选项!V69,"")</f>
        <v/>
      </c>
      <c r="AZ28" s="246"/>
      <c r="BA28" s="246"/>
      <c r="BB28" s="246" t="str">
        <f ca="1">规则数据!H64</f>
        <v/>
      </c>
      <c r="BC28" s="246"/>
      <c r="BD28" s="246"/>
      <c r="BE28" s="246">
        <f ca="1">幕间计算!B46+IF(AND(幕间计算!A46&lt;&gt;"",COUNTIF(幕间计算!$A$2:A46,幕间计算!A46)=1),SUMIF(幕间计算!$C$200:$C$1199,幕间计算!A46,幕间计算!$E$200:$E$1199),0)</f>
        <v>0</v>
      </c>
      <c r="BF28" s="246"/>
      <c r="BG28" s="410"/>
      <c r="BH28" s="493"/>
      <c r="BI28" s="494"/>
      <c r="BJ28" s="495"/>
      <c r="BK28" s="495"/>
      <c r="BL28" s="495"/>
      <c r="BM28" s="495"/>
      <c r="BN28" s="496"/>
      <c r="BO28" s="497"/>
      <c r="BP28" s="497"/>
      <c r="BQ28" s="497"/>
      <c r="BR28" s="497"/>
      <c r="BS28" s="497"/>
      <c r="BT28" s="497"/>
      <c r="BU28" s="497"/>
      <c r="BV28" s="497"/>
      <c r="BW28" s="497"/>
      <c r="BX28" s="497"/>
      <c r="BY28" s="497"/>
      <c r="BZ28" s="497"/>
      <c r="CA28" s="497"/>
      <c r="CB28" s="497"/>
      <c r="CC28" s="497"/>
      <c r="CD28" s="497"/>
      <c r="CE28" s="497"/>
      <c r="CF28" s="497"/>
      <c r="CG28" s="497"/>
      <c r="CH28" s="497"/>
      <c r="CI28" s="497"/>
      <c r="CJ28" s="497"/>
      <c r="CK28" s="497"/>
      <c r="CL28" s="497"/>
      <c r="CM28" s="497"/>
      <c r="CN28" s="497"/>
      <c r="CO28" s="497"/>
      <c r="CP28" s="497"/>
      <c r="CQ28" s="497"/>
      <c r="CR28" s="497"/>
      <c r="CS28" s="497"/>
      <c r="CT28" s="497"/>
      <c r="CU28" s="497"/>
      <c r="CV28" s="497"/>
      <c r="CW28" s="497"/>
      <c r="CX28" s="498"/>
      <c r="CY28" s="191"/>
      <c r="CZ28" s="475"/>
      <c r="DA28" s="476"/>
      <c r="DB28" s="476"/>
      <c r="DC28" s="476"/>
      <c r="DD28" s="476"/>
      <c r="DE28" s="476"/>
      <c r="DF28" s="476"/>
      <c r="DG28" s="476"/>
      <c r="DH28" s="476"/>
      <c r="DI28" s="476"/>
      <c r="DJ28" s="476"/>
      <c r="DK28" s="476"/>
      <c r="DL28" s="476"/>
      <c r="DM28" s="476"/>
      <c r="DN28" s="476"/>
      <c r="DO28" s="476"/>
      <c r="DP28" s="476"/>
      <c r="DQ28" s="476"/>
      <c r="DR28" s="476"/>
      <c r="DS28" s="476"/>
      <c r="DT28" s="476"/>
      <c r="DU28" s="476"/>
      <c r="DV28" s="476"/>
      <c r="DW28" s="476"/>
      <c r="DX28" s="476"/>
      <c r="DY28" s="476"/>
      <c r="DZ28" s="476"/>
      <c r="EA28" s="476"/>
      <c r="EB28" s="476"/>
      <c r="EC28" s="476"/>
      <c r="ED28" s="484"/>
      <c r="EE28" s="485"/>
      <c r="EF28" s="416"/>
      <c r="EG28" s="479"/>
      <c r="EH28" s="379"/>
      <c r="EI28" s="472"/>
      <c r="EJ28" s="473"/>
      <c r="EK28" s="473"/>
      <c r="EL28" s="473"/>
      <c r="EM28" s="473"/>
      <c r="EN28" s="473"/>
      <c r="EO28" s="473"/>
      <c r="EP28" s="473"/>
      <c r="EQ28" s="473"/>
      <c r="ER28" s="473"/>
      <c r="ES28" s="473"/>
      <c r="ET28" s="473"/>
      <c r="EU28" s="473"/>
      <c r="EV28" s="473"/>
      <c r="EW28" s="473"/>
      <c r="EX28" s="473"/>
      <c r="EY28" s="474"/>
      <c r="EZ28" s="174"/>
    </row>
    <row r="29" customHeight="1" spans="1:156">
      <c r="A29" s="191"/>
      <c r="B29" s="404" t="s">
        <v>62</v>
      </c>
      <c r="C29" s="405"/>
      <c r="D29" s="406" t="s">
        <v>97</v>
      </c>
      <c r="E29" s="406"/>
      <c r="F29" s="406"/>
      <c r="G29" s="406"/>
      <c r="H29" s="406"/>
      <c r="I29" s="406"/>
      <c r="J29" s="406"/>
      <c r="K29" s="406"/>
      <c r="L29" s="406"/>
      <c r="M29" s="406"/>
      <c r="N29" s="406"/>
      <c r="O29" s="406"/>
      <c r="P29" s="407">
        <f ca="1" t="shared" si="0"/>
        <v>10</v>
      </c>
      <c r="Q29" s="407"/>
      <c r="R29" s="407"/>
      <c r="S29" s="246">
        <v>10</v>
      </c>
      <c r="T29" s="246"/>
      <c r="U29" s="246"/>
      <c r="V29" s="246" t="str">
        <f ca="1">IF(职业选项!V70&gt;0,职业选项!V70,"")</f>
        <v/>
      </c>
      <c r="W29" s="246"/>
      <c r="X29" s="246"/>
      <c r="Y29" s="246" t="str">
        <f ca="1">规则数据!H35</f>
        <v/>
      </c>
      <c r="Z29" s="246"/>
      <c r="AA29" s="246"/>
      <c r="AB29" s="246">
        <f ca="1">幕间计算!B17+IF(AND(幕间计算!A17&lt;&gt;"",COUNTIF(幕间计算!$A$2:A17,幕间计算!A17)=1),SUMIF(幕间计算!$C$200:$C$1199,幕间计算!A17,幕间计算!$E$200:$E$1199),0)</f>
        <v>0</v>
      </c>
      <c r="AC29" s="246"/>
      <c r="AD29" s="408"/>
      <c r="AE29" s="409" t="s">
        <v>62</v>
      </c>
      <c r="AF29" s="405"/>
      <c r="AG29" s="429" t="s">
        <v>98</v>
      </c>
      <c r="AH29" s="430"/>
      <c r="AI29" s="430"/>
      <c r="AJ29" s="430"/>
      <c r="AK29" s="430"/>
      <c r="AL29" s="430"/>
      <c r="AM29" s="431"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431"/>
      <c r="AO29" s="431"/>
      <c r="AP29" s="431"/>
      <c r="AQ29" s="431"/>
      <c r="AR29" s="432"/>
      <c r="AS29" s="407">
        <f ca="1" t="shared" si="1"/>
        <v>0</v>
      </c>
      <c r="AT29" s="407"/>
      <c r="AU29" s="407"/>
      <c r="AV29" s="246">
        <v>0</v>
      </c>
      <c r="AW29" s="246"/>
      <c r="AX29" s="246"/>
      <c r="AY29" s="246" t="str">
        <f ca="1">IF(职业选项!V71&gt;0,职业选项!V71,"")</f>
        <v/>
      </c>
      <c r="AZ29" s="246"/>
      <c r="BA29" s="246"/>
      <c r="BB29" s="246" t="str">
        <f ca="1">规则数据!H65</f>
        <v/>
      </c>
      <c r="BC29" s="246"/>
      <c r="BD29" s="246"/>
      <c r="BE29" s="246">
        <f ca="1">幕间计算!B47+IF(AND(幕间计算!A47&lt;&gt;"",COUNTIF(幕间计算!$A$2:A47,幕间计算!A47)=1),SUMIF(幕间计算!$C$200:$C$1199,幕间计算!A47,幕间计算!$E$200:$E$1199),0)</f>
        <v>0</v>
      </c>
      <c r="BF29" s="246"/>
      <c r="BG29" s="410"/>
      <c r="BH29" s="493"/>
      <c r="BI29" s="499"/>
      <c r="BJ29" s="500"/>
      <c r="BK29" s="500"/>
      <c r="BL29" s="500"/>
      <c r="BM29" s="500"/>
      <c r="BN29" s="500"/>
      <c r="BO29" s="500"/>
      <c r="BP29" s="500"/>
      <c r="BQ29" s="500"/>
      <c r="BR29" s="500"/>
      <c r="BS29" s="500"/>
      <c r="BT29" s="500"/>
      <c r="BU29" s="500"/>
      <c r="BV29" s="500"/>
      <c r="BW29" s="500"/>
      <c r="BX29" s="500"/>
      <c r="BY29" s="500"/>
      <c r="BZ29" s="500"/>
      <c r="CA29" s="500"/>
      <c r="CB29" s="500"/>
      <c r="CC29" s="500"/>
      <c r="CD29" s="500"/>
      <c r="CE29" s="500"/>
      <c r="CF29" s="500"/>
      <c r="CG29" s="500"/>
      <c r="CH29" s="500"/>
      <c r="CI29" s="500"/>
      <c r="CJ29" s="500"/>
      <c r="CK29" s="500"/>
      <c r="CL29" s="500"/>
      <c r="CM29" s="500"/>
      <c r="CN29" s="500"/>
      <c r="CO29" s="500"/>
      <c r="CP29" s="500"/>
      <c r="CQ29" s="500"/>
      <c r="CR29" s="500"/>
      <c r="CS29" s="500"/>
      <c r="CT29" s="500"/>
      <c r="CU29" s="500"/>
      <c r="CV29" s="500"/>
      <c r="CW29" s="500"/>
      <c r="CX29" s="501"/>
      <c r="CY29" s="191"/>
      <c r="CZ29" s="475" t="s">
        <v>87</v>
      </c>
      <c r="DA29" s="476"/>
      <c r="DB29" s="476"/>
      <c r="DC29" s="476"/>
      <c r="DD29" s="476"/>
      <c r="DE29" s="476"/>
      <c r="DF29" s="476"/>
      <c r="DG29" s="476"/>
      <c r="DH29" s="476"/>
      <c r="DI29" s="476"/>
      <c r="DJ29" s="476"/>
      <c r="DK29" s="476"/>
      <c r="DL29" s="476"/>
      <c r="DM29" s="476"/>
      <c r="DN29" s="476"/>
      <c r="DO29" s="476"/>
      <c r="DP29" s="476"/>
      <c r="DQ29" s="476"/>
      <c r="DR29" s="476"/>
      <c r="DS29" s="476"/>
      <c r="DT29" s="476"/>
      <c r="DU29" s="476"/>
      <c r="DV29" s="476"/>
      <c r="DW29" s="476"/>
      <c r="DX29" s="476"/>
      <c r="DY29" s="476"/>
      <c r="DZ29" s="476"/>
      <c r="EA29" s="476"/>
      <c r="EB29" s="476"/>
      <c r="EC29" s="476"/>
      <c r="ED29" s="235" t="s">
        <v>88</v>
      </c>
      <c r="EE29" s="235"/>
      <c r="EF29" s="235" t="s">
        <v>89</v>
      </c>
      <c r="EG29" s="489"/>
      <c r="EH29" s="191"/>
      <c r="EI29" s="472"/>
      <c r="EJ29" s="473"/>
      <c r="EK29" s="473"/>
      <c r="EL29" s="473"/>
      <c r="EM29" s="473"/>
      <c r="EN29" s="473"/>
      <c r="EO29" s="473"/>
      <c r="EP29" s="473"/>
      <c r="EQ29" s="473"/>
      <c r="ER29" s="473"/>
      <c r="ES29" s="473"/>
      <c r="ET29" s="473"/>
      <c r="EU29" s="473"/>
      <c r="EV29" s="473"/>
      <c r="EW29" s="473"/>
      <c r="EX29" s="473"/>
      <c r="EY29" s="474"/>
      <c r="EZ29" s="174"/>
    </row>
    <row r="30" customHeight="1" spans="1:156">
      <c r="A30" s="191"/>
      <c r="B30" s="404" t="s">
        <v>62</v>
      </c>
      <c r="C30" s="405"/>
      <c r="D30" s="406" t="s">
        <v>99</v>
      </c>
      <c r="E30" s="406"/>
      <c r="F30" s="406"/>
      <c r="G30" s="406"/>
      <c r="H30" s="406"/>
      <c r="I30" s="406"/>
      <c r="J30" s="406"/>
      <c r="K30" s="406"/>
      <c r="L30" s="406"/>
      <c r="M30" s="406"/>
      <c r="N30" s="406"/>
      <c r="O30" s="406"/>
      <c r="P30" s="407">
        <f ca="1" t="shared" si="0"/>
        <v>0</v>
      </c>
      <c r="Q30" s="407"/>
      <c r="R30" s="407"/>
      <c r="S30" s="246">
        <v>0</v>
      </c>
      <c r="T30" s="246"/>
      <c r="U30" s="246"/>
      <c r="V30" s="246" t="str">
        <f ca="1">IF(职业选项!V72&gt;0,职业选项!V72,"")</f>
        <v/>
      </c>
      <c r="W30" s="246"/>
      <c r="X30" s="246"/>
      <c r="Y30" s="246" t="str">
        <f ca="1">规则数据!H36</f>
        <v/>
      </c>
      <c r="Z30" s="246"/>
      <c r="AA30" s="246"/>
      <c r="AB30" s="246">
        <f ca="1">幕间计算!B18+IF(AND(幕间计算!A18&lt;&gt;"",COUNTIF(幕间计算!$A$2:A18,幕间计算!A18)=1),SUMIF(幕间计算!$C$200:$C$1199,幕间计算!A18,幕间计算!$E$200:$E$1199),0)</f>
        <v>0</v>
      </c>
      <c r="AC30" s="246"/>
      <c r="AD30" s="408"/>
      <c r="AE30" s="409" t="s">
        <v>62</v>
      </c>
      <c r="AF30" s="405"/>
      <c r="AG30" s="439" t="s">
        <v>98</v>
      </c>
      <c r="AH30" s="440"/>
      <c r="AI30" s="440"/>
      <c r="AJ30" s="440"/>
      <c r="AK30" s="440"/>
      <c r="AL30" s="440"/>
      <c r="AM30" s="441"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441"/>
      <c r="AO30" s="441"/>
      <c r="AP30" s="441"/>
      <c r="AQ30" s="441"/>
      <c r="AR30" s="442"/>
      <c r="AS30" s="407">
        <f ca="1" t="shared" si="1"/>
        <v>0</v>
      </c>
      <c r="AT30" s="407"/>
      <c r="AU30" s="407"/>
      <c r="AV30" s="246">
        <v>0</v>
      </c>
      <c r="AW30" s="246"/>
      <c r="AX30" s="246"/>
      <c r="AY30" s="246" t="str">
        <f ca="1">IF(职业选项!V73&gt;0,职业选项!V73,"")</f>
        <v/>
      </c>
      <c r="AZ30" s="246"/>
      <c r="BA30" s="246"/>
      <c r="BB30" s="246" t="str">
        <f ca="1">规则数据!H66</f>
        <v/>
      </c>
      <c r="BC30" s="246"/>
      <c r="BD30" s="246"/>
      <c r="BE30" s="246">
        <f ca="1">幕间计算!B48+IF(AND(幕间计算!A48&lt;&gt;"",COUNTIF(幕间计算!$A$2:A48,幕间计算!A48)=1),SUMIF(幕间计算!$C$200:$C$1199,幕间计算!A48,幕间计算!$E$200:$E$1199),0)</f>
        <v>0</v>
      </c>
      <c r="BF30" s="246"/>
      <c r="BG30" s="410"/>
      <c r="BH30" s="493"/>
      <c r="BI30" s="502"/>
      <c r="BJ30" s="503"/>
      <c r="BK30" s="503"/>
      <c r="BL30" s="503"/>
      <c r="BM30" s="503"/>
      <c r="BN30" s="503"/>
      <c r="BO30" s="503"/>
      <c r="BP30" s="503"/>
      <c r="BQ30" s="503"/>
      <c r="BR30" s="503"/>
      <c r="BS30" s="503"/>
      <c r="BT30" s="503"/>
      <c r="BU30" s="503"/>
      <c r="BV30" s="503"/>
      <c r="BW30" s="503"/>
      <c r="BX30" s="503"/>
      <c r="BY30" s="503"/>
      <c r="BZ30" s="503"/>
      <c r="CA30" s="503"/>
      <c r="CB30" s="503"/>
      <c r="CC30" s="503"/>
      <c r="CD30" s="503"/>
      <c r="CE30" s="503"/>
      <c r="CF30" s="503"/>
      <c r="CG30" s="503"/>
      <c r="CH30" s="503"/>
      <c r="CI30" s="503"/>
      <c r="CJ30" s="503"/>
      <c r="CK30" s="503"/>
      <c r="CL30" s="503"/>
      <c r="CM30" s="503"/>
      <c r="CN30" s="503"/>
      <c r="CO30" s="503"/>
      <c r="CP30" s="503"/>
      <c r="CQ30" s="503"/>
      <c r="CR30" s="503"/>
      <c r="CS30" s="503"/>
      <c r="CT30" s="503"/>
      <c r="CU30" s="503"/>
      <c r="CV30" s="503"/>
      <c r="CW30" s="503"/>
      <c r="CX30" s="504"/>
      <c r="CY30" s="191"/>
      <c r="CZ30" s="475"/>
      <c r="DA30" s="476"/>
      <c r="DB30" s="476"/>
      <c r="DC30" s="476"/>
      <c r="DD30" s="476"/>
      <c r="DE30" s="476"/>
      <c r="DF30" s="476"/>
      <c r="DG30" s="476"/>
      <c r="DH30" s="476"/>
      <c r="DI30" s="476"/>
      <c r="DJ30" s="476"/>
      <c r="DK30" s="476"/>
      <c r="DL30" s="476"/>
      <c r="DM30" s="476"/>
      <c r="DN30" s="476"/>
      <c r="DO30" s="476"/>
      <c r="DP30" s="476"/>
      <c r="DQ30" s="476"/>
      <c r="DR30" s="476"/>
      <c r="DS30" s="476"/>
      <c r="DT30" s="476"/>
      <c r="DU30" s="476"/>
      <c r="DV30" s="476"/>
      <c r="DW30" s="476"/>
      <c r="DX30" s="476"/>
      <c r="DY30" s="476"/>
      <c r="DZ30" s="476"/>
      <c r="EA30" s="476"/>
      <c r="EB30" s="476"/>
      <c r="EC30" s="476"/>
      <c r="ED30" s="477">
        <f>IF(CZ29="","",幕间计算!BS1199)</f>
        <v>0</v>
      </c>
      <c r="EE30" s="478"/>
      <c r="EF30" s="416" t="s">
        <v>92</v>
      </c>
      <c r="EG30" s="479"/>
      <c r="EH30" s="191"/>
      <c r="EI30" s="472"/>
      <c r="EJ30" s="473"/>
      <c r="EK30" s="473"/>
      <c r="EL30" s="473"/>
      <c r="EM30" s="473"/>
      <c r="EN30" s="473"/>
      <c r="EO30" s="473"/>
      <c r="EP30" s="473"/>
      <c r="EQ30" s="473"/>
      <c r="ER30" s="473"/>
      <c r="ES30" s="473"/>
      <c r="ET30" s="473"/>
      <c r="EU30" s="473"/>
      <c r="EV30" s="473"/>
      <c r="EW30" s="473"/>
      <c r="EX30" s="473"/>
      <c r="EY30" s="474"/>
      <c r="EZ30" s="174"/>
    </row>
    <row r="31" customHeight="1" spans="1:156">
      <c r="A31" s="191"/>
      <c r="B31" s="404" t="s">
        <v>62</v>
      </c>
      <c r="C31" s="405"/>
      <c r="D31" s="406" t="s">
        <v>100</v>
      </c>
      <c r="E31" s="406"/>
      <c r="F31" s="406"/>
      <c r="G31" s="406"/>
      <c r="H31" s="406"/>
      <c r="I31" s="406"/>
      <c r="J31" s="406"/>
      <c r="K31" s="406"/>
      <c r="L31" s="406"/>
      <c r="M31" s="406"/>
      <c r="N31" s="406"/>
      <c r="O31" s="406"/>
      <c r="P31" s="407">
        <f ca="1" t="shared" si="0"/>
        <v>10</v>
      </c>
      <c r="Q31" s="407"/>
      <c r="R31" s="407"/>
      <c r="S31" s="246">
        <v>10</v>
      </c>
      <c r="T31" s="246"/>
      <c r="U31" s="246"/>
      <c r="V31" s="246" t="str">
        <f ca="1">IF(职业选项!V74&gt;0,职业选项!V74,"")</f>
        <v/>
      </c>
      <c r="W31" s="246"/>
      <c r="X31" s="246"/>
      <c r="Y31" s="246" t="str">
        <f ca="1">规则数据!H37</f>
        <v/>
      </c>
      <c r="Z31" s="246"/>
      <c r="AA31" s="246"/>
      <c r="AB31" s="246">
        <f ca="1">幕间计算!B19+IF(AND(幕间计算!A19&lt;&gt;"",COUNTIF(幕间计算!$A$2:A19,幕间计算!A19)=1),SUMIF(幕间计算!$C$200:$C$1199,幕间计算!A19,幕间计算!$E$200:$E$1199),0)</f>
        <v>0</v>
      </c>
      <c r="AC31" s="246"/>
      <c r="AD31" s="408"/>
      <c r="AE31" s="409" t="s">
        <v>62</v>
      </c>
      <c r="AF31" s="405"/>
      <c r="AG31" s="429" t="s">
        <v>98</v>
      </c>
      <c r="AH31" s="430"/>
      <c r="AI31" s="430"/>
      <c r="AJ31" s="430"/>
      <c r="AK31" s="430"/>
      <c r="AL31" s="430"/>
      <c r="AM31" s="431"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431"/>
      <c r="AO31" s="431"/>
      <c r="AP31" s="431"/>
      <c r="AQ31" s="431"/>
      <c r="AR31" s="432"/>
      <c r="AS31" s="407">
        <f ca="1" t="shared" si="1"/>
        <v>0</v>
      </c>
      <c r="AT31" s="407"/>
      <c r="AU31" s="407"/>
      <c r="AV31" s="246">
        <v>0</v>
      </c>
      <c r="AW31" s="246"/>
      <c r="AX31" s="246"/>
      <c r="AY31" s="246" t="str">
        <f ca="1">IF(职业选项!V75&gt;0,职业选项!V75,"")</f>
        <v/>
      </c>
      <c r="AZ31" s="246"/>
      <c r="BA31" s="246"/>
      <c r="BB31" s="246" t="str">
        <f ca="1">规则数据!H67</f>
        <v/>
      </c>
      <c r="BC31" s="246"/>
      <c r="BD31" s="246"/>
      <c r="BE31" s="246">
        <f ca="1">幕间计算!B49+IF(AND(幕间计算!A49&lt;&gt;"",COUNTIF(幕间计算!$A$2:A49,幕间计算!A49)=1),SUMIF(幕间计算!$C$200:$C$1199,幕间计算!A49,幕间计算!$E$200:$E$1199),0)</f>
        <v>0</v>
      </c>
      <c r="BF31" s="246"/>
      <c r="BG31" s="410"/>
      <c r="BH31" s="493"/>
      <c r="BI31" s="502"/>
      <c r="BJ31" s="503"/>
      <c r="BK31" s="503"/>
      <c r="BL31" s="503"/>
      <c r="BM31" s="503"/>
      <c r="BN31" s="503"/>
      <c r="BO31" s="503"/>
      <c r="BP31" s="503"/>
      <c r="BQ31" s="503"/>
      <c r="BR31" s="503"/>
      <c r="BS31" s="503"/>
      <c r="BT31" s="503"/>
      <c r="BU31" s="503"/>
      <c r="BV31" s="503"/>
      <c r="BW31" s="503"/>
      <c r="BX31" s="503"/>
      <c r="BY31" s="503"/>
      <c r="BZ31" s="503"/>
      <c r="CA31" s="503"/>
      <c r="CB31" s="503"/>
      <c r="CC31" s="503"/>
      <c r="CD31" s="503"/>
      <c r="CE31" s="503"/>
      <c r="CF31" s="503"/>
      <c r="CG31" s="503"/>
      <c r="CH31" s="503"/>
      <c r="CI31" s="503"/>
      <c r="CJ31" s="503"/>
      <c r="CK31" s="503"/>
      <c r="CL31" s="503"/>
      <c r="CM31" s="503"/>
      <c r="CN31" s="503"/>
      <c r="CO31" s="503"/>
      <c r="CP31" s="503"/>
      <c r="CQ31" s="503"/>
      <c r="CR31" s="503"/>
      <c r="CS31" s="503"/>
      <c r="CT31" s="503"/>
      <c r="CU31" s="503"/>
      <c r="CV31" s="503"/>
      <c r="CW31" s="503"/>
      <c r="CX31" s="504"/>
      <c r="CY31" s="191"/>
      <c r="CZ31" s="475"/>
      <c r="DA31" s="476"/>
      <c r="DB31" s="476"/>
      <c r="DC31" s="476"/>
      <c r="DD31" s="476"/>
      <c r="DE31" s="476"/>
      <c r="DF31" s="476"/>
      <c r="DG31" s="476"/>
      <c r="DH31" s="476"/>
      <c r="DI31" s="476"/>
      <c r="DJ31" s="476"/>
      <c r="DK31" s="476"/>
      <c r="DL31" s="476"/>
      <c r="DM31" s="476"/>
      <c r="DN31" s="476"/>
      <c r="DO31" s="476"/>
      <c r="DP31" s="476"/>
      <c r="DQ31" s="476"/>
      <c r="DR31" s="476"/>
      <c r="DS31" s="476"/>
      <c r="DT31" s="476"/>
      <c r="DU31" s="476"/>
      <c r="DV31" s="476"/>
      <c r="DW31" s="476"/>
      <c r="DX31" s="476"/>
      <c r="DY31" s="476"/>
      <c r="DZ31" s="476"/>
      <c r="EA31" s="476"/>
      <c r="EB31" s="476"/>
      <c r="EC31" s="476"/>
      <c r="ED31" s="484"/>
      <c r="EE31" s="485"/>
      <c r="EF31" s="416"/>
      <c r="EG31" s="479"/>
      <c r="EH31" s="191"/>
      <c r="EI31" s="472"/>
      <c r="EJ31" s="473"/>
      <c r="EK31" s="473"/>
      <c r="EL31" s="473"/>
      <c r="EM31" s="473"/>
      <c r="EN31" s="473"/>
      <c r="EO31" s="473"/>
      <c r="EP31" s="473"/>
      <c r="EQ31" s="473"/>
      <c r="ER31" s="473"/>
      <c r="ES31" s="473"/>
      <c r="ET31" s="473"/>
      <c r="EU31" s="473"/>
      <c r="EV31" s="473"/>
      <c r="EW31" s="473"/>
      <c r="EX31" s="473"/>
      <c r="EY31" s="474"/>
      <c r="EZ31" s="174"/>
    </row>
    <row r="32" customHeight="1" spans="1:156">
      <c r="A32" s="191"/>
      <c r="B32" s="404" t="s">
        <v>62</v>
      </c>
      <c r="C32" s="405"/>
      <c r="D32" s="406" t="s">
        <v>101</v>
      </c>
      <c r="E32" s="406"/>
      <c r="F32" s="406"/>
      <c r="G32" s="406"/>
      <c r="H32" s="406"/>
      <c r="I32" s="406"/>
      <c r="J32" s="406"/>
      <c r="K32" s="406"/>
      <c r="L32" s="406"/>
      <c r="M32" s="406"/>
      <c r="N32" s="406"/>
      <c r="O32" s="406"/>
      <c r="P32" s="407">
        <f ca="1" t="shared" si="0"/>
        <v>30</v>
      </c>
      <c r="Q32" s="407"/>
      <c r="R32" s="407"/>
      <c r="S32" s="246">
        <v>30</v>
      </c>
      <c r="T32" s="246"/>
      <c r="U32" s="246"/>
      <c r="V32" s="246" t="str">
        <f ca="1">IF(职业选项!V76&gt;0,职业选项!V76,"")</f>
        <v/>
      </c>
      <c r="W32" s="246"/>
      <c r="X32" s="246"/>
      <c r="Y32" s="246" t="str">
        <f ca="1">规则数据!H38</f>
        <v/>
      </c>
      <c r="Z32" s="246"/>
      <c r="AA32" s="246"/>
      <c r="AB32" s="246">
        <f ca="1">幕间计算!B20+IF(AND(幕间计算!A20&lt;&gt;"",COUNTIF(幕间计算!$A$2:A20,幕间计算!A20)=1),SUMIF(幕间计算!$C$200:$C$1199,幕间计算!A20,幕间计算!$E$200:$E$1199),0)</f>
        <v>0</v>
      </c>
      <c r="AC32" s="246"/>
      <c r="AD32" s="408"/>
      <c r="AE32" s="409" t="s">
        <v>62</v>
      </c>
      <c r="AF32" s="405"/>
      <c r="AG32" s="406" t="s">
        <v>102</v>
      </c>
      <c r="AH32" s="406"/>
      <c r="AI32" s="406"/>
      <c r="AJ32" s="406"/>
      <c r="AK32" s="406"/>
      <c r="AL32" s="406"/>
      <c r="AM32" s="406"/>
      <c r="AN32" s="406"/>
      <c r="AO32" s="406"/>
      <c r="AP32" s="406"/>
      <c r="AQ32" s="406"/>
      <c r="AR32" s="406"/>
      <c r="AS32" s="407">
        <f ca="1" t="shared" si="1"/>
        <v>20</v>
      </c>
      <c r="AT32" s="407"/>
      <c r="AU32" s="407"/>
      <c r="AV32" s="246">
        <v>20</v>
      </c>
      <c r="AW32" s="246"/>
      <c r="AX32" s="246"/>
      <c r="AY32" s="246" t="str">
        <f ca="1">IF(职业选项!V77&gt;0,职业选项!V77,"")</f>
        <v/>
      </c>
      <c r="AZ32" s="246"/>
      <c r="BA32" s="246"/>
      <c r="BB32" s="246" t="str">
        <f ca="1">规则数据!H68</f>
        <v/>
      </c>
      <c r="BC32" s="246"/>
      <c r="BD32" s="246"/>
      <c r="BE32" s="246">
        <f ca="1">幕间计算!B50+IF(AND(幕间计算!A50&lt;&gt;"",COUNTIF(幕间计算!$A$2:A50,幕间计算!A50)=1),SUMIF(幕间计算!$C$200:$C$1199,幕间计算!A50,幕间计算!$E$200:$E$1199),0)</f>
        <v>0</v>
      </c>
      <c r="BF32" s="246"/>
      <c r="BG32" s="410"/>
      <c r="BH32" s="493"/>
      <c r="BI32" s="502"/>
      <c r="BJ32" s="503"/>
      <c r="BK32" s="503"/>
      <c r="BL32" s="503"/>
      <c r="BM32" s="503"/>
      <c r="BN32" s="503"/>
      <c r="BO32" s="503"/>
      <c r="BP32" s="503"/>
      <c r="BQ32" s="503"/>
      <c r="BR32" s="503"/>
      <c r="BS32" s="503"/>
      <c r="BT32" s="503"/>
      <c r="BU32" s="503"/>
      <c r="BV32" s="503"/>
      <c r="BW32" s="503"/>
      <c r="BX32" s="503"/>
      <c r="BY32" s="503"/>
      <c r="BZ32" s="503"/>
      <c r="CA32" s="503"/>
      <c r="CB32" s="503"/>
      <c r="CC32" s="503"/>
      <c r="CD32" s="503"/>
      <c r="CE32" s="503"/>
      <c r="CF32" s="503"/>
      <c r="CG32" s="503"/>
      <c r="CH32" s="503"/>
      <c r="CI32" s="503"/>
      <c r="CJ32" s="503"/>
      <c r="CK32" s="503"/>
      <c r="CL32" s="503"/>
      <c r="CM32" s="503"/>
      <c r="CN32" s="503"/>
      <c r="CO32" s="503"/>
      <c r="CP32" s="503"/>
      <c r="CQ32" s="503"/>
      <c r="CR32" s="503"/>
      <c r="CS32" s="503"/>
      <c r="CT32" s="503"/>
      <c r="CU32" s="503"/>
      <c r="CV32" s="503"/>
      <c r="CW32" s="503"/>
      <c r="CX32" s="504"/>
      <c r="CY32" s="191"/>
      <c r="CZ32" s="475"/>
      <c r="DA32" s="476"/>
      <c r="DB32" s="476"/>
      <c r="DC32" s="476"/>
      <c r="DD32" s="476"/>
      <c r="DE32" s="476"/>
      <c r="DF32" s="476"/>
      <c r="DG32" s="476"/>
      <c r="DH32" s="476"/>
      <c r="DI32" s="476"/>
      <c r="DJ32" s="476"/>
      <c r="DK32" s="476"/>
      <c r="DL32" s="476"/>
      <c r="DM32" s="476"/>
      <c r="DN32" s="476"/>
      <c r="DO32" s="476"/>
      <c r="DP32" s="476"/>
      <c r="DQ32" s="476"/>
      <c r="DR32" s="476"/>
      <c r="DS32" s="476"/>
      <c r="DT32" s="476"/>
      <c r="DU32" s="476"/>
      <c r="DV32" s="476"/>
      <c r="DW32" s="476"/>
      <c r="DX32" s="476"/>
      <c r="DY32" s="476"/>
      <c r="DZ32" s="476"/>
      <c r="EA32" s="476"/>
      <c r="EB32" s="476"/>
      <c r="EC32" s="476"/>
      <c r="ED32" s="235" t="s">
        <v>88</v>
      </c>
      <c r="EE32" s="235"/>
      <c r="EF32" s="235" t="s">
        <v>89</v>
      </c>
      <c r="EG32" s="489"/>
      <c r="EH32" s="191"/>
      <c r="EI32" s="472"/>
      <c r="EJ32" s="473"/>
      <c r="EK32" s="473"/>
      <c r="EL32" s="473"/>
      <c r="EM32" s="473"/>
      <c r="EN32" s="473"/>
      <c r="EO32" s="473"/>
      <c r="EP32" s="473"/>
      <c r="EQ32" s="473"/>
      <c r="ER32" s="473"/>
      <c r="ES32" s="473"/>
      <c r="ET32" s="473"/>
      <c r="EU32" s="473"/>
      <c r="EV32" s="473"/>
      <c r="EW32" s="473"/>
      <c r="EX32" s="473"/>
      <c r="EY32" s="474"/>
      <c r="EZ32" s="174"/>
    </row>
    <row r="33" customHeight="1" spans="1:156">
      <c r="A33" s="191"/>
      <c r="B33" s="404" t="s">
        <v>62</v>
      </c>
      <c r="C33" s="405"/>
      <c r="D33" s="406" t="s">
        <v>103</v>
      </c>
      <c r="E33" s="406"/>
      <c r="F33" s="406"/>
      <c r="G33" s="406"/>
      <c r="H33" s="406"/>
      <c r="I33" s="406"/>
      <c r="J33" s="406"/>
      <c r="K33" s="406"/>
      <c r="L33" s="406"/>
      <c r="M33" s="406"/>
      <c r="N33" s="406"/>
      <c r="O33" s="406"/>
      <c r="P33" s="407">
        <f ca="1" t="shared" si="0"/>
        <v>20</v>
      </c>
      <c r="Q33" s="407"/>
      <c r="R33" s="407"/>
      <c r="S33" s="246">
        <v>20</v>
      </c>
      <c r="T33" s="246"/>
      <c r="U33" s="246"/>
      <c r="V33" s="246" t="str">
        <f ca="1">IF(职业选项!V78&gt;0,职业选项!V78,"")</f>
        <v/>
      </c>
      <c r="W33" s="246"/>
      <c r="X33" s="246"/>
      <c r="Y33" s="246" t="str">
        <f ca="1">规则数据!H39</f>
        <v/>
      </c>
      <c r="Z33" s="246"/>
      <c r="AA33" s="246"/>
      <c r="AB33" s="246">
        <f ca="1">幕间计算!B21+IF(AND(幕间计算!A21&lt;&gt;"",COUNTIF(幕间计算!$A$2:A21,幕间计算!A21)=1),SUMIF(幕间计算!$C$200:$C$1199,幕间计算!A21,幕间计算!$E$200:$E$1199),0)</f>
        <v>0</v>
      </c>
      <c r="AC33" s="246"/>
      <c r="AD33" s="408"/>
      <c r="AE33" s="409" t="s">
        <v>62</v>
      </c>
      <c r="AF33" s="405"/>
      <c r="AG33" s="406" t="s">
        <v>104</v>
      </c>
      <c r="AH33" s="406"/>
      <c r="AI33" s="406"/>
      <c r="AJ33" s="406"/>
      <c r="AK33" s="406"/>
      <c r="AL33" s="406"/>
      <c r="AM33" s="406"/>
      <c r="AN33" s="406"/>
      <c r="AO33" s="406"/>
      <c r="AP33" s="406"/>
      <c r="AQ33" s="406"/>
      <c r="AR33" s="406"/>
      <c r="AS33" s="407">
        <f ca="1" t="shared" si="1"/>
        <v>0</v>
      </c>
      <c r="AT33" s="407"/>
      <c r="AU33" s="407"/>
      <c r="AV33" s="246">
        <v>0</v>
      </c>
      <c r="AW33" s="246"/>
      <c r="AX33" s="246"/>
      <c r="AY33" s="246" t="str">
        <f ca="1">IF(职业选项!V79&gt;0,职业选项!V79,"")</f>
        <v/>
      </c>
      <c r="AZ33" s="246"/>
      <c r="BA33" s="246"/>
      <c r="BB33" s="246" t="str">
        <f ca="1">规则数据!H69</f>
        <v/>
      </c>
      <c r="BC33" s="246"/>
      <c r="BD33" s="246"/>
      <c r="BE33" s="246">
        <f ca="1">幕间计算!B51+IF(AND(幕间计算!A51&lt;&gt;"",COUNTIF(幕间计算!$A$2:A51,幕间计算!A51)=1),SUMIF(幕间计算!$C$200:$C$1199,幕间计算!A51,幕间计算!$E$200:$E$1199),0)</f>
        <v>0</v>
      </c>
      <c r="BF33" s="246"/>
      <c r="BG33" s="410"/>
      <c r="BH33" s="493"/>
      <c r="BI33" s="502"/>
      <c r="BJ33" s="503"/>
      <c r="BK33" s="503"/>
      <c r="BL33" s="503"/>
      <c r="BM33" s="503"/>
      <c r="BN33" s="503"/>
      <c r="BO33" s="503"/>
      <c r="BP33" s="503"/>
      <c r="BQ33" s="503"/>
      <c r="BR33" s="503"/>
      <c r="BS33" s="503"/>
      <c r="BT33" s="503"/>
      <c r="BU33" s="503"/>
      <c r="BV33" s="503"/>
      <c r="BW33" s="503"/>
      <c r="BX33" s="503"/>
      <c r="BY33" s="503"/>
      <c r="BZ33" s="503"/>
      <c r="CA33" s="503"/>
      <c r="CB33" s="503"/>
      <c r="CC33" s="503"/>
      <c r="CD33" s="503"/>
      <c r="CE33" s="503"/>
      <c r="CF33" s="503"/>
      <c r="CG33" s="503"/>
      <c r="CH33" s="503"/>
      <c r="CI33" s="503"/>
      <c r="CJ33" s="503"/>
      <c r="CK33" s="503"/>
      <c r="CL33" s="503"/>
      <c r="CM33" s="503"/>
      <c r="CN33" s="503"/>
      <c r="CO33" s="503"/>
      <c r="CP33" s="503"/>
      <c r="CQ33" s="503"/>
      <c r="CR33" s="503"/>
      <c r="CS33" s="503"/>
      <c r="CT33" s="503"/>
      <c r="CU33" s="503"/>
      <c r="CV33" s="503"/>
      <c r="CW33" s="503"/>
      <c r="CX33" s="504"/>
      <c r="CY33" s="191"/>
      <c r="CZ33" s="475"/>
      <c r="DA33" s="476"/>
      <c r="DB33" s="476"/>
      <c r="DC33" s="476"/>
      <c r="DD33" s="476"/>
      <c r="DE33" s="476"/>
      <c r="DF33" s="476"/>
      <c r="DG33" s="476"/>
      <c r="DH33" s="476"/>
      <c r="DI33" s="476"/>
      <c r="DJ33" s="476"/>
      <c r="DK33" s="476"/>
      <c r="DL33" s="476"/>
      <c r="DM33" s="476"/>
      <c r="DN33" s="476"/>
      <c r="DO33" s="476"/>
      <c r="DP33" s="476"/>
      <c r="DQ33" s="476"/>
      <c r="DR33" s="476"/>
      <c r="DS33" s="476"/>
      <c r="DT33" s="476"/>
      <c r="DU33" s="476"/>
      <c r="DV33" s="476"/>
      <c r="DW33" s="476"/>
      <c r="DX33" s="476"/>
      <c r="DY33" s="476"/>
      <c r="DZ33" s="476"/>
      <c r="EA33" s="476"/>
      <c r="EB33" s="476"/>
      <c r="EC33" s="476"/>
      <c r="ED33" s="477" t="str">
        <f>IF(CZ32="","",幕间计算!BT1199)</f>
        <v/>
      </c>
      <c r="EE33" s="478"/>
      <c r="EF33" s="416" t="s">
        <v>92</v>
      </c>
      <c r="EG33" s="479"/>
      <c r="EH33" s="191"/>
      <c r="EI33" s="472"/>
      <c r="EJ33" s="473"/>
      <c r="EK33" s="473"/>
      <c r="EL33" s="473"/>
      <c r="EM33" s="473"/>
      <c r="EN33" s="473"/>
      <c r="EO33" s="473"/>
      <c r="EP33" s="473"/>
      <c r="EQ33" s="473"/>
      <c r="ER33" s="473"/>
      <c r="ES33" s="473"/>
      <c r="ET33" s="473"/>
      <c r="EU33" s="473"/>
      <c r="EV33" s="473"/>
      <c r="EW33" s="473"/>
      <c r="EX33" s="473"/>
      <c r="EY33" s="474"/>
      <c r="EZ33" s="174"/>
    </row>
    <row r="34" customHeight="1" spans="1:156">
      <c r="A34" s="191"/>
      <c r="B34" s="404" t="s">
        <v>62</v>
      </c>
      <c r="C34" s="405"/>
      <c r="D34" s="406" t="s">
        <v>105</v>
      </c>
      <c r="E34" s="406"/>
      <c r="F34" s="406"/>
      <c r="G34" s="406"/>
      <c r="H34" s="406"/>
      <c r="I34" s="406"/>
      <c r="J34" s="406"/>
      <c r="K34" s="406"/>
      <c r="L34" s="406"/>
      <c r="M34" s="406"/>
      <c r="N34" s="406"/>
      <c r="O34" s="406"/>
      <c r="P34" s="407">
        <f ca="1" t="shared" si="0"/>
        <v>20</v>
      </c>
      <c r="Q34" s="407"/>
      <c r="R34" s="407"/>
      <c r="S34" s="246">
        <v>20</v>
      </c>
      <c r="T34" s="246"/>
      <c r="U34" s="246"/>
      <c r="V34" s="246" t="str">
        <f ca="1">IF(职业选项!V80&gt;0,职业选项!V80,"")</f>
        <v/>
      </c>
      <c r="W34" s="246"/>
      <c r="X34" s="246"/>
      <c r="Y34" s="246" t="str">
        <f ca="1">规则数据!H40</f>
        <v/>
      </c>
      <c r="Z34" s="246"/>
      <c r="AA34" s="246"/>
      <c r="AB34" s="246">
        <f ca="1">幕间计算!B22+IF(AND(幕间计算!A22&lt;&gt;"",COUNTIF(幕间计算!$A$2:A22,幕间计算!A22)=1),SUMIF(幕间计算!$C$200:$C$1199,幕间计算!A22,幕间计算!$E$200:$E$1199),0)</f>
        <v>0</v>
      </c>
      <c r="AC34" s="246"/>
      <c r="AD34" s="408"/>
      <c r="AE34" s="409" t="s">
        <v>62</v>
      </c>
      <c r="AF34" s="405"/>
      <c r="AG34" s="406" t="s">
        <v>106</v>
      </c>
      <c r="AH34" s="406"/>
      <c r="AI34" s="406"/>
      <c r="AJ34" s="406"/>
      <c r="AK34" s="406"/>
      <c r="AL34" s="406"/>
      <c r="AM34" s="406"/>
      <c r="AN34" s="406"/>
      <c r="AO34" s="406"/>
      <c r="AP34" s="406"/>
      <c r="AQ34" s="406"/>
      <c r="AR34" s="406"/>
      <c r="AS34" s="407">
        <f ca="1" t="shared" si="1"/>
        <v>10</v>
      </c>
      <c r="AT34" s="407"/>
      <c r="AU34" s="407"/>
      <c r="AV34" s="246">
        <v>10</v>
      </c>
      <c r="AW34" s="246"/>
      <c r="AX34" s="246"/>
      <c r="AY34" s="246" t="str">
        <f ca="1">IF(职业选项!V81&gt;0,职业选项!V81,"")</f>
        <v/>
      </c>
      <c r="AZ34" s="246"/>
      <c r="BA34" s="246"/>
      <c r="BB34" s="246" t="str">
        <f ca="1">规则数据!H70</f>
        <v/>
      </c>
      <c r="BC34" s="246"/>
      <c r="BD34" s="246"/>
      <c r="BE34" s="246">
        <f ca="1">幕间计算!B52+IF(AND(幕间计算!A52&lt;&gt;"",COUNTIF(幕间计算!$A$2:A52,幕间计算!A52)=1),SUMIF(幕间计算!$C$200:$C$1199,幕间计算!A52,幕间计算!$E$200:$E$1199),0)</f>
        <v>0</v>
      </c>
      <c r="BF34" s="246"/>
      <c r="BG34" s="410"/>
      <c r="BH34" s="493"/>
      <c r="BI34" s="502"/>
      <c r="BJ34" s="503"/>
      <c r="BK34" s="503"/>
      <c r="BL34" s="503"/>
      <c r="BM34" s="503"/>
      <c r="BN34" s="503"/>
      <c r="BO34" s="503"/>
      <c r="BP34" s="503"/>
      <c r="BQ34" s="503"/>
      <c r="BR34" s="503"/>
      <c r="BS34" s="503"/>
      <c r="BT34" s="503"/>
      <c r="BU34" s="503"/>
      <c r="BV34" s="503"/>
      <c r="BW34" s="503"/>
      <c r="BX34" s="503"/>
      <c r="BY34" s="503"/>
      <c r="BZ34" s="503"/>
      <c r="CA34" s="503"/>
      <c r="CB34" s="503"/>
      <c r="CC34" s="503"/>
      <c r="CD34" s="503"/>
      <c r="CE34" s="503"/>
      <c r="CF34" s="503"/>
      <c r="CG34" s="503"/>
      <c r="CH34" s="503"/>
      <c r="CI34" s="503"/>
      <c r="CJ34" s="503"/>
      <c r="CK34" s="503"/>
      <c r="CL34" s="503"/>
      <c r="CM34" s="503"/>
      <c r="CN34" s="503"/>
      <c r="CO34" s="503"/>
      <c r="CP34" s="503"/>
      <c r="CQ34" s="503"/>
      <c r="CR34" s="503"/>
      <c r="CS34" s="503"/>
      <c r="CT34" s="503"/>
      <c r="CU34" s="503"/>
      <c r="CV34" s="503"/>
      <c r="CW34" s="503"/>
      <c r="CX34" s="504"/>
      <c r="CY34" s="191"/>
      <c r="CZ34" s="475"/>
      <c r="DA34" s="476"/>
      <c r="DB34" s="476"/>
      <c r="DC34" s="476"/>
      <c r="DD34" s="476"/>
      <c r="DE34" s="476"/>
      <c r="DF34" s="476"/>
      <c r="DG34" s="476"/>
      <c r="DH34" s="476"/>
      <c r="DI34" s="476"/>
      <c r="DJ34" s="476"/>
      <c r="DK34" s="476"/>
      <c r="DL34" s="476"/>
      <c r="DM34" s="476"/>
      <c r="DN34" s="476"/>
      <c r="DO34" s="476"/>
      <c r="DP34" s="476"/>
      <c r="DQ34" s="476"/>
      <c r="DR34" s="476"/>
      <c r="DS34" s="476"/>
      <c r="DT34" s="476"/>
      <c r="DU34" s="476"/>
      <c r="DV34" s="476"/>
      <c r="DW34" s="476"/>
      <c r="DX34" s="476"/>
      <c r="DY34" s="476"/>
      <c r="DZ34" s="476"/>
      <c r="EA34" s="476"/>
      <c r="EB34" s="476"/>
      <c r="EC34" s="476"/>
      <c r="ED34" s="484"/>
      <c r="EE34" s="485"/>
      <c r="EF34" s="416"/>
      <c r="EG34" s="479"/>
      <c r="EH34" s="191"/>
      <c r="EI34" s="472"/>
      <c r="EJ34" s="473"/>
      <c r="EK34" s="473"/>
      <c r="EL34" s="473"/>
      <c r="EM34" s="473"/>
      <c r="EN34" s="473"/>
      <c r="EO34" s="473"/>
      <c r="EP34" s="473"/>
      <c r="EQ34" s="473"/>
      <c r="ER34" s="473"/>
      <c r="ES34" s="473"/>
      <c r="ET34" s="473"/>
      <c r="EU34" s="473"/>
      <c r="EV34" s="473"/>
      <c r="EW34" s="473"/>
      <c r="EX34" s="473"/>
      <c r="EY34" s="474"/>
      <c r="EZ34" s="174"/>
    </row>
    <row r="35" customHeight="1" spans="1:156">
      <c r="A35" s="191"/>
      <c r="B35" s="404" t="s">
        <v>62</v>
      </c>
      <c r="C35" s="405"/>
      <c r="D35" s="406" t="s">
        <v>107</v>
      </c>
      <c r="E35" s="406"/>
      <c r="F35" s="406"/>
      <c r="G35" s="406"/>
      <c r="H35" s="406"/>
      <c r="I35" s="406"/>
      <c r="J35" s="406"/>
      <c r="K35" s="406"/>
      <c r="L35" s="406"/>
      <c r="M35" s="406"/>
      <c r="N35" s="406"/>
      <c r="O35" s="406"/>
      <c r="P35" s="407">
        <f ca="1" t="shared" si="0"/>
        <v>10</v>
      </c>
      <c r="Q35" s="407"/>
      <c r="R35" s="407"/>
      <c r="S35" s="246">
        <v>10</v>
      </c>
      <c r="T35" s="246"/>
      <c r="U35" s="246"/>
      <c r="V35" s="246" t="str">
        <f ca="1">IF(职业选项!V82&gt;0,职业选项!V82,"")</f>
        <v/>
      </c>
      <c r="W35" s="246"/>
      <c r="X35" s="246"/>
      <c r="Y35" s="246" t="str">
        <f ca="1">规则数据!H41</f>
        <v/>
      </c>
      <c r="Z35" s="246"/>
      <c r="AA35" s="246"/>
      <c r="AB35" s="246">
        <f ca="1">幕间计算!B23+IF(AND(幕间计算!A23&lt;&gt;"",COUNTIF(幕间计算!$A$2:A23,幕间计算!A23)=1),SUMIF(幕间计算!$C$200:$C$1199,幕间计算!A23,幕间计算!$E$200:$E$1199),0)</f>
        <v>0</v>
      </c>
      <c r="AC35" s="246"/>
      <c r="AD35" s="408"/>
      <c r="AE35" s="409" t="s">
        <v>62</v>
      </c>
      <c r="AF35" s="405"/>
      <c r="AG35" s="406" t="s">
        <v>108</v>
      </c>
      <c r="AH35" s="406"/>
      <c r="AI35" s="406"/>
      <c r="AJ35" s="406"/>
      <c r="AK35" s="406"/>
      <c r="AL35" s="406"/>
      <c r="AM35" s="406"/>
      <c r="AN35" s="406"/>
      <c r="AO35" s="406"/>
      <c r="AP35" s="406"/>
      <c r="AQ35" s="406"/>
      <c r="AR35" s="406"/>
      <c r="AS35" s="407">
        <f ca="1" t="shared" si="1"/>
        <v>0</v>
      </c>
      <c r="AT35" s="407"/>
      <c r="AU35" s="407"/>
      <c r="AV35" s="246">
        <v>0</v>
      </c>
      <c r="AW35" s="246"/>
      <c r="AX35" s="246"/>
      <c r="AY35" s="246" t="str">
        <f ca="1">IF(职业选项!V83&gt;0,职业选项!V83,"")</f>
        <v/>
      </c>
      <c r="AZ35" s="246"/>
      <c r="BA35" s="246"/>
      <c r="BB35" s="246" t="str">
        <f ca="1">规则数据!H71</f>
        <v/>
      </c>
      <c r="BC35" s="246"/>
      <c r="BD35" s="246"/>
      <c r="BE35" s="246">
        <f ca="1">幕间计算!B53+IF(AND(幕间计算!A53&lt;&gt;"",COUNTIF(幕间计算!$A$2:A53,幕间计算!A53)=1),SUMIF(幕间计算!$C$200:$C$1199,幕间计算!A53,幕间计算!$E$200:$E$1199),0)</f>
        <v>0</v>
      </c>
      <c r="BF35" s="246"/>
      <c r="BG35" s="410"/>
      <c r="BH35" s="493"/>
      <c r="BI35" s="502"/>
      <c r="BJ35" s="503"/>
      <c r="BK35" s="503"/>
      <c r="BL35" s="503"/>
      <c r="BM35" s="503"/>
      <c r="BN35" s="503"/>
      <c r="BO35" s="503"/>
      <c r="BP35" s="503"/>
      <c r="BQ35" s="503"/>
      <c r="BR35" s="503"/>
      <c r="BS35" s="503"/>
      <c r="BT35" s="503"/>
      <c r="BU35" s="503"/>
      <c r="BV35" s="503"/>
      <c r="BW35" s="503"/>
      <c r="BX35" s="503"/>
      <c r="BY35" s="503"/>
      <c r="BZ35" s="503"/>
      <c r="CA35" s="503"/>
      <c r="CB35" s="503"/>
      <c r="CC35" s="503"/>
      <c r="CD35" s="503"/>
      <c r="CE35" s="503"/>
      <c r="CF35" s="503"/>
      <c r="CG35" s="503"/>
      <c r="CH35" s="503"/>
      <c r="CI35" s="503"/>
      <c r="CJ35" s="503"/>
      <c r="CK35" s="503"/>
      <c r="CL35" s="503"/>
      <c r="CM35" s="503"/>
      <c r="CN35" s="503"/>
      <c r="CO35" s="503"/>
      <c r="CP35" s="503"/>
      <c r="CQ35" s="503"/>
      <c r="CR35" s="503"/>
      <c r="CS35" s="503"/>
      <c r="CT35" s="503"/>
      <c r="CU35" s="503"/>
      <c r="CV35" s="503"/>
      <c r="CW35" s="503"/>
      <c r="CX35" s="504"/>
      <c r="CY35" s="191"/>
      <c r="CZ35" s="475"/>
      <c r="DA35" s="476"/>
      <c r="DB35" s="476"/>
      <c r="DC35" s="476"/>
      <c r="DD35" s="476"/>
      <c r="DE35" s="476"/>
      <c r="DF35" s="476"/>
      <c r="DG35" s="476"/>
      <c r="DH35" s="476"/>
      <c r="DI35" s="476"/>
      <c r="DJ35" s="476"/>
      <c r="DK35" s="476"/>
      <c r="DL35" s="476"/>
      <c r="DM35" s="476"/>
      <c r="DN35" s="476"/>
      <c r="DO35" s="476"/>
      <c r="DP35" s="476"/>
      <c r="DQ35" s="476"/>
      <c r="DR35" s="476"/>
      <c r="DS35" s="476"/>
      <c r="DT35" s="476"/>
      <c r="DU35" s="476"/>
      <c r="DV35" s="476"/>
      <c r="DW35" s="476"/>
      <c r="DX35" s="476"/>
      <c r="DY35" s="476"/>
      <c r="DZ35" s="476"/>
      <c r="EA35" s="476"/>
      <c r="EB35" s="476"/>
      <c r="EC35" s="476"/>
      <c r="ED35" s="235" t="s">
        <v>88</v>
      </c>
      <c r="EE35" s="235"/>
      <c r="EF35" s="235" t="s">
        <v>89</v>
      </c>
      <c r="EG35" s="489"/>
      <c r="EH35" s="191"/>
      <c r="EI35" s="472"/>
      <c r="EJ35" s="473"/>
      <c r="EK35" s="473"/>
      <c r="EL35" s="473"/>
      <c r="EM35" s="473"/>
      <c r="EN35" s="473"/>
      <c r="EO35" s="473"/>
      <c r="EP35" s="473"/>
      <c r="EQ35" s="473"/>
      <c r="ER35" s="473"/>
      <c r="ES35" s="473"/>
      <c r="ET35" s="473"/>
      <c r="EU35" s="473"/>
      <c r="EV35" s="473"/>
      <c r="EW35" s="473"/>
      <c r="EX35" s="473"/>
      <c r="EY35" s="474"/>
      <c r="EZ35" s="174"/>
    </row>
    <row r="36" customHeight="1" spans="1:156">
      <c r="A36" s="191"/>
      <c r="B36" s="404" t="s">
        <v>62</v>
      </c>
      <c r="C36" s="405"/>
      <c r="D36" s="439" t="s">
        <v>109</v>
      </c>
      <c r="E36" s="440"/>
      <c r="F36" s="440"/>
      <c r="G36" s="440"/>
      <c r="H36" s="440"/>
      <c r="I36" s="440"/>
      <c r="J36" s="441" t="str">
        <f ca="1">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441"/>
      <c r="L36" s="441"/>
      <c r="M36" s="441"/>
      <c r="N36" s="441"/>
      <c r="O36" s="442"/>
      <c r="P36" s="407">
        <f ca="1" t="shared" si="0"/>
        <v>0</v>
      </c>
      <c r="Q36" s="407"/>
      <c r="R36" s="407"/>
      <c r="S36" s="246">
        <v>0</v>
      </c>
      <c r="T36" s="246"/>
      <c r="U36" s="246"/>
      <c r="V36" s="246" t="str">
        <f ca="1">IF(职业选项!V84&gt;0,职业选项!V84,"")</f>
        <v/>
      </c>
      <c r="W36" s="246"/>
      <c r="X36" s="246"/>
      <c r="Y36" s="246" t="str">
        <f ca="1">规则数据!H42</f>
        <v/>
      </c>
      <c r="Z36" s="246"/>
      <c r="AA36" s="246"/>
      <c r="AB36" s="246">
        <f ca="1">幕间计算!B24+IF(AND(幕间计算!A24&lt;&gt;"",COUNTIF(幕间计算!$A$2:A24,幕间计算!A24)=1),SUMIF(幕间计算!$C$200:$C$1199,幕间计算!A24,幕间计算!$E$200:$E$1199),0)</f>
        <v>0</v>
      </c>
      <c r="AC36" s="246"/>
      <c r="AD36" s="408"/>
      <c r="AE36" s="409" t="s">
        <v>62</v>
      </c>
      <c r="AF36" s="405"/>
      <c r="AG36" s="406" t="s">
        <v>110</v>
      </c>
      <c r="AH36" s="406"/>
      <c r="AI36" s="406"/>
      <c r="AJ36" s="406"/>
      <c r="AK36" s="406"/>
      <c r="AL36" s="406"/>
      <c r="AM36" s="406"/>
      <c r="AN36" s="406"/>
      <c r="AO36" s="406"/>
      <c r="AP36" s="406"/>
      <c r="AQ36" s="406"/>
      <c r="AR36" s="406"/>
      <c r="AS36" s="407">
        <f ca="1" t="shared" si="1"/>
        <v>10</v>
      </c>
      <c r="AT36" s="407"/>
      <c r="AU36" s="407"/>
      <c r="AV36" s="246">
        <v>10</v>
      </c>
      <c r="AW36" s="246"/>
      <c r="AX36" s="246"/>
      <c r="AY36" s="246" t="str">
        <f ca="1">IF(职业选项!V85&gt;0,职业选项!V85,"")</f>
        <v/>
      </c>
      <c r="AZ36" s="246"/>
      <c r="BA36" s="246"/>
      <c r="BB36" s="246" t="str">
        <f ca="1">规则数据!H72</f>
        <v/>
      </c>
      <c r="BC36" s="246"/>
      <c r="BD36" s="246"/>
      <c r="BE36" s="246">
        <f ca="1">幕间计算!B54+IF(AND(幕间计算!A54&lt;&gt;"",COUNTIF(幕间计算!$A$2:A54,幕间计算!A54)=1),SUMIF(幕间计算!$C$200:$C$1199,幕间计算!A54,幕间计算!$E$200:$E$1199),0)</f>
        <v>0</v>
      </c>
      <c r="BF36" s="246"/>
      <c r="BG36" s="410"/>
      <c r="BH36" s="493"/>
      <c r="BI36" s="502"/>
      <c r="BJ36" s="503"/>
      <c r="BK36" s="503"/>
      <c r="BL36" s="503"/>
      <c r="BM36" s="503"/>
      <c r="BN36" s="503"/>
      <c r="BO36" s="503"/>
      <c r="BP36" s="503"/>
      <c r="BQ36" s="503"/>
      <c r="BR36" s="503"/>
      <c r="BS36" s="503"/>
      <c r="BT36" s="503"/>
      <c r="BU36" s="503"/>
      <c r="BV36" s="503"/>
      <c r="BW36" s="503"/>
      <c r="BX36" s="503"/>
      <c r="BY36" s="503"/>
      <c r="BZ36" s="503"/>
      <c r="CA36" s="503"/>
      <c r="CB36" s="503"/>
      <c r="CC36" s="503"/>
      <c r="CD36" s="503"/>
      <c r="CE36" s="503"/>
      <c r="CF36" s="503"/>
      <c r="CG36" s="503"/>
      <c r="CH36" s="503"/>
      <c r="CI36" s="503"/>
      <c r="CJ36" s="503"/>
      <c r="CK36" s="503"/>
      <c r="CL36" s="503"/>
      <c r="CM36" s="503"/>
      <c r="CN36" s="503"/>
      <c r="CO36" s="503"/>
      <c r="CP36" s="503"/>
      <c r="CQ36" s="503"/>
      <c r="CR36" s="503"/>
      <c r="CS36" s="503"/>
      <c r="CT36" s="503"/>
      <c r="CU36" s="503"/>
      <c r="CV36" s="503"/>
      <c r="CW36" s="503"/>
      <c r="CX36" s="504"/>
      <c r="CY36" s="191"/>
      <c r="CZ36" s="475"/>
      <c r="DA36" s="476"/>
      <c r="DB36" s="476"/>
      <c r="DC36" s="476"/>
      <c r="DD36" s="476"/>
      <c r="DE36" s="476"/>
      <c r="DF36" s="476"/>
      <c r="DG36" s="476"/>
      <c r="DH36" s="476"/>
      <c r="DI36" s="476"/>
      <c r="DJ36" s="476"/>
      <c r="DK36" s="476"/>
      <c r="DL36" s="476"/>
      <c r="DM36" s="476"/>
      <c r="DN36" s="476"/>
      <c r="DO36" s="476"/>
      <c r="DP36" s="476"/>
      <c r="DQ36" s="476"/>
      <c r="DR36" s="476"/>
      <c r="DS36" s="476"/>
      <c r="DT36" s="476"/>
      <c r="DU36" s="476"/>
      <c r="DV36" s="476"/>
      <c r="DW36" s="476"/>
      <c r="DX36" s="476"/>
      <c r="DY36" s="476"/>
      <c r="DZ36" s="476"/>
      <c r="EA36" s="476"/>
      <c r="EB36" s="476"/>
      <c r="EC36" s="476"/>
      <c r="ED36" s="477" t="str">
        <f>IF(CZ35="","",幕间计算!BU1199)</f>
        <v/>
      </c>
      <c r="EE36" s="478"/>
      <c r="EF36" s="416" t="s">
        <v>92</v>
      </c>
      <c r="EG36" s="479"/>
      <c r="EH36" s="191"/>
      <c r="EI36" s="472"/>
      <c r="EJ36" s="473"/>
      <c r="EK36" s="473"/>
      <c r="EL36" s="473"/>
      <c r="EM36" s="473"/>
      <c r="EN36" s="473"/>
      <c r="EO36" s="473"/>
      <c r="EP36" s="473"/>
      <c r="EQ36" s="473"/>
      <c r="ER36" s="473"/>
      <c r="ES36" s="473"/>
      <c r="ET36" s="473"/>
      <c r="EU36" s="473"/>
      <c r="EV36" s="473"/>
      <c r="EW36" s="473"/>
      <c r="EX36" s="473"/>
      <c r="EY36" s="474"/>
      <c r="EZ36" s="174"/>
    </row>
    <row r="37" customHeight="1" spans="1:156">
      <c r="A37" s="191"/>
      <c r="B37" s="404" t="s">
        <v>62</v>
      </c>
      <c r="C37" s="405"/>
      <c r="D37" s="429" t="s">
        <v>109</v>
      </c>
      <c r="E37" s="430"/>
      <c r="F37" s="430"/>
      <c r="G37" s="430"/>
      <c r="H37" s="430"/>
      <c r="I37" s="430"/>
      <c r="J37" s="431" t="str">
        <f ca="1">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431"/>
      <c r="L37" s="431"/>
      <c r="M37" s="431"/>
      <c r="N37" s="431"/>
      <c r="O37" s="432"/>
      <c r="P37" s="407">
        <f ca="1" t="shared" si="0"/>
        <v>0</v>
      </c>
      <c r="Q37" s="407"/>
      <c r="R37" s="407"/>
      <c r="S37" s="246">
        <v>0</v>
      </c>
      <c r="T37" s="246"/>
      <c r="U37" s="246"/>
      <c r="V37" s="246" t="str">
        <f ca="1">IF(职业选项!V86&gt;0,职业选项!V86,"")</f>
        <v/>
      </c>
      <c r="W37" s="246"/>
      <c r="X37" s="246"/>
      <c r="Y37" s="246" t="str">
        <f ca="1">规则数据!H43</f>
        <v/>
      </c>
      <c r="Z37" s="246"/>
      <c r="AA37" s="246"/>
      <c r="AB37" s="246">
        <f ca="1">幕间计算!B25+IF(AND(幕间计算!A25&lt;&gt;"",COUNTIF(幕间计算!$A$2:A25,幕间计算!A25)=1),SUMIF(幕间计算!$C$200:$C$1199,幕间计算!A25,幕间计算!$E$200:$E$1199),0)</f>
        <v>0</v>
      </c>
      <c r="AC37" s="246"/>
      <c r="AD37" s="408"/>
      <c r="AE37" s="409" t="s">
        <v>62</v>
      </c>
      <c r="AF37" s="405"/>
      <c r="AG37" s="406" t="s">
        <v>111</v>
      </c>
      <c r="AH37" s="406"/>
      <c r="AI37" s="406"/>
      <c r="AJ37" s="406"/>
      <c r="AK37" s="406"/>
      <c r="AL37" s="406"/>
      <c r="AM37" s="406"/>
      <c r="AN37" s="406"/>
      <c r="AO37" s="406"/>
      <c r="AP37" s="406"/>
      <c r="AQ37" s="406"/>
      <c r="AR37" s="406"/>
      <c r="AS37" s="407">
        <f ca="1" t="shared" si="1"/>
        <v>20</v>
      </c>
      <c r="AT37" s="407"/>
      <c r="AU37" s="407"/>
      <c r="AV37" s="246">
        <v>20</v>
      </c>
      <c r="AW37" s="246"/>
      <c r="AX37" s="246"/>
      <c r="AY37" s="246" t="str">
        <f ca="1">IF(职业选项!V87&gt;0,职业选项!V87,"")</f>
        <v/>
      </c>
      <c r="AZ37" s="246"/>
      <c r="BA37" s="246"/>
      <c r="BB37" s="246" t="str">
        <f ca="1">规则数据!H73</f>
        <v/>
      </c>
      <c r="BC37" s="246"/>
      <c r="BD37" s="246"/>
      <c r="BE37" s="246">
        <f ca="1">幕间计算!B55+IF(AND(幕间计算!A55&lt;&gt;"",COUNTIF(幕间计算!$A$2:A55,幕间计算!A55)=1),SUMIF(幕间计算!$C$200:$C$1199,幕间计算!A55,幕间计算!$E$200:$E$1199),0)</f>
        <v>0</v>
      </c>
      <c r="BF37" s="246"/>
      <c r="BG37" s="410"/>
      <c r="BH37" s="493"/>
      <c r="BI37" s="502"/>
      <c r="BJ37" s="503"/>
      <c r="BK37" s="503"/>
      <c r="BL37" s="503"/>
      <c r="BM37" s="503"/>
      <c r="BN37" s="503"/>
      <c r="BO37" s="503"/>
      <c r="BP37" s="503"/>
      <c r="BQ37" s="503"/>
      <c r="BR37" s="503"/>
      <c r="BS37" s="503"/>
      <c r="BT37" s="503"/>
      <c r="BU37" s="503"/>
      <c r="BV37" s="503"/>
      <c r="BW37" s="503"/>
      <c r="BX37" s="503"/>
      <c r="BY37" s="503"/>
      <c r="BZ37" s="503"/>
      <c r="CA37" s="503"/>
      <c r="CB37" s="503"/>
      <c r="CC37" s="503"/>
      <c r="CD37" s="503"/>
      <c r="CE37" s="503"/>
      <c r="CF37" s="503"/>
      <c r="CG37" s="503"/>
      <c r="CH37" s="503"/>
      <c r="CI37" s="503"/>
      <c r="CJ37" s="503"/>
      <c r="CK37" s="503"/>
      <c r="CL37" s="503"/>
      <c r="CM37" s="503"/>
      <c r="CN37" s="503"/>
      <c r="CO37" s="503"/>
      <c r="CP37" s="503"/>
      <c r="CQ37" s="503"/>
      <c r="CR37" s="503"/>
      <c r="CS37" s="503"/>
      <c r="CT37" s="503"/>
      <c r="CU37" s="503"/>
      <c r="CV37" s="503"/>
      <c r="CW37" s="503"/>
      <c r="CX37" s="504"/>
      <c r="CY37" s="191"/>
      <c r="CZ37" s="475"/>
      <c r="DA37" s="476"/>
      <c r="DB37" s="476"/>
      <c r="DC37" s="476"/>
      <c r="DD37" s="476"/>
      <c r="DE37" s="476"/>
      <c r="DF37" s="476"/>
      <c r="DG37" s="476"/>
      <c r="DH37" s="476"/>
      <c r="DI37" s="476"/>
      <c r="DJ37" s="476"/>
      <c r="DK37" s="476"/>
      <c r="DL37" s="476"/>
      <c r="DM37" s="476"/>
      <c r="DN37" s="476"/>
      <c r="DO37" s="476"/>
      <c r="DP37" s="476"/>
      <c r="DQ37" s="476"/>
      <c r="DR37" s="476"/>
      <c r="DS37" s="476"/>
      <c r="DT37" s="476"/>
      <c r="DU37" s="476"/>
      <c r="DV37" s="476"/>
      <c r="DW37" s="476"/>
      <c r="DX37" s="476"/>
      <c r="DY37" s="476"/>
      <c r="DZ37" s="476"/>
      <c r="EA37" s="476"/>
      <c r="EB37" s="476"/>
      <c r="EC37" s="476"/>
      <c r="ED37" s="484"/>
      <c r="EE37" s="485"/>
      <c r="EF37" s="416"/>
      <c r="EG37" s="479"/>
      <c r="EH37" s="191"/>
      <c r="EI37" s="472"/>
      <c r="EJ37" s="473"/>
      <c r="EK37" s="473"/>
      <c r="EL37" s="473"/>
      <c r="EM37" s="473"/>
      <c r="EN37" s="473"/>
      <c r="EO37" s="473"/>
      <c r="EP37" s="473"/>
      <c r="EQ37" s="473"/>
      <c r="ER37" s="473"/>
      <c r="ES37" s="473"/>
      <c r="ET37" s="473"/>
      <c r="EU37" s="473"/>
      <c r="EV37" s="473"/>
      <c r="EW37" s="473"/>
      <c r="EX37" s="473"/>
      <c r="EY37" s="474"/>
      <c r="EZ37" s="174"/>
    </row>
    <row r="38" customHeight="1" spans="1:156">
      <c r="A38" s="191"/>
      <c r="B38" s="404" t="s">
        <v>62</v>
      </c>
      <c r="C38" s="405"/>
      <c r="D38" s="439" t="s">
        <v>109</v>
      </c>
      <c r="E38" s="440"/>
      <c r="F38" s="440"/>
      <c r="G38" s="440"/>
      <c r="H38" s="440"/>
      <c r="I38" s="440"/>
      <c r="J38" s="441"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441"/>
      <c r="L38" s="441"/>
      <c r="M38" s="441"/>
      <c r="N38" s="441"/>
      <c r="O38" s="442"/>
      <c r="P38" s="407">
        <f ca="1" t="shared" si="0"/>
        <v>0</v>
      </c>
      <c r="Q38" s="407"/>
      <c r="R38" s="407"/>
      <c r="S38" s="246">
        <v>0</v>
      </c>
      <c r="T38" s="246"/>
      <c r="U38" s="246"/>
      <c r="V38" s="246" t="str">
        <f ca="1">IF(职业选项!V88&gt;0,职业选项!V88,"")</f>
        <v/>
      </c>
      <c r="W38" s="246"/>
      <c r="X38" s="246"/>
      <c r="Y38" s="246" t="str">
        <f ca="1">规则数据!H44</f>
        <v/>
      </c>
      <c r="Z38" s="246"/>
      <c r="AA38" s="246"/>
      <c r="AB38" s="246">
        <f ca="1">幕间计算!B26+IF(AND(幕间计算!A26&lt;&gt;"",COUNTIF(幕间计算!$A$2:A26,幕间计算!A26)=1),SUMIF(幕间计算!$C$200:$C$1199,幕间计算!A26,幕间计算!$E$200:$E$1199),0)</f>
        <v>0</v>
      </c>
      <c r="AC38" s="246"/>
      <c r="AD38" s="408"/>
      <c r="AE38" s="505" t="s">
        <v>62</v>
      </c>
      <c r="AF38" s="405"/>
      <c r="AG38" s="406" t="s">
        <v>112</v>
      </c>
      <c r="AH38" s="406"/>
      <c r="AI38" s="406"/>
      <c r="AJ38" s="406"/>
      <c r="AK38" s="406"/>
      <c r="AL38" s="406"/>
      <c r="AM38" s="406"/>
      <c r="AN38" s="406"/>
      <c r="AO38" s="406"/>
      <c r="AP38" s="406"/>
      <c r="AQ38" s="406"/>
      <c r="AR38" s="406"/>
      <c r="AS38" s="407">
        <f ca="1" t="shared" si="1"/>
        <v>40</v>
      </c>
      <c r="AT38" s="407"/>
      <c r="AU38" s="407"/>
      <c r="AV38" s="246">
        <v>40</v>
      </c>
      <c r="AW38" s="246"/>
      <c r="AX38" s="246"/>
      <c r="AY38" s="246" t="str">
        <f ca="1">IF(职业选项!V89&gt;0,职业选项!V89,"")</f>
        <v/>
      </c>
      <c r="AZ38" s="246"/>
      <c r="BA38" s="246"/>
      <c r="BB38" s="246" t="str">
        <f ca="1">规则数据!H74</f>
        <v/>
      </c>
      <c r="BC38" s="246"/>
      <c r="BD38" s="246"/>
      <c r="BE38" s="246">
        <f ca="1">幕间计算!B56+IF(AND(幕间计算!A56&lt;&gt;"",COUNTIF(幕间计算!$A$2:A56,幕间计算!A56)=1),SUMIF(幕间计算!$C$200:$C$1199,幕间计算!A56,幕间计算!$E$200:$E$1199),0)</f>
        <v>0</v>
      </c>
      <c r="BF38" s="246"/>
      <c r="BG38" s="410"/>
      <c r="BH38" s="493"/>
      <c r="BI38" s="502"/>
      <c r="BJ38" s="503"/>
      <c r="BK38" s="503"/>
      <c r="BL38" s="503"/>
      <c r="BM38" s="503"/>
      <c r="BN38" s="503"/>
      <c r="BO38" s="503"/>
      <c r="BP38" s="503"/>
      <c r="BQ38" s="503"/>
      <c r="BR38" s="503"/>
      <c r="BS38" s="503"/>
      <c r="BT38" s="503"/>
      <c r="BU38" s="503"/>
      <c r="BV38" s="503"/>
      <c r="BW38" s="503"/>
      <c r="BX38" s="503"/>
      <c r="BY38" s="503"/>
      <c r="BZ38" s="503"/>
      <c r="CA38" s="503"/>
      <c r="CB38" s="503"/>
      <c r="CC38" s="503"/>
      <c r="CD38" s="503"/>
      <c r="CE38" s="503"/>
      <c r="CF38" s="503"/>
      <c r="CG38" s="503"/>
      <c r="CH38" s="503"/>
      <c r="CI38" s="503"/>
      <c r="CJ38" s="503"/>
      <c r="CK38" s="503"/>
      <c r="CL38" s="503"/>
      <c r="CM38" s="503"/>
      <c r="CN38" s="503"/>
      <c r="CO38" s="503"/>
      <c r="CP38" s="503"/>
      <c r="CQ38" s="503"/>
      <c r="CR38" s="503"/>
      <c r="CS38" s="503"/>
      <c r="CT38" s="503"/>
      <c r="CU38" s="503"/>
      <c r="CV38" s="503"/>
      <c r="CW38" s="503"/>
      <c r="CX38" s="504"/>
      <c r="CY38" s="191"/>
      <c r="CZ38" s="475"/>
      <c r="DA38" s="476"/>
      <c r="DB38" s="476"/>
      <c r="DC38" s="476"/>
      <c r="DD38" s="476"/>
      <c r="DE38" s="476"/>
      <c r="DF38" s="476"/>
      <c r="DG38" s="476"/>
      <c r="DH38" s="476"/>
      <c r="DI38" s="476"/>
      <c r="DJ38" s="476"/>
      <c r="DK38" s="476"/>
      <c r="DL38" s="476"/>
      <c r="DM38" s="476"/>
      <c r="DN38" s="476"/>
      <c r="DO38" s="476"/>
      <c r="DP38" s="476"/>
      <c r="DQ38" s="476"/>
      <c r="DR38" s="476"/>
      <c r="DS38" s="476"/>
      <c r="DT38" s="476"/>
      <c r="DU38" s="476"/>
      <c r="DV38" s="476"/>
      <c r="DW38" s="476"/>
      <c r="DX38" s="476"/>
      <c r="DY38" s="476"/>
      <c r="DZ38" s="476"/>
      <c r="EA38" s="476"/>
      <c r="EB38" s="476"/>
      <c r="EC38" s="476"/>
      <c r="ED38" s="235" t="s">
        <v>88</v>
      </c>
      <c r="EE38" s="235"/>
      <c r="EF38" s="235" t="s">
        <v>89</v>
      </c>
      <c r="EG38" s="489"/>
      <c r="EH38" s="191"/>
      <c r="EI38" s="472"/>
      <c r="EJ38" s="473"/>
      <c r="EK38" s="473"/>
      <c r="EL38" s="473"/>
      <c r="EM38" s="473"/>
      <c r="EN38" s="473"/>
      <c r="EO38" s="473"/>
      <c r="EP38" s="473"/>
      <c r="EQ38" s="473"/>
      <c r="ER38" s="473"/>
      <c r="ES38" s="473"/>
      <c r="ET38" s="473"/>
      <c r="EU38" s="473"/>
      <c r="EV38" s="473"/>
      <c r="EW38" s="473"/>
      <c r="EX38" s="473"/>
      <c r="EY38" s="474"/>
      <c r="EZ38" s="174"/>
    </row>
    <row r="39" customHeight="1" spans="1:156">
      <c r="A39" s="191"/>
      <c r="B39" s="404" t="s">
        <v>62</v>
      </c>
      <c r="C39" s="405"/>
      <c r="D39" s="406" t="s">
        <v>113</v>
      </c>
      <c r="E39" s="406"/>
      <c r="F39" s="406"/>
      <c r="G39" s="406"/>
      <c r="H39" s="406"/>
      <c r="I39" s="406"/>
      <c r="J39" s="406"/>
      <c r="K39" s="406"/>
      <c r="L39" s="406"/>
      <c r="M39" s="406"/>
      <c r="N39" s="406"/>
      <c r="O39" s="406"/>
      <c r="P39" s="407">
        <f ca="1" t="shared" si="0"/>
        <v>0</v>
      </c>
      <c r="Q39" s="407"/>
      <c r="R39" s="407"/>
      <c r="S39" s="246">
        <v>0</v>
      </c>
      <c r="T39" s="246"/>
      <c r="U39" s="246"/>
      <c r="V39" s="246" t="str">
        <f ca="1">IF(职业选项!V90&gt;0,职业选项!V90,"")</f>
        <v/>
      </c>
      <c r="W39" s="246"/>
      <c r="X39" s="246"/>
      <c r="Y39" s="246" t="str">
        <f ca="1">规则数据!H45</f>
        <v/>
      </c>
      <c r="Z39" s="246"/>
      <c r="AA39" s="246"/>
      <c r="AB39" s="246">
        <f ca="1">幕间计算!B27+IF(AND(幕间计算!A27&lt;&gt;"",COUNTIF(幕间计算!$A$2:A27,幕间计算!A27)=1),SUMIF(幕间计算!$C$200:$C$1199,幕间计算!A27,幕间计算!$E$200:$E$1199),0)</f>
        <v>0</v>
      </c>
      <c r="AC39" s="246"/>
      <c r="AD39" s="408"/>
      <c r="AE39" s="409" t="s">
        <v>62</v>
      </c>
      <c r="AF39" s="405"/>
      <c r="AG39" s="406" t="s">
        <v>114</v>
      </c>
      <c r="AH39" s="406"/>
      <c r="AI39" s="406"/>
      <c r="AJ39" s="406"/>
      <c r="AK39" s="406"/>
      <c r="AL39" s="406"/>
      <c r="AM39" s="406"/>
      <c r="AN39" s="406"/>
      <c r="AO39" s="406"/>
      <c r="AP39" s="406"/>
      <c r="AQ39" s="406"/>
      <c r="AR39" s="406"/>
      <c r="AS39" s="407">
        <f ca="1">MAX(0,MIN(99,N(BB39)+N(BE39)))</f>
        <v>0</v>
      </c>
      <c r="AT39" s="407"/>
      <c r="AU39" s="407"/>
      <c r="AV39" s="246">
        <v>0</v>
      </c>
      <c r="AW39" s="246"/>
      <c r="AX39" s="246"/>
      <c r="AY39" s="246" t="s">
        <v>115</v>
      </c>
      <c r="AZ39" s="246"/>
      <c r="BA39" s="246"/>
      <c r="BB39" s="246">
        <f>IF(DF46="人类不应知道之事",10,0)</f>
        <v>0</v>
      </c>
      <c r="BC39" s="246"/>
      <c r="BD39" s="246"/>
      <c r="BE39" s="246">
        <f ca="1">幕间计算!B57+IF(AND(幕间计算!A57&lt;&gt;"",COUNTIF(幕间计算!$A$2:A57,幕间计算!A57)=1),SUMIF(幕间计算!$C$200:$C$1199,幕间计算!A57,幕间计算!$E$200:$E$1199),0)</f>
        <v>0</v>
      </c>
      <c r="BF39" s="246"/>
      <c r="BG39" s="410"/>
      <c r="BH39" s="493"/>
      <c r="BI39" s="502"/>
      <c r="BJ39" s="503"/>
      <c r="BK39" s="503"/>
      <c r="BL39" s="503"/>
      <c r="BM39" s="503"/>
      <c r="BN39" s="503"/>
      <c r="BO39" s="503"/>
      <c r="BP39" s="503"/>
      <c r="BQ39" s="503"/>
      <c r="BR39" s="503"/>
      <c r="BS39" s="503"/>
      <c r="BT39" s="503"/>
      <c r="BU39" s="503"/>
      <c r="BV39" s="503"/>
      <c r="BW39" s="503"/>
      <c r="BX39" s="503"/>
      <c r="BY39" s="503"/>
      <c r="BZ39" s="503"/>
      <c r="CA39" s="503"/>
      <c r="CB39" s="503"/>
      <c r="CC39" s="503"/>
      <c r="CD39" s="503"/>
      <c r="CE39" s="503"/>
      <c r="CF39" s="503"/>
      <c r="CG39" s="503"/>
      <c r="CH39" s="503"/>
      <c r="CI39" s="503"/>
      <c r="CJ39" s="503"/>
      <c r="CK39" s="503"/>
      <c r="CL39" s="503"/>
      <c r="CM39" s="503"/>
      <c r="CN39" s="503"/>
      <c r="CO39" s="503"/>
      <c r="CP39" s="503"/>
      <c r="CQ39" s="503"/>
      <c r="CR39" s="503"/>
      <c r="CS39" s="503"/>
      <c r="CT39" s="503"/>
      <c r="CU39" s="503"/>
      <c r="CV39" s="503"/>
      <c r="CW39" s="503"/>
      <c r="CX39" s="504"/>
      <c r="CY39" s="191"/>
      <c r="CZ39" s="475"/>
      <c r="DA39" s="476"/>
      <c r="DB39" s="476"/>
      <c r="DC39" s="476"/>
      <c r="DD39" s="476"/>
      <c r="DE39" s="476"/>
      <c r="DF39" s="476"/>
      <c r="DG39" s="476"/>
      <c r="DH39" s="476"/>
      <c r="DI39" s="476"/>
      <c r="DJ39" s="476"/>
      <c r="DK39" s="476"/>
      <c r="DL39" s="476"/>
      <c r="DM39" s="476"/>
      <c r="DN39" s="476"/>
      <c r="DO39" s="476"/>
      <c r="DP39" s="476"/>
      <c r="DQ39" s="476"/>
      <c r="DR39" s="476"/>
      <c r="DS39" s="476"/>
      <c r="DT39" s="476"/>
      <c r="DU39" s="476"/>
      <c r="DV39" s="476"/>
      <c r="DW39" s="476"/>
      <c r="DX39" s="476"/>
      <c r="DY39" s="476"/>
      <c r="DZ39" s="476"/>
      <c r="EA39" s="476"/>
      <c r="EB39" s="476"/>
      <c r="EC39" s="476"/>
      <c r="ED39" s="477" t="str">
        <f>IF(CZ38="","",幕间计算!BV1199)</f>
        <v/>
      </c>
      <c r="EE39" s="478"/>
      <c r="EF39" s="416" t="s">
        <v>92</v>
      </c>
      <c r="EG39" s="479"/>
      <c r="EH39" s="191"/>
      <c r="EI39" s="472"/>
      <c r="EJ39" s="473"/>
      <c r="EK39" s="473"/>
      <c r="EL39" s="473"/>
      <c r="EM39" s="473"/>
      <c r="EN39" s="473"/>
      <c r="EO39" s="473"/>
      <c r="EP39" s="473"/>
      <c r="EQ39" s="473"/>
      <c r="ER39" s="473"/>
      <c r="ES39" s="473"/>
      <c r="ET39" s="473"/>
      <c r="EU39" s="473"/>
      <c r="EV39" s="473"/>
      <c r="EW39" s="473"/>
      <c r="EX39" s="473"/>
      <c r="EY39" s="474"/>
      <c r="EZ39" s="174"/>
    </row>
    <row r="40" customHeight="1" spans="1:156">
      <c r="A40" s="191"/>
      <c r="B40" s="404" t="s">
        <v>62</v>
      </c>
      <c r="C40" s="405"/>
      <c r="D40" s="406" t="s">
        <v>116</v>
      </c>
      <c r="E40" s="406"/>
      <c r="F40" s="406"/>
      <c r="G40" s="406"/>
      <c r="H40" s="406"/>
      <c r="I40" s="406"/>
      <c r="J40" s="406"/>
      <c r="K40" s="406"/>
      <c r="L40" s="406"/>
      <c r="M40" s="406"/>
      <c r="N40" s="406"/>
      <c r="O40" s="406"/>
      <c r="P40" s="407">
        <f ca="1" t="shared" si="0"/>
        <v>10</v>
      </c>
      <c r="Q40" s="407"/>
      <c r="R40" s="407"/>
      <c r="S40" s="246">
        <v>10</v>
      </c>
      <c r="T40" s="246"/>
      <c r="U40" s="246"/>
      <c r="V40" s="246" t="str">
        <f ca="1">IF(职业选项!V91&gt;0,职业选项!V91,"")</f>
        <v/>
      </c>
      <c r="W40" s="246"/>
      <c r="X40" s="246"/>
      <c r="Y40" s="246" t="str">
        <f ca="1">规则数据!H46</f>
        <v/>
      </c>
      <c r="Z40" s="246"/>
      <c r="AA40" s="246"/>
      <c r="AB40" s="246">
        <f ca="1">幕间计算!B28+IF(AND(幕间计算!A28&lt;&gt;"",COUNTIF(幕间计算!$A$2:A28,幕间计算!A28)=1),SUMIF(幕间计算!$C$200:$C$1199,幕间计算!A28,幕间计算!$E$200:$E$1199),0)</f>
        <v>0</v>
      </c>
      <c r="AC40" s="246"/>
      <c r="AD40" s="408"/>
      <c r="AE40" s="409" t="s">
        <v>62</v>
      </c>
      <c r="AF40" s="405"/>
      <c r="AG40" s="406" t="str">
        <f ca="1">IFERROR(INDEX(规则数据!$C$2:$C$9,SMALL(规则数据!$AX$2:$AX$9,1)),"")</f>
        <v/>
      </c>
      <c r="AH40" s="406"/>
      <c r="AI40" s="406"/>
      <c r="AJ40" s="406"/>
      <c r="AK40" s="406"/>
      <c r="AL40" s="406"/>
      <c r="AM40" s="406"/>
      <c r="AN40" s="406"/>
      <c r="AO40" s="406"/>
      <c r="AP40" s="406"/>
      <c r="AQ40" s="406"/>
      <c r="AR40" s="406"/>
      <c r="AS40" s="407">
        <f ca="1">MAX(0,MIN(99,IF(AY40="",N(AV40),N(AY40))+N(BB40)+N(BE40)))</f>
        <v>0</v>
      </c>
      <c r="AT40" s="407"/>
      <c r="AU40" s="407"/>
      <c r="AV40" s="245"/>
      <c r="AW40" s="245"/>
      <c r="AX40" s="245"/>
      <c r="AY40" s="246"/>
      <c r="AZ40" s="246"/>
      <c r="BA40" s="246"/>
      <c r="BB40" s="246" t="str">
        <f ca="1">规则数据!H75</f>
        <v/>
      </c>
      <c r="BC40" s="246"/>
      <c r="BD40" s="246"/>
      <c r="BE40" s="246">
        <f ca="1">幕间计算!B58+IF(AND(幕间计算!A58&lt;&gt;"",COUNTIF(幕间计算!$A$2:A58,幕间计算!A58)=1),SUMIF(幕间计算!$C$200:$C$1199,幕间计算!A58,幕间计算!$E$200:$E$1199),0)</f>
        <v>0</v>
      </c>
      <c r="BF40" s="246"/>
      <c r="BG40" s="410"/>
      <c r="BH40" s="493"/>
      <c r="BI40" s="502"/>
      <c r="BJ40" s="503"/>
      <c r="BK40" s="503"/>
      <c r="BL40" s="503"/>
      <c r="BM40" s="503"/>
      <c r="BN40" s="503"/>
      <c r="BO40" s="503"/>
      <c r="BP40" s="503"/>
      <c r="BQ40" s="503"/>
      <c r="BR40" s="503"/>
      <c r="BS40" s="503"/>
      <c r="BT40" s="503"/>
      <c r="BU40" s="503"/>
      <c r="BV40" s="503"/>
      <c r="BW40" s="503"/>
      <c r="BX40" s="503"/>
      <c r="BY40" s="503"/>
      <c r="BZ40" s="503"/>
      <c r="CA40" s="503"/>
      <c r="CB40" s="503"/>
      <c r="CC40" s="503"/>
      <c r="CD40" s="503"/>
      <c r="CE40" s="503"/>
      <c r="CF40" s="503"/>
      <c r="CG40" s="503"/>
      <c r="CH40" s="503"/>
      <c r="CI40" s="503"/>
      <c r="CJ40" s="503"/>
      <c r="CK40" s="503"/>
      <c r="CL40" s="503"/>
      <c r="CM40" s="503"/>
      <c r="CN40" s="503"/>
      <c r="CO40" s="503"/>
      <c r="CP40" s="503"/>
      <c r="CQ40" s="503"/>
      <c r="CR40" s="503"/>
      <c r="CS40" s="503"/>
      <c r="CT40" s="503"/>
      <c r="CU40" s="503"/>
      <c r="CV40" s="503"/>
      <c r="CW40" s="503"/>
      <c r="CX40" s="504"/>
      <c r="CY40" s="191"/>
      <c r="CZ40" s="475"/>
      <c r="DA40" s="476"/>
      <c r="DB40" s="476"/>
      <c r="DC40" s="476"/>
      <c r="DD40" s="476"/>
      <c r="DE40" s="476"/>
      <c r="DF40" s="476"/>
      <c r="DG40" s="476"/>
      <c r="DH40" s="476"/>
      <c r="DI40" s="476"/>
      <c r="DJ40" s="476"/>
      <c r="DK40" s="476"/>
      <c r="DL40" s="476"/>
      <c r="DM40" s="476"/>
      <c r="DN40" s="476"/>
      <c r="DO40" s="476"/>
      <c r="DP40" s="476"/>
      <c r="DQ40" s="476"/>
      <c r="DR40" s="476"/>
      <c r="DS40" s="476"/>
      <c r="DT40" s="476"/>
      <c r="DU40" s="476"/>
      <c r="DV40" s="476"/>
      <c r="DW40" s="476"/>
      <c r="DX40" s="476"/>
      <c r="DY40" s="476"/>
      <c r="DZ40" s="476"/>
      <c r="EA40" s="476"/>
      <c r="EB40" s="476"/>
      <c r="EC40" s="476"/>
      <c r="ED40" s="484"/>
      <c r="EE40" s="485"/>
      <c r="EF40" s="416"/>
      <c r="EG40" s="479"/>
      <c r="EH40" s="191"/>
      <c r="EI40" s="472"/>
      <c r="EJ40" s="473"/>
      <c r="EK40" s="473"/>
      <c r="EL40" s="473"/>
      <c r="EM40" s="473"/>
      <c r="EN40" s="473"/>
      <c r="EO40" s="473"/>
      <c r="EP40" s="473"/>
      <c r="EQ40" s="473"/>
      <c r="ER40" s="473"/>
      <c r="ES40" s="473"/>
      <c r="ET40" s="473"/>
      <c r="EU40" s="473"/>
      <c r="EV40" s="473"/>
      <c r="EW40" s="473"/>
      <c r="EX40" s="473"/>
      <c r="EY40" s="474"/>
      <c r="EZ40" s="174"/>
    </row>
    <row r="41" customHeight="1" spans="1:156">
      <c r="A41" s="191"/>
      <c r="B41" s="404" t="s">
        <v>62</v>
      </c>
      <c r="C41" s="405"/>
      <c r="D41" s="406" t="s">
        <v>117</v>
      </c>
      <c r="E41" s="406"/>
      <c r="F41" s="406"/>
      <c r="G41" s="406"/>
      <c r="H41" s="406"/>
      <c r="I41" s="406"/>
      <c r="J41" s="406"/>
      <c r="K41" s="406"/>
      <c r="L41" s="406"/>
      <c r="M41" s="406"/>
      <c r="N41" s="406"/>
      <c r="O41" s="406"/>
      <c r="P41" s="407">
        <f ca="1" t="shared" si="0"/>
        <v>0</v>
      </c>
      <c r="Q41" s="407"/>
      <c r="R41" s="407"/>
      <c r="S41" s="246">
        <v>0</v>
      </c>
      <c r="T41" s="246"/>
      <c r="U41" s="246"/>
      <c r="V41" s="246" t="str">
        <f ca="1">IF(职业选项!V92&gt;0,职业选项!V92,"")</f>
        <v/>
      </c>
      <c r="W41" s="246"/>
      <c r="X41" s="246"/>
      <c r="Y41" s="246" t="str">
        <f ca="1">规则数据!H47</f>
        <v/>
      </c>
      <c r="Z41" s="246"/>
      <c r="AA41" s="246"/>
      <c r="AB41" s="246">
        <f ca="1">幕间计算!B29+IF(AND(幕间计算!A29&lt;&gt;"",COUNTIF(幕间计算!$A$2:A29,幕间计算!A29)=1),SUMIF(幕间计算!$C$200:$C$1199,幕间计算!A29,幕间计算!$E$200:$E$1199),0)</f>
        <v>0</v>
      </c>
      <c r="AC41" s="246"/>
      <c r="AD41" s="408"/>
      <c r="AE41" s="409" t="s">
        <v>62</v>
      </c>
      <c r="AF41" s="405"/>
      <c r="AG41" s="406" t="str">
        <f ca="1">IFERROR(INDEX(规则数据!$C$2:$C$9,SMALL(规则数据!$AX$2:$AX$9,2)),"")</f>
        <v/>
      </c>
      <c r="AH41" s="406"/>
      <c r="AI41" s="406"/>
      <c r="AJ41" s="406"/>
      <c r="AK41" s="406"/>
      <c r="AL41" s="406"/>
      <c r="AM41" s="406"/>
      <c r="AN41" s="406"/>
      <c r="AO41" s="406"/>
      <c r="AP41" s="406"/>
      <c r="AQ41" s="406"/>
      <c r="AR41" s="406"/>
      <c r="AS41" s="407">
        <f ca="1">MAX(0,MIN(99,IF(AY41="",N(AV41),N(AY41))+N(BB41)+N(BE41)))</f>
        <v>0</v>
      </c>
      <c r="AT41" s="407"/>
      <c r="AU41" s="407"/>
      <c r="AV41" s="245"/>
      <c r="AW41" s="245"/>
      <c r="AX41" s="245"/>
      <c r="AY41" s="246"/>
      <c r="AZ41" s="246"/>
      <c r="BA41" s="246"/>
      <c r="BB41" s="246" t="str">
        <f ca="1">规则数据!H76</f>
        <v/>
      </c>
      <c r="BC41" s="246"/>
      <c r="BD41" s="246"/>
      <c r="BE41" s="246">
        <f ca="1">幕间计算!B59+IF(AND(幕间计算!A59&lt;&gt;"",COUNTIF(幕间计算!$A$2:A59,幕间计算!A59)=1),SUMIF(幕间计算!$C$200:$C$1199,幕间计算!A59,幕间计算!$E$200:$E$1199),0)</f>
        <v>0</v>
      </c>
      <c r="BF41" s="246"/>
      <c r="BG41" s="410"/>
      <c r="BH41" s="493"/>
      <c r="BI41" s="502"/>
      <c r="BJ41" s="503"/>
      <c r="BK41" s="503"/>
      <c r="BL41" s="503"/>
      <c r="BM41" s="503"/>
      <c r="BN41" s="503"/>
      <c r="BO41" s="503"/>
      <c r="BP41" s="503"/>
      <c r="BQ41" s="503"/>
      <c r="BR41" s="503"/>
      <c r="BS41" s="503"/>
      <c r="BT41" s="503"/>
      <c r="BU41" s="503"/>
      <c r="BV41" s="503"/>
      <c r="BW41" s="503"/>
      <c r="BX41" s="503"/>
      <c r="BY41" s="503"/>
      <c r="BZ41" s="503"/>
      <c r="CA41" s="503"/>
      <c r="CB41" s="503"/>
      <c r="CC41" s="503"/>
      <c r="CD41" s="503"/>
      <c r="CE41" s="503"/>
      <c r="CF41" s="503"/>
      <c r="CG41" s="503"/>
      <c r="CH41" s="503"/>
      <c r="CI41" s="503"/>
      <c r="CJ41" s="503"/>
      <c r="CK41" s="503"/>
      <c r="CL41" s="503"/>
      <c r="CM41" s="503"/>
      <c r="CN41" s="503"/>
      <c r="CO41" s="503"/>
      <c r="CP41" s="503"/>
      <c r="CQ41" s="503"/>
      <c r="CR41" s="503"/>
      <c r="CS41" s="503"/>
      <c r="CT41" s="503"/>
      <c r="CU41" s="503"/>
      <c r="CV41" s="503"/>
      <c r="CW41" s="503"/>
      <c r="CX41" s="504"/>
      <c r="CY41" s="191"/>
      <c r="CZ41" s="475"/>
      <c r="DA41" s="476"/>
      <c r="DB41" s="476"/>
      <c r="DC41" s="476"/>
      <c r="DD41" s="476"/>
      <c r="DE41" s="476"/>
      <c r="DF41" s="476"/>
      <c r="DG41" s="476"/>
      <c r="DH41" s="476"/>
      <c r="DI41" s="476"/>
      <c r="DJ41" s="476"/>
      <c r="DK41" s="476"/>
      <c r="DL41" s="476"/>
      <c r="DM41" s="476"/>
      <c r="DN41" s="476"/>
      <c r="DO41" s="476"/>
      <c r="DP41" s="476"/>
      <c r="DQ41" s="476"/>
      <c r="DR41" s="476"/>
      <c r="DS41" s="476"/>
      <c r="DT41" s="476"/>
      <c r="DU41" s="476"/>
      <c r="DV41" s="476"/>
      <c r="DW41" s="476"/>
      <c r="DX41" s="476"/>
      <c r="DY41" s="476"/>
      <c r="DZ41" s="476"/>
      <c r="EA41" s="476"/>
      <c r="EB41" s="476"/>
      <c r="EC41" s="476"/>
      <c r="ED41" s="235" t="s">
        <v>88</v>
      </c>
      <c r="EE41" s="235"/>
      <c r="EF41" s="235" t="s">
        <v>89</v>
      </c>
      <c r="EG41" s="489"/>
      <c r="EH41" s="191"/>
      <c r="EI41" s="472"/>
      <c r="EJ41" s="473"/>
      <c r="EK41" s="473"/>
      <c r="EL41" s="473"/>
      <c r="EM41" s="473"/>
      <c r="EN41" s="473"/>
      <c r="EO41" s="473"/>
      <c r="EP41" s="473"/>
      <c r="EQ41" s="473"/>
      <c r="ER41" s="473"/>
      <c r="ES41" s="473"/>
      <c r="ET41" s="473"/>
      <c r="EU41" s="473"/>
      <c r="EV41" s="473"/>
      <c r="EW41" s="473"/>
      <c r="EX41" s="473"/>
      <c r="EY41" s="474"/>
      <c r="EZ41" s="174"/>
    </row>
    <row r="42" customHeight="1" spans="1:156">
      <c r="A42" s="191"/>
      <c r="B42" s="404" t="s">
        <v>62</v>
      </c>
      <c r="C42" s="405"/>
      <c r="D42" s="406" t="s">
        <v>118</v>
      </c>
      <c r="E42" s="406"/>
      <c r="F42" s="406"/>
      <c r="G42" s="406"/>
      <c r="H42" s="406"/>
      <c r="I42" s="406"/>
      <c r="J42" s="406"/>
      <c r="K42" s="406"/>
      <c r="L42" s="406"/>
      <c r="M42" s="406"/>
      <c r="N42" s="406"/>
      <c r="O42" s="406"/>
      <c r="P42" s="407">
        <f ca="1" t="shared" si="0"/>
        <v>10</v>
      </c>
      <c r="Q42" s="407"/>
      <c r="R42" s="407"/>
      <c r="S42" s="246">
        <v>10</v>
      </c>
      <c r="T42" s="246"/>
      <c r="U42" s="246"/>
      <c r="V42" s="246" t="str">
        <f ca="1">IF(职业选项!V93&gt;0,职业选项!V93,"")</f>
        <v/>
      </c>
      <c r="W42" s="246"/>
      <c r="X42" s="246"/>
      <c r="Y42" s="246" t="str">
        <f ca="1">规则数据!H48</f>
        <v/>
      </c>
      <c r="Z42" s="246"/>
      <c r="AA42" s="246"/>
      <c r="AB42" s="246">
        <f ca="1">幕间计算!B30+IF(AND(幕间计算!A30&lt;&gt;"",COUNTIF(幕间计算!$A$2:A30,幕间计算!A30)=1),SUMIF(幕间计算!$C$200:$C$1199,幕间计算!A30,幕间计算!$E$200:$E$1199),0)</f>
        <v>0</v>
      </c>
      <c r="AC42" s="246"/>
      <c r="AD42" s="408"/>
      <c r="AE42" s="409" t="s">
        <v>62</v>
      </c>
      <c r="AF42" s="405"/>
      <c r="AG42" s="406" t="str">
        <f ca="1">IFERROR(INDEX(规则数据!$C$2:$C$9,SMALL(规则数据!$AX$2:$AX$9,3)),"")</f>
        <v/>
      </c>
      <c r="AH42" s="406"/>
      <c r="AI42" s="406"/>
      <c r="AJ42" s="406"/>
      <c r="AK42" s="406"/>
      <c r="AL42" s="406"/>
      <c r="AM42" s="406"/>
      <c r="AN42" s="406"/>
      <c r="AO42" s="406"/>
      <c r="AP42" s="406"/>
      <c r="AQ42" s="406"/>
      <c r="AR42" s="406"/>
      <c r="AS42" s="407">
        <f ca="1">MAX(0,MIN(99,IF(AY42="",N(AV42),N(AY42))+N(BB42)+N(BE42)))</f>
        <v>0</v>
      </c>
      <c r="AT42" s="407"/>
      <c r="AU42" s="407"/>
      <c r="AV42" s="245"/>
      <c r="AW42" s="245"/>
      <c r="AX42" s="245"/>
      <c r="AY42" s="246"/>
      <c r="AZ42" s="246"/>
      <c r="BA42" s="246"/>
      <c r="BB42" s="246" t="str">
        <f ca="1">规则数据!H77</f>
        <v/>
      </c>
      <c r="BC42" s="246"/>
      <c r="BD42" s="246"/>
      <c r="BE42" s="246">
        <f ca="1">幕间计算!B60+IF(AND(幕间计算!A60&lt;&gt;"",COUNTIF(幕间计算!$A$2:A60,幕间计算!A60)=1),SUMIF(幕间计算!$C$200:$C$1199,幕间计算!A60,幕间计算!$E$200:$E$1199),0)</f>
        <v>0</v>
      </c>
      <c r="BF42" s="246"/>
      <c r="BG42" s="410"/>
      <c r="BH42" s="493"/>
      <c r="BI42" s="502"/>
      <c r="BJ42" s="503"/>
      <c r="BK42" s="503"/>
      <c r="BL42" s="503"/>
      <c r="BM42" s="503"/>
      <c r="BN42" s="503"/>
      <c r="BO42" s="503"/>
      <c r="BP42" s="503"/>
      <c r="BQ42" s="503"/>
      <c r="BR42" s="503"/>
      <c r="BS42" s="503"/>
      <c r="BT42" s="503"/>
      <c r="BU42" s="503"/>
      <c r="BV42" s="503"/>
      <c r="BW42" s="503"/>
      <c r="BX42" s="503"/>
      <c r="BY42" s="503"/>
      <c r="BZ42" s="503"/>
      <c r="CA42" s="503"/>
      <c r="CB42" s="503"/>
      <c r="CC42" s="503"/>
      <c r="CD42" s="503"/>
      <c r="CE42" s="503"/>
      <c r="CF42" s="503"/>
      <c r="CG42" s="503"/>
      <c r="CH42" s="503"/>
      <c r="CI42" s="503"/>
      <c r="CJ42" s="503"/>
      <c r="CK42" s="503"/>
      <c r="CL42" s="503"/>
      <c r="CM42" s="503"/>
      <c r="CN42" s="503"/>
      <c r="CO42" s="503"/>
      <c r="CP42" s="503"/>
      <c r="CQ42" s="503"/>
      <c r="CR42" s="503"/>
      <c r="CS42" s="503"/>
      <c r="CT42" s="503"/>
      <c r="CU42" s="503"/>
      <c r="CV42" s="503"/>
      <c r="CW42" s="503"/>
      <c r="CX42" s="504"/>
      <c r="CY42" s="191"/>
      <c r="CZ42" s="475"/>
      <c r="DA42" s="476"/>
      <c r="DB42" s="476"/>
      <c r="DC42" s="476"/>
      <c r="DD42" s="476"/>
      <c r="DE42" s="476"/>
      <c r="DF42" s="476"/>
      <c r="DG42" s="476"/>
      <c r="DH42" s="476"/>
      <c r="DI42" s="476"/>
      <c r="DJ42" s="476"/>
      <c r="DK42" s="476"/>
      <c r="DL42" s="476"/>
      <c r="DM42" s="476"/>
      <c r="DN42" s="476"/>
      <c r="DO42" s="476"/>
      <c r="DP42" s="476"/>
      <c r="DQ42" s="476"/>
      <c r="DR42" s="476"/>
      <c r="DS42" s="476"/>
      <c r="DT42" s="476"/>
      <c r="DU42" s="476"/>
      <c r="DV42" s="476"/>
      <c r="DW42" s="476"/>
      <c r="DX42" s="476"/>
      <c r="DY42" s="476"/>
      <c r="DZ42" s="476"/>
      <c r="EA42" s="476"/>
      <c r="EB42" s="476"/>
      <c r="EC42" s="476"/>
      <c r="ED42" s="477" t="str">
        <f>IF(CZ41="","",幕间计算!BW1199)</f>
        <v/>
      </c>
      <c r="EE42" s="478"/>
      <c r="EF42" s="416" t="s">
        <v>92</v>
      </c>
      <c r="EG42" s="479"/>
      <c r="EH42" s="191"/>
      <c r="EI42" s="472"/>
      <c r="EJ42" s="473"/>
      <c r="EK42" s="473"/>
      <c r="EL42" s="473"/>
      <c r="EM42" s="473"/>
      <c r="EN42" s="473"/>
      <c r="EO42" s="473"/>
      <c r="EP42" s="473"/>
      <c r="EQ42" s="473"/>
      <c r="ER42" s="473"/>
      <c r="ES42" s="473"/>
      <c r="ET42" s="473"/>
      <c r="EU42" s="473"/>
      <c r="EV42" s="473"/>
      <c r="EW42" s="473"/>
      <c r="EX42" s="473"/>
      <c r="EY42" s="474"/>
      <c r="EZ42" s="174"/>
    </row>
    <row r="43" customHeight="1" spans="1:156">
      <c r="A43" s="191"/>
      <c r="B43" s="506" t="s">
        <v>62</v>
      </c>
      <c r="C43" s="507"/>
      <c r="D43" s="508" t="s">
        <v>119</v>
      </c>
      <c r="E43" s="508"/>
      <c r="F43" s="508"/>
      <c r="G43" s="508"/>
      <c r="H43" s="508"/>
      <c r="I43" s="508"/>
      <c r="J43" s="508"/>
      <c r="K43" s="508"/>
      <c r="L43" s="508"/>
      <c r="M43" s="508"/>
      <c r="N43" s="508"/>
      <c r="O43" s="508"/>
      <c r="P43" s="509">
        <f ca="1" t="shared" si="0"/>
        <v>10</v>
      </c>
      <c r="Q43" s="509"/>
      <c r="R43" s="509"/>
      <c r="S43" s="510">
        <v>10</v>
      </c>
      <c r="T43" s="510"/>
      <c r="U43" s="510"/>
      <c r="V43" s="510" t="str">
        <f ca="1">IF(职业选项!V94&gt;0,职业选项!V94,"")</f>
        <v/>
      </c>
      <c r="W43" s="510"/>
      <c r="X43" s="510"/>
      <c r="Y43" s="510" t="str">
        <f ca="1">规则数据!H49</f>
        <v/>
      </c>
      <c r="Z43" s="510"/>
      <c r="AA43" s="510"/>
      <c r="AB43" s="510">
        <f ca="1">幕间计算!B31+IF(AND(幕间计算!A31&lt;&gt;"",COUNTIF(幕间计算!$A$2:A31,幕间计算!A31)=1),SUMIF(幕间计算!$C$200:$C$1199,幕间计算!A31,幕间计算!$E$200:$E$1199),0)</f>
        <v>0</v>
      </c>
      <c r="AC43" s="510"/>
      <c r="AD43" s="511"/>
      <c r="AE43" s="512" t="s">
        <v>62</v>
      </c>
      <c r="AF43" s="507"/>
      <c r="AG43" s="508" t="str">
        <f ca="1">IFERROR(INDEX(规则数据!$C$2:$C$9,SMALL(规则数据!$AX$2:$AX$9,4)),"")</f>
        <v/>
      </c>
      <c r="AH43" s="508"/>
      <c r="AI43" s="508"/>
      <c r="AJ43" s="508"/>
      <c r="AK43" s="508"/>
      <c r="AL43" s="508"/>
      <c r="AM43" s="508"/>
      <c r="AN43" s="508"/>
      <c r="AO43" s="508"/>
      <c r="AP43" s="508"/>
      <c r="AQ43" s="508"/>
      <c r="AR43" s="508"/>
      <c r="AS43" s="509">
        <f ca="1">MAX(0,MIN(99,IF(AY43="",N(AV43),N(AY43))+N(BB43)+N(BE43)))</f>
        <v>0</v>
      </c>
      <c r="AT43" s="509"/>
      <c r="AU43" s="509"/>
      <c r="AV43" s="513"/>
      <c r="AW43" s="513"/>
      <c r="AX43" s="513"/>
      <c r="AY43" s="510"/>
      <c r="AZ43" s="510"/>
      <c r="BA43" s="510"/>
      <c r="BB43" s="510" t="str">
        <f ca="1">规则数据!H78</f>
        <v/>
      </c>
      <c r="BC43" s="510"/>
      <c r="BD43" s="510"/>
      <c r="BE43" s="510">
        <f ca="1">幕间计算!B61+IF(AND(幕间计算!A61&lt;&gt;"",COUNTIF(幕间计算!$A$2:A61,幕间计算!A61)=1),SUMIF(幕间计算!$C$200:$C$1199,幕间计算!A61,幕间计算!$E$200:$E$1199),0)</f>
        <v>0</v>
      </c>
      <c r="BF43" s="510"/>
      <c r="BG43" s="514"/>
      <c r="BH43" s="493"/>
      <c r="BI43" s="515"/>
      <c r="BJ43" s="516"/>
      <c r="BK43" s="516"/>
      <c r="BL43" s="516"/>
      <c r="BM43" s="516"/>
      <c r="BN43" s="516"/>
      <c r="BO43" s="516"/>
      <c r="BP43" s="516"/>
      <c r="BQ43" s="516"/>
      <c r="BR43" s="516"/>
      <c r="BS43" s="516"/>
      <c r="BT43" s="516"/>
      <c r="BU43" s="516"/>
      <c r="BV43" s="516"/>
      <c r="BW43" s="516"/>
      <c r="BX43" s="516"/>
      <c r="BY43" s="516"/>
      <c r="BZ43" s="516"/>
      <c r="CA43" s="516"/>
      <c r="CB43" s="516"/>
      <c r="CC43" s="516"/>
      <c r="CD43" s="516"/>
      <c r="CE43" s="516"/>
      <c r="CF43" s="516"/>
      <c r="CG43" s="516"/>
      <c r="CH43" s="516"/>
      <c r="CI43" s="516"/>
      <c r="CJ43" s="516"/>
      <c r="CK43" s="516"/>
      <c r="CL43" s="516"/>
      <c r="CM43" s="516"/>
      <c r="CN43" s="516"/>
      <c r="CO43" s="516"/>
      <c r="CP43" s="516"/>
      <c r="CQ43" s="516"/>
      <c r="CR43" s="516"/>
      <c r="CS43" s="516"/>
      <c r="CT43" s="516"/>
      <c r="CU43" s="516"/>
      <c r="CV43" s="516"/>
      <c r="CW43" s="516"/>
      <c r="CX43" s="517"/>
      <c r="CY43" s="191"/>
      <c r="CZ43" s="518"/>
      <c r="DA43" s="519"/>
      <c r="DB43" s="519"/>
      <c r="DC43" s="519"/>
      <c r="DD43" s="519"/>
      <c r="DE43" s="519"/>
      <c r="DF43" s="519"/>
      <c r="DG43" s="519"/>
      <c r="DH43" s="519"/>
      <c r="DI43" s="519"/>
      <c r="DJ43" s="519"/>
      <c r="DK43" s="519"/>
      <c r="DL43" s="519"/>
      <c r="DM43" s="519"/>
      <c r="DN43" s="519"/>
      <c r="DO43" s="519"/>
      <c r="DP43" s="519"/>
      <c r="DQ43" s="519"/>
      <c r="DR43" s="519"/>
      <c r="DS43" s="519"/>
      <c r="DT43" s="519"/>
      <c r="DU43" s="519"/>
      <c r="DV43" s="519"/>
      <c r="DW43" s="519"/>
      <c r="DX43" s="519"/>
      <c r="DY43" s="519"/>
      <c r="DZ43" s="519"/>
      <c r="EA43" s="519"/>
      <c r="EB43" s="519"/>
      <c r="EC43" s="519"/>
      <c r="ED43" s="520"/>
      <c r="EE43" s="521"/>
      <c r="EF43" s="522"/>
      <c r="EG43" s="523"/>
      <c r="EH43" s="191"/>
      <c r="EI43" s="472"/>
      <c r="EJ43" s="473"/>
      <c r="EK43" s="473"/>
      <c r="EL43" s="473"/>
      <c r="EM43" s="473"/>
      <c r="EN43" s="473"/>
      <c r="EO43" s="473"/>
      <c r="EP43" s="473"/>
      <c r="EQ43" s="473"/>
      <c r="ER43" s="473"/>
      <c r="ES43" s="473"/>
      <c r="ET43" s="473"/>
      <c r="EU43" s="473"/>
      <c r="EV43" s="473"/>
      <c r="EW43" s="473"/>
      <c r="EX43" s="473"/>
      <c r="EY43" s="474"/>
      <c r="EZ43" s="174"/>
    </row>
    <row r="44" customHeight="1" spans="1:156">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c r="AA44" s="173"/>
      <c r="AB44" s="173"/>
      <c r="AC44" s="173"/>
      <c r="AD44" s="173"/>
      <c r="AE44" s="173"/>
      <c r="AF44" s="173"/>
      <c r="AG44" s="173"/>
      <c r="AH44" s="173"/>
      <c r="AI44" s="173"/>
      <c r="AJ44" s="173"/>
      <c r="AK44" s="173"/>
      <c r="AL44" s="173"/>
      <c r="AM44" s="173"/>
      <c r="AN44" s="173"/>
      <c r="AO44" s="173"/>
      <c r="AP44" s="173"/>
      <c r="AQ44" s="173"/>
      <c r="AR44" s="173"/>
      <c r="AS44" s="173"/>
      <c r="AT44" s="173"/>
      <c r="AU44" s="173"/>
      <c r="AV44" s="173"/>
      <c r="AW44" s="173"/>
      <c r="AX44" s="173"/>
      <c r="AY44" s="173"/>
      <c r="AZ44" s="173"/>
      <c r="BA44" s="173"/>
      <c r="BB44" s="173"/>
      <c r="BC44" s="173"/>
      <c r="BD44" s="173"/>
      <c r="BE44" s="173"/>
      <c r="BF44" s="173"/>
      <c r="BG44" s="173"/>
      <c r="BI44" s="173"/>
      <c r="BJ44" s="173"/>
      <c r="BK44" s="173"/>
      <c r="BL44" s="173"/>
      <c r="BM44" s="173"/>
      <c r="BN44" s="173"/>
      <c r="BO44" s="173"/>
      <c r="BP44" s="173"/>
      <c r="BQ44" s="173"/>
      <c r="BR44" s="524"/>
      <c r="BS44" s="524"/>
      <c r="BT44" s="524"/>
      <c r="BU44" s="524"/>
      <c r="BV44" s="524"/>
      <c r="BW44" s="524"/>
      <c r="BX44" s="524"/>
      <c r="BY44" s="524"/>
      <c r="BZ44" s="524"/>
      <c r="CA44" s="524"/>
      <c r="CB44" s="524"/>
      <c r="CC44" s="524"/>
      <c r="CD44" s="524"/>
      <c r="CE44" s="524"/>
      <c r="CF44" s="524"/>
      <c r="CG44" s="524"/>
      <c r="CH44" s="524"/>
      <c r="CI44" s="524"/>
      <c r="CJ44" s="524"/>
      <c r="CK44" s="524"/>
      <c r="CL44" s="524"/>
      <c r="CM44" s="524"/>
      <c r="CN44" s="173"/>
      <c r="CO44" s="173"/>
      <c r="CP44" s="173"/>
      <c r="CQ44" s="173"/>
      <c r="CR44" s="173"/>
      <c r="CS44" s="173"/>
      <c r="CT44" s="173"/>
      <c r="CU44" s="173"/>
      <c r="CV44" s="173"/>
      <c r="CW44" s="173"/>
      <c r="CX44" s="173"/>
      <c r="CZ44" s="173"/>
      <c r="DA44" s="173"/>
      <c r="DB44" s="173"/>
      <c r="DC44" s="173"/>
      <c r="DD44" s="173"/>
      <c r="DE44" s="173"/>
      <c r="DF44" s="173"/>
      <c r="DG44" s="173"/>
      <c r="DH44" s="173"/>
      <c r="DI44" s="173"/>
      <c r="DJ44" s="173"/>
      <c r="DK44" s="173"/>
      <c r="DL44" s="173"/>
      <c r="DM44" s="173"/>
      <c r="DN44" s="173"/>
      <c r="DO44" s="173"/>
      <c r="DP44" s="173"/>
      <c r="DQ44" s="173"/>
      <c r="DR44" s="173"/>
      <c r="DS44" s="173"/>
      <c r="DT44" s="173"/>
      <c r="DU44" s="173"/>
      <c r="DV44" s="173"/>
      <c r="DW44" s="173"/>
      <c r="DX44" s="173"/>
      <c r="DY44" s="173"/>
      <c r="DZ44" s="173"/>
      <c r="EA44" s="173"/>
      <c r="EB44" s="173"/>
      <c r="EC44" s="173"/>
      <c r="ED44" s="173"/>
      <c r="EE44" s="173"/>
      <c r="EF44" s="173"/>
      <c r="EG44" s="173"/>
      <c r="EI44" s="173"/>
      <c r="EJ44" s="173"/>
      <c r="EK44" s="173"/>
      <c r="EL44" s="173"/>
      <c r="EM44" s="173"/>
      <c r="EN44" s="173"/>
      <c r="EO44" s="173"/>
      <c r="EP44" s="173"/>
      <c r="EQ44" s="173"/>
      <c r="ER44" s="173"/>
      <c r="ES44" s="173"/>
      <c r="ET44" s="173"/>
      <c r="EU44" s="173"/>
      <c r="EV44" s="173"/>
      <c r="EW44" s="173"/>
      <c r="EX44" s="173"/>
      <c r="EY44" s="173"/>
    </row>
    <row r="45" customHeight="1" spans="1:156">
      <c r="B45" s="525"/>
      <c r="C45" s="525"/>
      <c r="D45" s="525"/>
      <c r="E45" s="525"/>
      <c r="F45" s="525"/>
      <c r="G45" s="525"/>
      <c r="H45" s="525"/>
      <c r="I45" s="525"/>
      <c r="J45" s="525"/>
      <c r="K45" s="525"/>
      <c r="L45" s="525"/>
      <c r="M45" s="525"/>
      <c r="N45" s="525"/>
      <c r="O45" s="525"/>
      <c r="P45" s="525"/>
      <c r="Q45" s="525"/>
      <c r="R45" s="525"/>
      <c r="S45" s="525"/>
      <c r="T45" s="525"/>
      <c r="U45" s="525"/>
      <c r="V45" s="525"/>
      <c r="W45" s="525"/>
      <c r="X45" s="525"/>
      <c r="Y45" s="525"/>
      <c r="Z45" s="525"/>
      <c r="AA45" s="525"/>
      <c r="AB45" s="525"/>
      <c r="AC45" s="525"/>
      <c r="AD45" s="525"/>
      <c r="AE45" s="525"/>
      <c r="AF45" s="525"/>
      <c r="AG45" s="525"/>
      <c r="AH45" s="525"/>
      <c r="AI45" s="525"/>
      <c r="AJ45" s="525"/>
      <c r="AK45" s="525"/>
      <c r="AL45" s="525"/>
      <c r="AM45" s="525"/>
      <c r="AN45" s="525"/>
      <c r="AO45" s="525"/>
      <c r="AP45" s="525"/>
      <c r="AQ45" s="525"/>
      <c r="AR45" s="525"/>
      <c r="AS45" s="525"/>
      <c r="AT45" s="525"/>
      <c r="AU45" s="525"/>
      <c r="AV45" s="525"/>
      <c r="AW45" s="525"/>
      <c r="AX45" s="525"/>
      <c r="AY45" s="525"/>
      <c r="AZ45" s="525"/>
      <c r="BA45" s="525"/>
      <c r="BB45" s="525"/>
      <c r="BC45" s="525"/>
      <c r="BD45" s="525"/>
      <c r="BE45" s="525"/>
      <c r="BF45" s="525"/>
      <c r="BG45" s="525"/>
      <c r="BH45" s="525"/>
      <c r="BI45" s="525"/>
      <c r="BJ45" s="525"/>
      <c r="BK45" s="525"/>
      <c r="BL45" s="525"/>
      <c r="BM45" s="525"/>
      <c r="BN45" s="525"/>
      <c r="BO45" s="525"/>
      <c r="BP45" s="525"/>
      <c r="BQ45" s="525"/>
      <c r="BR45" s="526"/>
      <c r="BS45" s="526"/>
      <c r="BT45" s="526"/>
      <c r="BU45" s="526"/>
      <c r="BV45" s="527"/>
      <c r="BW45" s="527"/>
      <c r="BX45" s="527"/>
      <c r="BY45" s="527"/>
      <c r="BZ45" s="527"/>
      <c r="CA45" s="527"/>
      <c r="CB45" s="527"/>
      <c r="CC45" s="527"/>
      <c r="CD45" s="527"/>
      <c r="CE45" s="527"/>
      <c r="CF45" s="527"/>
      <c r="CG45" s="527"/>
      <c r="CH45" s="527"/>
      <c r="CI45" s="527"/>
      <c r="CJ45" s="527"/>
      <c r="CK45" s="527"/>
      <c r="CL45" s="527"/>
      <c r="CM45" s="527"/>
      <c r="CN45" s="177"/>
      <c r="CO45" s="177"/>
      <c r="CP45" s="177"/>
      <c r="CQ45" s="177"/>
      <c r="CR45" s="173"/>
      <c r="CS45" s="173"/>
      <c r="CT45" s="173"/>
      <c r="CU45" s="173"/>
      <c r="CV45" s="173"/>
      <c r="CW45" s="173"/>
      <c r="CX45" s="173"/>
      <c r="CZ45" s="173"/>
      <c r="DA45" s="173"/>
      <c r="DB45" s="173"/>
      <c r="DC45" s="173"/>
      <c r="DD45" s="173"/>
      <c r="DE45" s="173"/>
      <c r="DF45" s="177"/>
      <c r="DG45" s="177"/>
      <c r="DH45" s="177"/>
      <c r="DI45" s="177"/>
      <c r="DJ45" s="177"/>
      <c r="DK45" s="177"/>
      <c r="DL45" s="177"/>
      <c r="DM45" s="177"/>
      <c r="DN45" s="177"/>
      <c r="DO45" s="177"/>
      <c r="DP45" s="177"/>
      <c r="DQ45" s="177"/>
      <c r="DR45" s="177"/>
      <c r="DS45" s="173"/>
      <c r="DT45" s="173"/>
      <c r="DU45" s="173"/>
      <c r="DV45" s="173"/>
      <c r="DW45" s="173"/>
      <c r="DX45" s="173"/>
      <c r="DY45" s="173"/>
      <c r="DZ45" s="173"/>
      <c r="EA45" s="173"/>
      <c r="EB45" s="173"/>
      <c r="EC45" s="173"/>
      <c r="ED45" s="173"/>
      <c r="EE45" s="173"/>
      <c r="EF45" s="173"/>
      <c r="EG45" s="173"/>
      <c r="EI45" s="173"/>
      <c r="EJ45" s="173"/>
      <c r="EK45" s="173"/>
      <c r="EL45" s="173"/>
      <c r="EM45" s="173"/>
      <c r="EN45" s="173"/>
      <c r="EO45" s="173"/>
      <c r="EP45" s="173"/>
      <c r="EQ45" s="173"/>
      <c r="ER45" s="173"/>
      <c r="ES45" s="173"/>
      <c r="ET45" s="173"/>
      <c r="EU45" s="173"/>
      <c r="EV45" s="173"/>
      <c r="EW45" s="173"/>
      <c r="EX45" s="173"/>
      <c r="EY45" s="173"/>
    </row>
    <row r="46" customHeight="1" spans="1:156">
      <c r="A46" s="191"/>
      <c r="B46" s="528" t="s">
        <v>120</v>
      </c>
      <c r="C46" s="529"/>
      <c r="D46" s="529"/>
      <c r="E46" s="529"/>
      <c r="F46" s="529"/>
      <c r="G46" s="530"/>
      <c r="H46" s="531" t="s">
        <v>121</v>
      </c>
      <c r="I46" s="532"/>
      <c r="J46" s="532"/>
      <c r="K46" s="532"/>
      <c r="L46" s="532"/>
      <c r="M46" s="532"/>
      <c r="N46" s="532"/>
      <c r="O46" s="532"/>
      <c r="P46" s="532"/>
      <c r="Q46" s="532"/>
      <c r="R46" s="532"/>
      <c r="S46" s="532"/>
      <c r="T46" s="532"/>
      <c r="U46" s="532"/>
      <c r="V46" s="532"/>
      <c r="W46" s="532"/>
      <c r="X46" s="532"/>
      <c r="Y46" s="532"/>
      <c r="Z46" s="532"/>
      <c r="AA46" s="532"/>
      <c r="AB46" s="532"/>
      <c r="AC46" s="532"/>
      <c r="AD46" s="532"/>
      <c r="AE46" s="532"/>
      <c r="AF46" s="532"/>
      <c r="AG46" s="532"/>
      <c r="AH46" s="532"/>
      <c r="AI46" s="532"/>
      <c r="AJ46" s="533"/>
      <c r="AK46" s="534"/>
      <c r="AL46" s="535"/>
      <c r="AM46" s="535"/>
      <c r="AN46" s="535"/>
      <c r="AO46" s="535"/>
      <c r="AP46" s="535"/>
      <c r="AQ46" s="535"/>
      <c r="AR46" s="535"/>
      <c r="AS46" s="535"/>
      <c r="AT46" s="535"/>
      <c r="AU46" s="535"/>
      <c r="AV46" s="535"/>
      <c r="AW46" s="535"/>
      <c r="AX46" s="535"/>
      <c r="AY46" s="535"/>
      <c r="AZ46" s="535"/>
      <c r="BA46" s="535"/>
      <c r="BB46" s="535"/>
      <c r="BC46" s="536"/>
      <c r="BD46" s="174"/>
      <c r="BM46" s="324"/>
      <c r="BN46" s="528" t="s">
        <v>122</v>
      </c>
      <c r="BO46" s="529"/>
      <c r="BP46" s="529"/>
      <c r="BQ46" s="529"/>
      <c r="BR46" s="529"/>
      <c r="BS46" s="529"/>
      <c r="BT46" s="529"/>
      <c r="BU46" s="529"/>
      <c r="BV46" s="537"/>
      <c r="BW46" s="205" t="s">
        <v>123</v>
      </c>
      <c r="BX46" s="205"/>
      <c r="BY46" s="205"/>
      <c r="BZ46" s="205"/>
      <c r="CA46" s="205"/>
      <c r="CB46" s="205"/>
      <c r="CC46" s="205"/>
      <c r="CD46" s="205"/>
      <c r="CE46" s="205"/>
      <c r="CF46" s="205"/>
      <c r="CG46" s="205"/>
      <c r="CH46" s="205"/>
      <c r="CI46" s="205"/>
      <c r="CJ46" s="205"/>
      <c r="CK46" s="205"/>
      <c r="CL46" s="205"/>
      <c r="CM46" s="205"/>
      <c r="CN46" s="205"/>
      <c r="CO46" s="205"/>
      <c r="CP46" s="205"/>
      <c r="CQ46" s="538"/>
      <c r="CR46" s="174"/>
      <c r="CZ46" s="539" t="s">
        <v>124</v>
      </c>
      <c r="DA46" s="540"/>
      <c r="DB46" s="540"/>
      <c r="DC46" s="540"/>
      <c r="DD46" s="540"/>
      <c r="DE46" s="540"/>
      <c r="DF46" s="541" t="s">
        <v>125</v>
      </c>
      <c r="DG46" s="542"/>
      <c r="DH46" s="542"/>
      <c r="DI46" s="542"/>
      <c r="DJ46" s="542"/>
      <c r="DK46" s="542"/>
      <c r="DL46" s="542"/>
      <c r="DM46" s="542"/>
      <c r="DN46" s="542"/>
      <c r="DO46" s="542"/>
      <c r="DP46" s="542"/>
      <c r="DQ46" s="542"/>
      <c r="DR46" s="543"/>
      <c r="DS46" s="174"/>
    </row>
    <row r="47" customHeight="1" spans="1:156">
      <c r="A47" s="191"/>
      <c r="B47" s="544" t="s">
        <v>126</v>
      </c>
      <c r="C47" s="545"/>
      <c r="D47" s="545"/>
      <c r="E47" s="545"/>
      <c r="F47" s="545"/>
      <c r="G47" s="546"/>
      <c r="H47" s="547"/>
      <c r="I47" s="548"/>
      <c r="J47" s="548"/>
      <c r="K47" s="548"/>
      <c r="L47" s="548"/>
      <c r="M47" s="548"/>
      <c r="N47" s="548"/>
      <c r="O47" s="548"/>
      <c r="P47" s="548"/>
      <c r="Q47" s="548"/>
      <c r="R47" s="548"/>
      <c r="S47" s="548"/>
      <c r="T47" s="548"/>
      <c r="U47" s="549"/>
      <c r="V47" s="550" t="str">
        <f>IF(附表!I12=FALSE,"←请选择子模板","")</f>
        <v/>
      </c>
      <c r="W47" s="550"/>
      <c r="X47" s="550"/>
      <c r="Y47" s="550"/>
      <c r="Z47" s="550"/>
      <c r="AA47" s="550"/>
      <c r="AB47" s="550"/>
      <c r="AC47" s="550"/>
      <c r="AD47" s="550"/>
      <c r="AE47" s="550"/>
      <c r="AF47" s="550"/>
      <c r="AG47" s="550"/>
      <c r="AH47" s="550"/>
      <c r="AI47" s="550"/>
      <c r="AJ47" s="550"/>
      <c r="AK47" s="173"/>
      <c r="AL47" s="551"/>
      <c r="AM47" s="551"/>
      <c r="AN47" s="551"/>
      <c r="AO47" s="551"/>
      <c r="AP47" s="551"/>
      <c r="AQ47" s="551"/>
      <c r="AR47" s="551"/>
      <c r="AS47" s="551"/>
      <c r="AT47" s="551"/>
      <c r="AU47" s="551"/>
      <c r="AV47" s="551"/>
      <c r="AW47" s="551"/>
      <c r="AX47" s="551"/>
      <c r="AY47" s="551"/>
      <c r="AZ47" s="551"/>
      <c r="BA47" s="551"/>
      <c r="BB47" s="551"/>
      <c r="BC47" s="552"/>
      <c r="BD47" s="553"/>
      <c r="BE47" s="554"/>
      <c r="BM47" s="324"/>
      <c r="BN47" s="555" t="s">
        <v>127</v>
      </c>
      <c r="BO47" s="556"/>
      <c r="BP47" s="556"/>
      <c r="BQ47" s="556"/>
      <c r="BR47" s="556"/>
      <c r="BS47" s="556"/>
      <c r="BT47" s="556"/>
      <c r="BU47" s="556"/>
      <c r="BV47" s="556"/>
      <c r="BW47" s="556"/>
      <c r="BX47" s="556"/>
      <c r="BY47" s="556"/>
      <c r="BZ47" s="556"/>
      <c r="CA47" s="556"/>
      <c r="CB47" s="556"/>
      <c r="CC47" s="556"/>
      <c r="CD47" s="556"/>
      <c r="CE47" s="556"/>
      <c r="CF47" s="556"/>
      <c r="CG47" s="556"/>
      <c r="CH47" s="556"/>
      <c r="CI47" s="556"/>
      <c r="CJ47" s="556"/>
      <c r="CK47" s="556"/>
      <c r="CL47" s="556"/>
      <c r="CM47" s="556"/>
      <c r="CN47" s="556"/>
      <c r="CO47" s="556"/>
      <c r="CP47" s="556"/>
      <c r="CQ47" s="557"/>
      <c r="CR47" s="174"/>
      <c r="CY47" s="324"/>
      <c r="CZ47" s="558" t="str">
        <f>IFERROR(IF(INDEX(附表!$B$84:$G$88,MATCH($DF$46,附表!$A$84:$A$88,0),1)=0,"",INDEX(附表!$B$84:$G$88,MATCH($DF$46,附表!$A$84:$A$88,0),1)),"")</f>
        <v> </v>
      </c>
      <c r="DA47" s="559"/>
      <c r="DB47" s="559"/>
      <c r="DC47" s="559"/>
      <c r="DD47" s="559"/>
      <c r="DE47" s="559"/>
      <c r="DF47" s="559"/>
      <c r="DG47" s="559"/>
      <c r="DH47" s="559"/>
      <c r="DI47" s="559"/>
      <c r="DJ47" s="559"/>
      <c r="DK47" s="559"/>
      <c r="DL47" s="559"/>
      <c r="DM47" s="559"/>
      <c r="DN47" s="559"/>
      <c r="DO47" s="559"/>
      <c r="DP47" s="559"/>
      <c r="DQ47" s="559"/>
      <c r="DR47" s="560"/>
      <c r="DS47" s="174"/>
    </row>
    <row r="48" customHeight="1" spans="1:156">
      <c r="A48" s="191"/>
      <c r="B48" s="561" t="str">
        <f>IF(附表!$I$12,IF(附表!A20=0,"",附表!A20),"")</f>
        <v>任选10个本职技能，分配350</v>
      </c>
      <c r="C48" s="562"/>
      <c r="D48" s="562"/>
      <c r="E48" s="562"/>
      <c r="F48" s="562"/>
      <c r="G48" s="562"/>
      <c r="H48" s="562"/>
      <c r="I48" s="562"/>
      <c r="J48" s="562"/>
      <c r="K48" s="562"/>
      <c r="L48" s="562"/>
      <c r="M48" s="562"/>
      <c r="N48" s="562"/>
      <c r="O48" s="562"/>
      <c r="P48" s="563" t="str">
        <f ca="1">IF(职业选项!$T$3&gt;0,"下拉选"&amp;职业选项!$T$3&amp;"·已选"&amp;职业选项!$T$4,"无任选项")</f>
        <v>无任选项</v>
      </c>
      <c r="Q48" s="563"/>
      <c r="R48" s="563"/>
      <c r="S48" s="563"/>
      <c r="T48" s="563"/>
      <c r="U48" s="563"/>
      <c r="V48" s="563"/>
      <c r="W48" s="563"/>
      <c r="X48" s="563"/>
      <c r="Y48" s="563"/>
      <c r="Z48" s="564"/>
      <c r="AA48" s="565" t="s">
        <v>128</v>
      </c>
      <c r="AB48" s="566"/>
      <c r="AC48" s="566"/>
      <c r="AD48" s="566"/>
      <c r="AE48" s="566"/>
      <c r="AF48" s="566"/>
      <c r="AG48" s="566"/>
      <c r="AH48" s="567" t="str">
        <f>附表!C16</f>
        <v>≤4</v>
      </c>
      <c r="AI48" s="568"/>
      <c r="AJ48" s="568"/>
      <c r="AK48" s="569" t="str">
        <f>IF(附表!AN15=0,"","装备：")</f>
        <v/>
      </c>
      <c r="AL48" s="569"/>
      <c r="AM48" s="569"/>
      <c r="AN48" s="569"/>
      <c r="AO48" s="569"/>
      <c r="AP48" s="569"/>
      <c r="AQ48" s="569"/>
      <c r="AR48" s="569"/>
      <c r="AS48" s="569"/>
      <c r="AT48" s="569"/>
      <c r="AU48" s="569"/>
      <c r="AV48" s="569"/>
      <c r="AW48" s="569"/>
      <c r="AX48" s="569"/>
      <c r="AY48" s="569"/>
      <c r="AZ48" s="569"/>
      <c r="BA48" s="569"/>
      <c r="BB48" s="569"/>
      <c r="BC48" s="570"/>
      <c r="BD48" s="553"/>
      <c r="BE48" s="554"/>
      <c r="BM48" s="324"/>
      <c r="BN48" s="571" t="s">
        <v>129</v>
      </c>
      <c r="BO48" s="569"/>
      <c r="BP48" s="569"/>
      <c r="BQ48" s="569"/>
      <c r="BR48" s="569"/>
      <c r="BS48" s="569"/>
      <c r="BT48" s="569"/>
      <c r="BU48" s="569"/>
      <c r="BV48" s="569"/>
      <c r="BZ48" s="572" t="s">
        <v>130</v>
      </c>
      <c r="CQ48" s="573"/>
      <c r="CR48" s="174"/>
      <c r="CY48" s="324"/>
      <c r="CZ48" s="574" t="str">
        <f>IFERROR(IF(INDEX(附表!$B$84:$G$88,MATCH($DF$46,附表!$A$84:$A$88,0),2)=0,"",INDEX(附表!$B$84:$G$88,MATCH($DF$46,附表!$A$84:$A$88,0),2)),"")</f>
        <v> </v>
      </c>
      <c r="DR48" s="573"/>
      <c r="DS48" s="174"/>
    </row>
    <row r="49" customHeight="1" spans="1:156">
      <c r="A49" s="191"/>
      <c r="B49" s="561" t="str">
        <f>IF(附表!$I$12,IF(附表!A21=0,"",附表!A21),"")</f>
        <v>技能点，额外加在基础值上，</v>
      </c>
      <c r="C49" s="562"/>
      <c r="D49" s="562"/>
      <c r="E49" s="562"/>
      <c r="F49" s="562"/>
      <c r="G49" s="562"/>
      <c r="H49" s="562"/>
      <c r="I49" s="562"/>
      <c r="J49" s="562"/>
      <c r="K49" s="562"/>
      <c r="L49" s="562"/>
      <c r="M49" s="562"/>
      <c r="N49" s="562"/>
      <c r="O49" s="562"/>
      <c r="P49" s="575" t="s">
        <v>62</v>
      </c>
      <c r="Q49" s="576"/>
      <c r="R49" s="577" t="str">
        <f ca="1">IF(AND(附表!$I$12,职业选项!A18&lt;&gt;""),职业选项!A18,"")</f>
        <v/>
      </c>
      <c r="S49" s="568"/>
      <c r="T49" s="568"/>
      <c r="U49" s="568"/>
      <c r="V49" s="568"/>
      <c r="W49" s="568"/>
      <c r="X49" s="568"/>
      <c r="Y49" s="568"/>
      <c r="Z49" s="578"/>
      <c r="AA49" s="579" t="str">
        <f>IF(附表!B16=0,"","推荐属性：")</f>
        <v/>
      </c>
      <c r="AB49" s="579"/>
      <c r="AC49" s="579"/>
      <c r="AD49" s="579"/>
      <c r="AE49" s="579"/>
      <c r="AF49" s="579"/>
      <c r="AG49" s="580"/>
      <c r="AH49" s="580"/>
      <c r="AI49" s="580"/>
      <c r="AJ49" s="581"/>
      <c r="AK49" s="582" t="str">
        <f>IF(附表!AN15=0,"",附表!AN15)</f>
        <v/>
      </c>
      <c r="AL49" s="582"/>
      <c r="AM49" s="582"/>
      <c r="AN49" s="582"/>
      <c r="AO49" s="582"/>
      <c r="AP49" s="582"/>
      <c r="AQ49" s="582"/>
      <c r="AR49" s="582"/>
      <c r="AS49" s="582"/>
      <c r="AT49" s="582"/>
      <c r="AU49" s="582"/>
      <c r="AV49" s="582"/>
      <c r="AW49" s="582"/>
      <c r="AX49" s="582"/>
      <c r="AY49" s="582"/>
      <c r="AZ49" s="582"/>
      <c r="BA49" s="582"/>
      <c r="BB49" s="582"/>
      <c r="BC49" s="583"/>
      <c r="BD49" s="553"/>
      <c r="BE49" s="554"/>
      <c r="BM49" s="324"/>
      <c r="BN49" s="571" t="str">
        <f ca="1">规则数据!A2</f>
        <v>自选技能1（+20）</v>
      </c>
      <c r="BO49" s="584"/>
      <c r="BP49" s="584"/>
      <c r="BQ49" s="584"/>
      <c r="BR49" s="584"/>
      <c r="BS49" s="584"/>
      <c r="BT49" s="584"/>
      <c r="BU49" s="584"/>
      <c r="BV49" s="584"/>
      <c r="BW49" s="584"/>
      <c r="BX49" s="584"/>
      <c r="BY49" s="584"/>
      <c r="BZ49" s="585"/>
      <c r="CA49" s="586"/>
      <c r="CB49" s="586"/>
      <c r="CC49" s="586"/>
      <c r="CD49" s="586"/>
      <c r="CE49" s="586"/>
      <c r="CF49" s="586"/>
      <c r="CG49" s="586"/>
      <c r="CH49" s="586"/>
      <c r="CI49" s="586"/>
      <c r="CJ49" s="586"/>
      <c r="CK49" s="586"/>
      <c r="CQ49" s="573"/>
      <c r="CR49" s="174"/>
      <c r="CY49" s="324"/>
      <c r="CZ49" s="574" t="str">
        <f>IFERROR(IF(INDEX(附表!$B$84:$G$88,MATCH($DF$46,附表!$A$84:$A$88,0),3)=0,"",INDEX(附表!$B$84:$G$88,MATCH($DF$46,附表!$A$84:$A$88,0),3)),"")</f>
        <v> </v>
      </c>
      <c r="DR49" s="573"/>
      <c r="DS49" s="174"/>
    </row>
    <row r="50" customHeight="1" spans="1:156">
      <c r="A50" s="191"/>
      <c r="B50" s="561" t="str">
        <f>IF(附表!$I$12,IF(附表!A22=0,"",附表!A22),"")</f>
        <v>最高至60%。重要关系自4个开</v>
      </c>
      <c r="C50" s="562"/>
      <c r="D50" s="562"/>
      <c r="E50" s="562"/>
      <c r="F50" s="562"/>
      <c r="G50" s="562"/>
      <c r="H50" s="562"/>
      <c r="I50" s="562"/>
      <c r="J50" s="562"/>
      <c r="K50" s="562"/>
      <c r="L50" s="562"/>
      <c r="M50" s="562"/>
      <c r="N50" s="562"/>
      <c r="O50" s="562"/>
      <c r="P50" s="575" t="s">
        <v>131</v>
      </c>
      <c r="Q50" s="576"/>
      <c r="R50" s="577" t="str">
        <f ca="1">IF(AND(附表!$I$12,职业选项!A19&lt;&gt;""),职业选项!A19,"")</f>
        <v/>
      </c>
      <c r="S50" s="568"/>
      <c r="T50" s="568"/>
      <c r="U50" s="568"/>
      <c r="V50" s="568"/>
      <c r="W50" s="568"/>
      <c r="X50" s="568"/>
      <c r="Y50" s="568"/>
      <c r="Z50" s="578"/>
      <c r="AA50" s="587" t="str">
        <f>IF(附表!B16=0,"",附表!B16)</f>
        <v/>
      </c>
      <c r="AB50" s="588"/>
      <c r="AC50" s="588"/>
      <c r="AD50" s="588"/>
      <c r="AE50" s="588"/>
      <c r="AF50" s="588"/>
      <c r="AG50" s="588"/>
      <c r="AH50" s="588"/>
      <c r="AI50" s="588"/>
      <c r="AJ50" s="588"/>
      <c r="AK50" s="582"/>
      <c r="AL50" s="582"/>
      <c r="AM50" s="582"/>
      <c r="AN50" s="582"/>
      <c r="AO50" s="582"/>
      <c r="AP50" s="582"/>
      <c r="AQ50" s="582"/>
      <c r="AR50" s="582"/>
      <c r="AS50" s="582"/>
      <c r="AT50" s="582"/>
      <c r="AU50" s="582"/>
      <c r="AV50" s="582"/>
      <c r="AW50" s="582"/>
      <c r="AX50" s="582"/>
      <c r="AY50" s="582"/>
      <c r="AZ50" s="582"/>
      <c r="BA50" s="582"/>
      <c r="BB50" s="582"/>
      <c r="BC50" s="583"/>
      <c r="BD50" s="553"/>
      <c r="BE50" s="554"/>
      <c r="BM50" s="324"/>
      <c r="BN50" s="571" t="str">
        <f ca="1">规则数据!A3</f>
        <v>自选技能2（+20）</v>
      </c>
      <c r="BO50" s="584"/>
      <c r="BP50" s="584"/>
      <c r="BQ50" s="584"/>
      <c r="BR50" s="584"/>
      <c r="BS50" s="584"/>
      <c r="BT50" s="584"/>
      <c r="BU50" s="584"/>
      <c r="BV50" s="584"/>
      <c r="BW50" s="584"/>
      <c r="BX50" s="584"/>
      <c r="BY50" s="584"/>
      <c r="BZ50" s="585"/>
      <c r="CA50" s="586"/>
      <c r="CB50" s="586"/>
      <c r="CC50" s="586"/>
      <c r="CD50" s="586"/>
      <c r="CE50" s="586"/>
      <c r="CF50" s="586"/>
      <c r="CG50" s="586"/>
      <c r="CH50" s="586"/>
      <c r="CI50" s="586"/>
      <c r="CJ50" s="586"/>
      <c r="CK50" s="586"/>
      <c r="CQ50" s="573"/>
      <c r="CR50" s="174"/>
      <c r="CY50" s="324"/>
      <c r="CZ50" s="574" t="str">
        <f>IFERROR(IF(INDEX(附表!$B$84:$G$88,MATCH($DF$46,附表!$A$84:$A$88,0),4)=0,"",INDEX(附表!$B$84:$G$88,MATCH($DF$46,附表!$A$84:$A$88,0),4)),"")</f>
        <v> </v>
      </c>
      <c r="DR50" s="573"/>
      <c r="DS50" s="174"/>
    </row>
    <row r="51" customHeight="1" spans="1:156">
      <c r="A51" s="191"/>
      <c r="B51" s="561" t="str">
        <f>IF(附表!$I$12,IF(附表!A23=0,"",附表!A23),"")</f>
        <v>始每少一个（最少1个），增</v>
      </c>
      <c r="C51" s="562"/>
      <c r="D51" s="562"/>
      <c r="E51" s="562"/>
      <c r="F51" s="562"/>
      <c r="G51" s="562"/>
      <c r="H51" s="562"/>
      <c r="I51" s="562"/>
      <c r="J51" s="562"/>
      <c r="K51" s="562"/>
      <c r="L51" s="562"/>
      <c r="M51" s="562"/>
      <c r="N51" s="562"/>
      <c r="O51" s="562"/>
      <c r="P51" s="575" t="s">
        <v>62</v>
      </c>
      <c r="Q51" s="576"/>
      <c r="R51" s="577" t="str">
        <f ca="1">IF(AND(附表!$I$12,职业选项!A20&lt;&gt;""),职业选项!A20,"")</f>
        <v/>
      </c>
      <c r="S51" s="568"/>
      <c r="T51" s="568"/>
      <c r="U51" s="568"/>
      <c r="V51" s="568"/>
      <c r="W51" s="568"/>
      <c r="X51" s="568"/>
      <c r="Y51" s="568"/>
      <c r="Z51" s="578"/>
      <c r="AA51" s="589" t="str">
        <f>IF(附表!F20=0,"","建议额外技能：")</f>
        <v/>
      </c>
      <c r="AB51" s="590"/>
      <c r="AC51" s="590"/>
      <c r="AD51" s="590"/>
      <c r="AE51" s="590"/>
      <c r="AF51" s="590"/>
      <c r="AG51" s="590"/>
      <c r="AH51" s="590"/>
      <c r="AI51" s="590"/>
      <c r="AJ51" s="590"/>
      <c r="AK51" s="582"/>
      <c r="AL51" s="582"/>
      <c r="AM51" s="582"/>
      <c r="AN51" s="582"/>
      <c r="AO51" s="582"/>
      <c r="AP51" s="582"/>
      <c r="AQ51" s="582"/>
      <c r="AR51" s="582"/>
      <c r="AS51" s="582"/>
      <c r="AT51" s="582"/>
      <c r="AU51" s="582"/>
      <c r="AV51" s="582"/>
      <c r="AW51" s="582"/>
      <c r="AX51" s="582"/>
      <c r="AY51" s="582"/>
      <c r="AZ51" s="582"/>
      <c r="BA51" s="582"/>
      <c r="BB51" s="582"/>
      <c r="BC51" s="583"/>
      <c r="BD51" s="174"/>
      <c r="BM51" s="324"/>
      <c r="BN51" s="571" t="str">
        <f ca="1">规则数据!A4</f>
        <v>自选技能3（+20）</v>
      </c>
      <c r="BO51" s="584"/>
      <c r="BP51" s="584"/>
      <c r="BQ51" s="584"/>
      <c r="BR51" s="584"/>
      <c r="BS51" s="584"/>
      <c r="BT51" s="584"/>
      <c r="BU51" s="584"/>
      <c r="BV51" s="584"/>
      <c r="BW51" s="584"/>
      <c r="BX51" s="584"/>
      <c r="BY51" s="584"/>
      <c r="BZ51" s="585"/>
      <c r="CA51" s="586"/>
      <c r="CB51" s="586"/>
      <c r="CC51" s="586"/>
      <c r="CD51" s="586"/>
      <c r="CE51" s="586"/>
      <c r="CF51" s="586"/>
      <c r="CG51" s="586"/>
      <c r="CH51" s="586"/>
      <c r="CI51" s="586"/>
      <c r="CJ51" s="586"/>
      <c r="CK51" s="586"/>
      <c r="CQ51" s="573"/>
      <c r="CR51" s="174"/>
      <c r="CY51" s="324"/>
      <c r="CZ51" s="574" t="str">
        <f>IFERROR(IF(INDEX(附表!$B$84:$G$88,MATCH($DF$46,附表!$A$84:$A$88,0),5)=0,"",INDEX(附表!$B$84:$G$88,MATCH($DF$46,附表!$A$84:$A$88,0),5)),"")</f>
        <v> </v>
      </c>
      <c r="DR51" s="573"/>
      <c r="DS51" s="174"/>
    </row>
    <row r="52" customHeight="1" spans="1:156">
      <c r="A52" s="191"/>
      <c r="B52" s="561" t="str">
        <f>IF(附表!$I$12,IF(附表!A24=0,"",附表!A24),"")</f>
        <v>加50本职技能点。</v>
      </c>
      <c r="C52" s="562"/>
      <c r="D52" s="562"/>
      <c r="E52" s="562"/>
      <c r="F52" s="562"/>
      <c r="G52" s="562"/>
      <c r="H52" s="562"/>
      <c r="I52" s="562"/>
      <c r="J52" s="562"/>
      <c r="K52" s="562"/>
      <c r="L52" s="562"/>
      <c r="M52" s="562"/>
      <c r="N52" s="562"/>
      <c r="O52" s="562"/>
      <c r="P52" s="575" t="s">
        <v>62</v>
      </c>
      <c r="Q52" s="576"/>
      <c r="R52" s="577" t="str">
        <f ca="1">IF(AND(附表!$I$12,职业选项!A21&lt;&gt;""),职业选项!A21,"")</f>
        <v/>
      </c>
      <c r="S52" s="568"/>
      <c r="T52" s="568"/>
      <c r="U52" s="568"/>
      <c r="V52" s="568"/>
      <c r="W52" s="568"/>
      <c r="X52" s="568"/>
      <c r="Y52" s="568"/>
      <c r="Z52" s="578"/>
      <c r="AA52" s="587" t="str">
        <f>IF(附表!F20=0,"",附表!F20)</f>
        <v/>
      </c>
      <c r="AB52" s="588"/>
      <c r="AC52" s="588"/>
      <c r="AD52" s="588"/>
      <c r="AE52" s="588"/>
      <c r="AF52" s="588"/>
      <c r="AG52" s="588"/>
      <c r="AH52" s="588"/>
      <c r="AI52" s="588"/>
      <c r="AJ52" s="588"/>
      <c r="AK52" s="582"/>
      <c r="AL52" s="582"/>
      <c r="AM52" s="582"/>
      <c r="AN52" s="582"/>
      <c r="AO52" s="582"/>
      <c r="AP52" s="582"/>
      <c r="AQ52" s="582"/>
      <c r="AR52" s="582"/>
      <c r="AS52" s="582"/>
      <c r="AT52" s="582"/>
      <c r="AU52" s="582"/>
      <c r="AV52" s="582"/>
      <c r="AW52" s="582"/>
      <c r="AX52" s="582"/>
      <c r="AY52" s="582"/>
      <c r="AZ52" s="582"/>
      <c r="BA52" s="582"/>
      <c r="BB52" s="582"/>
      <c r="BC52" s="583"/>
      <c r="BD52" s="174"/>
      <c r="BM52" s="324"/>
      <c r="BN52" s="571" t="str">
        <f ca="1">规则数据!A5</f>
        <v>自选技能4（+20）</v>
      </c>
      <c r="BO52" s="584"/>
      <c r="BP52" s="584"/>
      <c r="BQ52" s="584"/>
      <c r="BR52" s="584"/>
      <c r="BS52" s="584"/>
      <c r="BT52" s="584"/>
      <c r="BU52" s="584"/>
      <c r="BV52" s="584"/>
      <c r="BW52" s="584"/>
      <c r="BX52" s="584"/>
      <c r="BY52" s="584"/>
      <c r="BZ52" s="585"/>
      <c r="CA52" s="586"/>
      <c r="CB52" s="586"/>
      <c r="CC52" s="586"/>
      <c r="CD52" s="586"/>
      <c r="CE52" s="586"/>
      <c r="CF52" s="586"/>
      <c r="CG52" s="586"/>
      <c r="CH52" s="586"/>
      <c r="CI52" s="586"/>
      <c r="CJ52" s="586"/>
      <c r="CK52" s="586"/>
      <c r="CQ52" s="573"/>
      <c r="CR52" s="174"/>
      <c r="CY52" s="324"/>
      <c r="CZ52" s="591" t="str">
        <f>IFERROR(IF(INDEX(附表!$B$84:$G$88,MATCH($DF$46,附表!$A$84:$A$88,0),6)=0,"",INDEX(附表!$B$84:$G$88,MATCH($DF$46,附表!$A$84:$A$88,0),6)),"")</f>
        <v> </v>
      </c>
      <c r="DA52" s="592"/>
      <c r="DB52" s="592"/>
      <c r="DC52" s="592"/>
      <c r="DD52" s="592"/>
      <c r="DE52" s="592"/>
      <c r="DF52" s="592"/>
      <c r="DG52" s="592"/>
      <c r="DH52" s="592"/>
      <c r="DI52" s="592"/>
      <c r="DJ52" s="592"/>
      <c r="DK52" s="592"/>
      <c r="DL52" s="592"/>
      <c r="DM52" s="592"/>
      <c r="DN52" s="592"/>
      <c r="DO52" s="592"/>
      <c r="DP52" s="592"/>
      <c r="DQ52" s="592"/>
      <c r="DR52" s="593"/>
      <c r="DS52" s="174"/>
    </row>
    <row r="53" customHeight="1" spans="1:156">
      <c r="A53" s="191"/>
      <c r="B53" s="561" t="str">
        <f>IF(附表!$I$12,IF(附表!A25=0,"",附表!A25),"")</f>
        <v/>
      </c>
      <c r="C53" s="562"/>
      <c r="D53" s="562"/>
      <c r="E53" s="562"/>
      <c r="F53" s="562"/>
      <c r="G53" s="562"/>
      <c r="H53" s="562"/>
      <c r="I53" s="562"/>
      <c r="J53" s="562"/>
      <c r="K53" s="562"/>
      <c r="L53" s="562"/>
      <c r="M53" s="562"/>
      <c r="N53" s="562"/>
      <c r="O53" s="562"/>
      <c r="P53" s="575" t="s">
        <v>62</v>
      </c>
      <c r="Q53" s="576"/>
      <c r="R53" s="577" t="str">
        <f ca="1">IF(AND(附表!$I$12,职业选项!A22&lt;&gt;""),职业选项!A22,"")</f>
        <v/>
      </c>
      <c r="S53" s="568"/>
      <c r="T53" s="568"/>
      <c r="U53" s="568"/>
      <c r="V53" s="568"/>
      <c r="W53" s="568"/>
      <c r="X53" s="568"/>
      <c r="Y53" s="568"/>
      <c r="Z53" s="578"/>
      <c r="AA53" s="587" t="str">
        <f>IF(附表!F21=0,"",附表!F21)</f>
        <v/>
      </c>
      <c r="AB53" s="588"/>
      <c r="AC53" s="588"/>
      <c r="AD53" s="588"/>
      <c r="AE53" s="588"/>
      <c r="AF53" s="588"/>
      <c r="AG53" s="588"/>
      <c r="AH53" s="588"/>
      <c r="AI53" s="588"/>
      <c r="AJ53" s="588"/>
      <c r="AK53" s="582"/>
      <c r="AL53" s="582"/>
      <c r="AM53" s="582"/>
      <c r="AN53" s="582"/>
      <c r="AO53" s="582"/>
      <c r="AP53" s="582"/>
      <c r="AQ53" s="582"/>
      <c r="AR53" s="582"/>
      <c r="AS53" s="582"/>
      <c r="AT53" s="582"/>
      <c r="AU53" s="582"/>
      <c r="AV53" s="582"/>
      <c r="AW53" s="582"/>
      <c r="AX53" s="582"/>
      <c r="AY53" s="582"/>
      <c r="AZ53" s="582"/>
      <c r="BA53" s="582"/>
      <c r="BB53" s="582"/>
      <c r="BC53" s="583"/>
      <c r="BD53" s="174"/>
      <c r="BM53" s="324"/>
      <c r="BN53" s="571" t="str">
        <f ca="1">规则数据!A6</f>
        <v>自选技能5（+20）</v>
      </c>
      <c r="BO53" s="584"/>
      <c r="BP53" s="584"/>
      <c r="BQ53" s="584"/>
      <c r="BR53" s="584"/>
      <c r="BS53" s="584"/>
      <c r="BT53" s="584"/>
      <c r="BU53" s="584"/>
      <c r="BV53" s="584"/>
      <c r="BW53" s="584"/>
      <c r="BX53" s="584"/>
      <c r="BY53" s="584"/>
      <c r="BZ53" s="585"/>
      <c r="CA53" s="586"/>
      <c r="CB53" s="586"/>
      <c r="CC53" s="586"/>
      <c r="CD53" s="586"/>
      <c r="CE53" s="586"/>
      <c r="CF53" s="586"/>
      <c r="CG53" s="586"/>
      <c r="CH53" s="586"/>
      <c r="CI53" s="586"/>
      <c r="CJ53" s="586"/>
      <c r="CK53" s="586"/>
      <c r="CQ53" s="573"/>
      <c r="CR53" s="174"/>
      <c r="CZ53" s="177"/>
      <c r="DA53" s="177"/>
      <c r="DB53" s="177"/>
      <c r="DC53" s="177"/>
      <c r="DD53" s="177"/>
      <c r="DE53" s="177"/>
      <c r="DF53" s="177"/>
      <c r="DG53" s="177"/>
      <c r="DH53" s="177"/>
      <c r="DI53" s="177"/>
      <c r="DJ53" s="177"/>
      <c r="DK53" s="177"/>
      <c r="DL53" s="177"/>
      <c r="DM53" s="177"/>
      <c r="DN53" s="177"/>
      <c r="DO53" s="177"/>
      <c r="DP53" s="177"/>
      <c r="DQ53" s="177"/>
      <c r="DR53" s="177"/>
      <c r="DS53" s="525"/>
      <c r="DT53" s="525"/>
      <c r="DU53" s="525"/>
      <c r="DV53" s="525"/>
      <c r="DW53" s="525"/>
      <c r="DX53" s="525"/>
      <c r="DY53" s="525"/>
      <c r="DZ53" s="525"/>
      <c r="EA53" s="525"/>
      <c r="EB53" s="525"/>
      <c r="EC53" s="525"/>
      <c r="ED53" s="525"/>
      <c r="EE53" s="525"/>
      <c r="EF53" s="525"/>
      <c r="EG53" s="525"/>
      <c r="EH53" s="525"/>
      <c r="EI53" s="525"/>
      <c r="EJ53" s="525"/>
      <c r="EK53" s="525"/>
      <c r="EL53" s="525"/>
      <c r="EM53" s="525"/>
      <c r="EN53" s="525"/>
      <c r="EO53" s="525"/>
      <c r="EP53" s="525"/>
      <c r="EQ53" s="525"/>
      <c r="ER53" s="525"/>
      <c r="ES53" s="525"/>
      <c r="ET53" s="525"/>
      <c r="EU53" s="525"/>
      <c r="EV53" s="525"/>
      <c r="EW53" s="525"/>
      <c r="EX53" s="525"/>
      <c r="EY53" s="525"/>
    </row>
    <row r="54" customHeight="1" spans="1:156">
      <c r="A54" s="191"/>
      <c r="B54" s="561" t="str">
        <f>IF(附表!$I$12,IF(附表!A26=0,"",附表!A26),"")</f>
        <v/>
      </c>
      <c r="C54" s="562"/>
      <c r="D54" s="562"/>
      <c r="E54" s="562"/>
      <c r="F54" s="562"/>
      <c r="G54" s="562"/>
      <c r="H54" s="562"/>
      <c r="I54" s="562"/>
      <c r="J54" s="562"/>
      <c r="K54" s="562"/>
      <c r="L54" s="562"/>
      <c r="M54" s="562"/>
      <c r="N54" s="562"/>
      <c r="O54" s="562"/>
      <c r="P54" s="575" t="s">
        <v>62</v>
      </c>
      <c r="Q54" s="576"/>
      <c r="R54" s="577" t="str">
        <f ca="1">IF(AND(附表!$I$12,职业选项!A23&lt;&gt;""),职业选项!A23,"")</f>
        <v/>
      </c>
      <c r="S54" s="568"/>
      <c r="T54" s="568"/>
      <c r="U54" s="568"/>
      <c r="V54" s="568"/>
      <c r="W54" s="568"/>
      <c r="X54" s="568"/>
      <c r="Y54" s="568"/>
      <c r="Z54" s="578"/>
      <c r="AA54" s="587" t="str">
        <f>IF(附表!F22=0,"",附表!F22)</f>
        <v/>
      </c>
      <c r="AB54" s="588"/>
      <c r="AC54" s="588"/>
      <c r="AD54" s="588"/>
      <c r="AE54" s="588"/>
      <c r="AF54" s="588"/>
      <c r="AG54" s="588"/>
      <c r="AH54" s="588"/>
      <c r="AI54" s="588"/>
      <c r="AJ54" s="588"/>
      <c r="AK54" s="582"/>
      <c r="AL54" s="582"/>
      <c r="AM54" s="582"/>
      <c r="AN54" s="582"/>
      <c r="AO54" s="582"/>
      <c r="AP54" s="582"/>
      <c r="AQ54" s="582"/>
      <c r="AR54" s="582"/>
      <c r="AS54" s="582"/>
      <c r="AT54" s="582"/>
      <c r="AU54" s="582"/>
      <c r="AV54" s="582"/>
      <c r="AW54" s="582"/>
      <c r="AX54" s="582"/>
      <c r="AY54" s="582"/>
      <c r="AZ54" s="582"/>
      <c r="BA54" s="582"/>
      <c r="BB54" s="582"/>
      <c r="BC54" s="583"/>
      <c r="BD54" s="174"/>
      <c r="BM54" s="324"/>
      <c r="BN54" s="571" t="str">
        <f ca="1">规则数据!A7</f>
        <v>自选技能6（+20）</v>
      </c>
      <c r="BO54" s="584"/>
      <c r="BP54" s="584"/>
      <c r="BQ54" s="584"/>
      <c r="BR54" s="584"/>
      <c r="BS54" s="584"/>
      <c r="BT54" s="584"/>
      <c r="BU54" s="584"/>
      <c r="BV54" s="584"/>
      <c r="BW54" s="584"/>
      <c r="BX54" s="584"/>
      <c r="BY54" s="584"/>
      <c r="BZ54" s="585"/>
      <c r="CA54" s="586"/>
      <c r="CB54" s="586"/>
      <c r="CC54" s="586"/>
      <c r="CD54" s="586"/>
      <c r="CE54" s="586"/>
      <c r="CF54" s="586"/>
      <c r="CG54" s="586"/>
      <c r="CH54" s="586"/>
      <c r="CI54" s="586"/>
      <c r="CJ54" s="586"/>
      <c r="CK54" s="586"/>
      <c r="CQ54" s="573"/>
      <c r="CR54" s="174"/>
      <c r="CY54" s="324"/>
      <c r="CZ54" s="594" t="s">
        <v>132</v>
      </c>
      <c r="DA54" s="559"/>
      <c r="DB54" s="559"/>
      <c r="DC54" s="559"/>
      <c r="DD54" s="559"/>
      <c r="DE54" s="559"/>
      <c r="DF54" s="595">
        <f>N(幕间与结算!E5)</f>
        <v>0</v>
      </c>
      <c r="DG54" s="559"/>
      <c r="DH54" s="559"/>
      <c r="DI54" s="559"/>
      <c r="DJ54" s="559"/>
      <c r="DK54" s="596" t="s">
        <v>133</v>
      </c>
      <c r="DL54" s="559"/>
      <c r="DM54" s="559"/>
      <c r="DN54" s="559"/>
      <c r="DO54" s="559"/>
      <c r="DP54" s="559"/>
      <c r="DQ54" s="559"/>
      <c r="DR54" s="595">
        <f>N(幕间与结算!F5)</f>
        <v>0</v>
      </c>
      <c r="DS54" s="559"/>
      <c r="DT54" s="559"/>
      <c r="DU54" s="559"/>
      <c r="DV54" s="559"/>
      <c r="DW54" s="559"/>
      <c r="DX54" s="559"/>
      <c r="DY54" s="559"/>
      <c r="DZ54" s="559"/>
      <c r="EA54" s="559"/>
      <c r="EB54" s="559"/>
      <c r="EC54" s="559"/>
      <c r="ED54" s="559"/>
      <c r="EE54" s="559"/>
      <c r="EF54" s="559"/>
      <c r="EG54" s="559"/>
      <c r="EH54" s="559"/>
      <c r="EI54" s="559"/>
      <c r="EJ54" s="559"/>
      <c r="EK54" s="559"/>
      <c r="EL54" s="559"/>
      <c r="EM54" s="559"/>
      <c r="EN54" s="559"/>
      <c r="EO54" s="559"/>
      <c r="EP54" s="559"/>
      <c r="EQ54" s="559"/>
      <c r="ER54" s="559"/>
      <c r="ES54" s="559"/>
      <c r="ET54" s="559"/>
      <c r="EU54" s="559"/>
      <c r="EV54" s="559"/>
      <c r="EW54" s="559"/>
      <c r="EX54" s="559"/>
      <c r="EY54" s="560"/>
      <c r="EZ54" s="174"/>
    </row>
    <row r="55" customHeight="1" spans="1:156">
      <c r="A55" s="191"/>
      <c r="B55" s="561" t="str">
        <f>IF(附表!$I$12,IF(附表!A27=0,"",附表!A27),"")</f>
        <v/>
      </c>
      <c r="C55" s="562"/>
      <c r="D55" s="562"/>
      <c r="E55" s="562"/>
      <c r="F55" s="562"/>
      <c r="G55" s="562"/>
      <c r="H55" s="562"/>
      <c r="I55" s="562"/>
      <c r="J55" s="562"/>
      <c r="K55" s="562"/>
      <c r="L55" s="562"/>
      <c r="M55" s="562"/>
      <c r="N55" s="562"/>
      <c r="O55" s="562"/>
      <c r="P55" s="575" t="s">
        <v>62</v>
      </c>
      <c r="Q55" s="576"/>
      <c r="R55" s="577" t="str">
        <f ca="1">IF(AND(附表!$I$12,职业选项!A24&lt;&gt;""),职业选项!A24,"")</f>
        <v/>
      </c>
      <c r="S55" s="568"/>
      <c r="T55" s="568"/>
      <c r="U55" s="568"/>
      <c r="V55" s="568"/>
      <c r="W55" s="568"/>
      <c r="X55" s="568"/>
      <c r="Y55" s="568"/>
      <c r="Z55" s="578"/>
      <c r="AA55" s="587" t="str">
        <f>IF(附表!F23=0,"",附表!F23)</f>
        <v/>
      </c>
      <c r="AB55" s="588"/>
      <c r="AC55" s="588"/>
      <c r="AD55" s="588"/>
      <c r="AE55" s="588"/>
      <c r="AF55" s="588"/>
      <c r="AG55" s="588"/>
      <c r="AH55" s="588"/>
      <c r="AI55" s="588"/>
      <c r="AJ55" s="588"/>
      <c r="AK55" s="582"/>
      <c r="AL55" s="582"/>
      <c r="AM55" s="582"/>
      <c r="AN55" s="582"/>
      <c r="AO55" s="582"/>
      <c r="AP55" s="582"/>
      <c r="AQ55" s="582"/>
      <c r="AR55" s="582"/>
      <c r="AS55" s="582"/>
      <c r="AT55" s="582"/>
      <c r="AU55" s="582"/>
      <c r="AV55" s="582"/>
      <c r="AW55" s="582"/>
      <c r="AX55" s="582"/>
      <c r="AY55" s="582"/>
      <c r="AZ55" s="582"/>
      <c r="BA55" s="582"/>
      <c r="BB55" s="582"/>
      <c r="BC55" s="583"/>
      <c r="BD55" s="174"/>
      <c r="BM55" s="324"/>
      <c r="BN55" s="571" t="str">
        <f ca="1">规则数据!A8</f>
        <v>自选技能7（+20）</v>
      </c>
      <c r="BO55" s="584"/>
      <c r="BP55" s="584"/>
      <c r="BQ55" s="584"/>
      <c r="BR55" s="584"/>
      <c r="BS55" s="584"/>
      <c r="BT55" s="584"/>
      <c r="BU55" s="584"/>
      <c r="BV55" s="584"/>
      <c r="BW55" s="584"/>
      <c r="BX55" s="584"/>
      <c r="BY55" s="584"/>
      <c r="BZ55" s="585"/>
      <c r="CA55" s="586"/>
      <c r="CB55" s="586"/>
      <c r="CC55" s="586"/>
      <c r="CD55" s="586"/>
      <c r="CE55" s="586"/>
      <c r="CF55" s="586"/>
      <c r="CG55" s="586"/>
      <c r="CH55" s="586"/>
      <c r="CI55" s="586"/>
      <c r="CJ55" s="586"/>
      <c r="CK55" s="586"/>
      <c r="CQ55" s="573"/>
      <c r="CR55" s="174"/>
      <c r="CY55" s="324"/>
      <c r="CZ55" s="571" t="s">
        <v>134</v>
      </c>
      <c r="DF55" s="585"/>
      <c r="DG55" s="597"/>
      <c r="DH55" s="597"/>
      <c r="DI55" s="597"/>
      <c r="DK55" s="572" t="s">
        <v>135</v>
      </c>
      <c r="DR55" s="585"/>
      <c r="DS55" s="597"/>
      <c r="DT55" s="597"/>
      <c r="DU55" s="597"/>
      <c r="DV55" s="597"/>
      <c r="DW55" s="597"/>
      <c r="DX55" s="597"/>
      <c r="DY55" s="597"/>
      <c r="DZ55" s="597"/>
      <c r="EA55" s="597"/>
      <c r="EB55" s="597"/>
      <c r="EC55" s="597"/>
      <c r="ED55" s="597"/>
      <c r="EE55" s="597"/>
      <c r="EF55" s="597"/>
      <c r="EG55" s="597"/>
      <c r="EH55" s="597"/>
      <c r="EI55" s="597"/>
      <c r="EJ55" s="597"/>
      <c r="EK55" s="597"/>
      <c r="EL55" s="597"/>
      <c r="EM55" s="597"/>
      <c r="EN55" s="597"/>
      <c r="EO55" s="597"/>
      <c r="EP55" s="597"/>
      <c r="EQ55" s="597"/>
      <c r="ER55" s="597"/>
      <c r="ES55" s="597"/>
      <c r="ET55" s="597"/>
      <c r="EU55" s="597"/>
      <c r="EV55" s="597"/>
      <c r="EW55" s="597"/>
      <c r="EX55" s="597"/>
      <c r="EY55" s="598"/>
      <c r="EZ55" s="174"/>
    </row>
    <row r="56" customHeight="1" spans="1:156">
      <c r="A56" s="191"/>
      <c r="B56" s="561" t="str">
        <f>IF(附表!$I$12,IF(附表!A28=0,"",附表!A28),"")</f>
        <v/>
      </c>
      <c r="C56" s="562"/>
      <c r="D56" s="562"/>
      <c r="E56" s="562"/>
      <c r="F56" s="562"/>
      <c r="G56" s="562"/>
      <c r="H56" s="562"/>
      <c r="I56" s="562"/>
      <c r="J56" s="562"/>
      <c r="K56" s="562"/>
      <c r="L56" s="562"/>
      <c r="M56" s="562"/>
      <c r="N56" s="562"/>
      <c r="O56" s="562"/>
      <c r="P56" s="575" t="s">
        <v>62</v>
      </c>
      <c r="Q56" s="576"/>
      <c r="R56" s="577" t="str">
        <f ca="1">IF(AND(附表!$I$12,职业选项!A25&lt;&gt;""),职业选项!A25,"")</f>
        <v/>
      </c>
      <c r="S56" s="568"/>
      <c r="T56" s="568"/>
      <c r="U56" s="568"/>
      <c r="V56" s="568"/>
      <c r="W56" s="568"/>
      <c r="X56" s="568"/>
      <c r="Y56" s="568"/>
      <c r="Z56" s="578"/>
      <c r="AJ56" s="324"/>
      <c r="AK56" s="582"/>
      <c r="AL56" s="582"/>
      <c r="AM56" s="582"/>
      <c r="AN56" s="582"/>
      <c r="AO56" s="582"/>
      <c r="AP56" s="582"/>
      <c r="AQ56" s="582"/>
      <c r="AR56" s="582"/>
      <c r="AS56" s="582"/>
      <c r="AT56" s="582"/>
      <c r="AU56" s="582"/>
      <c r="AV56" s="582"/>
      <c r="AW56" s="582"/>
      <c r="AX56" s="582"/>
      <c r="AY56" s="582"/>
      <c r="AZ56" s="582"/>
      <c r="BA56" s="582"/>
      <c r="BB56" s="582"/>
      <c r="BC56" s="583"/>
      <c r="BD56" s="174"/>
      <c r="BM56" s="324"/>
      <c r="BN56" s="571" t="str">
        <f ca="1">规则数据!A9</f>
        <v>自选技能8（+20）</v>
      </c>
      <c r="BO56" s="599"/>
      <c r="BP56" s="599"/>
      <c r="BQ56" s="599"/>
      <c r="BR56" s="599"/>
      <c r="BS56" s="599"/>
      <c r="BT56" s="599"/>
      <c r="BU56" s="599"/>
      <c r="BV56" s="599"/>
      <c r="BW56" s="599"/>
      <c r="BX56" s="599"/>
      <c r="BY56" s="599"/>
      <c r="BZ56" s="585"/>
      <c r="CA56" s="600"/>
      <c r="CB56" s="600"/>
      <c r="CC56" s="600"/>
      <c r="CD56" s="600"/>
      <c r="CE56" s="600"/>
      <c r="CF56" s="600"/>
      <c r="CG56" s="600"/>
      <c r="CH56" s="600"/>
      <c r="CI56" s="600"/>
      <c r="CJ56" s="600"/>
      <c r="CK56" s="600"/>
      <c r="CL56" s="525"/>
      <c r="CM56" s="525"/>
      <c r="CN56" s="525"/>
      <c r="CO56" s="525"/>
      <c r="CP56" s="525"/>
      <c r="CQ56" s="601"/>
      <c r="CR56" s="174"/>
      <c r="CY56" s="324"/>
      <c r="CZ56" s="555" t="str">
        <f ca="1">规则数据!S8</f>
        <v>固定效果已计入</v>
      </c>
      <c r="EY56" s="573"/>
      <c r="EZ56" s="174"/>
    </row>
    <row r="57" customHeight="1" spans="1:156">
      <c r="A57" s="191"/>
      <c r="B57" s="561" t="str">
        <f>IF(附表!$I$12,IF(附表!A29=0,"",附表!A29),"")</f>
        <v/>
      </c>
      <c r="C57" s="562"/>
      <c r="D57" s="562"/>
      <c r="E57" s="562"/>
      <c r="F57" s="562"/>
      <c r="G57" s="562"/>
      <c r="H57" s="562"/>
      <c r="I57" s="562"/>
      <c r="J57" s="562"/>
      <c r="K57" s="562"/>
      <c r="L57" s="562"/>
      <c r="M57" s="562"/>
      <c r="N57" s="562"/>
      <c r="O57" s="562"/>
      <c r="P57" s="575" t="s">
        <v>62</v>
      </c>
      <c r="Q57" s="576"/>
      <c r="R57" s="577" t="str">
        <f ca="1">IF(AND(附表!$I$12,职业选项!A26&lt;&gt;""),职业选项!A26,"")</f>
        <v/>
      </c>
      <c r="S57" s="568"/>
      <c r="T57" s="568"/>
      <c r="U57" s="568"/>
      <c r="V57" s="568"/>
      <c r="W57" s="568"/>
      <c r="X57" s="568"/>
      <c r="Y57" s="568"/>
      <c r="Z57" s="578"/>
      <c r="AJ57" s="324"/>
      <c r="AK57" s="582"/>
      <c r="AL57" s="582"/>
      <c r="AM57" s="582"/>
      <c r="AN57" s="582"/>
      <c r="AO57" s="582"/>
      <c r="AP57" s="582"/>
      <c r="AQ57" s="582"/>
      <c r="AR57" s="582"/>
      <c r="AS57" s="582"/>
      <c r="AT57" s="582"/>
      <c r="AU57" s="582"/>
      <c r="AV57" s="582"/>
      <c r="AW57" s="582"/>
      <c r="AX57" s="582"/>
      <c r="AY57" s="582"/>
      <c r="AZ57" s="582"/>
      <c r="BA57" s="582"/>
      <c r="BB57" s="582"/>
      <c r="BC57" s="583"/>
      <c r="BD57" s="174"/>
      <c r="BM57" s="324"/>
      <c r="BN57" s="602" t="str">
        <f ca="1">规则数据!S6</f>
        <v>0/8项；已加0/160点；待填细项／选择</v>
      </c>
      <c r="BO57" s="603"/>
      <c r="BP57" s="603"/>
      <c r="BQ57" s="603"/>
      <c r="BR57" s="603"/>
      <c r="BS57" s="603"/>
      <c r="BT57" s="603"/>
      <c r="BU57" s="603"/>
      <c r="BV57" s="603"/>
      <c r="BW57" s="603"/>
      <c r="BX57" s="603"/>
      <c r="BY57" s="603"/>
      <c r="BZ57" s="603"/>
      <c r="CA57" s="603"/>
      <c r="CB57" s="603"/>
      <c r="CC57" s="603"/>
      <c r="CD57" s="603"/>
      <c r="CE57" s="603"/>
      <c r="CF57" s="603"/>
      <c r="CG57" s="603"/>
      <c r="CH57" s="603"/>
      <c r="CI57" s="603"/>
      <c r="CJ57" s="603"/>
      <c r="CK57" s="603"/>
      <c r="CL57" s="603"/>
      <c r="CM57" s="603"/>
      <c r="CN57" s="603"/>
      <c r="CO57" s="603"/>
      <c r="CP57" s="603"/>
      <c r="CQ57" s="604"/>
      <c r="CR57" s="174"/>
      <c r="CY57" s="324"/>
      <c r="CZ57" s="571" t="s">
        <v>136</v>
      </c>
      <c r="DF57" s="585"/>
      <c r="DG57" s="597"/>
      <c r="DH57" s="597"/>
      <c r="DI57" s="597"/>
      <c r="DJ57" s="597"/>
      <c r="DK57" s="597"/>
      <c r="DL57" s="597"/>
      <c r="DM57" s="597"/>
      <c r="DN57" s="597"/>
      <c r="DO57" s="597"/>
      <c r="DP57" s="597"/>
      <c r="DQ57" s="597"/>
      <c r="DR57" s="597"/>
      <c r="DS57" s="597"/>
      <c r="DT57" s="597"/>
      <c r="DU57" s="597"/>
      <c r="DV57" s="597"/>
      <c r="DW57" s="597"/>
      <c r="DX57" s="597"/>
      <c r="DY57" s="597"/>
      <c r="DZ57" s="597"/>
      <c r="EA57" s="597"/>
      <c r="EB57" s="597"/>
      <c r="EC57" s="597"/>
      <c r="ED57" s="597"/>
      <c r="EE57" s="597"/>
      <c r="EF57" s="597"/>
      <c r="EG57" s="597"/>
      <c r="EH57" s="597"/>
      <c r="EI57" s="597"/>
      <c r="EJ57" s="597"/>
      <c r="EK57" s="597"/>
      <c r="EL57" s="597"/>
      <c r="EM57" s="597"/>
      <c r="EN57" s="597"/>
      <c r="EO57" s="597"/>
      <c r="EP57" s="597"/>
      <c r="EQ57" s="597"/>
      <c r="ER57" s="597"/>
      <c r="ES57" s="597"/>
      <c r="ET57" s="597"/>
      <c r="EU57" s="597"/>
      <c r="EV57" s="597"/>
      <c r="EW57" s="597"/>
      <c r="EX57" s="597"/>
      <c r="EY57" s="598"/>
      <c r="EZ57" s="174"/>
    </row>
    <row r="58" customHeight="1" spans="1:156">
      <c r="B58" s="561" t="str">
        <f>IF(附表!$I$12,IF(附表!A30=0,"",附表!A30),"")</f>
        <v/>
      </c>
      <c r="C58" s="562"/>
      <c r="D58" s="562"/>
      <c r="E58" s="562"/>
      <c r="F58" s="562"/>
      <c r="G58" s="562"/>
      <c r="H58" s="562"/>
      <c r="I58" s="562"/>
      <c r="J58" s="562"/>
      <c r="K58" s="562"/>
      <c r="L58" s="562"/>
      <c r="M58" s="562"/>
      <c r="N58" s="562"/>
      <c r="O58" s="562"/>
      <c r="P58" s="575" t="s">
        <v>62</v>
      </c>
      <c r="Q58" s="576"/>
      <c r="R58" s="577" t="str">
        <f ca="1">IF(AND(附表!$I$12,职业选项!A27&lt;&gt;""),职业选项!A27,"")</f>
        <v/>
      </c>
      <c r="S58" s="568"/>
      <c r="T58" s="568"/>
      <c r="U58" s="568"/>
      <c r="V58" s="568"/>
      <c r="W58" s="568"/>
      <c r="X58" s="568"/>
      <c r="Y58" s="568"/>
      <c r="Z58" s="578"/>
      <c r="AJ58" s="324"/>
      <c r="AK58" s="582"/>
      <c r="AL58" s="582"/>
      <c r="AM58" s="582"/>
      <c r="AN58" s="582"/>
      <c r="AO58" s="582"/>
      <c r="AP58" s="582"/>
      <c r="AQ58" s="582"/>
      <c r="AR58" s="582"/>
      <c r="AS58" s="582"/>
      <c r="AT58" s="582"/>
      <c r="AU58" s="582"/>
      <c r="AV58" s="582"/>
      <c r="AW58" s="582"/>
      <c r="AX58" s="582"/>
      <c r="AY58" s="582"/>
      <c r="AZ58" s="582"/>
      <c r="BA58" s="582"/>
      <c r="BB58" s="582"/>
      <c r="BC58" s="583"/>
      <c r="BD58" s="176"/>
      <c r="BE58" s="173"/>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Y58" s="324"/>
      <c r="CZ58" s="571" t="s">
        <v>137</v>
      </c>
      <c r="DF58" s="585"/>
      <c r="DG58" s="597"/>
      <c r="DH58" s="597"/>
      <c r="DI58" s="597"/>
      <c r="DJ58" s="597"/>
      <c r="DK58" s="597"/>
      <c r="DL58" s="597"/>
      <c r="DM58" s="597"/>
      <c r="DN58" s="597"/>
      <c r="DO58" s="597"/>
      <c r="DP58" s="597"/>
      <c r="DQ58" s="597"/>
      <c r="DR58" s="597"/>
      <c r="DS58" s="597"/>
      <c r="DT58" s="597"/>
      <c r="DU58" s="597"/>
      <c r="DV58" s="597"/>
      <c r="DW58" s="597"/>
      <c r="DX58" s="597"/>
      <c r="DY58" s="597"/>
      <c r="DZ58" s="597"/>
      <c r="EA58" s="597"/>
      <c r="EB58" s="597"/>
      <c r="EC58" s="597"/>
      <c r="ED58" s="597"/>
      <c r="EE58" s="597"/>
      <c r="EF58" s="597"/>
      <c r="EG58" s="597"/>
      <c r="EH58" s="597"/>
      <c r="EI58" s="597"/>
      <c r="EJ58" s="597"/>
      <c r="EK58" s="597"/>
      <c r="EL58" s="597"/>
      <c r="EM58" s="597"/>
      <c r="EN58" s="597"/>
      <c r="EO58" s="597"/>
      <c r="EP58" s="597"/>
      <c r="EQ58" s="597"/>
      <c r="ER58" s="597"/>
      <c r="ES58" s="597"/>
      <c r="ET58" s="597"/>
      <c r="EU58" s="597"/>
      <c r="EV58" s="597"/>
      <c r="EW58" s="597"/>
      <c r="EX58" s="597"/>
      <c r="EY58" s="598"/>
      <c r="EZ58" s="174"/>
    </row>
    <row r="59" customHeight="1" spans="1:156">
      <c r="B59" s="561" t="str">
        <f>IF(附表!$I$12,IF(附表!A31=0,"",附表!A31),"")</f>
        <v/>
      </c>
      <c r="C59" s="562"/>
      <c r="D59" s="562"/>
      <c r="E59" s="562"/>
      <c r="F59" s="562"/>
      <c r="G59" s="562"/>
      <c r="H59" s="562"/>
      <c r="I59" s="562"/>
      <c r="J59" s="562"/>
      <c r="K59" s="562"/>
      <c r="L59" s="562"/>
      <c r="M59" s="562"/>
      <c r="N59" s="562"/>
      <c r="O59" s="562"/>
      <c r="P59" s="575" t="s">
        <v>62</v>
      </c>
      <c r="Q59" s="576"/>
      <c r="R59" s="577" t="str">
        <f ca="1">IF(AND(附表!$I$12,职业选项!A28&lt;&gt;""),职业选项!A28,"")</f>
        <v/>
      </c>
      <c r="S59" s="568"/>
      <c r="T59" s="568"/>
      <c r="U59" s="568"/>
      <c r="V59" s="568"/>
      <c r="W59" s="568"/>
      <c r="X59" s="568"/>
      <c r="Y59" s="568"/>
      <c r="Z59" s="578"/>
      <c r="AJ59" s="324"/>
      <c r="AK59" s="582"/>
      <c r="AL59" s="582"/>
      <c r="AM59" s="582"/>
      <c r="AN59" s="582"/>
      <c r="AO59" s="582"/>
      <c r="AP59" s="582"/>
      <c r="AQ59" s="582"/>
      <c r="AR59" s="582"/>
      <c r="AS59" s="582"/>
      <c r="AT59" s="582"/>
      <c r="AU59" s="582"/>
      <c r="AV59" s="582"/>
      <c r="AW59" s="582"/>
      <c r="AX59" s="582"/>
      <c r="AY59" s="582"/>
      <c r="AZ59" s="582"/>
      <c r="BA59" s="582"/>
      <c r="BB59" s="582"/>
      <c r="BC59" s="583"/>
      <c r="BD59" s="174"/>
      <c r="CY59" s="324"/>
      <c r="CZ59" s="571" t="s">
        <v>138</v>
      </c>
      <c r="DF59" s="585"/>
      <c r="DG59" s="597"/>
      <c r="DH59" s="597"/>
      <c r="DI59" s="597"/>
      <c r="DJ59" s="597"/>
      <c r="DK59" s="597"/>
      <c r="DL59" s="597"/>
      <c r="DM59" s="597"/>
      <c r="DN59" s="597"/>
      <c r="DO59" s="597"/>
      <c r="DP59" s="597"/>
      <c r="DQ59" s="597"/>
      <c r="DR59" s="597"/>
      <c r="DS59" s="597"/>
      <c r="DT59" s="597"/>
      <c r="DU59" s="597"/>
      <c r="DV59" s="597"/>
      <c r="DW59" s="597"/>
      <c r="DX59" s="597"/>
      <c r="DY59" s="597"/>
      <c r="DZ59" s="597"/>
      <c r="EA59" s="597"/>
      <c r="EB59" s="597"/>
      <c r="EC59" s="597"/>
      <c r="ED59" s="597"/>
      <c r="EE59" s="597"/>
      <c r="EF59" s="597"/>
      <c r="EG59" s="597"/>
      <c r="EH59" s="597"/>
      <c r="EI59" s="597"/>
      <c r="EJ59" s="597"/>
      <c r="EK59" s="597"/>
      <c r="EL59" s="597"/>
      <c r="EM59" s="597"/>
      <c r="EN59" s="597"/>
      <c r="EO59" s="597"/>
      <c r="EP59" s="597"/>
      <c r="EQ59" s="597"/>
      <c r="ER59" s="597"/>
      <c r="ES59" s="597"/>
      <c r="ET59" s="597"/>
      <c r="EU59" s="597"/>
      <c r="EV59" s="597"/>
      <c r="EW59" s="597"/>
      <c r="EX59" s="597"/>
      <c r="EY59" s="598"/>
      <c r="EZ59" s="174"/>
    </row>
    <row r="60" customHeight="1" spans="1:156">
      <c r="B60" s="561" t="str">
        <f>IF(附表!$I$12,IF(附表!A32=0,"",附表!A32),"")</f>
        <v/>
      </c>
      <c r="C60" s="562"/>
      <c r="D60" s="562"/>
      <c r="E60" s="562"/>
      <c r="F60" s="562"/>
      <c r="G60" s="562"/>
      <c r="H60" s="562"/>
      <c r="I60" s="562"/>
      <c r="J60" s="562"/>
      <c r="K60" s="562"/>
      <c r="L60" s="562"/>
      <c r="M60" s="562"/>
      <c r="N60" s="562"/>
      <c r="O60" s="562"/>
      <c r="AA60" s="605" t="str">
        <f ca="1">职业选项!$T$8</f>
        <v>任选已完成
细项直接填上方</v>
      </c>
      <c r="AB60" s="606"/>
      <c r="AC60" s="606"/>
      <c r="AD60" s="606"/>
      <c r="AE60" s="606"/>
      <c r="AF60" s="606"/>
      <c r="AG60" s="606"/>
      <c r="AH60" s="606"/>
      <c r="AI60" s="606"/>
      <c r="AJ60" s="607"/>
      <c r="AK60" s="582"/>
      <c r="AL60" s="582"/>
      <c r="AM60" s="582"/>
      <c r="AN60" s="582"/>
      <c r="AO60" s="582"/>
      <c r="AP60" s="582"/>
      <c r="AQ60" s="582"/>
      <c r="AR60" s="582"/>
      <c r="AS60" s="582"/>
      <c r="AT60" s="582"/>
      <c r="AU60" s="582"/>
      <c r="AV60" s="582"/>
      <c r="AW60" s="582"/>
      <c r="AX60" s="582"/>
      <c r="AY60" s="582"/>
      <c r="AZ60" s="582"/>
      <c r="BA60" s="582"/>
      <c r="BB60" s="582"/>
      <c r="BC60" s="583"/>
      <c r="BD60" s="174"/>
      <c r="CY60" s="324"/>
      <c r="CZ60" s="571" t="s">
        <v>139</v>
      </c>
      <c r="DF60" s="585"/>
      <c r="DG60" s="597"/>
      <c r="DH60" s="597"/>
      <c r="DI60" s="597"/>
      <c r="DJ60" s="597"/>
      <c r="DK60" s="597"/>
      <c r="DL60" s="597"/>
      <c r="DM60" s="597"/>
      <c r="DN60" s="597"/>
      <c r="DO60" s="597"/>
      <c r="DP60" s="597"/>
      <c r="DQ60" s="597"/>
      <c r="DR60" s="597"/>
      <c r="DS60" s="597"/>
      <c r="DT60" s="597"/>
      <c r="DU60" s="597"/>
      <c r="DV60" s="597"/>
      <c r="DW60" s="597"/>
      <c r="DX60" s="597"/>
      <c r="DY60" s="597"/>
      <c r="DZ60" s="597"/>
      <c r="EA60" s="597"/>
      <c r="EB60" s="597"/>
      <c r="EC60" s="597"/>
      <c r="ED60" s="597"/>
      <c r="EE60" s="597"/>
      <c r="EF60" s="597"/>
      <c r="EG60" s="597"/>
      <c r="EH60" s="597"/>
      <c r="EI60" s="597"/>
      <c r="EJ60" s="597"/>
      <c r="EK60" s="597"/>
      <c r="EL60" s="597"/>
      <c r="EM60" s="597"/>
      <c r="EN60" s="597"/>
      <c r="EO60" s="597"/>
      <c r="EP60" s="597"/>
      <c r="EQ60" s="597"/>
      <c r="ER60" s="597"/>
      <c r="ES60" s="597"/>
      <c r="ET60" s="597"/>
      <c r="EU60" s="597"/>
      <c r="EV60" s="597"/>
      <c r="EW60" s="597"/>
      <c r="EX60" s="597"/>
      <c r="EY60" s="598"/>
      <c r="EZ60" s="174"/>
    </row>
    <row r="61" customHeight="1" spans="1:156">
      <c r="B61" s="561" t="str">
        <f>IF(附表!$I$12,IF(附表!A33=0,"",附表!A33),"")</f>
        <v/>
      </c>
      <c r="C61" s="562"/>
      <c r="D61" s="562"/>
      <c r="E61" s="562"/>
      <c r="F61" s="562"/>
      <c r="G61" s="562"/>
      <c r="H61" s="562"/>
      <c r="I61" s="562"/>
      <c r="J61" s="562"/>
      <c r="K61" s="562"/>
      <c r="L61" s="562"/>
      <c r="M61" s="562"/>
      <c r="N61" s="562"/>
      <c r="O61" s="562"/>
      <c r="P61" s="562" t="str">
        <f ca="1">IF(COUNTIF(职业选项!$E$2:$E$28,"skill")&gt;0,"固定二选一：","")</f>
        <v/>
      </c>
      <c r="AA61" s="608"/>
      <c r="AB61" s="609"/>
      <c r="AC61" s="609"/>
      <c r="AD61" s="609"/>
      <c r="AE61" s="609"/>
      <c r="AF61" s="609"/>
      <c r="AG61" s="609"/>
      <c r="AH61" s="609"/>
      <c r="AI61" s="609"/>
      <c r="AJ61" s="610"/>
      <c r="AK61" s="582"/>
      <c r="AL61" s="582"/>
      <c r="AM61" s="582"/>
      <c r="AN61" s="582"/>
      <c r="AO61" s="582"/>
      <c r="AP61" s="582"/>
      <c r="AQ61" s="582"/>
      <c r="AR61" s="582"/>
      <c r="AS61" s="582"/>
      <c r="AT61" s="582"/>
      <c r="AU61" s="582"/>
      <c r="AV61" s="582"/>
      <c r="AW61" s="582"/>
      <c r="AX61" s="582"/>
      <c r="AY61" s="582"/>
      <c r="AZ61" s="582"/>
      <c r="BA61" s="582"/>
      <c r="BB61" s="582"/>
      <c r="BC61" s="583"/>
      <c r="BD61" s="174"/>
      <c r="CY61" s="324"/>
      <c r="CZ61" s="611" t="s">
        <v>140</v>
      </c>
      <c r="DA61" s="592"/>
      <c r="DB61" s="592"/>
      <c r="DC61" s="592"/>
      <c r="DD61" s="592"/>
      <c r="DE61" s="592"/>
      <c r="DF61" s="612"/>
      <c r="DG61" s="613"/>
      <c r="DH61" s="613"/>
      <c r="DI61" s="613"/>
      <c r="DJ61" s="613"/>
      <c r="DK61" s="613"/>
      <c r="DL61" s="613"/>
      <c r="DM61" s="613"/>
      <c r="DN61" s="613"/>
      <c r="DO61" s="613"/>
      <c r="DP61" s="613"/>
      <c r="DQ61" s="613"/>
      <c r="DR61" s="613"/>
      <c r="DS61" s="613"/>
      <c r="DT61" s="613"/>
      <c r="DU61" s="613"/>
      <c r="DV61" s="613"/>
      <c r="DW61" s="613"/>
      <c r="DX61" s="613"/>
      <c r="DY61" s="613"/>
      <c r="DZ61" s="613"/>
      <c r="EA61" s="613"/>
      <c r="EB61" s="613"/>
      <c r="EC61" s="613"/>
      <c r="ED61" s="613"/>
      <c r="EE61" s="613"/>
      <c r="EF61" s="613"/>
      <c r="EG61" s="613"/>
      <c r="EH61" s="613"/>
      <c r="EI61" s="613"/>
      <c r="EJ61" s="613"/>
      <c r="EK61" s="613"/>
      <c r="EL61" s="613"/>
      <c r="EM61" s="613"/>
      <c r="EN61" s="613"/>
      <c r="EO61" s="613"/>
      <c r="EP61" s="613"/>
      <c r="EQ61" s="613"/>
      <c r="ER61" s="613"/>
      <c r="ES61" s="613"/>
      <c r="ET61" s="613"/>
      <c r="EU61" s="613"/>
      <c r="EV61" s="613"/>
      <c r="EW61" s="613"/>
      <c r="EX61" s="613"/>
      <c r="EY61" s="614"/>
      <c r="EZ61" s="174"/>
    </row>
    <row r="62" customHeight="1" spans="1:156">
      <c r="B62" s="561" t="str">
        <f>IF(附表!$I$12,IF(附表!A34=0,"",附表!A34),"")</f>
        <v/>
      </c>
      <c r="C62" s="562"/>
      <c r="D62" s="562"/>
      <c r="E62" s="562"/>
      <c r="F62" s="562"/>
      <c r="G62" s="562"/>
      <c r="H62" s="562"/>
      <c r="I62" s="562"/>
      <c r="J62" s="562"/>
      <c r="K62" s="562"/>
      <c r="L62" s="562"/>
      <c r="M62" s="562"/>
      <c r="N62" s="562"/>
      <c r="O62" s="562"/>
      <c r="P62" s="615"/>
      <c r="Q62" s="597"/>
      <c r="R62" s="597"/>
      <c r="S62" s="597"/>
      <c r="T62" s="597"/>
      <c r="U62" s="597"/>
      <c r="V62" s="597"/>
      <c r="W62" s="597"/>
      <c r="X62" s="597"/>
      <c r="Y62" s="597"/>
      <c r="Z62" s="597"/>
      <c r="AA62" s="608"/>
      <c r="AB62" s="609"/>
      <c r="AC62" s="609"/>
      <c r="AD62" s="609"/>
      <c r="AE62" s="609"/>
      <c r="AF62" s="609"/>
      <c r="AG62" s="609"/>
      <c r="AH62" s="609"/>
      <c r="AI62" s="609"/>
      <c r="AJ62" s="610"/>
      <c r="AK62" s="582"/>
      <c r="AL62" s="582"/>
      <c r="AM62" s="582"/>
      <c r="AN62" s="582"/>
      <c r="AO62" s="582"/>
      <c r="AP62" s="582"/>
      <c r="AQ62" s="582"/>
      <c r="AR62" s="582"/>
      <c r="AS62" s="582"/>
      <c r="AT62" s="582"/>
      <c r="AU62" s="582"/>
      <c r="AV62" s="582"/>
      <c r="AW62" s="582"/>
      <c r="AX62" s="582"/>
      <c r="AY62" s="582"/>
      <c r="AZ62" s="582"/>
      <c r="BA62" s="582"/>
      <c r="BB62" s="582"/>
      <c r="BC62" s="583"/>
      <c r="BD62" s="174"/>
      <c r="CZ62" s="173"/>
      <c r="DA62" s="173"/>
      <c r="DB62" s="173"/>
      <c r="DC62" s="17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row>
    <row r="63" customHeight="1" spans="1:156">
      <c r="B63" s="616" t="str">
        <f>IF(附表!$I$12,IF(附表!A35=0,"",附表!A35),"")</f>
        <v/>
      </c>
      <c r="C63" s="617"/>
      <c r="D63" s="617"/>
      <c r="E63" s="617"/>
      <c r="F63" s="617"/>
      <c r="G63" s="617"/>
      <c r="H63" s="617"/>
      <c r="I63" s="617"/>
      <c r="J63" s="617"/>
      <c r="K63" s="617"/>
      <c r="L63" s="617"/>
      <c r="M63" s="617"/>
      <c r="N63" s="617"/>
      <c r="O63" s="617"/>
      <c r="P63" s="592"/>
      <c r="Q63" s="592"/>
      <c r="R63" s="592"/>
      <c r="S63" s="592"/>
      <c r="T63" s="592"/>
      <c r="U63" s="592"/>
      <c r="V63" s="592"/>
      <c r="W63" s="592"/>
      <c r="X63" s="592"/>
      <c r="Y63" s="592"/>
      <c r="Z63" s="592"/>
      <c r="AA63" s="618"/>
      <c r="AB63" s="619"/>
      <c r="AC63" s="619"/>
      <c r="AD63" s="619"/>
      <c r="AE63" s="619"/>
      <c r="AF63" s="619"/>
      <c r="AG63" s="619"/>
      <c r="AH63" s="619"/>
      <c r="AI63" s="619"/>
      <c r="AJ63" s="620"/>
      <c r="AK63" s="621"/>
      <c r="AL63" s="621"/>
      <c r="AM63" s="621"/>
      <c r="AN63" s="621"/>
      <c r="AO63" s="621"/>
      <c r="AP63" s="621"/>
      <c r="AQ63" s="621"/>
      <c r="AR63" s="621"/>
      <c r="AS63" s="621"/>
      <c r="AT63" s="621"/>
      <c r="AU63" s="621"/>
      <c r="AV63" s="621"/>
      <c r="AW63" s="621"/>
      <c r="AX63" s="621"/>
      <c r="AY63" s="621"/>
      <c r="AZ63" s="621"/>
      <c r="BA63" s="621"/>
      <c r="BB63" s="621"/>
      <c r="BC63" s="622"/>
      <c r="BD63" s="174"/>
    </row>
    <row r="64" customHeight="1" spans="1:156">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row>
    <row r="65" ht="14" spans="2:104">
      <c r="B65" s="623" t="s">
        <v>141</v>
      </c>
      <c r="AB65" s="623" t="s">
        <v>142</v>
      </c>
      <c r="BI65" s="623" t="s">
        <v>143</v>
      </c>
      <c r="BX65" s="623" t="s">
        <v>144</v>
      </c>
      <c r="CZ65" s="623" t="s">
        <v>145</v>
      </c>
    </row>
    <row r="71" customHeight="1" spans="2:104">
      <c r="AC71" s="624"/>
    </row>
    <row r="72" customHeight="1" spans="2:104">
      <c r="AC72" s="625"/>
    </row>
  </sheetData>
  <sheetProtection algorithmName="SHA-512" hashValue="bzT4/F7aiA3NRTG0l2BT4NuAVilQ4RVnmjAyn9uSsDosrs5oUmoyWgIxzaeKjfkGNhZyX3xyX0T2Iya4H3QQ2g==" saltValue="GsmFrom7iPuFGr/8kaAIVQ==" spinCount="100000" sheet="1" autoFilter="0" objects="1"/>
  <mergeCells count="778">
    <mergeCell ref="AQ1:BG1"/>
    <mergeCell ref="B2:Z2"/>
    <mergeCell ref="AB2:AG2"/>
    <mergeCell ref="AH2:AJ2"/>
    <mergeCell ref="AK2:AM2"/>
    <mergeCell ref="AN2:AP2"/>
    <mergeCell ref="AQ2:BG2"/>
    <mergeCell ref="BX2:CO2"/>
    <mergeCell ref="CP2:CX2"/>
    <mergeCell ref="CZ2:DG2"/>
    <mergeCell ref="DH2:EY2"/>
    <mergeCell ref="B3:D3"/>
    <mergeCell ref="E3:Z3"/>
    <mergeCell ref="AB3:AD3"/>
    <mergeCell ref="AE3:AG3"/>
    <mergeCell ref="AH3:AJ3"/>
    <mergeCell ref="AK3:AM3"/>
    <mergeCell ref="AN3:AP3"/>
    <mergeCell ref="AQ3:BG3"/>
    <mergeCell ref="BX3:CO3"/>
    <mergeCell ref="CP3:CX3"/>
    <mergeCell ref="B4:D4"/>
    <mergeCell ref="E4:M4"/>
    <mergeCell ref="N4:P4"/>
    <mergeCell ref="Q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R49:Z49"/>
    <mergeCell ref="AA49:AF49"/>
    <mergeCell ref="BN49:BY49"/>
    <mergeCell ref="BZ49:CK49"/>
    <mergeCell ref="B50:O50"/>
    <mergeCell ref="P50:Q50"/>
    <mergeCell ref="R50:Z50"/>
    <mergeCell ref="AA50:AJ50"/>
    <mergeCell ref="BN50:BY50"/>
    <mergeCell ref="BZ50:CK50"/>
    <mergeCell ref="B51:O51"/>
    <mergeCell ref="P51:Q51"/>
    <mergeCell ref="R51:Z51"/>
    <mergeCell ref="AA51:AJ51"/>
    <mergeCell ref="BN51:BY51"/>
    <mergeCell ref="BZ51:CK51"/>
    <mergeCell ref="B52:O52"/>
    <mergeCell ref="P52:Q52"/>
    <mergeCell ref="R52:Z52"/>
    <mergeCell ref="AA52:AJ52"/>
    <mergeCell ref="BN52:BY52"/>
    <mergeCell ref="BZ52:CK52"/>
    <mergeCell ref="B53:O53"/>
    <mergeCell ref="P53:Q53"/>
    <mergeCell ref="R53:Z53"/>
    <mergeCell ref="AA53:AJ53"/>
    <mergeCell ref="BN53:BY53"/>
    <mergeCell ref="BZ53:CK53"/>
    <mergeCell ref="B54:O54"/>
    <mergeCell ref="P54:Q54"/>
    <mergeCell ref="R54:Z54"/>
    <mergeCell ref="AA54:AJ54"/>
    <mergeCell ref="BN54:BY54"/>
    <mergeCell ref="BZ54:CK54"/>
    <mergeCell ref="CZ54:DE54"/>
    <mergeCell ref="DF54:DI54"/>
    <mergeCell ref="DK54:DQ54"/>
    <mergeCell ref="DR54:DU54"/>
    <mergeCell ref="B55:O55"/>
    <mergeCell ref="P55:Q55"/>
    <mergeCell ref="R55:Z55"/>
    <mergeCell ref="AA55:AJ55"/>
    <mergeCell ref="BN55:BY55"/>
    <mergeCell ref="BZ55:CK55"/>
    <mergeCell ref="CZ55:DE55"/>
    <mergeCell ref="DF55:DI55"/>
    <mergeCell ref="DK55:DQ55"/>
    <mergeCell ref="DR55:EY55"/>
    <mergeCell ref="B56:O56"/>
    <mergeCell ref="P56:Q56"/>
    <mergeCell ref="R56:Z56"/>
    <mergeCell ref="BN56:BY56"/>
    <mergeCell ref="BZ56:CK56"/>
    <mergeCell ref="CZ56:EY56"/>
    <mergeCell ref="B57:O57"/>
    <mergeCell ref="P57:Q57"/>
    <mergeCell ref="R57:Z57"/>
    <mergeCell ref="BN57:CP57"/>
    <mergeCell ref="CZ57:DE57"/>
    <mergeCell ref="DF57:EY57"/>
    <mergeCell ref="B58:O58"/>
    <mergeCell ref="P58:Q58"/>
    <mergeCell ref="R58:Z58"/>
    <mergeCell ref="CZ58:DE58"/>
    <mergeCell ref="DF58:EY58"/>
    <mergeCell ref="B59:O59"/>
    <mergeCell ref="P59:Q59"/>
    <mergeCell ref="R59:Z59"/>
    <mergeCell ref="CZ59:DE59"/>
    <mergeCell ref="DF59:EY59"/>
    <mergeCell ref="B60:O60"/>
    <mergeCell ref="CZ60:DE60"/>
    <mergeCell ref="DF60:EY60"/>
    <mergeCell ref="B61:O61"/>
    <mergeCell ref="P61:Z61"/>
    <mergeCell ref="CZ61:DE61"/>
    <mergeCell ref="DF61:EY61"/>
    <mergeCell ref="B62:O62"/>
    <mergeCell ref="P62:Z62"/>
    <mergeCell ref="B63:O63"/>
    <mergeCell ref="B65:Z65"/>
    <mergeCell ref="AB65:BG65"/>
    <mergeCell ref="BI65:BW65"/>
    <mergeCell ref="BX65:CX65"/>
    <mergeCell ref="BN27:CX28"/>
    <mergeCell ref="BI29:CX43"/>
    <mergeCell ref="BI14:BM16"/>
    <mergeCell ref="BN14:CX16"/>
    <mergeCell ref="BI17:BM28"/>
    <mergeCell ref="EQ13:EY14"/>
    <mergeCell ref="EI23:EY43"/>
    <mergeCell ref="EI17:EY20"/>
    <mergeCell ref="CZ29:EC31"/>
    <mergeCell ref="CZ32:EC34"/>
    <mergeCell ref="ED33:EE34"/>
    <mergeCell ref="EF33:EG34"/>
    <mergeCell ref="ED30:EE31"/>
    <mergeCell ref="EF30:EG31"/>
    <mergeCell ref="EI8:EJ11"/>
    <mergeCell ref="EK8:EY11"/>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AK49:BC63"/>
    <mergeCell ref="AA60:AJ63"/>
    <mergeCell ref="BN25:CX26"/>
    <mergeCell ref="BN21:CX22"/>
    <mergeCell ref="BN23:CX24"/>
    <mergeCell ref="BN19:CX20"/>
    <mergeCell ref="BN17:CX18"/>
    <mergeCell ref="V10:X11"/>
    <mergeCell ref="Y10:AA11"/>
    <mergeCell ref="AH10:AJ11"/>
    <mergeCell ref="AK10:AM11"/>
    <mergeCell ref="H10:J11"/>
    <mergeCell ref="K10:M11"/>
    <mergeCell ref="AU10:AW11"/>
    <mergeCell ref="EI3:EY7"/>
  </mergeCells>
  <conditionalFormatting sqref="BN17">
    <cfRule type="expression" dxfId="0" priority="4">
      <formula>MOD(ROW(),2)=0</formula>
    </cfRule>
  </conditionalFormatting>
  <conditionalFormatting sqref="BN21">
    <cfRule type="expression" dxfId="0" priority="5">
      <formula>MOD(ROW(),2)=0</formula>
    </cfRule>
  </conditionalFormatting>
  <conditionalFormatting sqref="BN25">
    <cfRule type="expression" dxfId="0" priority="3">
      <formula>MOD(ROW(),2)=0</formula>
    </cfRule>
  </conditionalFormatting>
  <conditionalFormatting sqref="B47:G47">
    <cfRule type="expression" dxfId="1" priority="466">
      <formula>NOT(附表!$I$11)</formula>
    </cfRule>
  </conditionalFormatting>
  <conditionalFormatting sqref="H47">
    <cfRule type="expression" dxfId="2" priority="464">
      <formula>附表!$I$12=FALSE</formula>
    </cfRule>
  </conditionalFormatting>
  <conditionalFormatting sqref="H47:U47">
    <cfRule type="expression" dxfId="3" priority="467">
      <formula>NOT(附表!$I$11)</formula>
    </cfRule>
  </conditionalFormatting>
  <conditionalFormatting sqref="V47">
    <cfRule type="expression" dxfId="4" priority="465">
      <formula>附表!$I$12=FALSE</formula>
    </cfRule>
  </conditionalFormatting>
  <conditionalFormatting sqref="N4:N6">
    <cfRule type="expression" dxfId="0" priority="1">
      <formula>MOD(ROW(),2)=0</formula>
    </cfRule>
  </conditionalFormatting>
  <conditionalFormatting sqref="AB3:BG8 B14:BG43 B3:Z3 BX3:CX11 B4:E6 Q4:Q6 B7:Z8 CZ14:EG20">
    <cfRule type="expression" dxfId="0" priority="463">
      <formula>MOD(ROW(),2)=0</formula>
    </cfRule>
  </conditionalFormatting>
  <conditionalFormatting sqref="AH3:AJ8">
    <cfRule type="cellIs" dxfId="5" priority="8" operator="lessThan">
      <formula>9</formula>
    </cfRule>
    <cfRule type="cellIs" dxfId="6" priority="442" operator="greaterThan">
      <formula>12</formula>
    </cfRule>
  </conditionalFormatting>
  <conditionalFormatting sqref="BD10:BG11">
    <cfRule type="cellIs" dxfId="7" priority="429" operator="equal">
      <formula>"已适应"</formula>
    </cfRule>
    <cfRule type="cellIs" dxfId="8" priority="441" operator="equal">
      <formula>"☐☐☐"</formula>
    </cfRule>
  </conditionalFormatting>
  <conditionalFormatting sqref="B14:C43 AE14:AE43">
    <cfRule type="cellIs" dxfId="9" priority="443" operator="equal">
      <formula>"√"</formula>
    </cfRule>
  </conditionalFormatting>
  <conditionalFormatting sqref="AV14:AX38 S14:U43 AV40:AX43">
    <cfRule type="expression" dxfId="10" priority="7">
      <formula>NOT(ISBLANK(V14))</formula>
    </cfRule>
  </conditionalFormatting>
  <conditionalFormatting sqref="AG17:AL19 D18:I20 AG24:AL26 D25:I28 AG29:AL31 D36:I38">
    <cfRule type="expression" dxfId="11" priority="6">
      <formula>ISBLANK(J18)</formula>
    </cfRule>
  </conditionalFormatting>
  <conditionalFormatting sqref="CZ23:EG43">
    <cfRule type="expression" dxfId="0" priority="452">
      <formula>MOD(FLOOR((ROW()-2)/3,1),2)=1</formula>
    </cfRule>
  </conditionalFormatting>
  <conditionalFormatting sqref="EF24 EF27 EF30 EF33 EF36 EF39 EF42">
    <cfRule type="cellIs" dxfId="12" priority="381" operator="equal">
      <formula>"×"</formula>
    </cfRule>
  </conditionalFormatting>
  <conditionalFormatting sqref="P49:Q59">
    <cfRule type="expression" dxfId="13" priority="468" stopIfTrue="1">
      <formula>$R49=""</formula>
    </cfRule>
  </conditionalFormatting>
  <dataValidations count="33">
    <dataValidation type="list" allowBlank="1" showErrorMessage="1" errorTitle="请检查输入" error="请选择列表项目或填写允许的数值。" sqref="DH2:EY2">
      <formula1>装备包选项</formula1>
    </dataValidation>
    <dataValidation type="list" allowBlank="1" errorTitle="请检查输入" error="请选择列表项目或填写允许的数值。" sqref="CZ23 CZ26 CZ29 CZ32 CZ35 CZ38 CZ41">
      <formula1>关系称谓</formula1>
    </dataValidation>
    <dataValidation type="list" allowBlank="1" showErrorMessage="1" sqref="EF24 EF27 EF30 EF33 EF36 EF39 EF42">
      <formula1>"×,√"</formula1>
    </dataValidation>
    <dataValidation type="list" allowBlank="1" showErrorMessage="1" sqref="H46:AJ46">
      <formula1>附表!$A$169:$A$273</formula1>
    </dataValidation>
    <dataValidation type="list" allowBlank="1" showErrorMessage="1" sqref="BW46:CQ46">
      <formula1>额外技能包!$A$2:$A$30</formula1>
    </dataValidation>
    <dataValidation type="list" allowBlank="1" showErrorMessage="1" sqref="DF46:DR46">
      <formula1>附表!$A$84:$A$88</formula1>
    </dataValidation>
    <dataValidation type="list" allowBlank="1" showErrorMessage="1" sqref="H47:U47">
      <formula1>OFFSET(附表!$B$62,0,0,附表!$A$63,1)</formula1>
    </dataValidation>
    <dataValidation type="list" allowBlank="1" sqref="BZ49:CK49">
      <formula1>额外第1项</formula1>
    </dataValidation>
    <dataValidation type="list" allowBlank="1" sqref="BZ50:CK50">
      <formula1>额外第2项</formula1>
    </dataValidation>
    <dataValidation type="list" allowBlank="1" sqref="BZ51:CK51">
      <formula1>额外第3项</formula1>
    </dataValidation>
    <dataValidation type="list" allowBlank="1" sqref="BZ52:CK52">
      <formula1>额外第4项</formula1>
    </dataValidation>
    <dataValidation type="list" allowBlank="1" sqref="BZ53:CK53">
      <formula1>额外第5项</formula1>
    </dataValidation>
    <dataValidation type="list" allowBlank="1" sqref="BZ54:CK54">
      <formula1>额外第6项</formula1>
    </dataValidation>
    <dataValidation type="whole" operator="between" allowBlank="1" showErrorMessage="1" sqref="DF54:DI54 DR54:DU54">
      <formula1>1</formula1>
      <formula2>18</formula2>
    </dataValidation>
    <dataValidation type="list" allowBlank="1" sqref="BZ55:CK55">
      <formula1>额外第7项</formula1>
    </dataValidation>
    <dataValidation type="list" allowBlank="1" showErrorMessage="1" sqref="DF55:DI55">
      <formula1>"1,2,3,4,5,6,7"</formula1>
    </dataValidation>
    <dataValidation type="list" allowBlank="1" sqref="DR55:EY55">
      <formula1>非自然心理疾病</formula1>
    </dataValidation>
    <dataValidation type="list" allowBlank="1" sqref="BZ56:CK56">
      <formula1>额外第8项</formula1>
    </dataValidation>
    <dataValidation type="list" allowBlank="1" showErrorMessage="1" sqref="P62:Z62">
      <formula1>"人类学,考古学"</formula1>
    </dataValidation>
    <dataValidation type="list" allowBlank="1" sqref="J18:J20">
      <formula1>子技能!$A$2:$A$11</formula1>
    </dataValidation>
    <dataValidation type="list" allowBlank="1" sqref="J25:J28">
      <formula1>子技能!$C$2:$C$14</formula1>
    </dataValidation>
    <dataValidation type="list" allowBlank="1" sqref="J36:J38">
      <formula1>"英语,法语,德语,西班牙语,俄语,日语,阿拉伯语,汉语,韩语,意大利语,葡萄牙语,拉丁语"</formula1>
    </dataValidation>
    <dataValidation type="list" allowBlank="1" showErrorMessage="1" errorTitle="请选择勾选状态" error="请选择☑或☐，或清空。" sqref="P49:P59">
      <formula1>IF($R49&lt;&gt;"",任选勾选值,空白选项)</formula1>
    </dataValidation>
    <dataValidation type="whole" operator="between" allowBlank="1" showInputMessage="1" showErrorMessage="1" errorTitle="属性原值" error="请输入3至18的整数。" promptTitle="属性原值" prompt="只填建卡原值；背景和幕间变化自动计入右侧现值。" sqref="AH3:AH8">
      <formula1>3</formula1>
      <formula2>18</formula2>
    </dataValidation>
    <dataValidation type="list" allowBlank="1" sqref="AM17:AM19">
      <formula1>子技能!$E$2:$E$4</formula1>
    </dataValidation>
    <dataValidation type="list" allowBlank="1" sqref="AM24:AM26">
      <formula1>子技能!$G$2:$G$9</formula1>
    </dataValidation>
    <dataValidation type="list" allowBlank="1" sqref="AM29:AM31">
      <formula1>子技能!$I$2:$I$27</formula1>
    </dataValidation>
    <dataValidation type="list" allowBlank="1" sqref="BX3:BX11">
      <formula1>特训范例</formula1>
    </dataValidation>
    <dataValidation type="list" allowBlank="1" sqref="DF57:EY61">
      <formula1>主卡技能选项</formula1>
    </dataValidation>
    <dataValidation type="list" allowBlank="1" sqref="CP3:CX11">
      <formula1>特训对应项</formula1>
    </dataValidation>
    <dataValidation type="list" allowBlank="1" showErrorMessage="1" errorTitle="请检查输入" error="请选择列表项目或填写允许的数值。" sqref="B14:C43 AE14:AF43">
      <formula1>"☐,√"</formula1>
    </dataValidation>
    <dataValidation type="list" allowBlank="1" sqref="CZ14:DL20">
      <formula1>武器下拉列表</formula1>
    </dataValidation>
    <dataValidation type="list" allowBlank="1" sqref="EK8:EY11">
      <formula1>护甲下拉列表</formula1>
    </dataValidation>
  </dataValidations>
  <hyperlinks>
    <hyperlink ref="B65" location="'模组经历备忘录'!A1" display="模组经历备忘录"/>
    <hyperlink ref="AB65" r:id="rId3" display="绿箱生成器"/>
    <hyperlink ref="BI65" location="'规则速查'!A1" display="规则速查"/>
    <hyperlink ref="BX65" location="'更新记录'!A1" display="更新记录"/>
    <hyperlink ref="CZ65" location="'理智与关系记录'!A1" display="理智与关系记录"/>
  </hyperlinks>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1" sqref="B21"/>
    </sheetView>
  </sheetViews>
  <sheetFormatPr defaultColWidth="8.83333333333333" defaultRowHeight="14" outlineLevelRow="3" outlineLevelCol="3"/>
  <cols>
    <col min="1" max="1" width="49.6666666666667" customWidth="1"/>
    <col min="2" max="2" width="38.75" customWidth="1"/>
    <col min="3" max="3" width="35.1666666666667" customWidth="1"/>
  </cols>
  <sheetData>
    <row r="1" ht="16.5" spans="1:4">
      <c r="A1" s="170" t="s">
        <v>146</v>
      </c>
    </row>
    <row r="2" ht="190.9" customHeight="1" spans="1:4">
      <c r="A2" s="171" t="s">
        <v>147</v>
      </c>
      <c r="B2" s="172"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171"/>
    </row>
    <row r="3" ht="16.5" spans="1:4">
      <c r="A3" s="170" t="s">
        <v>148</v>
      </c>
    </row>
    <row r="4" ht="16.5" spans="1:4">
      <c r="A4" s="155" t="s">
        <v>149</v>
      </c>
    </row>
  </sheetData>
  <sheetProtection password="CC25" sheet="1" autoFilter="0" objects="1" scenarios="1"/>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166666666667" customWidth="1"/>
    <col min="2" max="2" width="17.5833333333333" customWidth="1"/>
    <col min="3" max="3" width="11.4166666666667" customWidth="1"/>
    <col min="4" max="4" width="27.8333333333333" customWidth="1"/>
    <col min="5" max="5" width="28.25" customWidth="1"/>
    <col min="6" max="6" width="28.5" customWidth="1"/>
    <col min="7" max="7" width="24.3333333333333" customWidth="1"/>
    <col min="8" max="8" width="17.8333333333333" customWidth="1"/>
    <col min="9" max="10" width="22.0833333333333" customWidth="1"/>
    <col min="11" max="11" width="19.9166666666667" customWidth="1"/>
    <col min="12" max="19" width="13.75" customWidth="1"/>
    <col min="20" max="20" width="15.5" customWidth="1"/>
    <col min="21" max="21" width="17.8333333333333" customWidth="1"/>
    <col min="22" max="22" width="22.0833333333333" customWidth="1"/>
    <col min="23" max="23" width="17.8333333333333" hidden="1" customWidth="1"/>
    <col min="24" max="24" width="22.0833333333333" customWidth="1"/>
    <col min="25" max="25" width="15.5833333333333" customWidth="1"/>
    <col min="26" max="26" width="13.75" customWidth="1"/>
    <col min="27" max="27" width="17.8333333333333" customWidth="1"/>
    <col min="28" max="28" width="11.75" customWidth="1"/>
    <col min="29" max="29" width="22.0833333333333" customWidth="1"/>
    <col min="30" max="30" width="11.75" customWidth="1"/>
    <col min="31" max="35" width="17.8333333333333" customWidth="1"/>
    <col min="36" max="37" width="13.1666666666667" customWidth="1"/>
    <col min="38" max="38" width="13.5" customWidth="1"/>
    <col min="39" max="39" width="15.5" customWidth="1"/>
    <col min="40" max="40" width="125.25" customWidth="1"/>
    <col min="41" max="41" width="9" customWidth="1"/>
  </cols>
  <sheetData>
    <row r="1" s="164" customFormat="1" ht="16.5" spans="1:41">
      <c r="A1" s="160" t="s">
        <v>150</v>
      </c>
      <c r="B1" s="160" t="s">
        <v>151</v>
      </c>
      <c r="C1" s="160" t="s">
        <v>152</v>
      </c>
      <c r="D1" s="160" t="s">
        <v>153</v>
      </c>
      <c r="T1" s="160" t="s">
        <v>154</v>
      </c>
      <c r="U1" s="160" t="s">
        <v>155</v>
      </c>
      <c r="AF1" s="160" t="s">
        <v>156</v>
      </c>
      <c r="AJ1" s="160" t="s">
        <v>157</v>
      </c>
      <c r="AN1" s="160" t="s">
        <v>158</v>
      </c>
    </row>
    <row r="2" ht="16.5" spans="1:41">
      <c r="A2" s="153" t="s">
        <v>121</v>
      </c>
      <c r="C2" s="153" t="s">
        <v>159</v>
      </c>
      <c r="D2" s="153" t="str">
        <f t="array" ref="D2:H2">TRANSPOSE(附表!A37:A41)</f>
        <v>任选10个本职技能，分配350</v>
      </c>
      <c r="E2" s="153" t="str">
        <v>技能点，额外加在基础值上，</v>
      </c>
      <c r="F2" s="153" t="str">
        <v>最高至60%。重要关系自4个开</v>
      </c>
      <c r="G2" s="153" t="str">
        <v>始每少一个（最少1个），增</v>
      </c>
      <c r="H2" s="153" t="str">
        <v>加50本职技能点。</v>
      </c>
      <c r="AO2" s="153">
        <f>ROW()</f>
        <v>2</v>
      </c>
    </row>
    <row r="3" s="165" customFormat="1" ht="16.5" spans="1:41">
      <c r="A3" s="166" t="s">
        <v>160</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8">
        <f>IF(LEFT(TRIM(A3&amp;"$"),1)="（",65536,ROW())</f>
        <v>65536</v>
      </c>
    </row>
    <row r="4" s="165" customFormat="1" ht="16.5" spans="1:41">
      <c r="A4" s="166" t="s">
        <v>161</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8">
        <f t="shared" ref="AO4:AO7" si="0">IF(LEFT(TRIM(A4&amp;"$"),1)="（",65536,ROW())</f>
        <v>65536</v>
      </c>
    </row>
    <row r="5" s="165" customFormat="1" ht="16.5" spans="1:41">
      <c r="A5" s="166" t="s">
        <v>162</v>
      </c>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8">
        <f t="shared" si="0"/>
        <v>65536</v>
      </c>
    </row>
    <row r="6" s="165" customFormat="1" ht="16.5" spans="1:41">
      <c r="A6" s="166" t="s">
        <v>163</v>
      </c>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8">
        <f t="shared" si="0"/>
        <v>65536</v>
      </c>
    </row>
    <row r="7" s="165" customFormat="1" ht="16.5" spans="1:41">
      <c r="A7" s="166" t="s">
        <v>164</v>
      </c>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8">
        <f t="shared" si="0"/>
        <v>65536</v>
      </c>
    </row>
    <row r="8" ht="16.5" spans="1:41">
      <c r="A8" s="153" t="s">
        <v>165</v>
      </c>
      <c r="B8" s="153" t="s">
        <v>25</v>
      </c>
      <c r="C8" s="153">
        <v>4</v>
      </c>
      <c r="D8" s="153" t="s">
        <v>166</v>
      </c>
      <c r="E8" s="153" t="s">
        <v>167</v>
      </c>
      <c r="F8" s="153" t="s">
        <v>168</v>
      </c>
      <c r="G8" s="153" t="s">
        <v>169</v>
      </c>
      <c r="H8" s="153" t="s">
        <v>170</v>
      </c>
      <c r="I8" s="153" t="s">
        <v>171</v>
      </c>
      <c r="J8" s="153" t="s">
        <v>172</v>
      </c>
      <c r="T8" s="153">
        <v>2</v>
      </c>
      <c r="U8" s="153" t="s">
        <v>173</v>
      </c>
      <c r="V8" s="153" t="s">
        <v>174</v>
      </c>
      <c r="W8" s="153" t="s">
        <v>175</v>
      </c>
      <c r="X8" s="153" t="s">
        <v>176</v>
      </c>
      <c r="Y8" s="153" t="s">
        <v>177</v>
      </c>
      <c r="Z8" s="153" t="s">
        <v>178</v>
      </c>
      <c r="AA8" s="153" t="s">
        <v>179</v>
      </c>
      <c r="AO8" s="168">
        <f t="shared" ref="AO8:AO71" si="1">ROW()</f>
        <v>8</v>
      </c>
    </row>
    <row r="9" ht="16.5" spans="1:41">
      <c r="A9" s="153" t="s">
        <v>180</v>
      </c>
      <c r="B9" s="153" t="s">
        <v>25</v>
      </c>
      <c r="C9" s="153">
        <v>3</v>
      </c>
      <c r="D9" s="153" t="s">
        <v>181</v>
      </c>
      <c r="E9" s="153" t="s">
        <v>182</v>
      </c>
      <c r="F9" s="153" t="s">
        <v>183</v>
      </c>
      <c r="G9" s="153" t="s">
        <v>184</v>
      </c>
      <c r="H9" s="153" t="s">
        <v>185</v>
      </c>
      <c r="I9" s="153" t="s">
        <v>186</v>
      </c>
      <c r="T9" s="153">
        <v>4</v>
      </c>
      <c r="U9" s="153" t="s">
        <v>187</v>
      </c>
      <c r="V9" s="153" t="s">
        <v>188</v>
      </c>
      <c r="W9" s="153" t="s">
        <v>189</v>
      </c>
      <c r="X9" s="153" t="s">
        <v>169</v>
      </c>
      <c r="Y9" s="153" t="s">
        <v>190</v>
      </c>
      <c r="Z9" s="153" t="s">
        <v>191</v>
      </c>
      <c r="AA9" s="153" t="s">
        <v>192</v>
      </c>
      <c r="AO9" s="168">
        <f t="shared" si="1"/>
        <v>9</v>
      </c>
    </row>
    <row r="10" ht="16.5" spans="1:41">
      <c r="A10" s="153" t="s">
        <v>193</v>
      </c>
      <c r="B10" s="153" t="s">
        <v>194</v>
      </c>
      <c r="C10" s="153">
        <v>3</v>
      </c>
      <c r="D10" s="153" t="s">
        <v>195</v>
      </c>
      <c r="E10" s="153" t="s">
        <v>167</v>
      </c>
      <c r="F10" s="153" t="s">
        <v>196</v>
      </c>
      <c r="G10" s="153" t="s">
        <v>197</v>
      </c>
      <c r="H10" s="153" t="s">
        <v>198</v>
      </c>
      <c r="I10" s="153" t="s">
        <v>199</v>
      </c>
      <c r="J10" s="153" t="s">
        <v>200</v>
      </c>
      <c r="K10" s="153" t="s">
        <v>201</v>
      </c>
      <c r="L10" s="153" t="s">
        <v>202</v>
      </c>
      <c r="M10" s="153" t="s">
        <v>203</v>
      </c>
      <c r="N10" s="153" t="s">
        <v>204</v>
      </c>
      <c r="T10" s="153">
        <v>1</v>
      </c>
      <c r="U10" s="153" t="s">
        <v>205</v>
      </c>
      <c r="V10" s="153" t="s">
        <v>206</v>
      </c>
      <c r="W10" s="153" t="s">
        <v>168</v>
      </c>
      <c r="X10" s="153" t="s">
        <v>207</v>
      </c>
      <c r="Y10" s="153" t="s">
        <v>208</v>
      </c>
      <c r="AO10" s="168">
        <f t="shared" si="1"/>
        <v>10</v>
      </c>
    </row>
    <row r="11" ht="16.5" spans="1:41">
      <c r="A11" s="153" t="s">
        <v>209</v>
      </c>
      <c r="B11" s="153" t="s">
        <v>210</v>
      </c>
      <c r="C11" s="153">
        <v>3</v>
      </c>
      <c r="D11" s="153" t="s">
        <v>188</v>
      </c>
      <c r="E11" s="153" t="s">
        <v>211</v>
      </c>
      <c r="F11" s="153" t="s">
        <v>212</v>
      </c>
      <c r="G11" s="153" t="s">
        <v>172</v>
      </c>
      <c r="H11" s="153" t="s">
        <v>208</v>
      </c>
      <c r="I11" s="153" t="s">
        <v>213</v>
      </c>
      <c r="J11" s="153" t="s">
        <v>214</v>
      </c>
      <c r="T11" s="153">
        <v>2</v>
      </c>
      <c r="U11" s="153" t="s">
        <v>215</v>
      </c>
      <c r="V11" s="153" t="s">
        <v>216</v>
      </c>
      <c r="W11" s="153" t="s">
        <v>217</v>
      </c>
      <c r="X11" s="153" t="s">
        <v>218</v>
      </c>
      <c r="AO11" s="168">
        <f t="shared" si="1"/>
        <v>11</v>
      </c>
    </row>
    <row r="12" ht="16.5" spans="1:41">
      <c r="A12" s="153" t="s">
        <v>219</v>
      </c>
      <c r="B12" s="153" t="s">
        <v>25</v>
      </c>
      <c r="C12" s="153">
        <v>4</v>
      </c>
      <c r="D12" s="153" t="s">
        <v>167</v>
      </c>
      <c r="E12" s="153" t="s">
        <v>220</v>
      </c>
      <c r="F12" s="153" t="s">
        <v>221</v>
      </c>
      <c r="G12" s="153" t="s">
        <v>217</v>
      </c>
      <c r="H12" s="153" t="s">
        <v>217</v>
      </c>
      <c r="T12" s="153">
        <v>3</v>
      </c>
      <c r="U12" s="153" t="s">
        <v>187</v>
      </c>
      <c r="V12" s="153" t="s">
        <v>189</v>
      </c>
      <c r="W12" s="153" t="s">
        <v>169</v>
      </c>
      <c r="X12" s="153" t="s">
        <v>222</v>
      </c>
      <c r="Y12" s="153" t="s">
        <v>191</v>
      </c>
      <c r="Z12" s="153" t="s">
        <v>223</v>
      </c>
      <c r="AO12" s="168">
        <f t="shared" si="1"/>
        <v>12</v>
      </c>
    </row>
    <row r="13" ht="16.5" spans="1:41">
      <c r="A13" s="153" t="s">
        <v>224</v>
      </c>
      <c r="B13" s="153" t="s">
        <v>225</v>
      </c>
      <c r="C13" s="153">
        <v>2</v>
      </c>
      <c r="D13" s="153" t="s">
        <v>226</v>
      </c>
      <c r="E13" s="153" t="s">
        <v>227</v>
      </c>
      <c r="F13" s="153" t="s">
        <v>228</v>
      </c>
      <c r="G13" s="153" t="s">
        <v>229</v>
      </c>
      <c r="H13" s="153" t="s">
        <v>207</v>
      </c>
      <c r="I13" s="153" t="s">
        <v>230</v>
      </c>
      <c r="J13" s="153" t="s">
        <v>231</v>
      </c>
      <c r="K13" s="153" t="s">
        <v>176</v>
      </c>
      <c r="L13" s="153" t="s">
        <v>232</v>
      </c>
      <c r="M13" s="153" t="s">
        <v>179</v>
      </c>
      <c r="N13" s="153" t="s">
        <v>233</v>
      </c>
      <c r="O13" s="153" t="s">
        <v>204</v>
      </c>
      <c r="AO13" s="168">
        <f t="shared" si="1"/>
        <v>13</v>
      </c>
    </row>
    <row r="14" ht="16.5" spans="1:41">
      <c r="A14" s="153" t="s">
        <v>234</v>
      </c>
      <c r="B14" s="153" t="s">
        <v>235</v>
      </c>
      <c r="C14" s="153">
        <v>4</v>
      </c>
      <c r="D14" s="153" t="s">
        <v>195</v>
      </c>
      <c r="E14" s="153" t="s">
        <v>236</v>
      </c>
      <c r="F14" s="153" t="s">
        <v>237</v>
      </c>
      <c r="G14" s="153" t="s">
        <v>238</v>
      </c>
      <c r="H14" s="153" t="s">
        <v>197</v>
      </c>
      <c r="I14" s="153" t="s">
        <v>239</v>
      </c>
      <c r="J14" s="153" t="s">
        <v>240</v>
      </c>
      <c r="K14" s="153" t="s">
        <v>241</v>
      </c>
      <c r="L14" s="153" t="s">
        <v>202</v>
      </c>
      <c r="M14" s="153" t="s">
        <v>232</v>
      </c>
      <c r="N14" s="153" t="s">
        <v>242</v>
      </c>
      <c r="T14" s="153">
        <v>2</v>
      </c>
      <c r="U14" s="153" t="s">
        <v>243</v>
      </c>
      <c r="V14" s="153" t="s">
        <v>228</v>
      </c>
      <c r="W14" s="153" t="s">
        <v>244</v>
      </c>
      <c r="X14" s="153" t="s">
        <v>169</v>
      </c>
      <c r="Y14" s="153" t="s">
        <v>222</v>
      </c>
      <c r="Z14" s="153" t="s">
        <v>175</v>
      </c>
      <c r="AA14" s="153" t="s">
        <v>176</v>
      </c>
      <c r="AB14" s="153" t="s">
        <v>245</v>
      </c>
      <c r="AC14" s="153" t="s">
        <v>223</v>
      </c>
      <c r="AO14" s="168">
        <f t="shared" si="1"/>
        <v>14</v>
      </c>
    </row>
    <row r="15" ht="16.5" spans="1:41">
      <c r="A15" s="153" t="s">
        <v>246</v>
      </c>
      <c r="B15" s="153" t="s">
        <v>247</v>
      </c>
      <c r="C15" s="153">
        <v>3</v>
      </c>
      <c r="D15" s="153" t="s">
        <v>195</v>
      </c>
      <c r="E15" s="153" t="s">
        <v>227</v>
      </c>
      <c r="F15" s="153" t="s">
        <v>248</v>
      </c>
      <c r="G15" s="153" t="s">
        <v>249</v>
      </c>
      <c r="H15" s="153" t="s">
        <v>250</v>
      </c>
      <c r="I15" s="153" t="s">
        <v>197</v>
      </c>
      <c r="J15" s="153" t="s">
        <v>251</v>
      </c>
      <c r="K15" s="153" t="s">
        <v>222</v>
      </c>
      <c r="L15" s="153" t="s">
        <v>190</v>
      </c>
      <c r="M15" s="153" t="s">
        <v>176</v>
      </c>
      <c r="N15" s="153" t="s">
        <v>214</v>
      </c>
      <c r="AO15" s="168">
        <f t="shared" si="1"/>
        <v>15</v>
      </c>
    </row>
    <row r="16" ht="16.5" spans="1:41">
      <c r="A16" s="153" t="s">
        <v>252</v>
      </c>
      <c r="B16" s="153" t="s">
        <v>253</v>
      </c>
      <c r="C16" s="153">
        <v>3</v>
      </c>
      <c r="D16" s="153" t="s">
        <v>254</v>
      </c>
      <c r="E16" s="153" t="s">
        <v>173</v>
      </c>
      <c r="F16" s="153" t="s">
        <v>255</v>
      </c>
      <c r="G16" s="153" t="s">
        <v>168</v>
      </c>
      <c r="H16" s="153" t="s">
        <v>168</v>
      </c>
      <c r="I16" s="153" t="s">
        <v>169</v>
      </c>
      <c r="J16" s="153" t="s">
        <v>256</v>
      </c>
      <c r="K16" s="153" t="s">
        <v>175</v>
      </c>
      <c r="L16" s="153" t="s">
        <v>191</v>
      </c>
      <c r="M16" s="153" t="s">
        <v>202</v>
      </c>
      <c r="AO16" s="168">
        <f t="shared" si="1"/>
        <v>16</v>
      </c>
    </row>
    <row r="17" ht="16.5" spans="1:41">
      <c r="A17" s="153" t="s">
        <v>257</v>
      </c>
      <c r="B17" s="153" t="s">
        <v>25</v>
      </c>
      <c r="C17" s="153">
        <v>3</v>
      </c>
      <c r="D17" s="153" t="s">
        <v>173</v>
      </c>
      <c r="E17" s="153" t="s">
        <v>188</v>
      </c>
      <c r="F17" s="153" t="s">
        <v>220</v>
      </c>
      <c r="G17" s="153" t="s">
        <v>258</v>
      </c>
      <c r="H17" s="153" t="s">
        <v>168</v>
      </c>
      <c r="I17" s="153" t="s">
        <v>168</v>
      </c>
      <c r="J17" s="153" t="s">
        <v>169</v>
      </c>
      <c r="K17" s="153" t="s">
        <v>256</v>
      </c>
      <c r="L17" s="153" t="s">
        <v>175</v>
      </c>
      <c r="M17" s="153" t="s">
        <v>186</v>
      </c>
      <c r="AO17" s="168">
        <f t="shared" si="1"/>
        <v>17</v>
      </c>
    </row>
    <row r="18" ht="16.5" spans="1:41">
      <c r="A18" s="153" t="s">
        <v>259</v>
      </c>
      <c r="B18" s="153" t="s">
        <v>260</v>
      </c>
      <c r="C18" s="153">
        <v>2</v>
      </c>
      <c r="D18" s="153" t="s">
        <v>195</v>
      </c>
      <c r="E18" s="153" t="s">
        <v>167</v>
      </c>
      <c r="F18" s="153" t="s">
        <v>196</v>
      </c>
      <c r="G18" s="153" t="s">
        <v>244</v>
      </c>
      <c r="H18" s="153" t="s">
        <v>261</v>
      </c>
      <c r="I18" s="153" t="s">
        <v>239</v>
      </c>
      <c r="J18" s="153" t="s">
        <v>168</v>
      </c>
      <c r="K18" s="153" t="s">
        <v>169</v>
      </c>
      <c r="L18" s="153" t="s">
        <v>200</v>
      </c>
      <c r="M18" s="153" t="s">
        <v>262</v>
      </c>
      <c r="N18" s="153" t="s">
        <v>186</v>
      </c>
      <c r="O18" s="153" t="s">
        <v>232</v>
      </c>
      <c r="P18" s="153" t="s">
        <v>242</v>
      </c>
      <c r="AO18" s="168">
        <f t="shared" si="1"/>
        <v>18</v>
      </c>
    </row>
    <row r="19" ht="16.5" spans="1:41">
      <c r="A19" s="153" t="s">
        <v>263</v>
      </c>
      <c r="B19" s="153" t="s">
        <v>253</v>
      </c>
      <c r="C19" s="153">
        <v>4</v>
      </c>
      <c r="D19" s="153" t="s">
        <v>187</v>
      </c>
      <c r="E19" s="153" t="s">
        <v>188</v>
      </c>
      <c r="F19" s="153" t="s">
        <v>264</v>
      </c>
      <c r="G19" s="153" t="s">
        <v>262</v>
      </c>
      <c r="T19" s="153">
        <v>4</v>
      </c>
      <c r="U19" s="153" t="s">
        <v>206</v>
      </c>
      <c r="V19" s="153" t="s">
        <v>237</v>
      </c>
      <c r="W19" s="153" t="s">
        <v>168</v>
      </c>
      <c r="X19" s="153" t="s">
        <v>265</v>
      </c>
      <c r="Y19" s="153" t="s">
        <v>208</v>
      </c>
      <c r="AO19" s="168">
        <f t="shared" si="1"/>
        <v>19</v>
      </c>
    </row>
    <row r="20" ht="16.5" spans="1:41">
      <c r="A20" s="153" t="s">
        <v>266</v>
      </c>
      <c r="B20" s="153" t="s">
        <v>253</v>
      </c>
      <c r="C20" s="153">
        <v>4</v>
      </c>
      <c r="D20" s="153" t="s">
        <v>267</v>
      </c>
      <c r="E20" s="153" t="s">
        <v>256</v>
      </c>
      <c r="F20" s="153" t="s">
        <v>264</v>
      </c>
      <c r="G20" s="153" t="s">
        <v>202</v>
      </c>
      <c r="T20" s="153">
        <v>5</v>
      </c>
      <c r="U20" s="153" t="s">
        <v>173</v>
      </c>
      <c r="V20" s="153" t="s">
        <v>174</v>
      </c>
      <c r="W20" s="153" t="s">
        <v>268</v>
      </c>
      <c r="X20" s="153" t="s">
        <v>188</v>
      </c>
      <c r="Y20" s="153" t="s">
        <v>220</v>
      </c>
      <c r="Z20" s="153" t="s">
        <v>196</v>
      </c>
      <c r="AA20" s="153" t="s">
        <v>169</v>
      </c>
      <c r="AB20" s="153" t="s">
        <v>191</v>
      </c>
      <c r="AC20" s="153" t="s">
        <v>269</v>
      </c>
      <c r="AD20" s="153" t="s">
        <v>245</v>
      </c>
      <c r="AE20" s="153" t="s">
        <v>192</v>
      </c>
      <c r="AO20" s="168">
        <f t="shared" si="1"/>
        <v>20</v>
      </c>
    </row>
    <row r="21" ht="16.5" spans="1:41">
      <c r="A21" s="153" t="s">
        <v>270</v>
      </c>
      <c r="B21" s="153" t="s">
        <v>260</v>
      </c>
      <c r="C21" s="153">
        <v>4</v>
      </c>
      <c r="D21" s="153" t="s">
        <v>271</v>
      </c>
      <c r="E21" s="153" t="s">
        <v>167</v>
      </c>
      <c r="F21" s="153" t="s">
        <v>211</v>
      </c>
      <c r="G21" s="153" t="s">
        <v>264</v>
      </c>
      <c r="H21" s="153" t="s">
        <v>272</v>
      </c>
      <c r="I21" s="153" t="s">
        <v>172</v>
      </c>
      <c r="J21" s="153" t="s">
        <v>223</v>
      </c>
      <c r="K21" s="153" t="s">
        <v>273</v>
      </c>
      <c r="T21" s="153">
        <v>2</v>
      </c>
      <c r="U21" s="153" t="s">
        <v>274</v>
      </c>
      <c r="V21" s="153" t="s">
        <v>222</v>
      </c>
      <c r="W21" s="153" t="s">
        <v>176</v>
      </c>
      <c r="X21" s="153" t="s">
        <v>275</v>
      </c>
      <c r="Y21" s="153" t="s">
        <v>178</v>
      </c>
      <c r="AO21" s="168">
        <f t="shared" si="1"/>
        <v>21</v>
      </c>
    </row>
    <row r="22" ht="16.5" spans="1:41">
      <c r="A22" s="153" t="s">
        <v>276</v>
      </c>
      <c r="B22" s="153" t="s">
        <v>277</v>
      </c>
      <c r="C22" s="153">
        <v>3</v>
      </c>
      <c r="D22" s="153" t="s">
        <v>226</v>
      </c>
      <c r="E22" s="153" t="s">
        <v>278</v>
      </c>
      <c r="F22" s="153" t="s">
        <v>248</v>
      </c>
      <c r="G22" s="153" t="s">
        <v>249</v>
      </c>
      <c r="H22" s="153" t="s">
        <v>176</v>
      </c>
      <c r="I22" s="153" t="s">
        <v>279</v>
      </c>
      <c r="J22" s="153" t="s">
        <v>280</v>
      </c>
      <c r="K22" s="153" t="s">
        <v>281</v>
      </c>
      <c r="T22" s="153">
        <v>2</v>
      </c>
      <c r="U22" s="153" t="s">
        <v>168</v>
      </c>
      <c r="V22" s="153" t="s">
        <v>282</v>
      </c>
      <c r="W22" s="153" t="s">
        <v>207</v>
      </c>
      <c r="X22" s="153" t="s">
        <v>283</v>
      </c>
      <c r="AO22" s="168">
        <f t="shared" si="1"/>
        <v>22</v>
      </c>
    </row>
    <row r="23" ht="16.5" spans="1:41">
      <c r="A23" s="153" t="s">
        <v>284</v>
      </c>
      <c r="B23" s="153" t="s">
        <v>225</v>
      </c>
      <c r="C23" s="153">
        <v>3</v>
      </c>
      <c r="D23" s="153" t="s">
        <v>226</v>
      </c>
      <c r="E23" s="153" t="s">
        <v>167</v>
      </c>
      <c r="F23" s="153" t="s">
        <v>258</v>
      </c>
      <c r="G23" s="153" t="s">
        <v>197</v>
      </c>
      <c r="H23" s="153" t="s">
        <v>239</v>
      </c>
      <c r="I23" s="153" t="s">
        <v>285</v>
      </c>
      <c r="J23" s="153" t="s">
        <v>175</v>
      </c>
      <c r="K23" s="153" t="s">
        <v>201</v>
      </c>
      <c r="L23" s="153" t="s">
        <v>230</v>
      </c>
      <c r="M23" s="153" t="s">
        <v>286</v>
      </c>
      <c r="N23" s="153" t="s">
        <v>172</v>
      </c>
      <c r="O23" s="153" t="s">
        <v>214</v>
      </c>
      <c r="P23" s="153" t="s">
        <v>204</v>
      </c>
      <c r="T23" s="153">
        <v>1</v>
      </c>
      <c r="U23" s="153" t="s">
        <v>215</v>
      </c>
      <c r="V23" s="153" t="s">
        <v>287</v>
      </c>
      <c r="W23" s="153" t="s">
        <v>207</v>
      </c>
      <c r="X23" s="153" t="s">
        <v>288</v>
      </c>
      <c r="AO23" s="168">
        <f t="shared" si="1"/>
        <v>23</v>
      </c>
    </row>
    <row r="24" ht="16.5" spans="1:41">
      <c r="A24" s="153" t="s">
        <v>289</v>
      </c>
      <c r="B24" s="153" t="s">
        <v>253</v>
      </c>
      <c r="C24" s="153">
        <v>4</v>
      </c>
      <c r="D24" s="153" t="s">
        <v>205</v>
      </c>
      <c r="E24" s="153" t="s">
        <v>255</v>
      </c>
      <c r="F24" s="153" t="s">
        <v>206</v>
      </c>
      <c r="G24" s="153" t="s">
        <v>290</v>
      </c>
      <c r="H24" s="153" t="s">
        <v>168</v>
      </c>
      <c r="I24" s="153" t="s">
        <v>256</v>
      </c>
      <c r="J24" s="153" t="s">
        <v>191</v>
      </c>
      <c r="K24" s="153" t="s">
        <v>202</v>
      </c>
      <c r="T24" s="153">
        <v>1</v>
      </c>
      <c r="U24" s="153" t="s">
        <v>291</v>
      </c>
      <c r="V24" s="153" t="s">
        <v>292</v>
      </c>
      <c r="W24" s="153" t="s">
        <v>293</v>
      </c>
      <c r="X24" s="153" t="s">
        <v>294</v>
      </c>
      <c r="AO24" s="168">
        <f t="shared" si="1"/>
        <v>24</v>
      </c>
    </row>
    <row r="25" ht="16.5" spans="1:41">
      <c r="A25" s="153" t="s">
        <v>295</v>
      </c>
      <c r="B25" s="153" t="s">
        <v>296</v>
      </c>
      <c r="C25" s="153">
        <v>4</v>
      </c>
      <c r="D25" s="153" t="s">
        <v>195</v>
      </c>
      <c r="E25" s="153" t="s">
        <v>236</v>
      </c>
      <c r="F25" s="153" t="s">
        <v>278</v>
      </c>
      <c r="G25" s="153" t="s">
        <v>261</v>
      </c>
      <c r="H25" s="153" t="s">
        <v>239</v>
      </c>
      <c r="I25" s="153" t="s">
        <v>297</v>
      </c>
      <c r="J25" s="153" t="s">
        <v>298</v>
      </c>
      <c r="K25" s="153" t="s">
        <v>286</v>
      </c>
      <c r="L25" s="153" t="s">
        <v>299</v>
      </c>
      <c r="M25" s="153" t="s">
        <v>242</v>
      </c>
      <c r="T25" s="153">
        <v>3</v>
      </c>
      <c r="U25" s="153" t="s">
        <v>300</v>
      </c>
      <c r="V25" s="153" t="s">
        <v>220</v>
      </c>
      <c r="W25" s="153" t="s">
        <v>189</v>
      </c>
      <c r="X25" s="153" t="s">
        <v>228</v>
      </c>
      <c r="Y25" s="153" t="s">
        <v>169</v>
      </c>
      <c r="Z25" s="153" t="s">
        <v>190</v>
      </c>
      <c r="AA25" s="153" t="s">
        <v>301</v>
      </c>
      <c r="AB25" s="153" t="s">
        <v>178</v>
      </c>
      <c r="AC25" s="153" t="s">
        <v>186</v>
      </c>
      <c r="AD25" s="153" t="s">
        <v>302</v>
      </c>
      <c r="AO25" s="168">
        <f t="shared" si="1"/>
        <v>25</v>
      </c>
    </row>
    <row r="26" ht="16.5" spans="1:41">
      <c r="A26" s="153" t="s">
        <v>303</v>
      </c>
      <c r="AF26" s="153" t="s">
        <v>193</v>
      </c>
      <c r="AJ26" s="153" t="s">
        <v>97</v>
      </c>
      <c r="AK26" s="153" t="s">
        <v>86</v>
      </c>
      <c r="AL26" s="153" t="s">
        <v>304</v>
      </c>
      <c r="AM26" s="153" t="s">
        <v>102</v>
      </c>
      <c r="AN26" s="153" t="str">
        <f>附表!$L$62&amp;"。"</f>
        <v>参见《特工手册》的“本职装备：联邦探员”。</v>
      </c>
      <c r="AO26" s="168">
        <f t="shared" si="1"/>
        <v>26</v>
      </c>
    </row>
    <row r="27" ht="16.5" spans="1:41">
      <c r="A27" s="153" t="s">
        <v>305</v>
      </c>
      <c r="AF27" s="153" t="s">
        <v>193</v>
      </c>
      <c r="AG27" s="153" t="s">
        <v>306</v>
      </c>
      <c r="AH27" s="153" t="s">
        <v>307</v>
      </c>
      <c r="AJ27" s="153" t="s">
        <v>308</v>
      </c>
      <c r="AK27" s="153" t="s">
        <v>119</v>
      </c>
      <c r="AL27" s="153" t="s">
        <v>104</v>
      </c>
      <c r="AM27" s="153" t="s">
        <v>90</v>
      </c>
      <c r="AN27" s="153" t="str">
        <f>附表!$L$62&amp;"，此外还有一台强固式笔电，加载先进的数据分析软件，化学嗅探器/分析仪。"</f>
        <v>参见《特工手册》的“本职装备：联邦探员”，此外还有一台强固式笔电，加载先进的数据分析软件，化学嗅探器/分析仪。</v>
      </c>
      <c r="AO27" s="168">
        <f t="shared" si="1"/>
        <v>27</v>
      </c>
    </row>
    <row r="28" ht="16.5" spans="1:41">
      <c r="A28" s="153" t="s">
        <v>309</v>
      </c>
      <c r="AF28" s="153" t="s">
        <v>310</v>
      </c>
      <c r="AG28" s="153" t="s">
        <v>307</v>
      </c>
      <c r="AH28" s="153" t="s">
        <v>209</v>
      </c>
      <c r="AI28" s="153" t="s">
        <v>219</v>
      </c>
      <c r="AJ28" s="153" t="s">
        <v>90</v>
      </c>
      <c r="AK28" s="153" t="s">
        <v>119</v>
      </c>
      <c r="AL28" s="153" t="s">
        <v>95</v>
      </c>
      <c r="AM28" s="153" t="s">
        <v>311</v>
      </c>
      <c r="AN28" s="153" t="s">
        <v>312</v>
      </c>
      <c r="AO28" s="168">
        <f t="shared" si="1"/>
        <v>28</v>
      </c>
    </row>
    <row r="29" ht="16.5" spans="1:41">
      <c r="A29" s="153" t="s">
        <v>313</v>
      </c>
      <c r="AF29" s="153" t="s">
        <v>306</v>
      </c>
      <c r="AG29" s="153" t="s">
        <v>307</v>
      </c>
      <c r="AJ29" s="153" t="s">
        <v>97</v>
      </c>
      <c r="AK29" s="153" t="s">
        <v>113</v>
      </c>
      <c r="AL29" s="153" t="s">
        <v>105</v>
      </c>
      <c r="AM29" s="153" t="s">
        <v>64</v>
      </c>
      <c r="AN29" s="153" t="s">
        <v>314</v>
      </c>
      <c r="AO29" s="168">
        <f t="shared" si="1"/>
        <v>29</v>
      </c>
    </row>
    <row r="30" ht="16.5" spans="1:41">
      <c r="A30" s="153" t="s">
        <v>315</v>
      </c>
      <c r="C30" s="153">
        <v>1</v>
      </c>
      <c r="D30" s="153" t="s">
        <v>226</v>
      </c>
      <c r="E30" s="153" t="s">
        <v>227</v>
      </c>
      <c r="F30" s="153" t="s">
        <v>228</v>
      </c>
      <c r="G30" s="153" t="s">
        <v>316</v>
      </c>
      <c r="H30" s="153" t="s">
        <v>229</v>
      </c>
      <c r="I30" s="153" t="s">
        <v>199</v>
      </c>
      <c r="J30" s="153" t="s">
        <v>207</v>
      </c>
      <c r="K30" s="153" t="s">
        <v>230</v>
      </c>
      <c r="L30" s="153" t="s">
        <v>231</v>
      </c>
      <c r="M30" s="153" t="s">
        <v>176</v>
      </c>
      <c r="N30" s="153" t="s">
        <v>232</v>
      </c>
      <c r="O30" s="153" t="s">
        <v>179</v>
      </c>
      <c r="P30" s="153" t="s">
        <v>233</v>
      </c>
      <c r="Q30" s="153" t="s">
        <v>204</v>
      </c>
      <c r="AJ30" s="153" t="s">
        <v>97</v>
      </c>
      <c r="AK30" s="153" t="s">
        <v>105</v>
      </c>
      <c r="AL30" s="153" t="s">
        <v>70</v>
      </c>
      <c r="AM30" s="153" t="s">
        <v>106</v>
      </c>
      <c r="AN30" s="153"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168">
        <f t="shared" si="1"/>
        <v>30</v>
      </c>
    </row>
    <row r="31" ht="16.5" spans="1:41">
      <c r="A31" s="153" t="s">
        <v>317</v>
      </c>
      <c r="AF31" s="153" t="s">
        <v>193</v>
      </c>
      <c r="AG31" s="153" t="s">
        <v>318</v>
      </c>
      <c r="AJ31" s="153" t="s">
        <v>97</v>
      </c>
      <c r="AK31" s="153" t="s">
        <v>86</v>
      </c>
      <c r="AL31" s="153" t="s">
        <v>304</v>
      </c>
      <c r="AM31" s="153" t="s">
        <v>102</v>
      </c>
      <c r="AN31" s="153" t="str">
        <f>附表!$L$62&amp;"。"</f>
        <v>参见《特工手册》的“本职装备：联邦探员”。</v>
      </c>
      <c r="AO31" s="168">
        <f t="shared" si="1"/>
        <v>31</v>
      </c>
    </row>
    <row r="32" ht="16.5" spans="1:41">
      <c r="A32" s="153" t="s">
        <v>319</v>
      </c>
      <c r="AF32" s="153" t="s">
        <v>165</v>
      </c>
      <c r="AG32" s="153" t="s">
        <v>320</v>
      </c>
      <c r="AH32" s="153" t="s">
        <v>321</v>
      </c>
      <c r="AI32" s="153" t="s">
        <v>219</v>
      </c>
      <c r="AJ32" s="153" t="s">
        <v>63</v>
      </c>
      <c r="AK32" s="153" t="s">
        <v>113</v>
      </c>
      <c r="AL32" s="153" t="s">
        <v>64</v>
      </c>
      <c r="AM32" s="153" t="s">
        <v>86</v>
      </c>
      <c r="AN32" s="153" t="s">
        <v>322</v>
      </c>
      <c r="AO32" s="168">
        <f t="shared" si="1"/>
        <v>32</v>
      </c>
    </row>
    <row r="33" ht="16.5" spans="1:41">
      <c r="A33" s="153" t="s">
        <v>323</v>
      </c>
      <c r="AF33" s="153" t="s">
        <v>310</v>
      </c>
      <c r="AG33" s="153" t="s">
        <v>306</v>
      </c>
      <c r="AJ33" s="153" t="s">
        <v>90</v>
      </c>
      <c r="AK33" s="153" t="s">
        <v>97</v>
      </c>
      <c r="AL33" s="153" t="s">
        <v>64</v>
      </c>
      <c r="AM33" s="153" t="s">
        <v>104</v>
      </c>
      <c r="AN33" s="153" t="s">
        <v>324</v>
      </c>
      <c r="AO33" s="168">
        <f t="shared" si="1"/>
        <v>33</v>
      </c>
    </row>
    <row r="34" ht="16.5" spans="1:41">
      <c r="A34" s="153" t="s">
        <v>325</v>
      </c>
      <c r="C34" s="153">
        <v>2</v>
      </c>
      <c r="D34" s="153" t="s">
        <v>195</v>
      </c>
      <c r="E34" s="153" t="s">
        <v>167</v>
      </c>
      <c r="F34" s="153" t="s">
        <v>196</v>
      </c>
      <c r="G34" s="153" t="s">
        <v>261</v>
      </c>
      <c r="H34" s="153" t="s">
        <v>198</v>
      </c>
      <c r="I34" s="153" t="s">
        <v>326</v>
      </c>
      <c r="J34" s="153" t="s">
        <v>199</v>
      </c>
      <c r="K34" s="153" t="s">
        <v>327</v>
      </c>
      <c r="L34" s="153" t="s">
        <v>328</v>
      </c>
      <c r="M34" s="153" t="s">
        <v>201</v>
      </c>
      <c r="N34" s="153" t="s">
        <v>329</v>
      </c>
      <c r="O34" s="153" t="s">
        <v>172</v>
      </c>
      <c r="P34" s="153" t="s">
        <v>330</v>
      </c>
      <c r="Q34" s="153" t="s">
        <v>203</v>
      </c>
      <c r="R34" s="153" t="s">
        <v>331</v>
      </c>
      <c r="S34" s="153" t="s">
        <v>204</v>
      </c>
      <c r="AJ34" s="153" t="s">
        <v>79</v>
      </c>
      <c r="AK34" s="153" t="s">
        <v>105</v>
      </c>
      <c r="AL34" s="153" t="s">
        <v>113</v>
      </c>
      <c r="AM34" s="153" t="s">
        <v>102</v>
      </c>
      <c r="AN34" s="153" t="str">
        <f>附表!$L$64&amp;"。"</f>
        <v>参见《特工手册》的“本职装备：警局警员”。</v>
      </c>
      <c r="AO34" s="168">
        <f t="shared" si="1"/>
        <v>34</v>
      </c>
    </row>
    <row r="35" ht="16.5" spans="1:41">
      <c r="A35" s="153" t="s">
        <v>332</v>
      </c>
      <c r="AF35" s="153" t="s">
        <v>193</v>
      </c>
      <c r="AJ35" s="153" t="s">
        <v>85</v>
      </c>
      <c r="AK35" s="153" t="s">
        <v>97</v>
      </c>
      <c r="AL35" s="153" t="s">
        <v>113</v>
      </c>
      <c r="AM35" s="153" t="s">
        <v>119</v>
      </c>
      <c r="AN35" s="153" t="str">
        <f>附表!$L$62&amp;"。"</f>
        <v>参见《特工手册》的“本职装备：联邦探员”。</v>
      </c>
      <c r="AO35" s="168">
        <f t="shared" si="1"/>
        <v>35</v>
      </c>
    </row>
    <row r="36" ht="16.5" spans="1:41">
      <c r="A36" s="153" t="s">
        <v>333</v>
      </c>
      <c r="AF36" s="153" t="s">
        <v>334</v>
      </c>
      <c r="AG36" s="153" t="s">
        <v>306</v>
      </c>
      <c r="AJ36" s="153" t="s">
        <v>85</v>
      </c>
      <c r="AK36" s="153" t="s">
        <v>90</v>
      </c>
      <c r="AL36" s="153" t="s">
        <v>311</v>
      </c>
      <c r="AM36" s="153" t="s">
        <v>104</v>
      </c>
      <c r="AN36" s="153" t="str">
        <f>附表!$L$62&amp;"。"</f>
        <v>参见《特工手册》的“本职装备：联邦探员”。</v>
      </c>
      <c r="AO36" s="168">
        <f t="shared" si="1"/>
        <v>36</v>
      </c>
    </row>
    <row r="37" ht="16.5" spans="1:41">
      <c r="A37" s="153" t="s">
        <v>335</v>
      </c>
      <c r="C37" s="153">
        <v>2</v>
      </c>
      <c r="D37" s="153" t="s">
        <v>195</v>
      </c>
      <c r="E37" s="153" t="s">
        <v>167</v>
      </c>
      <c r="F37" s="153" t="s">
        <v>196</v>
      </c>
      <c r="G37" s="153" t="s">
        <v>316</v>
      </c>
      <c r="H37" s="153" t="s">
        <v>197</v>
      </c>
      <c r="I37" s="153" t="s">
        <v>198</v>
      </c>
      <c r="J37" s="153" t="s">
        <v>199</v>
      </c>
      <c r="K37" s="153" t="s">
        <v>207</v>
      </c>
      <c r="L37" s="153" t="s">
        <v>200</v>
      </c>
      <c r="M37" s="153" t="s">
        <v>201</v>
      </c>
      <c r="N37" s="153" t="s">
        <v>202</v>
      </c>
      <c r="O37" s="153" t="s">
        <v>203</v>
      </c>
      <c r="P37" s="153" t="s">
        <v>336</v>
      </c>
      <c r="Q37" s="153" t="s">
        <v>204</v>
      </c>
      <c r="AJ37" s="153" t="s">
        <v>101</v>
      </c>
      <c r="AK37" s="153" t="s">
        <v>105</v>
      </c>
      <c r="AL37" s="153" t="s">
        <v>97</v>
      </c>
      <c r="AM37" s="153" t="s">
        <v>70</v>
      </c>
      <c r="AN37" s="153" t="str">
        <f>附表!$L$63&amp;"。"</f>
        <v>参见《特工手册》的“本职装备：特警部队”。</v>
      </c>
      <c r="AO37" s="168">
        <f t="shared" si="1"/>
        <v>37</v>
      </c>
    </row>
    <row r="38" ht="16.5" spans="1:41">
      <c r="A38" s="153" t="s">
        <v>337</v>
      </c>
      <c r="AF38" s="153" t="s">
        <v>193</v>
      </c>
      <c r="AJ38" s="153" t="s">
        <v>79</v>
      </c>
      <c r="AK38" s="153" t="s">
        <v>119</v>
      </c>
      <c r="AL38" s="153" t="s">
        <v>80</v>
      </c>
      <c r="AM38" s="153" t="s">
        <v>112</v>
      </c>
      <c r="AN38" s="153" t="str">
        <f>附表!$L$62&amp;"。"</f>
        <v>参见《特工手册》的“本职装备：联邦探员”。</v>
      </c>
      <c r="AO38" s="168">
        <f t="shared" si="1"/>
        <v>38</v>
      </c>
    </row>
    <row r="39" ht="16.5" spans="1:41">
      <c r="A39" s="153" t="s">
        <v>338</v>
      </c>
      <c r="AF39" s="153" t="s">
        <v>193</v>
      </c>
      <c r="AJ39" s="153" t="s">
        <v>97</v>
      </c>
      <c r="AK39" s="153" t="s">
        <v>113</v>
      </c>
      <c r="AL39" s="153" t="s">
        <v>64</v>
      </c>
      <c r="AM39" s="153" t="s">
        <v>102</v>
      </c>
      <c r="AN39" s="153" t="str">
        <f>附表!$L$62&amp;"。"</f>
        <v>参见《特工手册》的“本职装备：联邦探员”。</v>
      </c>
      <c r="AO39" s="168">
        <f t="shared" si="1"/>
        <v>39</v>
      </c>
    </row>
    <row r="40" ht="16.5" spans="1:41">
      <c r="A40" s="153" t="s">
        <v>339</v>
      </c>
      <c r="C40" s="153">
        <v>2</v>
      </c>
      <c r="D40" s="153" t="s">
        <v>195</v>
      </c>
      <c r="E40" s="153" t="s">
        <v>340</v>
      </c>
      <c r="F40" s="153" t="s">
        <v>167</v>
      </c>
      <c r="G40" s="153" t="s">
        <v>196</v>
      </c>
      <c r="H40" s="153" t="s">
        <v>238</v>
      </c>
      <c r="I40" s="153" t="s">
        <v>197</v>
      </c>
      <c r="J40" s="153" t="s">
        <v>198</v>
      </c>
      <c r="K40" s="153" t="s">
        <v>199</v>
      </c>
      <c r="L40" s="153" t="s">
        <v>207</v>
      </c>
      <c r="M40" s="153" t="s">
        <v>200</v>
      </c>
      <c r="N40" s="153" t="s">
        <v>201</v>
      </c>
      <c r="O40" s="153" t="s">
        <v>202</v>
      </c>
      <c r="P40" s="153" t="s">
        <v>203</v>
      </c>
      <c r="Q40" s="153" t="s">
        <v>336</v>
      </c>
      <c r="R40" s="153" t="s">
        <v>204</v>
      </c>
      <c r="AJ40" s="153" t="s">
        <v>79</v>
      </c>
      <c r="AK40" s="153" t="s">
        <v>101</v>
      </c>
      <c r="AL40" s="153" t="s">
        <v>105</v>
      </c>
      <c r="AM40" s="153" t="s">
        <v>112</v>
      </c>
      <c r="AN40" s="153" t="str">
        <f>附表!$L$63&amp;"。"</f>
        <v>参见《特工手册》的“本职装备：特警部队”。</v>
      </c>
      <c r="AO40" s="168">
        <f t="shared" si="1"/>
        <v>40</v>
      </c>
    </row>
    <row r="41" ht="16.5" spans="1:41">
      <c r="A41" s="153" t="s">
        <v>341</v>
      </c>
      <c r="AF41" s="153" t="s">
        <v>219</v>
      </c>
      <c r="AJ41" s="153" t="s">
        <v>85</v>
      </c>
      <c r="AK41" s="153" t="s">
        <v>342</v>
      </c>
      <c r="AL41" s="153" t="s">
        <v>86</v>
      </c>
      <c r="AM41" s="153" t="s">
        <v>343</v>
      </c>
      <c r="AN41" s="153" t="s">
        <v>344</v>
      </c>
      <c r="AO41" s="168">
        <f t="shared" si="1"/>
        <v>41</v>
      </c>
    </row>
    <row r="42" ht="16.5" spans="1:41">
      <c r="A42" s="153" t="s">
        <v>345</v>
      </c>
      <c r="AF42" s="153" t="s">
        <v>346</v>
      </c>
      <c r="AJ42" s="153" t="s">
        <v>85</v>
      </c>
      <c r="AK42" s="153" t="s">
        <v>119</v>
      </c>
      <c r="AL42" s="153" t="s">
        <v>347</v>
      </c>
      <c r="AM42" s="153" t="s">
        <v>104</v>
      </c>
      <c r="AN42" s="153" t="str">
        <f>附表!$L$65&amp;"，还有特化的情报和许多不同的生存装备。"</f>
        <v>参见《特工手册》的“本职装备：特种作战员”，还有特化的情报和许多不同的生存装备。</v>
      </c>
      <c r="AO42" s="168">
        <f t="shared" si="1"/>
        <v>42</v>
      </c>
    </row>
    <row r="43" ht="16.5" spans="1:41">
      <c r="A43" s="153" t="s">
        <v>348</v>
      </c>
      <c r="C43" s="153">
        <v>3</v>
      </c>
      <c r="D43" s="153" t="s">
        <v>195</v>
      </c>
      <c r="E43" s="153" t="s">
        <v>227</v>
      </c>
      <c r="F43" s="153" t="s">
        <v>278</v>
      </c>
      <c r="G43" s="153" t="s">
        <v>261</v>
      </c>
      <c r="H43" s="153" t="s">
        <v>239</v>
      </c>
      <c r="I43" s="153" t="s">
        <v>285</v>
      </c>
      <c r="J43" s="153" t="s">
        <v>298</v>
      </c>
      <c r="K43" s="153" t="s">
        <v>176</v>
      </c>
      <c r="L43" s="153" t="s">
        <v>299</v>
      </c>
      <c r="M43" s="153" t="s">
        <v>179</v>
      </c>
      <c r="N43" s="153" t="s">
        <v>242</v>
      </c>
      <c r="T43" s="153">
        <v>3</v>
      </c>
      <c r="U43" s="153" t="s">
        <v>220</v>
      </c>
      <c r="V43" s="153" t="s">
        <v>189</v>
      </c>
      <c r="W43" s="153" t="s">
        <v>228</v>
      </c>
      <c r="X43" s="153" t="s">
        <v>169</v>
      </c>
      <c r="Y43" s="153" t="s">
        <v>190</v>
      </c>
      <c r="Z43" s="153" t="s">
        <v>301</v>
      </c>
      <c r="AA43" s="153" t="s">
        <v>178</v>
      </c>
      <c r="AB43" s="153" t="s">
        <v>186</v>
      </c>
      <c r="AC43" s="153" t="s">
        <v>302</v>
      </c>
      <c r="AJ43" s="153" t="s">
        <v>79</v>
      </c>
      <c r="AK43" s="153" t="s">
        <v>105</v>
      </c>
      <c r="AL43" s="153" t="s">
        <v>107</v>
      </c>
      <c r="AM43" s="153" t="s">
        <v>117</v>
      </c>
      <c r="AN43" s="153" t="str">
        <f>附表!$L$65&amp;"，并可获得专门的寒冷天气、高山和沙漠生存装备和设备。"</f>
        <v>参见《特工手册》的“本职装备：特种作战员”，并可获得专门的寒冷天气、高山和沙漠生存装备和设备。</v>
      </c>
      <c r="AO43" s="168">
        <f t="shared" si="1"/>
        <v>43</v>
      </c>
    </row>
    <row r="44" ht="16.5" spans="1:41">
      <c r="A44" s="153" t="s">
        <v>349</v>
      </c>
      <c r="C44" s="153">
        <v>3</v>
      </c>
      <c r="D44" s="153" t="s">
        <v>195</v>
      </c>
      <c r="E44" s="153" t="s">
        <v>236</v>
      </c>
      <c r="F44" s="153" t="s">
        <v>278</v>
      </c>
      <c r="G44" s="153" t="s">
        <v>197</v>
      </c>
      <c r="H44" s="153" t="s">
        <v>239</v>
      </c>
      <c r="I44" s="153" t="s">
        <v>285</v>
      </c>
      <c r="J44" s="153" t="s">
        <v>350</v>
      </c>
      <c r="K44" s="153" t="s">
        <v>301</v>
      </c>
      <c r="L44" s="153" t="s">
        <v>351</v>
      </c>
      <c r="M44" s="153" t="s">
        <v>176</v>
      </c>
      <c r="N44" s="153" t="s">
        <v>352</v>
      </c>
      <c r="O44" s="153" t="s">
        <v>179</v>
      </c>
      <c r="P44" s="153" t="s">
        <v>242</v>
      </c>
      <c r="T44" s="153">
        <v>1</v>
      </c>
      <c r="U44" s="153" t="s">
        <v>300</v>
      </c>
      <c r="V44" s="153" t="s">
        <v>220</v>
      </c>
      <c r="W44" s="153" t="s">
        <v>189</v>
      </c>
      <c r="X44" s="153" t="s">
        <v>228</v>
      </c>
      <c r="Y44" s="153" t="s">
        <v>169</v>
      </c>
      <c r="Z44" s="153" t="s">
        <v>186</v>
      </c>
      <c r="AJ44" s="153" t="s">
        <v>105</v>
      </c>
      <c r="AK44" s="153" t="s">
        <v>116</v>
      </c>
      <c r="AL44" s="153" t="s">
        <v>104</v>
      </c>
      <c r="AM44" s="153" t="s">
        <v>110</v>
      </c>
      <c r="AN44" s="153" t="str">
        <f>附表!$L$65&amp;"，以及先进的监视、监听设备，包括远距离、加固的激光指示器。"</f>
        <v>参见《特工手册》的“本职装备：特种作战员”，以及先进的监视、监听设备，包括远距离、加固的激光指示器。</v>
      </c>
      <c r="AO44" s="168">
        <f t="shared" si="1"/>
        <v>44</v>
      </c>
    </row>
    <row r="45" ht="16.5" spans="1:41">
      <c r="A45" s="153" t="s">
        <v>353</v>
      </c>
      <c r="AF45" s="153" t="s">
        <v>209</v>
      </c>
      <c r="AJ45" s="153" t="s">
        <v>79</v>
      </c>
      <c r="AK45" s="153" t="s">
        <v>107</v>
      </c>
      <c r="AL45" s="153" t="s">
        <v>68</v>
      </c>
      <c r="AM45" s="153" t="s">
        <v>108</v>
      </c>
      <c r="AN45" s="153" t="s">
        <v>354</v>
      </c>
      <c r="AO45" s="168">
        <f t="shared" si="1"/>
        <v>45</v>
      </c>
    </row>
    <row r="46" ht="16.5" spans="1:41">
      <c r="A46" s="153" t="s">
        <v>355</v>
      </c>
      <c r="C46" s="153">
        <v>1</v>
      </c>
      <c r="D46" s="153" t="s">
        <v>195</v>
      </c>
      <c r="E46" s="153" t="s">
        <v>227</v>
      </c>
      <c r="F46" s="153" t="s">
        <v>228</v>
      </c>
      <c r="G46" s="153" t="s">
        <v>229</v>
      </c>
      <c r="H46" s="153" t="s">
        <v>356</v>
      </c>
      <c r="I46" s="153" t="s">
        <v>207</v>
      </c>
      <c r="J46" s="153" t="s">
        <v>264</v>
      </c>
      <c r="K46" s="153" t="s">
        <v>230</v>
      </c>
      <c r="L46" s="153" t="s">
        <v>231</v>
      </c>
      <c r="M46" s="153" t="s">
        <v>176</v>
      </c>
      <c r="N46" s="153" t="s">
        <v>172</v>
      </c>
      <c r="O46" s="153" t="s">
        <v>232</v>
      </c>
      <c r="P46" s="153" t="s">
        <v>179</v>
      </c>
      <c r="Q46" s="153" t="s">
        <v>233</v>
      </c>
      <c r="R46" s="153" t="s">
        <v>204</v>
      </c>
      <c r="AJ46" s="153" t="s">
        <v>105</v>
      </c>
      <c r="AK46" s="153" t="s">
        <v>99</v>
      </c>
      <c r="AL46" s="153" t="s">
        <v>80</v>
      </c>
      <c r="AM46" s="153" t="s">
        <v>104</v>
      </c>
      <c r="AN46" s="153" t="str">
        <f>附表!$L$65&amp;"。"</f>
        <v>参见《特工手册》的“本职装备：特种作战员”。</v>
      </c>
      <c r="AO46" s="168">
        <f t="shared" si="1"/>
        <v>46</v>
      </c>
    </row>
    <row r="47" ht="16.5" spans="1:41">
      <c r="A47" s="153" t="s">
        <v>357</v>
      </c>
      <c r="AF47" s="153" t="s">
        <v>224</v>
      </c>
      <c r="AN47" s="153" t="str">
        <f>附表!$L$65&amp;"。"</f>
        <v>参见《特工手册》的“本职装备：特种作战员”。</v>
      </c>
      <c r="AO47" s="168">
        <f t="shared" si="1"/>
        <v>47</v>
      </c>
    </row>
    <row r="48" ht="16.5" spans="1:41">
      <c r="A48" s="153" t="s">
        <v>358</v>
      </c>
      <c r="C48" s="153">
        <v>3</v>
      </c>
      <c r="D48" s="153" t="s">
        <v>195</v>
      </c>
      <c r="E48" s="153" t="s">
        <v>236</v>
      </c>
      <c r="F48" s="153" t="s">
        <v>278</v>
      </c>
      <c r="G48" s="153" t="s">
        <v>261</v>
      </c>
      <c r="H48" s="153" t="s">
        <v>239</v>
      </c>
      <c r="I48" s="153" t="s">
        <v>285</v>
      </c>
      <c r="J48" s="153" t="s">
        <v>169</v>
      </c>
      <c r="K48" s="153" t="s">
        <v>175</v>
      </c>
      <c r="L48" s="153" t="s">
        <v>298</v>
      </c>
      <c r="M48" s="153" t="s">
        <v>286</v>
      </c>
      <c r="N48" s="153" t="s">
        <v>202</v>
      </c>
      <c r="O48" s="153" t="s">
        <v>186</v>
      </c>
      <c r="P48" s="153" t="s">
        <v>242</v>
      </c>
      <c r="T48" s="153">
        <v>1</v>
      </c>
      <c r="U48" s="153" t="s">
        <v>359</v>
      </c>
      <c r="V48" s="153" t="s">
        <v>360</v>
      </c>
      <c r="W48" s="153" t="s">
        <v>361</v>
      </c>
      <c r="X48" s="153" t="s">
        <v>362</v>
      </c>
      <c r="AJ48" s="153" t="s">
        <v>79</v>
      </c>
      <c r="AK48" s="153" t="s">
        <v>308</v>
      </c>
      <c r="AL48" s="153" t="s">
        <v>95</v>
      </c>
      <c r="AM48" s="153" t="s">
        <v>104</v>
      </c>
      <c r="AN48" s="153" t="str">
        <f>附表!$L$65&amp;"。"</f>
        <v>参见《特工手册》的“本职装备：特种作战员”。</v>
      </c>
      <c r="AO48" s="168">
        <f t="shared" si="1"/>
        <v>48</v>
      </c>
    </row>
    <row r="49" ht="16.5" spans="1:41">
      <c r="A49" s="153" t="s">
        <v>363</v>
      </c>
      <c r="C49" s="153">
        <v>1</v>
      </c>
      <c r="D49" s="153" t="s">
        <v>226</v>
      </c>
      <c r="E49" s="153" t="s">
        <v>236</v>
      </c>
      <c r="F49" s="153" t="s">
        <v>278</v>
      </c>
      <c r="G49" s="153" t="s">
        <v>248</v>
      </c>
      <c r="H49" s="153" t="s">
        <v>249</v>
      </c>
      <c r="I49" s="153" t="s">
        <v>239</v>
      </c>
      <c r="J49" s="153" t="s">
        <v>207</v>
      </c>
      <c r="K49" s="153" t="s">
        <v>364</v>
      </c>
      <c r="L49" s="153" t="s">
        <v>365</v>
      </c>
      <c r="M49" s="153" t="s">
        <v>366</v>
      </c>
      <c r="N49" s="153" t="s">
        <v>367</v>
      </c>
      <c r="O49" s="153" t="s">
        <v>368</v>
      </c>
      <c r="P49" s="153" t="s">
        <v>233</v>
      </c>
      <c r="AJ49" s="153" t="s">
        <v>67</v>
      </c>
      <c r="AK49" s="153" t="s">
        <v>369</v>
      </c>
      <c r="AL49" s="153" t="s">
        <v>110</v>
      </c>
      <c r="AM49" s="153" t="s">
        <v>106</v>
      </c>
      <c r="AN49" s="153" t="str">
        <f>附表!$L$65&amp;"，以及维修直升机设备的操作手册和现场手册。"</f>
        <v>参见《特工手册》的“本职装备：特种作战员”，以及维修直升机设备的操作手册和现场手册。</v>
      </c>
      <c r="AO49" s="168">
        <f t="shared" si="1"/>
        <v>49</v>
      </c>
    </row>
    <row r="50" ht="16.5" spans="1:41">
      <c r="A50" s="153" t="s">
        <v>370</v>
      </c>
      <c r="C50" s="153">
        <v>1</v>
      </c>
      <c r="D50" s="153" t="s">
        <v>226</v>
      </c>
      <c r="E50" s="153" t="s">
        <v>227</v>
      </c>
      <c r="F50" s="153" t="s">
        <v>229</v>
      </c>
      <c r="G50" s="153" t="s">
        <v>207</v>
      </c>
      <c r="H50" s="153" t="s">
        <v>175</v>
      </c>
      <c r="I50" s="153" t="s">
        <v>230</v>
      </c>
      <c r="J50" s="153" t="s">
        <v>231</v>
      </c>
      <c r="K50" s="153" t="s">
        <v>176</v>
      </c>
      <c r="L50" s="153" t="s">
        <v>371</v>
      </c>
      <c r="M50" s="153" t="s">
        <v>232</v>
      </c>
      <c r="N50" s="153" t="s">
        <v>179</v>
      </c>
      <c r="O50" s="153" t="s">
        <v>233</v>
      </c>
      <c r="P50" s="153" t="s">
        <v>204</v>
      </c>
      <c r="AJ50" s="153" t="s">
        <v>105</v>
      </c>
      <c r="AK50" s="153" t="s">
        <v>76</v>
      </c>
      <c r="AL50" s="153" t="s">
        <v>102</v>
      </c>
      <c r="AM50" s="153" t="s">
        <v>106</v>
      </c>
      <c r="AN50" s="153" t="str">
        <f>附表!$L$65&amp;"，并且能查阅机密报告。"</f>
        <v>参见《特工手册》的“本职装备：特种作战员”，并且能查阅机密报告。</v>
      </c>
      <c r="AO50" s="168">
        <f t="shared" si="1"/>
        <v>50</v>
      </c>
    </row>
    <row r="51" ht="16.5" spans="1:41">
      <c r="A51" s="153" t="s">
        <v>372</v>
      </c>
      <c r="AF51" s="153" t="s">
        <v>373</v>
      </c>
      <c r="AJ51" s="153" t="s">
        <v>67</v>
      </c>
      <c r="AK51" s="153" t="s">
        <v>107</v>
      </c>
      <c r="AL51" s="153" t="s">
        <v>76</v>
      </c>
      <c r="AM51" s="153" t="s">
        <v>374</v>
      </c>
      <c r="AN51" s="153" t="s">
        <v>375</v>
      </c>
      <c r="AO51" s="168">
        <f t="shared" si="1"/>
        <v>51</v>
      </c>
    </row>
    <row r="52" ht="16.5" spans="1:41">
      <c r="A52" s="153" t="s">
        <v>376</v>
      </c>
      <c r="AF52" s="153" t="s">
        <v>306</v>
      </c>
      <c r="AJ52" s="153" t="s">
        <v>90</v>
      </c>
      <c r="AK52" s="153" t="s">
        <v>377</v>
      </c>
      <c r="AL52" s="153" t="s">
        <v>80</v>
      </c>
      <c r="AM52" s="153" t="s">
        <v>104</v>
      </c>
      <c r="AN52" s="153" t="s">
        <v>378</v>
      </c>
      <c r="AO52" s="168">
        <f t="shared" si="1"/>
        <v>52</v>
      </c>
    </row>
    <row r="53" ht="16.5" spans="1:41">
      <c r="A53" s="153" t="s">
        <v>379</v>
      </c>
      <c r="AF53" s="153" t="s">
        <v>373</v>
      </c>
      <c r="AJ53" s="153" t="s">
        <v>67</v>
      </c>
      <c r="AK53" s="153" t="s">
        <v>104</v>
      </c>
      <c r="AL53" s="153" t="s">
        <v>380</v>
      </c>
      <c r="AM53" s="153" t="s">
        <v>381</v>
      </c>
      <c r="AN53" s="153" t="s">
        <v>382</v>
      </c>
      <c r="AO53" s="168">
        <f t="shared" si="1"/>
        <v>53</v>
      </c>
    </row>
    <row r="54" ht="16.5" spans="1:41">
      <c r="A54" s="153" t="s">
        <v>383</v>
      </c>
      <c r="AF54" s="153" t="s">
        <v>310</v>
      </c>
      <c r="AG54" s="153" t="s">
        <v>306</v>
      </c>
      <c r="AJ54" s="153" t="s">
        <v>85</v>
      </c>
      <c r="AK54" s="153" t="s">
        <v>90</v>
      </c>
      <c r="AL54" s="153" t="s">
        <v>384</v>
      </c>
      <c r="AM54" s="153" t="s">
        <v>104</v>
      </c>
      <c r="AN54" s="153" t="str">
        <f>附表!$L$62&amp;"。"</f>
        <v>参见《特工手册》的“本职装备：联邦探员”。</v>
      </c>
      <c r="AO54" s="168">
        <f t="shared" si="1"/>
        <v>54</v>
      </c>
    </row>
    <row r="55" ht="16.5" spans="1:41">
      <c r="A55" s="153" t="s">
        <v>385</v>
      </c>
      <c r="AF55" s="153" t="s">
        <v>373</v>
      </c>
      <c r="AJ55" s="153" t="s">
        <v>67</v>
      </c>
      <c r="AK55" s="153" t="s">
        <v>104</v>
      </c>
      <c r="AL55" s="153" t="s">
        <v>386</v>
      </c>
      <c r="AN55" s="153" t="s">
        <v>387</v>
      </c>
      <c r="AO55" s="168">
        <f t="shared" si="1"/>
        <v>55</v>
      </c>
    </row>
    <row r="56" ht="16.5" spans="1:41">
      <c r="A56" s="153" t="s">
        <v>388</v>
      </c>
      <c r="AF56" s="153" t="s">
        <v>180</v>
      </c>
      <c r="AJ56" s="153" t="s">
        <v>85</v>
      </c>
      <c r="AK56" s="153" t="s">
        <v>104</v>
      </c>
      <c r="AL56" s="153" t="s">
        <v>381</v>
      </c>
      <c r="AM56" s="153" t="s">
        <v>377</v>
      </c>
      <c r="AN56" s="153" t="s">
        <v>387</v>
      </c>
      <c r="AO56" s="168">
        <f t="shared" si="1"/>
        <v>56</v>
      </c>
    </row>
    <row r="57" ht="16.5" spans="1:41">
      <c r="A57" s="153" t="s">
        <v>389</v>
      </c>
      <c r="C57" s="153">
        <v>1</v>
      </c>
      <c r="D57" s="153" t="s">
        <v>226</v>
      </c>
      <c r="E57" s="153" t="s">
        <v>227</v>
      </c>
      <c r="F57" s="153" t="s">
        <v>228</v>
      </c>
      <c r="G57" s="153" t="s">
        <v>229</v>
      </c>
      <c r="H57" s="153" t="s">
        <v>207</v>
      </c>
      <c r="I57" s="153" t="s">
        <v>230</v>
      </c>
      <c r="J57" s="153" t="s">
        <v>231</v>
      </c>
      <c r="K57" s="153" t="s">
        <v>176</v>
      </c>
      <c r="L57" s="153" t="s">
        <v>232</v>
      </c>
      <c r="M57" s="153" t="s">
        <v>179</v>
      </c>
      <c r="N57" s="153" t="s">
        <v>233</v>
      </c>
      <c r="O57" s="153" t="s">
        <v>204</v>
      </c>
      <c r="T57" s="153">
        <v>1</v>
      </c>
      <c r="U57" s="153" t="s">
        <v>211</v>
      </c>
      <c r="V57" s="153" t="s">
        <v>371</v>
      </c>
      <c r="AJ57" s="153" t="s">
        <v>79</v>
      </c>
      <c r="AK57" s="153" t="s">
        <v>76</v>
      </c>
      <c r="AL57" s="153" t="s">
        <v>110</v>
      </c>
      <c r="AM57" s="153" t="s">
        <v>106</v>
      </c>
      <c r="AN57" s="153"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168">
        <f t="shared" si="1"/>
        <v>57</v>
      </c>
    </row>
    <row r="58" ht="16.5" spans="1:41">
      <c r="A58" s="153" t="s">
        <v>390</v>
      </c>
      <c r="AF58" s="153" t="s">
        <v>193</v>
      </c>
      <c r="AJ58" s="153" t="s">
        <v>97</v>
      </c>
      <c r="AK58" s="153" t="s">
        <v>80</v>
      </c>
      <c r="AL58" s="153" t="s">
        <v>119</v>
      </c>
      <c r="AM58" s="153" t="s">
        <v>64</v>
      </c>
      <c r="AN58" s="153" t="str">
        <f>附表!$L$62&amp;"。"</f>
        <v>参见《特工手册》的“本职装备：联邦探员”。</v>
      </c>
      <c r="AO58" s="168">
        <f t="shared" si="1"/>
        <v>58</v>
      </c>
    </row>
    <row r="59" ht="16.5" spans="1:41">
      <c r="A59" s="153" t="s">
        <v>391</v>
      </c>
      <c r="C59" s="153">
        <v>2</v>
      </c>
      <c r="D59" s="153" t="s">
        <v>226</v>
      </c>
      <c r="E59" s="153" t="s">
        <v>340</v>
      </c>
      <c r="F59" s="153" t="s">
        <v>278</v>
      </c>
      <c r="G59" s="153" t="s">
        <v>248</v>
      </c>
      <c r="H59" s="153" t="s">
        <v>249</v>
      </c>
      <c r="I59" s="153" t="s">
        <v>392</v>
      </c>
      <c r="J59" s="153" t="s">
        <v>393</v>
      </c>
      <c r="K59" s="153" t="s">
        <v>176</v>
      </c>
      <c r="L59" s="153" t="s">
        <v>394</v>
      </c>
      <c r="M59" s="153" t="s">
        <v>280</v>
      </c>
      <c r="N59" s="153" t="s">
        <v>203</v>
      </c>
      <c r="O59" s="153" t="s">
        <v>302</v>
      </c>
      <c r="AJ59" s="153" t="s">
        <v>67</v>
      </c>
      <c r="AK59" s="153" t="s">
        <v>79</v>
      </c>
      <c r="AL59" s="153" t="s">
        <v>381</v>
      </c>
      <c r="AM59" s="153" t="s">
        <v>107</v>
      </c>
      <c r="AN59" s="153" t="s">
        <v>395</v>
      </c>
      <c r="AO59" s="168">
        <f t="shared" si="1"/>
        <v>59</v>
      </c>
    </row>
    <row r="60" ht="16.5" spans="1:41">
      <c r="A60" s="153" t="s">
        <v>396</v>
      </c>
      <c r="C60" s="153">
        <v>2</v>
      </c>
      <c r="D60" s="153" t="s">
        <v>195</v>
      </c>
      <c r="E60" s="153" t="s">
        <v>236</v>
      </c>
      <c r="F60" s="153" t="s">
        <v>167</v>
      </c>
      <c r="G60" s="153" t="s">
        <v>239</v>
      </c>
      <c r="H60" s="153" t="s">
        <v>211</v>
      </c>
      <c r="I60" s="153" t="s">
        <v>264</v>
      </c>
      <c r="J60" s="153" t="s">
        <v>272</v>
      </c>
      <c r="K60" s="153" t="s">
        <v>202</v>
      </c>
      <c r="L60" s="153" t="s">
        <v>223</v>
      </c>
      <c r="M60" s="153" t="s">
        <v>273</v>
      </c>
      <c r="N60" s="153" t="s">
        <v>179</v>
      </c>
      <c r="T60" s="153">
        <v>2</v>
      </c>
      <c r="U60" s="153" t="s">
        <v>274</v>
      </c>
      <c r="V60" s="153" t="s">
        <v>222</v>
      </c>
      <c r="W60" s="153" t="s">
        <v>176</v>
      </c>
      <c r="X60" s="153" t="s">
        <v>275</v>
      </c>
      <c r="Y60" s="153" t="s">
        <v>178</v>
      </c>
      <c r="AJ60" s="153" t="s">
        <v>107</v>
      </c>
      <c r="AK60" s="153" t="s">
        <v>68</v>
      </c>
      <c r="AL60" s="153" t="s">
        <v>95</v>
      </c>
      <c r="AM60" s="153" t="s">
        <v>108</v>
      </c>
      <c r="AN60" s="153" t="s">
        <v>397</v>
      </c>
      <c r="AO60" s="168">
        <f t="shared" si="1"/>
        <v>60</v>
      </c>
    </row>
    <row r="61" ht="16.5" spans="1:41">
      <c r="A61" s="153" t="s">
        <v>398</v>
      </c>
      <c r="C61" s="153">
        <v>1</v>
      </c>
      <c r="D61" s="153" t="s">
        <v>195</v>
      </c>
      <c r="E61" s="153" t="s">
        <v>227</v>
      </c>
      <c r="F61" s="153" t="s">
        <v>228</v>
      </c>
      <c r="G61" s="153" t="s">
        <v>229</v>
      </c>
      <c r="H61" s="153" t="s">
        <v>207</v>
      </c>
      <c r="I61" s="153" t="s">
        <v>230</v>
      </c>
      <c r="J61" s="153" t="s">
        <v>231</v>
      </c>
      <c r="K61" s="153" t="s">
        <v>176</v>
      </c>
      <c r="L61" s="153" t="s">
        <v>399</v>
      </c>
      <c r="M61" s="153" t="s">
        <v>232</v>
      </c>
      <c r="N61" s="153" t="s">
        <v>400</v>
      </c>
      <c r="O61" s="153" t="s">
        <v>302</v>
      </c>
      <c r="P61" s="153" t="s">
        <v>204</v>
      </c>
      <c r="AJ61" s="153" t="s">
        <v>105</v>
      </c>
      <c r="AK61" s="153" t="s">
        <v>70</v>
      </c>
      <c r="AL61" s="153" t="s">
        <v>106</v>
      </c>
      <c r="AM61" s="153" t="s">
        <v>112</v>
      </c>
      <c r="AN61" s="153" t="str">
        <f>附表!$L$65&amp;"，以及SCUBA 和游泳装备。所有设备都是防水的。"</f>
        <v>参见《特工手册》的“本职装备：特种作战员”，以及SCUBA 和游泳装备。所有设备都是防水的。</v>
      </c>
      <c r="AO61" s="168">
        <f t="shared" si="1"/>
        <v>61</v>
      </c>
    </row>
    <row r="62" ht="16.5" spans="1:41">
      <c r="A62" s="153" t="s">
        <v>401</v>
      </c>
      <c r="C62" s="153">
        <v>1</v>
      </c>
      <c r="D62" s="153" t="s">
        <v>226</v>
      </c>
      <c r="E62" s="153" t="s">
        <v>227</v>
      </c>
      <c r="F62" s="153" t="s">
        <v>228</v>
      </c>
      <c r="G62" s="153" t="s">
        <v>316</v>
      </c>
      <c r="H62" s="153" t="s">
        <v>229</v>
      </c>
      <c r="I62" s="153" t="s">
        <v>207</v>
      </c>
      <c r="J62" s="153" t="s">
        <v>230</v>
      </c>
      <c r="K62" s="153" t="s">
        <v>231</v>
      </c>
      <c r="L62" s="153" t="s">
        <v>366</v>
      </c>
      <c r="M62" s="153" t="s">
        <v>402</v>
      </c>
      <c r="N62" s="153" t="s">
        <v>400</v>
      </c>
      <c r="O62" s="153" t="s">
        <v>233</v>
      </c>
      <c r="P62" s="153" t="s">
        <v>204</v>
      </c>
      <c r="AJ62" s="153" t="s">
        <v>103</v>
      </c>
      <c r="AK62" s="153" t="s">
        <v>105</v>
      </c>
      <c r="AL62" s="153" t="s">
        <v>104</v>
      </c>
      <c r="AM62" s="153" t="s">
        <v>110</v>
      </c>
      <c r="AN62" s="153"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168">
        <f t="shared" si="1"/>
        <v>62</v>
      </c>
    </row>
    <row r="63" ht="16.5" spans="1:41">
      <c r="A63" s="153" t="s">
        <v>403</v>
      </c>
      <c r="C63" s="153">
        <v>3</v>
      </c>
      <c r="D63" s="153" t="s">
        <v>404</v>
      </c>
      <c r="E63" s="153" t="s">
        <v>227</v>
      </c>
      <c r="F63" s="153" t="s">
        <v>188</v>
      </c>
      <c r="G63" s="153" t="s">
        <v>405</v>
      </c>
      <c r="H63" s="153" t="s">
        <v>406</v>
      </c>
      <c r="I63" s="153" t="s">
        <v>239</v>
      </c>
      <c r="J63" s="153" t="s">
        <v>256</v>
      </c>
      <c r="K63" s="153" t="s">
        <v>175</v>
      </c>
      <c r="L63" s="153" t="s">
        <v>241</v>
      </c>
      <c r="M63" s="153" t="s">
        <v>202</v>
      </c>
      <c r="N63" s="153" t="s">
        <v>407</v>
      </c>
      <c r="O63" s="153" t="s">
        <v>242</v>
      </c>
      <c r="T63" s="153">
        <v>1</v>
      </c>
      <c r="U63" s="153" t="s">
        <v>408</v>
      </c>
      <c r="V63" s="153" t="s">
        <v>168</v>
      </c>
      <c r="W63" s="153" t="s">
        <v>283</v>
      </c>
      <c r="AJ63" s="153" t="s">
        <v>409</v>
      </c>
      <c r="AK63" s="153" t="s">
        <v>79</v>
      </c>
      <c r="AL63" s="153" t="s">
        <v>119</v>
      </c>
      <c r="AM63" s="153" t="s">
        <v>110</v>
      </c>
      <c r="AN63" s="153" t="str">
        <f>附表!$L$65&amp;"。"</f>
        <v>参见《特工手册》的“本职装备：特种作战员”。</v>
      </c>
      <c r="AO63" s="168">
        <f t="shared" si="1"/>
        <v>63</v>
      </c>
    </row>
    <row r="64" ht="16.5" spans="1:41">
      <c r="A64" s="153" t="s">
        <v>410</v>
      </c>
      <c r="C64" s="153">
        <v>2</v>
      </c>
      <c r="D64" s="153" t="s">
        <v>226</v>
      </c>
      <c r="E64" s="153" t="s">
        <v>227</v>
      </c>
      <c r="F64" s="153" t="s">
        <v>278</v>
      </c>
      <c r="G64" s="153" t="s">
        <v>228</v>
      </c>
      <c r="H64" s="153" t="s">
        <v>316</v>
      </c>
      <c r="I64" s="153" t="s">
        <v>261</v>
      </c>
      <c r="J64" s="153" t="s">
        <v>229</v>
      </c>
      <c r="K64" s="153" t="s">
        <v>285</v>
      </c>
      <c r="L64" s="153" t="s">
        <v>169</v>
      </c>
      <c r="M64" s="153" t="s">
        <v>190</v>
      </c>
      <c r="N64" s="153" t="s">
        <v>207</v>
      </c>
      <c r="O64" s="153" t="s">
        <v>298</v>
      </c>
      <c r="P64" s="153" t="s">
        <v>286</v>
      </c>
      <c r="Q64" s="153" t="s">
        <v>299</v>
      </c>
      <c r="R64" s="153" t="s">
        <v>302</v>
      </c>
      <c r="S64" s="153" t="s">
        <v>242</v>
      </c>
      <c r="AJ64" s="153" t="s">
        <v>117</v>
      </c>
      <c r="AK64" s="153" t="s">
        <v>76</v>
      </c>
      <c r="AL64" s="153" t="s">
        <v>106</v>
      </c>
      <c r="AN64" s="153" t="s">
        <v>411</v>
      </c>
      <c r="AO64" s="168">
        <f t="shared" si="1"/>
        <v>64</v>
      </c>
    </row>
    <row r="65" ht="16.5" spans="1:41">
      <c r="A65" s="153" t="s">
        <v>412</v>
      </c>
      <c r="C65" s="153">
        <v>3</v>
      </c>
      <c r="D65" s="153" t="s">
        <v>226</v>
      </c>
      <c r="E65" s="153" t="s">
        <v>227</v>
      </c>
      <c r="F65" s="153" t="s">
        <v>278</v>
      </c>
      <c r="G65" s="153" t="s">
        <v>261</v>
      </c>
      <c r="H65" s="153" t="s">
        <v>229</v>
      </c>
      <c r="I65" s="153" t="s">
        <v>285</v>
      </c>
      <c r="J65" s="153" t="s">
        <v>301</v>
      </c>
      <c r="K65" s="153" t="s">
        <v>298</v>
      </c>
      <c r="L65" s="153" t="s">
        <v>286</v>
      </c>
      <c r="M65" s="153" t="s">
        <v>299</v>
      </c>
      <c r="N65" s="153" t="s">
        <v>331</v>
      </c>
      <c r="O65" s="153" t="s">
        <v>242</v>
      </c>
      <c r="T65" s="153">
        <v>2</v>
      </c>
      <c r="U65" s="153" t="s">
        <v>228</v>
      </c>
      <c r="V65" s="153" t="s">
        <v>169</v>
      </c>
      <c r="W65" s="153" t="s">
        <v>207</v>
      </c>
      <c r="X65" s="153" t="s">
        <v>178</v>
      </c>
      <c r="Y65" s="153" t="s">
        <v>186</v>
      </c>
      <c r="Z65" s="153" t="s">
        <v>302</v>
      </c>
      <c r="AJ65" s="153" t="s">
        <v>67</v>
      </c>
      <c r="AK65" s="153" t="s">
        <v>105</v>
      </c>
      <c r="AL65" s="153" t="s">
        <v>70</v>
      </c>
      <c r="AM65" s="153" t="s">
        <v>112</v>
      </c>
      <c r="AN65" s="153" t="str">
        <f>附表!$L$65&amp;"。"</f>
        <v>参见《特工手册》的“本职装备：特种作战员”。</v>
      </c>
      <c r="AO65" s="168">
        <f t="shared" si="1"/>
        <v>65</v>
      </c>
    </row>
    <row r="66" ht="16.5" spans="1:41">
      <c r="A66" s="153" t="s">
        <v>413</v>
      </c>
      <c r="C66" s="153">
        <v>1</v>
      </c>
      <c r="D66" s="153" t="s">
        <v>195</v>
      </c>
      <c r="E66" s="153" t="s">
        <v>227</v>
      </c>
      <c r="F66" s="153" t="s">
        <v>228</v>
      </c>
      <c r="G66" s="153" t="s">
        <v>229</v>
      </c>
      <c r="H66" s="153" t="s">
        <v>207</v>
      </c>
      <c r="I66" s="153" t="s">
        <v>230</v>
      </c>
      <c r="J66" s="153" t="s">
        <v>231</v>
      </c>
      <c r="K66" s="153" t="s">
        <v>176</v>
      </c>
      <c r="L66" s="153" t="s">
        <v>172</v>
      </c>
      <c r="M66" s="153" t="s">
        <v>399</v>
      </c>
      <c r="N66" s="153" t="s">
        <v>232</v>
      </c>
      <c r="O66" s="153" t="s">
        <v>179</v>
      </c>
      <c r="P66" s="153" t="s">
        <v>233</v>
      </c>
      <c r="Q66" s="153" t="s">
        <v>204</v>
      </c>
      <c r="AJ66" s="153" t="s">
        <v>79</v>
      </c>
      <c r="AK66" s="153" t="s">
        <v>117</v>
      </c>
      <c r="AL66" s="153" t="s">
        <v>119</v>
      </c>
      <c r="AM66" s="153" t="s">
        <v>70</v>
      </c>
      <c r="AN66" s="153" t="str">
        <f>附表!$L$65&amp;"。"</f>
        <v>参见《特工手册》的“本职装备：特种作战员”。</v>
      </c>
      <c r="AO66" s="168">
        <f t="shared" si="1"/>
        <v>66</v>
      </c>
    </row>
    <row r="67" ht="16.5" spans="1:41">
      <c r="A67" s="153" t="s">
        <v>414</v>
      </c>
      <c r="AF67" s="153" t="s">
        <v>307</v>
      </c>
      <c r="AJ67" s="153" t="s">
        <v>85</v>
      </c>
      <c r="AK67" s="153" t="s">
        <v>119</v>
      </c>
      <c r="AL67" s="153" t="s">
        <v>80</v>
      </c>
      <c r="AM67" s="153" t="s">
        <v>104</v>
      </c>
      <c r="AN67" s="153" t="s">
        <v>415</v>
      </c>
      <c r="AO67" s="168">
        <f t="shared" si="1"/>
        <v>67</v>
      </c>
    </row>
    <row r="68" ht="16.5" spans="1:41">
      <c r="A68" s="153" t="s">
        <v>416</v>
      </c>
      <c r="C68" s="153">
        <v>1</v>
      </c>
      <c r="D68" s="153" t="s">
        <v>226</v>
      </c>
      <c r="E68" s="153" t="s">
        <v>236</v>
      </c>
      <c r="F68" s="153" t="s">
        <v>228</v>
      </c>
      <c r="G68" s="153" t="s">
        <v>229</v>
      </c>
      <c r="H68" s="153" t="s">
        <v>169</v>
      </c>
      <c r="I68" s="153" t="s">
        <v>207</v>
      </c>
      <c r="J68" s="153" t="s">
        <v>328</v>
      </c>
      <c r="K68" s="153" t="s">
        <v>230</v>
      </c>
      <c r="L68" s="153" t="s">
        <v>417</v>
      </c>
      <c r="M68" s="153" t="s">
        <v>176</v>
      </c>
      <c r="N68" s="153" t="s">
        <v>172</v>
      </c>
      <c r="O68" s="153" t="s">
        <v>232</v>
      </c>
      <c r="P68" s="153" t="s">
        <v>179</v>
      </c>
      <c r="Q68" s="153" t="s">
        <v>281</v>
      </c>
      <c r="R68" s="153" t="s">
        <v>204</v>
      </c>
      <c r="AJ68" s="153" t="s">
        <v>67</v>
      </c>
      <c r="AK68" s="153" t="s">
        <v>105</v>
      </c>
      <c r="AL68" s="153" t="s">
        <v>106</v>
      </c>
      <c r="AM68" s="153" t="s">
        <v>110</v>
      </c>
      <c r="AN68" s="153" t="str">
        <f>附表!$L$65&amp;"，并且能调阅机密报告。"</f>
        <v>参见《特工手册》的“本职装备：特种作战员”，并且能调阅机密报告。</v>
      </c>
      <c r="AO68" s="168">
        <f t="shared" si="1"/>
        <v>68</v>
      </c>
    </row>
    <row r="69" ht="16.5" spans="1:41">
      <c r="A69" s="153" t="s">
        <v>418</v>
      </c>
      <c r="C69" s="153">
        <v>1</v>
      </c>
      <c r="D69" s="153" t="s">
        <v>254</v>
      </c>
      <c r="E69" s="153" t="s">
        <v>173</v>
      </c>
      <c r="F69" s="153" t="s">
        <v>340</v>
      </c>
      <c r="G69" s="153" t="s">
        <v>255</v>
      </c>
      <c r="H69" s="153" t="s">
        <v>419</v>
      </c>
      <c r="I69" s="153" t="s">
        <v>239</v>
      </c>
      <c r="J69" s="153" t="s">
        <v>168</v>
      </c>
      <c r="K69" s="153" t="s">
        <v>168</v>
      </c>
      <c r="L69" s="153" t="s">
        <v>169</v>
      </c>
      <c r="M69" s="153" t="s">
        <v>256</v>
      </c>
      <c r="N69" s="153" t="s">
        <v>175</v>
      </c>
      <c r="O69" s="153" t="s">
        <v>191</v>
      </c>
      <c r="P69" s="153" t="s">
        <v>202</v>
      </c>
      <c r="Q69" s="153" t="s">
        <v>232</v>
      </c>
      <c r="R69" s="153" t="s">
        <v>204</v>
      </c>
      <c r="AJ69" s="153" t="s">
        <v>85</v>
      </c>
      <c r="AK69" s="153" t="s">
        <v>97</v>
      </c>
      <c r="AL69" s="153" t="s">
        <v>80</v>
      </c>
      <c r="AM69" s="153" t="s">
        <v>104</v>
      </c>
      <c r="AN69" s="153" t="str">
        <f>附表!$L$65&amp;"，并且能调阅机密报告。"</f>
        <v>参见《特工手册》的“本职装备：特种作战员”，并且能调阅机密报告。</v>
      </c>
      <c r="AO69" s="168">
        <f t="shared" si="1"/>
        <v>69</v>
      </c>
    </row>
    <row r="70" ht="16.5" spans="1:41">
      <c r="A70" s="153" t="s">
        <v>420</v>
      </c>
      <c r="AF70" s="153" t="s">
        <v>307</v>
      </c>
      <c r="AJ70" s="153" t="s">
        <v>69</v>
      </c>
      <c r="AK70" s="153" t="s">
        <v>119</v>
      </c>
      <c r="AL70" s="153" t="s">
        <v>104</v>
      </c>
      <c r="AM70" s="153" t="s">
        <v>118</v>
      </c>
      <c r="AN70" s="153" t="s">
        <v>415</v>
      </c>
      <c r="AO70" s="168">
        <f t="shared" si="1"/>
        <v>70</v>
      </c>
    </row>
    <row r="71" ht="16.5" spans="1:41">
      <c r="A71" s="153" t="s">
        <v>421</v>
      </c>
      <c r="AF71" s="153" t="s">
        <v>422</v>
      </c>
      <c r="AJ71" s="153" t="s">
        <v>69</v>
      </c>
      <c r="AK71" s="153" t="s">
        <v>85</v>
      </c>
      <c r="AL71" s="153" t="s">
        <v>347</v>
      </c>
      <c r="AM71" s="153" t="s">
        <v>118</v>
      </c>
      <c r="AN71" s="153" t="s">
        <v>423</v>
      </c>
      <c r="AO71" s="168">
        <f t="shared" si="1"/>
        <v>71</v>
      </c>
    </row>
    <row r="72" ht="16.5" spans="1:41">
      <c r="A72" s="153" t="s">
        <v>424</v>
      </c>
      <c r="AF72" s="153" t="s">
        <v>193</v>
      </c>
      <c r="AJ72" s="153" t="s">
        <v>85</v>
      </c>
      <c r="AK72" s="153" t="s">
        <v>347</v>
      </c>
      <c r="AL72" s="153" t="s">
        <v>119</v>
      </c>
      <c r="AM72" s="153" t="s">
        <v>80</v>
      </c>
      <c r="AN72" s="153" t="str">
        <f>附表!$L$62&amp;"。"</f>
        <v>参见《特工手册》的“本职装备：联邦探员”。</v>
      </c>
      <c r="AO72" s="168">
        <f t="shared" ref="AO72:AO106" si="2">ROW()</f>
        <v>72</v>
      </c>
    </row>
    <row r="73" ht="16.5" spans="1:41">
      <c r="A73" s="153" t="s">
        <v>425</v>
      </c>
      <c r="AF73" s="153" t="s">
        <v>422</v>
      </c>
      <c r="AJ73" s="153" t="s">
        <v>85</v>
      </c>
      <c r="AK73" s="153" t="s">
        <v>347</v>
      </c>
      <c r="AL73" s="153" t="s">
        <v>64</v>
      </c>
      <c r="AM73" s="153" t="s">
        <v>80</v>
      </c>
      <c r="AN73" s="153" t="s">
        <v>426</v>
      </c>
      <c r="AO73" s="168">
        <f t="shared" si="2"/>
        <v>73</v>
      </c>
    </row>
    <row r="74" ht="16.5" spans="1:41">
      <c r="A74" s="153" t="s">
        <v>427</v>
      </c>
      <c r="AF74" s="153" t="s">
        <v>321</v>
      </c>
      <c r="AJ74" s="153" t="s">
        <v>63</v>
      </c>
      <c r="AK74" s="153" t="s">
        <v>85</v>
      </c>
      <c r="AL74" s="153" t="s">
        <v>97</v>
      </c>
      <c r="AM74" s="153" t="s">
        <v>64</v>
      </c>
      <c r="AN74" s="153" t="str">
        <f>"控制某INL项目的预算"&amp;附表!$L$66&amp;"。"</f>
        <v>控制某INL项目的预算（参见《特工手册》的“项目群经理”）。</v>
      </c>
      <c r="AO74" s="168">
        <f t="shared" si="2"/>
        <v>74</v>
      </c>
    </row>
    <row r="75" ht="16.5" spans="1:41">
      <c r="A75" s="153" t="s">
        <v>428</v>
      </c>
      <c r="AF75" s="153" t="s">
        <v>422</v>
      </c>
      <c r="AG75" s="153" t="s">
        <v>334</v>
      </c>
      <c r="AH75" s="153" t="s">
        <v>306</v>
      </c>
      <c r="AJ75" s="153" t="s">
        <v>118</v>
      </c>
      <c r="AK75" s="153" t="s">
        <v>119</v>
      </c>
      <c r="AL75" s="153" t="s">
        <v>80</v>
      </c>
      <c r="AM75" s="153" t="s">
        <v>104</v>
      </c>
      <c r="AN75" s="153" t="s">
        <v>429</v>
      </c>
      <c r="AO75" s="168">
        <f t="shared" si="2"/>
        <v>75</v>
      </c>
    </row>
    <row r="76" ht="16.5" spans="1:41">
      <c r="A76" s="153" t="s">
        <v>430</v>
      </c>
      <c r="AF76" s="153" t="s">
        <v>209</v>
      </c>
      <c r="AG76" s="153" t="s">
        <v>321</v>
      </c>
      <c r="AH76" s="153" t="s">
        <v>219</v>
      </c>
      <c r="AJ76" s="153" t="s">
        <v>63</v>
      </c>
      <c r="AK76" s="153" t="s">
        <v>85</v>
      </c>
      <c r="AL76" s="153" t="s">
        <v>80</v>
      </c>
      <c r="AM76" s="153" t="s">
        <v>431</v>
      </c>
      <c r="AN76" s="153" t="str">
        <f>"控制某项目的预算"&amp;附表!$L$66&amp;"。"</f>
        <v>控制某项目的预算（参见《特工手册》的“项目群经理”）。</v>
      </c>
      <c r="AO76" s="168">
        <f t="shared" si="2"/>
        <v>76</v>
      </c>
    </row>
    <row r="77" ht="16.5" spans="1:41">
      <c r="A77" s="153" t="s">
        <v>432</v>
      </c>
      <c r="AF77" s="153" t="s">
        <v>209</v>
      </c>
      <c r="AG77" s="153" t="s">
        <v>321</v>
      </c>
      <c r="AH77" s="153" t="s">
        <v>219</v>
      </c>
      <c r="AJ77" s="153" t="s">
        <v>63</v>
      </c>
      <c r="AK77" s="153" t="s">
        <v>85</v>
      </c>
      <c r="AL77" s="153" t="s">
        <v>80</v>
      </c>
      <c r="AM77" s="153" t="s">
        <v>431</v>
      </c>
      <c r="AN77" s="153" t="s">
        <v>433</v>
      </c>
      <c r="AO77" s="168">
        <f t="shared" si="2"/>
        <v>77</v>
      </c>
    </row>
    <row r="78" ht="33" spans="1:41">
      <c r="A78" s="153" t="s">
        <v>434</v>
      </c>
      <c r="AF78" s="153" t="s">
        <v>334</v>
      </c>
      <c r="AG78" s="153" t="s">
        <v>209</v>
      </c>
      <c r="AH78" s="153" t="s">
        <v>219</v>
      </c>
      <c r="AJ78" s="153" t="s">
        <v>347</v>
      </c>
      <c r="AK78" s="153" t="s">
        <v>113</v>
      </c>
      <c r="AL78" s="153" t="s">
        <v>431</v>
      </c>
      <c r="AM78" s="153" t="s">
        <v>110</v>
      </c>
      <c r="AN78" s="162" t="s">
        <v>435</v>
      </c>
      <c r="AO78" s="168">
        <f t="shared" si="2"/>
        <v>78</v>
      </c>
    </row>
    <row r="79" ht="16.5" spans="1:41">
      <c r="A79" s="153" t="s">
        <v>436</v>
      </c>
      <c r="AF79" s="153" t="s">
        <v>437</v>
      </c>
      <c r="AG79" s="153" t="s">
        <v>209</v>
      </c>
      <c r="AH79" s="153" t="s">
        <v>219</v>
      </c>
      <c r="AJ79" s="153" t="s">
        <v>107</v>
      </c>
      <c r="AK79" s="153" t="s">
        <v>86</v>
      </c>
      <c r="AL79" s="153" t="s">
        <v>95</v>
      </c>
      <c r="AM79" s="153" t="s">
        <v>108</v>
      </c>
      <c r="AN79" s="153" t="s">
        <v>433</v>
      </c>
      <c r="AO79" s="168">
        <f t="shared" si="2"/>
        <v>79</v>
      </c>
    </row>
    <row r="80" ht="16.5" spans="1:41">
      <c r="A80" s="153" t="s">
        <v>438</v>
      </c>
      <c r="C80" s="153">
        <v>4</v>
      </c>
      <c r="D80" s="153" t="s">
        <v>195</v>
      </c>
      <c r="E80" s="153" t="s">
        <v>167</v>
      </c>
      <c r="F80" s="153" t="s">
        <v>196</v>
      </c>
      <c r="G80" s="153" t="s">
        <v>261</v>
      </c>
      <c r="H80" s="153" t="s">
        <v>239</v>
      </c>
      <c r="I80" s="153" t="s">
        <v>222</v>
      </c>
      <c r="J80" s="153" t="s">
        <v>175</v>
      </c>
      <c r="K80" s="153" t="s">
        <v>201</v>
      </c>
      <c r="L80" s="153" t="s">
        <v>202</v>
      </c>
      <c r="M80" s="153" t="s">
        <v>439</v>
      </c>
      <c r="N80" s="153" t="s">
        <v>203</v>
      </c>
      <c r="AJ80" s="153" t="s">
        <v>85</v>
      </c>
      <c r="AK80" s="153" t="s">
        <v>97</v>
      </c>
      <c r="AL80" s="153" t="s">
        <v>113</v>
      </c>
      <c r="AM80" s="153" t="s">
        <v>440</v>
      </c>
      <c r="AN80" s="153"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168">
        <f t="shared" si="2"/>
        <v>80</v>
      </c>
    </row>
    <row r="81" ht="16.5" spans="1:41">
      <c r="A81" s="153" t="s">
        <v>441</v>
      </c>
      <c r="C81" s="153">
        <v>4</v>
      </c>
      <c r="D81" s="153" t="s">
        <v>226</v>
      </c>
      <c r="E81" s="153" t="s">
        <v>167</v>
      </c>
      <c r="F81" s="153" t="s">
        <v>222</v>
      </c>
      <c r="G81" s="153" t="s">
        <v>191</v>
      </c>
      <c r="H81" s="153" t="s">
        <v>442</v>
      </c>
      <c r="I81" s="153" t="s">
        <v>443</v>
      </c>
      <c r="J81" s="153" t="s">
        <v>217</v>
      </c>
      <c r="K81" s="153" t="s">
        <v>178</v>
      </c>
      <c r="AJ81" s="153" t="s">
        <v>97</v>
      </c>
      <c r="AK81" s="153" t="s">
        <v>113</v>
      </c>
      <c r="AL81" s="153" t="s">
        <v>119</v>
      </c>
      <c r="AM81" s="153" t="s">
        <v>80</v>
      </c>
      <c r="AN81" s="153" t="s">
        <v>444</v>
      </c>
      <c r="AO81" s="168">
        <f t="shared" si="2"/>
        <v>81</v>
      </c>
    </row>
    <row r="82" ht="16.5" spans="1:41">
      <c r="A82" s="153" t="s">
        <v>445</v>
      </c>
      <c r="AF82" s="153" t="s">
        <v>193</v>
      </c>
      <c r="AJ82" s="153" t="s">
        <v>67</v>
      </c>
      <c r="AK82" s="153" t="s">
        <v>85</v>
      </c>
      <c r="AL82" s="153" t="s">
        <v>119</v>
      </c>
      <c r="AM82" s="153" t="s">
        <v>80</v>
      </c>
      <c r="AN82" s="153" t="str">
        <f>附表!$L$62&amp;"。"</f>
        <v>参见《特工手册》的“本职装备：联邦探员”。</v>
      </c>
      <c r="AO82" s="168">
        <f t="shared" si="2"/>
        <v>82</v>
      </c>
    </row>
    <row r="83" ht="16.5" spans="1:41">
      <c r="A83" s="153" t="s">
        <v>446</v>
      </c>
      <c r="C83" s="153">
        <v>2</v>
      </c>
      <c r="D83" s="153" t="s">
        <v>195</v>
      </c>
      <c r="E83" s="153" t="s">
        <v>278</v>
      </c>
      <c r="F83" s="153" t="s">
        <v>196</v>
      </c>
      <c r="G83" s="153" t="s">
        <v>197</v>
      </c>
      <c r="H83" s="153" t="s">
        <v>198</v>
      </c>
      <c r="I83" s="153" t="s">
        <v>199</v>
      </c>
      <c r="J83" s="153" t="s">
        <v>447</v>
      </c>
      <c r="K83" s="153" t="s">
        <v>327</v>
      </c>
      <c r="L83" s="153" t="s">
        <v>200</v>
      </c>
      <c r="M83" s="153" t="s">
        <v>201</v>
      </c>
      <c r="N83" s="153" t="s">
        <v>172</v>
      </c>
      <c r="O83" s="169" t="s">
        <v>448</v>
      </c>
      <c r="P83" s="153" t="s">
        <v>203</v>
      </c>
      <c r="Q83" s="153" t="s">
        <v>233</v>
      </c>
      <c r="R83" s="153" t="s">
        <v>204</v>
      </c>
      <c r="AJ83" s="153" t="s">
        <v>67</v>
      </c>
      <c r="AK83" s="153" t="s">
        <v>79</v>
      </c>
      <c r="AL83" s="153" t="s">
        <v>102</v>
      </c>
      <c r="AM83" s="153" t="s">
        <v>104</v>
      </c>
      <c r="AN83" s="153" t="str">
        <f>附表!$L$62&amp;"，以及水上生存装备。"</f>
        <v>参见《特工手册》的“本职装备：联邦探员”，以及水上生存装备。</v>
      </c>
      <c r="AO83" s="168">
        <f t="shared" si="2"/>
        <v>83</v>
      </c>
    </row>
    <row r="84" ht="16.5" spans="1:41">
      <c r="A84" s="153" t="s">
        <v>449</v>
      </c>
      <c r="AF84" s="153" t="s">
        <v>193</v>
      </c>
      <c r="AJ84" s="153" t="s">
        <v>67</v>
      </c>
      <c r="AK84" s="153" t="s">
        <v>450</v>
      </c>
      <c r="AL84" s="153" t="s">
        <v>451</v>
      </c>
      <c r="AM84" s="153" t="s">
        <v>102</v>
      </c>
      <c r="AN84" s="153" t="str">
        <f>附表!$L$62&amp;"，外加一只工作用犬（工作犬种或竞技犬种）、犬类处理设备和兽医医疗用品。"</f>
        <v>参见《特工手册》的“本职装备：联邦探员”，外加一只工作用犬（工作犬种或竞技犬种）、犬类处理设备和兽医医疗用品。</v>
      </c>
      <c r="AO84" s="168">
        <f t="shared" si="2"/>
        <v>84</v>
      </c>
    </row>
    <row r="85" ht="16.5" spans="1:41">
      <c r="A85" s="153" t="s">
        <v>452</v>
      </c>
      <c r="AF85" s="153" t="s">
        <v>193</v>
      </c>
      <c r="AJ85" s="153" t="s">
        <v>79</v>
      </c>
      <c r="AK85" s="153" t="s">
        <v>103</v>
      </c>
      <c r="AL85" s="153" t="s">
        <v>76</v>
      </c>
      <c r="AM85" s="153" t="s">
        <v>110</v>
      </c>
      <c r="AN85" s="153" t="str">
        <f>附表!$L$62&amp;"，以及各式各样的交通工具。"</f>
        <v>参见《特工手册》的“本职装备：联邦探员”，以及各式各样的交通工具。</v>
      </c>
      <c r="AO85" s="168">
        <f t="shared" si="2"/>
        <v>85</v>
      </c>
    </row>
    <row r="86" ht="16.5" spans="1:41">
      <c r="A86" s="153" t="s">
        <v>453</v>
      </c>
      <c r="C86" s="153">
        <v>2</v>
      </c>
      <c r="D86" s="153" t="s">
        <v>195</v>
      </c>
      <c r="E86" s="153" t="s">
        <v>454</v>
      </c>
      <c r="F86" s="153" t="s">
        <v>196</v>
      </c>
      <c r="G86" s="153" t="s">
        <v>197</v>
      </c>
      <c r="H86" s="153" t="s">
        <v>198</v>
      </c>
      <c r="I86" s="153" t="s">
        <v>199</v>
      </c>
      <c r="J86" s="153" t="s">
        <v>455</v>
      </c>
      <c r="K86" s="153" t="s">
        <v>264</v>
      </c>
      <c r="L86" s="153" t="s">
        <v>201</v>
      </c>
      <c r="M86" s="153" t="s">
        <v>366</v>
      </c>
      <c r="N86" s="153" t="s">
        <v>202</v>
      </c>
      <c r="O86" s="153" t="s">
        <v>208</v>
      </c>
      <c r="P86" s="153" t="s">
        <v>203</v>
      </c>
      <c r="Q86" s="153" t="s">
        <v>400</v>
      </c>
      <c r="R86" s="153" t="s">
        <v>204</v>
      </c>
      <c r="AJ86" s="153" t="s">
        <v>67</v>
      </c>
      <c r="AK86" s="153" t="s">
        <v>105</v>
      </c>
      <c r="AL86" s="153" t="s">
        <v>70</v>
      </c>
      <c r="AM86" s="153" t="s">
        <v>456</v>
      </c>
      <c r="AN86" s="153" t="str">
        <f>附表!$L$62&amp;"。"</f>
        <v>参见《特工手册》的“本职装备：联邦探员”。</v>
      </c>
      <c r="AO86" s="168">
        <f t="shared" si="2"/>
        <v>86</v>
      </c>
    </row>
    <row r="87" ht="16.5" spans="1:41">
      <c r="A87" s="162" t="s">
        <v>457</v>
      </c>
      <c r="C87" s="153">
        <v>2</v>
      </c>
      <c r="D87" s="153" t="s">
        <v>188</v>
      </c>
      <c r="E87" s="153" t="s">
        <v>211</v>
      </c>
      <c r="F87" s="153" t="s">
        <v>215</v>
      </c>
      <c r="G87" s="153" t="s">
        <v>212</v>
      </c>
      <c r="H87" s="153" t="s">
        <v>286</v>
      </c>
      <c r="I87" s="153" t="s">
        <v>172</v>
      </c>
      <c r="J87" s="153" t="s">
        <v>208</v>
      </c>
      <c r="K87" s="153" t="s">
        <v>458</v>
      </c>
      <c r="L87" s="153" t="s">
        <v>203</v>
      </c>
      <c r="M87" s="153" t="s">
        <v>218</v>
      </c>
      <c r="N87" s="153" t="s">
        <v>331</v>
      </c>
      <c r="AJ87" s="153" t="s">
        <v>105</v>
      </c>
      <c r="AK87" s="153" t="s">
        <v>107</v>
      </c>
      <c r="AL87" s="153" t="s">
        <v>68</v>
      </c>
      <c r="AM87" s="153" t="s">
        <v>110</v>
      </c>
      <c r="AN87" s="153" t="str">
        <f>附表!$L$62&amp;"，及丰富的医疗用品和创伤设备。"</f>
        <v>参见《特工手册》的“本职装备：联邦探员”，及丰富的医疗用品和创伤设备。</v>
      </c>
      <c r="AO87" s="168">
        <f t="shared" si="2"/>
        <v>87</v>
      </c>
    </row>
    <row r="88" ht="16.5" spans="1:41">
      <c r="A88" s="162" t="s">
        <v>459</v>
      </c>
      <c r="AF88" s="153" t="s">
        <v>373</v>
      </c>
      <c r="AJ88" s="153" t="s">
        <v>67</v>
      </c>
      <c r="AK88" s="153" t="s">
        <v>104</v>
      </c>
      <c r="AL88" s="153" t="s">
        <v>460</v>
      </c>
      <c r="AM88" s="153" t="s">
        <v>381</v>
      </c>
      <c r="AN88" s="153" t="s">
        <v>461</v>
      </c>
      <c r="AO88" s="168">
        <f t="shared" si="2"/>
        <v>88</v>
      </c>
    </row>
    <row r="89" ht="16.5" spans="1:41">
      <c r="A89" s="153" t="s">
        <v>462</v>
      </c>
      <c r="AF89" s="153" t="s">
        <v>193</v>
      </c>
      <c r="AJ89" s="153" t="s">
        <v>450</v>
      </c>
      <c r="AK89" s="153" t="s">
        <v>70</v>
      </c>
      <c r="AL89" s="153" t="s">
        <v>102</v>
      </c>
      <c r="AM89" s="153" t="s">
        <v>110</v>
      </c>
      <c r="AN89" s="153" t="str">
        <f>附表!$L$62&amp;"，外加一只工作用犬（工作犬种）、犬类处理设备和少量兽医医疗用品。"</f>
        <v>参见《特工手册》的“本职装备：联邦探员”，外加一只工作用犬（工作犬种）、犬类处理设备和少量兽医医疗用品。</v>
      </c>
      <c r="AO89" s="168">
        <f t="shared" si="2"/>
        <v>89</v>
      </c>
    </row>
    <row r="90" ht="16.5" spans="1:41">
      <c r="A90" s="153" t="s">
        <v>463</v>
      </c>
      <c r="C90" s="153">
        <v>1</v>
      </c>
      <c r="D90" s="153" t="s">
        <v>195</v>
      </c>
      <c r="E90" s="153" t="s">
        <v>167</v>
      </c>
      <c r="F90" s="153" t="s">
        <v>196</v>
      </c>
      <c r="G90" s="153" t="s">
        <v>197</v>
      </c>
      <c r="H90" s="153" t="s">
        <v>198</v>
      </c>
      <c r="I90" s="153" t="s">
        <v>251</v>
      </c>
      <c r="J90" s="153" t="s">
        <v>199</v>
      </c>
      <c r="K90" s="153" t="s">
        <v>200</v>
      </c>
      <c r="L90" s="153" t="s">
        <v>201</v>
      </c>
      <c r="M90" s="153" t="s">
        <v>464</v>
      </c>
      <c r="N90" s="153" t="s">
        <v>329</v>
      </c>
      <c r="O90" s="153" t="s">
        <v>202</v>
      </c>
      <c r="P90" s="153" t="s">
        <v>208</v>
      </c>
      <c r="Q90" s="153" t="s">
        <v>203</v>
      </c>
      <c r="R90" s="153" t="s">
        <v>204</v>
      </c>
      <c r="AJ90" s="153" t="s">
        <v>105</v>
      </c>
      <c r="AK90" s="153" t="s">
        <v>107</v>
      </c>
      <c r="AL90" s="153" t="s">
        <v>465</v>
      </c>
      <c r="AM90" s="153" t="s">
        <v>108</v>
      </c>
      <c r="AN90" s="153" t="str">
        <f>附表!$L$62&amp;"，外加丰富的便携式急救和创伤设备。"</f>
        <v>参见《特工手册》的“本职装备：联邦探员”，外加丰富的便携式急救和创伤设备。</v>
      </c>
      <c r="AO90" s="168">
        <f t="shared" si="2"/>
        <v>90</v>
      </c>
    </row>
    <row r="91" ht="16.5" spans="1:41">
      <c r="A91" s="153" t="s">
        <v>466</v>
      </c>
      <c r="C91" s="153">
        <v>1</v>
      </c>
      <c r="D91" s="153" t="s">
        <v>226</v>
      </c>
      <c r="E91" s="153" t="s">
        <v>227</v>
      </c>
      <c r="F91" s="153" t="s">
        <v>250</v>
      </c>
      <c r="G91" s="153" t="s">
        <v>467</v>
      </c>
      <c r="H91" s="153" t="s">
        <v>229</v>
      </c>
      <c r="I91" s="153" t="s">
        <v>297</v>
      </c>
      <c r="J91" s="153" t="s">
        <v>207</v>
      </c>
      <c r="K91" s="153" t="s">
        <v>230</v>
      </c>
      <c r="L91" s="153" t="s">
        <v>329</v>
      </c>
      <c r="M91" s="153" t="s">
        <v>176</v>
      </c>
      <c r="N91" s="153" t="s">
        <v>402</v>
      </c>
      <c r="O91" s="153" t="s">
        <v>179</v>
      </c>
      <c r="P91" s="153" t="s">
        <v>233</v>
      </c>
      <c r="Q91" s="153" t="s">
        <v>204</v>
      </c>
      <c r="AJ91" s="153" t="s">
        <v>79</v>
      </c>
      <c r="AK91" s="153" t="s">
        <v>99</v>
      </c>
      <c r="AL91" s="153" t="s">
        <v>105</v>
      </c>
      <c r="AM91" s="153" t="s">
        <v>119</v>
      </c>
      <c r="AN91" s="153" t="str">
        <f>附表!$L$62&amp;"。"</f>
        <v>参见《特工手册》的“本职装备：联邦探员”。</v>
      </c>
      <c r="AO91" s="168">
        <f t="shared" si="2"/>
        <v>91</v>
      </c>
    </row>
    <row r="92" ht="16.5" spans="1:41">
      <c r="A92" s="162" t="s">
        <v>468</v>
      </c>
      <c r="AF92" s="153" t="s">
        <v>193</v>
      </c>
      <c r="AJ92" s="153" t="s">
        <v>97</v>
      </c>
      <c r="AK92" s="153" t="s">
        <v>113</v>
      </c>
      <c r="AL92" s="153" t="s">
        <v>105</v>
      </c>
      <c r="AM92" s="153" t="s">
        <v>64</v>
      </c>
      <c r="AN92" s="153" t="str">
        <f>附表!$L$62&amp;"。"</f>
        <v>参见《特工手册》的“本职装备：联邦探员”。</v>
      </c>
      <c r="AO92" s="168">
        <f t="shared" si="2"/>
        <v>92</v>
      </c>
    </row>
    <row r="93" ht="16.5" spans="1:41">
      <c r="A93" s="153" t="s">
        <v>469</v>
      </c>
      <c r="C93" s="153">
        <v>3</v>
      </c>
      <c r="D93" s="153" t="s">
        <v>167</v>
      </c>
      <c r="E93" s="153" t="s">
        <v>220</v>
      </c>
      <c r="F93" s="153" t="s">
        <v>196</v>
      </c>
      <c r="G93" s="153" t="s">
        <v>455</v>
      </c>
      <c r="H93" s="153" t="s">
        <v>200</v>
      </c>
      <c r="I93" s="153" t="s">
        <v>222</v>
      </c>
      <c r="J93" s="153" t="s">
        <v>191</v>
      </c>
      <c r="K93" s="153" t="s">
        <v>470</v>
      </c>
      <c r="L93" s="153" t="s">
        <v>471</v>
      </c>
      <c r="M93" s="153" t="s">
        <v>458</v>
      </c>
      <c r="AJ93" s="153" t="s">
        <v>97</v>
      </c>
      <c r="AK93" s="153" t="s">
        <v>113</v>
      </c>
      <c r="AL93" s="153" t="s">
        <v>64</v>
      </c>
      <c r="AM93" s="153" t="s">
        <v>95</v>
      </c>
      <c r="AN93" s="153" t="s">
        <v>472</v>
      </c>
      <c r="AO93" s="168">
        <f t="shared" si="2"/>
        <v>93</v>
      </c>
    </row>
    <row r="94" ht="16.5" spans="1:41">
      <c r="A94" s="153" t="s">
        <v>473</v>
      </c>
      <c r="C94" s="153">
        <v>1</v>
      </c>
      <c r="D94" s="153" t="s">
        <v>226</v>
      </c>
      <c r="E94" s="153" t="s">
        <v>227</v>
      </c>
      <c r="F94" s="153" t="s">
        <v>300</v>
      </c>
      <c r="G94" s="153" t="s">
        <v>392</v>
      </c>
      <c r="H94" s="153" t="s">
        <v>467</v>
      </c>
      <c r="I94" s="153" t="s">
        <v>198</v>
      </c>
      <c r="J94" s="153" t="s">
        <v>297</v>
      </c>
      <c r="K94" s="153" t="s">
        <v>287</v>
      </c>
      <c r="L94" s="153" t="s">
        <v>207</v>
      </c>
      <c r="M94" s="153" t="s">
        <v>365</v>
      </c>
      <c r="N94" s="153" t="s">
        <v>232</v>
      </c>
      <c r="O94" s="153" t="s">
        <v>179</v>
      </c>
      <c r="P94" s="153" t="s">
        <v>233</v>
      </c>
      <c r="Q94" s="153" t="s">
        <v>242</v>
      </c>
      <c r="AJ94" s="153" t="s">
        <v>97</v>
      </c>
      <c r="AK94" s="153" t="s">
        <v>99</v>
      </c>
      <c r="AL94" s="153" t="s">
        <v>113</v>
      </c>
      <c r="AM94" s="153" t="s">
        <v>474</v>
      </c>
      <c r="AN94" s="153"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168">
        <f t="shared" si="2"/>
        <v>94</v>
      </c>
    </row>
    <row r="95" ht="16.5" spans="1:41">
      <c r="A95" s="162" t="s">
        <v>475</v>
      </c>
      <c r="AF95" s="153" t="s">
        <v>306</v>
      </c>
      <c r="AJ95" s="153" t="s">
        <v>90</v>
      </c>
      <c r="AK95" s="153" t="s">
        <v>97</v>
      </c>
      <c r="AL95" s="153" t="s">
        <v>119</v>
      </c>
      <c r="AM95" s="153" t="s">
        <v>104</v>
      </c>
      <c r="AN95" s="153" t="s">
        <v>476</v>
      </c>
      <c r="AO95" s="168">
        <f t="shared" si="2"/>
        <v>95</v>
      </c>
    </row>
    <row r="96" ht="16.5" spans="1:41">
      <c r="A96" s="162" t="s">
        <v>477</v>
      </c>
      <c r="C96" s="153">
        <v>1</v>
      </c>
      <c r="D96" s="153" t="s">
        <v>226</v>
      </c>
      <c r="E96" s="153" t="s">
        <v>236</v>
      </c>
      <c r="F96" s="153" t="s">
        <v>290</v>
      </c>
      <c r="G96" s="153" t="s">
        <v>228</v>
      </c>
      <c r="H96" s="153" t="s">
        <v>197</v>
      </c>
      <c r="I96" s="153" t="s">
        <v>229</v>
      </c>
      <c r="J96" s="153" t="s">
        <v>207</v>
      </c>
      <c r="K96" s="153" t="s">
        <v>200</v>
      </c>
      <c r="L96" s="153" t="s">
        <v>240</v>
      </c>
      <c r="M96" s="153" t="s">
        <v>230</v>
      </c>
      <c r="N96" s="153" t="s">
        <v>176</v>
      </c>
      <c r="O96" s="153" t="s">
        <v>232</v>
      </c>
      <c r="P96" s="153" t="s">
        <v>179</v>
      </c>
      <c r="Q96" s="153" t="s">
        <v>233</v>
      </c>
      <c r="R96" s="153" t="s">
        <v>204</v>
      </c>
      <c r="AJ96" s="153" t="s">
        <v>79</v>
      </c>
      <c r="AK96" s="153" t="s">
        <v>107</v>
      </c>
      <c r="AL96" s="153" t="s">
        <v>456</v>
      </c>
      <c r="AM96" s="153" t="s">
        <v>102</v>
      </c>
      <c r="AN96" s="153" t="str">
        <f>附表!$L$62&amp;"。"</f>
        <v>参见《特工手册》的“本职装备：联邦探员”。</v>
      </c>
      <c r="AO96" s="168">
        <f t="shared" si="2"/>
        <v>96</v>
      </c>
    </row>
    <row r="97" ht="16.5" spans="1:41">
      <c r="A97" s="162" t="s">
        <v>478</v>
      </c>
      <c r="C97" s="153">
        <v>1</v>
      </c>
      <c r="D97" s="153" t="s">
        <v>226</v>
      </c>
      <c r="E97" s="153" t="s">
        <v>227</v>
      </c>
      <c r="F97" s="153" t="s">
        <v>228</v>
      </c>
      <c r="G97" s="153" t="s">
        <v>197</v>
      </c>
      <c r="H97" s="153" t="s">
        <v>229</v>
      </c>
      <c r="I97" s="153" t="s">
        <v>297</v>
      </c>
      <c r="J97" s="153" t="s">
        <v>207</v>
      </c>
      <c r="K97" s="153" t="s">
        <v>230</v>
      </c>
      <c r="L97" s="153" t="s">
        <v>231</v>
      </c>
      <c r="M97" s="153" t="s">
        <v>176</v>
      </c>
      <c r="N97" s="153" t="s">
        <v>232</v>
      </c>
      <c r="O97" s="153" t="s">
        <v>179</v>
      </c>
      <c r="P97" s="153" t="s">
        <v>233</v>
      </c>
      <c r="Q97" s="153" t="s">
        <v>204</v>
      </c>
      <c r="AJ97" s="153" t="s">
        <v>67</v>
      </c>
      <c r="AK97" s="153" t="s">
        <v>97</v>
      </c>
      <c r="AL97" s="153" t="s">
        <v>105</v>
      </c>
      <c r="AM97" s="153" t="s">
        <v>64</v>
      </c>
      <c r="AN97" s="153" t="str">
        <f>附表!$L$62&amp;"。"</f>
        <v>参见《特工手册》的“本职装备：联邦探员”。</v>
      </c>
      <c r="AO97" s="168">
        <f t="shared" si="2"/>
        <v>97</v>
      </c>
    </row>
    <row r="98" ht="16.5" spans="1:41">
      <c r="A98" s="162" t="s">
        <v>479</v>
      </c>
      <c r="AF98" s="153" t="s">
        <v>480</v>
      </c>
      <c r="AJ98" s="153" t="s">
        <v>63</v>
      </c>
      <c r="AK98" s="153" t="s">
        <v>90</v>
      </c>
      <c r="AL98" s="153" t="s">
        <v>97</v>
      </c>
      <c r="AM98" s="153" t="s">
        <v>104</v>
      </c>
      <c r="AN98" s="153" t="s">
        <v>481</v>
      </c>
      <c r="AO98" s="168">
        <f t="shared" si="2"/>
        <v>98</v>
      </c>
    </row>
    <row r="99" ht="16.5" spans="1:41">
      <c r="A99" s="162" t="s">
        <v>482</v>
      </c>
      <c r="C99" s="153">
        <v>2</v>
      </c>
      <c r="D99" s="153" t="s">
        <v>226</v>
      </c>
      <c r="E99" s="153" t="s">
        <v>227</v>
      </c>
      <c r="F99" s="153" t="s">
        <v>248</v>
      </c>
      <c r="G99" s="153" t="s">
        <v>249</v>
      </c>
      <c r="H99" s="153" t="s">
        <v>251</v>
      </c>
      <c r="I99" s="153" t="s">
        <v>483</v>
      </c>
      <c r="J99" s="153" t="s">
        <v>264</v>
      </c>
      <c r="K99" s="153" t="s">
        <v>176</v>
      </c>
      <c r="L99" s="153" t="s">
        <v>484</v>
      </c>
      <c r="M99" s="153" t="s">
        <v>485</v>
      </c>
      <c r="N99" s="153" t="s">
        <v>368</v>
      </c>
      <c r="O99" s="153" t="s">
        <v>302</v>
      </c>
      <c r="AJ99" s="153" t="s">
        <v>67</v>
      </c>
      <c r="AK99" s="153" t="s">
        <v>107</v>
      </c>
      <c r="AL99" s="153" t="s">
        <v>76</v>
      </c>
      <c r="AM99" s="153" t="s">
        <v>111</v>
      </c>
      <c r="AN99" s="153" t="s">
        <v>486</v>
      </c>
      <c r="AO99" s="168">
        <f t="shared" si="2"/>
        <v>99</v>
      </c>
    </row>
    <row r="100" ht="16.5" spans="1:41">
      <c r="A100" s="162" t="s">
        <v>487</v>
      </c>
      <c r="AF100" s="153" t="s">
        <v>321</v>
      </c>
      <c r="AJ100" s="153" t="s">
        <v>63</v>
      </c>
      <c r="AK100" s="153" t="s">
        <v>85</v>
      </c>
      <c r="AL100" s="153" t="s">
        <v>80</v>
      </c>
      <c r="AM100" s="153" t="s">
        <v>488</v>
      </c>
      <c r="AN100" s="153" t="s">
        <v>489</v>
      </c>
      <c r="AO100" s="168">
        <f t="shared" si="2"/>
        <v>100</v>
      </c>
    </row>
    <row r="101" ht="16.5" spans="1:41">
      <c r="A101" s="162" t="s">
        <v>490</v>
      </c>
      <c r="AF101" s="153" t="s">
        <v>165</v>
      </c>
      <c r="AJ101" s="153" t="s">
        <v>491</v>
      </c>
      <c r="AK101" s="153" t="s">
        <v>113</v>
      </c>
      <c r="AL101" s="153" t="s">
        <v>119</v>
      </c>
      <c r="AM101" s="153" t="s">
        <v>102</v>
      </c>
      <c r="AN101" s="153" t="s">
        <v>492</v>
      </c>
      <c r="AO101" s="168">
        <f t="shared" si="2"/>
        <v>101</v>
      </c>
    </row>
    <row r="102" ht="16.5" spans="1:41">
      <c r="A102" s="162" t="s">
        <v>493</v>
      </c>
      <c r="C102" s="153">
        <v>2</v>
      </c>
      <c r="D102" s="153" t="s">
        <v>226</v>
      </c>
      <c r="E102" s="153" t="s">
        <v>340</v>
      </c>
      <c r="F102" s="153" t="s">
        <v>278</v>
      </c>
      <c r="G102" s="153" t="s">
        <v>494</v>
      </c>
      <c r="H102" s="153" t="s">
        <v>495</v>
      </c>
      <c r="I102" s="153" t="s">
        <v>229</v>
      </c>
      <c r="J102" s="153" t="s">
        <v>350</v>
      </c>
      <c r="K102" s="153" t="s">
        <v>393</v>
      </c>
      <c r="L102" s="153" t="s">
        <v>176</v>
      </c>
      <c r="M102" s="153" t="s">
        <v>496</v>
      </c>
      <c r="N102" s="153" t="s">
        <v>280</v>
      </c>
      <c r="O102" s="153" t="s">
        <v>233</v>
      </c>
      <c r="AJ102" s="153" t="s">
        <v>67</v>
      </c>
      <c r="AK102" s="153" t="s">
        <v>497</v>
      </c>
      <c r="AL102" s="153" t="s">
        <v>105</v>
      </c>
      <c r="AM102" s="153" t="s">
        <v>374</v>
      </c>
      <c r="AN102" s="153"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168">
        <f t="shared" si="2"/>
        <v>102</v>
      </c>
    </row>
    <row r="103" ht="16.5" spans="1:41">
      <c r="A103" s="162" t="s">
        <v>498</v>
      </c>
      <c r="C103" s="153">
        <v>2</v>
      </c>
      <c r="D103" s="153" t="s">
        <v>195</v>
      </c>
      <c r="E103" s="153" t="s">
        <v>340</v>
      </c>
      <c r="F103" s="153" t="s">
        <v>167</v>
      </c>
      <c r="G103" s="153" t="s">
        <v>196</v>
      </c>
      <c r="H103" s="153" t="s">
        <v>197</v>
      </c>
      <c r="I103" s="153" t="s">
        <v>198</v>
      </c>
      <c r="J103" s="153" t="s">
        <v>447</v>
      </c>
      <c r="K103" s="153" t="s">
        <v>199</v>
      </c>
      <c r="L103" s="153" t="s">
        <v>207</v>
      </c>
      <c r="M103" s="153" t="s">
        <v>200</v>
      </c>
      <c r="N103" s="153" t="s">
        <v>201</v>
      </c>
      <c r="O103" s="153" t="s">
        <v>202</v>
      </c>
      <c r="P103" s="153" t="s">
        <v>203</v>
      </c>
      <c r="Q103" s="153" t="s">
        <v>302</v>
      </c>
      <c r="R103" s="153" t="s">
        <v>204</v>
      </c>
      <c r="AJ103" s="153" t="s">
        <v>67</v>
      </c>
      <c r="AK103" s="153" t="s">
        <v>105</v>
      </c>
      <c r="AL103" s="153" t="s">
        <v>488</v>
      </c>
      <c r="AM103" s="153" t="s">
        <v>499</v>
      </c>
      <c r="AN103" s="153" t="str">
        <f>附表!$L$62&amp;"，以及基础水上生存装备。"</f>
        <v>参见《特工手册》的“本职装备：联邦探员”，以及基础水上生存装备。</v>
      </c>
      <c r="AO103" s="168">
        <f t="shared" si="2"/>
        <v>103</v>
      </c>
    </row>
    <row r="104" ht="16.5" spans="1:41">
      <c r="A104" s="162" t="s">
        <v>500</v>
      </c>
      <c r="C104" s="153">
        <v>1</v>
      </c>
      <c r="D104" s="153" t="s">
        <v>226</v>
      </c>
      <c r="E104" s="153" t="s">
        <v>236</v>
      </c>
      <c r="F104" s="153" t="s">
        <v>278</v>
      </c>
      <c r="G104" s="153" t="s">
        <v>249</v>
      </c>
      <c r="H104" s="153" t="s">
        <v>258</v>
      </c>
      <c r="I104" s="153" t="s">
        <v>239</v>
      </c>
      <c r="J104" s="153" t="s">
        <v>207</v>
      </c>
      <c r="K104" s="153" t="s">
        <v>191</v>
      </c>
      <c r="L104" s="153" t="s">
        <v>393</v>
      </c>
      <c r="M104" s="153" t="s">
        <v>176</v>
      </c>
      <c r="N104" s="153" t="s">
        <v>501</v>
      </c>
      <c r="O104" s="153" t="s">
        <v>280</v>
      </c>
      <c r="P104" s="153" t="s">
        <v>502</v>
      </c>
      <c r="Q104" s="153" t="s">
        <v>302</v>
      </c>
      <c r="AJ104" s="153" t="s">
        <v>67</v>
      </c>
      <c r="AK104" s="153" t="s">
        <v>113</v>
      </c>
      <c r="AL104" s="153" t="s">
        <v>119</v>
      </c>
      <c r="AM104" s="153" t="s">
        <v>106</v>
      </c>
      <c r="AN104" s="153" t="str">
        <f>附表!$L$62&amp;"，以及基础水上生存装备。"</f>
        <v>参见《特工手册》的“本职装备：联邦探员”，以及基础水上生存装备。</v>
      </c>
      <c r="AO104" s="168">
        <f t="shared" si="2"/>
        <v>104</v>
      </c>
    </row>
    <row r="105" ht="16.5" spans="1:41">
      <c r="A105" s="162" t="s">
        <v>503</v>
      </c>
      <c r="C105" s="153">
        <v>1</v>
      </c>
      <c r="D105" s="153" t="s">
        <v>226</v>
      </c>
      <c r="E105" s="153" t="s">
        <v>227</v>
      </c>
      <c r="F105" s="153" t="s">
        <v>228</v>
      </c>
      <c r="G105" s="153" t="s">
        <v>467</v>
      </c>
      <c r="H105" s="153" t="s">
        <v>229</v>
      </c>
      <c r="I105" s="153" t="s">
        <v>207</v>
      </c>
      <c r="J105" s="153" t="s">
        <v>230</v>
      </c>
      <c r="K105" s="153" t="s">
        <v>504</v>
      </c>
      <c r="L105" s="153" t="s">
        <v>176</v>
      </c>
      <c r="M105" s="153" t="s">
        <v>214</v>
      </c>
      <c r="N105" s="153" t="s">
        <v>232</v>
      </c>
      <c r="O105" s="153" t="s">
        <v>179</v>
      </c>
      <c r="P105" s="153" t="s">
        <v>233</v>
      </c>
      <c r="Q105" s="153" t="s">
        <v>204</v>
      </c>
      <c r="AJ105" s="153" t="s">
        <v>67</v>
      </c>
      <c r="AK105" s="153" t="s">
        <v>79</v>
      </c>
      <c r="AL105" s="153" t="s">
        <v>105</v>
      </c>
      <c r="AM105" s="153" t="s">
        <v>64</v>
      </c>
      <c r="AN105" s="153" t="str">
        <f>附表!$L$65&amp;"，以及用于逮捕和拘留嫌疑人的限制性工具。"</f>
        <v>参见《特工手册》的“本职装备：特种作战员”，以及用于逮捕和拘留嫌疑人的限制性工具。</v>
      </c>
      <c r="AO105" s="168">
        <f t="shared" si="2"/>
        <v>105</v>
      </c>
    </row>
    <row r="106" ht="16.5" spans="1:41">
      <c r="A106" s="162" t="s">
        <v>505</v>
      </c>
      <c r="AF106" s="153" t="s">
        <v>219</v>
      </c>
      <c r="AJ106" s="153" t="s">
        <v>85</v>
      </c>
      <c r="AK106" s="153" t="s">
        <v>304</v>
      </c>
      <c r="AL106" s="153" t="s">
        <v>506</v>
      </c>
      <c r="AM106" s="153" t="s">
        <v>507</v>
      </c>
      <c r="AN106" s="153" t="s">
        <v>508</v>
      </c>
      <c r="AO106" s="168">
        <f t="shared" si="2"/>
        <v>106</v>
      </c>
    </row>
    <row r="107" ht="16.5" spans="1:41">
      <c r="AO107" s="167"/>
    </row>
    <row r="108" ht="16.5" spans="1:41">
      <c r="AO108" s="167"/>
    </row>
    <row r="109" ht="16.5" spans="1:41">
      <c r="AO109" s="167"/>
    </row>
    <row r="110" ht="16.5" spans="1:41">
      <c r="AO110" s="167"/>
    </row>
    <row r="111" ht="16.5" spans="1:41">
      <c r="AO111" s="167"/>
    </row>
    <row r="112" ht="16.5" spans="1:41">
      <c r="AO112" s="167"/>
    </row>
    <row r="113" ht="16.5" spans="41:41">
      <c r="AO113" s="167"/>
    </row>
    <row r="114" ht="16.5" spans="41:41">
      <c r="AO114" s="167"/>
    </row>
    <row r="115" ht="16.5" spans="41:41">
      <c r="AO115" s="167"/>
    </row>
    <row r="116" ht="16.5" spans="41:41">
      <c r="AO116" s="167"/>
    </row>
    <row r="117" ht="16.5" spans="41:41">
      <c r="AO117" s="167"/>
    </row>
    <row r="118" ht="16.5" spans="41:41">
      <c r="AO118" s="167"/>
    </row>
    <row r="119" ht="16.5" spans="41:41">
      <c r="AO119" s="167"/>
    </row>
    <row r="120" ht="16.5" spans="41:41">
      <c r="AO120" s="167"/>
    </row>
    <row r="121" ht="16.5" spans="41:41">
      <c r="AO121" s="167"/>
    </row>
    <row r="122" ht="16.5" spans="41:41">
      <c r="AO122" s="167"/>
    </row>
    <row r="123" ht="16.5" spans="41:41">
      <c r="AO123" s="167"/>
    </row>
    <row r="124" ht="16.5" spans="41:41">
      <c r="AO124" s="167"/>
    </row>
    <row r="125" ht="16.5" spans="41:41">
      <c r="AO125" s="167"/>
    </row>
    <row r="126" ht="16.5" spans="41:41">
      <c r="AO126" s="167"/>
    </row>
  </sheetData>
  <sheetProtection password="CC25" sheet="1" autoFilter="0" objects="1" scenario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3333333333333" defaultRowHeight="14"/>
  <cols>
    <col min="1" max="1" width="33.5833333333333" customWidth="1"/>
    <col min="2" max="2" width="22.3333333333333" customWidth="1"/>
    <col min="3" max="3" width="23.25" customWidth="1"/>
    <col min="4" max="4" width="22.75" customWidth="1"/>
    <col min="5" max="5" width="21.4166666666667" customWidth="1"/>
    <col min="6" max="6" width="17.1666666666667" customWidth="1"/>
    <col min="7" max="7" width="21.4166666666667" customWidth="1"/>
    <col min="8" max="8" width="17.1666666666667" customWidth="1"/>
    <col min="9" max="9" width="15.0833333333333" customWidth="1"/>
    <col min="10" max="10" width="19.1666666666667" style="102" customWidth="1"/>
    <col min="11" max="11" width="13.1666666666667" customWidth="1"/>
    <col min="12" max="12" width="17.1666666666667" customWidth="1"/>
    <col min="13" max="14" width="9" customWidth="1"/>
    <col min="15" max="15" width="21.4166666666667" customWidth="1"/>
    <col min="16" max="17" width="9" customWidth="1"/>
  </cols>
  <sheetData>
    <row r="1" ht="16.5" spans="1:17">
      <c r="A1" s="160" t="s">
        <v>509</v>
      </c>
      <c r="B1" s="160" t="s">
        <v>510</v>
      </c>
      <c r="C1" s="161"/>
      <c r="D1" s="161"/>
      <c r="E1" s="161"/>
      <c r="F1" s="161"/>
      <c r="G1" s="161"/>
      <c r="H1" s="161"/>
      <c r="I1" s="161"/>
      <c r="J1" s="160" t="s">
        <v>511</v>
      </c>
      <c r="K1" s="160" t="s">
        <v>512</v>
      </c>
      <c r="L1" s="161"/>
      <c r="M1" s="161"/>
      <c r="N1" s="161"/>
      <c r="O1" s="161"/>
      <c r="P1" s="161"/>
      <c r="Q1" s="161"/>
    </row>
    <row r="2" ht="16.5" spans="1:17">
      <c r="A2" s="153" t="s">
        <v>123</v>
      </c>
      <c r="B2" s="153" t="str">
        <f t="array" ref="B2:H2">TRANSPOSE(附表!G37:G43)</f>
        <v>选择8个技能（除了非自</v>
      </c>
      <c r="C2" s="153" t="str">
        <v>然知识），为每一个加上</v>
      </c>
      <c r="D2" s="153" t="str">
        <v>20点。不能超过80%。可</v>
      </c>
      <c r="E2" s="153" t="str">
        <v>重复选择。</v>
      </c>
      <c r="F2" s="153">
        <v>0</v>
      </c>
      <c r="G2" s="153">
        <v>0</v>
      </c>
      <c r="H2" s="153">
        <v>0</v>
      </c>
    </row>
    <row r="3" ht="16.5" spans="1:17">
      <c r="A3" s="153" t="s">
        <v>513</v>
      </c>
      <c r="B3" s="153" t="s">
        <v>67</v>
      </c>
      <c r="C3" s="153" t="s">
        <v>514</v>
      </c>
      <c r="D3" s="153" t="s">
        <v>100</v>
      </c>
      <c r="E3" s="153" t="s">
        <v>80</v>
      </c>
      <c r="F3" s="153" t="s">
        <v>515</v>
      </c>
      <c r="G3" s="153" t="s">
        <v>515</v>
      </c>
      <c r="H3" s="153" t="s">
        <v>515</v>
      </c>
      <c r="I3" s="153" t="s">
        <v>119</v>
      </c>
    </row>
    <row r="4" ht="16.5" spans="1:17">
      <c r="A4" s="153" t="s">
        <v>516</v>
      </c>
      <c r="B4" s="153" t="s">
        <v>67</v>
      </c>
      <c r="C4" s="153" t="s">
        <v>79</v>
      </c>
      <c r="D4" s="153" t="s">
        <v>101</v>
      </c>
      <c r="E4" s="153" t="s">
        <v>107</v>
      </c>
      <c r="F4" s="153" t="s">
        <v>119</v>
      </c>
      <c r="G4" s="153" t="s">
        <v>80</v>
      </c>
      <c r="H4" s="153" t="s">
        <v>111</v>
      </c>
      <c r="I4" s="153" t="s">
        <v>112</v>
      </c>
    </row>
    <row r="5" ht="16.5" spans="1:17">
      <c r="A5" s="153" t="s">
        <v>517</v>
      </c>
      <c r="B5" s="153" t="s">
        <v>515</v>
      </c>
      <c r="C5" s="153" t="s">
        <v>69</v>
      </c>
      <c r="D5" s="162" t="s">
        <v>85</v>
      </c>
      <c r="E5" s="153" t="s">
        <v>118</v>
      </c>
      <c r="F5" s="153" t="s">
        <v>64</v>
      </c>
      <c r="G5" s="153" t="s">
        <v>78</v>
      </c>
      <c r="H5" s="153" t="s">
        <v>80</v>
      </c>
      <c r="I5" s="153" t="s">
        <v>119</v>
      </c>
    </row>
    <row r="6" ht="16.5" spans="1:17">
      <c r="A6" s="153" t="s">
        <v>518</v>
      </c>
      <c r="B6" s="153" t="s">
        <v>67</v>
      </c>
      <c r="C6" s="153" t="s">
        <v>79</v>
      </c>
      <c r="D6" s="153" t="s">
        <v>519</v>
      </c>
      <c r="E6" s="153" t="s">
        <v>520</v>
      </c>
      <c r="F6" s="153" t="s">
        <v>97</v>
      </c>
      <c r="G6" s="153" t="s">
        <v>100</v>
      </c>
      <c r="H6" s="153" t="s">
        <v>102</v>
      </c>
      <c r="I6" s="153" t="s">
        <v>106</v>
      </c>
    </row>
    <row r="7" ht="16.5" spans="1:17">
      <c r="A7" s="153" t="s">
        <v>521</v>
      </c>
      <c r="B7" s="153" t="s">
        <v>67</v>
      </c>
      <c r="C7" s="153" t="s">
        <v>514</v>
      </c>
      <c r="D7" s="153" t="s">
        <v>514</v>
      </c>
      <c r="E7" s="153" t="s">
        <v>103</v>
      </c>
      <c r="F7" s="153" t="s">
        <v>107</v>
      </c>
      <c r="G7" s="153" t="s">
        <v>116</v>
      </c>
      <c r="H7" s="153" t="s">
        <v>76</v>
      </c>
      <c r="I7" s="153" t="s">
        <v>102</v>
      </c>
    </row>
    <row r="8" ht="16.5" spans="1:17">
      <c r="A8" s="153" t="s">
        <v>522</v>
      </c>
      <c r="B8" s="153" t="s">
        <v>63</v>
      </c>
      <c r="C8" s="153" t="s">
        <v>85</v>
      </c>
      <c r="D8" s="153" t="s">
        <v>90</v>
      </c>
      <c r="E8" s="153" t="s">
        <v>97</v>
      </c>
      <c r="F8" s="153" t="s">
        <v>119</v>
      </c>
      <c r="G8" s="153" t="s">
        <v>64</v>
      </c>
      <c r="H8" s="153" t="s">
        <v>80</v>
      </c>
      <c r="I8" s="153" t="s">
        <v>523</v>
      </c>
    </row>
    <row r="9" ht="16.5" spans="1:17">
      <c r="A9" s="153" t="s">
        <v>524</v>
      </c>
      <c r="B9" s="153" t="s">
        <v>525</v>
      </c>
      <c r="C9" s="153" t="s">
        <v>118</v>
      </c>
      <c r="D9" s="153" t="s">
        <v>119</v>
      </c>
      <c r="E9" s="153" t="s">
        <v>78</v>
      </c>
      <c r="F9" s="153" t="s">
        <v>80</v>
      </c>
      <c r="G9" s="153" t="s">
        <v>95</v>
      </c>
    </row>
    <row r="10" ht="16.5" spans="1:17">
      <c r="A10" s="153" t="s">
        <v>526</v>
      </c>
      <c r="B10" s="153" t="s">
        <v>67</v>
      </c>
      <c r="C10" s="153" t="s">
        <v>101</v>
      </c>
      <c r="D10" s="153" t="s">
        <v>105</v>
      </c>
      <c r="E10" s="153" t="s">
        <v>107</v>
      </c>
      <c r="F10" s="153" t="s">
        <v>117</v>
      </c>
      <c r="G10" s="153" t="s">
        <v>70</v>
      </c>
      <c r="H10" s="153" t="s">
        <v>106</v>
      </c>
      <c r="I10" s="153" t="s">
        <v>112</v>
      </c>
    </row>
    <row r="11" ht="16.5" spans="1:17">
      <c r="A11" s="153" t="s">
        <v>527</v>
      </c>
      <c r="B11" s="153" t="s">
        <v>90</v>
      </c>
      <c r="C11" s="153" t="s">
        <v>377</v>
      </c>
      <c r="D11" s="153" t="s">
        <v>384</v>
      </c>
      <c r="E11" s="153" t="s">
        <v>104</v>
      </c>
      <c r="F11" s="153" t="s">
        <v>528</v>
      </c>
    </row>
    <row r="12" ht="16.5" spans="1:17">
      <c r="A12" s="153" t="s">
        <v>529</v>
      </c>
      <c r="B12" s="153" t="s">
        <v>85</v>
      </c>
      <c r="C12" s="153" t="s">
        <v>107</v>
      </c>
      <c r="D12" s="153" t="s">
        <v>347</v>
      </c>
      <c r="E12" s="153" t="s">
        <v>119</v>
      </c>
      <c r="F12" s="153" t="s">
        <v>64</v>
      </c>
      <c r="G12" s="153" t="s">
        <v>80</v>
      </c>
      <c r="H12" s="153" t="s">
        <v>95</v>
      </c>
      <c r="I12" s="153" t="s">
        <v>102</v>
      </c>
    </row>
    <row r="13" ht="16.5" spans="1:17">
      <c r="A13" s="153" t="s">
        <v>530</v>
      </c>
      <c r="B13" s="153" t="s">
        <v>63</v>
      </c>
      <c r="C13" s="153" t="s">
        <v>85</v>
      </c>
      <c r="D13" s="153" t="s">
        <v>90</v>
      </c>
      <c r="E13" s="153" t="s">
        <v>97</v>
      </c>
      <c r="F13" s="153" t="s">
        <v>113</v>
      </c>
      <c r="G13" s="153" t="s">
        <v>64</v>
      </c>
      <c r="H13" s="153" t="s">
        <v>86</v>
      </c>
      <c r="I13" s="153" t="s">
        <v>102</v>
      </c>
    </row>
    <row r="14" ht="16.5" spans="1:17">
      <c r="A14" s="153" t="s">
        <v>531</v>
      </c>
      <c r="B14" s="153" t="s">
        <v>67</v>
      </c>
      <c r="C14" s="153" t="s">
        <v>99</v>
      </c>
      <c r="D14" s="153" t="s">
        <v>103</v>
      </c>
      <c r="E14" s="153" t="s">
        <v>107</v>
      </c>
      <c r="F14" s="153" t="s">
        <v>113</v>
      </c>
      <c r="G14" s="153" t="s">
        <v>116</v>
      </c>
      <c r="H14" s="153" t="s">
        <v>76</v>
      </c>
      <c r="I14" s="153" t="s">
        <v>102</v>
      </c>
    </row>
    <row r="15" ht="16.5" spans="1:17">
      <c r="A15" s="153" t="s">
        <v>532</v>
      </c>
      <c r="B15" s="153" t="s">
        <v>67</v>
      </c>
      <c r="C15" s="153" t="s">
        <v>97</v>
      </c>
      <c r="D15" s="153" t="s">
        <v>101</v>
      </c>
      <c r="E15" s="153" t="s">
        <v>103</v>
      </c>
      <c r="F15" s="153" t="s">
        <v>80</v>
      </c>
      <c r="G15" s="153" t="s">
        <v>106</v>
      </c>
      <c r="J15" s="163">
        <v>2</v>
      </c>
      <c r="K15" s="153" t="s">
        <v>79</v>
      </c>
      <c r="L15" s="153" t="s">
        <v>347</v>
      </c>
      <c r="M15" s="153" t="s">
        <v>105</v>
      </c>
      <c r="N15" s="153" t="s">
        <v>119</v>
      </c>
      <c r="O15" s="153" t="s">
        <v>70</v>
      </c>
      <c r="P15" s="153" t="s">
        <v>86</v>
      </c>
      <c r="Q15" s="153" t="s">
        <v>112</v>
      </c>
    </row>
    <row r="16" ht="16.5" spans="1:17">
      <c r="A16" s="153" t="s">
        <v>533</v>
      </c>
      <c r="B16" s="153" t="s">
        <v>97</v>
      </c>
      <c r="C16" s="153" t="s">
        <v>347</v>
      </c>
      <c r="D16" s="153" t="s">
        <v>347</v>
      </c>
      <c r="E16" s="153" t="s">
        <v>119</v>
      </c>
      <c r="F16" s="153" t="s">
        <v>64</v>
      </c>
      <c r="G16" s="153" t="s">
        <v>80</v>
      </c>
      <c r="H16" s="153" t="s">
        <v>86</v>
      </c>
      <c r="I16" s="153" t="s">
        <v>102</v>
      </c>
    </row>
    <row r="17" ht="16.5" spans="1:16">
      <c r="A17" s="153" t="s">
        <v>534</v>
      </c>
      <c r="B17" s="153" t="s">
        <v>535</v>
      </c>
      <c r="C17" s="153" t="s">
        <v>515</v>
      </c>
      <c r="D17" s="153" t="s">
        <v>347</v>
      </c>
      <c r="E17" s="153" t="s">
        <v>118</v>
      </c>
      <c r="F17" s="153" t="s">
        <v>80</v>
      </c>
      <c r="G17" s="153" t="s">
        <v>536</v>
      </c>
    </row>
    <row r="18" ht="16.5" spans="1:16">
      <c r="A18" s="153" t="s">
        <v>537</v>
      </c>
      <c r="B18" s="153" t="s">
        <v>85</v>
      </c>
      <c r="C18" s="153" t="s">
        <v>105</v>
      </c>
      <c r="D18" s="153" t="s">
        <v>118</v>
      </c>
      <c r="E18" s="153" t="s">
        <v>538</v>
      </c>
      <c r="F18" s="153" t="s">
        <v>76</v>
      </c>
      <c r="G18" s="153" t="s">
        <v>80</v>
      </c>
      <c r="H18" s="153" t="s">
        <v>112</v>
      </c>
      <c r="J18" s="163">
        <v>1</v>
      </c>
      <c r="K18" s="153" t="s">
        <v>77</v>
      </c>
      <c r="L18" s="153" t="s">
        <v>116</v>
      </c>
      <c r="M18" s="153" t="s">
        <v>117</v>
      </c>
      <c r="N18" s="153" t="s">
        <v>119</v>
      </c>
      <c r="O18" s="153" t="s">
        <v>539</v>
      </c>
      <c r="P18" s="153" t="s">
        <v>104</v>
      </c>
    </row>
    <row r="19" ht="16.5" spans="1:16">
      <c r="A19" s="153" t="s">
        <v>540</v>
      </c>
      <c r="B19" s="153" t="s">
        <v>63</v>
      </c>
      <c r="C19" s="153" t="s">
        <v>85</v>
      </c>
      <c r="D19" s="153" t="s">
        <v>119</v>
      </c>
      <c r="E19" s="153" t="s">
        <v>64</v>
      </c>
      <c r="F19" s="153" t="s">
        <v>80</v>
      </c>
      <c r="G19" s="153" t="s">
        <v>536</v>
      </c>
    </row>
    <row r="20" ht="16.5" spans="1:16">
      <c r="A20" s="153" t="s">
        <v>541</v>
      </c>
      <c r="B20" s="153" t="s">
        <v>67</v>
      </c>
      <c r="C20" s="153" t="s">
        <v>107</v>
      </c>
      <c r="D20" s="153" t="s">
        <v>68</v>
      </c>
      <c r="E20" s="153" t="s">
        <v>80</v>
      </c>
      <c r="F20" s="153" t="s">
        <v>86</v>
      </c>
      <c r="G20" s="153" t="s">
        <v>95</v>
      </c>
      <c r="H20" s="153" t="s">
        <v>343</v>
      </c>
      <c r="I20" s="153" t="s">
        <v>102</v>
      </c>
    </row>
    <row r="21" ht="16.5" spans="1:16">
      <c r="A21" s="153" t="s">
        <v>542</v>
      </c>
      <c r="B21" s="153" t="s">
        <v>69</v>
      </c>
      <c r="C21" s="153" t="s">
        <v>72</v>
      </c>
      <c r="D21" s="153" t="s">
        <v>90</v>
      </c>
      <c r="E21" s="153" t="s">
        <v>97</v>
      </c>
      <c r="F21" s="153" t="s">
        <v>118</v>
      </c>
      <c r="G21" s="153" t="s">
        <v>78</v>
      </c>
      <c r="H21" s="153" t="s">
        <v>80</v>
      </c>
      <c r="I21" s="153" t="s">
        <v>102</v>
      </c>
    </row>
    <row r="22" ht="16.5" spans="1:16">
      <c r="A22" s="153" t="s">
        <v>543</v>
      </c>
      <c r="B22" s="153" t="s">
        <v>67</v>
      </c>
      <c r="C22" s="153" t="s">
        <v>79</v>
      </c>
      <c r="D22" s="153" t="s">
        <v>105</v>
      </c>
      <c r="E22" s="153" t="s">
        <v>76</v>
      </c>
      <c r="F22" s="153" t="s">
        <v>96</v>
      </c>
      <c r="G22" s="153" t="s">
        <v>102</v>
      </c>
      <c r="H22" s="153" t="s">
        <v>106</v>
      </c>
      <c r="I22" s="153" t="s">
        <v>110</v>
      </c>
    </row>
    <row r="23" ht="16.5" spans="1:16">
      <c r="A23" s="153" t="s">
        <v>544</v>
      </c>
      <c r="B23" s="153" t="s">
        <v>67</v>
      </c>
      <c r="C23" s="153" t="s">
        <v>545</v>
      </c>
      <c r="D23" s="153" t="s">
        <v>90</v>
      </c>
      <c r="E23" s="153" t="s">
        <v>80</v>
      </c>
      <c r="F23" s="153" t="s">
        <v>102</v>
      </c>
      <c r="G23" s="153" t="s">
        <v>106</v>
      </c>
      <c r="H23" s="153" t="s">
        <v>546</v>
      </c>
    </row>
    <row r="24" ht="16.5" spans="1:16">
      <c r="A24" s="153" t="s">
        <v>547</v>
      </c>
      <c r="B24" s="153" t="s">
        <v>67</v>
      </c>
      <c r="C24" s="153" t="s">
        <v>497</v>
      </c>
      <c r="D24" s="153" t="s">
        <v>107</v>
      </c>
      <c r="E24" s="153" t="s">
        <v>347</v>
      </c>
      <c r="F24" s="153" t="s">
        <v>76</v>
      </c>
      <c r="G24" s="153" t="s">
        <v>539</v>
      </c>
      <c r="H24" s="153" t="s">
        <v>110</v>
      </c>
      <c r="I24" s="153" t="s">
        <v>111</v>
      </c>
    </row>
    <row r="25" ht="16.5" spans="1:16">
      <c r="A25" s="153" t="s">
        <v>548</v>
      </c>
      <c r="B25" s="153" t="s">
        <v>67</v>
      </c>
      <c r="C25" s="153" t="s">
        <v>97</v>
      </c>
      <c r="D25" s="153" t="s">
        <v>103</v>
      </c>
      <c r="E25" s="153" t="s">
        <v>105</v>
      </c>
      <c r="F25" s="153" t="s">
        <v>119</v>
      </c>
      <c r="G25" s="153" t="s">
        <v>64</v>
      </c>
      <c r="H25" s="153" t="s">
        <v>70</v>
      </c>
      <c r="I25" s="153" t="s">
        <v>112</v>
      </c>
    </row>
    <row r="26" ht="16.5" spans="1:16">
      <c r="A26" s="153" t="s">
        <v>549</v>
      </c>
      <c r="B26" s="153" t="s">
        <v>85</v>
      </c>
      <c r="C26" s="153" t="s">
        <v>90</v>
      </c>
      <c r="D26" s="153" t="s">
        <v>514</v>
      </c>
      <c r="E26" s="153" t="s">
        <v>347</v>
      </c>
      <c r="F26" s="153" t="s">
        <v>311</v>
      </c>
      <c r="G26" s="153" t="s">
        <v>311</v>
      </c>
      <c r="H26" s="153" t="s">
        <v>311</v>
      </c>
      <c r="J26" s="163">
        <v>1</v>
      </c>
      <c r="K26" s="153" t="s">
        <v>63</v>
      </c>
      <c r="L26" s="153" t="s">
        <v>113</v>
      </c>
      <c r="M26" s="153" t="s">
        <v>64</v>
      </c>
      <c r="N26" s="153" t="s">
        <v>86</v>
      </c>
    </row>
    <row r="27" ht="16.5" spans="1:16">
      <c r="A27" s="153" t="s">
        <v>550</v>
      </c>
      <c r="B27" s="153" t="s">
        <v>85</v>
      </c>
      <c r="C27" s="153" t="s">
        <v>97</v>
      </c>
      <c r="D27" s="153" t="s">
        <v>113</v>
      </c>
      <c r="E27" s="153" t="s">
        <v>347</v>
      </c>
      <c r="F27" s="153" t="s">
        <v>119</v>
      </c>
      <c r="G27" s="153" t="s">
        <v>64</v>
      </c>
      <c r="H27" s="153" t="s">
        <v>80</v>
      </c>
      <c r="I27" s="153" t="s">
        <v>102</v>
      </c>
    </row>
    <row r="28" ht="16.5" spans="1:16">
      <c r="A28" s="153" t="s">
        <v>551</v>
      </c>
      <c r="B28" s="153" t="s">
        <v>67</v>
      </c>
      <c r="C28" s="153" t="s">
        <v>77</v>
      </c>
      <c r="D28" s="153" t="s">
        <v>79</v>
      </c>
      <c r="E28" s="153" t="s">
        <v>103</v>
      </c>
      <c r="F28" s="153" t="s">
        <v>105</v>
      </c>
      <c r="G28" s="153" t="s">
        <v>117</v>
      </c>
      <c r="H28" s="153" t="s">
        <v>456</v>
      </c>
      <c r="I28" s="153" t="s">
        <v>112</v>
      </c>
    </row>
    <row r="29" ht="16.5" spans="1:16">
      <c r="A29" s="153" t="s">
        <v>552</v>
      </c>
      <c r="B29" s="153" t="s">
        <v>69</v>
      </c>
      <c r="C29" s="153" t="s">
        <v>347</v>
      </c>
      <c r="D29" s="153" t="s">
        <v>347</v>
      </c>
      <c r="E29" s="153" t="s">
        <v>347</v>
      </c>
      <c r="F29" s="153" t="s">
        <v>118</v>
      </c>
      <c r="G29" s="153" t="s">
        <v>119</v>
      </c>
      <c r="H29" s="153" t="s">
        <v>80</v>
      </c>
      <c r="I29" s="153" t="s">
        <v>523</v>
      </c>
    </row>
    <row r="30" ht="16.5" spans="1:16">
      <c r="A30" s="153" t="s">
        <v>553</v>
      </c>
      <c r="B30" s="153" t="s">
        <v>67</v>
      </c>
      <c r="C30" s="153" t="s">
        <v>79</v>
      </c>
      <c r="D30" s="153" t="s">
        <v>514</v>
      </c>
      <c r="E30" s="153" t="s">
        <v>64</v>
      </c>
      <c r="F30" s="153" t="s">
        <v>76</v>
      </c>
      <c r="G30" s="153" t="s">
        <v>80</v>
      </c>
      <c r="H30" s="153" t="s">
        <v>102</v>
      </c>
      <c r="I30" s="153" t="s">
        <v>106</v>
      </c>
    </row>
  </sheetData>
  <sheetProtection password="CC25" sheet="1" autoFilter="0" objects="1" scenario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333333333333" customWidth="1"/>
    <col min="7" max="7" width="10.8333333333333" customWidth="1"/>
    <col min="9" max="9" width="11" customWidth="1"/>
  </cols>
  <sheetData>
    <row r="1" ht="16.5" spans="1:9">
      <c r="A1" s="159" t="s">
        <v>554</v>
      </c>
      <c r="C1" s="159" t="s">
        <v>555</v>
      </c>
      <c r="E1" s="159" t="s">
        <v>342</v>
      </c>
      <c r="G1" s="159" t="s">
        <v>369</v>
      </c>
      <c r="I1" s="159" t="s">
        <v>556</v>
      </c>
    </row>
    <row r="2" ht="16.5" spans="1:9">
      <c r="A2" s="153" t="s">
        <v>557</v>
      </c>
      <c r="C2" s="153" t="s">
        <v>558</v>
      </c>
      <c r="E2" s="153" t="s">
        <v>559</v>
      </c>
      <c r="G2" s="153" t="s">
        <v>560</v>
      </c>
      <c r="I2" s="153" t="s">
        <v>561</v>
      </c>
    </row>
    <row r="3" ht="16.5" spans="1:9">
      <c r="A3" s="153" t="s">
        <v>562</v>
      </c>
      <c r="C3" s="153" t="s">
        <v>563</v>
      </c>
      <c r="E3" s="153" t="s">
        <v>564</v>
      </c>
      <c r="G3" s="153" t="s">
        <v>565</v>
      </c>
      <c r="I3" s="153" t="s">
        <v>566</v>
      </c>
    </row>
    <row r="4" ht="16.5" spans="1:9">
      <c r="A4" s="153" t="s">
        <v>567</v>
      </c>
      <c r="C4" s="153" t="s">
        <v>568</v>
      </c>
      <c r="E4" s="153" t="s">
        <v>569</v>
      </c>
      <c r="G4" s="153" t="s">
        <v>570</v>
      </c>
      <c r="I4" s="153" t="s">
        <v>571</v>
      </c>
    </row>
    <row r="5" ht="16.5" spans="1:9">
      <c r="A5" s="153" t="s">
        <v>572</v>
      </c>
      <c r="C5" s="153" t="s">
        <v>573</v>
      </c>
      <c r="G5" s="153" t="s">
        <v>574</v>
      </c>
      <c r="I5" s="153" t="s">
        <v>575</v>
      </c>
    </row>
    <row r="6" ht="16.5" spans="1:9">
      <c r="A6" s="153" t="s">
        <v>576</v>
      </c>
      <c r="C6" s="153" t="s">
        <v>577</v>
      </c>
      <c r="G6" s="153" t="s">
        <v>578</v>
      </c>
      <c r="I6" s="153" t="s">
        <v>579</v>
      </c>
    </row>
    <row r="7" ht="16.5" spans="1:9">
      <c r="A7" s="153" t="s">
        <v>580</v>
      </c>
      <c r="C7" s="153" t="s">
        <v>581</v>
      </c>
      <c r="G7" s="153" t="s">
        <v>582</v>
      </c>
      <c r="I7" s="153" t="s">
        <v>583</v>
      </c>
    </row>
    <row r="8" ht="16.5" spans="1:9">
      <c r="A8" s="153" t="s">
        <v>584</v>
      </c>
      <c r="C8" s="153" t="s">
        <v>585</v>
      </c>
      <c r="G8" s="153" t="s">
        <v>586</v>
      </c>
      <c r="I8" s="153" t="s">
        <v>587</v>
      </c>
    </row>
    <row r="9" ht="16.5" spans="1:9">
      <c r="A9" s="153" t="s">
        <v>588</v>
      </c>
      <c r="C9" s="153" t="s">
        <v>589</v>
      </c>
      <c r="G9" s="153" t="s">
        <v>590</v>
      </c>
      <c r="I9" s="153" t="s">
        <v>591</v>
      </c>
    </row>
    <row r="10" ht="16.5" spans="1:9">
      <c r="A10" s="153" t="s">
        <v>592</v>
      </c>
      <c r="C10" s="153" t="s">
        <v>593</v>
      </c>
      <c r="I10" s="153" t="s">
        <v>594</v>
      </c>
    </row>
    <row r="11" ht="16.5" spans="1:9">
      <c r="A11" s="153" t="s">
        <v>595</v>
      </c>
      <c r="C11" s="153" t="s">
        <v>596</v>
      </c>
      <c r="I11" s="153" t="s">
        <v>597</v>
      </c>
    </row>
    <row r="12" ht="16.5" spans="1:9">
      <c r="C12" s="153" t="s">
        <v>598</v>
      </c>
      <c r="I12" s="153" t="s">
        <v>599</v>
      </c>
    </row>
    <row r="13" ht="16.5" spans="1:9">
      <c r="C13" s="153" t="s">
        <v>600</v>
      </c>
      <c r="I13" s="153" t="s">
        <v>601</v>
      </c>
    </row>
    <row r="14" ht="16.5" spans="1:9">
      <c r="C14" s="153" t="s">
        <v>602</v>
      </c>
      <c r="I14" s="153" t="s">
        <v>603</v>
      </c>
    </row>
    <row r="15" ht="16.5" spans="1:9">
      <c r="I15" s="153" t="s">
        <v>604</v>
      </c>
    </row>
    <row r="16" ht="16.5" spans="1:9">
      <c r="I16" s="153" t="s">
        <v>605</v>
      </c>
    </row>
    <row r="17" ht="16.5" spans="9:9">
      <c r="I17" s="153" t="s">
        <v>606</v>
      </c>
    </row>
    <row r="18" ht="16.5" spans="9:9">
      <c r="I18" s="153" t="s">
        <v>607</v>
      </c>
    </row>
    <row r="19" ht="16.5" spans="9:9">
      <c r="I19" s="153" t="s">
        <v>608</v>
      </c>
    </row>
    <row r="20" ht="16.5" spans="9:9">
      <c r="I20" s="153" t="s">
        <v>609</v>
      </c>
    </row>
    <row r="21" ht="16.5" spans="9:9">
      <c r="I21" s="153" t="s">
        <v>610</v>
      </c>
    </row>
    <row r="22" ht="16.5" spans="9:9">
      <c r="I22" s="153" t="s">
        <v>611</v>
      </c>
    </row>
    <row r="23" ht="16.5" spans="9:9">
      <c r="I23" s="153" t="s">
        <v>612</v>
      </c>
    </row>
    <row r="24" ht="16.5" spans="9:9">
      <c r="I24" s="153" t="s">
        <v>613</v>
      </c>
    </row>
    <row r="25" ht="16.5" spans="9:9">
      <c r="I25" s="153" t="s">
        <v>614</v>
      </c>
    </row>
    <row r="26" ht="16.5" spans="9:9">
      <c r="I26" s="153" t="s">
        <v>615</v>
      </c>
    </row>
    <row r="27" ht="16.5" spans="9:9">
      <c r="I27" s="153" t="s">
        <v>616</v>
      </c>
    </row>
  </sheetData>
  <sheetProtection password="CC25" sheet="1" autoFilter="0" objects="1" scenario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5" customWidth="1"/>
    <col min="3" max="3" width="12" customWidth="1"/>
    <col min="4" max="4" width="15.8333333333333" customWidth="1"/>
    <col min="7" max="7" width="17.5833333333333" customWidth="1"/>
    <col min="8" max="8" width="9.16666666666667"/>
  </cols>
  <sheetData>
    <row r="1" ht="16.5" spans="1:50">
      <c r="A1" s="152" t="s">
        <v>617</v>
      </c>
      <c r="D1" s="152" t="s">
        <v>618</v>
      </c>
    </row>
    <row r="2" ht="16.5" spans="1:50">
      <c r="A2" s="153" t="s">
        <v>14</v>
      </c>
      <c r="B2" s="153">
        <f>IF(ISBLANK(人物卡!AN3),人物卡!AN3,人物卡!AN3)</f>
        <v>0</v>
      </c>
      <c r="D2" s="153">
        <f>人物卡!ED24</f>
        <v>0</v>
      </c>
    </row>
    <row r="3" ht="16.5" spans="1:50">
      <c r="A3" s="153" t="s">
        <v>18</v>
      </c>
      <c r="B3" s="153">
        <f>IF(ISBLANK(人物卡!AN4),人物卡!AN4,人物卡!AN4)</f>
        <v>0</v>
      </c>
      <c r="D3" s="153">
        <f>人物卡!ED27</f>
        <v>0</v>
      </c>
    </row>
    <row r="4" ht="16.5" spans="1:50">
      <c r="A4" s="153" t="s">
        <v>22</v>
      </c>
      <c r="B4" s="153">
        <f>IF(ISBLANK(人物卡!AN5),人物卡!AN5,人物卡!AN5)</f>
        <v>0</v>
      </c>
      <c r="D4" s="153">
        <f>人物卡!ED30</f>
        <v>0</v>
      </c>
    </row>
    <row r="5" ht="16.5" spans="1:50">
      <c r="A5" s="153" t="s">
        <v>26</v>
      </c>
      <c r="B5" s="153">
        <f>IF(ISBLANK(人物卡!AN6),人物卡!AN6,人物卡!AN6)</f>
        <v>0</v>
      </c>
      <c r="D5" s="153" t="str">
        <f>人物卡!ED33</f>
        <v/>
      </c>
    </row>
    <row r="6" ht="16.5" spans="1:50">
      <c r="A6" s="153" t="s">
        <v>29</v>
      </c>
      <c r="B6" s="153">
        <f>IF(ISBLANK(人物卡!AN7),人物卡!AN7,人物卡!AN7)</f>
        <v>0</v>
      </c>
      <c r="D6" s="153" t="str">
        <f>人物卡!ED36</f>
        <v/>
      </c>
    </row>
    <row r="7" ht="16.5" spans="1:50">
      <c r="A7" s="153" t="s">
        <v>32</v>
      </c>
      <c r="B7" s="153">
        <f>IF(ISBLANK(人物卡!AN8),人物卡!AN8,人物卡!AN8)</f>
        <v>0</v>
      </c>
      <c r="D7" s="153" t="str">
        <f>人物卡!ED39</f>
        <v/>
      </c>
    </row>
    <row r="11" ht="16.5" spans="1:50">
      <c r="A11" s="154" t="s">
        <v>619</v>
      </c>
      <c r="C11" s="153" t="s">
        <v>620</v>
      </c>
      <c r="D11" s="153" t="str">
        <f>IF(G11,INDEX(H63:H82,MATCH(IF(A63=1,B62,人物卡!H47),G63:G82,0)),A15)</f>
        <v>（创建新职业）</v>
      </c>
      <c r="F11" s="153" t="s">
        <v>621</v>
      </c>
      <c r="G11" s="153" t="b">
        <f>B62&lt;&gt;0</f>
        <v>0</v>
      </c>
      <c r="H11" s="153" t="s">
        <v>622</v>
      </c>
      <c r="I11" s="153" t="b">
        <f>AND(G11,A63&gt;1)</f>
        <v>0</v>
      </c>
    </row>
    <row r="12" ht="16.5" spans="1:50">
      <c r="A12" s="153" t="s">
        <v>623</v>
      </c>
      <c r="B12" s="153">
        <f>MATCH(人物卡!$H$46,职业列表!A2:A505,0)</f>
        <v>1</v>
      </c>
      <c r="C12" s="153" t="s">
        <v>624</v>
      </c>
      <c r="D12" s="153">
        <f>MATCH(D11,职业列表!A2:A505,0)</f>
        <v>1</v>
      </c>
      <c r="H12" s="153" t="s">
        <v>625</v>
      </c>
      <c r="I12" s="153" t="b">
        <f>IFERROR(AND(NOT(ISNA(D11)),OR(NOT(I11),COUNTIF(B62:B65,人物卡!H47)&gt;0)),FALSE)</f>
        <v>1</v>
      </c>
    </row>
    <row r="15" s="151" customFormat="1" ht="16.5" spans="1:50">
      <c r="A15" s="153" t="str">
        <f t="array" ref="A15">INDEX(职业列表!A2:A505,$B$12)</f>
        <v>（创建新职业）</v>
      </c>
      <c r="B15" s="153">
        <f t="array" ref="B15">INDEX(职业列表!B2:B505,$B$12)</f>
        <v>0</v>
      </c>
      <c r="C15" s="153" t="str">
        <f t="array" ref="C15">INDEX(职业列表!C2:C505,$B$12)</f>
        <v>≤4</v>
      </c>
      <c r="D15" s="153" t="str">
        <f t="array" ref="D15">INDEX(职业列表!D2:D505,$B$12)</f>
        <v>任选10个本职技能，分配350</v>
      </c>
      <c r="E15" s="153" t="str">
        <f t="array" ref="E15">INDEX(职业列表!E2:E505,$B$12)</f>
        <v>技能点，额外加在基础值上，</v>
      </c>
      <c r="F15" s="153" t="str">
        <f t="array" ref="F15">INDEX(职业列表!F2:F505,$B$12)</f>
        <v>最高至60%。重要关系自4个开</v>
      </c>
      <c r="G15" s="153" t="str">
        <f t="array" ref="G15">INDEX(职业列表!G2:G505,$B$12)</f>
        <v>始每少一个（最少1个），增</v>
      </c>
      <c r="H15" s="153" t="str">
        <f t="array" ref="H15">INDEX(职业列表!H2:H505,$B$12)</f>
        <v>加50本职技能点。</v>
      </c>
      <c r="I15" s="153">
        <f t="array" ref="I15">INDEX(职业列表!I2:I505,$B$12)</f>
        <v>0</v>
      </c>
      <c r="J15" s="153">
        <f t="array" ref="J15">INDEX(职业列表!J2:J505,$B$12)</f>
        <v>0</v>
      </c>
      <c r="K15" s="153">
        <f t="array" ref="K15">INDEX(职业列表!K2:K505,$B$12)</f>
        <v>0</v>
      </c>
      <c r="L15" s="153">
        <f t="array" ref="L15">INDEX(职业列表!L2:L505,$B$12)</f>
        <v>0</v>
      </c>
      <c r="M15" s="153">
        <f t="array" ref="M15">INDEX(职业列表!M2:M505,$B$12)</f>
        <v>0</v>
      </c>
      <c r="N15" s="153">
        <f t="array" ref="N15">INDEX(职业列表!N2:N505,$B$12)</f>
        <v>0</v>
      </c>
      <c r="O15" s="153">
        <f t="array" ref="O15">INDEX(职业列表!O2:O505,$B$12)</f>
        <v>0</v>
      </c>
      <c r="P15" s="153">
        <f t="array" ref="P15">INDEX(职业列表!P2:P505,$B$12)</f>
        <v>0</v>
      </c>
      <c r="Q15" s="153">
        <f t="array" ref="Q15">INDEX(职业列表!Q2:Q505,$B$12)</f>
        <v>0</v>
      </c>
      <c r="R15" s="153">
        <f t="array" ref="R15">INDEX(职业列表!R2:R505,$B$12)</f>
        <v>0</v>
      </c>
      <c r="S15" s="153">
        <f t="array" ref="S15">INDEX(职业列表!S2:S505,$B$12)</f>
        <v>0</v>
      </c>
      <c r="T15" s="153">
        <f t="array" ref="T15">INDEX(职业列表!T2:T505,$B$12)</f>
        <v>0</v>
      </c>
      <c r="U15" s="153">
        <f t="array" ref="U15">INDEX(职业列表!U2:U505,$B$12)</f>
        <v>0</v>
      </c>
      <c r="V15" s="153">
        <f t="array" ref="V15">INDEX(职业列表!V2:V505,$B$12)</f>
        <v>0</v>
      </c>
      <c r="W15" s="153">
        <f t="array" ref="W15">INDEX(职业列表!W2:W505,$B$12)</f>
        <v>0</v>
      </c>
      <c r="X15" s="153">
        <f t="array" ref="X15">INDEX(职业列表!X2:X505,$B$12)</f>
        <v>0</v>
      </c>
      <c r="Y15" s="153">
        <f t="array" ref="Y15">INDEX(职业列表!Y2:Y505,$B$12)</f>
        <v>0</v>
      </c>
      <c r="Z15" s="153">
        <f t="array" ref="Z15">INDEX(职业列表!Z2:Z505,$B$12)</f>
        <v>0</v>
      </c>
      <c r="AA15" s="153">
        <f t="array" ref="AA15">INDEX(职业列表!AA2:AA505,$B$12)</f>
        <v>0</v>
      </c>
      <c r="AB15" s="153">
        <f t="array" ref="AB15">INDEX(职业列表!AB2:AB505,$B$12)</f>
        <v>0</v>
      </c>
      <c r="AC15" s="153">
        <f t="array" ref="AC15">INDEX(职业列表!AC2:AC505,$B$12)</f>
        <v>0</v>
      </c>
      <c r="AD15" s="153">
        <f t="array" ref="AD15">INDEX(职业列表!AD2:AD505,$B$12)</f>
        <v>0</v>
      </c>
      <c r="AE15" s="153">
        <f t="array" ref="AE15">INDEX(职业列表!AE2:AE505,$B$12)</f>
        <v>0</v>
      </c>
      <c r="AF15" s="153">
        <f t="array" ref="AF15">INDEX(职业列表!AF2:AF505,$B$12)</f>
        <v>0</v>
      </c>
      <c r="AG15" s="153">
        <f t="array" ref="AG15">INDEX(职业列表!AG2:AG505,$B$12)</f>
        <v>0</v>
      </c>
      <c r="AH15" s="153">
        <f t="array" ref="AH15">INDEX(职业列表!AH2:AH505,$B$12)</f>
        <v>0</v>
      </c>
      <c r="AI15" s="153">
        <f t="array" ref="AI15">INDEX(职业列表!AI2:AI505,$B$12)</f>
        <v>0</v>
      </c>
      <c r="AJ15" s="153">
        <f t="array" ref="AJ15">INDEX(职业列表!AJ2:AJ505,$B$12)</f>
        <v>0</v>
      </c>
      <c r="AK15" s="153">
        <f t="array" ref="AK15">INDEX(职业列表!AK2:AK505,$B$12)</f>
        <v>0</v>
      </c>
      <c r="AL15" s="153">
        <f t="array" ref="AL15">INDEX(职业列表!AL2:AL505,$B$12)</f>
        <v>0</v>
      </c>
      <c r="AM15" s="153">
        <f t="array" ref="AM15">INDEX(职业列表!AM2:AM505,$B$12)</f>
        <v>0</v>
      </c>
      <c r="AN15" s="153">
        <f t="array" ref="AN15">INDEX(职业列表!AN2:AN505,$B$12)</f>
        <v>0</v>
      </c>
      <c r="AO15" s="153">
        <f t="array" ref="AO15">INDEX(职业列表!AO2:AO505,$B$12)</f>
        <v>2</v>
      </c>
      <c r="AP15" s="153">
        <f t="array" ref="AP15">INDEX(职业列表!AP2:AP505,$B$12)</f>
        <v>0</v>
      </c>
      <c r="AQ15" s="153">
        <f t="array" ref="AQ15">INDEX(职业列表!AQ2:AQ505,$B$12)</f>
        <v>0</v>
      </c>
      <c r="AR15" s="153">
        <f t="array" ref="AR15">INDEX(职业列表!AR2:AR505,$B$12)</f>
        <v>0</v>
      </c>
      <c r="AS15" s="153">
        <f t="array" ref="AS15">INDEX(职业列表!AS2:AS505,$B$12)</f>
        <v>0</v>
      </c>
      <c r="AT15" s="153">
        <f t="array" ref="AT15">INDEX(职业列表!AT2:AT505,$B$12)</f>
        <v>0</v>
      </c>
      <c r="AU15" s="153">
        <f t="array" ref="AU15">INDEX(职业列表!AU2:AU505,$B$12)</f>
        <v>0</v>
      </c>
      <c r="AV15" s="153">
        <f t="array" ref="AV15">INDEX(职业列表!AV2:AV505,$B$12)</f>
        <v>0</v>
      </c>
      <c r="AW15" s="153">
        <f t="array" ref="AW15">INDEX(职业列表!AW2:AW505,$B$12)</f>
        <v>0</v>
      </c>
      <c r="AX15" s="153">
        <f t="array" ref="AX15">INDEX(职业列表!AX2:AX505,$B$12)</f>
        <v>0</v>
      </c>
    </row>
    <row r="16" s="151" customFormat="1" ht="16.5" spans="1:50">
      <c r="A16" s="153" t="str">
        <f t="array" ref="A16">INDEX(职业列表!A2:A505,$D$12)</f>
        <v>（创建新职业）</v>
      </c>
      <c r="B16" s="153">
        <f t="array" ref="B16">INDEX(职业列表!B2:B505,$D$12)</f>
        <v>0</v>
      </c>
      <c r="C16" s="153" t="str">
        <f t="array" ref="C16">INDEX(职业列表!C2:C505,$D$12)</f>
        <v>≤4</v>
      </c>
      <c r="D16" s="153" t="str">
        <f t="array" ref="D16">INDEX(职业列表!D2:D505,$D$12)</f>
        <v>任选10个本职技能，分配350</v>
      </c>
      <c r="E16" s="153" t="str">
        <f t="array" ref="E16">INDEX(职业列表!E2:E505,$D$12)</f>
        <v>技能点，额外加在基础值上，</v>
      </c>
      <c r="F16" s="153" t="str">
        <f t="array" ref="F16">INDEX(职业列表!F2:F505,$D$12)</f>
        <v>最高至60%。重要关系自4个开</v>
      </c>
      <c r="G16" s="153" t="str">
        <f t="array" ref="G16">INDEX(职业列表!G2:G505,$D$12)</f>
        <v>始每少一个（最少1个），增</v>
      </c>
      <c r="H16" s="153" t="str">
        <f t="array" ref="H16">INDEX(职业列表!H2:H505,$D$12)</f>
        <v>加50本职技能点。</v>
      </c>
      <c r="I16" s="153">
        <f t="array" ref="I16">INDEX(职业列表!I2:I505,$D$12)</f>
        <v>0</v>
      </c>
      <c r="J16" s="153">
        <f t="array" ref="J16">INDEX(职业列表!J2:J505,$D$12)</f>
        <v>0</v>
      </c>
      <c r="K16" s="153">
        <f t="array" ref="K16">INDEX(职业列表!K2:K505,$D$12)</f>
        <v>0</v>
      </c>
      <c r="L16" s="153">
        <f t="array" ref="L16">INDEX(职业列表!L2:L505,$D$12)</f>
        <v>0</v>
      </c>
      <c r="M16" s="153">
        <f t="array" ref="M16">INDEX(职业列表!M2:M505,$D$12)</f>
        <v>0</v>
      </c>
      <c r="N16" s="153">
        <f t="array" ref="N16">INDEX(职业列表!N2:N505,$D$12)</f>
        <v>0</v>
      </c>
      <c r="O16" s="153">
        <f t="array" ref="O16">INDEX(职业列表!O2:O505,$D$12)</f>
        <v>0</v>
      </c>
      <c r="P16" s="153">
        <f t="array" ref="P16">INDEX(职业列表!P2:P505,$D$12)</f>
        <v>0</v>
      </c>
      <c r="Q16" s="153">
        <f t="array" ref="Q16">INDEX(职业列表!Q2:Q505,$D$12)</f>
        <v>0</v>
      </c>
      <c r="R16" s="153">
        <f t="array" ref="R16">INDEX(职业列表!R2:R505,$D$12)</f>
        <v>0</v>
      </c>
      <c r="S16" s="153">
        <f t="array" ref="S16">INDEX(职业列表!S2:S505,$D$12)</f>
        <v>0</v>
      </c>
      <c r="T16" s="153">
        <f t="array" ref="T16">INDEX(职业列表!T2:T505,$D$12)</f>
        <v>0</v>
      </c>
      <c r="U16" s="153">
        <f t="array" ref="U16">INDEX(职业列表!U2:U505,$D$12)</f>
        <v>0</v>
      </c>
      <c r="V16" s="153">
        <f t="array" ref="V16">INDEX(职业列表!V2:V505,$D$12)</f>
        <v>0</v>
      </c>
      <c r="W16" s="153">
        <f t="array" ref="W16">INDEX(职业列表!W2:W505,$D$12)</f>
        <v>0</v>
      </c>
      <c r="X16" s="153">
        <f t="array" ref="X16">INDEX(职业列表!X2:X505,$D$12)</f>
        <v>0</v>
      </c>
      <c r="Y16" s="153">
        <f t="array" ref="Y16">INDEX(职业列表!Y2:Y505,$D$12)</f>
        <v>0</v>
      </c>
      <c r="Z16" s="153">
        <f t="array" ref="Z16">INDEX(职业列表!Z2:Z505,$D$12)</f>
        <v>0</v>
      </c>
      <c r="AA16" s="153">
        <f t="array" ref="AA16">INDEX(职业列表!AA2:AA505,$D$12)</f>
        <v>0</v>
      </c>
      <c r="AB16" s="153">
        <f t="array" ref="AB16">INDEX(职业列表!AB2:AB505,$D$12)</f>
        <v>0</v>
      </c>
      <c r="AC16" s="153">
        <f t="array" ref="AC16">INDEX(职业列表!AC2:AC505,$D$12)</f>
        <v>0</v>
      </c>
      <c r="AD16" s="153">
        <f t="array" ref="AD16">INDEX(职业列表!AD2:AD505,$D$12)</f>
        <v>0</v>
      </c>
      <c r="AE16" s="153">
        <f t="array" ref="AE16">INDEX(职业列表!AE2:AE505,$D$12)</f>
        <v>0</v>
      </c>
      <c r="AF16" s="153">
        <f t="array" ref="AF16">INDEX(职业列表!AF2:AF505,$D$12)</f>
        <v>0</v>
      </c>
      <c r="AG16" s="153">
        <f t="array" ref="AG16">INDEX(职业列表!AG2:AG505,$D$12)</f>
        <v>0</v>
      </c>
      <c r="AH16" s="153">
        <f t="array" ref="AH16">INDEX(职业列表!AH2:AH505,$D$12)</f>
        <v>0</v>
      </c>
      <c r="AI16" s="153">
        <f t="array" ref="AI16">INDEX(职业列表!AI2:AI505,$D$12)</f>
        <v>0</v>
      </c>
      <c r="AJ16" s="153">
        <f t="array" ref="AJ16">INDEX(职业列表!AJ2:AJ505,$D$12)</f>
        <v>0</v>
      </c>
      <c r="AK16" s="153">
        <f t="array" ref="AK16">INDEX(职业列表!AK2:AK505,$D$12)</f>
        <v>0</v>
      </c>
      <c r="AL16" s="153">
        <f t="array" ref="AL16">INDEX(职业列表!AL2:AL505,$D$12)</f>
        <v>0</v>
      </c>
      <c r="AM16" s="153">
        <f t="array" ref="AM16">INDEX(职业列表!AM2:AM505,$D$12)</f>
        <v>0</v>
      </c>
      <c r="AN16" s="153">
        <f t="array" ref="AN16">INDEX(职业列表!AN2:AN505,$D$12)</f>
        <v>0</v>
      </c>
      <c r="AO16" s="153">
        <f t="array" ref="AO16">INDEX(职业列表!AO2:AO505,$D$12)</f>
        <v>2</v>
      </c>
      <c r="AP16" s="153">
        <f t="array" ref="AP16">INDEX(职业列表!AP2:AP505,$D$12)</f>
        <v>0</v>
      </c>
      <c r="AQ16" s="153">
        <f t="array" ref="AQ16">INDEX(职业列表!AQ2:AQ505,$D$12)</f>
        <v>0</v>
      </c>
      <c r="AR16" s="153">
        <f t="array" ref="AR16">INDEX(职业列表!AR2:AR505,$D$12)</f>
        <v>0</v>
      </c>
      <c r="AS16" s="153">
        <f t="array" ref="AS16">INDEX(职业列表!AS2:AS505,$D$12)</f>
        <v>0</v>
      </c>
      <c r="AT16" s="153">
        <f t="array" ref="AT16">INDEX(职业列表!AT2:AT505,$D$12)</f>
        <v>0</v>
      </c>
      <c r="AU16" s="153">
        <f t="array" ref="AU16">INDEX(职业列表!AU2:AU505,$D$12)</f>
        <v>0</v>
      </c>
      <c r="AV16" s="153">
        <f t="array" ref="AV16">INDEX(职业列表!AV2:AV505,$D$12)</f>
        <v>0</v>
      </c>
      <c r="AW16" s="153">
        <f t="array" ref="AW16">INDEX(职业列表!AW2:AW505,$D$12)</f>
        <v>0</v>
      </c>
      <c r="AX16" s="153">
        <f t="array" ref="AX16">INDEX(职业列表!AX2:AX505,$D$12)</f>
        <v>0</v>
      </c>
    </row>
    <row r="17" s="151" customFormat="1" ht="16.5" spans="1:49">
      <c r="A17" s="155"/>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row>
    <row r="19" ht="16.5" spans="1:49">
      <c r="A19" s="154" t="s">
        <v>626</v>
      </c>
      <c r="C19" s="153" t="s">
        <v>627</v>
      </c>
      <c r="D19" s="153">
        <f>T16</f>
        <v>0</v>
      </c>
      <c r="F19" s="153" t="s">
        <v>628</v>
      </c>
      <c r="I19" s="156" t="s">
        <v>629</v>
      </c>
      <c r="K19" s="153" t="str">
        <f>INDEX(K20:K26,MATCH(1,I20:I26,0))</f>
        <v>（自定义职业请在掌局者同意后商议定制）</v>
      </c>
    </row>
    <row r="20" ht="16.5" spans="1:49">
      <c r="A20" s="153" t="str">
        <f t="array" ref="A20:A35">TRANSPOSE(D16:S16)</f>
        <v>任选10个本职技能，分配350</v>
      </c>
      <c r="D20" s="153">
        <f t="array" ref="D20:D30">TRANSPOSE(U16:AE16)</f>
        <v>0</v>
      </c>
      <c r="F20" s="153">
        <f t="array" ref="F20:F23">TRANSPOSE(AJ15:AM15)</f>
        <v>0</v>
      </c>
      <c r="I20" s="153">
        <f>COUNTIF($A$16,J20&amp;"*")</f>
        <v>0</v>
      </c>
      <c r="J20" s="153" t="s">
        <v>630</v>
      </c>
      <c r="K20" s="153" t="s">
        <v>631</v>
      </c>
    </row>
    <row r="21" ht="16.5" spans="1:49">
      <c r="A21" s="153" t="str">
        <v>技能点，额外加在基础值上，</v>
      </c>
      <c r="D21" s="153">
        <v>0</v>
      </c>
      <c r="F21" s="153">
        <v>0</v>
      </c>
      <c r="I21" s="153">
        <f>COUNTIF($A$16,J21&amp;"*")</f>
        <v>1</v>
      </c>
      <c r="J21" s="153" t="s">
        <v>121</v>
      </c>
      <c r="K21" s="153" t="s">
        <v>632</v>
      </c>
    </row>
    <row r="22" ht="16.5" spans="1:49">
      <c r="A22" s="153" t="str">
        <v>最高至60%。重要关系自4个开</v>
      </c>
      <c r="D22" s="153">
        <v>0</v>
      </c>
      <c r="F22" s="153">
        <v>0</v>
      </c>
    </row>
    <row r="23" ht="16.5" spans="1:49">
      <c r="A23" s="153" t="str">
        <v>始每少一个（最少1个），增</v>
      </c>
      <c r="D23" s="153">
        <v>0</v>
      </c>
      <c r="F23" s="153">
        <v>0</v>
      </c>
    </row>
    <row r="24" ht="16.5" spans="1:49">
      <c r="A24" s="153" t="str">
        <v>加50本职技能点。</v>
      </c>
      <c r="D24" s="153">
        <v>0</v>
      </c>
    </row>
    <row r="25" ht="16.5" spans="1:49">
      <c r="A25" s="153">
        <v>0</v>
      </c>
      <c r="D25" s="153">
        <v>0</v>
      </c>
    </row>
    <row r="26" ht="16.5" spans="1:49">
      <c r="A26" s="153">
        <v>0</v>
      </c>
      <c r="D26" s="153">
        <v>0</v>
      </c>
      <c r="I26" s="153">
        <f>COUNTIF(A23,J26&amp;"*")</f>
        <v>1</v>
      </c>
      <c r="K26" s="153" t="str">
        <f>""</f>
        <v/>
      </c>
    </row>
    <row r="27" ht="16.5" spans="1:49">
      <c r="A27" s="153">
        <v>0</v>
      </c>
      <c r="D27" s="153">
        <v>0</v>
      </c>
      <c r="K27" s="153" t="str">
        <f>""</f>
        <v/>
      </c>
    </row>
    <row r="28" ht="16.5" spans="1:49">
      <c r="A28" s="153">
        <v>0</v>
      </c>
      <c r="D28" s="153">
        <v>0</v>
      </c>
    </row>
    <row r="29" ht="16.5" spans="1:49">
      <c r="A29" s="153">
        <v>0</v>
      </c>
      <c r="D29" s="153">
        <v>0</v>
      </c>
    </row>
    <row r="30" ht="16.5" spans="1:49">
      <c r="A30" s="153">
        <v>0</v>
      </c>
      <c r="D30" s="153">
        <v>0</v>
      </c>
    </row>
    <row r="31" ht="16.5" spans="1:49">
      <c r="A31" s="153">
        <v>0</v>
      </c>
    </row>
    <row r="32" ht="16.5" spans="1:49">
      <c r="A32" s="153">
        <v>0</v>
      </c>
    </row>
    <row r="33" ht="16.5" spans="1:25">
      <c r="A33" s="153">
        <v>0</v>
      </c>
    </row>
    <row r="34" ht="16.5" spans="1:25">
      <c r="A34" s="153">
        <v>0</v>
      </c>
    </row>
    <row r="35" ht="16.5" spans="1:25">
      <c r="A35" s="153">
        <v>0</v>
      </c>
    </row>
    <row r="36" ht="16.5" spans="1:25">
      <c r="A36" s="154" t="s">
        <v>633</v>
      </c>
      <c r="G36" s="157" t="s">
        <v>634</v>
      </c>
    </row>
    <row r="37" ht="16.5" spans="1:25">
      <c r="A37" s="153" t="s">
        <v>635</v>
      </c>
      <c r="G37" s="153" t="s">
        <v>636</v>
      </c>
    </row>
    <row r="38" ht="16.5" spans="1:25">
      <c r="A38" s="153" t="s">
        <v>637</v>
      </c>
      <c r="G38" s="153" t="s">
        <v>638</v>
      </c>
    </row>
    <row r="39" ht="16.5" spans="1:25">
      <c r="A39" s="153" t="s">
        <v>639</v>
      </c>
      <c r="G39" s="153" t="s">
        <v>640</v>
      </c>
    </row>
    <row r="40" ht="16.5" spans="1:25">
      <c r="A40" s="153" t="s">
        <v>641</v>
      </c>
      <c r="G40" s="153" t="s">
        <v>642</v>
      </c>
    </row>
    <row r="41" ht="16.5" spans="1:25">
      <c r="A41" s="153" t="s">
        <v>643</v>
      </c>
    </row>
    <row r="45" ht="16.5" spans="1:25">
      <c r="A45" s="157" t="s">
        <v>644</v>
      </c>
      <c r="C45" s="153">
        <f>MATCH(人物卡!$BW$46,额外技能包!A2:A30,0)</f>
        <v>1</v>
      </c>
    </row>
    <row r="46" ht="16.5" spans="1:25">
      <c r="A46" s="153" t="str">
        <f t="array" ref="A46">INDEX(额外技能包!A$2:A$30,$C$45)</f>
        <v>（自选）</v>
      </c>
      <c r="B46" s="153" t="str">
        <f t="array" ref="B46">INDEX(额外技能包!B$2:B$30,$C$45)</f>
        <v>选择8个技能（除了非自</v>
      </c>
      <c r="C46" s="153" t="str">
        <f t="array" ref="C46">INDEX(额外技能包!C$2:C$30,$C$45)</f>
        <v>然知识），为每一个加上</v>
      </c>
      <c r="D46" s="153" t="str">
        <f t="array" ref="D46">INDEX(额外技能包!D$2:D$30,$C$45)</f>
        <v>20点。不能超过80%。可</v>
      </c>
      <c r="E46" s="153" t="str">
        <f t="array" ref="E46">INDEX(额外技能包!E$2:E$30,$C$45)</f>
        <v>重复选择。</v>
      </c>
      <c r="F46" s="153">
        <f t="array" ref="F46">INDEX(额外技能包!F$2:F$30,$C$45)</f>
        <v>0</v>
      </c>
      <c r="G46" s="153">
        <f t="array" ref="G46">INDEX(额外技能包!G$2:G$30,$C$45)</f>
        <v>0</v>
      </c>
      <c r="H46" s="153">
        <f t="array" ref="H46">INDEX(额外技能包!H$2:H$30,$C$45)</f>
        <v>0</v>
      </c>
      <c r="I46" s="153">
        <f t="array" ref="I46">INDEX(额外技能包!I$2:I$30,$C$45)</f>
        <v>0</v>
      </c>
      <c r="J46" s="153">
        <f t="array" ref="J46">INDEX(额外技能包!J$2:J$30,$C$45)</f>
        <v>0</v>
      </c>
      <c r="K46" s="153">
        <f t="array" ref="K46">INDEX(额外技能包!K$2:K$30,$C$45)</f>
        <v>0</v>
      </c>
      <c r="L46" s="153">
        <f t="array" ref="L46">INDEX(额外技能包!L$2:L$30,$C$45)</f>
        <v>0</v>
      </c>
      <c r="M46" s="153">
        <f t="array" ref="M46">INDEX(额外技能包!M$2:M$30,$C$45)</f>
        <v>0</v>
      </c>
      <c r="N46" s="153">
        <f t="array" ref="N46">INDEX(额外技能包!N$2:N$30,$C$45)</f>
        <v>0</v>
      </c>
      <c r="O46" s="153">
        <f t="array" ref="O46">INDEX(额外技能包!O$2:O$30,$C$45)</f>
        <v>0</v>
      </c>
      <c r="P46" s="153">
        <f t="array" ref="P46">INDEX(额外技能包!P$2:P$30,$C$45)</f>
        <v>0</v>
      </c>
      <c r="Q46" s="153">
        <f t="array" ref="Q46">INDEX(额外技能包!Q$2:Q$30,$C$45)</f>
        <v>0</v>
      </c>
      <c r="R46" s="153">
        <f t="array" ref="R46">INDEX(额外技能包!R$2:R$30,$C$45)</f>
        <v>0</v>
      </c>
      <c r="S46" s="153">
        <f t="array" ref="S46">INDEX(额外技能包!S$2:S$30,$C$45)</f>
        <v>0</v>
      </c>
      <c r="T46" s="153">
        <f t="array" ref="T46">INDEX(额外技能包!T$2:T$30,$C$45)</f>
        <v>0</v>
      </c>
      <c r="U46" s="153">
        <f t="array" ref="U46">INDEX(额外技能包!U$2:U$30,$C$45)</f>
        <v>0</v>
      </c>
      <c r="V46" s="153">
        <f t="array" ref="V46">INDEX(额外技能包!V$2:V$30,$C$45)</f>
        <v>0</v>
      </c>
      <c r="W46" s="153">
        <f t="array" ref="W46">INDEX(额外技能包!W$2:W$30,$C$45)</f>
        <v>0</v>
      </c>
      <c r="X46" s="153">
        <f t="array" ref="X46">INDEX(额外技能包!X$2:X$30,$C$45)</f>
        <v>0</v>
      </c>
      <c r="Y46" s="153">
        <f t="array" ref="Y46">INDEX(额外技能包!Y$2:Y$30,$C$45)</f>
        <v>0</v>
      </c>
    </row>
    <row r="48" ht="16.5" spans="1:25">
      <c r="A48" s="157" t="s">
        <v>645</v>
      </c>
      <c r="D48" s="153">
        <f>J46</f>
        <v>0</v>
      </c>
    </row>
    <row r="49" ht="16.5" spans="1:12">
      <c r="A49" s="153" t="str">
        <f t="array" ref="A49:A56">TRANSPOSE(B46:I46)</f>
        <v>选择8个技能（除了非自</v>
      </c>
      <c r="D49" s="153">
        <f t="array" ref="D49:D59">TRANSPOSE(K46:U46)</f>
        <v>0</v>
      </c>
    </row>
    <row r="50" ht="16.5" spans="1:12">
      <c r="A50" s="153" t="str">
        <v>然知识），为每一个加上</v>
      </c>
      <c r="D50" s="153">
        <v>0</v>
      </c>
    </row>
    <row r="51" ht="16.5" spans="1:12">
      <c r="A51" s="153" t="str">
        <v>20点。不能超过80%。可</v>
      </c>
      <c r="D51" s="153">
        <v>0</v>
      </c>
    </row>
    <row r="52" ht="16.5" spans="1:12">
      <c r="A52" s="153" t="str">
        <v>重复选择。</v>
      </c>
      <c r="D52" s="153">
        <v>0</v>
      </c>
    </row>
    <row r="53" ht="16.5" spans="1:12">
      <c r="A53" s="153">
        <v>0</v>
      </c>
      <c r="D53" s="153">
        <v>0</v>
      </c>
    </row>
    <row r="54" ht="16.5" spans="1:12">
      <c r="A54" s="153">
        <v>0</v>
      </c>
      <c r="D54" s="153">
        <v>0</v>
      </c>
    </row>
    <row r="55" ht="16.5" spans="1:12">
      <c r="A55" s="153">
        <v>0</v>
      </c>
      <c r="D55" s="153">
        <v>0</v>
      </c>
    </row>
    <row r="56" ht="16.5" spans="1:12">
      <c r="A56" s="153">
        <v>0</v>
      </c>
      <c r="D56" s="153">
        <v>0</v>
      </c>
    </row>
    <row r="57" ht="16.5" spans="1:12">
      <c r="D57" s="153">
        <v>0</v>
      </c>
    </row>
    <row r="58" ht="16.5" spans="1:12">
      <c r="D58" s="153">
        <v>0</v>
      </c>
    </row>
    <row r="59" ht="16.5" spans="1:12">
      <c r="D59" s="153">
        <v>0</v>
      </c>
    </row>
    <row r="62" ht="16.5" spans="1:12">
      <c r="A62" s="153" t="s">
        <v>126</v>
      </c>
      <c r="B62" s="153">
        <f t="array" ref="B62:B65">TRANSPOSE(AF15:AI15)</f>
        <v>0</v>
      </c>
      <c r="G62" s="153" t="s">
        <v>646</v>
      </c>
      <c r="L62" s="153" t="s">
        <v>647</v>
      </c>
    </row>
    <row r="63" ht="16.5" spans="1:12">
      <c r="A63" s="153">
        <f>COUNTIF(B62:B65,"&lt;&gt;0")</f>
        <v>0</v>
      </c>
      <c r="B63" s="153">
        <v>0</v>
      </c>
      <c r="G63" s="153" t="s">
        <v>193</v>
      </c>
      <c r="H63" s="153" t="str">
        <f>职业列表!A10</f>
        <v>联邦探员</v>
      </c>
      <c r="L63" s="153" t="s">
        <v>648</v>
      </c>
    </row>
    <row r="64" ht="16.5" spans="1:12">
      <c r="B64" s="153">
        <v>0</v>
      </c>
      <c r="G64" s="153" t="s">
        <v>306</v>
      </c>
      <c r="H64" s="153" t="str">
        <f>职业列表!A17</f>
        <v>【额外】情报分析员</v>
      </c>
      <c r="L64" s="153" t="s">
        <v>649</v>
      </c>
    </row>
    <row r="65" ht="16.5" spans="2:12">
      <c r="B65" s="153">
        <v>0</v>
      </c>
      <c r="G65" s="153" t="s">
        <v>307</v>
      </c>
      <c r="H65" s="153" t="str">
        <f>职业列表!A18</f>
        <v>【额外】情报官员</v>
      </c>
      <c r="L65" s="153" t="s">
        <v>650</v>
      </c>
    </row>
    <row r="66" ht="16.5" spans="2:12">
      <c r="G66" s="153" t="s">
        <v>209</v>
      </c>
      <c r="H66" s="153" t="str">
        <f>职业列表!A11</f>
        <v>医生</v>
      </c>
      <c r="L66" s="153" t="s">
        <v>651</v>
      </c>
    </row>
    <row r="67" ht="16.5" spans="2:12">
      <c r="G67" s="153" t="s">
        <v>219</v>
      </c>
      <c r="H67" s="153" t="str">
        <f>职业列表!A12</f>
        <v>科学家</v>
      </c>
    </row>
    <row r="68" ht="16.5" spans="2:12">
      <c r="G68" s="153" t="s">
        <v>310</v>
      </c>
      <c r="H68" s="153" t="str">
        <f>职业列表!A9</f>
        <v>计算机科学家或工程师</v>
      </c>
    </row>
    <row r="69" ht="16.5" spans="2:12">
      <c r="G69" s="153" t="s">
        <v>318</v>
      </c>
      <c r="H69" s="153" t="str">
        <f>职业列表!A23</f>
        <v>【额外】警察</v>
      </c>
    </row>
    <row r="70" ht="16.5" spans="2:12">
      <c r="G70" s="153" t="s">
        <v>165</v>
      </c>
      <c r="H70" s="153" t="str">
        <f>职业列表!A8</f>
        <v>人类学家或历史学家</v>
      </c>
    </row>
    <row r="71" ht="16.5" spans="2:12">
      <c r="G71" s="153" t="s">
        <v>320</v>
      </c>
      <c r="H71" s="153" t="str">
        <f>职业列表!A19</f>
        <v>【额外】律师或商务主管</v>
      </c>
    </row>
    <row r="72" ht="16.5" spans="2:12">
      <c r="G72" s="153" t="s">
        <v>321</v>
      </c>
      <c r="H72" s="153" t="str">
        <f>职业列表!A24</f>
        <v>【额外】项目群经理</v>
      </c>
    </row>
    <row r="73" ht="16.5" spans="2:12">
      <c r="G73" s="153" t="s">
        <v>334</v>
      </c>
      <c r="H73" s="153" t="str">
        <f>职业列表!A20</f>
        <v>【额外】媒体专家</v>
      </c>
    </row>
    <row r="74" ht="16.5" spans="2:12">
      <c r="G74" s="153" t="s">
        <v>346</v>
      </c>
      <c r="H74" s="153" t="str">
        <f>职业列表!A25</f>
        <v>【额外】士兵或海军陆战队员</v>
      </c>
    </row>
    <row r="75" ht="16.5" spans="2:12">
      <c r="G75" s="153" t="s">
        <v>224</v>
      </c>
      <c r="H75" s="153" t="str">
        <f>职业列表!A25</f>
        <v>【额外】士兵或海军陆战队员</v>
      </c>
    </row>
    <row r="76" ht="16.5" spans="2:12">
      <c r="G76" s="153" t="s">
        <v>373</v>
      </c>
      <c r="H76" s="153" t="str">
        <f>职业列表!A22</f>
        <v>【额外】飞行员或水手</v>
      </c>
    </row>
    <row r="77" ht="16.5" spans="2:12">
      <c r="G77" s="153" t="s">
        <v>180</v>
      </c>
      <c r="H77" s="153" t="str">
        <f>职业列表!A9</f>
        <v>计算机科学家或工程师</v>
      </c>
    </row>
    <row r="78" ht="16.5" spans="2:12">
      <c r="G78" s="153" t="s">
        <v>422</v>
      </c>
      <c r="H78" s="153" t="str">
        <f>职业列表!A16</f>
        <v>【额外】外事官员</v>
      </c>
    </row>
    <row r="79" ht="16.5" spans="2:12">
      <c r="G79" s="153" t="s">
        <v>437</v>
      </c>
      <c r="H79" s="153" t="s">
        <v>270</v>
      </c>
    </row>
    <row r="80" ht="16.5" spans="2:12">
      <c r="G80" s="153" t="s">
        <v>480</v>
      </c>
      <c r="H80" s="153" t="s">
        <v>263</v>
      </c>
    </row>
    <row r="83" ht="16.5" spans="1:8">
      <c r="A83" s="154" t="s">
        <v>652</v>
      </c>
      <c r="B83" s="153">
        <f>MATCH(IF(人物卡!DF46="","（无）",人物卡!DF46),A84:A88,0)</f>
        <v>1</v>
      </c>
    </row>
    <row r="84" ht="16.5" spans="1:8">
      <c r="A84" s="153" t="s">
        <v>125</v>
      </c>
      <c r="B84" s="153" t="str">
        <f t="shared" ref="B84:H84" si="0">" "</f>
        <v> </v>
      </c>
      <c r="C84" s="153" t="str">
        <f t="shared" si="0"/>
        <v> </v>
      </c>
      <c r="D84" s="153" t="str">
        <f t="shared" si="0"/>
        <v> </v>
      </c>
      <c r="E84" s="153" t="str">
        <f t="shared" si="0"/>
        <v> </v>
      </c>
      <c r="F84" s="153" t="str">
        <f t="shared" si="0"/>
        <v> </v>
      </c>
      <c r="G84" s="153" t="str">
        <f t="shared" si="0"/>
        <v> </v>
      </c>
      <c r="H84" s="153" t="str">
        <f t="shared" si="0"/>
        <v> </v>
      </c>
    </row>
    <row r="85" ht="16.5" spans="1:8">
      <c r="A85" s="153" t="s">
        <v>653</v>
      </c>
      <c r="B85" s="153" t="s">
        <v>654</v>
      </c>
      <c r="C85" s="153" t="s">
        <v>655</v>
      </c>
      <c r="D85" s="153" t="s">
        <v>656</v>
      </c>
      <c r="E85" s="153" t="s">
        <v>657</v>
      </c>
      <c r="F85" s="153" t="s">
        <v>658</v>
      </c>
      <c r="G85" s="153" t="s">
        <v>659</v>
      </c>
    </row>
    <row r="86" ht="16.5" spans="1:8">
      <c r="A86" s="153" t="s">
        <v>660</v>
      </c>
      <c r="B86" s="153" t="s">
        <v>654</v>
      </c>
      <c r="C86" s="153" t="s">
        <v>655</v>
      </c>
      <c r="D86" s="153" t="s">
        <v>661</v>
      </c>
      <c r="E86" s="153" t="s">
        <v>662</v>
      </c>
      <c r="F86" s="153" t="str">
        <f>G85</f>
        <v>与掌局者商讨背景细节</v>
      </c>
      <c r="G86" s="153" t="str">
        <f>" "</f>
        <v> </v>
      </c>
    </row>
    <row r="87" ht="16.5" spans="1:8">
      <c r="A87" s="153" t="s">
        <v>663</v>
      </c>
      <c r="B87" s="153" t="s">
        <v>654</v>
      </c>
      <c r="C87" s="153" t="s">
        <v>655</v>
      </c>
      <c r="D87" s="153" t="s">
        <v>664</v>
      </c>
      <c r="E87" s="153" t="s">
        <v>665</v>
      </c>
      <c r="F87" s="153" t="s">
        <v>666</v>
      </c>
      <c r="G87" s="153" t="str">
        <f>G85</f>
        <v>与掌局者商讨背景细节</v>
      </c>
    </row>
    <row r="88" ht="16.5" spans="1:8">
      <c r="A88" s="153" t="s">
        <v>667</v>
      </c>
      <c r="B88" s="153" t="s">
        <v>668</v>
      </c>
      <c r="C88" s="153" t="s">
        <v>669</v>
      </c>
      <c r="D88" s="153" t="s">
        <v>670</v>
      </c>
      <c r="E88" s="153" t="s">
        <v>671</v>
      </c>
      <c r="F88" s="153" t="s">
        <v>672</v>
      </c>
      <c r="G88" s="153" t="str">
        <f>G85</f>
        <v>与掌局者商讨背景细节</v>
      </c>
    </row>
    <row r="89" ht="16.5" spans="1:8">
      <c r="B89" s="153" t="str">
        <f>VLOOKUP(IF(人物卡!$DF$46="","（无）",人物卡!$DF$46),$A$84:$G$88,2,FALSE)</f>
        <v> </v>
      </c>
      <c r="C89" s="153" t="str">
        <f>VLOOKUP(IF(人物卡!$DF$46="","（无）",人物卡!$DF$46),$A$84:$G$88,3,FALSE)</f>
        <v> </v>
      </c>
      <c r="D89" s="153" t="str">
        <f>VLOOKUP(IF(人物卡!$DF$46="","（无）",人物卡!$DF$46),$A$84:$G$88,4,FALSE)</f>
        <v> </v>
      </c>
      <c r="E89" s="153" t="str">
        <f>VLOOKUP(IF(人物卡!$DF$46="","（无）",人物卡!$DF$46),$A$84:$G$88,5,FALSE)</f>
        <v> </v>
      </c>
      <c r="F89" s="153" t="str">
        <f>VLOOKUP(IF(人物卡!$DF$46="","（无）",人物卡!$DF$46),$A$84:$G$88,6,FALSE)</f>
        <v> </v>
      </c>
      <c r="G89" s="153" t="str">
        <f>VLOOKUP(IF(人物卡!$DF$46="","（无）",人物卡!$DF$46),$A$84:$G$88,7,FALSE)</f>
        <v> </v>
      </c>
    </row>
    <row r="92" ht="16.5" spans="1:8">
      <c r="A92" s="154" t="s">
        <v>673</v>
      </c>
    </row>
    <row r="93" ht="16.5" spans="1:8">
      <c r="A93" s="153" t="str">
        <f>人物卡!AB3</f>
        <v>力量</v>
      </c>
      <c r="C93" s="153">
        <f>人物卡!AK3</f>
        <v>0</v>
      </c>
      <c r="D93" s="153" t="str">
        <f t="shared" ref="D93:D156" si="1">IF(LEN(B93)=0,A93,MID(B93,2,LEN(B93)-2))</f>
        <v>力量</v>
      </c>
      <c r="E93" s="153" t="str">
        <f t="shared" ref="E93:E156" si="2">IF(C93&gt;0,D93&amp;C93,"")</f>
        <v/>
      </c>
    </row>
    <row r="94" ht="16.5" spans="1:8">
      <c r="A94" s="153" t="str">
        <f>人物卡!AB4</f>
        <v>体质</v>
      </c>
      <c r="C94" s="153">
        <f>人物卡!AK4</f>
        <v>0</v>
      </c>
      <c r="D94" s="153" t="str">
        <f t="shared" si="1"/>
        <v>体质</v>
      </c>
      <c r="E94" s="153" t="str">
        <f t="shared" si="2"/>
        <v/>
      </c>
    </row>
    <row r="95" ht="16.5" spans="1:8">
      <c r="A95" s="153" t="str">
        <f>人物卡!AB5</f>
        <v>敏捷</v>
      </c>
      <c r="C95" s="153">
        <f>人物卡!AK5</f>
        <v>0</v>
      </c>
      <c r="D95" s="153" t="str">
        <f t="shared" si="1"/>
        <v>敏捷</v>
      </c>
      <c r="E95" s="153" t="str">
        <f t="shared" si="2"/>
        <v/>
      </c>
    </row>
    <row r="96" ht="16.5" spans="1:8">
      <c r="A96" s="153" t="str">
        <f>人物卡!AB6</f>
        <v>智力</v>
      </c>
      <c r="C96" s="153">
        <f>人物卡!AK6</f>
        <v>0</v>
      </c>
      <c r="D96" s="153" t="str">
        <f t="shared" si="1"/>
        <v>智力</v>
      </c>
      <c r="E96" s="153" t="str">
        <f t="shared" si="2"/>
        <v/>
      </c>
    </row>
    <row r="97" ht="16.5" spans="1:5">
      <c r="A97" s="153" t="str">
        <f>人物卡!AB7</f>
        <v>意志</v>
      </c>
      <c r="C97" s="153">
        <f>人物卡!AK7</f>
        <v>0</v>
      </c>
      <c r="D97" s="153" t="str">
        <f t="shared" si="1"/>
        <v>意志</v>
      </c>
      <c r="E97" s="153" t="str">
        <f t="shared" si="2"/>
        <v/>
      </c>
    </row>
    <row r="98" ht="16.5" spans="1:5">
      <c r="A98" s="153" t="str">
        <f>人物卡!AB8</f>
        <v>魅力</v>
      </c>
      <c r="C98" s="153">
        <f>人物卡!AK8</f>
        <v>0</v>
      </c>
      <c r="D98" s="153" t="str">
        <f t="shared" si="1"/>
        <v>魅力</v>
      </c>
      <c r="E98" s="153" t="str">
        <f t="shared" si="2"/>
        <v/>
      </c>
    </row>
    <row r="99" ht="16.5" spans="1:5">
      <c r="A99" s="153" t="s">
        <v>38</v>
      </c>
      <c r="C99" s="153">
        <f>人物卡!H10</f>
        <v>0</v>
      </c>
      <c r="D99" s="153" t="str">
        <f t="shared" si="1"/>
        <v>体力</v>
      </c>
      <c r="E99" s="153" t="str">
        <f t="shared" si="2"/>
        <v/>
      </c>
    </row>
    <row r="100" ht="16.5" spans="1:5">
      <c r="A100" s="153" t="s">
        <v>39</v>
      </c>
      <c r="C100" s="153">
        <f>人物卡!V10</f>
        <v>0</v>
      </c>
      <c r="D100" s="153" t="str">
        <f t="shared" si="1"/>
        <v>毅力</v>
      </c>
      <c r="E100" s="153" t="str">
        <f t="shared" si="2"/>
        <v/>
      </c>
    </row>
    <row r="101" ht="16.5" spans="1:5">
      <c r="A101" s="153" t="s">
        <v>40</v>
      </c>
      <c r="C101" s="153">
        <f>人物卡!AH10</f>
        <v>0</v>
      </c>
      <c r="D101" s="153" t="str">
        <f t="shared" si="1"/>
        <v>理智</v>
      </c>
      <c r="E101" s="153" t="str">
        <f t="shared" si="2"/>
        <v/>
      </c>
    </row>
    <row r="102" ht="16.5" spans="1:5">
      <c r="A102" s="153" t="s">
        <v>41</v>
      </c>
      <c r="C102" s="153">
        <f>人物卡!AU10</f>
        <v>0</v>
      </c>
      <c r="D102" s="153" t="str">
        <f t="shared" si="1"/>
        <v>崩溃点</v>
      </c>
      <c r="E102" s="153" t="str">
        <f t="shared" si="2"/>
        <v/>
      </c>
    </row>
    <row r="103" ht="16.5" spans="1:5">
      <c r="A103" s="153" t="str">
        <f t="array" ref="A103:A132">SUBSTITUTE(人物卡!D14:D43,"：","")</f>
        <v>会计学</v>
      </c>
      <c r="B103" s="153" t="str">
        <f>IF(ISBLANK(人物卡!J14),"","（"&amp;人物卡!J14&amp;"）")</f>
        <v/>
      </c>
      <c r="C103" s="153">
        <f ca="1">人物卡!P14</f>
        <v>10</v>
      </c>
      <c r="D103" s="153" t="str">
        <f t="shared" si="1"/>
        <v>会计学</v>
      </c>
      <c r="E103" s="153" t="str">
        <f ca="1" t="shared" si="2"/>
        <v>会计学10</v>
      </c>
    </row>
    <row r="104" ht="16.5" spans="1:5">
      <c r="A104" s="153" t="str">
        <v>警觉</v>
      </c>
      <c r="B104" s="153" t="str">
        <f>IF(ISBLANK(人物卡!J15),"","（"&amp;人物卡!J15&amp;"）")</f>
        <v/>
      </c>
      <c r="C104" s="153">
        <f ca="1">人物卡!P15</f>
        <v>20</v>
      </c>
      <c r="D104" s="153" t="str">
        <f t="shared" si="1"/>
        <v>警觉</v>
      </c>
      <c r="E104" s="153" t="str">
        <f ca="1" t="shared" si="2"/>
        <v>警觉20</v>
      </c>
    </row>
    <row r="105" ht="16.5" spans="1:5">
      <c r="A105" s="153" t="str">
        <v>人类学</v>
      </c>
      <c r="B105" s="153" t="str">
        <f>IF(ISBLANK(人物卡!J16),"","（"&amp;人物卡!J16&amp;"）")</f>
        <v/>
      </c>
      <c r="C105" s="153">
        <f ca="1">人物卡!P16</f>
        <v>0</v>
      </c>
      <c r="D105" s="153" t="str">
        <f t="shared" si="1"/>
        <v>人类学</v>
      </c>
      <c r="E105" s="153" t="str">
        <f ca="1" t="shared" si="2"/>
        <v/>
      </c>
    </row>
    <row r="106" ht="16.5" spans="1:5">
      <c r="A106" s="153" t="str">
        <v>考古学</v>
      </c>
      <c r="B106" s="153" t="str">
        <f>IF(ISBLANK(人物卡!J17),"","（"&amp;人物卡!J17&amp;"）")</f>
        <v/>
      </c>
      <c r="C106" s="153">
        <f ca="1">人物卡!P17</f>
        <v>0</v>
      </c>
      <c r="D106" s="153" t="str">
        <f t="shared" si="1"/>
        <v>考古学</v>
      </c>
      <c r="E106" s="153" t="str">
        <f ca="1" t="shared" si="2"/>
        <v/>
      </c>
    </row>
    <row r="107" ht="16.5" spans="1:5">
      <c r="A107" s="153" t="str">
        <v>艺术</v>
      </c>
      <c r="B107" s="153" t="str">
        <f ca="1">IF(ISBLANK(人物卡!J18),"","（"&amp;人物卡!J18&amp;"）")</f>
        <v>（）</v>
      </c>
      <c r="C107" s="153">
        <f ca="1">人物卡!P18</f>
        <v>0</v>
      </c>
      <c r="D107" s="153" t="str">
        <f ca="1" t="shared" si="1"/>
        <v/>
      </c>
      <c r="E107" s="153" t="str">
        <f ca="1" t="shared" si="2"/>
        <v/>
      </c>
    </row>
    <row r="108" ht="16.5" spans="1:5">
      <c r="A108" s="153" t="str">
        <v>艺术</v>
      </c>
      <c r="B108" s="153" t="str">
        <f ca="1">IF(ISBLANK(人物卡!J19),"","（"&amp;人物卡!J19&amp;"）")</f>
        <v>（）</v>
      </c>
      <c r="C108" s="153">
        <f ca="1">人物卡!P19</f>
        <v>0</v>
      </c>
      <c r="D108" s="153" t="str">
        <f ca="1" t="shared" si="1"/>
        <v/>
      </c>
      <c r="E108" s="153" t="str">
        <f ca="1" t="shared" si="2"/>
        <v/>
      </c>
    </row>
    <row r="109" ht="16.5" spans="1:5">
      <c r="A109" s="153" t="str">
        <v>艺术</v>
      </c>
      <c r="B109" s="153" t="str">
        <f ca="1">IF(ISBLANK(人物卡!J20),"","（"&amp;人物卡!J20&amp;"）")</f>
        <v>（）</v>
      </c>
      <c r="C109" s="153">
        <f ca="1">人物卡!P20</f>
        <v>0</v>
      </c>
      <c r="D109" s="153" t="str">
        <f ca="1" t="shared" si="1"/>
        <v/>
      </c>
      <c r="E109" s="153" t="str">
        <f ca="1" t="shared" si="2"/>
        <v/>
      </c>
    </row>
    <row r="110" ht="16.5" spans="1:5">
      <c r="A110" s="153" t="str">
        <v>炮术</v>
      </c>
      <c r="B110" s="153" t="str">
        <f>IF(ISBLANK(人物卡!J21),"","（"&amp;人物卡!J21&amp;"）")</f>
        <v/>
      </c>
      <c r="C110" s="153">
        <f ca="1">人物卡!P21</f>
        <v>0</v>
      </c>
      <c r="D110" s="153" t="str">
        <f t="shared" si="1"/>
        <v>炮术</v>
      </c>
      <c r="E110" s="153" t="str">
        <f ca="1" t="shared" si="2"/>
        <v/>
      </c>
    </row>
    <row r="111" ht="16.5" spans="1:5">
      <c r="A111" s="153" t="str">
        <v>运动</v>
      </c>
      <c r="B111" s="153" t="str">
        <f>IF(ISBLANK(人物卡!J22),"","（"&amp;人物卡!J22&amp;"）")</f>
        <v/>
      </c>
      <c r="C111" s="153">
        <f ca="1">人物卡!P22</f>
        <v>30</v>
      </c>
      <c r="D111" s="153" t="str">
        <f t="shared" si="1"/>
        <v>运动</v>
      </c>
      <c r="E111" s="153" t="str">
        <f ca="1" t="shared" si="2"/>
        <v>运动30</v>
      </c>
    </row>
    <row r="112" ht="16.5" spans="1:5">
      <c r="A112" s="153" t="str">
        <v>行政</v>
      </c>
      <c r="B112" s="153" t="str">
        <f>IF(ISBLANK(人物卡!J23),"","（"&amp;人物卡!J23&amp;"）")</f>
        <v/>
      </c>
      <c r="C112" s="153">
        <f ca="1">人物卡!P23</f>
        <v>10</v>
      </c>
      <c r="D112" s="153" t="str">
        <f t="shared" si="1"/>
        <v>行政</v>
      </c>
      <c r="E112" s="153" t="str">
        <f ca="1" t="shared" si="2"/>
        <v>行政10</v>
      </c>
    </row>
    <row r="113" ht="16.5" spans="1:5">
      <c r="A113" s="153" t="str">
        <v>计算机科学</v>
      </c>
      <c r="B113" s="153" t="str">
        <f>IF(ISBLANK(人物卡!J24),"","（"&amp;人物卡!J24&amp;"）")</f>
        <v/>
      </c>
      <c r="C113" s="153">
        <f ca="1">人物卡!P24</f>
        <v>0</v>
      </c>
      <c r="D113" s="153" t="str">
        <f t="shared" si="1"/>
        <v>计算机科学</v>
      </c>
      <c r="E113" s="153" t="str">
        <f ca="1" t="shared" si="2"/>
        <v/>
      </c>
    </row>
    <row r="114" ht="16.5" spans="1:5">
      <c r="A114" s="153" t="str">
        <v>工艺</v>
      </c>
      <c r="B114" s="153" t="str">
        <f ca="1">IF(ISBLANK(人物卡!J25),"","（"&amp;人物卡!J25&amp;"）")</f>
        <v>（）</v>
      </c>
      <c r="C114" s="153">
        <f ca="1">人物卡!P25</f>
        <v>0</v>
      </c>
      <c r="D114" s="153" t="str">
        <f ca="1" t="shared" si="1"/>
        <v/>
      </c>
      <c r="E114" s="153" t="str">
        <f ca="1" t="shared" si="2"/>
        <v/>
      </c>
    </row>
    <row r="115" ht="16.5" spans="1:5">
      <c r="A115" s="153" t="str">
        <v>工艺</v>
      </c>
      <c r="B115" s="153" t="str">
        <f ca="1">IF(ISBLANK(人物卡!J26),"","（"&amp;人物卡!J26&amp;"）")</f>
        <v>（）</v>
      </c>
      <c r="C115" s="153">
        <f ca="1">人物卡!P26</f>
        <v>0</v>
      </c>
      <c r="D115" s="153" t="str">
        <f ca="1" t="shared" si="1"/>
        <v/>
      </c>
      <c r="E115" s="153" t="str">
        <f ca="1" t="shared" si="2"/>
        <v/>
      </c>
    </row>
    <row r="116" ht="16.5" spans="1:5">
      <c r="A116" s="153" t="str">
        <v>工艺</v>
      </c>
      <c r="B116" s="153" t="str">
        <f ca="1">IF(ISBLANK(人物卡!J27),"","（"&amp;人物卡!J27&amp;"）")</f>
        <v>（）</v>
      </c>
      <c r="C116" s="153">
        <f ca="1">人物卡!P27</f>
        <v>0</v>
      </c>
      <c r="D116" s="153" t="str">
        <f ca="1" t="shared" si="1"/>
        <v/>
      </c>
      <c r="E116" s="153" t="str">
        <f ca="1" t="shared" si="2"/>
        <v/>
      </c>
    </row>
    <row r="117" ht="16.5" spans="1:5">
      <c r="A117" s="153" t="str">
        <v>工艺</v>
      </c>
      <c r="B117" s="153" t="str">
        <f ca="1">IF(ISBLANK(人物卡!J28),"","（"&amp;人物卡!J28&amp;"）")</f>
        <v>（）</v>
      </c>
      <c r="C117" s="153">
        <f ca="1">人物卡!P28</f>
        <v>0</v>
      </c>
      <c r="D117" s="153" t="str">
        <f ca="1" t="shared" si="1"/>
        <v/>
      </c>
      <c r="E117" s="153" t="str">
        <f ca="1" t="shared" si="2"/>
        <v/>
      </c>
    </row>
    <row r="118" ht="16.5" spans="1:5">
      <c r="A118" s="153" t="str">
        <v>犯罪学</v>
      </c>
      <c r="B118" s="153" t="str">
        <f>IF(ISBLANK(人物卡!J29),"","（"&amp;人物卡!J29&amp;"）")</f>
        <v/>
      </c>
      <c r="C118" s="153">
        <f ca="1">人物卡!P29</f>
        <v>10</v>
      </c>
      <c r="D118" s="153" t="str">
        <f t="shared" si="1"/>
        <v>犯罪学</v>
      </c>
      <c r="E118" s="153" t="str">
        <f ca="1" t="shared" si="2"/>
        <v>犯罪学10</v>
      </c>
    </row>
    <row r="119" ht="16.5" spans="1:5">
      <c r="A119" s="153" t="str">
        <v>爆破</v>
      </c>
      <c r="B119" s="153" t="str">
        <f>IF(ISBLANK(人物卡!J30),"","（"&amp;人物卡!J30&amp;"）")</f>
        <v/>
      </c>
      <c r="C119" s="153">
        <f ca="1">人物卡!P30</f>
        <v>0</v>
      </c>
      <c r="D119" s="153" t="str">
        <f t="shared" si="1"/>
        <v>爆破</v>
      </c>
      <c r="E119" s="153" t="str">
        <f ca="1" t="shared" si="2"/>
        <v/>
      </c>
    </row>
    <row r="120" ht="16.5" spans="1:5">
      <c r="A120" s="153" t="str">
        <v>乔装</v>
      </c>
      <c r="B120" s="153" t="str">
        <f>IF(ISBLANK(人物卡!J31),"","（"&amp;人物卡!J31&amp;"）")</f>
        <v/>
      </c>
      <c r="C120" s="153">
        <f ca="1">人物卡!P31</f>
        <v>10</v>
      </c>
      <c r="D120" s="153" t="str">
        <f t="shared" si="1"/>
        <v>乔装</v>
      </c>
      <c r="E120" s="153" t="str">
        <f ca="1" t="shared" si="2"/>
        <v>乔装10</v>
      </c>
    </row>
    <row r="121" ht="16.5" spans="1:5">
      <c r="A121" s="153" t="str">
        <v>闪避</v>
      </c>
      <c r="B121" s="153" t="str">
        <f>IF(ISBLANK(人物卡!J32),"","（"&amp;人物卡!J32&amp;"）")</f>
        <v/>
      </c>
      <c r="C121" s="153">
        <f ca="1">人物卡!P32</f>
        <v>30</v>
      </c>
      <c r="D121" s="153" t="str">
        <f t="shared" si="1"/>
        <v>闪避</v>
      </c>
      <c r="E121" s="153" t="str">
        <f ca="1" t="shared" si="2"/>
        <v>闪避30</v>
      </c>
    </row>
    <row r="122" ht="16.5" spans="1:5">
      <c r="A122" s="153" t="str">
        <v>机动车驾驶</v>
      </c>
      <c r="B122" s="153" t="str">
        <f>IF(ISBLANK(人物卡!J33),"","（"&amp;人物卡!J33&amp;"）")</f>
        <v/>
      </c>
      <c r="C122" s="153">
        <f ca="1">人物卡!P33</f>
        <v>20</v>
      </c>
      <c r="D122" s="153" t="str">
        <f t="shared" si="1"/>
        <v>机动车驾驶</v>
      </c>
      <c r="E122" s="153" t="str">
        <f ca="1" t="shared" si="2"/>
        <v>机动车驾驶20</v>
      </c>
    </row>
    <row r="123" ht="16.5" spans="1:5">
      <c r="A123" s="153" t="str">
        <v>射击</v>
      </c>
      <c r="B123" s="153" t="str">
        <f>IF(ISBLANK(人物卡!J34),"","（"&amp;人物卡!J34&amp;"）")</f>
        <v/>
      </c>
      <c r="C123" s="153">
        <f ca="1">人物卡!P34</f>
        <v>20</v>
      </c>
      <c r="D123" s="153" t="str">
        <f t="shared" si="1"/>
        <v>射击</v>
      </c>
      <c r="E123" s="153" t="str">
        <f ca="1" t="shared" si="2"/>
        <v>射击20</v>
      </c>
    </row>
    <row r="124" ht="16.5" spans="1:5">
      <c r="A124" s="153" t="str">
        <v>急救</v>
      </c>
      <c r="B124" s="153" t="str">
        <f>IF(ISBLANK(人物卡!J35),"","（"&amp;人物卡!J35&amp;"）")</f>
        <v/>
      </c>
      <c r="C124" s="153">
        <f ca="1">人物卡!P35</f>
        <v>10</v>
      </c>
      <c r="D124" s="153" t="str">
        <f t="shared" si="1"/>
        <v>急救</v>
      </c>
      <c r="E124" s="153" t="str">
        <f ca="1" t="shared" si="2"/>
        <v>急救10</v>
      </c>
    </row>
    <row r="125" ht="16.5" spans="1:5">
      <c r="A125" s="153" t="str">
        <v>外语</v>
      </c>
      <c r="B125" s="153" t="str">
        <f ca="1">IF(ISBLANK(人物卡!J36),"","（"&amp;人物卡!J36&amp;"）")</f>
        <v>（）</v>
      </c>
      <c r="C125" s="153">
        <f ca="1">人物卡!P36</f>
        <v>0</v>
      </c>
      <c r="D125" s="153" t="str">
        <f ca="1" t="shared" si="1"/>
        <v/>
      </c>
      <c r="E125" s="153" t="str">
        <f ca="1" t="shared" si="2"/>
        <v/>
      </c>
    </row>
    <row r="126" ht="16.5" spans="1:5">
      <c r="A126" s="153" t="str">
        <v>外语</v>
      </c>
      <c r="B126" s="153" t="str">
        <f ca="1">IF(ISBLANK(人物卡!J37),"","（"&amp;人物卡!J37&amp;"）")</f>
        <v>（）</v>
      </c>
      <c r="C126" s="153">
        <f ca="1">人物卡!P37</f>
        <v>0</v>
      </c>
      <c r="D126" s="153" t="str">
        <f ca="1" t="shared" si="1"/>
        <v/>
      </c>
      <c r="E126" s="153" t="str">
        <f ca="1" t="shared" si="2"/>
        <v/>
      </c>
    </row>
    <row r="127" ht="16.5" spans="1:5">
      <c r="A127" s="153" t="str">
        <v>外语</v>
      </c>
      <c r="B127" s="153" t="str">
        <f ca="1">IF(ISBLANK(人物卡!J38),"","（"&amp;人物卡!J38&amp;"）")</f>
        <v>（）</v>
      </c>
      <c r="C127" s="153">
        <f ca="1">人物卡!P38</f>
        <v>0</v>
      </c>
      <c r="D127" s="153" t="str">
        <f ca="1" t="shared" si="1"/>
        <v/>
      </c>
      <c r="E127" s="153" t="str">
        <f ca="1" t="shared" si="2"/>
        <v/>
      </c>
    </row>
    <row r="128" ht="16.5" spans="1:5">
      <c r="A128" s="153" t="str">
        <v>法证学</v>
      </c>
      <c r="B128" s="153" t="str">
        <f>IF(ISBLANK(人物卡!J39),"","（"&amp;人物卡!J39&amp;"）")</f>
        <v/>
      </c>
      <c r="C128" s="153">
        <f ca="1">人物卡!P39</f>
        <v>0</v>
      </c>
      <c r="D128" s="153" t="str">
        <f t="shared" si="1"/>
        <v>法证学</v>
      </c>
      <c r="E128" s="153" t="str">
        <f ca="1" t="shared" si="2"/>
        <v/>
      </c>
    </row>
    <row r="129" ht="16.5" spans="1:5">
      <c r="A129" s="153" t="str">
        <v>重型机械</v>
      </c>
      <c r="B129" s="153" t="str">
        <f>IF(ISBLANK(人物卡!J40),"","（"&amp;人物卡!J40&amp;"）")</f>
        <v/>
      </c>
      <c r="C129" s="153">
        <f ca="1">人物卡!P40</f>
        <v>10</v>
      </c>
      <c r="D129" s="153" t="str">
        <f t="shared" si="1"/>
        <v>重型机械</v>
      </c>
      <c r="E129" s="153" t="str">
        <f ca="1" t="shared" si="2"/>
        <v>重型机械10</v>
      </c>
    </row>
    <row r="130" ht="16.5" spans="1:5">
      <c r="A130" s="153" t="str">
        <v>重型武器</v>
      </c>
      <c r="B130" s="153" t="str">
        <f>IF(ISBLANK(人物卡!J41),"","（"&amp;人物卡!J41&amp;"）")</f>
        <v/>
      </c>
      <c r="C130" s="153">
        <f ca="1">人物卡!P41</f>
        <v>0</v>
      </c>
      <c r="D130" s="153" t="str">
        <f t="shared" si="1"/>
        <v>重型武器</v>
      </c>
      <c r="E130" s="153" t="str">
        <f ca="1" t="shared" si="2"/>
        <v/>
      </c>
    </row>
    <row r="131" ht="16.5" spans="1:5">
      <c r="A131" s="153" t="str">
        <v>历史</v>
      </c>
      <c r="B131" s="153" t="str">
        <f>IF(ISBLANK(人物卡!J42),"","（"&amp;人物卡!J42&amp;"）")</f>
        <v/>
      </c>
      <c r="C131" s="153">
        <f ca="1">人物卡!P42</f>
        <v>10</v>
      </c>
      <c r="D131" s="153" t="str">
        <f t="shared" si="1"/>
        <v>历史</v>
      </c>
      <c r="E131" s="153" t="str">
        <f ca="1" t="shared" si="2"/>
        <v>历史10</v>
      </c>
    </row>
    <row r="132" ht="16.5" spans="1:5">
      <c r="A132" s="153" t="str">
        <v>人源情报</v>
      </c>
      <c r="B132" s="153" t="str">
        <f>IF(ISBLANK(人物卡!J43),"","（"&amp;人物卡!J43&amp;"）")</f>
        <v/>
      </c>
      <c r="C132" s="153">
        <f ca="1">人物卡!P43</f>
        <v>10</v>
      </c>
      <c r="D132" s="153" t="str">
        <f t="shared" si="1"/>
        <v>人源情报</v>
      </c>
      <c r="E132" s="153" t="str">
        <f ca="1" t="shared" si="2"/>
        <v>人源情报10</v>
      </c>
    </row>
    <row r="133" ht="16.5" spans="1:5">
      <c r="A133" s="153" t="str">
        <f ca="1" t="array" ref="A133:A162">SUBSTITUTE(人物卡!AG14:AG43,"：","")</f>
        <v>法律</v>
      </c>
      <c r="B133" s="153" t="str">
        <f>IF(ISBLANK(人物卡!AM14),"","（"&amp;人物卡!AM14&amp;"）")</f>
        <v/>
      </c>
      <c r="C133" s="153">
        <f ca="1">人物卡!AS14</f>
        <v>0</v>
      </c>
      <c r="D133" s="153" t="str">
        <f ca="1" t="shared" si="1"/>
        <v>法律</v>
      </c>
      <c r="E133" s="153" t="str">
        <f ca="1" t="shared" si="2"/>
        <v/>
      </c>
    </row>
    <row r="134" ht="16.5" spans="1:5">
      <c r="A134" s="153" t="str">
        <v>医学</v>
      </c>
      <c r="B134" s="153" t="str">
        <f>IF(ISBLANK(人物卡!AM15),"","（"&amp;人物卡!AM15&amp;"）")</f>
        <v/>
      </c>
      <c r="C134" s="153">
        <f ca="1">人物卡!AS15</f>
        <v>0</v>
      </c>
      <c r="D134" s="153" t="str">
        <f ca="1" t="shared" si="1"/>
        <v>医学</v>
      </c>
      <c r="E134" s="153" t="str">
        <f ca="1" t="shared" si="2"/>
        <v/>
      </c>
    </row>
    <row r="135" ht="16.5" spans="1:5">
      <c r="A135" s="153" t="str">
        <v>近战武器</v>
      </c>
      <c r="B135" s="153" t="str">
        <f>IF(ISBLANK(人物卡!AM16),"","（"&amp;人物卡!AM16&amp;"）")</f>
        <v/>
      </c>
      <c r="C135" s="153">
        <f ca="1">人物卡!AS16</f>
        <v>30</v>
      </c>
      <c r="D135" s="153" t="str">
        <f ca="1" t="shared" si="1"/>
        <v>近战武器</v>
      </c>
      <c r="E135" s="153" t="str">
        <f ca="1" t="shared" si="2"/>
        <v>近战武器30</v>
      </c>
    </row>
    <row r="136" ht="16.5" spans="1:5">
      <c r="A136" s="153" t="str">
        <v>军事科学</v>
      </c>
      <c r="B136" s="153" t="str">
        <f ca="1">IF(ISBLANK(人物卡!AM17),"","（"&amp;人物卡!AM17&amp;"）")</f>
        <v>（）</v>
      </c>
      <c r="C136" s="153">
        <f ca="1">人物卡!AS17</f>
        <v>0</v>
      </c>
      <c r="D136" s="153" t="str">
        <f ca="1" t="shared" si="1"/>
        <v/>
      </c>
      <c r="E136" s="153" t="str">
        <f ca="1" t="shared" si="2"/>
        <v/>
      </c>
    </row>
    <row r="137" ht="16.5" spans="1:5">
      <c r="A137" s="153" t="str">
        <v>军事科学</v>
      </c>
      <c r="B137" s="153" t="str">
        <f ca="1">IF(ISBLANK(人物卡!AM18),"","（"&amp;人物卡!AM18&amp;"）")</f>
        <v>（）</v>
      </c>
      <c r="C137" s="153">
        <f ca="1">人物卡!AS18</f>
        <v>0</v>
      </c>
      <c r="D137" s="153" t="str">
        <f ca="1" t="shared" si="1"/>
        <v/>
      </c>
      <c r="E137" s="153" t="str">
        <f ca="1" t="shared" si="2"/>
        <v/>
      </c>
    </row>
    <row r="138" ht="16.5" spans="1:5">
      <c r="A138" s="153" t="str">
        <v>军事科学</v>
      </c>
      <c r="B138" s="153" t="str">
        <f ca="1">IF(ISBLANK(人物卡!AM19),"","（"&amp;人物卡!AM19&amp;"）")</f>
        <v>（）</v>
      </c>
      <c r="C138" s="153">
        <f ca="1">人物卡!AS19</f>
        <v>0</v>
      </c>
      <c r="D138" s="153" t="str">
        <f ca="1" t="shared" si="1"/>
        <v/>
      </c>
      <c r="E138" s="153" t="str">
        <f ca="1" t="shared" si="2"/>
        <v/>
      </c>
    </row>
    <row r="139" ht="16.5" spans="1:5">
      <c r="A139" s="153" t="str">
        <v>导航</v>
      </c>
      <c r="B139" s="153" t="str">
        <f>IF(ISBLANK(人物卡!AM20),"","（"&amp;人物卡!AM20&amp;"）")</f>
        <v/>
      </c>
      <c r="C139" s="153">
        <f ca="1">人物卡!AS20</f>
        <v>10</v>
      </c>
      <c r="D139" s="153" t="str">
        <f ca="1" t="shared" si="1"/>
        <v>导航</v>
      </c>
      <c r="E139" s="153" t="str">
        <f ca="1" t="shared" si="2"/>
        <v>导航10</v>
      </c>
    </row>
    <row r="140" ht="16.5" spans="1:5">
      <c r="A140" s="153" t="str">
        <v>神秘学</v>
      </c>
      <c r="B140" s="153" t="str">
        <f>IF(ISBLANK(人物卡!AM21),"","（"&amp;人物卡!AM21&amp;"）")</f>
        <v/>
      </c>
      <c r="C140" s="153">
        <f ca="1">人物卡!AS21</f>
        <v>10</v>
      </c>
      <c r="D140" s="153" t="str">
        <f ca="1" t="shared" si="1"/>
        <v>神秘学</v>
      </c>
      <c r="E140" s="153" t="str">
        <f ca="1" t="shared" si="2"/>
        <v>神秘学10</v>
      </c>
    </row>
    <row r="141" ht="16.5" spans="1:5">
      <c r="A141" s="153" t="str">
        <v>说服</v>
      </c>
      <c r="B141" s="153" t="str">
        <f>IF(ISBLANK(人物卡!AM22),"","（"&amp;人物卡!AM22&amp;"）")</f>
        <v/>
      </c>
      <c r="C141" s="153">
        <f ca="1">人物卡!AS22</f>
        <v>20</v>
      </c>
      <c r="D141" s="153" t="str">
        <f ca="1" t="shared" si="1"/>
        <v>说服</v>
      </c>
      <c r="E141" s="153" t="str">
        <f ca="1" t="shared" si="2"/>
        <v>说服20</v>
      </c>
    </row>
    <row r="142" ht="16.5" spans="1:5">
      <c r="A142" s="153" t="str">
        <v>药学</v>
      </c>
      <c r="B142" s="153" t="str">
        <f>IF(ISBLANK(人物卡!AM23),"","（"&amp;人物卡!AM23&amp;"）")</f>
        <v/>
      </c>
      <c r="C142" s="153">
        <f ca="1">人物卡!AS23</f>
        <v>0</v>
      </c>
      <c r="D142" s="153" t="str">
        <f ca="1" t="shared" si="1"/>
        <v>药学</v>
      </c>
      <c r="E142" s="153" t="str">
        <f ca="1" t="shared" si="2"/>
        <v/>
      </c>
    </row>
    <row r="143" ht="16.5" spans="1:5">
      <c r="A143" s="153" t="str">
        <v>特种载具</v>
      </c>
      <c r="B143" s="153" t="str">
        <f ca="1">IF(ISBLANK(人物卡!AM24),"","（"&amp;人物卡!AM24&amp;"）")</f>
        <v>（）</v>
      </c>
      <c r="C143" s="153">
        <f ca="1">人物卡!AS24</f>
        <v>0</v>
      </c>
      <c r="D143" s="153" t="str">
        <f ca="1" t="shared" si="1"/>
        <v/>
      </c>
      <c r="E143" s="153" t="str">
        <f ca="1" t="shared" si="2"/>
        <v/>
      </c>
    </row>
    <row r="144" ht="16.5" spans="1:5">
      <c r="A144" s="153" t="str">
        <v>特种载具</v>
      </c>
      <c r="B144" s="153" t="str">
        <f ca="1">IF(ISBLANK(人物卡!AM25),"","（"&amp;人物卡!AM25&amp;"）")</f>
        <v>（）</v>
      </c>
      <c r="C144" s="153">
        <f ca="1">人物卡!AS25</f>
        <v>0</v>
      </c>
      <c r="D144" s="153" t="str">
        <f ca="1" t="shared" si="1"/>
        <v/>
      </c>
      <c r="E144" s="153" t="str">
        <f ca="1" t="shared" si="2"/>
        <v/>
      </c>
    </row>
    <row r="145" ht="16.5" spans="1:5">
      <c r="A145" s="153" t="str">
        <v>特种载具</v>
      </c>
      <c r="B145" s="153" t="str">
        <f ca="1">IF(ISBLANK(人物卡!AM26),"","（"&amp;人物卡!AM26&amp;"）")</f>
        <v>（）</v>
      </c>
      <c r="C145" s="153">
        <f ca="1">人物卡!AS26</f>
        <v>0</v>
      </c>
      <c r="D145" s="153" t="str">
        <f ca="1" t="shared" si="1"/>
        <v/>
      </c>
      <c r="E145" s="153" t="str">
        <f ca="1" t="shared" si="2"/>
        <v/>
      </c>
    </row>
    <row r="146" ht="16.5" spans="1:5">
      <c r="A146" s="153" t="str">
        <v>精神治疗</v>
      </c>
      <c r="B146" s="153" t="str">
        <f>IF(ISBLANK(人物卡!AM27),"","（"&amp;人物卡!AM27&amp;"）")</f>
        <v/>
      </c>
      <c r="C146" s="153">
        <f ca="1">人物卡!AS27</f>
        <v>10</v>
      </c>
      <c r="D146" s="153" t="str">
        <f ca="1" t="shared" si="1"/>
        <v>精神治疗</v>
      </c>
      <c r="E146" s="153" t="str">
        <f ca="1" t="shared" si="2"/>
        <v>精神治疗10</v>
      </c>
    </row>
    <row r="147" ht="16.5" spans="1:5">
      <c r="A147" s="153" t="str">
        <v>骑术</v>
      </c>
      <c r="B147" s="153" t="str">
        <f>IF(ISBLANK(人物卡!AM28),"","（"&amp;人物卡!AM28&amp;"）")</f>
        <v/>
      </c>
      <c r="C147" s="153">
        <f ca="1">人物卡!AS28</f>
        <v>10</v>
      </c>
      <c r="D147" s="153" t="str">
        <f ca="1" t="shared" si="1"/>
        <v>骑术</v>
      </c>
      <c r="E147" s="153" t="str">
        <f ca="1" t="shared" si="2"/>
        <v>骑术10</v>
      </c>
    </row>
    <row r="148" ht="16.5" spans="1:5">
      <c r="A148" s="153" t="str">
        <v>科学</v>
      </c>
      <c r="B148" s="153" t="str">
        <f ca="1">IF(ISBLANK(人物卡!AM29),"","（"&amp;人物卡!AM29&amp;"）")</f>
        <v>（）</v>
      </c>
      <c r="C148" s="153">
        <f ca="1">人物卡!AS29</f>
        <v>0</v>
      </c>
      <c r="D148" s="153" t="str">
        <f ca="1" t="shared" si="1"/>
        <v/>
      </c>
      <c r="E148" s="153" t="str">
        <f ca="1" t="shared" si="2"/>
        <v/>
      </c>
    </row>
    <row r="149" ht="16.5" spans="1:5">
      <c r="A149" s="153" t="str">
        <v>科学</v>
      </c>
      <c r="B149" s="153" t="str">
        <f ca="1">IF(ISBLANK(人物卡!AM30),"","（"&amp;人物卡!AM30&amp;"）")</f>
        <v>（）</v>
      </c>
      <c r="C149" s="153">
        <f ca="1">人物卡!AS30</f>
        <v>0</v>
      </c>
      <c r="D149" s="153" t="str">
        <f ca="1" t="shared" si="1"/>
        <v/>
      </c>
      <c r="E149" s="153" t="str">
        <f ca="1" t="shared" si="2"/>
        <v/>
      </c>
    </row>
    <row r="150" ht="16.5" spans="1:5">
      <c r="A150" s="153" t="str">
        <v>科学</v>
      </c>
      <c r="B150" s="153" t="str">
        <f ca="1">IF(ISBLANK(人物卡!AM31),"","（"&amp;人物卡!AM31&amp;"）")</f>
        <v>（）</v>
      </c>
      <c r="C150" s="153">
        <f ca="1">人物卡!AS31</f>
        <v>0</v>
      </c>
      <c r="D150" s="153" t="str">
        <f ca="1" t="shared" si="1"/>
        <v/>
      </c>
      <c r="E150" s="153" t="str">
        <f ca="1" t="shared" si="2"/>
        <v/>
      </c>
    </row>
    <row r="151" ht="16.5" spans="1:5">
      <c r="A151" s="153" t="str">
        <v>搜寻</v>
      </c>
      <c r="B151" s="153" t="str">
        <f>IF(ISBLANK(人物卡!AM32),"","（"&amp;人物卡!AM32&amp;"）")</f>
        <v/>
      </c>
      <c r="C151" s="153">
        <f ca="1">人物卡!AS32</f>
        <v>20</v>
      </c>
      <c r="D151" s="153" t="str">
        <f ca="1" t="shared" si="1"/>
        <v>搜寻</v>
      </c>
      <c r="E151" s="153" t="str">
        <f ca="1" t="shared" si="2"/>
        <v>搜寻20</v>
      </c>
    </row>
    <row r="152" ht="16.5" spans="1:5">
      <c r="A152" s="153" t="str">
        <v>信号情报</v>
      </c>
      <c r="B152" s="153" t="str">
        <f>IF(ISBLANK(人物卡!AM33),"","（"&amp;人物卡!AM33&amp;"）")</f>
        <v/>
      </c>
      <c r="C152" s="153">
        <f ca="1">人物卡!AS33</f>
        <v>0</v>
      </c>
      <c r="D152" s="153" t="str">
        <f ca="1" t="shared" si="1"/>
        <v>信号情报</v>
      </c>
      <c r="E152" s="153" t="str">
        <f ca="1" t="shared" si="2"/>
        <v/>
      </c>
    </row>
    <row r="153" ht="16.5" spans="1:5">
      <c r="A153" s="153" t="str">
        <v>潜藏</v>
      </c>
      <c r="B153" s="153" t="str">
        <f>IF(ISBLANK(人物卡!AM34),"","（"&amp;人物卡!AM34&amp;"）")</f>
        <v/>
      </c>
      <c r="C153" s="153">
        <f ca="1">人物卡!AS34</f>
        <v>10</v>
      </c>
      <c r="D153" s="153" t="str">
        <f ca="1" t="shared" si="1"/>
        <v>潜藏</v>
      </c>
      <c r="E153" s="153" t="str">
        <f ca="1" t="shared" si="2"/>
        <v>潜藏10</v>
      </c>
    </row>
    <row r="154" ht="16.5" spans="1:5">
      <c r="A154" s="153" t="str">
        <v>手术</v>
      </c>
      <c r="B154" s="153" t="str">
        <f>IF(ISBLANK(人物卡!AM35),"","（"&amp;人物卡!AM35&amp;"）")</f>
        <v/>
      </c>
      <c r="C154" s="153">
        <f ca="1">人物卡!AS35</f>
        <v>0</v>
      </c>
      <c r="D154" s="153" t="str">
        <f ca="1" t="shared" si="1"/>
        <v>手术</v>
      </c>
      <c r="E154" s="153" t="str">
        <f ca="1" t="shared" si="2"/>
        <v/>
      </c>
    </row>
    <row r="155" ht="16.5" spans="1:5">
      <c r="A155" s="153" t="str">
        <v>生存</v>
      </c>
      <c r="B155" s="153" t="str">
        <f>IF(ISBLANK(人物卡!AM36),"","（"&amp;人物卡!AM36&amp;"）")</f>
        <v/>
      </c>
      <c r="C155" s="153">
        <f ca="1">人物卡!AS36</f>
        <v>10</v>
      </c>
      <c r="D155" s="153" t="str">
        <f ca="1" t="shared" si="1"/>
        <v>生存</v>
      </c>
      <c r="E155" s="153" t="str">
        <f ca="1" t="shared" si="2"/>
        <v>生存10</v>
      </c>
    </row>
    <row r="156" ht="16.5" spans="1:5">
      <c r="A156" s="153" t="str">
        <v>游泳</v>
      </c>
      <c r="B156" s="153" t="str">
        <f>IF(ISBLANK(人物卡!AM37),"","（"&amp;人物卡!AM37&amp;"）")</f>
        <v/>
      </c>
      <c r="C156" s="153">
        <f ca="1">人物卡!AS37</f>
        <v>20</v>
      </c>
      <c r="D156" s="153" t="str">
        <f ca="1" t="shared" si="1"/>
        <v>游泳</v>
      </c>
      <c r="E156" s="153" t="str">
        <f ca="1" t="shared" si="2"/>
        <v>游泳20</v>
      </c>
    </row>
    <row r="157" ht="16.5" spans="1:5">
      <c r="A157" s="153" t="str">
        <v>徒手搏斗</v>
      </c>
      <c r="B157" s="153" t="str">
        <f>IF(ISBLANK(人物卡!AM38),"","（"&amp;人物卡!AM38&amp;"）")</f>
        <v/>
      </c>
      <c r="C157" s="153">
        <f ca="1">人物卡!AS38</f>
        <v>40</v>
      </c>
      <c r="D157" s="153" t="str">
        <f ca="1" t="shared" ref="D157:D162" si="3">IF(LEN(B157)=0,A157,MID(B157,2,LEN(B157)-2))</f>
        <v>徒手搏斗</v>
      </c>
      <c r="E157" s="153" t="str">
        <f ca="1" t="shared" ref="E157:E162" si="4">IF(C157&gt;0,D157&amp;C157,"")</f>
        <v>徒手搏斗40</v>
      </c>
    </row>
    <row r="158" ht="16.5" spans="1:5">
      <c r="A158" s="153" t="str">
        <v>非自然知识</v>
      </c>
      <c r="B158" s="153" t="str">
        <f>IF(ISBLANK(人物卡!AM39),"","（"&amp;人物卡!AM39&amp;"）")</f>
        <v/>
      </c>
      <c r="C158" s="153">
        <f ca="1">人物卡!AS39</f>
        <v>0</v>
      </c>
      <c r="D158" s="153" t="str">
        <f ca="1" t="shared" si="3"/>
        <v>非自然知识</v>
      </c>
      <c r="E158" s="153" t="str">
        <f ca="1" t="shared" si="4"/>
        <v/>
      </c>
    </row>
    <row r="159" ht="16.5" spans="1:5">
      <c r="A159" s="153" t="str">
        <v/>
      </c>
      <c r="B159" s="153" t="str">
        <f>IF(ISBLANK(人物卡!AM40),"","（"&amp;人物卡!AM40&amp;"）")</f>
        <v/>
      </c>
      <c r="C159" s="153">
        <f ca="1">人物卡!AS40</f>
        <v>0</v>
      </c>
      <c r="D159" s="153" t="str">
        <f ca="1" t="shared" si="3"/>
        <v/>
      </c>
      <c r="E159" s="153" t="str">
        <f ca="1" t="shared" si="4"/>
        <v/>
      </c>
    </row>
    <row r="160" ht="16.5" spans="1:5">
      <c r="A160" s="153" t="str">
        <v/>
      </c>
      <c r="B160" s="153" t="str">
        <f>IF(ISBLANK(人物卡!AM41),"","（"&amp;人物卡!AM41&amp;"）")</f>
        <v/>
      </c>
      <c r="C160" s="153">
        <f ca="1">人物卡!AS41</f>
        <v>0</v>
      </c>
      <c r="D160" s="153" t="str">
        <f ca="1" t="shared" si="3"/>
        <v/>
      </c>
      <c r="E160" s="153" t="str">
        <f ca="1" t="shared" si="4"/>
        <v/>
      </c>
    </row>
    <row r="161" ht="16.5" spans="1:5">
      <c r="A161" s="153" t="str">
        <v/>
      </c>
      <c r="B161" s="153" t="str">
        <f>IF(ISBLANK(人物卡!AM42),"","（"&amp;人物卡!AM42&amp;"）")</f>
        <v/>
      </c>
      <c r="C161" s="153">
        <f ca="1">人物卡!AS42</f>
        <v>0</v>
      </c>
      <c r="D161" s="153" t="str">
        <f ca="1" t="shared" si="3"/>
        <v/>
      </c>
      <c r="E161" s="153" t="str">
        <f ca="1" t="shared" si="4"/>
        <v/>
      </c>
    </row>
    <row r="162" ht="16.5" spans="1:5">
      <c r="A162" s="153" t="str">
        <v/>
      </c>
      <c r="B162" s="153" t="str">
        <f>IF(ISBLANK(人物卡!AM43),"","（"&amp;人物卡!AM43&amp;"）")</f>
        <v/>
      </c>
      <c r="C162" s="153">
        <f ca="1">人物卡!AS43</f>
        <v>0</v>
      </c>
      <c r="D162" s="153" t="str">
        <f ca="1" t="shared" si="3"/>
        <v/>
      </c>
      <c r="E162" s="153" t="str">
        <f ca="1" t="shared" si="4"/>
        <v/>
      </c>
    </row>
    <row r="168" ht="16.5" spans="1:5">
      <c r="A168" s="153" t="s">
        <v>674</v>
      </c>
    </row>
    <row r="169" ht="16.5" spans="1:5">
      <c r="A169" s="153" t="str">
        <f>IFERROR(INDEX(职业列表!A:A,SMALL(职业列表!AO$2:AO$106,ROW()-168))&amp;"","")</f>
        <v>（创建新职业）</v>
      </c>
    </row>
    <row r="170" ht="16.5" spans="1:5">
      <c r="A170" s="153" t="str">
        <f>IFERROR(INDEX(职业列表!A:A,SMALL(职业列表!AO$2:AO$106,ROW()-168))&amp;"","")</f>
        <v>人类学家或历史学家</v>
      </c>
    </row>
    <row r="171" ht="16.5" spans="1:5">
      <c r="A171" s="153" t="str">
        <f>IFERROR(INDEX(职业列表!A:A,SMALL(职业列表!AO$2:AO$106,ROW()-168))&amp;"","")</f>
        <v>计算机科学家或工程师</v>
      </c>
    </row>
    <row r="172" ht="16.5" spans="1:5">
      <c r="A172" s="153" t="str">
        <f>IFERROR(INDEX(职业列表!A:A,SMALL(职业列表!AO$2:AO$106,ROW()-168))&amp;"","")</f>
        <v>联邦探员</v>
      </c>
    </row>
    <row r="173" ht="16.5" spans="1:5">
      <c r="A173" s="153" t="str">
        <f>IFERROR(INDEX(职业列表!A:A,SMALL(职业列表!AO$2:AO$106,ROW()-168))&amp;"","")</f>
        <v>医生</v>
      </c>
    </row>
    <row r="174" ht="16.5" spans="1:5">
      <c r="A174" s="153" t="str">
        <f>IFERROR(INDEX(职业列表!A:A,SMALL(职业列表!AO$2:AO$106,ROW()-168))&amp;"","")</f>
        <v>科学家</v>
      </c>
    </row>
    <row r="175" ht="16.5" spans="1:5">
      <c r="A175" s="153" t="str">
        <f>IFERROR(INDEX(职业列表!A:A,SMALL(职业列表!AO$2:AO$106,ROW()-168))&amp;"","")</f>
        <v>特种作战员</v>
      </c>
    </row>
    <row r="176" ht="16.5" spans="1:5">
      <c r="A176" s="153" t="str">
        <f>IFERROR(INDEX(职业列表!A:A,SMALL(职业列表!AO$2:AO$106,ROW()-168))&amp;"","")</f>
        <v>【额外】罪犯</v>
      </c>
    </row>
    <row r="177" ht="16.5" spans="1:1">
      <c r="A177" s="153" t="str">
        <f>IFERROR(INDEX(职业列表!A:A,SMALL(职业列表!AO$2:AO$106,ROW()-168))&amp;"","")</f>
        <v>【额外】消防队员</v>
      </c>
    </row>
    <row r="178" ht="16.5" spans="1:1">
      <c r="A178" s="153" t="str">
        <f>IFERROR(INDEX(职业列表!A:A,SMALL(职业列表!AO$2:AO$106,ROW()-168))&amp;"","")</f>
        <v>【额外】外事官员</v>
      </c>
    </row>
    <row r="179" ht="16.5" spans="1:1">
      <c r="A179" s="153" t="str">
        <f>IFERROR(INDEX(职业列表!A:A,SMALL(职业列表!AO$2:AO$106,ROW()-168))&amp;"","")</f>
        <v>【额外】情报分析员</v>
      </c>
    </row>
    <row r="180" ht="16.5" spans="1:1">
      <c r="A180" s="153" t="str">
        <f>IFERROR(INDEX(职业列表!A:A,SMALL(职业列表!AO$2:AO$106,ROW()-168))&amp;"","")</f>
        <v>【额外】情报官员</v>
      </c>
    </row>
    <row r="181" ht="16.5" spans="1:1">
      <c r="A181" s="153" t="str">
        <f>IFERROR(INDEX(职业列表!A:A,SMALL(职业列表!AO$2:AO$106,ROW()-168))&amp;"","")</f>
        <v>【额外】律师或商务主管</v>
      </c>
    </row>
    <row r="182" ht="16.5" spans="1:1">
      <c r="A182" s="153" t="str">
        <f>IFERROR(INDEX(职业列表!A:A,SMALL(职业列表!AO$2:AO$106,ROW()-168))&amp;"","")</f>
        <v>【额外】媒体专家</v>
      </c>
    </row>
    <row r="183" ht="16.5" spans="1:1">
      <c r="A183" s="153" t="str">
        <f>IFERROR(INDEX(职业列表!A:A,SMALL(职业列表!AO$2:AO$106,ROW()-168))&amp;"","")</f>
        <v>【额外】护士或护理人员</v>
      </c>
    </row>
    <row r="184" ht="16.5" spans="1:1">
      <c r="A184" s="153" t="str">
        <f>IFERROR(INDEX(职业列表!A:A,SMALL(职业列表!AO$2:AO$106,ROW()-168))&amp;"","")</f>
        <v>【额外】飞行员或水手</v>
      </c>
    </row>
    <row r="185" ht="16.5" spans="1:1">
      <c r="A185" s="153" t="str">
        <f>IFERROR(INDEX(职业列表!A:A,SMALL(职业列表!AO$2:AO$106,ROW()-168))&amp;"","")</f>
        <v>【额外】警察</v>
      </c>
    </row>
    <row r="186" ht="16.5" spans="1:1">
      <c r="A186" s="153" t="str">
        <f>IFERROR(INDEX(职业列表!A:A,SMALL(职业列表!AO$2:AO$106,ROW()-168))&amp;"","")</f>
        <v>【额外】项目群经理</v>
      </c>
    </row>
    <row r="187" ht="16.5" spans="1:1">
      <c r="A187" s="153" t="str">
        <f>IFERROR(INDEX(职业列表!A:A,SMALL(职业列表!AO$2:AO$106,ROW()-168))&amp;"","")</f>
        <v>【额外】士兵或海军陆战队员</v>
      </c>
    </row>
    <row r="188" ht="16.5" spans="1:1">
      <c r="A188" s="153" t="str">
        <f>IFERROR(INDEX(职业列表!A:A,SMALL(职业列表!AO$2:AO$106,ROW()-168))&amp;"","")</f>
        <v>FBI / 犯罪调查处（CID）</v>
      </c>
    </row>
    <row r="189" ht="16.5" spans="1:1">
      <c r="A189" s="153" t="str">
        <f>IFERROR(INDEX(职业列表!A:A,SMALL(职业列表!AO$2:AO$106,ROW()-168))&amp;"","")</f>
        <v>FBI / 国家安保部（NSB）</v>
      </c>
    </row>
    <row r="190" ht="16.5" spans="1:1">
      <c r="A190" s="153" t="str">
        <f>IFERROR(INDEX(职业列表!A:A,SMALL(职业列表!AO$2:AO$106,ROW()-168))&amp;"","")</f>
        <v>FBI / 调查与行动支援科（IOSS）</v>
      </c>
    </row>
    <row r="191" ht="16.5" spans="1:1">
      <c r="A191" s="153" t="str">
        <f>IFERROR(INDEX(职业列表!A:A,SMALL(职业列表!AO$2:AO$106,ROW()-168))&amp;"","")</f>
        <v>FBI / 情报部</v>
      </c>
    </row>
    <row r="192" ht="16.5" spans="1:1">
      <c r="A192" s="153" t="str">
        <f>IFERROR(INDEX(职业列表!A:A,SMALL(职业列表!AO$2:AO$106,ROW()-168))&amp;"","")</f>
        <v>FBI / 人质救援队（HRT）或特警队（SWAT）</v>
      </c>
    </row>
    <row r="193" ht="16.5" spans="1:1">
      <c r="A193" s="153" t="str">
        <f>IFERROR(INDEX(职业列表!A:A,SMALL(职业列表!AO$2:AO$106,ROW()-168))&amp;"","")</f>
        <v>DEA / 行动分处</v>
      </c>
    </row>
    <row r="194" ht="16.5" spans="1:1">
      <c r="A194" s="153" t="str">
        <f>IFERROR(INDEX(职业列表!A:A,SMALL(职业列表!AO$2:AO$106,ROW()-168))&amp;"","")</f>
        <v>DEA / 行动支援分处</v>
      </c>
    </row>
    <row r="195" ht="16.5" spans="1:1">
      <c r="A195" s="153" t="str">
        <f>IFERROR(INDEX(职业列表!A:A,SMALL(职业列表!AO$2:AO$106,ROW()-168))&amp;"","")</f>
        <v>DEA / 特种作战科（SOD）</v>
      </c>
    </row>
    <row r="196" ht="16.5" spans="1:1">
      <c r="A196" s="153" t="str">
        <f>IFERROR(INDEX(职业列表!A:A,SMALL(职业列表!AO$2:AO$106,ROW()-168))&amp;"","")</f>
        <v>DEA / 海外部署咨询与支援小组（FAST）</v>
      </c>
    </row>
    <row r="197" ht="16.5" spans="1:1">
      <c r="A197" s="153" t="str">
        <f>IFERROR(INDEX(职业列表!A:A,SMALL(职业列表!AO$2:AO$106,ROW()-168))&amp;"","")</f>
        <v>ICE / 国土调查处（HSI）</v>
      </c>
    </row>
    <row r="198" ht="16.5" spans="1:1">
      <c r="A198" s="153" t="str">
        <f>IFERROR(INDEX(职业列表!A:A,SMALL(职业列表!AO$2:AO$106,ROW()-168))&amp;"","")</f>
        <v>ICE / HIS，情报办公室</v>
      </c>
    </row>
    <row r="199" ht="16.5" spans="1:1">
      <c r="A199" s="153" t="str">
        <f>IFERROR(INDEX(职业列表!A:A,SMALL(职业列表!AO$2:AO$106,ROW()-168))&amp;"","")</f>
        <v>ICE / 特别应对小组（SRT）</v>
      </c>
    </row>
    <row r="200" ht="16.5" spans="1:1">
      <c r="A200" s="153" t="str">
        <f>IFERROR(INDEX(职业列表!A:A,SMALL(职业列表!AO$2:AO$106,ROW()-168))&amp;"","")</f>
        <v>ICE / 遣返行动执法处（ERO）</v>
      </c>
    </row>
    <row r="201" ht="16.5" spans="1:1">
      <c r="A201" s="153" t="str">
        <f>IFERROR(INDEX(职业列表!A:A,SMALL(职业列表!AO$2:AO$106,ROW()-168))&amp;"","")</f>
        <v>USMS / 调查行动处</v>
      </c>
    </row>
    <row r="202" ht="16.5" spans="1:1">
      <c r="A202" s="153" t="str">
        <f>IFERROR(INDEX(职业列表!A:A,SMALL(职业列表!AO$2:AO$106,ROW()-168))&amp;"","")</f>
        <v>USMS / 特种行动队（SOG）</v>
      </c>
    </row>
    <row r="203" ht="16.5" spans="1:1">
      <c r="A203" s="153" t="str">
        <f>IFERROR(INDEX(职业列表!A:A,SMALL(职业列表!AO$2:AO$106,ROW()-168))&amp;"","")</f>
        <v>陆军 / 传染病医学研究院（USAMRIID）</v>
      </c>
    </row>
    <row r="204" ht="16.5" spans="1:1">
      <c r="A204" s="153" t="str">
        <f>IFERROR(INDEX(职业列表!A:A,SMALL(职业列表!AO$2:AO$106,ROW()-168))&amp;"","")</f>
        <v>陆军 / 第902军事情报大队</v>
      </c>
    </row>
    <row r="205" ht="16.5" spans="1:1">
      <c r="A205" s="153" t="str">
        <f>IFERROR(INDEX(职业列表!A:A,SMALL(职业列表!AO$2:AO$106,ROW()-168))&amp;"","")</f>
        <v>陆军 / 第10山地师</v>
      </c>
    </row>
    <row r="206" ht="16.5" spans="1:1">
      <c r="A206" s="153" t="str">
        <f>IFERROR(INDEX(职业列表!A:A,SMALL(职业列表!AO$2:AO$106,ROW()-168))&amp;"","")</f>
        <v>陆军 / 第1旅，第1骑兵师（“铁马旅”）</v>
      </c>
    </row>
    <row r="207" ht="16.5" spans="1:1">
      <c r="A207" s="153" t="str">
        <f>IFERROR(INDEX(职业列表!A:A,SMALL(职业列表!AO$2:AO$106,ROW()-168))&amp;"","")</f>
        <v>陆军 / 医疗兵团</v>
      </c>
    </row>
    <row r="208" ht="16.5" spans="1:1">
      <c r="A208" s="153" t="str">
        <f>IFERROR(INDEX(职业列表!A:A,SMALL(职业列表!AO$2:AO$106,ROW()-168))&amp;"","")</f>
        <v>陆军SOCOM / 第1特种作战群</v>
      </c>
    </row>
    <row r="209" ht="16.5" spans="1:1">
      <c r="A209" s="153" t="str">
        <f>IFERROR(INDEX(职业列表!A:A,SMALL(职业列表!AO$2:AO$106,ROW()-168))&amp;"","")</f>
        <v>陆军SOCOM / 第75游骑兵团</v>
      </c>
    </row>
    <row r="210" ht="16.5" spans="1:1">
      <c r="A210" s="153" t="str">
        <f>IFERROR(INDEX(职业列表!A:A,SMALL(职业列表!AO$2:AO$106,ROW()-168))&amp;"","")</f>
        <v>陆军SOCOM / 第4军事信息支援大队</v>
      </c>
    </row>
    <row r="211" ht="16.5" spans="1:1">
      <c r="A211" s="153" t="str">
        <f>IFERROR(INDEX(职业列表!A:A,SMALL(职业列表!AO$2:AO$106,ROW()-168))&amp;"","")</f>
        <v>陆军SOCOM / 第160特种作战航空团（“暗夜潜行者”）</v>
      </c>
    </row>
    <row r="212" ht="16.5" spans="1:1">
      <c r="A212" s="153" t="str">
        <f>IFERROR(INDEX(职业列表!A:A,SMALL(职业列表!AO$2:AO$106,ROW()-168))&amp;"","")</f>
        <v>陆军SOCOM / 情报支持行动处</v>
      </c>
    </row>
    <row r="213" ht="16.5" spans="1:1">
      <c r="A213" s="153" t="str">
        <f>IFERROR(INDEX(职业列表!A:A,SMALL(职业列表!AO$2:AO$106,ROW()-168))&amp;"","")</f>
        <v>空军 / 第41救援中队</v>
      </c>
    </row>
    <row r="214" ht="16.5" spans="1:1">
      <c r="A214" s="153" t="str">
        <f>IFERROR(INDEX(职业列表!A:A,SMALL(职业列表!AO$2:AO$106,ROW()-168))&amp;"","")</f>
        <v>空军 / 614航空航天运营中心</v>
      </c>
    </row>
    <row r="215" ht="16.5" spans="1:1">
      <c r="A215" s="153" t="str">
        <f>IFERROR(INDEX(职业列表!A:A,SMALL(职业列表!AO$2:AO$106,ROW()-168))&amp;"","")</f>
        <v>空军 / 432d行动小组</v>
      </c>
    </row>
    <row r="216" ht="16.5" spans="1:1">
      <c r="A216" s="153" t="str">
        <f>IFERROR(INDEX(职业列表!A:A,SMALL(职业列表!AO$2:AO$106,ROW()-168))&amp;"","")</f>
        <v>空军 / 第70情报、监视和侦察（ISR）联队</v>
      </c>
    </row>
    <row r="217" ht="16.5" spans="1:1">
      <c r="A217" s="153" t="str">
        <f>IFERROR(INDEX(职业列表!A:A,SMALL(职业列表!AO$2:AO$106,ROW()-168))&amp;"","")</f>
        <v>空军 / 第354战斗机中队</v>
      </c>
    </row>
    <row r="218" ht="16.5" spans="1:1">
      <c r="A218" s="153" t="str">
        <f>IFERROR(INDEX(职业列表!A:A,SMALL(职业列表!AO$2:AO$106,ROW()-168))&amp;"","")</f>
        <v>空军 / 第318网络空间运营小组</v>
      </c>
    </row>
    <row r="219" ht="16.5" spans="1:1">
      <c r="A219" s="153" t="str">
        <f>IFERROR(INDEX(职业列表!A:A,SMALL(职业列表!AO$2:AO$106,ROW()-168))&amp;"","")</f>
        <v>空军SOCOM / 第24特战联队，第720特种战术大队</v>
      </c>
    </row>
    <row r="220" ht="16.5" spans="1:1">
      <c r="A220" s="153" t="str">
        <f>IFERROR(INDEX(职业列表!A:A,SMALL(职业列表!AO$2:AO$106,ROW()-168))&amp;"","")</f>
        <v>海军 / 罪案调查处（NCIS）</v>
      </c>
    </row>
    <row r="221" ht="16.5" spans="1:1">
      <c r="A221" s="153" t="str">
        <f>IFERROR(INDEX(职业列表!A:A,SMALL(职业列表!AO$2:AO$106,ROW()-168))&amp;"","")</f>
        <v>海军 / 爆炸品处理部队（EOD）</v>
      </c>
    </row>
    <row r="222" ht="16.5" spans="1:1">
      <c r="A222" s="153" t="str">
        <f>IFERROR(INDEX(职业列表!A:A,SMALL(职业列表!AO$2:AO$106,ROW()-168))&amp;"","")</f>
        <v>海军 / 医务兵</v>
      </c>
    </row>
    <row r="223" ht="16.5" spans="1:1">
      <c r="A223" s="153" t="str">
        <f>IFERROR(INDEX(职业列表!A:A,SMALL(职业列表!AO$2:AO$106,ROW()-168))&amp;"","")</f>
        <v>海军SOCOM / 特种作战开发群&amp;三栖特战队第一小队</v>
      </c>
    </row>
    <row r="224" ht="16.5" spans="1:1">
      <c r="A224" s="153" t="str">
        <f>IFERROR(INDEX(职业列表!A:A,SMALL(职业列表!AO$2:AO$106,ROW()-168))&amp;"","")</f>
        <v>海军陆战队 / 武装侦察部队</v>
      </c>
    </row>
    <row r="225" ht="16.5" spans="1:1">
      <c r="A225" s="153" t="str">
        <f>IFERROR(INDEX(职业列表!A:A,SMALL(职业列表!AO$2:AO$106,ROW()-168))&amp;"","")</f>
        <v>海军陆战队 / 公共事务处战地摄影师</v>
      </c>
    </row>
    <row r="226" ht="16.5" spans="1:1">
      <c r="A226" s="153" t="str">
        <f>IFERROR(INDEX(职业列表!A:A,SMALL(职业列表!AO$2:AO$106,ROW()-168))&amp;"","")</f>
        <v>海军陆战队 / 海上特殊目的部队</v>
      </c>
    </row>
    <row r="227" ht="16.5" spans="1:1">
      <c r="A227" s="153" t="str">
        <f>IFERROR(INDEX(职业列表!A:A,SMALL(职业列表!AO$2:AO$106,ROW()-168))&amp;"","")</f>
        <v>海军陆战队 / 海军陆战保安团</v>
      </c>
    </row>
    <row r="228" ht="16.5" spans="1:1">
      <c r="A228" s="153" t="str">
        <f>IFERROR(INDEX(职业列表!A:A,SMALL(职业列表!AO$2:AO$106,ROW()-168))&amp;"","")</f>
        <v>海军陆战队SOCOM / 陆战队突击团</v>
      </c>
    </row>
    <row r="229" ht="16.5" spans="1:1">
      <c r="A229" s="153" t="str">
        <f>IFERROR(INDEX(职业列表!A:A,SMALL(职业列表!AO$2:AO$106,ROW()-168))&amp;"","")</f>
        <v>CIA / 行动处（DO）</v>
      </c>
    </row>
    <row r="230" ht="16.5" spans="1:1">
      <c r="A230" s="153" t="str">
        <f>IFERROR(INDEX(职业列表!A:A,SMALL(职业列表!AO$2:AO$106,ROW()-168))&amp;"","")</f>
        <v>CIA / 特别活动处特种作战组（SAD/SOG）</v>
      </c>
    </row>
    <row r="231" ht="16.5" spans="1:1">
      <c r="A231" s="153" t="str">
        <f>IFERROR(INDEX(职业列表!A:A,SMALL(职业列表!AO$2:AO$106,ROW()-168))&amp;"","")</f>
        <v>CIA / 特别活动处政治行动组（SAD/PAG）</v>
      </c>
    </row>
    <row r="232" ht="16.5" spans="1:1">
      <c r="A232" s="153" t="str">
        <f>IFERROR(INDEX(职业列表!A:A,SMALL(职业列表!AO$2:AO$106,ROW()-168))&amp;"","")</f>
        <v>CIA / 分析科（DA）</v>
      </c>
    </row>
    <row r="233" ht="16.5" spans="1:1">
      <c r="A233" s="153" t="str">
        <f>IFERROR(INDEX(职业列表!A:A,SMALL(职业列表!AO$2:AO$106,ROW()-168))&amp;"","")</f>
        <v>DOS / 西半球事务局</v>
      </c>
    </row>
    <row r="234" ht="16.5" spans="1:1">
      <c r="A234" s="153" t="str">
        <f>IFERROR(INDEX(职业列表!A:A,SMALL(职业列表!AO$2:AO$106,ROW()-168))&amp;"","")</f>
        <v>DOS / 外交安全局（FSO）</v>
      </c>
    </row>
    <row r="235" ht="16.5" spans="1:1">
      <c r="A235" s="153" t="str">
        <f>IFERROR(INDEX(职业列表!A:A,SMALL(职业列表!AO$2:AO$106,ROW()-168))&amp;"","")</f>
        <v>DOS / 外交信使</v>
      </c>
    </row>
    <row r="236" ht="16.5" spans="1:1">
      <c r="A236" s="153" t="str">
        <f>IFERROR(INDEX(职业列表!A:A,SMALL(职业列表!AO$2:AO$106,ROW()-168))&amp;"","")</f>
        <v>DOS / 国际毒品与执法事务局（INL）</v>
      </c>
    </row>
    <row r="237" ht="16.5" spans="1:1">
      <c r="A237" s="153" t="str">
        <f>IFERROR(INDEX(职业列表!A:A,SMALL(职业列表!AO$2:AO$106,ROW()-168))&amp;"","")</f>
        <v>DOS / 情报研究局（INR）</v>
      </c>
    </row>
    <row r="238" ht="16.5" spans="1:1">
      <c r="A238" s="153" t="str">
        <f>IFERROR(INDEX(职业列表!A:A,SMALL(职业列表!AO$2:AO$106,ROW()-168))&amp;"","")</f>
        <v>CDC / 预防和应对中心</v>
      </c>
    </row>
    <row r="239" ht="16.5" spans="1:1">
      <c r="A239" s="153" t="str">
        <f>IFERROR(INDEX(职业列表!A:A,SMALL(职业列表!AO$2:AO$106,ROW()-168))&amp;"","")</f>
        <v>CDC / 紧急行动中心</v>
      </c>
    </row>
    <row r="240" ht="16.5" spans="1:1">
      <c r="A240" s="153" t="str">
        <f>IFERROR(INDEX(职业列表!A:A,SMALL(职业列表!AO$2:AO$106,ROW()-168))&amp;"","")</f>
        <v>CDC / 全球快速反应小组（RRT）</v>
      </c>
    </row>
    <row r="241" ht="16.5" spans="1:1">
      <c r="A241" s="153" t="str">
        <f>IFERROR(INDEX(职业列表!A:A,SMALL(职业列表!AO$2:AO$106,ROW()-168))&amp;"","")</f>
        <v>CDC / 公共卫生服务军官团（PHSCC）</v>
      </c>
    </row>
    <row r="242" ht="16.5" spans="1:1">
      <c r="A242" s="153" t="str">
        <f>IFERROR(INDEX(职业列表!A:A,SMALL(职业列表!AO$2:AO$106,ROW()-168))&amp;"","")</f>
        <v>EPA / 刑事执法、司法鉴证与培训处（OCEFT）</v>
      </c>
    </row>
    <row r="243" ht="16.5" spans="1:1">
      <c r="A243" s="153" t="str">
        <f>IFERROR(INDEX(职业列表!A:A,SMALL(职业列表!AO$2:AO$106,ROW()-168))&amp;"","")</f>
        <v>EPA / 区域办事处专家</v>
      </c>
    </row>
    <row r="244" ht="16.5" spans="1:1">
      <c r="A244" s="153" t="str">
        <f>IFERROR(INDEX(职业列表!A:A,SMALL(职业列表!AO$2:AO$106,ROW()-168))&amp;"","")</f>
        <v>CBP / 边境保护（预先清关或入国审查）（OFO/P）</v>
      </c>
    </row>
    <row r="245" ht="16.5" spans="1:1">
      <c r="A245" s="153" t="str">
        <f>IFERROR(INDEX(职业列表!A:A,SMALL(职业列表!AO$2:AO$106,ROW()-168))&amp;"","")</f>
        <v>CBP / 海上拦截（AMO/MI）</v>
      </c>
    </row>
    <row r="246" ht="16.5" spans="1:1">
      <c r="A246" s="153" t="str">
        <f>IFERROR(INDEX(职业列表!A:A,SMALL(职业列表!AO$2:AO$106,ROW()-168))&amp;"","")</f>
        <v>CBP / 检测犬项目（OFO/K9）</v>
      </c>
    </row>
    <row r="247" ht="16.5" spans="1:1">
      <c r="A247" s="153" t="str">
        <f>IFERROR(INDEX(职业列表!A:A,SMALL(职业列表!AO$2:AO$106,ROW()-168))&amp;"","")</f>
        <v>CBP / 边境巡逻队</v>
      </c>
    </row>
    <row r="248" ht="16.5" spans="1:1">
      <c r="A248" s="153" t="str">
        <f>IFERROR(INDEX(职业列表!A:A,SMALL(职业列表!AO$2:AO$106,ROW()-168))&amp;"","")</f>
        <v>CBP / 边境巡逻队战术单位（SOG/BORTAC）</v>
      </c>
    </row>
    <row r="249" ht="16.5" spans="1:1">
      <c r="A249" s="153" t="str">
        <f>IFERROR(INDEX(职业列表!A:A,SMALL(职业列表!AO$2:AO$106,ROW()-168))&amp;"","")</f>
        <v>CBP / 边境巡逻队搜索、创伤与救援单位（SOG/BORSTAR）</v>
      </c>
    </row>
    <row r="250" ht="16.5" spans="1:1">
      <c r="A250" s="153" t="str">
        <f>IFERROR(INDEX(职业列表!A:A,SMALL(职业列表!AO$2:AO$106,ROW()-168))&amp;"","")</f>
        <v>CBP / 国家空中安全行动（AMO/NASO）</v>
      </c>
    </row>
    <row r="251" ht="16.5" spans="1:1">
      <c r="A251" s="153" t="str">
        <f>IFERROR(INDEX(职业列表!A:A,SMALL(职业列表!AO$2:AO$106,ROW()-168))&amp;"","")</f>
        <v>ATF / 特种犬项目（SRT/K9）</v>
      </c>
    </row>
    <row r="252" ht="16.5" spans="1:1">
      <c r="A252" s="153" t="str">
        <f>IFERROR(INDEX(职业列表!A:A,SMALL(职业列表!AO$2:AO$106,ROW()-168))&amp;"","")</f>
        <v>ATF / 特种医疗项目（SRT/TMP）</v>
      </c>
    </row>
    <row r="253" ht="16.5" spans="1:1">
      <c r="A253" s="153" t="str">
        <f>IFERROR(INDEX(职业列表!A:A,SMALL(职业列表!AO$2:AO$106,ROW()-168))&amp;"","")</f>
        <v>ATF / 特种行动（SRT/TO）</v>
      </c>
    </row>
    <row r="254" ht="16.5" spans="1:1">
      <c r="A254" s="153" t="str">
        <f>IFERROR(INDEX(职业列表!A:A,SMALL(职业列表!AO$2:AO$106,ROW()-168))&amp;"","")</f>
        <v>ATF / 外勤行动及调查办公室（OFO）</v>
      </c>
    </row>
    <row r="255" ht="16.5" spans="1:1">
      <c r="A255" s="153" t="str">
        <f>IFERROR(INDEX(职业列表!A:A,SMALL(职业列表!AO$2:AO$106,ROW()-168))&amp;"","")</f>
        <v>ATF / 刑事侦查分析员</v>
      </c>
    </row>
    <row r="256" ht="16.5" spans="1:1">
      <c r="A256" s="153" t="str">
        <f>IFERROR(INDEX(职业列表!A:A,SMALL(职业列表!AO$2:AO$106,ROW()-168))&amp;"","")</f>
        <v>ATF / 爆炸物专家</v>
      </c>
    </row>
    <row r="257" ht="16.5" spans="1:1">
      <c r="A257" s="153" t="str">
        <f>IFERROR(INDEX(职业列表!A:A,SMALL(职业列表!AO$2:AO$106,ROW()-168))&amp;"","")</f>
        <v>USSS / 保护情报和评估处（PID）</v>
      </c>
    </row>
    <row r="258" ht="16.5" spans="1:1">
      <c r="A258" s="153" t="str">
        <f>IFERROR(INDEX(职业列表!A:A,SMALL(职业列表!AO$2:AO$106,ROW()-168))&amp;"","")</f>
        <v>USSS / 贴身警卫处（PPD）</v>
      </c>
    </row>
    <row r="259" ht="16.5" spans="1:1">
      <c r="A259" s="153" t="str">
        <f>IFERROR(INDEX(职业列表!A:A,SMALL(职业列表!AO$2:AO$106,ROW()-168))&amp;"","")</f>
        <v>USSS / 反突击组（CAT）</v>
      </c>
    </row>
    <row r="260" ht="16.5" spans="1:1">
      <c r="A260" s="153" t="str">
        <f>IFERROR(INDEX(职业列表!A:A,SMALL(职业列表!AO$2:AO$106,ROW()-168))&amp;"","")</f>
        <v>USSS / 财务行政、专业和技术支助（F-ATP）</v>
      </c>
    </row>
    <row r="261" ht="16.5" spans="1:1">
      <c r="A261" s="153" t="str">
        <f>IFERROR(INDEX(职业列表!A:A,SMALL(职业列表!AO$2:AO$106,ROW()-168))&amp;"","")</f>
        <v>USCG / 搜救组（SAR）</v>
      </c>
    </row>
    <row r="262" ht="16.5" spans="1:1">
      <c r="A262" s="153" t="str">
        <f>IFERROR(INDEX(职业列表!A:A,SMALL(职业列表!AO$2:AO$106,ROW()-168))&amp;"","")</f>
        <v>USCG / 响应政策办公室（CG-5R）</v>
      </c>
    </row>
    <row r="263" ht="16.5" spans="1:1">
      <c r="A263" s="153" t="str">
        <f>IFERROR(INDEX(职业列表!A:A,SMALL(职业列表!AO$2:AO$106,ROW()-168))&amp;"","")</f>
        <v>USCG / 调查和伤亡分析办公室（INV）</v>
      </c>
    </row>
    <row r="264" ht="16.5" spans="1:1">
      <c r="A264" s="153" t="str">
        <f>IFERROR(INDEX(职业列表!A:A,SMALL(职业列表!AO$2:AO$106,ROW()-168))&amp;"","")</f>
        <v>USCG / 直升机拦截战术中队（HITRON）</v>
      </c>
    </row>
    <row r="265" ht="16.5" spans="1:1">
      <c r="A265" s="153" t="str">
        <f>IFERROR(INDEX(职业列表!A:A,SMALL(职业列表!AO$2:AO$106,ROW()-168))&amp;"","")</f>
        <v>USCG / 战术执法分队（TACLET）</v>
      </c>
    </row>
    <row r="266" ht="16.5" spans="1:1">
      <c r="A266" s="153" t="str">
        <f>IFERROR(INDEX(职业列表!A:A,SMALL(职业列表!AO$2:AO$106,ROW()-168))&amp;"","")</f>
        <v>USCG / 海上安全和保安队（MSST）</v>
      </c>
    </row>
    <row r="267" ht="16.5" spans="1:1">
      <c r="A267" s="153" t="str">
        <f>IFERROR(INDEX(职业列表!A:A,SMALL(职业列表!AO$2:AO$106,ROW()-168))&amp;"","")</f>
        <v>USCG / 海上保安应变队（MSRT）</v>
      </c>
    </row>
    <row r="268" ht="16.5" spans="1:1">
      <c r="A268" s="153" t="str">
        <f>IFERROR(INDEX(职业列表!A:A,SMALL(职业列表!AO$2:AO$106,ROW()-168))&amp;"","")</f>
        <v>USCG / 国家打击部队（NSF）</v>
      </c>
    </row>
    <row r="269" ht="16.5" spans="1:1">
      <c r="A269" s="153" t="str">
        <f>IFERROR(INDEX(职业列表!A:A,SMALL(职业列表!AO$2:AO$106,ROW()-168))&amp;"","")</f>
        <v/>
      </c>
    </row>
    <row r="270" ht="16.5" spans="1:1">
      <c r="A270" s="153" t="str">
        <f>IFERROR(INDEX(职业列表!A:A,SMALL(职业列表!AO$2:AO$106,ROW()-168))&amp;"","")</f>
        <v/>
      </c>
    </row>
    <row r="271" ht="16.5" spans="1:1">
      <c r="A271" s="153" t="str">
        <f>IFERROR(INDEX(职业列表!A:A,SMALL(职业列表!AO$2:AO$106,ROW()-168))&amp;"","")</f>
        <v/>
      </c>
    </row>
    <row r="272" ht="16.5" spans="1:1">
      <c r="A272" s="153" t="str">
        <f>IFERROR(INDEX(职业列表!A:A,SMALL(职业列表!AO$2:AO$106,ROW()-168))&amp;"","")</f>
        <v/>
      </c>
    </row>
    <row r="273" ht="16.5" spans="1:1">
      <c r="A273" s="153" t="str">
        <f>IFERROR(INDEX(职业列表!A:A,SMALL(职业列表!AO$2:AO$106,ROW()-168))&amp;"","")</f>
        <v/>
      </c>
    </row>
    <row r="284" ht="16.5" spans="1:1">
      <c r="A284" s="158"/>
    </row>
  </sheetData>
  <sheetProtection password="CC25" sheet="1" autoFilter="0" objects="1" scenarios="1"/>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7">
      <c r="S1" t="s">
        <v>675</v>
      </c>
      <c r="T1">
        <f>IFERROR(MATCH(附表!$D$11,职业列表!$A$1:$A$106,0),2)</f>
        <v>2</v>
      </c>
    </row>
    <row r="2" spans="1:27">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t="b">
        <f ca="1">AND(附表!$I$12,A18&lt;&gt;"",人物卡!P49="☑")</f>
        <v>0</v>
      </c>
      <c r="AA2" t="s">
        <v>62</v>
      </c>
    </row>
    <row r="3" spans="1:27">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676</v>
      </c>
      <c r="T3">
        <f>IFERROR(INDEX(职业列表!$T$1:$T$106,T1),0)</f>
        <v>0</v>
      </c>
      <c r="Z3" t="b">
        <f ca="1">AND(附表!$I$12,A19&lt;&gt;"",人物卡!P50="☑")</f>
        <v>0</v>
      </c>
      <c r="AA3" t="s">
        <v>131</v>
      </c>
    </row>
    <row r="4" spans="1:27">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677</v>
      </c>
      <c r="T4">
        <f ca="1">COUNTIFS($L$18:$L$28,TRUE,$A$18:$A$28,"&lt;&gt;")</f>
        <v>0</v>
      </c>
      <c r="Z4" t="b">
        <f ca="1">AND(附表!$I$12,A20&lt;&gt;"",人物卡!P51="☑")</f>
        <v>0</v>
      </c>
      <c r="AA4" t="s">
        <v>678</v>
      </c>
    </row>
    <row r="5" spans="1:27">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679</v>
      </c>
      <c r="T5">
        <f ca="1">COUNTIF($O$18:$O$28,"&gt;0")</f>
        <v>0</v>
      </c>
      <c r="Z5" t="b">
        <f ca="1">AND(附表!$I$12,A21&lt;&gt;"",人物卡!P52="☑")</f>
        <v>0</v>
      </c>
    </row>
    <row r="6" spans="1:27">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680</v>
      </c>
      <c r="T6">
        <f ca="1">SUMPRODUCT(--($A$2:$A$17&lt;&gt;""),--($P$2:$P$17&lt;&gt;""),--($O$2:$O$17=0))</f>
        <v>0</v>
      </c>
      <c r="Z6" t="b">
        <f ca="1">AND(附表!$I$12,A22&lt;&gt;"",人物卡!P53="☑")</f>
        <v>0</v>
      </c>
    </row>
    <row r="7" spans="1:27">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t="b">
        <f ca="1">AND(附表!$I$12,A23&lt;&gt;"",人物卡!P54="☑")</f>
        <v>0</v>
      </c>
    </row>
    <row r="8" spans="1:27">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681</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t="b">
        <f ca="1">AND(附表!$I$12,A24&lt;&gt;"",人物卡!P55="☑")</f>
        <v>0</v>
      </c>
    </row>
    <row r="9" spans="1:27">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t="b">
        <f ca="1">AND(附表!$I$12,A25&lt;&gt;"",人物卡!P56="☑")</f>
        <v>0</v>
      </c>
    </row>
    <row r="10" spans="1:27">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t="b">
        <f ca="1">AND(附表!$I$12,A26&lt;&gt;"",人物卡!P57="☑")</f>
        <v>0</v>
      </c>
    </row>
    <row r="11" spans="1:27">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t="b">
        <f ca="1">AND(附表!$I$12,A27&lt;&gt;"",人物卡!P58="☑")</f>
        <v>0</v>
      </c>
    </row>
    <row r="12" spans="1:27">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t="b">
        <f ca="1">AND(附表!$I$12,A28&lt;&gt;"",人物卡!P59="☑")</f>
        <v>0</v>
      </c>
    </row>
    <row r="13" spans="1:27">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7">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7">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7">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682</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683</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684</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685</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686</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687</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688</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689</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690</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691</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692</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693</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694</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695</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696</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697</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698</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699</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700</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701</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702</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703</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704</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705</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706</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707</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708</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709</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710</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711</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712</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713</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714</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715</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716</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717</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718</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719</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720</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721</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722</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723</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724</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725</v>
      </c>
    </row>
    <row r="84" spans="21:23">
      <c r="U84" t="str">
        <f ca="1">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726</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727</v>
      </c>
    </row>
    <row r="86" spans="21:23">
      <c r="U86" t="str">
        <f ca="1">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728</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729</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730</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731</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732</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733</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734</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735</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736</v>
      </c>
    </row>
    <row r="100" spans="1:14">
      <c r="A100">
        <v>2</v>
      </c>
      <c r="B100">
        <v>0</v>
      </c>
      <c r="C100" t="s">
        <v>678</v>
      </c>
      <c r="D100" t="s">
        <v>737</v>
      </c>
      <c r="E100" t="s">
        <v>678</v>
      </c>
      <c r="F100">
        <v>0</v>
      </c>
      <c r="G100" t="s">
        <v>678</v>
      </c>
      <c r="H100" t="s">
        <v>678</v>
      </c>
      <c r="I100" t="s">
        <v>678</v>
      </c>
      <c r="J100" t="s">
        <v>678</v>
      </c>
      <c r="K100" t="s">
        <v>678</v>
      </c>
      <c r="L100" t="s">
        <v>678</v>
      </c>
      <c r="M100" t="s">
        <v>738</v>
      </c>
      <c r="N100" t="b">
        <v>0</v>
      </c>
    </row>
    <row r="101" spans="1:14">
      <c r="A101">
        <v>2</v>
      </c>
      <c r="B101">
        <v>1</v>
      </c>
      <c r="C101" t="s">
        <v>678</v>
      </c>
      <c r="D101" t="s">
        <v>737</v>
      </c>
      <c r="E101" t="s">
        <v>678</v>
      </c>
      <c r="F101">
        <v>0</v>
      </c>
      <c r="G101" t="s">
        <v>678</v>
      </c>
      <c r="H101" t="s">
        <v>678</v>
      </c>
      <c r="I101" t="s">
        <v>678</v>
      </c>
      <c r="J101" t="s">
        <v>678</v>
      </c>
      <c r="K101" t="s">
        <v>678</v>
      </c>
      <c r="L101" t="s">
        <v>678</v>
      </c>
      <c r="M101" t="s">
        <v>739</v>
      </c>
      <c r="N101" t="b">
        <v>0</v>
      </c>
    </row>
    <row r="102" spans="1:14">
      <c r="A102">
        <v>2</v>
      </c>
      <c r="B102">
        <v>2</v>
      </c>
      <c r="C102" t="s">
        <v>678</v>
      </c>
      <c r="D102" t="s">
        <v>737</v>
      </c>
      <c r="E102" t="s">
        <v>678</v>
      </c>
      <c r="F102">
        <v>0</v>
      </c>
      <c r="G102" t="s">
        <v>678</v>
      </c>
      <c r="H102" t="s">
        <v>678</v>
      </c>
      <c r="I102" t="s">
        <v>678</v>
      </c>
      <c r="J102" t="s">
        <v>678</v>
      </c>
      <c r="K102" t="s">
        <v>678</v>
      </c>
      <c r="L102" t="s">
        <v>678</v>
      </c>
      <c r="M102" t="s">
        <v>740</v>
      </c>
      <c r="N102" t="b">
        <v>0</v>
      </c>
    </row>
    <row r="103" spans="1:14">
      <c r="A103">
        <v>2</v>
      </c>
      <c r="B103">
        <v>3</v>
      </c>
      <c r="C103" t="s">
        <v>678</v>
      </c>
      <c r="D103" t="s">
        <v>737</v>
      </c>
      <c r="E103" t="s">
        <v>678</v>
      </c>
      <c r="F103">
        <v>0</v>
      </c>
      <c r="G103" t="s">
        <v>678</v>
      </c>
      <c r="H103" t="s">
        <v>678</v>
      </c>
      <c r="I103" t="s">
        <v>678</v>
      </c>
      <c r="J103" t="s">
        <v>678</v>
      </c>
      <c r="K103" t="s">
        <v>678</v>
      </c>
      <c r="L103" t="s">
        <v>678</v>
      </c>
      <c r="M103" t="s">
        <v>741</v>
      </c>
      <c r="N103" t="b">
        <v>0</v>
      </c>
    </row>
    <row r="104" spans="1:14">
      <c r="A104">
        <v>2</v>
      </c>
      <c r="B104">
        <v>4</v>
      </c>
      <c r="C104" t="s">
        <v>678</v>
      </c>
      <c r="D104" t="s">
        <v>737</v>
      </c>
      <c r="E104" t="s">
        <v>678</v>
      </c>
      <c r="F104">
        <v>0</v>
      </c>
      <c r="G104" t="s">
        <v>678</v>
      </c>
      <c r="H104" t="s">
        <v>678</v>
      </c>
      <c r="I104" t="s">
        <v>678</v>
      </c>
      <c r="J104" t="s">
        <v>678</v>
      </c>
      <c r="K104" t="s">
        <v>678</v>
      </c>
      <c r="L104" t="s">
        <v>678</v>
      </c>
      <c r="M104" t="s">
        <v>742</v>
      </c>
      <c r="N104" t="b">
        <v>0</v>
      </c>
    </row>
    <row r="105" spans="1:14">
      <c r="A105">
        <v>2</v>
      </c>
      <c r="B105">
        <v>5</v>
      </c>
      <c r="C105" t="s">
        <v>678</v>
      </c>
      <c r="D105" t="s">
        <v>737</v>
      </c>
      <c r="E105" t="s">
        <v>678</v>
      </c>
      <c r="F105">
        <v>0</v>
      </c>
      <c r="G105" t="s">
        <v>678</v>
      </c>
      <c r="H105" t="s">
        <v>678</v>
      </c>
      <c r="I105" t="s">
        <v>678</v>
      </c>
      <c r="J105" t="s">
        <v>678</v>
      </c>
      <c r="K105" t="s">
        <v>678</v>
      </c>
      <c r="L105" t="s">
        <v>678</v>
      </c>
      <c r="M105" t="s">
        <v>743</v>
      </c>
      <c r="N105" t="b">
        <v>0</v>
      </c>
    </row>
    <row r="106" spans="1:14">
      <c r="A106">
        <v>2</v>
      </c>
      <c r="B106">
        <v>6</v>
      </c>
      <c r="C106" t="s">
        <v>678</v>
      </c>
      <c r="D106" t="s">
        <v>737</v>
      </c>
      <c r="E106" t="s">
        <v>678</v>
      </c>
      <c r="F106">
        <v>0</v>
      </c>
      <c r="G106" t="s">
        <v>678</v>
      </c>
      <c r="H106" t="s">
        <v>678</v>
      </c>
      <c r="I106" t="s">
        <v>678</v>
      </c>
      <c r="J106" t="s">
        <v>678</v>
      </c>
      <c r="K106" t="s">
        <v>678</v>
      </c>
      <c r="L106" t="s">
        <v>678</v>
      </c>
      <c r="M106" t="s">
        <v>744</v>
      </c>
      <c r="N106" t="b">
        <v>0</v>
      </c>
    </row>
    <row r="107" spans="1:14">
      <c r="A107">
        <v>2</v>
      </c>
      <c r="B107">
        <v>7</v>
      </c>
      <c r="C107" t="s">
        <v>678</v>
      </c>
      <c r="D107" t="s">
        <v>737</v>
      </c>
      <c r="E107" t="s">
        <v>678</v>
      </c>
      <c r="F107">
        <v>0</v>
      </c>
      <c r="G107" t="s">
        <v>678</v>
      </c>
      <c r="H107" t="s">
        <v>678</v>
      </c>
      <c r="I107" t="s">
        <v>678</v>
      </c>
      <c r="J107" t="s">
        <v>678</v>
      </c>
      <c r="K107" t="s">
        <v>678</v>
      </c>
      <c r="L107" t="s">
        <v>678</v>
      </c>
      <c r="M107" t="s">
        <v>745</v>
      </c>
      <c r="N107" t="b">
        <v>0</v>
      </c>
    </row>
    <row r="108" spans="1:14">
      <c r="A108">
        <v>2</v>
      </c>
      <c r="B108">
        <v>8</v>
      </c>
      <c r="C108" t="s">
        <v>678</v>
      </c>
      <c r="D108" t="s">
        <v>737</v>
      </c>
      <c r="E108" t="s">
        <v>678</v>
      </c>
      <c r="F108">
        <v>0</v>
      </c>
      <c r="G108" t="s">
        <v>678</v>
      </c>
      <c r="H108" t="s">
        <v>678</v>
      </c>
      <c r="I108" t="s">
        <v>678</v>
      </c>
      <c r="J108" t="s">
        <v>678</v>
      </c>
      <c r="K108" t="s">
        <v>678</v>
      </c>
      <c r="L108" t="s">
        <v>678</v>
      </c>
      <c r="M108" t="s">
        <v>746</v>
      </c>
      <c r="N108" t="b">
        <v>0</v>
      </c>
    </row>
    <row r="109" spans="1:14">
      <c r="A109">
        <v>2</v>
      </c>
      <c r="B109">
        <v>9</v>
      </c>
      <c r="C109" t="s">
        <v>678</v>
      </c>
      <c r="D109" t="s">
        <v>737</v>
      </c>
      <c r="E109" t="s">
        <v>678</v>
      </c>
      <c r="F109">
        <v>0</v>
      </c>
      <c r="G109" t="s">
        <v>678</v>
      </c>
      <c r="H109" t="s">
        <v>678</v>
      </c>
      <c r="I109" t="s">
        <v>678</v>
      </c>
      <c r="J109" t="s">
        <v>678</v>
      </c>
      <c r="K109" t="s">
        <v>678</v>
      </c>
      <c r="L109" t="s">
        <v>678</v>
      </c>
      <c r="M109" t="s">
        <v>747</v>
      </c>
      <c r="N109" t="b">
        <v>0</v>
      </c>
    </row>
    <row r="110" spans="1:14">
      <c r="A110">
        <v>2</v>
      </c>
      <c r="B110">
        <v>10</v>
      </c>
      <c r="C110" t="s">
        <v>678</v>
      </c>
      <c r="D110" t="s">
        <v>737</v>
      </c>
      <c r="E110" t="s">
        <v>678</v>
      </c>
      <c r="F110">
        <v>0</v>
      </c>
      <c r="G110" t="s">
        <v>678</v>
      </c>
      <c r="H110" t="s">
        <v>678</v>
      </c>
      <c r="I110" t="s">
        <v>678</v>
      </c>
      <c r="J110" t="s">
        <v>678</v>
      </c>
      <c r="K110" t="s">
        <v>678</v>
      </c>
      <c r="L110" t="s">
        <v>678</v>
      </c>
      <c r="M110" t="s">
        <v>748</v>
      </c>
      <c r="N110" t="b">
        <v>0</v>
      </c>
    </row>
    <row r="111" spans="1:14">
      <c r="A111">
        <v>2</v>
      </c>
      <c r="B111">
        <v>11</v>
      </c>
      <c r="C111" t="s">
        <v>678</v>
      </c>
      <c r="D111" t="s">
        <v>737</v>
      </c>
      <c r="E111" t="s">
        <v>678</v>
      </c>
      <c r="F111">
        <v>0</v>
      </c>
      <c r="G111" t="s">
        <v>678</v>
      </c>
      <c r="H111" t="s">
        <v>678</v>
      </c>
      <c r="I111" t="s">
        <v>678</v>
      </c>
      <c r="J111" t="s">
        <v>678</v>
      </c>
      <c r="K111" t="s">
        <v>678</v>
      </c>
      <c r="L111" t="s">
        <v>678</v>
      </c>
      <c r="M111" t="s">
        <v>749</v>
      </c>
      <c r="N111" t="b">
        <v>0</v>
      </c>
    </row>
    <row r="112" spans="1:14">
      <c r="A112">
        <v>2</v>
      </c>
      <c r="B112">
        <v>12</v>
      </c>
      <c r="C112" t="s">
        <v>678</v>
      </c>
      <c r="D112" t="s">
        <v>737</v>
      </c>
      <c r="E112" t="s">
        <v>678</v>
      </c>
      <c r="F112">
        <v>0</v>
      </c>
      <c r="G112" t="s">
        <v>678</v>
      </c>
      <c r="H112" t="s">
        <v>678</v>
      </c>
      <c r="I112" t="s">
        <v>678</v>
      </c>
      <c r="J112" t="s">
        <v>678</v>
      </c>
      <c r="K112" t="s">
        <v>678</v>
      </c>
      <c r="L112" t="s">
        <v>678</v>
      </c>
      <c r="M112" t="s">
        <v>750</v>
      </c>
      <c r="N112" t="b">
        <v>0</v>
      </c>
    </row>
    <row r="113" spans="1:14">
      <c r="A113">
        <v>2</v>
      </c>
      <c r="B113">
        <v>13</v>
      </c>
      <c r="C113" t="s">
        <v>678</v>
      </c>
      <c r="D113" t="s">
        <v>737</v>
      </c>
      <c r="E113" t="s">
        <v>678</v>
      </c>
      <c r="F113">
        <v>0</v>
      </c>
      <c r="G113" t="s">
        <v>678</v>
      </c>
      <c r="H113" t="s">
        <v>678</v>
      </c>
      <c r="I113" t="s">
        <v>678</v>
      </c>
      <c r="J113" t="s">
        <v>678</v>
      </c>
      <c r="K113" t="s">
        <v>678</v>
      </c>
      <c r="L113" t="s">
        <v>678</v>
      </c>
      <c r="M113" t="s">
        <v>751</v>
      </c>
      <c r="N113" t="b">
        <v>0</v>
      </c>
    </row>
    <row r="114" spans="1:14">
      <c r="A114">
        <v>2</v>
      </c>
      <c r="B114">
        <v>14</v>
      </c>
      <c r="C114" t="s">
        <v>678</v>
      </c>
      <c r="D114" t="s">
        <v>737</v>
      </c>
      <c r="E114" t="s">
        <v>678</v>
      </c>
      <c r="F114">
        <v>0</v>
      </c>
      <c r="G114" t="s">
        <v>678</v>
      </c>
      <c r="H114" t="s">
        <v>678</v>
      </c>
      <c r="I114" t="s">
        <v>678</v>
      </c>
      <c r="J114" t="s">
        <v>678</v>
      </c>
      <c r="K114" t="s">
        <v>678</v>
      </c>
      <c r="L114" t="s">
        <v>678</v>
      </c>
      <c r="M114" t="s">
        <v>752</v>
      </c>
      <c r="N114" t="b">
        <v>0</v>
      </c>
    </row>
    <row r="115" spans="1:14">
      <c r="A115">
        <v>2</v>
      </c>
      <c r="B115">
        <v>15</v>
      </c>
      <c r="C115" t="s">
        <v>678</v>
      </c>
      <c r="D115" t="s">
        <v>737</v>
      </c>
      <c r="E115" t="s">
        <v>678</v>
      </c>
      <c r="F115">
        <v>0</v>
      </c>
      <c r="G115" t="s">
        <v>678</v>
      </c>
      <c r="H115" t="s">
        <v>678</v>
      </c>
      <c r="I115" t="s">
        <v>678</v>
      </c>
      <c r="J115" t="s">
        <v>678</v>
      </c>
      <c r="K115" t="s">
        <v>678</v>
      </c>
      <c r="L115" t="s">
        <v>678</v>
      </c>
      <c r="M115" t="s">
        <v>753</v>
      </c>
      <c r="N115" t="b">
        <v>0</v>
      </c>
    </row>
    <row r="116" spans="1:14">
      <c r="A116">
        <v>2</v>
      </c>
      <c r="B116">
        <v>16</v>
      </c>
      <c r="C116" t="s">
        <v>678</v>
      </c>
      <c r="D116" t="s">
        <v>754</v>
      </c>
      <c r="E116" t="s">
        <v>678</v>
      </c>
      <c r="F116">
        <v>0</v>
      </c>
      <c r="G116" t="s">
        <v>678</v>
      </c>
      <c r="H116" t="s">
        <v>678</v>
      </c>
      <c r="I116" t="s">
        <v>678</v>
      </c>
      <c r="J116" t="s">
        <v>678</v>
      </c>
      <c r="K116" t="s">
        <v>678</v>
      </c>
      <c r="L116" t="s">
        <v>678</v>
      </c>
      <c r="M116" t="s">
        <v>755</v>
      </c>
      <c r="N116" t="b">
        <v>0</v>
      </c>
    </row>
    <row r="117" spans="1:14">
      <c r="A117">
        <v>2</v>
      </c>
      <c r="B117">
        <v>17</v>
      </c>
      <c r="C117" t="s">
        <v>678</v>
      </c>
      <c r="D117" t="s">
        <v>754</v>
      </c>
      <c r="E117" t="s">
        <v>678</v>
      </c>
      <c r="F117">
        <v>0</v>
      </c>
      <c r="G117" t="s">
        <v>678</v>
      </c>
      <c r="H117" t="s">
        <v>678</v>
      </c>
      <c r="I117" t="s">
        <v>678</v>
      </c>
      <c r="J117" t="s">
        <v>678</v>
      </c>
      <c r="K117" t="s">
        <v>678</v>
      </c>
      <c r="L117" t="s">
        <v>678</v>
      </c>
      <c r="M117" t="s">
        <v>756</v>
      </c>
      <c r="N117" t="b">
        <v>0</v>
      </c>
    </row>
    <row r="118" spans="1:14">
      <c r="A118">
        <v>2</v>
      </c>
      <c r="B118">
        <v>18</v>
      </c>
      <c r="C118" t="s">
        <v>678</v>
      </c>
      <c r="D118" t="s">
        <v>754</v>
      </c>
      <c r="E118" t="s">
        <v>678</v>
      </c>
      <c r="F118">
        <v>0</v>
      </c>
      <c r="G118" t="s">
        <v>678</v>
      </c>
      <c r="H118" t="s">
        <v>678</v>
      </c>
      <c r="I118" t="s">
        <v>678</v>
      </c>
      <c r="J118" t="s">
        <v>678</v>
      </c>
      <c r="K118" t="s">
        <v>678</v>
      </c>
      <c r="L118" t="s">
        <v>678</v>
      </c>
      <c r="M118" t="s">
        <v>757</v>
      </c>
      <c r="N118" t="b">
        <v>0</v>
      </c>
    </row>
    <row r="119" spans="1:14">
      <c r="A119">
        <v>2</v>
      </c>
      <c r="B119">
        <v>19</v>
      </c>
      <c r="C119" t="s">
        <v>678</v>
      </c>
      <c r="D119" t="s">
        <v>754</v>
      </c>
      <c r="E119" t="s">
        <v>678</v>
      </c>
      <c r="F119">
        <v>0</v>
      </c>
      <c r="G119" t="s">
        <v>678</v>
      </c>
      <c r="H119" t="s">
        <v>678</v>
      </c>
      <c r="I119" t="s">
        <v>678</v>
      </c>
      <c r="J119" t="s">
        <v>678</v>
      </c>
      <c r="K119" t="s">
        <v>678</v>
      </c>
      <c r="L119" t="s">
        <v>678</v>
      </c>
      <c r="M119" t="s">
        <v>758</v>
      </c>
      <c r="N119" t="b">
        <v>0</v>
      </c>
    </row>
    <row r="120" spans="1:14">
      <c r="A120">
        <v>2</v>
      </c>
      <c r="B120">
        <v>20</v>
      </c>
      <c r="C120" t="s">
        <v>678</v>
      </c>
      <c r="D120" t="s">
        <v>754</v>
      </c>
      <c r="E120" t="s">
        <v>678</v>
      </c>
      <c r="F120">
        <v>0</v>
      </c>
      <c r="G120" t="s">
        <v>678</v>
      </c>
      <c r="H120" t="s">
        <v>678</v>
      </c>
      <c r="I120" t="s">
        <v>678</v>
      </c>
      <c r="J120" t="s">
        <v>678</v>
      </c>
      <c r="K120" t="s">
        <v>678</v>
      </c>
      <c r="L120" t="s">
        <v>678</v>
      </c>
      <c r="M120" t="s">
        <v>759</v>
      </c>
      <c r="N120" t="b">
        <v>0</v>
      </c>
    </row>
    <row r="121" spans="1:14">
      <c r="A121">
        <v>2</v>
      </c>
      <c r="B121">
        <v>21</v>
      </c>
      <c r="C121" t="s">
        <v>678</v>
      </c>
      <c r="D121" t="s">
        <v>754</v>
      </c>
      <c r="E121" t="s">
        <v>678</v>
      </c>
      <c r="F121">
        <v>0</v>
      </c>
      <c r="G121" t="s">
        <v>678</v>
      </c>
      <c r="H121" t="s">
        <v>678</v>
      </c>
      <c r="I121" t="s">
        <v>678</v>
      </c>
      <c r="J121" t="s">
        <v>678</v>
      </c>
      <c r="K121" t="s">
        <v>678</v>
      </c>
      <c r="L121" t="s">
        <v>678</v>
      </c>
      <c r="M121" t="s">
        <v>760</v>
      </c>
      <c r="N121" t="b">
        <v>0</v>
      </c>
    </row>
    <row r="122" spans="1:14">
      <c r="A122">
        <v>2</v>
      </c>
      <c r="B122">
        <v>22</v>
      </c>
      <c r="C122" t="s">
        <v>678</v>
      </c>
      <c r="D122" t="s">
        <v>754</v>
      </c>
      <c r="E122" t="s">
        <v>678</v>
      </c>
      <c r="F122">
        <v>0</v>
      </c>
      <c r="G122" t="s">
        <v>678</v>
      </c>
      <c r="H122" t="s">
        <v>678</v>
      </c>
      <c r="I122" t="s">
        <v>678</v>
      </c>
      <c r="J122" t="s">
        <v>678</v>
      </c>
      <c r="K122" t="s">
        <v>678</v>
      </c>
      <c r="L122" t="s">
        <v>678</v>
      </c>
      <c r="M122" t="s">
        <v>761</v>
      </c>
      <c r="N122" t="b">
        <v>0</v>
      </c>
    </row>
    <row r="123" spans="1:14">
      <c r="A123">
        <v>2</v>
      </c>
      <c r="B123">
        <v>23</v>
      </c>
      <c r="C123" t="s">
        <v>678</v>
      </c>
      <c r="D123" t="s">
        <v>754</v>
      </c>
      <c r="E123" t="s">
        <v>678</v>
      </c>
      <c r="F123">
        <v>0</v>
      </c>
      <c r="G123" t="s">
        <v>678</v>
      </c>
      <c r="H123" t="s">
        <v>678</v>
      </c>
      <c r="I123" t="s">
        <v>678</v>
      </c>
      <c r="J123" t="s">
        <v>678</v>
      </c>
      <c r="K123" t="s">
        <v>678</v>
      </c>
      <c r="L123" t="s">
        <v>678</v>
      </c>
      <c r="M123" t="s">
        <v>762</v>
      </c>
      <c r="N123" t="b">
        <v>0</v>
      </c>
    </row>
    <row r="124" spans="1:14">
      <c r="A124">
        <v>2</v>
      </c>
      <c r="B124">
        <v>24</v>
      </c>
      <c r="C124" t="s">
        <v>678</v>
      </c>
      <c r="D124" t="s">
        <v>754</v>
      </c>
      <c r="E124" t="s">
        <v>678</v>
      </c>
      <c r="F124">
        <v>0</v>
      </c>
      <c r="G124" t="s">
        <v>678</v>
      </c>
      <c r="H124" t="s">
        <v>678</v>
      </c>
      <c r="I124" t="s">
        <v>678</v>
      </c>
      <c r="J124" t="s">
        <v>678</v>
      </c>
      <c r="K124" t="s">
        <v>678</v>
      </c>
      <c r="L124" t="s">
        <v>678</v>
      </c>
      <c r="M124" t="s">
        <v>763</v>
      </c>
      <c r="N124" t="b">
        <v>0</v>
      </c>
    </row>
    <row r="125" spans="1:14">
      <c r="A125">
        <v>2</v>
      </c>
      <c r="B125">
        <v>25</v>
      </c>
      <c r="C125" t="s">
        <v>678</v>
      </c>
      <c r="D125" t="s">
        <v>754</v>
      </c>
      <c r="E125" t="s">
        <v>678</v>
      </c>
      <c r="F125">
        <v>0</v>
      </c>
      <c r="G125" t="s">
        <v>678</v>
      </c>
      <c r="H125" t="s">
        <v>678</v>
      </c>
      <c r="I125" t="s">
        <v>678</v>
      </c>
      <c r="J125" t="s">
        <v>678</v>
      </c>
      <c r="K125" t="s">
        <v>678</v>
      </c>
      <c r="L125" t="s">
        <v>678</v>
      </c>
      <c r="M125" t="s">
        <v>764</v>
      </c>
      <c r="N125" t="b">
        <v>0</v>
      </c>
    </row>
    <row r="126" spans="1:14">
      <c r="A126">
        <v>2</v>
      </c>
      <c r="B126">
        <v>26</v>
      </c>
      <c r="C126" t="s">
        <v>678</v>
      </c>
      <c r="D126" t="s">
        <v>754</v>
      </c>
      <c r="E126" t="s">
        <v>678</v>
      </c>
      <c r="F126">
        <v>0</v>
      </c>
      <c r="G126" t="s">
        <v>678</v>
      </c>
      <c r="H126" t="s">
        <v>678</v>
      </c>
      <c r="I126" t="s">
        <v>678</v>
      </c>
      <c r="J126" t="s">
        <v>678</v>
      </c>
      <c r="K126" t="s">
        <v>678</v>
      </c>
      <c r="L126" t="s">
        <v>678</v>
      </c>
      <c r="M126" t="s">
        <v>765</v>
      </c>
      <c r="N126" t="b">
        <v>0</v>
      </c>
    </row>
    <row r="127" spans="1:14">
      <c r="A127">
        <v>8</v>
      </c>
      <c r="B127">
        <v>0</v>
      </c>
      <c r="C127" t="s">
        <v>166</v>
      </c>
      <c r="D127" t="s">
        <v>766</v>
      </c>
      <c r="E127" t="s">
        <v>678</v>
      </c>
      <c r="F127">
        <v>50</v>
      </c>
      <c r="G127" t="s">
        <v>767</v>
      </c>
      <c r="H127" t="s">
        <v>678</v>
      </c>
      <c r="I127" t="s">
        <v>678</v>
      </c>
      <c r="J127" t="s">
        <v>768</v>
      </c>
      <c r="K127" t="s">
        <v>769</v>
      </c>
      <c r="L127" t="s">
        <v>770</v>
      </c>
      <c r="M127" t="s">
        <v>771</v>
      </c>
      <c r="N127" t="b">
        <v>0</v>
      </c>
    </row>
    <row r="128" spans="1:14">
      <c r="A128">
        <v>8</v>
      </c>
      <c r="B128">
        <v>1</v>
      </c>
      <c r="C128" t="s">
        <v>167</v>
      </c>
      <c r="D128" t="s">
        <v>737</v>
      </c>
      <c r="E128" t="s">
        <v>85</v>
      </c>
      <c r="F128">
        <v>40</v>
      </c>
      <c r="G128" t="s">
        <v>678</v>
      </c>
      <c r="H128" t="s">
        <v>678</v>
      </c>
      <c r="I128" t="s">
        <v>85</v>
      </c>
      <c r="J128" t="s">
        <v>678</v>
      </c>
      <c r="K128" t="s">
        <v>678</v>
      </c>
      <c r="L128" t="s">
        <v>678</v>
      </c>
      <c r="M128" t="s">
        <v>772</v>
      </c>
      <c r="N128" t="b">
        <v>0</v>
      </c>
    </row>
    <row r="129" spans="1:14">
      <c r="A129">
        <v>8</v>
      </c>
      <c r="B129">
        <v>2</v>
      </c>
      <c r="C129" t="s">
        <v>168</v>
      </c>
      <c r="D129" t="s">
        <v>766</v>
      </c>
      <c r="E129" t="s">
        <v>308</v>
      </c>
      <c r="F129">
        <v>50</v>
      </c>
      <c r="G129" t="s">
        <v>773</v>
      </c>
      <c r="H129" t="s">
        <v>678</v>
      </c>
      <c r="I129" t="s">
        <v>678</v>
      </c>
      <c r="J129" t="s">
        <v>774</v>
      </c>
      <c r="K129" t="s">
        <v>775</v>
      </c>
      <c r="L129" t="s">
        <v>776</v>
      </c>
      <c r="M129" t="s">
        <v>777</v>
      </c>
      <c r="N129" t="b">
        <v>0</v>
      </c>
    </row>
    <row r="130" spans="1:14">
      <c r="A130">
        <v>8</v>
      </c>
      <c r="B130">
        <v>3</v>
      </c>
      <c r="C130" t="s">
        <v>169</v>
      </c>
      <c r="D130" t="s">
        <v>766</v>
      </c>
      <c r="E130" t="s">
        <v>308</v>
      </c>
      <c r="F130">
        <v>40</v>
      </c>
      <c r="G130" t="s">
        <v>773</v>
      </c>
      <c r="H130" t="s">
        <v>678</v>
      </c>
      <c r="I130" t="s">
        <v>678</v>
      </c>
      <c r="J130" t="s">
        <v>774</v>
      </c>
      <c r="K130" t="s">
        <v>778</v>
      </c>
      <c r="L130" t="s">
        <v>779</v>
      </c>
      <c r="M130" t="s">
        <v>780</v>
      </c>
      <c r="N130" t="b">
        <v>0</v>
      </c>
    </row>
    <row r="131" spans="1:14">
      <c r="A131">
        <v>8</v>
      </c>
      <c r="B131">
        <v>4</v>
      </c>
      <c r="C131" t="s">
        <v>170</v>
      </c>
      <c r="D131" t="s">
        <v>737</v>
      </c>
      <c r="E131" t="s">
        <v>118</v>
      </c>
      <c r="F131">
        <v>60</v>
      </c>
      <c r="G131" t="s">
        <v>678</v>
      </c>
      <c r="H131" t="s">
        <v>678</v>
      </c>
      <c r="I131" t="s">
        <v>118</v>
      </c>
      <c r="J131" t="s">
        <v>678</v>
      </c>
      <c r="K131" t="s">
        <v>678</v>
      </c>
      <c r="L131" t="s">
        <v>678</v>
      </c>
      <c r="M131" t="s">
        <v>781</v>
      </c>
      <c r="N131" t="b">
        <v>0</v>
      </c>
    </row>
    <row r="132" spans="1:14">
      <c r="A132">
        <v>8</v>
      </c>
      <c r="B132">
        <v>5</v>
      </c>
      <c r="C132" t="s">
        <v>171</v>
      </c>
      <c r="D132" t="s">
        <v>737</v>
      </c>
      <c r="E132" t="s">
        <v>78</v>
      </c>
      <c r="F132">
        <v>40</v>
      </c>
      <c r="G132" t="s">
        <v>678</v>
      </c>
      <c r="H132" t="s">
        <v>678</v>
      </c>
      <c r="I132" t="s">
        <v>78</v>
      </c>
      <c r="J132" t="s">
        <v>678</v>
      </c>
      <c r="K132" t="s">
        <v>678</v>
      </c>
      <c r="L132" t="s">
        <v>678</v>
      </c>
      <c r="M132" t="s">
        <v>782</v>
      </c>
      <c r="N132" t="b">
        <v>0</v>
      </c>
    </row>
    <row r="133" spans="1:14">
      <c r="A133">
        <v>8</v>
      </c>
      <c r="B133">
        <v>6</v>
      </c>
      <c r="C133" t="s">
        <v>172</v>
      </c>
      <c r="D133" t="s">
        <v>737</v>
      </c>
      <c r="E133" t="s">
        <v>80</v>
      </c>
      <c r="F133">
        <v>40</v>
      </c>
      <c r="G133" t="s">
        <v>678</v>
      </c>
      <c r="H133" t="s">
        <v>678</v>
      </c>
      <c r="I133" t="s">
        <v>80</v>
      </c>
      <c r="J133" t="s">
        <v>678</v>
      </c>
      <c r="K133" t="s">
        <v>678</v>
      </c>
      <c r="L133" t="s">
        <v>678</v>
      </c>
      <c r="M133" t="s">
        <v>783</v>
      </c>
      <c r="N133" t="b">
        <v>0</v>
      </c>
    </row>
    <row r="134" spans="1:14">
      <c r="A134">
        <v>8</v>
      </c>
      <c r="B134">
        <v>7</v>
      </c>
      <c r="C134" t="s">
        <v>678</v>
      </c>
      <c r="D134" t="s">
        <v>737</v>
      </c>
      <c r="E134" t="s">
        <v>678</v>
      </c>
      <c r="F134">
        <v>0</v>
      </c>
      <c r="G134" t="s">
        <v>678</v>
      </c>
      <c r="H134" t="s">
        <v>678</v>
      </c>
      <c r="I134" t="s">
        <v>678</v>
      </c>
      <c r="J134" t="s">
        <v>678</v>
      </c>
      <c r="K134" t="s">
        <v>678</v>
      </c>
      <c r="L134" t="s">
        <v>678</v>
      </c>
      <c r="M134" t="s">
        <v>784</v>
      </c>
      <c r="N134" t="b">
        <v>0</v>
      </c>
    </row>
    <row r="135" spans="1:14">
      <c r="A135">
        <v>8</v>
      </c>
      <c r="B135">
        <v>8</v>
      </c>
      <c r="C135" t="s">
        <v>678</v>
      </c>
      <c r="D135" t="s">
        <v>737</v>
      </c>
      <c r="E135" t="s">
        <v>678</v>
      </c>
      <c r="F135">
        <v>0</v>
      </c>
      <c r="G135" t="s">
        <v>678</v>
      </c>
      <c r="H135" t="s">
        <v>678</v>
      </c>
      <c r="I135" t="s">
        <v>678</v>
      </c>
      <c r="J135" t="s">
        <v>678</v>
      </c>
      <c r="K135" t="s">
        <v>678</v>
      </c>
      <c r="L135" t="s">
        <v>678</v>
      </c>
      <c r="M135" t="s">
        <v>785</v>
      </c>
      <c r="N135" t="b">
        <v>0</v>
      </c>
    </row>
    <row r="136" spans="1:14">
      <c r="A136">
        <v>8</v>
      </c>
      <c r="B136">
        <v>9</v>
      </c>
      <c r="C136" t="s">
        <v>678</v>
      </c>
      <c r="D136" t="s">
        <v>737</v>
      </c>
      <c r="E136" t="s">
        <v>678</v>
      </c>
      <c r="F136">
        <v>0</v>
      </c>
      <c r="G136" t="s">
        <v>678</v>
      </c>
      <c r="H136" t="s">
        <v>678</v>
      </c>
      <c r="I136" t="s">
        <v>678</v>
      </c>
      <c r="J136" t="s">
        <v>678</v>
      </c>
      <c r="K136" t="s">
        <v>678</v>
      </c>
      <c r="L136" t="s">
        <v>678</v>
      </c>
      <c r="M136" t="s">
        <v>786</v>
      </c>
      <c r="N136" t="b">
        <v>0</v>
      </c>
    </row>
    <row r="137" spans="1:14">
      <c r="A137">
        <v>8</v>
      </c>
      <c r="B137">
        <v>10</v>
      </c>
      <c r="C137" t="s">
        <v>678</v>
      </c>
      <c r="D137" t="s">
        <v>737</v>
      </c>
      <c r="E137" t="s">
        <v>678</v>
      </c>
      <c r="F137">
        <v>0</v>
      </c>
      <c r="G137" t="s">
        <v>678</v>
      </c>
      <c r="H137" t="s">
        <v>678</v>
      </c>
      <c r="I137" t="s">
        <v>678</v>
      </c>
      <c r="J137" t="s">
        <v>678</v>
      </c>
      <c r="K137" t="s">
        <v>678</v>
      </c>
      <c r="L137" t="s">
        <v>678</v>
      </c>
      <c r="M137" t="s">
        <v>787</v>
      </c>
      <c r="N137" t="b">
        <v>0</v>
      </c>
    </row>
    <row r="138" spans="1:14">
      <c r="A138">
        <v>8</v>
      </c>
      <c r="B138">
        <v>11</v>
      </c>
      <c r="C138" t="s">
        <v>678</v>
      </c>
      <c r="D138" t="s">
        <v>737</v>
      </c>
      <c r="E138" t="s">
        <v>678</v>
      </c>
      <c r="F138">
        <v>0</v>
      </c>
      <c r="G138" t="s">
        <v>678</v>
      </c>
      <c r="H138" t="s">
        <v>678</v>
      </c>
      <c r="I138" t="s">
        <v>678</v>
      </c>
      <c r="J138" t="s">
        <v>678</v>
      </c>
      <c r="K138" t="s">
        <v>678</v>
      </c>
      <c r="L138" t="s">
        <v>678</v>
      </c>
      <c r="M138" t="s">
        <v>788</v>
      </c>
      <c r="N138" t="b">
        <v>0</v>
      </c>
    </row>
    <row r="139" spans="1:14">
      <c r="A139">
        <v>8</v>
      </c>
      <c r="B139">
        <v>12</v>
      </c>
      <c r="C139" t="s">
        <v>678</v>
      </c>
      <c r="D139" t="s">
        <v>737</v>
      </c>
      <c r="E139" t="s">
        <v>678</v>
      </c>
      <c r="F139">
        <v>0</v>
      </c>
      <c r="G139" t="s">
        <v>678</v>
      </c>
      <c r="H139" t="s">
        <v>678</v>
      </c>
      <c r="I139" t="s">
        <v>678</v>
      </c>
      <c r="J139" t="s">
        <v>678</v>
      </c>
      <c r="K139" t="s">
        <v>678</v>
      </c>
      <c r="L139" t="s">
        <v>678</v>
      </c>
      <c r="M139" t="s">
        <v>789</v>
      </c>
      <c r="N139" t="b">
        <v>0</v>
      </c>
    </row>
    <row r="140" spans="1:14">
      <c r="A140">
        <v>8</v>
      </c>
      <c r="B140">
        <v>13</v>
      </c>
      <c r="C140" t="s">
        <v>678</v>
      </c>
      <c r="D140" t="s">
        <v>737</v>
      </c>
      <c r="E140" t="s">
        <v>678</v>
      </c>
      <c r="F140">
        <v>0</v>
      </c>
      <c r="G140" t="s">
        <v>678</v>
      </c>
      <c r="H140" t="s">
        <v>678</v>
      </c>
      <c r="I140" t="s">
        <v>678</v>
      </c>
      <c r="J140" t="s">
        <v>678</v>
      </c>
      <c r="K140" t="s">
        <v>678</v>
      </c>
      <c r="L140" t="s">
        <v>678</v>
      </c>
      <c r="M140" t="s">
        <v>790</v>
      </c>
      <c r="N140" t="b">
        <v>0</v>
      </c>
    </row>
    <row r="141" spans="1:14">
      <c r="A141">
        <v>8</v>
      </c>
      <c r="B141">
        <v>14</v>
      </c>
      <c r="C141" t="s">
        <v>678</v>
      </c>
      <c r="D141" t="s">
        <v>737</v>
      </c>
      <c r="E141" t="s">
        <v>678</v>
      </c>
      <c r="F141">
        <v>0</v>
      </c>
      <c r="G141" t="s">
        <v>678</v>
      </c>
      <c r="H141" t="s">
        <v>678</v>
      </c>
      <c r="I141" t="s">
        <v>678</v>
      </c>
      <c r="J141" t="s">
        <v>678</v>
      </c>
      <c r="K141" t="s">
        <v>678</v>
      </c>
      <c r="L141" t="s">
        <v>678</v>
      </c>
      <c r="M141" t="s">
        <v>791</v>
      </c>
      <c r="N141" t="b">
        <v>0</v>
      </c>
    </row>
    <row r="142" spans="1:14">
      <c r="A142">
        <v>8</v>
      </c>
      <c r="B142">
        <v>15</v>
      </c>
      <c r="C142" t="s">
        <v>678</v>
      </c>
      <c r="D142" t="s">
        <v>737</v>
      </c>
      <c r="E142" t="s">
        <v>678</v>
      </c>
      <c r="F142">
        <v>0</v>
      </c>
      <c r="G142" t="s">
        <v>678</v>
      </c>
      <c r="H142" t="s">
        <v>678</v>
      </c>
      <c r="I142" t="s">
        <v>678</v>
      </c>
      <c r="J142" t="s">
        <v>678</v>
      </c>
      <c r="K142" t="s">
        <v>678</v>
      </c>
      <c r="L142" t="s">
        <v>678</v>
      </c>
      <c r="M142" t="s">
        <v>792</v>
      </c>
      <c r="N142" t="b">
        <v>0</v>
      </c>
    </row>
    <row r="143" spans="1:14">
      <c r="A143">
        <v>8</v>
      </c>
      <c r="B143">
        <v>16</v>
      </c>
      <c r="C143" t="s">
        <v>173</v>
      </c>
      <c r="D143" t="s">
        <v>754</v>
      </c>
      <c r="E143" t="s">
        <v>69</v>
      </c>
      <c r="F143">
        <v>40</v>
      </c>
      <c r="G143" t="s">
        <v>678</v>
      </c>
      <c r="H143" t="s">
        <v>678</v>
      </c>
      <c r="I143" t="s">
        <v>69</v>
      </c>
      <c r="J143" t="s">
        <v>678</v>
      </c>
      <c r="K143" t="s">
        <v>678</v>
      </c>
      <c r="L143" t="s">
        <v>678</v>
      </c>
      <c r="M143" t="s">
        <v>793</v>
      </c>
      <c r="N143" t="b">
        <v>0</v>
      </c>
    </row>
    <row r="144" spans="1:14">
      <c r="A144">
        <v>8</v>
      </c>
      <c r="B144">
        <v>17</v>
      </c>
      <c r="C144" t="s">
        <v>174</v>
      </c>
      <c r="D144" t="s">
        <v>754</v>
      </c>
      <c r="E144" t="s">
        <v>72</v>
      </c>
      <c r="F144">
        <v>40</v>
      </c>
      <c r="G144" t="s">
        <v>678</v>
      </c>
      <c r="H144" t="s">
        <v>678</v>
      </c>
      <c r="I144" t="s">
        <v>72</v>
      </c>
      <c r="J144" t="s">
        <v>678</v>
      </c>
      <c r="K144" t="s">
        <v>678</v>
      </c>
      <c r="L144" t="s">
        <v>678</v>
      </c>
      <c r="M144" t="s">
        <v>794</v>
      </c>
      <c r="N144" t="b">
        <v>0</v>
      </c>
    </row>
    <row r="145" spans="1:14">
      <c r="A145">
        <v>8</v>
      </c>
      <c r="B145">
        <v>18</v>
      </c>
      <c r="C145" t="s">
        <v>175</v>
      </c>
      <c r="D145" t="s">
        <v>754</v>
      </c>
      <c r="E145" t="s">
        <v>119</v>
      </c>
      <c r="F145">
        <v>50</v>
      </c>
      <c r="G145" t="s">
        <v>678</v>
      </c>
      <c r="H145" t="s">
        <v>678</v>
      </c>
      <c r="I145" t="s">
        <v>119</v>
      </c>
      <c r="J145" t="s">
        <v>678</v>
      </c>
      <c r="K145" t="s">
        <v>678</v>
      </c>
      <c r="L145" t="s">
        <v>678</v>
      </c>
      <c r="M145" t="s">
        <v>795</v>
      </c>
      <c r="N145" t="b">
        <v>0</v>
      </c>
    </row>
    <row r="146" spans="1:14">
      <c r="A146">
        <v>8</v>
      </c>
      <c r="B146">
        <v>19</v>
      </c>
      <c r="C146" t="s">
        <v>176</v>
      </c>
      <c r="D146" t="s">
        <v>754</v>
      </c>
      <c r="E146" t="s">
        <v>76</v>
      </c>
      <c r="F146">
        <v>50</v>
      </c>
      <c r="G146" t="s">
        <v>678</v>
      </c>
      <c r="H146" t="s">
        <v>678</v>
      </c>
      <c r="I146" t="s">
        <v>76</v>
      </c>
      <c r="J146" t="s">
        <v>678</v>
      </c>
      <c r="K146" t="s">
        <v>678</v>
      </c>
      <c r="L146" t="s">
        <v>678</v>
      </c>
      <c r="M146" t="s">
        <v>796</v>
      </c>
      <c r="N146" t="b">
        <v>0</v>
      </c>
    </row>
    <row r="147" spans="1:14">
      <c r="A147">
        <v>8</v>
      </c>
      <c r="B147">
        <v>20</v>
      </c>
      <c r="C147" t="s">
        <v>177</v>
      </c>
      <c r="D147" t="s">
        <v>754</v>
      </c>
      <c r="E147" t="s">
        <v>96</v>
      </c>
      <c r="F147">
        <v>50</v>
      </c>
      <c r="G147" t="s">
        <v>678</v>
      </c>
      <c r="H147" t="s">
        <v>678</v>
      </c>
      <c r="I147" t="s">
        <v>96</v>
      </c>
      <c r="J147" t="s">
        <v>678</v>
      </c>
      <c r="K147" t="s">
        <v>678</v>
      </c>
      <c r="L147" t="s">
        <v>678</v>
      </c>
      <c r="M147" t="s">
        <v>797</v>
      </c>
      <c r="N147" t="b">
        <v>0</v>
      </c>
    </row>
    <row r="148" spans="1:14">
      <c r="A148">
        <v>8</v>
      </c>
      <c r="B148">
        <v>21</v>
      </c>
      <c r="C148" t="s">
        <v>178</v>
      </c>
      <c r="D148" t="s">
        <v>754</v>
      </c>
      <c r="E148" t="s">
        <v>102</v>
      </c>
      <c r="F148">
        <v>60</v>
      </c>
      <c r="G148" t="s">
        <v>678</v>
      </c>
      <c r="H148" t="s">
        <v>678</v>
      </c>
      <c r="I148" t="s">
        <v>102</v>
      </c>
      <c r="J148" t="s">
        <v>678</v>
      </c>
      <c r="K148" t="s">
        <v>678</v>
      </c>
      <c r="L148" t="s">
        <v>678</v>
      </c>
      <c r="M148" t="s">
        <v>798</v>
      </c>
      <c r="N148" t="b">
        <v>0</v>
      </c>
    </row>
    <row r="149" spans="1:14">
      <c r="A149">
        <v>8</v>
      </c>
      <c r="B149">
        <v>22</v>
      </c>
      <c r="C149" t="s">
        <v>179</v>
      </c>
      <c r="D149" t="s">
        <v>754</v>
      </c>
      <c r="E149" t="s">
        <v>110</v>
      </c>
      <c r="F149">
        <v>50</v>
      </c>
      <c r="G149" t="s">
        <v>678</v>
      </c>
      <c r="H149" t="s">
        <v>678</v>
      </c>
      <c r="I149" t="s">
        <v>110</v>
      </c>
      <c r="J149" t="s">
        <v>678</v>
      </c>
      <c r="K149" t="s">
        <v>678</v>
      </c>
      <c r="L149" t="s">
        <v>678</v>
      </c>
      <c r="M149" t="s">
        <v>799</v>
      </c>
      <c r="N149" t="b">
        <v>0</v>
      </c>
    </row>
    <row r="150" spans="1:14">
      <c r="A150">
        <v>8</v>
      </c>
      <c r="B150">
        <v>23</v>
      </c>
      <c r="C150" t="s">
        <v>678</v>
      </c>
      <c r="D150" t="s">
        <v>754</v>
      </c>
      <c r="E150" t="s">
        <v>678</v>
      </c>
      <c r="F150">
        <v>0</v>
      </c>
      <c r="G150" t="s">
        <v>678</v>
      </c>
      <c r="H150" t="s">
        <v>678</v>
      </c>
      <c r="I150" t="s">
        <v>678</v>
      </c>
      <c r="J150" t="s">
        <v>678</v>
      </c>
      <c r="K150" t="s">
        <v>678</v>
      </c>
      <c r="L150" t="s">
        <v>678</v>
      </c>
      <c r="M150" t="s">
        <v>800</v>
      </c>
      <c r="N150" t="b">
        <v>0</v>
      </c>
    </row>
    <row r="151" spans="1:14">
      <c r="A151">
        <v>8</v>
      </c>
      <c r="B151">
        <v>24</v>
      </c>
      <c r="C151" t="s">
        <v>678</v>
      </c>
      <c r="D151" t="s">
        <v>754</v>
      </c>
      <c r="E151" t="s">
        <v>678</v>
      </c>
      <c r="F151">
        <v>0</v>
      </c>
      <c r="G151" t="s">
        <v>678</v>
      </c>
      <c r="H151" t="s">
        <v>678</v>
      </c>
      <c r="I151" t="s">
        <v>678</v>
      </c>
      <c r="J151" t="s">
        <v>678</v>
      </c>
      <c r="K151" t="s">
        <v>678</v>
      </c>
      <c r="L151" t="s">
        <v>678</v>
      </c>
      <c r="M151" t="s">
        <v>801</v>
      </c>
      <c r="N151" t="b">
        <v>0</v>
      </c>
    </row>
    <row r="152" spans="1:14">
      <c r="A152">
        <v>8</v>
      </c>
      <c r="B152">
        <v>25</v>
      </c>
      <c r="C152" t="s">
        <v>678</v>
      </c>
      <c r="D152" t="s">
        <v>754</v>
      </c>
      <c r="E152" t="s">
        <v>678</v>
      </c>
      <c r="F152">
        <v>0</v>
      </c>
      <c r="G152" t="s">
        <v>678</v>
      </c>
      <c r="H152" t="s">
        <v>678</v>
      </c>
      <c r="I152" t="s">
        <v>678</v>
      </c>
      <c r="J152" t="s">
        <v>678</v>
      </c>
      <c r="K152" t="s">
        <v>678</v>
      </c>
      <c r="L152" t="s">
        <v>678</v>
      </c>
      <c r="M152" t="s">
        <v>802</v>
      </c>
      <c r="N152" t="b">
        <v>0</v>
      </c>
    </row>
    <row r="153" spans="1:14">
      <c r="A153">
        <v>8</v>
      </c>
      <c r="B153">
        <v>26</v>
      </c>
      <c r="C153" t="s">
        <v>678</v>
      </c>
      <c r="D153" t="s">
        <v>754</v>
      </c>
      <c r="E153" t="s">
        <v>678</v>
      </c>
      <c r="F153">
        <v>0</v>
      </c>
      <c r="G153" t="s">
        <v>678</v>
      </c>
      <c r="H153" t="s">
        <v>678</v>
      </c>
      <c r="I153" t="s">
        <v>678</v>
      </c>
      <c r="J153" t="s">
        <v>678</v>
      </c>
      <c r="K153" t="s">
        <v>678</v>
      </c>
      <c r="L153" t="s">
        <v>678</v>
      </c>
      <c r="M153" t="s">
        <v>803</v>
      </c>
      <c r="N153" t="b">
        <v>0</v>
      </c>
    </row>
    <row r="154" spans="1:14">
      <c r="A154">
        <v>9</v>
      </c>
      <c r="B154">
        <v>0</v>
      </c>
      <c r="C154" t="s">
        <v>181</v>
      </c>
      <c r="D154" t="s">
        <v>737</v>
      </c>
      <c r="E154" t="s">
        <v>90</v>
      </c>
      <c r="F154">
        <v>60</v>
      </c>
      <c r="G154" t="s">
        <v>678</v>
      </c>
      <c r="H154" t="s">
        <v>678</v>
      </c>
      <c r="I154" t="s">
        <v>90</v>
      </c>
      <c r="J154" t="s">
        <v>678</v>
      </c>
      <c r="K154" t="s">
        <v>678</v>
      </c>
      <c r="L154" t="s">
        <v>678</v>
      </c>
      <c r="M154" t="s">
        <v>804</v>
      </c>
      <c r="N154" t="b">
        <v>0</v>
      </c>
    </row>
    <row r="155" spans="1:14">
      <c r="A155">
        <v>9</v>
      </c>
      <c r="B155">
        <v>1</v>
      </c>
      <c r="C155" t="s">
        <v>182</v>
      </c>
      <c r="D155" t="s">
        <v>737</v>
      </c>
      <c r="E155" t="s">
        <v>555</v>
      </c>
      <c r="F155">
        <v>30</v>
      </c>
      <c r="G155" t="s">
        <v>678</v>
      </c>
      <c r="H155" t="s">
        <v>558</v>
      </c>
      <c r="I155" t="s">
        <v>519</v>
      </c>
      <c r="J155" t="s">
        <v>678</v>
      </c>
      <c r="K155" t="s">
        <v>805</v>
      </c>
      <c r="L155" t="s">
        <v>806</v>
      </c>
      <c r="M155" t="s">
        <v>807</v>
      </c>
      <c r="N155" t="b">
        <v>0</v>
      </c>
    </row>
    <row r="156" spans="1:14">
      <c r="A156">
        <v>9</v>
      </c>
      <c r="B156">
        <v>2</v>
      </c>
      <c r="C156" t="s">
        <v>183</v>
      </c>
      <c r="D156" t="s">
        <v>737</v>
      </c>
      <c r="E156" t="s">
        <v>555</v>
      </c>
      <c r="F156">
        <v>30</v>
      </c>
      <c r="G156" t="s">
        <v>678</v>
      </c>
      <c r="H156" t="s">
        <v>568</v>
      </c>
      <c r="I156" t="s">
        <v>497</v>
      </c>
      <c r="J156" t="s">
        <v>678</v>
      </c>
      <c r="K156" t="s">
        <v>808</v>
      </c>
      <c r="L156" t="s">
        <v>809</v>
      </c>
      <c r="M156" t="s">
        <v>810</v>
      </c>
      <c r="N156" t="b">
        <v>0</v>
      </c>
    </row>
    <row r="157" spans="1:14">
      <c r="A157">
        <v>9</v>
      </c>
      <c r="B157">
        <v>3</v>
      </c>
      <c r="C157" t="s">
        <v>184</v>
      </c>
      <c r="D157" t="s">
        <v>737</v>
      </c>
      <c r="E157" t="s">
        <v>555</v>
      </c>
      <c r="F157">
        <v>40</v>
      </c>
      <c r="G157" t="s">
        <v>678</v>
      </c>
      <c r="H157" t="s">
        <v>589</v>
      </c>
      <c r="I157" t="s">
        <v>377</v>
      </c>
      <c r="J157" t="s">
        <v>678</v>
      </c>
      <c r="K157" t="s">
        <v>811</v>
      </c>
      <c r="L157" t="s">
        <v>812</v>
      </c>
      <c r="M157" t="s">
        <v>813</v>
      </c>
      <c r="N157" t="b">
        <v>0</v>
      </c>
    </row>
    <row r="158" spans="1:14">
      <c r="A158">
        <v>9</v>
      </c>
      <c r="B158">
        <v>4</v>
      </c>
      <c r="C158" t="s">
        <v>185</v>
      </c>
      <c r="D158" t="s">
        <v>737</v>
      </c>
      <c r="E158" t="s">
        <v>556</v>
      </c>
      <c r="F158">
        <v>40</v>
      </c>
      <c r="G158" t="s">
        <v>678</v>
      </c>
      <c r="H158" t="s">
        <v>591</v>
      </c>
      <c r="I158" t="s">
        <v>384</v>
      </c>
      <c r="J158" t="s">
        <v>678</v>
      </c>
      <c r="K158" t="s">
        <v>814</v>
      </c>
      <c r="L158" t="s">
        <v>815</v>
      </c>
      <c r="M158" t="s">
        <v>816</v>
      </c>
      <c r="N158" t="b">
        <v>0</v>
      </c>
    </row>
    <row r="159" spans="1:14">
      <c r="A159">
        <v>9</v>
      </c>
      <c r="B159">
        <v>5</v>
      </c>
      <c r="C159" t="s">
        <v>186</v>
      </c>
      <c r="D159" t="s">
        <v>737</v>
      </c>
      <c r="E159" t="s">
        <v>104</v>
      </c>
      <c r="F159">
        <v>40</v>
      </c>
      <c r="G159" t="s">
        <v>678</v>
      </c>
      <c r="H159" t="s">
        <v>678</v>
      </c>
      <c r="I159" t="s">
        <v>104</v>
      </c>
      <c r="J159" t="s">
        <v>678</v>
      </c>
      <c r="K159" t="s">
        <v>678</v>
      </c>
      <c r="L159" t="s">
        <v>678</v>
      </c>
      <c r="M159" t="s">
        <v>817</v>
      </c>
      <c r="N159" t="b">
        <v>0</v>
      </c>
    </row>
    <row r="160" spans="1:14">
      <c r="A160">
        <v>9</v>
      </c>
      <c r="B160">
        <v>6</v>
      </c>
      <c r="C160" t="s">
        <v>678</v>
      </c>
      <c r="D160" t="s">
        <v>737</v>
      </c>
      <c r="E160" t="s">
        <v>678</v>
      </c>
      <c r="F160">
        <v>0</v>
      </c>
      <c r="G160" t="s">
        <v>678</v>
      </c>
      <c r="H160" t="s">
        <v>678</v>
      </c>
      <c r="I160" t="s">
        <v>678</v>
      </c>
      <c r="J160" t="s">
        <v>678</v>
      </c>
      <c r="K160" t="s">
        <v>678</v>
      </c>
      <c r="L160" t="s">
        <v>678</v>
      </c>
      <c r="M160" t="s">
        <v>818</v>
      </c>
      <c r="N160" t="b">
        <v>0</v>
      </c>
    </row>
    <row r="161" spans="1:14">
      <c r="A161">
        <v>9</v>
      </c>
      <c r="B161">
        <v>7</v>
      </c>
      <c r="C161" t="s">
        <v>678</v>
      </c>
      <c r="D161" t="s">
        <v>737</v>
      </c>
      <c r="E161" t="s">
        <v>678</v>
      </c>
      <c r="F161">
        <v>0</v>
      </c>
      <c r="G161" t="s">
        <v>678</v>
      </c>
      <c r="H161" t="s">
        <v>678</v>
      </c>
      <c r="I161" t="s">
        <v>678</v>
      </c>
      <c r="J161" t="s">
        <v>678</v>
      </c>
      <c r="K161" t="s">
        <v>678</v>
      </c>
      <c r="L161" t="s">
        <v>678</v>
      </c>
      <c r="M161" t="s">
        <v>819</v>
      </c>
      <c r="N161" t="b">
        <v>0</v>
      </c>
    </row>
    <row r="162" spans="1:14">
      <c r="A162">
        <v>9</v>
      </c>
      <c r="B162">
        <v>8</v>
      </c>
      <c r="C162" t="s">
        <v>678</v>
      </c>
      <c r="D162" t="s">
        <v>737</v>
      </c>
      <c r="E162" t="s">
        <v>678</v>
      </c>
      <c r="F162">
        <v>0</v>
      </c>
      <c r="G162" t="s">
        <v>678</v>
      </c>
      <c r="H162" t="s">
        <v>678</v>
      </c>
      <c r="I162" t="s">
        <v>678</v>
      </c>
      <c r="J162" t="s">
        <v>678</v>
      </c>
      <c r="K162" t="s">
        <v>678</v>
      </c>
      <c r="L162" t="s">
        <v>678</v>
      </c>
      <c r="M162" t="s">
        <v>820</v>
      </c>
      <c r="N162" t="b">
        <v>0</v>
      </c>
    </row>
    <row r="163" spans="1:14">
      <c r="A163">
        <v>9</v>
      </c>
      <c r="B163">
        <v>9</v>
      </c>
      <c r="C163" t="s">
        <v>678</v>
      </c>
      <c r="D163" t="s">
        <v>737</v>
      </c>
      <c r="E163" t="s">
        <v>678</v>
      </c>
      <c r="F163">
        <v>0</v>
      </c>
      <c r="G163" t="s">
        <v>678</v>
      </c>
      <c r="H163" t="s">
        <v>678</v>
      </c>
      <c r="I163" t="s">
        <v>678</v>
      </c>
      <c r="J163" t="s">
        <v>678</v>
      </c>
      <c r="K163" t="s">
        <v>678</v>
      </c>
      <c r="L163" t="s">
        <v>678</v>
      </c>
      <c r="M163" t="s">
        <v>821</v>
      </c>
      <c r="N163" t="b">
        <v>0</v>
      </c>
    </row>
    <row r="164" spans="1:14">
      <c r="A164">
        <v>9</v>
      </c>
      <c r="B164">
        <v>10</v>
      </c>
      <c r="C164" t="s">
        <v>678</v>
      </c>
      <c r="D164" t="s">
        <v>737</v>
      </c>
      <c r="E164" t="s">
        <v>678</v>
      </c>
      <c r="F164">
        <v>0</v>
      </c>
      <c r="G164" t="s">
        <v>678</v>
      </c>
      <c r="H164" t="s">
        <v>678</v>
      </c>
      <c r="I164" t="s">
        <v>678</v>
      </c>
      <c r="J164" t="s">
        <v>678</v>
      </c>
      <c r="K164" t="s">
        <v>678</v>
      </c>
      <c r="L164" t="s">
        <v>678</v>
      </c>
      <c r="M164" t="s">
        <v>822</v>
      </c>
      <c r="N164" t="b">
        <v>0</v>
      </c>
    </row>
    <row r="165" spans="1:14">
      <c r="A165">
        <v>9</v>
      </c>
      <c r="B165">
        <v>11</v>
      </c>
      <c r="C165" t="s">
        <v>678</v>
      </c>
      <c r="D165" t="s">
        <v>737</v>
      </c>
      <c r="E165" t="s">
        <v>678</v>
      </c>
      <c r="F165">
        <v>0</v>
      </c>
      <c r="G165" t="s">
        <v>678</v>
      </c>
      <c r="H165" t="s">
        <v>678</v>
      </c>
      <c r="I165" t="s">
        <v>678</v>
      </c>
      <c r="J165" t="s">
        <v>678</v>
      </c>
      <c r="K165" t="s">
        <v>678</v>
      </c>
      <c r="L165" t="s">
        <v>678</v>
      </c>
      <c r="M165" t="s">
        <v>823</v>
      </c>
      <c r="N165" t="b">
        <v>0</v>
      </c>
    </row>
    <row r="166" spans="1:14">
      <c r="A166">
        <v>9</v>
      </c>
      <c r="B166">
        <v>12</v>
      </c>
      <c r="C166" t="s">
        <v>678</v>
      </c>
      <c r="D166" t="s">
        <v>737</v>
      </c>
      <c r="E166" t="s">
        <v>678</v>
      </c>
      <c r="F166">
        <v>0</v>
      </c>
      <c r="G166" t="s">
        <v>678</v>
      </c>
      <c r="H166" t="s">
        <v>678</v>
      </c>
      <c r="I166" t="s">
        <v>678</v>
      </c>
      <c r="J166" t="s">
        <v>678</v>
      </c>
      <c r="K166" t="s">
        <v>678</v>
      </c>
      <c r="L166" t="s">
        <v>678</v>
      </c>
      <c r="M166" t="s">
        <v>824</v>
      </c>
      <c r="N166" t="b">
        <v>0</v>
      </c>
    </row>
    <row r="167" spans="1:14">
      <c r="A167">
        <v>9</v>
      </c>
      <c r="B167">
        <v>13</v>
      </c>
      <c r="C167" t="s">
        <v>678</v>
      </c>
      <c r="D167" t="s">
        <v>737</v>
      </c>
      <c r="E167" t="s">
        <v>678</v>
      </c>
      <c r="F167">
        <v>0</v>
      </c>
      <c r="G167" t="s">
        <v>678</v>
      </c>
      <c r="H167" t="s">
        <v>678</v>
      </c>
      <c r="I167" t="s">
        <v>678</v>
      </c>
      <c r="J167" t="s">
        <v>678</v>
      </c>
      <c r="K167" t="s">
        <v>678</v>
      </c>
      <c r="L167" t="s">
        <v>678</v>
      </c>
      <c r="M167" t="s">
        <v>825</v>
      </c>
      <c r="N167" t="b">
        <v>0</v>
      </c>
    </row>
    <row r="168" spans="1:14">
      <c r="A168">
        <v>9</v>
      </c>
      <c r="B168">
        <v>14</v>
      </c>
      <c r="C168" t="s">
        <v>678</v>
      </c>
      <c r="D168" t="s">
        <v>737</v>
      </c>
      <c r="E168" t="s">
        <v>678</v>
      </c>
      <c r="F168">
        <v>0</v>
      </c>
      <c r="G168" t="s">
        <v>678</v>
      </c>
      <c r="H168" t="s">
        <v>678</v>
      </c>
      <c r="I168" t="s">
        <v>678</v>
      </c>
      <c r="J168" t="s">
        <v>678</v>
      </c>
      <c r="K168" t="s">
        <v>678</v>
      </c>
      <c r="L168" t="s">
        <v>678</v>
      </c>
      <c r="M168" t="s">
        <v>826</v>
      </c>
      <c r="N168" t="b">
        <v>0</v>
      </c>
    </row>
    <row r="169" spans="1:14">
      <c r="A169">
        <v>9</v>
      </c>
      <c r="B169">
        <v>15</v>
      </c>
      <c r="C169" t="s">
        <v>678</v>
      </c>
      <c r="D169" t="s">
        <v>737</v>
      </c>
      <c r="E169" t="s">
        <v>678</v>
      </c>
      <c r="F169">
        <v>0</v>
      </c>
      <c r="G169" t="s">
        <v>678</v>
      </c>
      <c r="H169" t="s">
        <v>678</v>
      </c>
      <c r="I169" t="s">
        <v>678</v>
      </c>
      <c r="J169" t="s">
        <v>678</v>
      </c>
      <c r="K169" t="s">
        <v>678</v>
      </c>
      <c r="L169" t="s">
        <v>678</v>
      </c>
      <c r="M169" t="s">
        <v>827</v>
      </c>
      <c r="N169" t="b">
        <v>0</v>
      </c>
    </row>
    <row r="170" spans="1:14">
      <c r="A170">
        <v>9</v>
      </c>
      <c r="B170">
        <v>16</v>
      </c>
      <c r="C170" t="s">
        <v>187</v>
      </c>
      <c r="D170" t="s">
        <v>754</v>
      </c>
      <c r="E170" t="s">
        <v>63</v>
      </c>
      <c r="F170">
        <v>50</v>
      </c>
      <c r="G170" t="s">
        <v>678</v>
      </c>
      <c r="H170" t="s">
        <v>678</v>
      </c>
      <c r="I170" t="s">
        <v>63</v>
      </c>
      <c r="J170" t="s">
        <v>678</v>
      </c>
      <c r="K170" t="s">
        <v>678</v>
      </c>
      <c r="L170" t="s">
        <v>678</v>
      </c>
      <c r="M170" t="s">
        <v>828</v>
      </c>
      <c r="N170" t="b">
        <v>0</v>
      </c>
    </row>
    <row r="171" spans="1:14">
      <c r="A171">
        <v>9</v>
      </c>
      <c r="B171">
        <v>17</v>
      </c>
      <c r="C171" t="s">
        <v>188</v>
      </c>
      <c r="D171" t="s">
        <v>754</v>
      </c>
      <c r="E171" t="s">
        <v>85</v>
      </c>
      <c r="F171">
        <v>50</v>
      </c>
      <c r="G171" t="s">
        <v>678</v>
      </c>
      <c r="H171" t="s">
        <v>678</v>
      </c>
      <c r="I171" t="s">
        <v>85</v>
      </c>
      <c r="J171" t="s">
        <v>678</v>
      </c>
      <c r="K171" t="s">
        <v>678</v>
      </c>
      <c r="L171" t="s">
        <v>678</v>
      </c>
      <c r="M171" t="s">
        <v>829</v>
      </c>
      <c r="N171" t="b">
        <v>0</v>
      </c>
    </row>
    <row r="172" spans="1:14">
      <c r="A172">
        <v>9</v>
      </c>
      <c r="B172">
        <v>18</v>
      </c>
      <c r="C172" t="s">
        <v>189</v>
      </c>
      <c r="D172" t="s">
        <v>754</v>
      </c>
      <c r="E172" t="s">
        <v>555</v>
      </c>
      <c r="F172">
        <v>40</v>
      </c>
      <c r="G172" t="s">
        <v>773</v>
      </c>
      <c r="H172" t="s">
        <v>678</v>
      </c>
      <c r="I172" t="s">
        <v>678</v>
      </c>
      <c r="J172" t="s">
        <v>830</v>
      </c>
      <c r="K172" t="s">
        <v>831</v>
      </c>
      <c r="L172" t="s">
        <v>832</v>
      </c>
      <c r="M172" t="s">
        <v>833</v>
      </c>
      <c r="N172" t="b">
        <v>0</v>
      </c>
    </row>
    <row r="173" spans="1:14">
      <c r="A173">
        <v>9</v>
      </c>
      <c r="B173">
        <v>19</v>
      </c>
      <c r="C173" t="s">
        <v>169</v>
      </c>
      <c r="D173" t="s">
        <v>754</v>
      </c>
      <c r="E173" t="s">
        <v>308</v>
      </c>
      <c r="F173">
        <v>40</v>
      </c>
      <c r="G173" t="s">
        <v>773</v>
      </c>
      <c r="H173" t="s">
        <v>678</v>
      </c>
      <c r="I173" t="s">
        <v>678</v>
      </c>
      <c r="J173" t="s">
        <v>774</v>
      </c>
      <c r="K173" t="s">
        <v>775</v>
      </c>
      <c r="L173" t="s">
        <v>776</v>
      </c>
      <c r="M173" t="s">
        <v>834</v>
      </c>
      <c r="N173" t="b">
        <v>0</v>
      </c>
    </row>
    <row r="174" spans="1:14">
      <c r="A174">
        <v>9</v>
      </c>
      <c r="B174">
        <v>20</v>
      </c>
      <c r="C174" t="s">
        <v>190</v>
      </c>
      <c r="D174" t="s">
        <v>754</v>
      </c>
      <c r="E174" t="s">
        <v>116</v>
      </c>
      <c r="F174">
        <v>50</v>
      </c>
      <c r="G174" t="s">
        <v>678</v>
      </c>
      <c r="H174" t="s">
        <v>678</v>
      </c>
      <c r="I174" t="s">
        <v>116</v>
      </c>
      <c r="J174" t="s">
        <v>678</v>
      </c>
      <c r="K174" t="s">
        <v>678</v>
      </c>
      <c r="L174" t="s">
        <v>678</v>
      </c>
      <c r="M174" t="s">
        <v>835</v>
      </c>
      <c r="N174" t="b">
        <v>0</v>
      </c>
    </row>
    <row r="175" spans="1:14">
      <c r="A175">
        <v>9</v>
      </c>
      <c r="B175">
        <v>21</v>
      </c>
      <c r="C175" t="s">
        <v>191</v>
      </c>
      <c r="D175" t="s">
        <v>754</v>
      </c>
      <c r="E175" t="s">
        <v>64</v>
      </c>
      <c r="F175">
        <v>40</v>
      </c>
      <c r="G175" t="s">
        <v>678</v>
      </c>
      <c r="H175" t="s">
        <v>678</v>
      </c>
      <c r="I175" t="s">
        <v>64</v>
      </c>
      <c r="J175" t="s">
        <v>678</v>
      </c>
      <c r="K175" t="s">
        <v>678</v>
      </c>
      <c r="L175" t="s">
        <v>678</v>
      </c>
      <c r="M175" t="s">
        <v>836</v>
      </c>
      <c r="N175" t="b">
        <v>0</v>
      </c>
    </row>
    <row r="176" spans="1:14">
      <c r="A176">
        <v>9</v>
      </c>
      <c r="B176">
        <v>22</v>
      </c>
      <c r="C176" t="s">
        <v>192</v>
      </c>
      <c r="D176" t="s">
        <v>754</v>
      </c>
      <c r="E176" t="s">
        <v>556</v>
      </c>
      <c r="F176">
        <v>40</v>
      </c>
      <c r="G176" t="s">
        <v>773</v>
      </c>
      <c r="H176" t="s">
        <v>678</v>
      </c>
      <c r="I176" t="s">
        <v>678</v>
      </c>
      <c r="J176" t="s">
        <v>837</v>
      </c>
      <c r="K176" t="s">
        <v>838</v>
      </c>
      <c r="L176" t="s">
        <v>839</v>
      </c>
      <c r="M176" t="s">
        <v>840</v>
      </c>
      <c r="N176" t="b">
        <v>0</v>
      </c>
    </row>
    <row r="177" spans="1:14">
      <c r="A177">
        <v>9</v>
      </c>
      <c r="B177">
        <v>23</v>
      </c>
      <c r="C177" t="s">
        <v>678</v>
      </c>
      <c r="D177" t="s">
        <v>754</v>
      </c>
      <c r="E177" t="s">
        <v>678</v>
      </c>
      <c r="F177">
        <v>0</v>
      </c>
      <c r="G177" t="s">
        <v>678</v>
      </c>
      <c r="H177" t="s">
        <v>678</v>
      </c>
      <c r="I177" t="s">
        <v>678</v>
      </c>
      <c r="J177" t="s">
        <v>678</v>
      </c>
      <c r="K177" t="s">
        <v>678</v>
      </c>
      <c r="L177" t="s">
        <v>678</v>
      </c>
      <c r="M177" t="s">
        <v>841</v>
      </c>
      <c r="N177" t="b">
        <v>0</v>
      </c>
    </row>
    <row r="178" spans="1:14">
      <c r="A178">
        <v>9</v>
      </c>
      <c r="B178">
        <v>24</v>
      </c>
      <c r="C178" t="s">
        <v>678</v>
      </c>
      <c r="D178" t="s">
        <v>754</v>
      </c>
      <c r="E178" t="s">
        <v>678</v>
      </c>
      <c r="F178">
        <v>0</v>
      </c>
      <c r="G178" t="s">
        <v>678</v>
      </c>
      <c r="H178" t="s">
        <v>678</v>
      </c>
      <c r="I178" t="s">
        <v>678</v>
      </c>
      <c r="J178" t="s">
        <v>678</v>
      </c>
      <c r="K178" t="s">
        <v>678</v>
      </c>
      <c r="L178" t="s">
        <v>678</v>
      </c>
      <c r="M178" t="s">
        <v>842</v>
      </c>
      <c r="N178" t="b">
        <v>0</v>
      </c>
    </row>
    <row r="179" spans="1:14">
      <c r="A179">
        <v>9</v>
      </c>
      <c r="B179">
        <v>25</v>
      </c>
      <c r="C179" t="s">
        <v>678</v>
      </c>
      <c r="D179" t="s">
        <v>754</v>
      </c>
      <c r="E179" t="s">
        <v>678</v>
      </c>
      <c r="F179">
        <v>0</v>
      </c>
      <c r="G179" t="s">
        <v>678</v>
      </c>
      <c r="H179" t="s">
        <v>678</v>
      </c>
      <c r="I179" t="s">
        <v>678</v>
      </c>
      <c r="J179" t="s">
        <v>678</v>
      </c>
      <c r="K179" t="s">
        <v>678</v>
      </c>
      <c r="L179" t="s">
        <v>678</v>
      </c>
      <c r="M179" t="s">
        <v>843</v>
      </c>
      <c r="N179" t="b">
        <v>0</v>
      </c>
    </row>
    <row r="180" spans="1:14">
      <c r="A180">
        <v>9</v>
      </c>
      <c r="B180">
        <v>26</v>
      </c>
      <c r="C180" t="s">
        <v>678</v>
      </c>
      <c r="D180" t="s">
        <v>754</v>
      </c>
      <c r="E180" t="s">
        <v>678</v>
      </c>
      <c r="F180">
        <v>0</v>
      </c>
      <c r="G180" t="s">
        <v>678</v>
      </c>
      <c r="H180" t="s">
        <v>678</v>
      </c>
      <c r="I180" t="s">
        <v>678</v>
      </c>
      <c r="J180" t="s">
        <v>678</v>
      </c>
      <c r="K180" t="s">
        <v>678</v>
      </c>
      <c r="L180" t="s">
        <v>678</v>
      </c>
      <c r="M180" t="s">
        <v>844</v>
      </c>
      <c r="N180" t="b">
        <v>0</v>
      </c>
    </row>
    <row r="181" spans="1:14">
      <c r="A181">
        <v>10</v>
      </c>
      <c r="B181">
        <v>0</v>
      </c>
      <c r="C181" t="s">
        <v>195</v>
      </c>
      <c r="D181" t="s">
        <v>737</v>
      </c>
      <c r="E181" t="s">
        <v>67</v>
      </c>
      <c r="F181">
        <v>50</v>
      </c>
      <c r="G181" t="s">
        <v>678</v>
      </c>
      <c r="H181" t="s">
        <v>678</v>
      </c>
      <c r="I181" t="s">
        <v>67</v>
      </c>
      <c r="J181" t="s">
        <v>678</v>
      </c>
      <c r="K181" t="s">
        <v>678</v>
      </c>
      <c r="L181" t="s">
        <v>678</v>
      </c>
      <c r="M181" t="s">
        <v>845</v>
      </c>
      <c r="N181" t="b">
        <v>0</v>
      </c>
    </row>
    <row r="182" spans="1:14">
      <c r="A182">
        <v>10</v>
      </c>
      <c r="B182">
        <v>1</v>
      </c>
      <c r="C182" t="s">
        <v>167</v>
      </c>
      <c r="D182" t="s">
        <v>737</v>
      </c>
      <c r="E182" t="s">
        <v>85</v>
      </c>
      <c r="F182">
        <v>40</v>
      </c>
      <c r="G182" t="s">
        <v>678</v>
      </c>
      <c r="H182" t="s">
        <v>678</v>
      </c>
      <c r="I182" t="s">
        <v>85</v>
      </c>
      <c r="J182" t="s">
        <v>678</v>
      </c>
      <c r="K182" t="s">
        <v>678</v>
      </c>
      <c r="L182" t="s">
        <v>678</v>
      </c>
      <c r="M182" t="s">
        <v>846</v>
      </c>
      <c r="N182" t="b">
        <v>0</v>
      </c>
    </row>
    <row r="183" spans="1:14">
      <c r="A183">
        <v>10</v>
      </c>
      <c r="B183">
        <v>2</v>
      </c>
      <c r="C183" t="s">
        <v>196</v>
      </c>
      <c r="D183" t="s">
        <v>737</v>
      </c>
      <c r="E183" t="s">
        <v>97</v>
      </c>
      <c r="F183">
        <v>50</v>
      </c>
      <c r="G183" t="s">
        <v>678</v>
      </c>
      <c r="H183" t="s">
        <v>678</v>
      </c>
      <c r="I183" t="s">
        <v>97</v>
      </c>
      <c r="J183" t="s">
        <v>678</v>
      </c>
      <c r="K183" t="s">
        <v>678</v>
      </c>
      <c r="L183" t="s">
        <v>678</v>
      </c>
      <c r="M183" t="s">
        <v>847</v>
      </c>
      <c r="N183" t="b">
        <v>0</v>
      </c>
    </row>
    <row r="184" spans="1:14">
      <c r="A184">
        <v>10</v>
      </c>
      <c r="B184">
        <v>3</v>
      </c>
      <c r="C184" t="s">
        <v>197</v>
      </c>
      <c r="D184" t="s">
        <v>737</v>
      </c>
      <c r="E184" t="s">
        <v>103</v>
      </c>
      <c r="F184">
        <v>50</v>
      </c>
      <c r="G184" t="s">
        <v>678</v>
      </c>
      <c r="H184" t="s">
        <v>678</v>
      </c>
      <c r="I184" t="s">
        <v>103</v>
      </c>
      <c r="J184" t="s">
        <v>678</v>
      </c>
      <c r="K184" t="s">
        <v>678</v>
      </c>
      <c r="L184" t="s">
        <v>678</v>
      </c>
      <c r="M184" t="s">
        <v>848</v>
      </c>
      <c r="N184" t="b">
        <v>0</v>
      </c>
    </row>
    <row r="185" spans="1:14">
      <c r="A185">
        <v>10</v>
      </c>
      <c r="B185">
        <v>4</v>
      </c>
      <c r="C185" t="s">
        <v>198</v>
      </c>
      <c r="D185" t="s">
        <v>737</v>
      </c>
      <c r="E185" t="s">
        <v>105</v>
      </c>
      <c r="F185">
        <v>50</v>
      </c>
      <c r="G185" t="s">
        <v>678</v>
      </c>
      <c r="H185" t="s">
        <v>678</v>
      </c>
      <c r="I185" t="s">
        <v>105</v>
      </c>
      <c r="J185" t="s">
        <v>678</v>
      </c>
      <c r="K185" t="s">
        <v>678</v>
      </c>
      <c r="L185" t="s">
        <v>678</v>
      </c>
      <c r="M185" t="s">
        <v>849</v>
      </c>
      <c r="N185" t="b">
        <v>0</v>
      </c>
    </row>
    <row r="186" spans="1:14">
      <c r="A186">
        <v>10</v>
      </c>
      <c r="B186">
        <v>5</v>
      </c>
      <c r="C186" t="s">
        <v>199</v>
      </c>
      <c r="D186" t="s">
        <v>737</v>
      </c>
      <c r="E186" t="s">
        <v>113</v>
      </c>
      <c r="F186">
        <v>30</v>
      </c>
      <c r="G186" t="s">
        <v>678</v>
      </c>
      <c r="H186" t="s">
        <v>678</v>
      </c>
      <c r="I186" t="s">
        <v>113</v>
      </c>
      <c r="J186" t="s">
        <v>678</v>
      </c>
      <c r="K186" t="s">
        <v>678</v>
      </c>
      <c r="L186" t="s">
        <v>678</v>
      </c>
      <c r="M186" t="s">
        <v>850</v>
      </c>
      <c r="N186" t="b">
        <v>0</v>
      </c>
    </row>
    <row r="187" spans="1:14">
      <c r="A187">
        <v>10</v>
      </c>
      <c r="B187">
        <v>6</v>
      </c>
      <c r="C187" t="s">
        <v>200</v>
      </c>
      <c r="D187" t="s">
        <v>737</v>
      </c>
      <c r="E187" t="s">
        <v>119</v>
      </c>
      <c r="F187">
        <v>60</v>
      </c>
      <c r="G187" t="s">
        <v>678</v>
      </c>
      <c r="H187" t="s">
        <v>678</v>
      </c>
      <c r="I187" t="s">
        <v>119</v>
      </c>
      <c r="J187" t="s">
        <v>678</v>
      </c>
      <c r="K187" t="s">
        <v>678</v>
      </c>
      <c r="L187" t="s">
        <v>678</v>
      </c>
      <c r="M187" t="s">
        <v>851</v>
      </c>
      <c r="N187" t="b">
        <v>0</v>
      </c>
    </row>
    <row r="188" spans="1:14">
      <c r="A188">
        <v>10</v>
      </c>
      <c r="B188">
        <v>7</v>
      </c>
      <c r="C188" t="s">
        <v>201</v>
      </c>
      <c r="D188" t="s">
        <v>737</v>
      </c>
      <c r="E188" t="s">
        <v>64</v>
      </c>
      <c r="F188">
        <v>30</v>
      </c>
      <c r="G188" t="s">
        <v>678</v>
      </c>
      <c r="H188" t="s">
        <v>678</v>
      </c>
      <c r="I188" t="s">
        <v>64</v>
      </c>
      <c r="J188" t="s">
        <v>678</v>
      </c>
      <c r="K188" t="s">
        <v>678</v>
      </c>
      <c r="L188" t="s">
        <v>678</v>
      </c>
      <c r="M188" t="s">
        <v>852</v>
      </c>
      <c r="N188" t="b">
        <v>0</v>
      </c>
    </row>
    <row r="189" spans="1:14">
      <c r="A189">
        <v>10</v>
      </c>
      <c r="B189">
        <v>8</v>
      </c>
      <c r="C189" t="s">
        <v>202</v>
      </c>
      <c r="D189" t="s">
        <v>737</v>
      </c>
      <c r="E189" t="s">
        <v>80</v>
      </c>
      <c r="F189">
        <v>50</v>
      </c>
      <c r="G189" t="s">
        <v>678</v>
      </c>
      <c r="H189" t="s">
        <v>678</v>
      </c>
      <c r="I189" t="s">
        <v>80</v>
      </c>
      <c r="J189" t="s">
        <v>678</v>
      </c>
      <c r="K189" t="s">
        <v>678</v>
      </c>
      <c r="L189" t="s">
        <v>678</v>
      </c>
      <c r="M189" t="s">
        <v>853</v>
      </c>
      <c r="N189" t="b">
        <v>0</v>
      </c>
    </row>
    <row r="190" spans="1:14">
      <c r="A190">
        <v>10</v>
      </c>
      <c r="B190">
        <v>9</v>
      </c>
      <c r="C190" t="s">
        <v>203</v>
      </c>
      <c r="D190" t="s">
        <v>737</v>
      </c>
      <c r="E190" t="s">
        <v>102</v>
      </c>
      <c r="F190">
        <v>50</v>
      </c>
      <c r="G190" t="s">
        <v>678</v>
      </c>
      <c r="H190" t="s">
        <v>678</v>
      </c>
      <c r="I190" t="s">
        <v>102</v>
      </c>
      <c r="J190" t="s">
        <v>678</v>
      </c>
      <c r="K190" t="s">
        <v>678</v>
      </c>
      <c r="L190" t="s">
        <v>678</v>
      </c>
      <c r="M190" t="s">
        <v>854</v>
      </c>
      <c r="N190" t="b">
        <v>0</v>
      </c>
    </row>
    <row r="191" spans="1:14">
      <c r="A191">
        <v>10</v>
      </c>
      <c r="B191">
        <v>10</v>
      </c>
      <c r="C191" t="s">
        <v>204</v>
      </c>
      <c r="D191" t="s">
        <v>737</v>
      </c>
      <c r="E191" t="s">
        <v>112</v>
      </c>
      <c r="F191">
        <v>60</v>
      </c>
      <c r="G191" t="s">
        <v>678</v>
      </c>
      <c r="H191" t="s">
        <v>678</v>
      </c>
      <c r="I191" t="s">
        <v>112</v>
      </c>
      <c r="J191" t="s">
        <v>678</v>
      </c>
      <c r="K191" t="s">
        <v>678</v>
      </c>
      <c r="L191" t="s">
        <v>678</v>
      </c>
      <c r="M191" t="s">
        <v>855</v>
      </c>
      <c r="N191" t="b">
        <v>0</v>
      </c>
    </row>
    <row r="192" spans="1:14">
      <c r="A192">
        <v>10</v>
      </c>
      <c r="B192">
        <v>11</v>
      </c>
      <c r="C192" t="s">
        <v>678</v>
      </c>
      <c r="D192" t="s">
        <v>737</v>
      </c>
      <c r="E192" t="s">
        <v>678</v>
      </c>
      <c r="F192">
        <v>0</v>
      </c>
      <c r="G192" t="s">
        <v>678</v>
      </c>
      <c r="H192" t="s">
        <v>678</v>
      </c>
      <c r="I192" t="s">
        <v>678</v>
      </c>
      <c r="J192" t="s">
        <v>678</v>
      </c>
      <c r="K192" t="s">
        <v>678</v>
      </c>
      <c r="L192" t="s">
        <v>678</v>
      </c>
      <c r="M192" t="s">
        <v>856</v>
      </c>
      <c r="N192" t="b">
        <v>0</v>
      </c>
    </row>
    <row r="193" spans="1:14">
      <c r="A193">
        <v>10</v>
      </c>
      <c r="B193">
        <v>12</v>
      </c>
      <c r="C193" t="s">
        <v>678</v>
      </c>
      <c r="D193" t="s">
        <v>737</v>
      </c>
      <c r="E193" t="s">
        <v>678</v>
      </c>
      <c r="F193">
        <v>0</v>
      </c>
      <c r="G193" t="s">
        <v>678</v>
      </c>
      <c r="H193" t="s">
        <v>678</v>
      </c>
      <c r="I193" t="s">
        <v>678</v>
      </c>
      <c r="J193" t="s">
        <v>678</v>
      </c>
      <c r="K193" t="s">
        <v>678</v>
      </c>
      <c r="L193" t="s">
        <v>678</v>
      </c>
      <c r="M193" t="s">
        <v>857</v>
      </c>
      <c r="N193" t="b">
        <v>0</v>
      </c>
    </row>
    <row r="194" spans="1:14">
      <c r="A194">
        <v>10</v>
      </c>
      <c r="B194">
        <v>13</v>
      </c>
      <c r="C194" t="s">
        <v>678</v>
      </c>
      <c r="D194" t="s">
        <v>737</v>
      </c>
      <c r="E194" t="s">
        <v>678</v>
      </c>
      <c r="F194">
        <v>0</v>
      </c>
      <c r="G194" t="s">
        <v>678</v>
      </c>
      <c r="H194" t="s">
        <v>678</v>
      </c>
      <c r="I194" t="s">
        <v>678</v>
      </c>
      <c r="J194" t="s">
        <v>678</v>
      </c>
      <c r="K194" t="s">
        <v>678</v>
      </c>
      <c r="L194" t="s">
        <v>678</v>
      </c>
      <c r="M194" t="s">
        <v>858</v>
      </c>
      <c r="N194" t="b">
        <v>0</v>
      </c>
    </row>
    <row r="195" spans="1:14">
      <c r="A195">
        <v>10</v>
      </c>
      <c r="B195">
        <v>14</v>
      </c>
      <c r="C195" t="s">
        <v>678</v>
      </c>
      <c r="D195" t="s">
        <v>737</v>
      </c>
      <c r="E195" t="s">
        <v>678</v>
      </c>
      <c r="F195">
        <v>0</v>
      </c>
      <c r="G195" t="s">
        <v>678</v>
      </c>
      <c r="H195" t="s">
        <v>678</v>
      </c>
      <c r="I195" t="s">
        <v>678</v>
      </c>
      <c r="J195" t="s">
        <v>678</v>
      </c>
      <c r="K195" t="s">
        <v>678</v>
      </c>
      <c r="L195" t="s">
        <v>678</v>
      </c>
      <c r="M195" t="s">
        <v>859</v>
      </c>
      <c r="N195" t="b">
        <v>0</v>
      </c>
    </row>
    <row r="196" spans="1:14">
      <c r="A196">
        <v>10</v>
      </c>
      <c r="B196">
        <v>15</v>
      </c>
      <c r="C196" t="s">
        <v>678</v>
      </c>
      <c r="D196" t="s">
        <v>737</v>
      </c>
      <c r="E196" t="s">
        <v>678</v>
      </c>
      <c r="F196">
        <v>0</v>
      </c>
      <c r="G196" t="s">
        <v>678</v>
      </c>
      <c r="H196" t="s">
        <v>678</v>
      </c>
      <c r="I196" t="s">
        <v>678</v>
      </c>
      <c r="J196" t="s">
        <v>678</v>
      </c>
      <c r="K196" t="s">
        <v>678</v>
      </c>
      <c r="L196" t="s">
        <v>678</v>
      </c>
      <c r="M196" t="s">
        <v>860</v>
      </c>
      <c r="N196" t="b">
        <v>0</v>
      </c>
    </row>
    <row r="197" spans="1:14">
      <c r="A197">
        <v>10</v>
      </c>
      <c r="B197">
        <v>16</v>
      </c>
      <c r="C197" t="s">
        <v>205</v>
      </c>
      <c r="D197" t="s">
        <v>754</v>
      </c>
      <c r="E197" t="s">
        <v>63</v>
      </c>
      <c r="F197">
        <v>60</v>
      </c>
      <c r="G197" t="s">
        <v>678</v>
      </c>
      <c r="H197" t="s">
        <v>678</v>
      </c>
      <c r="I197" t="s">
        <v>63</v>
      </c>
      <c r="J197" t="s">
        <v>678</v>
      </c>
      <c r="K197" t="s">
        <v>678</v>
      </c>
      <c r="L197" t="s">
        <v>678</v>
      </c>
      <c r="M197" t="s">
        <v>861</v>
      </c>
      <c r="N197" t="b">
        <v>0</v>
      </c>
    </row>
    <row r="198" spans="1:14">
      <c r="A198">
        <v>10</v>
      </c>
      <c r="B198">
        <v>17</v>
      </c>
      <c r="C198" t="s">
        <v>206</v>
      </c>
      <c r="D198" t="s">
        <v>754</v>
      </c>
      <c r="E198" t="s">
        <v>90</v>
      </c>
      <c r="F198">
        <v>50</v>
      </c>
      <c r="G198" t="s">
        <v>678</v>
      </c>
      <c r="H198" t="s">
        <v>678</v>
      </c>
      <c r="I198" t="s">
        <v>90</v>
      </c>
      <c r="J198" t="s">
        <v>678</v>
      </c>
      <c r="K198" t="s">
        <v>678</v>
      </c>
      <c r="L198" t="s">
        <v>678</v>
      </c>
      <c r="M198" t="s">
        <v>862</v>
      </c>
      <c r="N198" t="b">
        <v>0</v>
      </c>
    </row>
    <row r="199" spans="1:14">
      <c r="A199">
        <v>10</v>
      </c>
      <c r="B199">
        <v>18</v>
      </c>
      <c r="C199" t="s">
        <v>168</v>
      </c>
      <c r="D199" t="s">
        <v>754</v>
      </c>
      <c r="E199" t="s">
        <v>308</v>
      </c>
      <c r="F199">
        <v>50</v>
      </c>
      <c r="G199" t="s">
        <v>773</v>
      </c>
      <c r="H199" t="s">
        <v>678</v>
      </c>
      <c r="I199" t="s">
        <v>678</v>
      </c>
      <c r="J199" t="s">
        <v>774</v>
      </c>
      <c r="K199" t="s">
        <v>775</v>
      </c>
      <c r="L199" t="s">
        <v>776</v>
      </c>
      <c r="M199" t="s">
        <v>863</v>
      </c>
      <c r="N199" t="b">
        <v>0</v>
      </c>
    </row>
    <row r="200" spans="1:14">
      <c r="A200">
        <v>10</v>
      </c>
      <c r="B200">
        <v>19</v>
      </c>
      <c r="C200" t="s">
        <v>207</v>
      </c>
      <c r="D200" t="s">
        <v>754</v>
      </c>
      <c r="E200" t="s">
        <v>117</v>
      </c>
      <c r="F200">
        <v>50</v>
      </c>
      <c r="G200" t="s">
        <v>678</v>
      </c>
      <c r="H200" t="s">
        <v>678</v>
      </c>
      <c r="I200" t="s">
        <v>117</v>
      </c>
      <c r="J200" t="s">
        <v>678</v>
      </c>
      <c r="K200" t="s">
        <v>678</v>
      </c>
      <c r="L200" t="s">
        <v>678</v>
      </c>
      <c r="M200" t="s">
        <v>864</v>
      </c>
      <c r="N200" t="b">
        <v>0</v>
      </c>
    </row>
    <row r="201" spans="1:14">
      <c r="A201">
        <v>10</v>
      </c>
      <c r="B201">
        <v>20</v>
      </c>
      <c r="C201" t="s">
        <v>208</v>
      </c>
      <c r="D201" t="s">
        <v>754</v>
      </c>
      <c r="E201" t="s">
        <v>86</v>
      </c>
      <c r="F201">
        <v>50</v>
      </c>
      <c r="G201" t="s">
        <v>678</v>
      </c>
      <c r="H201" t="s">
        <v>678</v>
      </c>
      <c r="I201" t="s">
        <v>86</v>
      </c>
      <c r="J201" t="s">
        <v>678</v>
      </c>
      <c r="K201" t="s">
        <v>678</v>
      </c>
      <c r="L201" t="s">
        <v>678</v>
      </c>
      <c r="M201" t="s">
        <v>865</v>
      </c>
      <c r="N201" t="b">
        <v>0</v>
      </c>
    </row>
    <row r="202" spans="1:14">
      <c r="A202">
        <v>10</v>
      </c>
      <c r="B202">
        <v>21</v>
      </c>
      <c r="C202" t="s">
        <v>678</v>
      </c>
      <c r="D202" t="s">
        <v>754</v>
      </c>
      <c r="E202" t="s">
        <v>678</v>
      </c>
      <c r="F202">
        <v>0</v>
      </c>
      <c r="G202" t="s">
        <v>678</v>
      </c>
      <c r="H202" t="s">
        <v>678</v>
      </c>
      <c r="I202" t="s">
        <v>678</v>
      </c>
      <c r="J202" t="s">
        <v>678</v>
      </c>
      <c r="K202" t="s">
        <v>678</v>
      </c>
      <c r="L202" t="s">
        <v>678</v>
      </c>
      <c r="M202" t="s">
        <v>866</v>
      </c>
      <c r="N202" t="b">
        <v>0</v>
      </c>
    </row>
    <row r="203" spans="1:14">
      <c r="A203">
        <v>10</v>
      </c>
      <c r="B203">
        <v>22</v>
      </c>
      <c r="C203" t="s">
        <v>678</v>
      </c>
      <c r="D203" t="s">
        <v>754</v>
      </c>
      <c r="E203" t="s">
        <v>678</v>
      </c>
      <c r="F203">
        <v>0</v>
      </c>
      <c r="G203" t="s">
        <v>678</v>
      </c>
      <c r="H203" t="s">
        <v>678</v>
      </c>
      <c r="I203" t="s">
        <v>678</v>
      </c>
      <c r="J203" t="s">
        <v>678</v>
      </c>
      <c r="K203" t="s">
        <v>678</v>
      </c>
      <c r="L203" t="s">
        <v>678</v>
      </c>
      <c r="M203" t="s">
        <v>867</v>
      </c>
      <c r="N203" t="b">
        <v>0</v>
      </c>
    </row>
    <row r="204" spans="1:14">
      <c r="A204">
        <v>10</v>
      </c>
      <c r="B204">
        <v>23</v>
      </c>
      <c r="C204" t="s">
        <v>678</v>
      </c>
      <c r="D204" t="s">
        <v>754</v>
      </c>
      <c r="E204" t="s">
        <v>678</v>
      </c>
      <c r="F204">
        <v>0</v>
      </c>
      <c r="G204" t="s">
        <v>678</v>
      </c>
      <c r="H204" t="s">
        <v>678</v>
      </c>
      <c r="I204" t="s">
        <v>678</v>
      </c>
      <c r="J204" t="s">
        <v>678</v>
      </c>
      <c r="K204" t="s">
        <v>678</v>
      </c>
      <c r="L204" t="s">
        <v>678</v>
      </c>
      <c r="M204" t="s">
        <v>868</v>
      </c>
      <c r="N204" t="b">
        <v>0</v>
      </c>
    </row>
    <row r="205" spans="1:14">
      <c r="A205">
        <v>10</v>
      </c>
      <c r="B205">
        <v>24</v>
      </c>
      <c r="C205" t="s">
        <v>678</v>
      </c>
      <c r="D205" t="s">
        <v>754</v>
      </c>
      <c r="E205" t="s">
        <v>678</v>
      </c>
      <c r="F205">
        <v>0</v>
      </c>
      <c r="G205" t="s">
        <v>678</v>
      </c>
      <c r="H205" t="s">
        <v>678</v>
      </c>
      <c r="I205" t="s">
        <v>678</v>
      </c>
      <c r="J205" t="s">
        <v>678</v>
      </c>
      <c r="K205" t="s">
        <v>678</v>
      </c>
      <c r="L205" t="s">
        <v>678</v>
      </c>
      <c r="M205" t="s">
        <v>869</v>
      </c>
      <c r="N205" t="b">
        <v>0</v>
      </c>
    </row>
    <row r="206" spans="1:14">
      <c r="A206">
        <v>10</v>
      </c>
      <c r="B206">
        <v>25</v>
      </c>
      <c r="C206" t="s">
        <v>678</v>
      </c>
      <c r="D206" t="s">
        <v>754</v>
      </c>
      <c r="E206" t="s">
        <v>678</v>
      </c>
      <c r="F206">
        <v>0</v>
      </c>
      <c r="G206" t="s">
        <v>678</v>
      </c>
      <c r="H206" t="s">
        <v>678</v>
      </c>
      <c r="I206" t="s">
        <v>678</v>
      </c>
      <c r="J206" t="s">
        <v>678</v>
      </c>
      <c r="K206" t="s">
        <v>678</v>
      </c>
      <c r="L206" t="s">
        <v>678</v>
      </c>
      <c r="M206" t="s">
        <v>870</v>
      </c>
      <c r="N206" t="b">
        <v>0</v>
      </c>
    </row>
    <row r="207" spans="1:14">
      <c r="A207">
        <v>10</v>
      </c>
      <c r="B207">
        <v>26</v>
      </c>
      <c r="C207" t="s">
        <v>678</v>
      </c>
      <c r="D207" t="s">
        <v>754</v>
      </c>
      <c r="E207" t="s">
        <v>678</v>
      </c>
      <c r="F207">
        <v>0</v>
      </c>
      <c r="G207" t="s">
        <v>678</v>
      </c>
      <c r="H207" t="s">
        <v>678</v>
      </c>
      <c r="I207" t="s">
        <v>678</v>
      </c>
      <c r="J207" t="s">
        <v>678</v>
      </c>
      <c r="K207" t="s">
        <v>678</v>
      </c>
      <c r="L207" t="s">
        <v>678</v>
      </c>
      <c r="M207" t="s">
        <v>871</v>
      </c>
      <c r="N207" t="b">
        <v>0</v>
      </c>
    </row>
    <row r="208" spans="1:14">
      <c r="A208">
        <v>11</v>
      </c>
      <c r="B208">
        <v>0</v>
      </c>
      <c r="C208" t="s">
        <v>188</v>
      </c>
      <c r="D208" t="s">
        <v>737</v>
      </c>
      <c r="E208" t="s">
        <v>85</v>
      </c>
      <c r="F208">
        <v>50</v>
      </c>
      <c r="G208" t="s">
        <v>678</v>
      </c>
      <c r="H208" t="s">
        <v>678</v>
      </c>
      <c r="I208" t="s">
        <v>85</v>
      </c>
      <c r="J208" t="s">
        <v>678</v>
      </c>
      <c r="K208" t="s">
        <v>678</v>
      </c>
      <c r="L208" t="s">
        <v>678</v>
      </c>
      <c r="M208" t="s">
        <v>872</v>
      </c>
      <c r="N208" t="b">
        <v>0</v>
      </c>
    </row>
    <row r="209" spans="1:14">
      <c r="A209">
        <v>11</v>
      </c>
      <c r="B209">
        <v>1</v>
      </c>
      <c r="C209" t="s">
        <v>211</v>
      </c>
      <c r="D209" t="s">
        <v>737</v>
      </c>
      <c r="E209" t="s">
        <v>107</v>
      </c>
      <c r="F209">
        <v>60</v>
      </c>
      <c r="G209" t="s">
        <v>678</v>
      </c>
      <c r="H209" t="s">
        <v>678</v>
      </c>
      <c r="I209" t="s">
        <v>107</v>
      </c>
      <c r="J209" t="s">
        <v>678</v>
      </c>
      <c r="K209" t="s">
        <v>678</v>
      </c>
      <c r="L209" t="s">
        <v>678</v>
      </c>
      <c r="M209" t="s">
        <v>873</v>
      </c>
      <c r="N209" t="b">
        <v>0</v>
      </c>
    </row>
    <row r="210" spans="1:14">
      <c r="A210">
        <v>11</v>
      </c>
      <c r="B210">
        <v>2</v>
      </c>
      <c r="C210" t="s">
        <v>212</v>
      </c>
      <c r="D210" t="s">
        <v>737</v>
      </c>
      <c r="E210" t="s">
        <v>68</v>
      </c>
      <c r="F210">
        <v>60</v>
      </c>
      <c r="G210" t="s">
        <v>678</v>
      </c>
      <c r="H210" t="s">
        <v>678</v>
      </c>
      <c r="I210" t="s">
        <v>68</v>
      </c>
      <c r="J210" t="s">
        <v>678</v>
      </c>
      <c r="K210" t="s">
        <v>678</v>
      </c>
      <c r="L210" t="s">
        <v>678</v>
      </c>
      <c r="M210" t="s">
        <v>874</v>
      </c>
      <c r="N210" t="b">
        <v>0</v>
      </c>
    </row>
    <row r="211" spans="1:14">
      <c r="A211">
        <v>11</v>
      </c>
      <c r="B211">
        <v>3</v>
      </c>
      <c r="C211" t="s">
        <v>172</v>
      </c>
      <c r="D211" t="s">
        <v>737</v>
      </c>
      <c r="E211" t="s">
        <v>80</v>
      </c>
      <c r="F211">
        <v>40</v>
      </c>
      <c r="G211" t="s">
        <v>678</v>
      </c>
      <c r="H211" t="s">
        <v>678</v>
      </c>
      <c r="I211" t="s">
        <v>80</v>
      </c>
      <c r="J211" t="s">
        <v>678</v>
      </c>
      <c r="K211" t="s">
        <v>678</v>
      </c>
      <c r="L211" t="s">
        <v>678</v>
      </c>
      <c r="M211" t="s">
        <v>875</v>
      </c>
      <c r="N211" t="b">
        <v>0</v>
      </c>
    </row>
    <row r="212" spans="1:14">
      <c r="A212">
        <v>11</v>
      </c>
      <c r="B212">
        <v>4</v>
      </c>
      <c r="C212" t="s">
        <v>208</v>
      </c>
      <c r="D212" t="s">
        <v>737</v>
      </c>
      <c r="E212" t="s">
        <v>86</v>
      </c>
      <c r="F212">
        <v>50</v>
      </c>
      <c r="G212" t="s">
        <v>678</v>
      </c>
      <c r="H212" t="s">
        <v>678</v>
      </c>
      <c r="I212" t="s">
        <v>86</v>
      </c>
      <c r="J212" t="s">
        <v>678</v>
      </c>
      <c r="K212" t="s">
        <v>678</v>
      </c>
      <c r="L212" t="s">
        <v>678</v>
      </c>
      <c r="M212" t="s">
        <v>876</v>
      </c>
      <c r="N212" t="b">
        <v>0</v>
      </c>
    </row>
    <row r="213" spans="1:14">
      <c r="A213">
        <v>11</v>
      </c>
      <c r="B213">
        <v>5</v>
      </c>
      <c r="C213" t="s">
        <v>213</v>
      </c>
      <c r="D213" t="s">
        <v>737</v>
      </c>
      <c r="E213" t="s">
        <v>556</v>
      </c>
      <c r="F213">
        <v>60</v>
      </c>
      <c r="G213" t="s">
        <v>678</v>
      </c>
      <c r="H213" t="s">
        <v>566</v>
      </c>
      <c r="I213" t="s">
        <v>343</v>
      </c>
      <c r="J213" t="s">
        <v>678</v>
      </c>
      <c r="K213" t="s">
        <v>814</v>
      </c>
      <c r="L213" t="s">
        <v>815</v>
      </c>
      <c r="M213" t="s">
        <v>877</v>
      </c>
      <c r="N213" t="b">
        <v>0</v>
      </c>
    </row>
    <row r="214" spans="1:14">
      <c r="A214">
        <v>11</v>
      </c>
      <c r="B214">
        <v>6</v>
      </c>
      <c r="C214" t="s">
        <v>214</v>
      </c>
      <c r="D214" t="s">
        <v>737</v>
      </c>
      <c r="E214" t="s">
        <v>102</v>
      </c>
      <c r="F214">
        <v>40</v>
      </c>
      <c r="G214" t="s">
        <v>678</v>
      </c>
      <c r="H214" t="s">
        <v>678</v>
      </c>
      <c r="I214" t="s">
        <v>102</v>
      </c>
      <c r="J214" t="s">
        <v>678</v>
      </c>
      <c r="K214" t="s">
        <v>678</v>
      </c>
      <c r="L214" t="s">
        <v>678</v>
      </c>
      <c r="M214" t="s">
        <v>878</v>
      </c>
      <c r="N214" t="b">
        <v>0</v>
      </c>
    </row>
    <row r="215" spans="1:14">
      <c r="A215">
        <v>11</v>
      </c>
      <c r="B215">
        <v>7</v>
      </c>
      <c r="C215" t="s">
        <v>678</v>
      </c>
      <c r="D215" t="s">
        <v>737</v>
      </c>
      <c r="E215" t="s">
        <v>678</v>
      </c>
      <c r="F215">
        <v>0</v>
      </c>
      <c r="G215" t="s">
        <v>678</v>
      </c>
      <c r="H215" t="s">
        <v>678</v>
      </c>
      <c r="I215" t="s">
        <v>678</v>
      </c>
      <c r="J215" t="s">
        <v>678</v>
      </c>
      <c r="K215" t="s">
        <v>678</v>
      </c>
      <c r="L215" t="s">
        <v>678</v>
      </c>
      <c r="M215" t="s">
        <v>879</v>
      </c>
      <c r="N215" t="b">
        <v>0</v>
      </c>
    </row>
    <row r="216" spans="1:14">
      <c r="A216">
        <v>11</v>
      </c>
      <c r="B216">
        <v>8</v>
      </c>
      <c r="C216" t="s">
        <v>678</v>
      </c>
      <c r="D216" t="s">
        <v>737</v>
      </c>
      <c r="E216" t="s">
        <v>678</v>
      </c>
      <c r="F216">
        <v>0</v>
      </c>
      <c r="G216" t="s">
        <v>678</v>
      </c>
      <c r="H216" t="s">
        <v>678</v>
      </c>
      <c r="I216" t="s">
        <v>678</v>
      </c>
      <c r="J216" t="s">
        <v>678</v>
      </c>
      <c r="K216" t="s">
        <v>678</v>
      </c>
      <c r="L216" t="s">
        <v>678</v>
      </c>
      <c r="M216" t="s">
        <v>880</v>
      </c>
      <c r="N216" t="b">
        <v>0</v>
      </c>
    </row>
    <row r="217" spans="1:14">
      <c r="A217">
        <v>11</v>
      </c>
      <c r="B217">
        <v>9</v>
      </c>
      <c r="C217" t="s">
        <v>678</v>
      </c>
      <c r="D217" t="s">
        <v>737</v>
      </c>
      <c r="E217" t="s">
        <v>678</v>
      </c>
      <c r="F217">
        <v>0</v>
      </c>
      <c r="G217" t="s">
        <v>678</v>
      </c>
      <c r="H217" t="s">
        <v>678</v>
      </c>
      <c r="I217" t="s">
        <v>678</v>
      </c>
      <c r="J217" t="s">
        <v>678</v>
      </c>
      <c r="K217" t="s">
        <v>678</v>
      </c>
      <c r="L217" t="s">
        <v>678</v>
      </c>
      <c r="M217" t="s">
        <v>881</v>
      </c>
      <c r="N217" t="b">
        <v>0</v>
      </c>
    </row>
    <row r="218" spans="1:14">
      <c r="A218">
        <v>11</v>
      </c>
      <c r="B218">
        <v>10</v>
      </c>
      <c r="C218" t="s">
        <v>678</v>
      </c>
      <c r="D218" t="s">
        <v>737</v>
      </c>
      <c r="E218" t="s">
        <v>678</v>
      </c>
      <c r="F218">
        <v>0</v>
      </c>
      <c r="G218" t="s">
        <v>678</v>
      </c>
      <c r="H218" t="s">
        <v>678</v>
      </c>
      <c r="I218" t="s">
        <v>678</v>
      </c>
      <c r="J218" t="s">
        <v>678</v>
      </c>
      <c r="K218" t="s">
        <v>678</v>
      </c>
      <c r="L218" t="s">
        <v>678</v>
      </c>
      <c r="M218" t="s">
        <v>882</v>
      </c>
      <c r="N218" t="b">
        <v>0</v>
      </c>
    </row>
    <row r="219" spans="1:14">
      <c r="A219">
        <v>11</v>
      </c>
      <c r="B219">
        <v>11</v>
      </c>
      <c r="C219" t="s">
        <v>678</v>
      </c>
      <c r="D219" t="s">
        <v>737</v>
      </c>
      <c r="E219" t="s">
        <v>678</v>
      </c>
      <c r="F219">
        <v>0</v>
      </c>
      <c r="G219" t="s">
        <v>678</v>
      </c>
      <c r="H219" t="s">
        <v>678</v>
      </c>
      <c r="I219" t="s">
        <v>678</v>
      </c>
      <c r="J219" t="s">
        <v>678</v>
      </c>
      <c r="K219" t="s">
        <v>678</v>
      </c>
      <c r="L219" t="s">
        <v>678</v>
      </c>
      <c r="M219" t="s">
        <v>883</v>
      </c>
      <c r="N219" t="b">
        <v>0</v>
      </c>
    </row>
    <row r="220" spans="1:14">
      <c r="A220">
        <v>11</v>
      </c>
      <c r="B220">
        <v>12</v>
      </c>
      <c r="C220" t="s">
        <v>678</v>
      </c>
      <c r="D220" t="s">
        <v>737</v>
      </c>
      <c r="E220" t="s">
        <v>678</v>
      </c>
      <c r="F220">
        <v>0</v>
      </c>
      <c r="G220" t="s">
        <v>678</v>
      </c>
      <c r="H220" t="s">
        <v>678</v>
      </c>
      <c r="I220" t="s">
        <v>678</v>
      </c>
      <c r="J220" t="s">
        <v>678</v>
      </c>
      <c r="K220" t="s">
        <v>678</v>
      </c>
      <c r="L220" t="s">
        <v>678</v>
      </c>
      <c r="M220" t="s">
        <v>884</v>
      </c>
      <c r="N220" t="b">
        <v>0</v>
      </c>
    </row>
    <row r="221" spans="1:14">
      <c r="A221">
        <v>11</v>
      </c>
      <c r="B221">
        <v>13</v>
      </c>
      <c r="C221" t="s">
        <v>678</v>
      </c>
      <c r="D221" t="s">
        <v>737</v>
      </c>
      <c r="E221" t="s">
        <v>678</v>
      </c>
      <c r="F221">
        <v>0</v>
      </c>
      <c r="G221" t="s">
        <v>678</v>
      </c>
      <c r="H221" t="s">
        <v>678</v>
      </c>
      <c r="I221" t="s">
        <v>678</v>
      </c>
      <c r="J221" t="s">
        <v>678</v>
      </c>
      <c r="K221" t="s">
        <v>678</v>
      </c>
      <c r="L221" t="s">
        <v>678</v>
      </c>
      <c r="M221" t="s">
        <v>885</v>
      </c>
      <c r="N221" t="b">
        <v>0</v>
      </c>
    </row>
    <row r="222" spans="1:14">
      <c r="A222">
        <v>11</v>
      </c>
      <c r="B222">
        <v>14</v>
      </c>
      <c r="C222" t="s">
        <v>678</v>
      </c>
      <c r="D222" t="s">
        <v>737</v>
      </c>
      <c r="E222" t="s">
        <v>678</v>
      </c>
      <c r="F222">
        <v>0</v>
      </c>
      <c r="G222" t="s">
        <v>678</v>
      </c>
      <c r="H222" t="s">
        <v>678</v>
      </c>
      <c r="I222" t="s">
        <v>678</v>
      </c>
      <c r="J222" t="s">
        <v>678</v>
      </c>
      <c r="K222" t="s">
        <v>678</v>
      </c>
      <c r="L222" t="s">
        <v>678</v>
      </c>
      <c r="M222" t="s">
        <v>886</v>
      </c>
      <c r="N222" t="b">
        <v>0</v>
      </c>
    </row>
    <row r="223" spans="1:14">
      <c r="A223">
        <v>11</v>
      </c>
      <c r="B223">
        <v>15</v>
      </c>
      <c r="C223" t="s">
        <v>678</v>
      </c>
      <c r="D223" t="s">
        <v>737</v>
      </c>
      <c r="E223" t="s">
        <v>678</v>
      </c>
      <c r="F223">
        <v>0</v>
      </c>
      <c r="G223" t="s">
        <v>678</v>
      </c>
      <c r="H223" t="s">
        <v>678</v>
      </c>
      <c r="I223" t="s">
        <v>678</v>
      </c>
      <c r="J223" t="s">
        <v>678</v>
      </c>
      <c r="K223" t="s">
        <v>678</v>
      </c>
      <c r="L223" t="s">
        <v>678</v>
      </c>
      <c r="M223" t="s">
        <v>887</v>
      </c>
      <c r="N223" t="b">
        <v>0</v>
      </c>
    </row>
    <row r="224" spans="1:14">
      <c r="A224">
        <v>11</v>
      </c>
      <c r="B224">
        <v>16</v>
      </c>
      <c r="C224" t="s">
        <v>215</v>
      </c>
      <c r="D224" t="s">
        <v>754</v>
      </c>
      <c r="E224" t="s">
        <v>113</v>
      </c>
      <c r="F224">
        <v>50</v>
      </c>
      <c r="G224" t="s">
        <v>678</v>
      </c>
      <c r="H224" t="s">
        <v>678</v>
      </c>
      <c r="I224" t="s">
        <v>113</v>
      </c>
      <c r="J224" t="s">
        <v>678</v>
      </c>
      <c r="K224" t="s">
        <v>678</v>
      </c>
      <c r="L224" t="s">
        <v>678</v>
      </c>
      <c r="M224" t="s">
        <v>888</v>
      </c>
      <c r="N224" t="b">
        <v>0</v>
      </c>
    </row>
    <row r="225" spans="1:14">
      <c r="A225">
        <v>11</v>
      </c>
      <c r="B225">
        <v>17</v>
      </c>
      <c r="C225" t="s">
        <v>216</v>
      </c>
      <c r="D225" t="s">
        <v>754</v>
      </c>
      <c r="E225" t="s">
        <v>95</v>
      </c>
      <c r="F225">
        <v>60</v>
      </c>
      <c r="G225" t="s">
        <v>678</v>
      </c>
      <c r="H225" t="s">
        <v>678</v>
      </c>
      <c r="I225" t="s">
        <v>95</v>
      </c>
      <c r="J225" t="s">
        <v>678</v>
      </c>
      <c r="K225" t="s">
        <v>678</v>
      </c>
      <c r="L225" t="s">
        <v>678</v>
      </c>
      <c r="M225" t="s">
        <v>889</v>
      </c>
      <c r="N225" t="b">
        <v>0</v>
      </c>
    </row>
    <row r="226" spans="1:14">
      <c r="A226">
        <v>11</v>
      </c>
      <c r="B226">
        <v>18</v>
      </c>
      <c r="C226" t="s">
        <v>217</v>
      </c>
      <c r="D226" t="s">
        <v>754</v>
      </c>
      <c r="E226" t="s">
        <v>556</v>
      </c>
      <c r="F226">
        <v>50</v>
      </c>
      <c r="G226" t="s">
        <v>773</v>
      </c>
      <c r="H226" t="s">
        <v>678</v>
      </c>
      <c r="I226" t="s">
        <v>678</v>
      </c>
      <c r="J226" t="s">
        <v>837</v>
      </c>
      <c r="K226" t="s">
        <v>838</v>
      </c>
      <c r="L226" t="s">
        <v>839</v>
      </c>
      <c r="M226" t="s">
        <v>890</v>
      </c>
      <c r="N226" t="b">
        <v>0</v>
      </c>
    </row>
    <row r="227" spans="1:14">
      <c r="A227">
        <v>11</v>
      </c>
      <c r="B227">
        <v>19</v>
      </c>
      <c r="C227" t="s">
        <v>218</v>
      </c>
      <c r="D227" t="s">
        <v>754</v>
      </c>
      <c r="E227" t="s">
        <v>108</v>
      </c>
      <c r="F227">
        <v>50</v>
      </c>
      <c r="G227" t="s">
        <v>678</v>
      </c>
      <c r="H227" t="s">
        <v>678</v>
      </c>
      <c r="I227" t="s">
        <v>108</v>
      </c>
      <c r="J227" t="s">
        <v>678</v>
      </c>
      <c r="K227" t="s">
        <v>678</v>
      </c>
      <c r="L227" t="s">
        <v>678</v>
      </c>
      <c r="M227" t="s">
        <v>891</v>
      </c>
      <c r="N227" t="b">
        <v>0</v>
      </c>
    </row>
    <row r="228" spans="1:14">
      <c r="A228">
        <v>11</v>
      </c>
      <c r="B228">
        <v>20</v>
      </c>
      <c r="C228" t="s">
        <v>678</v>
      </c>
      <c r="D228" t="s">
        <v>754</v>
      </c>
      <c r="E228" t="s">
        <v>678</v>
      </c>
      <c r="F228">
        <v>0</v>
      </c>
      <c r="G228" t="s">
        <v>678</v>
      </c>
      <c r="H228" t="s">
        <v>678</v>
      </c>
      <c r="I228" t="s">
        <v>678</v>
      </c>
      <c r="J228" t="s">
        <v>678</v>
      </c>
      <c r="K228" t="s">
        <v>678</v>
      </c>
      <c r="L228" t="s">
        <v>678</v>
      </c>
      <c r="M228" t="s">
        <v>892</v>
      </c>
      <c r="N228" t="b">
        <v>0</v>
      </c>
    </row>
    <row r="229" spans="1:14">
      <c r="A229">
        <v>11</v>
      </c>
      <c r="B229">
        <v>21</v>
      </c>
      <c r="C229" t="s">
        <v>678</v>
      </c>
      <c r="D229" t="s">
        <v>754</v>
      </c>
      <c r="E229" t="s">
        <v>678</v>
      </c>
      <c r="F229">
        <v>0</v>
      </c>
      <c r="G229" t="s">
        <v>678</v>
      </c>
      <c r="H229" t="s">
        <v>678</v>
      </c>
      <c r="I229" t="s">
        <v>678</v>
      </c>
      <c r="J229" t="s">
        <v>678</v>
      </c>
      <c r="K229" t="s">
        <v>678</v>
      </c>
      <c r="L229" t="s">
        <v>678</v>
      </c>
      <c r="M229" t="s">
        <v>893</v>
      </c>
      <c r="N229" t="b">
        <v>0</v>
      </c>
    </row>
    <row r="230" spans="1:14">
      <c r="A230">
        <v>11</v>
      </c>
      <c r="B230">
        <v>22</v>
      </c>
      <c r="C230" t="s">
        <v>678</v>
      </c>
      <c r="D230" t="s">
        <v>754</v>
      </c>
      <c r="E230" t="s">
        <v>678</v>
      </c>
      <c r="F230">
        <v>0</v>
      </c>
      <c r="G230" t="s">
        <v>678</v>
      </c>
      <c r="H230" t="s">
        <v>678</v>
      </c>
      <c r="I230" t="s">
        <v>678</v>
      </c>
      <c r="J230" t="s">
        <v>678</v>
      </c>
      <c r="K230" t="s">
        <v>678</v>
      </c>
      <c r="L230" t="s">
        <v>678</v>
      </c>
      <c r="M230" t="s">
        <v>894</v>
      </c>
      <c r="N230" t="b">
        <v>0</v>
      </c>
    </row>
    <row r="231" spans="1:14">
      <c r="A231">
        <v>11</v>
      </c>
      <c r="B231">
        <v>23</v>
      </c>
      <c r="C231" t="s">
        <v>678</v>
      </c>
      <c r="D231" t="s">
        <v>754</v>
      </c>
      <c r="E231" t="s">
        <v>678</v>
      </c>
      <c r="F231">
        <v>0</v>
      </c>
      <c r="G231" t="s">
        <v>678</v>
      </c>
      <c r="H231" t="s">
        <v>678</v>
      </c>
      <c r="I231" t="s">
        <v>678</v>
      </c>
      <c r="J231" t="s">
        <v>678</v>
      </c>
      <c r="K231" t="s">
        <v>678</v>
      </c>
      <c r="L231" t="s">
        <v>678</v>
      </c>
      <c r="M231" t="s">
        <v>895</v>
      </c>
      <c r="N231" t="b">
        <v>0</v>
      </c>
    </row>
    <row r="232" spans="1:14">
      <c r="A232">
        <v>11</v>
      </c>
      <c r="B232">
        <v>24</v>
      </c>
      <c r="C232" t="s">
        <v>678</v>
      </c>
      <c r="D232" t="s">
        <v>754</v>
      </c>
      <c r="E232" t="s">
        <v>678</v>
      </c>
      <c r="F232">
        <v>0</v>
      </c>
      <c r="G232" t="s">
        <v>678</v>
      </c>
      <c r="H232" t="s">
        <v>678</v>
      </c>
      <c r="I232" t="s">
        <v>678</v>
      </c>
      <c r="J232" t="s">
        <v>678</v>
      </c>
      <c r="K232" t="s">
        <v>678</v>
      </c>
      <c r="L232" t="s">
        <v>678</v>
      </c>
      <c r="M232" t="s">
        <v>896</v>
      </c>
      <c r="N232" t="b">
        <v>0</v>
      </c>
    </row>
    <row r="233" spans="1:14">
      <c r="A233">
        <v>11</v>
      </c>
      <c r="B233">
        <v>25</v>
      </c>
      <c r="C233" t="s">
        <v>678</v>
      </c>
      <c r="D233" t="s">
        <v>754</v>
      </c>
      <c r="E233" t="s">
        <v>678</v>
      </c>
      <c r="F233">
        <v>0</v>
      </c>
      <c r="G233" t="s">
        <v>678</v>
      </c>
      <c r="H233" t="s">
        <v>678</v>
      </c>
      <c r="I233" t="s">
        <v>678</v>
      </c>
      <c r="J233" t="s">
        <v>678</v>
      </c>
      <c r="K233" t="s">
        <v>678</v>
      </c>
      <c r="L233" t="s">
        <v>678</v>
      </c>
      <c r="M233" t="s">
        <v>897</v>
      </c>
      <c r="N233" t="b">
        <v>0</v>
      </c>
    </row>
    <row r="234" spans="1:14">
      <c r="A234">
        <v>11</v>
      </c>
      <c r="B234">
        <v>26</v>
      </c>
      <c r="C234" t="s">
        <v>678</v>
      </c>
      <c r="D234" t="s">
        <v>754</v>
      </c>
      <c r="E234" t="s">
        <v>678</v>
      </c>
      <c r="F234">
        <v>0</v>
      </c>
      <c r="G234" t="s">
        <v>678</v>
      </c>
      <c r="H234" t="s">
        <v>678</v>
      </c>
      <c r="I234" t="s">
        <v>678</v>
      </c>
      <c r="J234" t="s">
        <v>678</v>
      </c>
      <c r="K234" t="s">
        <v>678</v>
      </c>
      <c r="L234" t="s">
        <v>678</v>
      </c>
      <c r="M234" t="s">
        <v>898</v>
      </c>
      <c r="N234" t="b">
        <v>0</v>
      </c>
    </row>
    <row r="235" spans="1:14">
      <c r="A235">
        <v>12</v>
      </c>
      <c r="B235">
        <v>0</v>
      </c>
      <c r="C235" t="s">
        <v>167</v>
      </c>
      <c r="D235" t="s">
        <v>737</v>
      </c>
      <c r="E235" t="s">
        <v>85</v>
      </c>
      <c r="F235">
        <v>40</v>
      </c>
      <c r="G235" t="s">
        <v>678</v>
      </c>
      <c r="H235" t="s">
        <v>678</v>
      </c>
      <c r="I235" t="s">
        <v>85</v>
      </c>
      <c r="J235" t="s">
        <v>678</v>
      </c>
      <c r="K235" t="s">
        <v>678</v>
      </c>
      <c r="L235" t="s">
        <v>678</v>
      </c>
      <c r="M235" t="s">
        <v>899</v>
      </c>
      <c r="N235" t="b">
        <v>0</v>
      </c>
    </row>
    <row r="236" spans="1:14">
      <c r="A236">
        <v>12</v>
      </c>
      <c r="B236">
        <v>1</v>
      </c>
      <c r="C236" t="s">
        <v>220</v>
      </c>
      <c r="D236" t="s">
        <v>737</v>
      </c>
      <c r="E236" t="s">
        <v>90</v>
      </c>
      <c r="F236">
        <v>40</v>
      </c>
      <c r="G236" t="s">
        <v>678</v>
      </c>
      <c r="H236" t="s">
        <v>678</v>
      </c>
      <c r="I236" t="s">
        <v>90</v>
      </c>
      <c r="J236" t="s">
        <v>678</v>
      </c>
      <c r="K236" t="s">
        <v>678</v>
      </c>
      <c r="L236" t="s">
        <v>678</v>
      </c>
      <c r="M236" t="s">
        <v>900</v>
      </c>
      <c r="N236" t="b">
        <v>0</v>
      </c>
    </row>
    <row r="237" spans="1:14">
      <c r="A237">
        <v>12</v>
      </c>
      <c r="B237">
        <v>2</v>
      </c>
      <c r="C237" t="s">
        <v>221</v>
      </c>
      <c r="D237" t="s">
        <v>766</v>
      </c>
      <c r="E237" t="s">
        <v>556</v>
      </c>
      <c r="F237">
        <v>60</v>
      </c>
      <c r="G237" t="s">
        <v>773</v>
      </c>
      <c r="H237" t="s">
        <v>678</v>
      </c>
      <c r="I237" t="s">
        <v>678</v>
      </c>
      <c r="J237" t="s">
        <v>837</v>
      </c>
      <c r="K237" t="s">
        <v>814</v>
      </c>
      <c r="L237" t="s">
        <v>815</v>
      </c>
      <c r="M237" t="s">
        <v>901</v>
      </c>
      <c r="N237" t="b">
        <v>0</v>
      </c>
    </row>
    <row r="238" spans="1:14">
      <c r="A238">
        <v>12</v>
      </c>
      <c r="B238">
        <v>3</v>
      </c>
      <c r="C238" t="s">
        <v>217</v>
      </c>
      <c r="D238" t="s">
        <v>766</v>
      </c>
      <c r="E238" t="s">
        <v>556</v>
      </c>
      <c r="F238">
        <v>50</v>
      </c>
      <c r="G238" t="s">
        <v>773</v>
      </c>
      <c r="H238" t="s">
        <v>678</v>
      </c>
      <c r="I238" t="s">
        <v>678</v>
      </c>
      <c r="J238" t="s">
        <v>837</v>
      </c>
      <c r="K238" t="s">
        <v>838</v>
      </c>
      <c r="L238" t="s">
        <v>839</v>
      </c>
      <c r="M238" t="s">
        <v>902</v>
      </c>
      <c r="N238" t="b">
        <v>0</v>
      </c>
    </row>
    <row r="239" spans="1:14">
      <c r="A239">
        <v>12</v>
      </c>
      <c r="B239">
        <v>4</v>
      </c>
      <c r="C239" t="s">
        <v>217</v>
      </c>
      <c r="D239" t="s">
        <v>766</v>
      </c>
      <c r="E239" t="s">
        <v>556</v>
      </c>
      <c r="F239">
        <v>50</v>
      </c>
      <c r="G239" t="s">
        <v>773</v>
      </c>
      <c r="H239" t="s">
        <v>678</v>
      </c>
      <c r="I239" t="s">
        <v>678</v>
      </c>
      <c r="J239" t="s">
        <v>837</v>
      </c>
      <c r="K239" t="s">
        <v>903</v>
      </c>
      <c r="L239" t="s">
        <v>904</v>
      </c>
      <c r="M239" t="s">
        <v>905</v>
      </c>
      <c r="N239" t="b">
        <v>0</v>
      </c>
    </row>
    <row r="240" spans="1:14">
      <c r="A240">
        <v>12</v>
      </c>
      <c r="B240">
        <v>5</v>
      </c>
      <c r="C240" t="s">
        <v>678</v>
      </c>
      <c r="D240" t="s">
        <v>737</v>
      </c>
      <c r="E240" t="s">
        <v>678</v>
      </c>
      <c r="F240">
        <v>0</v>
      </c>
      <c r="G240" t="s">
        <v>678</v>
      </c>
      <c r="H240" t="s">
        <v>678</v>
      </c>
      <c r="I240" t="s">
        <v>678</v>
      </c>
      <c r="J240" t="s">
        <v>678</v>
      </c>
      <c r="K240" t="s">
        <v>678</v>
      </c>
      <c r="L240" t="s">
        <v>678</v>
      </c>
      <c r="M240" t="s">
        <v>906</v>
      </c>
      <c r="N240" t="b">
        <v>0</v>
      </c>
    </row>
    <row r="241" spans="1:14">
      <c r="A241">
        <v>12</v>
      </c>
      <c r="B241">
        <v>6</v>
      </c>
      <c r="C241" t="s">
        <v>678</v>
      </c>
      <c r="D241" t="s">
        <v>737</v>
      </c>
      <c r="E241" t="s">
        <v>678</v>
      </c>
      <c r="F241">
        <v>0</v>
      </c>
      <c r="G241" t="s">
        <v>678</v>
      </c>
      <c r="H241" t="s">
        <v>678</v>
      </c>
      <c r="I241" t="s">
        <v>678</v>
      </c>
      <c r="J241" t="s">
        <v>678</v>
      </c>
      <c r="K241" t="s">
        <v>678</v>
      </c>
      <c r="L241" t="s">
        <v>678</v>
      </c>
      <c r="M241" t="s">
        <v>907</v>
      </c>
      <c r="N241" t="b">
        <v>0</v>
      </c>
    </row>
    <row r="242" spans="1:14">
      <c r="A242">
        <v>12</v>
      </c>
      <c r="B242">
        <v>7</v>
      </c>
      <c r="C242" t="s">
        <v>678</v>
      </c>
      <c r="D242" t="s">
        <v>737</v>
      </c>
      <c r="E242" t="s">
        <v>678</v>
      </c>
      <c r="F242">
        <v>0</v>
      </c>
      <c r="G242" t="s">
        <v>678</v>
      </c>
      <c r="H242" t="s">
        <v>678</v>
      </c>
      <c r="I242" t="s">
        <v>678</v>
      </c>
      <c r="J242" t="s">
        <v>678</v>
      </c>
      <c r="K242" t="s">
        <v>678</v>
      </c>
      <c r="L242" t="s">
        <v>678</v>
      </c>
      <c r="M242" t="s">
        <v>908</v>
      </c>
      <c r="N242" t="b">
        <v>0</v>
      </c>
    </row>
    <row r="243" spans="1:14">
      <c r="A243">
        <v>12</v>
      </c>
      <c r="B243">
        <v>8</v>
      </c>
      <c r="C243" t="s">
        <v>678</v>
      </c>
      <c r="D243" t="s">
        <v>737</v>
      </c>
      <c r="E243" t="s">
        <v>678</v>
      </c>
      <c r="F243">
        <v>0</v>
      </c>
      <c r="G243" t="s">
        <v>678</v>
      </c>
      <c r="H243" t="s">
        <v>678</v>
      </c>
      <c r="I243" t="s">
        <v>678</v>
      </c>
      <c r="J243" t="s">
        <v>678</v>
      </c>
      <c r="K243" t="s">
        <v>678</v>
      </c>
      <c r="L243" t="s">
        <v>678</v>
      </c>
      <c r="M243" t="s">
        <v>909</v>
      </c>
      <c r="N243" t="b">
        <v>0</v>
      </c>
    </row>
    <row r="244" spans="1:14">
      <c r="A244">
        <v>12</v>
      </c>
      <c r="B244">
        <v>9</v>
      </c>
      <c r="C244" t="s">
        <v>678</v>
      </c>
      <c r="D244" t="s">
        <v>737</v>
      </c>
      <c r="E244" t="s">
        <v>678</v>
      </c>
      <c r="F244">
        <v>0</v>
      </c>
      <c r="G244" t="s">
        <v>678</v>
      </c>
      <c r="H244" t="s">
        <v>678</v>
      </c>
      <c r="I244" t="s">
        <v>678</v>
      </c>
      <c r="J244" t="s">
        <v>678</v>
      </c>
      <c r="K244" t="s">
        <v>678</v>
      </c>
      <c r="L244" t="s">
        <v>678</v>
      </c>
      <c r="M244" t="s">
        <v>910</v>
      </c>
      <c r="N244" t="b">
        <v>0</v>
      </c>
    </row>
    <row r="245" spans="1:14">
      <c r="A245">
        <v>12</v>
      </c>
      <c r="B245">
        <v>10</v>
      </c>
      <c r="C245" t="s">
        <v>678</v>
      </c>
      <c r="D245" t="s">
        <v>737</v>
      </c>
      <c r="E245" t="s">
        <v>678</v>
      </c>
      <c r="F245">
        <v>0</v>
      </c>
      <c r="G245" t="s">
        <v>678</v>
      </c>
      <c r="H245" t="s">
        <v>678</v>
      </c>
      <c r="I245" t="s">
        <v>678</v>
      </c>
      <c r="J245" t="s">
        <v>678</v>
      </c>
      <c r="K245" t="s">
        <v>678</v>
      </c>
      <c r="L245" t="s">
        <v>678</v>
      </c>
      <c r="M245" t="s">
        <v>911</v>
      </c>
      <c r="N245" t="b">
        <v>0</v>
      </c>
    </row>
    <row r="246" spans="1:14">
      <c r="A246">
        <v>12</v>
      </c>
      <c r="B246">
        <v>11</v>
      </c>
      <c r="C246" t="s">
        <v>678</v>
      </c>
      <c r="D246" t="s">
        <v>737</v>
      </c>
      <c r="E246" t="s">
        <v>678</v>
      </c>
      <c r="F246">
        <v>0</v>
      </c>
      <c r="G246" t="s">
        <v>678</v>
      </c>
      <c r="H246" t="s">
        <v>678</v>
      </c>
      <c r="I246" t="s">
        <v>678</v>
      </c>
      <c r="J246" t="s">
        <v>678</v>
      </c>
      <c r="K246" t="s">
        <v>678</v>
      </c>
      <c r="L246" t="s">
        <v>678</v>
      </c>
      <c r="M246" t="s">
        <v>912</v>
      </c>
      <c r="N246" t="b">
        <v>0</v>
      </c>
    </row>
    <row r="247" spans="1:14">
      <c r="A247">
        <v>12</v>
      </c>
      <c r="B247">
        <v>12</v>
      </c>
      <c r="C247" t="s">
        <v>678</v>
      </c>
      <c r="D247" t="s">
        <v>737</v>
      </c>
      <c r="E247" t="s">
        <v>678</v>
      </c>
      <c r="F247">
        <v>0</v>
      </c>
      <c r="G247" t="s">
        <v>678</v>
      </c>
      <c r="H247" t="s">
        <v>678</v>
      </c>
      <c r="I247" t="s">
        <v>678</v>
      </c>
      <c r="J247" t="s">
        <v>678</v>
      </c>
      <c r="K247" t="s">
        <v>678</v>
      </c>
      <c r="L247" t="s">
        <v>678</v>
      </c>
      <c r="M247" t="s">
        <v>913</v>
      </c>
      <c r="N247" t="b">
        <v>0</v>
      </c>
    </row>
    <row r="248" spans="1:14">
      <c r="A248">
        <v>12</v>
      </c>
      <c r="B248">
        <v>13</v>
      </c>
      <c r="C248" t="s">
        <v>678</v>
      </c>
      <c r="D248" t="s">
        <v>737</v>
      </c>
      <c r="E248" t="s">
        <v>678</v>
      </c>
      <c r="F248">
        <v>0</v>
      </c>
      <c r="G248" t="s">
        <v>678</v>
      </c>
      <c r="H248" t="s">
        <v>678</v>
      </c>
      <c r="I248" t="s">
        <v>678</v>
      </c>
      <c r="J248" t="s">
        <v>678</v>
      </c>
      <c r="K248" t="s">
        <v>678</v>
      </c>
      <c r="L248" t="s">
        <v>678</v>
      </c>
      <c r="M248" t="s">
        <v>914</v>
      </c>
      <c r="N248" t="b">
        <v>0</v>
      </c>
    </row>
    <row r="249" spans="1:14">
      <c r="A249">
        <v>12</v>
      </c>
      <c r="B249">
        <v>14</v>
      </c>
      <c r="C249" t="s">
        <v>678</v>
      </c>
      <c r="D249" t="s">
        <v>737</v>
      </c>
      <c r="E249" t="s">
        <v>678</v>
      </c>
      <c r="F249">
        <v>0</v>
      </c>
      <c r="G249" t="s">
        <v>678</v>
      </c>
      <c r="H249" t="s">
        <v>678</v>
      </c>
      <c r="I249" t="s">
        <v>678</v>
      </c>
      <c r="J249" t="s">
        <v>678</v>
      </c>
      <c r="K249" t="s">
        <v>678</v>
      </c>
      <c r="L249" t="s">
        <v>678</v>
      </c>
      <c r="M249" t="s">
        <v>915</v>
      </c>
      <c r="N249" t="b">
        <v>0</v>
      </c>
    </row>
    <row r="250" spans="1:14">
      <c r="A250">
        <v>12</v>
      </c>
      <c r="B250">
        <v>15</v>
      </c>
      <c r="C250" t="s">
        <v>678</v>
      </c>
      <c r="D250" t="s">
        <v>737</v>
      </c>
      <c r="E250" t="s">
        <v>678</v>
      </c>
      <c r="F250">
        <v>0</v>
      </c>
      <c r="G250" t="s">
        <v>678</v>
      </c>
      <c r="H250" t="s">
        <v>678</v>
      </c>
      <c r="I250" t="s">
        <v>678</v>
      </c>
      <c r="J250" t="s">
        <v>678</v>
      </c>
      <c r="K250" t="s">
        <v>678</v>
      </c>
      <c r="L250" t="s">
        <v>678</v>
      </c>
      <c r="M250" t="s">
        <v>916</v>
      </c>
      <c r="N250" t="b">
        <v>0</v>
      </c>
    </row>
    <row r="251" spans="1:14">
      <c r="A251">
        <v>12</v>
      </c>
      <c r="B251">
        <v>16</v>
      </c>
      <c r="C251" t="s">
        <v>187</v>
      </c>
      <c r="D251" t="s">
        <v>754</v>
      </c>
      <c r="E251" t="s">
        <v>63</v>
      </c>
      <c r="F251">
        <v>50</v>
      </c>
      <c r="G251" t="s">
        <v>678</v>
      </c>
      <c r="H251" t="s">
        <v>678</v>
      </c>
      <c r="I251" t="s">
        <v>63</v>
      </c>
      <c r="J251" t="s">
        <v>678</v>
      </c>
      <c r="K251" t="s">
        <v>678</v>
      </c>
      <c r="L251" t="s">
        <v>678</v>
      </c>
      <c r="M251" t="s">
        <v>917</v>
      </c>
      <c r="N251" t="b">
        <v>0</v>
      </c>
    </row>
    <row r="252" spans="1:14">
      <c r="A252">
        <v>12</v>
      </c>
      <c r="B252">
        <v>17</v>
      </c>
      <c r="C252" t="s">
        <v>189</v>
      </c>
      <c r="D252" t="s">
        <v>754</v>
      </c>
      <c r="E252" t="s">
        <v>555</v>
      </c>
      <c r="F252">
        <v>40</v>
      </c>
      <c r="G252" t="s">
        <v>773</v>
      </c>
      <c r="H252" t="s">
        <v>678</v>
      </c>
      <c r="I252" t="s">
        <v>678</v>
      </c>
      <c r="J252" t="s">
        <v>830</v>
      </c>
      <c r="K252" t="s">
        <v>805</v>
      </c>
      <c r="L252" t="s">
        <v>806</v>
      </c>
      <c r="M252" t="s">
        <v>918</v>
      </c>
      <c r="N252" t="b">
        <v>0</v>
      </c>
    </row>
    <row r="253" spans="1:14">
      <c r="A253">
        <v>12</v>
      </c>
      <c r="B253">
        <v>18</v>
      </c>
      <c r="C253" t="s">
        <v>169</v>
      </c>
      <c r="D253" t="s">
        <v>754</v>
      </c>
      <c r="E253" t="s">
        <v>308</v>
      </c>
      <c r="F253">
        <v>40</v>
      </c>
      <c r="G253" t="s">
        <v>773</v>
      </c>
      <c r="H253" t="s">
        <v>678</v>
      </c>
      <c r="I253" t="s">
        <v>678</v>
      </c>
      <c r="J253" t="s">
        <v>774</v>
      </c>
      <c r="K253" t="s">
        <v>775</v>
      </c>
      <c r="L253" t="s">
        <v>776</v>
      </c>
      <c r="M253" t="s">
        <v>919</v>
      </c>
      <c r="N253" t="b">
        <v>0</v>
      </c>
    </row>
    <row r="254" spans="1:14">
      <c r="A254">
        <v>12</v>
      </c>
      <c r="B254">
        <v>19</v>
      </c>
      <c r="C254" t="s">
        <v>222</v>
      </c>
      <c r="D254" t="s">
        <v>754</v>
      </c>
      <c r="E254" t="s">
        <v>113</v>
      </c>
      <c r="F254">
        <v>40</v>
      </c>
      <c r="G254" t="s">
        <v>678</v>
      </c>
      <c r="H254" t="s">
        <v>678</v>
      </c>
      <c r="I254" t="s">
        <v>113</v>
      </c>
      <c r="J254" t="s">
        <v>678</v>
      </c>
      <c r="K254" t="s">
        <v>678</v>
      </c>
      <c r="L254" t="s">
        <v>678</v>
      </c>
      <c r="M254" t="s">
        <v>920</v>
      </c>
      <c r="N254" t="b">
        <v>0</v>
      </c>
    </row>
    <row r="255" spans="1:14">
      <c r="A255">
        <v>12</v>
      </c>
      <c r="B255">
        <v>20</v>
      </c>
      <c r="C255" t="s">
        <v>191</v>
      </c>
      <c r="D255" t="s">
        <v>754</v>
      </c>
      <c r="E255" t="s">
        <v>64</v>
      </c>
      <c r="F255">
        <v>40</v>
      </c>
      <c r="G255" t="s">
        <v>678</v>
      </c>
      <c r="H255" t="s">
        <v>678</v>
      </c>
      <c r="I255" t="s">
        <v>64</v>
      </c>
      <c r="J255" t="s">
        <v>678</v>
      </c>
      <c r="K255" t="s">
        <v>678</v>
      </c>
      <c r="L255" t="s">
        <v>678</v>
      </c>
      <c r="M255" t="s">
        <v>921</v>
      </c>
      <c r="N255" t="b">
        <v>0</v>
      </c>
    </row>
    <row r="256" spans="1:14">
      <c r="A256">
        <v>12</v>
      </c>
      <c r="B256">
        <v>21</v>
      </c>
      <c r="C256" t="s">
        <v>223</v>
      </c>
      <c r="D256" t="s">
        <v>754</v>
      </c>
      <c r="E256" t="s">
        <v>86</v>
      </c>
      <c r="F256">
        <v>40</v>
      </c>
      <c r="G256" t="s">
        <v>678</v>
      </c>
      <c r="H256" t="s">
        <v>678</v>
      </c>
      <c r="I256" t="s">
        <v>86</v>
      </c>
      <c r="J256" t="s">
        <v>678</v>
      </c>
      <c r="K256" t="s">
        <v>678</v>
      </c>
      <c r="L256" t="s">
        <v>678</v>
      </c>
      <c r="M256" t="s">
        <v>922</v>
      </c>
      <c r="N256" t="b">
        <v>0</v>
      </c>
    </row>
    <row r="257" spans="1:14">
      <c r="A257">
        <v>12</v>
      </c>
      <c r="B257">
        <v>22</v>
      </c>
      <c r="C257" t="s">
        <v>678</v>
      </c>
      <c r="D257" t="s">
        <v>754</v>
      </c>
      <c r="E257" t="s">
        <v>678</v>
      </c>
      <c r="F257">
        <v>0</v>
      </c>
      <c r="G257" t="s">
        <v>678</v>
      </c>
      <c r="H257" t="s">
        <v>678</v>
      </c>
      <c r="I257" t="s">
        <v>678</v>
      </c>
      <c r="J257" t="s">
        <v>678</v>
      </c>
      <c r="K257" t="s">
        <v>678</v>
      </c>
      <c r="L257" t="s">
        <v>678</v>
      </c>
      <c r="M257" t="s">
        <v>923</v>
      </c>
      <c r="N257" t="b">
        <v>0</v>
      </c>
    </row>
    <row r="258" spans="1:14">
      <c r="A258">
        <v>12</v>
      </c>
      <c r="B258">
        <v>23</v>
      </c>
      <c r="C258" t="s">
        <v>678</v>
      </c>
      <c r="D258" t="s">
        <v>754</v>
      </c>
      <c r="E258" t="s">
        <v>678</v>
      </c>
      <c r="F258">
        <v>0</v>
      </c>
      <c r="G258" t="s">
        <v>678</v>
      </c>
      <c r="H258" t="s">
        <v>678</v>
      </c>
      <c r="I258" t="s">
        <v>678</v>
      </c>
      <c r="J258" t="s">
        <v>678</v>
      </c>
      <c r="K258" t="s">
        <v>678</v>
      </c>
      <c r="L258" t="s">
        <v>678</v>
      </c>
      <c r="M258" t="s">
        <v>924</v>
      </c>
      <c r="N258" t="b">
        <v>0</v>
      </c>
    </row>
    <row r="259" spans="1:14">
      <c r="A259">
        <v>12</v>
      </c>
      <c r="B259">
        <v>24</v>
      </c>
      <c r="C259" t="s">
        <v>678</v>
      </c>
      <c r="D259" t="s">
        <v>754</v>
      </c>
      <c r="E259" t="s">
        <v>678</v>
      </c>
      <c r="F259">
        <v>0</v>
      </c>
      <c r="G259" t="s">
        <v>678</v>
      </c>
      <c r="H259" t="s">
        <v>678</v>
      </c>
      <c r="I259" t="s">
        <v>678</v>
      </c>
      <c r="J259" t="s">
        <v>678</v>
      </c>
      <c r="K259" t="s">
        <v>678</v>
      </c>
      <c r="L259" t="s">
        <v>678</v>
      </c>
      <c r="M259" t="s">
        <v>925</v>
      </c>
      <c r="N259" t="b">
        <v>0</v>
      </c>
    </row>
    <row r="260" spans="1:14">
      <c r="A260">
        <v>12</v>
      </c>
      <c r="B260">
        <v>25</v>
      </c>
      <c r="C260" t="s">
        <v>678</v>
      </c>
      <c r="D260" t="s">
        <v>754</v>
      </c>
      <c r="E260" t="s">
        <v>678</v>
      </c>
      <c r="F260">
        <v>0</v>
      </c>
      <c r="G260" t="s">
        <v>678</v>
      </c>
      <c r="H260" t="s">
        <v>678</v>
      </c>
      <c r="I260" t="s">
        <v>678</v>
      </c>
      <c r="J260" t="s">
        <v>678</v>
      </c>
      <c r="K260" t="s">
        <v>678</v>
      </c>
      <c r="L260" t="s">
        <v>678</v>
      </c>
      <c r="M260" t="s">
        <v>926</v>
      </c>
      <c r="N260" t="b">
        <v>0</v>
      </c>
    </row>
    <row r="261" spans="1:14">
      <c r="A261">
        <v>12</v>
      </c>
      <c r="B261">
        <v>26</v>
      </c>
      <c r="C261" t="s">
        <v>678</v>
      </c>
      <c r="D261" t="s">
        <v>754</v>
      </c>
      <c r="E261" t="s">
        <v>678</v>
      </c>
      <c r="F261">
        <v>0</v>
      </c>
      <c r="G261" t="s">
        <v>678</v>
      </c>
      <c r="H261" t="s">
        <v>678</v>
      </c>
      <c r="I261" t="s">
        <v>678</v>
      </c>
      <c r="J261" t="s">
        <v>678</v>
      </c>
      <c r="K261" t="s">
        <v>678</v>
      </c>
      <c r="L261" t="s">
        <v>678</v>
      </c>
      <c r="M261" t="s">
        <v>927</v>
      </c>
      <c r="N261" t="b">
        <v>0</v>
      </c>
    </row>
    <row r="262" spans="1:14">
      <c r="A262">
        <v>13</v>
      </c>
      <c r="B262">
        <v>0</v>
      </c>
      <c r="C262" t="s">
        <v>226</v>
      </c>
      <c r="D262" t="s">
        <v>737</v>
      </c>
      <c r="E262" t="s">
        <v>67</v>
      </c>
      <c r="F262">
        <v>60</v>
      </c>
      <c r="G262" t="s">
        <v>678</v>
      </c>
      <c r="H262" t="s">
        <v>678</v>
      </c>
      <c r="I262" t="s">
        <v>67</v>
      </c>
      <c r="J262" t="s">
        <v>678</v>
      </c>
      <c r="K262" t="s">
        <v>678</v>
      </c>
      <c r="L262" t="s">
        <v>678</v>
      </c>
      <c r="M262" t="s">
        <v>928</v>
      </c>
      <c r="N262" t="b">
        <v>0</v>
      </c>
    </row>
    <row r="263" spans="1:14">
      <c r="A263">
        <v>13</v>
      </c>
      <c r="B263">
        <v>1</v>
      </c>
      <c r="C263" t="s">
        <v>227</v>
      </c>
      <c r="D263" t="s">
        <v>737</v>
      </c>
      <c r="E263" t="s">
        <v>79</v>
      </c>
      <c r="F263">
        <v>60</v>
      </c>
      <c r="G263" t="s">
        <v>678</v>
      </c>
      <c r="H263" t="s">
        <v>678</v>
      </c>
      <c r="I263" t="s">
        <v>79</v>
      </c>
      <c r="J263" t="s">
        <v>678</v>
      </c>
      <c r="K263" t="s">
        <v>678</v>
      </c>
      <c r="L263" t="s">
        <v>678</v>
      </c>
      <c r="M263" t="s">
        <v>929</v>
      </c>
      <c r="N263" t="b">
        <v>0</v>
      </c>
    </row>
    <row r="264" spans="1:14">
      <c r="A264">
        <v>13</v>
      </c>
      <c r="B264">
        <v>2</v>
      </c>
      <c r="C264" t="s">
        <v>228</v>
      </c>
      <c r="D264" t="s">
        <v>737</v>
      </c>
      <c r="E264" t="s">
        <v>99</v>
      </c>
      <c r="F264">
        <v>40</v>
      </c>
      <c r="G264" t="s">
        <v>678</v>
      </c>
      <c r="H264" t="s">
        <v>678</v>
      </c>
      <c r="I264" t="s">
        <v>99</v>
      </c>
      <c r="J264" t="s">
        <v>678</v>
      </c>
      <c r="K264" t="s">
        <v>678</v>
      </c>
      <c r="L264" t="s">
        <v>678</v>
      </c>
      <c r="M264" t="s">
        <v>930</v>
      </c>
      <c r="N264" t="b">
        <v>0</v>
      </c>
    </row>
    <row r="265" spans="1:14">
      <c r="A265">
        <v>13</v>
      </c>
      <c r="B265">
        <v>3</v>
      </c>
      <c r="C265" t="s">
        <v>229</v>
      </c>
      <c r="D265" t="s">
        <v>737</v>
      </c>
      <c r="E265" t="s">
        <v>105</v>
      </c>
      <c r="F265">
        <v>60</v>
      </c>
      <c r="G265" t="s">
        <v>678</v>
      </c>
      <c r="H265" t="s">
        <v>678</v>
      </c>
      <c r="I265" t="s">
        <v>105</v>
      </c>
      <c r="J265" t="s">
        <v>678</v>
      </c>
      <c r="K265" t="s">
        <v>678</v>
      </c>
      <c r="L265" t="s">
        <v>678</v>
      </c>
      <c r="M265" t="s">
        <v>931</v>
      </c>
      <c r="N265" t="b">
        <v>0</v>
      </c>
    </row>
    <row r="266" spans="1:14">
      <c r="A266">
        <v>13</v>
      </c>
      <c r="B266">
        <v>4</v>
      </c>
      <c r="C266" t="s">
        <v>207</v>
      </c>
      <c r="D266" t="s">
        <v>737</v>
      </c>
      <c r="E266" t="s">
        <v>117</v>
      </c>
      <c r="F266">
        <v>50</v>
      </c>
      <c r="G266" t="s">
        <v>678</v>
      </c>
      <c r="H266" t="s">
        <v>678</v>
      </c>
      <c r="I266" t="s">
        <v>117</v>
      </c>
      <c r="J266" t="s">
        <v>678</v>
      </c>
      <c r="K266" t="s">
        <v>678</v>
      </c>
      <c r="L266" t="s">
        <v>678</v>
      </c>
      <c r="M266" t="s">
        <v>932</v>
      </c>
      <c r="N266" t="b">
        <v>0</v>
      </c>
    </row>
    <row r="267" spans="1:14">
      <c r="A267">
        <v>13</v>
      </c>
      <c r="B267">
        <v>5</v>
      </c>
      <c r="C267" t="s">
        <v>230</v>
      </c>
      <c r="D267" t="s">
        <v>737</v>
      </c>
      <c r="E267" t="s">
        <v>70</v>
      </c>
      <c r="F267">
        <v>50</v>
      </c>
      <c r="G267" t="s">
        <v>678</v>
      </c>
      <c r="H267" t="s">
        <v>678</v>
      </c>
      <c r="I267" t="s">
        <v>70</v>
      </c>
      <c r="J267" t="s">
        <v>678</v>
      </c>
      <c r="K267" t="s">
        <v>678</v>
      </c>
      <c r="L267" t="s">
        <v>678</v>
      </c>
      <c r="M267" t="s">
        <v>933</v>
      </c>
      <c r="N267" t="b">
        <v>0</v>
      </c>
    </row>
    <row r="268" spans="1:14">
      <c r="A268">
        <v>13</v>
      </c>
      <c r="B268">
        <v>6</v>
      </c>
      <c r="C268" t="s">
        <v>231</v>
      </c>
      <c r="D268" t="s">
        <v>737</v>
      </c>
      <c r="E268" t="s">
        <v>342</v>
      </c>
      <c r="F268">
        <v>60</v>
      </c>
      <c r="G268" t="s">
        <v>678</v>
      </c>
      <c r="H268" t="s">
        <v>559</v>
      </c>
      <c r="I268" t="s">
        <v>456</v>
      </c>
      <c r="J268" t="s">
        <v>678</v>
      </c>
      <c r="K268" t="s">
        <v>934</v>
      </c>
      <c r="L268" t="s">
        <v>935</v>
      </c>
      <c r="M268" t="s">
        <v>936</v>
      </c>
      <c r="N268" t="b">
        <v>0</v>
      </c>
    </row>
    <row r="269" spans="1:14">
      <c r="A269">
        <v>13</v>
      </c>
      <c r="B269">
        <v>7</v>
      </c>
      <c r="C269" t="s">
        <v>176</v>
      </c>
      <c r="D269" t="s">
        <v>737</v>
      </c>
      <c r="E269" t="s">
        <v>76</v>
      </c>
      <c r="F269">
        <v>50</v>
      </c>
      <c r="G269" t="s">
        <v>678</v>
      </c>
      <c r="H269" t="s">
        <v>678</v>
      </c>
      <c r="I269" t="s">
        <v>76</v>
      </c>
      <c r="J269" t="s">
        <v>678</v>
      </c>
      <c r="K269" t="s">
        <v>678</v>
      </c>
      <c r="L269" t="s">
        <v>678</v>
      </c>
      <c r="M269" t="s">
        <v>937</v>
      </c>
      <c r="N269" t="b">
        <v>0</v>
      </c>
    </row>
    <row r="270" spans="1:14">
      <c r="A270">
        <v>13</v>
      </c>
      <c r="B270">
        <v>8</v>
      </c>
      <c r="C270" t="s">
        <v>232</v>
      </c>
      <c r="D270" t="s">
        <v>737</v>
      </c>
      <c r="E270" t="s">
        <v>106</v>
      </c>
      <c r="F270">
        <v>50</v>
      </c>
      <c r="G270" t="s">
        <v>678</v>
      </c>
      <c r="H270" t="s">
        <v>678</v>
      </c>
      <c r="I270" t="s">
        <v>106</v>
      </c>
      <c r="J270" t="s">
        <v>678</v>
      </c>
      <c r="K270" t="s">
        <v>678</v>
      </c>
      <c r="L270" t="s">
        <v>678</v>
      </c>
      <c r="M270" t="s">
        <v>938</v>
      </c>
      <c r="N270" t="b">
        <v>0</v>
      </c>
    </row>
    <row r="271" spans="1:14">
      <c r="A271">
        <v>13</v>
      </c>
      <c r="B271">
        <v>9</v>
      </c>
      <c r="C271" t="s">
        <v>179</v>
      </c>
      <c r="D271" t="s">
        <v>737</v>
      </c>
      <c r="E271" t="s">
        <v>110</v>
      </c>
      <c r="F271">
        <v>50</v>
      </c>
      <c r="G271" t="s">
        <v>678</v>
      </c>
      <c r="H271" t="s">
        <v>678</v>
      </c>
      <c r="I271" t="s">
        <v>110</v>
      </c>
      <c r="J271" t="s">
        <v>678</v>
      </c>
      <c r="K271" t="s">
        <v>678</v>
      </c>
      <c r="L271" t="s">
        <v>678</v>
      </c>
      <c r="M271" t="s">
        <v>939</v>
      </c>
      <c r="N271" t="b">
        <v>0</v>
      </c>
    </row>
    <row r="272" spans="1:14">
      <c r="A272">
        <v>13</v>
      </c>
      <c r="B272">
        <v>10</v>
      </c>
      <c r="C272" t="s">
        <v>233</v>
      </c>
      <c r="D272" t="s">
        <v>737</v>
      </c>
      <c r="E272" t="s">
        <v>111</v>
      </c>
      <c r="F272">
        <v>50</v>
      </c>
      <c r="G272" t="s">
        <v>678</v>
      </c>
      <c r="H272" t="s">
        <v>678</v>
      </c>
      <c r="I272" t="s">
        <v>111</v>
      </c>
      <c r="J272" t="s">
        <v>678</v>
      </c>
      <c r="K272" t="s">
        <v>678</v>
      </c>
      <c r="L272" t="s">
        <v>678</v>
      </c>
      <c r="M272" t="s">
        <v>940</v>
      </c>
      <c r="N272" t="b">
        <v>0</v>
      </c>
    </row>
    <row r="273" spans="1:14">
      <c r="A273">
        <v>13</v>
      </c>
      <c r="B273">
        <v>11</v>
      </c>
      <c r="C273" t="s">
        <v>204</v>
      </c>
      <c r="D273" t="s">
        <v>737</v>
      </c>
      <c r="E273" t="s">
        <v>112</v>
      </c>
      <c r="F273">
        <v>60</v>
      </c>
      <c r="G273" t="s">
        <v>678</v>
      </c>
      <c r="H273" t="s">
        <v>678</v>
      </c>
      <c r="I273" t="s">
        <v>112</v>
      </c>
      <c r="J273" t="s">
        <v>678</v>
      </c>
      <c r="K273" t="s">
        <v>678</v>
      </c>
      <c r="L273" t="s">
        <v>678</v>
      </c>
      <c r="M273" t="s">
        <v>941</v>
      </c>
      <c r="N273" t="b">
        <v>0</v>
      </c>
    </row>
    <row r="274" spans="1:14">
      <c r="A274">
        <v>13</v>
      </c>
      <c r="B274">
        <v>12</v>
      </c>
      <c r="C274" t="s">
        <v>678</v>
      </c>
      <c r="D274" t="s">
        <v>737</v>
      </c>
      <c r="E274" t="s">
        <v>678</v>
      </c>
      <c r="F274">
        <v>0</v>
      </c>
      <c r="G274" t="s">
        <v>678</v>
      </c>
      <c r="H274" t="s">
        <v>678</v>
      </c>
      <c r="I274" t="s">
        <v>678</v>
      </c>
      <c r="J274" t="s">
        <v>678</v>
      </c>
      <c r="K274" t="s">
        <v>678</v>
      </c>
      <c r="L274" t="s">
        <v>678</v>
      </c>
      <c r="M274" t="s">
        <v>942</v>
      </c>
      <c r="N274" t="b">
        <v>0</v>
      </c>
    </row>
    <row r="275" spans="1:14">
      <c r="A275">
        <v>13</v>
      </c>
      <c r="B275">
        <v>13</v>
      </c>
      <c r="C275" t="s">
        <v>678</v>
      </c>
      <c r="D275" t="s">
        <v>737</v>
      </c>
      <c r="E275" t="s">
        <v>678</v>
      </c>
      <c r="F275">
        <v>0</v>
      </c>
      <c r="G275" t="s">
        <v>678</v>
      </c>
      <c r="H275" t="s">
        <v>678</v>
      </c>
      <c r="I275" t="s">
        <v>678</v>
      </c>
      <c r="J275" t="s">
        <v>678</v>
      </c>
      <c r="K275" t="s">
        <v>678</v>
      </c>
      <c r="L275" t="s">
        <v>678</v>
      </c>
      <c r="M275" t="s">
        <v>943</v>
      </c>
      <c r="N275" t="b">
        <v>0</v>
      </c>
    </row>
    <row r="276" spans="1:14">
      <c r="A276">
        <v>13</v>
      </c>
      <c r="B276">
        <v>14</v>
      </c>
      <c r="C276" t="s">
        <v>678</v>
      </c>
      <c r="D276" t="s">
        <v>737</v>
      </c>
      <c r="E276" t="s">
        <v>678</v>
      </c>
      <c r="F276">
        <v>0</v>
      </c>
      <c r="G276" t="s">
        <v>678</v>
      </c>
      <c r="H276" t="s">
        <v>678</v>
      </c>
      <c r="I276" t="s">
        <v>678</v>
      </c>
      <c r="J276" t="s">
        <v>678</v>
      </c>
      <c r="K276" t="s">
        <v>678</v>
      </c>
      <c r="L276" t="s">
        <v>678</v>
      </c>
      <c r="M276" t="s">
        <v>944</v>
      </c>
      <c r="N276" t="b">
        <v>0</v>
      </c>
    </row>
    <row r="277" spans="1:14">
      <c r="A277">
        <v>13</v>
      </c>
      <c r="B277">
        <v>15</v>
      </c>
      <c r="C277" t="s">
        <v>678</v>
      </c>
      <c r="D277" t="s">
        <v>737</v>
      </c>
      <c r="E277" t="s">
        <v>678</v>
      </c>
      <c r="F277">
        <v>0</v>
      </c>
      <c r="G277" t="s">
        <v>678</v>
      </c>
      <c r="H277" t="s">
        <v>678</v>
      </c>
      <c r="I277" t="s">
        <v>678</v>
      </c>
      <c r="J277" t="s">
        <v>678</v>
      </c>
      <c r="K277" t="s">
        <v>678</v>
      </c>
      <c r="L277" t="s">
        <v>678</v>
      </c>
      <c r="M277" t="s">
        <v>945</v>
      </c>
      <c r="N277" t="b">
        <v>0</v>
      </c>
    </row>
    <row r="278" spans="1:14">
      <c r="A278">
        <v>13</v>
      </c>
      <c r="B278">
        <v>16</v>
      </c>
      <c r="C278" t="s">
        <v>678</v>
      </c>
      <c r="D278" t="s">
        <v>754</v>
      </c>
      <c r="E278" t="s">
        <v>678</v>
      </c>
      <c r="F278">
        <v>0</v>
      </c>
      <c r="G278" t="s">
        <v>678</v>
      </c>
      <c r="H278" t="s">
        <v>678</v>
      </c>
      <c r="I278" t="s">
        <v>678</v>
      </c>
      <c r="J278" t="s">
        <v>678</v>
      </c>
      <c r="K278" t="s">
        <v>678</v>
      </c>
      <c r="L278" t="s">
        <v>678</v>
      </c>
      <c r="M278" t="s">
        <v>946</v>
      </c>
      <c r="N278" t="b">
        <v>0</v>
      </c>
    </row>
    <row r="279" spans="1:14">
      <c r="A279">
        <v>13</v>
      </c>
      <c r="B279">
        <v>17</v>
      </c>
      <c r="C279" t="s">
        <v>678</v>
      </c>
      <c r="D279" t="s">
        <v>754</v>
      </c>
      <c r="E279" t="s">
        <v>678</v>
      </c>
      <c r="F279">
        <v>0</v>
      </c>
      <c r="G279" t="s">
        <v>678</v>
      </c>
      <c r="H279" t="s">
        <v>678</v>
      </c>
      <c r="I279" t="s">
        <v>678</v>
      </c>
      <c r="J279" t="s">
        <v>678</v>
      </c>
      <c r="K279" t="s">
        <v>678</v>
      </c>
      <c r="L279" t="s">
        <v>678</v>
      </c>
      <c r="M279" t="s">
        <v>947</v>
      </c>
      <c r="N279" t="b">
        <v>0</v>
      </c>
    </row>
    <row r="280" spans="1:14">
      <c r="A280">
        <v>13</v>
      </c>
      <c r="B280">
        <v>18</v>
      </c>
      <c r="C280" t="s">
        <v>678</v>
      </c>
      <c r="D280" t="s">
        <v>754</v>
      </c>
      <c r="E280" t="s">
        <v>678</v>
      </c>
      <c r="F280">
        <v>0</v>
      </c>
      <c r="G280" t="s">
        <v>678</v>
      </c>
      <c r="H280" t="s">
        <v>678</v>
      </c>
      <c r="I280" t="s">
        <v>678</v>
      </c>
      <c r="J280" t="s">
        <v>678</v>
      </c>
      <c r="K280" t="s">
        <v>678</v>
      </c>
      <c r="L280" t="s">
        <v>678</v>
      </c>
      <c r="M280" t="s">
        <v>948</v>
      </c>
      <c r="N280" t="b">
        <v>0</v>
      </c>
    </row>
    <row r="281" spans="1:14">
      <c r="A281">
        <v>13</v>
      </c>
      <c r="B281">
        <v>19</v>
      </c>
      <c r="C281" t="s">
        <v>678</v>
      </c>
      <c r="D281" t="s">
        <v>754</v>
      </c>
      <c r="E281" t="s">
        <v>678</v>
      </c>
      <c r="F281">
        <v>0</v>
      </c>
      <c r="G281" t="s">
        <v>678</v>
      </c>
      <c r="H281" t="s">
        <v>678</v>
      </c>
      <c r="I281" t="s">
        <v>678</v>
      </c>
      <c r="J281" t="s">
        <v>678</v>
      </c>
      <c r="K281" t="s">
        <v>678</v>
      </c>
      <c r="L281" t="s">
        <v>678</v>
      </c>
      <c r="M281" t="s">
        <v>949</v>
      </c>
      <c r="N281" t="b">
        <v>0</v>
      </c>
    </row>
    <row r="282" spans="1:14">
      <c r="A282">
        <v>13</v>
      </c>
      <c r="B282">
        <v>20</v>
      </c>
      <c r="C282" t="s">
        <v>678</v>
      </c>
      <c r="D282" t="s">
        <v>754</v>
      </c>
      <c r="E282" t="s">
        <v>678</v>
      </c>
      <c r="F282">
        <v>0</v>
      </c>
      <c r="G282" t="s">
        <v>678</v>
      </c>
      <c r="H282" t="s">
        <v>678</v>
      </c>
      <c r="I282" t="s">
        <v>678</v>
      </c>
      <c r="J282" t="s">
        <v>678</v>
      </c>
      <c r="K282" t="s">
        <v>678</v>
      </c>
      <c r="L282" t="s">
        <v>678</v>
      </c>
      <c r="M282" t="s">
        <v>950</v>
      </c>
      <c r="N282" t="b">
        <v>0</v>
      </c>
    </row>
    <row r="283" spans="1:14">
      <c r="A283">
        <v>13</v>
      </c>
      <c r="B283">
        <v>21</v>
      </c>
      <c r="C283" t="s">
        <v>678</v>
      </c>
      <c r="D283" t="s">
        <v>754</v>
      </c>
      <c r="E283" t="s">
        <v>678</v>
      </c>
      <c r="F283">
        <v>0</v>
      </c>
      <c r="G283" t="s">
        <v>678</v>
      </c>
      <c r="H283" t="s">
        <v>678</v>
      </c>
      <c r="I283" t="s">
        <v>678</v>
      </c>
      <c r="J283" t="s">
        <v>678</v>
      </c>
      <c r="K283" t="s">
        <v>678</v>
      </c>
      <c r="L283" t="s">
        <v>678</v>
      </c>
      <c r="M283" t="s">
        <v>951</v>
      </c>
      <c r="N283" t="b">
        <v>0</v>
      </c>
    </row>
    <row r="284" spans="1:14">
      <c r="A284">
        <v>13</v>
      </c>
      <c r="B284">
        <v>22</v>
      </c>
      <c r="C284" t="s">
        <v>678</v>
      </c>
      <c r="D284" t="s">
        <v>754</v>
      </c>
      <c r="E284" t="s">
        <v>678</v>
      </c>
      <c r="F284">
        <v>0</v>
      </c>
      <c r="G284" t="s">
        <v>678</v>
      </c>
      <c r="H284" t="s">
        <v>678</v>
      </c>
      <c r="I284" t="s">
        <v>678</v>
      </c>
      <c r="J284" t="s">
        <v>678</v>
      </c>
      <c r="K284" t="s">
        <v>678</v>
      </c>
      <c r="L284" t="s">
        <v>678</v>
      </c>
      <c r="M284" t="s">
        <v>952</v>
      </c>
      <c r="N284" t="b">
        <v>0</v>
      </c>
    </row>
    <row r="285" spans="1:14">
      <c r="A285">
        <v>13</v>
      </c>
      <c r="B285">
        <v>23</v>
      </c>
      <c r="C285" t="s">
        <v>678</v>
      </c>
      <c r="D285" t="s">
        <v>754</v>
      </c>
      <c r="E285" t="s">
        <v>678</v>
      </c>
      <c r="F285">
        <v>0</v>
      </c>
      <c r="G285" t="s">
        <v>678</v>
      </c>
      <c r="H285" t="s">
        <v>678</v>
      </c>
      <c r="I285" t="s">
        <v>678</v>
      </c>
      <c r="J285" t="s">
        <v>678</v>
      </c>
      <c r="K285" t="s">
        <v>678</v>
      </c>
      <c r="L285" t="s">
        <v>678</v>
      </c>
      <c r="M285" t="s">
        <v>953</v>
      </c>
      <c r="N285" t="b">
        <v>0</v>
      </c>
    </row>
    <row r="286" spans="1:14">
      <c r="A286">
        <v>13</v>
      </c>
      <c r="B286">
        <v>24</v>
      </c>
      <c r="C286" t="s">
        <v>678</v>
      </c>
      <c r="D286" t="s">
        <v>754</v>
      </c>
      <c r="E286" t="s">
        <v>678</v>
      </c>
      <c r="F286">
        <v>0</v>
      </c>
      <c r="G286" t="s">
        <v>678</v>
      </c>
      <c r="H286" t="s">
        <v>678</v>
      </c>
      <c r="I286" t="s">
        <v>678</v>
      </c>
      <c r="J286" t="s">
        <v>678</v>
      </c>
      <c r="K286" t="s">
        <v>678</v>
      </c>
      <c r="L286" t="s">
        <v>678</v>
      </c>
      <c r="M286" t="s">
        <v>954</v>
      </c>
      <c r="N286" t="b">
        <v>0</v>
      </c>
    </row>
    <row r="287" spans="1:14">
      <c r="A287">
        <v>13</v>
      </c>
      <c r="B287">
        <v>25</v>
      </c>
      <c r="C287" t="s">
        <v>678</v>
      </c>
      <c r="D287" t="s">
        <v>754</v>
      </c>
      <c r="E287" t="s">
        <v>678</v>
      </c>
      <c r="F287">
        <v>0</v>
      </c>
      <c r="G287" t="s">
        <v>678</v>
      </c>
      <c r="H287" t="s">
        <v>678</v>
      </c>
      <c r="I287" t="s">
        <v>678</v>
      </c>
      <c r="J287" t="s">
        <v>678</v>
      </c>
      <c r="K287" t="s">
        <v>678</v>
      </c>
      <c r="L287" t="s">
        <v>678</v>
      </c>
      <c r="M287" t="s">
        <v>955</v>
      </c>
      <c r="N287" t="b">
        <v>0</v>
      </c>
    </row>
    <row r="288" spans="1:14">
      <c r="A288">
        <v>13</v>
      </c>
      <c r="B288">
        <v>26</v>
      </c>
      <c r="C288" t="s">
        <v>678</v>
      </c>
      <c r="D288" t="s">
        <v>754</v>
      </c>
      <c r="E288" t="s">
        <v>678</v>
      </c>
      <c r="F288">
        <v>0</v>
      </c>
      <c r="G288" t="s">
        <v>678</v>
      </c>
      <c r="H288" t="s">
        <v>678</v>
      </c>
      <c r="I288" t="s">
        <v>678</v>
      </c>
      <c r="J288" t="s">
        <v>678</v>
      </c>
      <c r="K288" t="s">
        <v>678</v>
      </c>
      <c r="L288" t="s">
        <v>678</v>
      </c>
      <c r="M288" t="s">
        <v>956</v>
      </c>
      <c r="N288" t="b">
        <v>0</v>
      </c>
    </row>
    <row r="289" spans="1:14">
      <c r="A289">
        <v>14</v>
      </c>
      <c r="B289">
        <v>0</v>
      </c>
      <c r="C289" t="s">
        <v>195</v>
      </c>
      <c r="D289" t="s">
        <v>737</v>
      </c>
      <c r="E289" t="s">
        <v>67</v>
      </c>
      <c r="F289">
        <v>50</v>
      </c>
      <c r="G289" t="s">
        <v>678</v>
      </c>
      <c r="H289" t="s">
        <v>678</v>
      </c>
      <c r="I289" t="s">
        <v>67</v>
      </c>
      <c r="J289" t="s">
        <v>678</v>
      </c>
      <c r="K289" t="s">
        <v>678</v>
      </c>
      <c r="L289" t="s">
        <v>678</v>
      </c>
      <c r="M289" t="s">
        <v>957</v>
      </c>
      <c r="N289" t="b">
        <v>0</v>
      </c>
    </row>
    <row r="290" spans="1:14">
      <c r="A290">
        <v>14</v>
      </c>
      <c r="B290">
        <v>1</v>
      </c>
      <c r="C290" t="s">
        <v>236</v>
      </c>
      <c r="D290" t="s">
        <v>737</v>
      </c>
      <c r="E290" t="s">
        <v>79</v>
      </c>
      <c r="F290">
        <v>50</v>
      </c>
      <c r="G290" t="s">
        <v>678</v>
      </c>
      <c r="H290" t="s">
        <v>678</v>
      </c>
      <c r="I290" t="s">
        <v>79</v>
      </c>
      <c r="J290" t="s">
        <v>678</v>
      </c>
      <c r="K290" t="s">
        <v>678</v>
      </c>
      <c r="L290" t="s">
        <v>678</v>
      </c>
      <c r="M290" t="s">
        <v>958</v>
      </c>
      <c r="N290" t="b">
        <v>0</v>
      </c>
    </row>
    <row r="291" spans="1:14">
      <c r="A291">
        <v>14</v>
      </c>
      <c r="B291">
        <v>2</v>
      </c>
      <c r="C291" t="s">
        <v>237</v>
      </c>
      <c r="D291" t="s">
        <v>737</v>
      </c>
      <c r="E291" t="s">
        <v>97</v>
      </c>
      <c r="F291">
        <v>60</v>
      </c>
      <c r="G291" t="s">
        <v>678</v>
      </c>
      <c r="H291" t="s">
        <v>678</v>
      </c>
      <c r="I291" t="s">
        <v>97</v>
      </c>
      <c r="J291" t="s">
        <v>678</v>
      </c>
      <c r="K291" t="s">
        <v>678</v>
      </c>
      <c r="L291" t="s">
        <v>678</v>
      </c>
      <c r="M291" t="s">
        <v>959</v>
      </c>
      <c r="N291" t="b">
        <v>0</v>
      </c>
    </row>
    <row r="292" spans="1:14">
      <c r="A292">
        <v>14</v>
      </c>
      <c r="B292">
        <v>3</v>
      </c>
      <c r="C292" t="s">
        <v>238</v>
      </c>
      <c r="D292" t="s">
        <v>737</v>
      </c>
      <c r="E292" t="s">
        <v>101</v>
      </c>
      <c r="F292">
        <v>40</v>
      </c>
      <c r="G292" t="s">
        <v>678</v>
      </c>
      <c r="H292" t="s">
        <v>678</v>
      </c>
      <c r="I292" t="s">
        <v>101</v>
      </c>
      <c r="J292" t="s">
        <v>678</v>
      </c>
      <c r="K292" t="s">
        <v>678</v>
      </c>
      <c r="L292" t="s">
        <v>678</v>
      </c>
      <c r="M292" t="s">
        <v>960</v>
      </c>
      <c r="N292" t="b">
        <v>0</v>
      </c>
    </row>
    <row r="293" spans="1:14">
      <c r="A293">
        <v>14</v>
      </c>
      <c r="B293">
        <v>4</v>
      </c>
      <c r="C293" t="s">
        <v>197</v>
      </c>
      <c r="D293" t="s">
        <v>737</v>
      </c>
      <c r="E293" t="s">
        <v>103</v>
      </c>
      <c r="F293">
        <v>50</v>
      </c>
      <c r="G293" t="s">
        <v>678</v>
      </c>
      <c r="H293" t="s">
        <v>678</v>
      </c>
      <c r="I293" t="s">
        <v>103</v>
      </c>
      <c r="J293" t="s">
        <v>678</v>
      </c>
      <c r="K293" t="s">
        <v>678</v>
      </c>
      <c r="L293" t="s">
        <v>678</v>
      </c>
      <c r="M293" t="s">
        <v>961</v>
      </c>
      <c r="N293" t="b">
        <v>0</v>
      </c>
    </row>
    <row r="294" spans="1:14">
      <c r="A294">
        <v>14</v>
      </c>
      <c r="B294">
        <v>5</v>
      </c>
      <c r="C294" t="s">
        <v>239</v>
      </c>
      <c r="D294" t="s">
        <v>737</v>
      </c>
      <c r="E294" t="s">
        <v>105</v>
      </c>
      <c r="F294">
        <v>40</v>
      </c>
      <c r="G294" t="s">
        <v>678</v>
      </c>
      <c r="H294" t="s">
        <v>678</v>
      </c>
      <c r="I294" t="s">
        <v>105</v>
      </c>
      <c r="J294" t="s">
        <v>678</v>
      </c>
      <c r="K294" t="s">
        <v>678</v>
      </c>
      <c r="L294" t="s">
        <v>678</v>
      </c>
      <c r="M294" t="s">
        <v>962</v>
      </c>
      <c r="N294" t="b">
        <v>0</v>
      </c>
    </row>
    <row r="295" spans="1:14">
      <c r="A295">
        <v>14</v>
      </c>
      <c r="B295">
        <v>6</v>
      </c>
      <c r="C295" t="s">
        <v>240</v>
      </c>
      <c r="D295" t="s">
        <v>737</v>
      </c>
      <c r="E295" t="s">
        <v>64</v>
      </c>
      <c r="F295">
        <v>20</v>
      </c>
      <c r="G295" t="s">
        <v>678</v>
      </c>
      <c r="H295" t="s">
        <v>678</v>
      </c>
      <c r="I295" t="s">
        <v>64</v>
      </c>
      <c r="J295" t="s">
        <v>678</v>
      </c>
      <c r="K295" t="s">
        <v>678</v>
      </c>
      <c r="L295" t="s">
        <v>678</v>
      </c>
      <c r="M295" t="s">
        <v>963</v>
      </c>
      <c r="N295" t="b">
        <v>0</v>
      </c>
    </row>
    <row r="296" spans="1:14">
      <c r="A296">
        <v>14</v>
      </c>
      <c r="B296">
        <v>7</v>
      </c>
      <c r="C296" t="s">
        <v>241</v>
      </c>
      <c r="D296" t="s">
        <v>737</v>
      </c>
      <c r="E296" t="s">
        <v>70</v>
      </c>
      <c r="F296">
        <v>40</v>
      </c>
      <c r="G296" t="s">
        <v>678</v>
      </c>
      <c r="H296" t="s">
        <v>678</v>
      </c>
      <c r="I296" t="s">
        <v>70</v>
      </c>
      <c r="J296" t="s">
        <v>678</v>
      </c>
      <c r="K296" t="s">
        <v>678</v>
      </c>
      <c r="L296" t="s">
        <v>678</v>
      </c>
      <c r="M296" t="s">
        <v>964</v>
      </c>
      <c r="N296" t="b">
        <v>0</v>
      </c>
    </row>
    <row r="297" spans="1:14">
      <c r="A297">
        <v>14</v>
      </c>
      <c r="B297">
        <v>8</v>
      </c>
      <c r="C297" t="s">
        <v>202</v>
      </c>
      <c r="D297" t="s">
        <v>737</v>
      </c>
      <c r="E297" t="s">
        <v>80</v>
      </c>
      <c r="F297">
        <v>50</v>
      </c>
      <c r="G297" t="s">
        <v>678</v>
      </c>
      <c r="H297" t="s">
        <v>678</v>
      </c>
      <c r="I297" t="s">
        <v>80</v>
      </c>
      <c r="J297" t="s">
        <v>678</v>
      </c>
      <c r="K297" t="s">
        <v>678</v>
      </c>
      <c r="L297" t="s">
        <v>678</v>
      </c>
      <c r="M297" t="s">
        <v>965</v>
      </c>
      <c r="N297" t="b">
        <v>0</v>
      </c>
    </row>
    <row r="298" spans="1:14">
      <c r="A298">
        <v>14</v>
      </c>
      <c r="B298">
        <v>9</v>
      </c>
      <c r="C298" t="s">
        <v>232</v>
      </c>
      <c r="D298" t="s">
        <v>737</v>
      </c>
      <c r="E298" t="s">
        <v>106</v>
      </c>
      <c r="F298">
        <v>50</v>
      </c>
      <c r="G298" t="s">
        <v>678</v>
      </c>
      <c r="H298" t="s">
        <v>678</v>
      </c>
      <c r="I298" t="s">
        <v>106</v>
      </c>
      <c r="J298" t="s">
        <v>678</v>
      </c>
      <c r="K298" t="s">
        <v>678</v>
      </c>
      <c r="L298" t="s">
        <v>678</v>
      </c>
      <c r="M298" t="s">
        <v>966</v>
      </c>
      <c r="N298" t="b">
        <v>0</v>
      </c>
    </row>
    <row r="299" spans="1:14">
      <c r="A299">
        <v>14</v>
      </c>
      <c r="B299">
        <v>10</v>
      </c>
      <c r="C299" t="s">
        <v>242</v>
      </c>
      <c r="D299" t="s">
        <v>737</v>
      </c>
      <c r="E299" t="s">
        <v>112</v>
      </c>
      <c r="F299">
        <v>50</v>
      </c>
      <c r="G299" t="s">
        <v>678</v>
      </c>
      <c r="H299" t="s">
        <v>678</v>
      </c>
      <c r="I299" t="s">
        <v>112</v>
      </c>
      <c r="J299" t="s">
        <v>678</v>
      </c>
      <c r="K299" t="s">
        <v>678</v>
      </c>
      <c r="L299" t="s">
        <v>678</v>
      </c>
      <c r="M299" t="s">
        <v>967</v>
      </c>
      <c r="N299" t="b">
        <v>0</v>
      </c>
    </row>
    <row r="300" spans="1:14">
      <c r="A300">
        <v>14</v>
      </c>
      <c r="B300">
        <v>11</v>
      </c>
      <c r="C300" t="s">
        <v>678</v>
      </c>
      <c r="D300" t="s">
        <v>737</v>
      </c>
      <c r="E300" t="s">
        <v>678</v>
      </c>
      <c r="F300">
        <v>0</v>
      </c>
      <c r="G300" t="s">
        <v>678</v>
      </c>
      <c r="H300" t="s">
        <v>678</v>
      </c>
      <c r="I300" t="s">
        <v>678</v>
      </c>
      <c r="J300" t="s">
        <v>678</v>
      </c>
      <c r="K300" t="s">
        <v>678</v>
      </c>
      <c r="L300" t="s">
        <v>678</v>
      </c>
      <c r="M300" t="s">
        <v>968</v>
      </c>
      <c r="N300" t="b">
        <v>0</v>
      </c>
    </row>
    <row r="301" spans="1:14">
      <c r="A301">
        <v>14</v>
      </c>
      <c r="B301">
        <v>12</v>
      </c>
      <c r="C301" t="s">
        <v>678</v>
      </c>
      <c r="D301" t="s">
        <v>737</v>
      </c>
      <c r="E301" t="s">
        <v>678</v>
      </c>
      <c r="F301">
        <v>0</v>
      </c>
      <c r="G301" t="s">
        <v>678</v>
      </c>
      <c r="H301" t="s">
        <v>678</v>
      </c>
      <c r="I301" t="s">
        <v>678</v>
      </c>
      <c r="J301" t="s">
        <v>678</v>
      </c>
      <c r="K301" t="s">
        <v>678</v>
      </c>
      <c r="L301" t="s">
        <v>678</v>
      </c>
      <c r="M301" t="s">
        <v>969</v>
      </c>
      <c r="N301" t="b">
        <v>0</v>
      </c>
    </row>
    <row r="302" spans="1:14">
      <c r="A302">
        <v>14</v>
      </c>
      <c r="B302">
        <v>13</v>
      </c>
      <c r="C302" t="s">
        <v>678</v>
      </c>
      <c r="D302" t="s">
        <v>737</v>
      </c>
      <c r="E302" t="s">
        <v>678</v>
      </c>
      <c r="F302">
        <v>0</v>
      </c>
      <c r="G302" t="s">
        <v>678</v>
      </c>
      <c r="H302" t="s">
        <v>678</v>
      </c>
      <c r="I302" t="s">
        <v>678</v>
      </c>
      <c r="J302" t="s">
        <v>678</v>
      </c>
      <c r="K302" t="s">
        <v>678</v>
      </c>
      <c r="L302" t="s">
        <v>678</v>
      </c>
      <c r="M302" t="s">
        <v>970</v>
      </c>
      <c r="N302" t="b">
        <v>0</v>
      </c>
    </row>
    <row r="303" spans="1:14">
      <c r="A303">
        <v>14</v>
      </c>
      <c r="B303">
        <v>14</v>
      </c>
      <c r="C303" t="s">
        <v>678</v>
      </c>
      <c r="D303" t="s">
        <v>737</v>
      </c>
      <c r="E303" t="s">
        <v>678</v>
      </c>
      <c r="F303">
        <v>0</v>
      </c>
      <c r="G303" t="s">
        <v>678</v>
      </c>
      <c r="H303" t="s">
        <v>678</v>
      </c>
      <c r="I303" t="s">
        <v>678</v>
      </c>
      <c r="J303" t="s">
        <v>678</v>
      </c>
      <c r="K303" t="s">
        <v>678</v>
      </c>
      <c r="L303" t="s">
        <v>678</v>
      </c>
      <c r="M303" t="s">
        <v>971</v>
      </c>
      <c r="N303" t="b">
        <v>0</v>
      </c>
    </row>
    <row r="304" spans="1:14">
      <c r="A304">
        <v>14</v>
      </c>
      <c r="B304">
        <v>15</v>
      </c>
      <c r="C304" t="s">
        <v>678</v>
      </c>
      <c r="D304" t="s">
        <v>737</v>
      </c>
      <c r="E304" t="s">
        <v>678</v>
      </c>
      <c r="F304">
        <v>0</v>
      </c>
      <c r="G304" t="s">
        <v>678</v>
      </c>
      <c r="H304" t="s">
        <v>678</v>
      </c>
      <c r="I304" t="s">
        <v>678</v>
      </c>
      <c r="J304" t="s">
        <v>678</v>
      </c>
      <c r="K304" t="s">
        <v>678</v>
      </c>
      <c r="L304" t="s">
        <v>678</v>
      </c>
      <c r="M304" t="s">
        <v>972</v>
      </c>
      <c r="N304" t="b">
        <v>0</v>
      </c>
    </row>
    <row r="305" spans="1:14">
      <c r="A305">
        <v>14</v>
      </c>
      <c r="B305">
        <v>16</v>
      </c>
      <c r="C305" t="s">
        <v>243</v>
      </c>
      <c r="D305" t="s">
        <v>754</v>
      </c>
      <c r="E305" t="s">
        <v>555</v>
      </c>
      <c r="F305">
        <v>40</v>
      </c>
      <c r="G305" t="s">
        <v>678</v>
      </c>
      <c r="H305" t="s">
        <v>573</v>
      </c>
      <c r="I305" t="s">
        <v>520</v>
      </c>
      <c r="J305" t="s">
        <v>678</v>
      </c>
      <c r="K305" t="s">
        <v>805</v>
      </c>
      <c r="L305" t="s">
        <v>806</v>
      </c>
      <c r="M305" t="s">
        <v>973</v>
      </c>
      <c r="N305" t="b">
        <v>0</v>
      </c>
    </row>
    <row r="306" spans="1:14">
      <c r="A306">
        <v>14</v>
      </c>
      <c r="B306">
        <v>17</v>
      </c>
      <c r="C306" t="s">
        <v>228</v>
      </c>
      <c r="D306" t="s">
        <v>754</v>
      </c>
      <c r="E306" t="s">
        <v>99</v>
      </c>
      <c r="F306">
        <v>40</v>
      </c>
      <c r="G306" t="s">
        <v>678</v>
      </c>
      <c r="H306" t="s">
        <v>678</v>
      </c>
      <c r="I306" t="s">
        <v>99</v>
      </c>
      <c r="J306" t="s">
        <v>678</v>
      </c>
      <c r="K306" t="s">
        <v>678</v>
      </c>
      <c r="L306" t="s">
        <v>678</v>
      </c>
      <c r="M306" t="s">
        <v>682</v>
      </c>
      <c r="N306" t="b">
        <v>0</v>
      </c>
    </row>
    <row r="307" spans="1:14">
      <c r="A307">
        <v>14</v>
      </c>
      <c r="B307">
        <v>18</v>
      </c>
      <c r="C307" t="s">
        <v>244</v>
      </c>
      <c r="D307" t="s">
        <v>754</v>
      </c>
      <c r="E307" t="s">
        <v>100</v>
      </c>
      <c r="F307">
        <v>50</v>
      </c>
      <c r="G307" t="s">
        <v>678</v>
      </c>
      <c r="H307" t="s">
        <v>678</v>
      </c>
      <c r="I307" t="s">
        <v>100</v>
      </c>
      <c r="J307" t="s">
        <v>678</v>
      </c>
      <c r="K307" t="s">
        <v>678</v>
      </c>
      <c r="L307" t="s">
        <v>678</v>
      </c>
      <c r="M307" t="s">
        <v>974</v>
      </c>
      <c r="N307" t="b">
        <v>0</v>
      </c>
    </row>
    <row r="308" spans="1:14">
      <c r="A308">
        <v>14</v>
      </c>
      <c r="B308">
        <v>19</v>
      </c>
      <c r="C308" t="s">
        <v>169</v>
      </c>
      <c r="D308" t="s">
        <v>754</v>
      </c>
      <c r="E308" t="s">
        <v>308</v>
      </c>
      <c r="F308">
        <v>40</v>
      </c>
      <c r="G308" t="s">
        <v>773</v>
      </c>
      <c r="H308" t="s">
        <v>678</v>
      </c>
      <c r="I308" t="s">
        <v>678</v>
      </c>
      <c r="J308" t="s">
        <v>774</v>
      </c>
      <c r="K308" t="s">
        <v>775</v>
      </c>
      <c r="L308" t="s">
        <v>776</v>
      </c>
      <c r="M308" t="s">
        <v>975</v>
      </c>
      <c r="N308" t="b">
        <v>0</v>
      </c>
    </row>
    <row r="309" spans="1:14">
      <c r="A309">
        <v>14</v>
      </c>
      <c r="B309">
        <v>20</v>
      </c>
      <c r="C309" t="s">
        <v>222</v>
      </c>
      <c r="D309" t="s">
        <v>754</v>
      </c>
      <c r="E309" t="s">
        <v>113</v>
      </c>
      <c r="F309">
        <v>40</v>
      </c>
      <c r="G309" t="s">
        <v>678</v>
      </c>
      <c r="H309" t="s">
        <v>678</v>
      </c>
      <c r="I309" t="s">
        <v>113</v>
      </c>
      <c r="J309" t="s">
        <v>678</v>
      </c>
      <c r="K309" t="s">
        <v>678</v>
      </c>
      <c r="L309" t="s">
        <v>678</v>
      </c>
      <c r="M309" t="s">
        <v>976</v>
      </c>
      <c r="N309" t="b">
        <v>0</v>
      </c>
    </row>
    <row r="310" spans="1:14">
      <c r="A310">
        <v>14</v>
      </c>
      <c r="B310">
        <v>21</v>
      </c>
      <c r="C310" t="s">
        <v>175</v>
      </c>
      <c r="D310" t="s">
        <v>754</v>
      </c>
      <c r="E310" t="s">
        <v>119</v>
      </c>
      <c r="F310">
        <v>50</v>
      </c>
      <c r="G310" t="s">
        <v>678</v>
      </c>
      <c r="H310" t="s">
        <v>678</v>
      </c>
      <c r="I310" t="s">
        <v>119</v>
      </c>
      <c r="J310" t="s">
        <v>678</v>
      </c>
      <c r="K310" t="s">
        <v>678</v>
      </c>
      <c r="L310" t="s">
        <v>678</v>
      </c>
      <c r="M310" t="s">
        <v>977</v>
      </c>
      <c r="N310" t="b">
        <v>0</v>
      </c>
    </row>
    <row r="311" spans="1:14">
      <c r="A311">
        <v>14</v>
      </c>
      <c r="B311">
        <v>22</v>
      </c>
      <c r="C311" t="s">
        <v>176</v>
      </c>
      <c r="D311" t="s">
        <v>754</v>
      </c>
      <c r="E311" t="s">
        <v>76</v>
      </c>
      <c r="F311">
        <v>50</v>
      </c>
      <c r="G311" t="s">
        <v>678</v>
      </c>
      <c r="H311" t="s">
        <v>678</v>
      </c>
      <c r="I311" t="s">
        <v>76</v>
      </c>
      <c r="J311" t="s">
        <v>678</v>
      </c>
      <c r="K311" t="s">
        <v>678</v>
      </c>
      <c r="L311" t="s">
        <v>678</v>
      </c>
      <c r="M311" t="s">
        <v>978</v>
      </c>
      <c r="N311" t="b">
        <v>0</v>
      </c>
    </row>
    <row r="312" spans="1:14">
      <c r="A312">
        <v>14</v>
      </c>
      <c r="B312">
        <v>23</v>
      </c>
      <c r="C312" t="s">
        <v>245</v>
      </c>
      <c r="D312" t="s">
        <v>754</v>
      </c>
      <c r="E312" t="s">
        <v>78</v>
      </c>
      <c r="F312">
        <v>50</v>
      </c>
      <c r="G312" t="s">
        <v>678</v>
      </c>
      <c r="H312" t="s">
        <v>678</v>
      </c>
      <c r="I312" t="s">
        <v>78</v>
      </c>
      <c r="J312" t="s">
        <v>678</v>
      </c>
      <c r="K312" t="s">
        <v>678</v>
      </c>
      <c r="L312" t="s">
        <v>678</v>
      </c>
      <c r="M312" t="s">
        <v>979</v>
      </c>
      <c r="N312" t="b">
        <v>0</v>
      </c>
    </row>
    <row r="313" spans="1:14">
      <c r="A313">
        <v>14</v>
      </c>
      <c r="B313">
        <v>24</v>
      </c>
      <c r="C313" t="s">
        <v>223</v>
      </c>
      <c r="D313" t="s">
        <v>754</v>
      </c>
      <c r="E313" t="s">
        <v>86</v>
      </c>
      <c r="F313">
        <v>40</v>
      </c>
      <c r="G313" t="s">
        <v>678</v>
      </c>
      <c r="H313" t="s">
        <v>678</v>
      </c>
      <c r="I313" t="s">
        <v>86</v>
      </c>
      <c r="J313" t="s">
        <v>678</v>
      </c>
      <c r="K313" t="s">
        <v>678</v>
      </c>
      <c r="L313" t="s">
        <v>678</v>
      </c>
      <c r="M313" t="s">
        <v>980</v>
      </c>
      <c r="N313" t="b">
        <v>0</v>
      </c>
    </row>
    <row r="314" spans="1:14">
      <c r="A314">
        <v>14</v>
      </c>
      <c r="B314">
        <v>25</v>
      </c>
      <c r="C314" t="s">
        <v>678</v>
      </c>
      <c r="D314" t="s">
        <v>754</v>
      </c>
      <c r="E314" t="s">
        <v>678</v>
      </c>
      <c r="F314">
        <v>0</v>
      </c>
      <c r="G314" t="s">
        <v>678</v>
      </c>
      <c r="H314" t="s">
        <v>678</v>
      </c>
      <c r="I314" t="s">
        <v>678</v>
      </c>
      <c r="J314" t="s">
        <v>678</v>
      </c>
      <c r="K314" t="s">
        <v>678</v>
      </c>
      <c r="L314" t="s">
        <v>678</v>
      </c>
      <c r="M314" t="s">
        <v>981</v>
      </c>
      <c r="N314" t="b">
        <v>0</v>
      </c>
    </row>
    <row r="315" spans="1:14">
      <c r="A315">
        <v>14</v>
      </c>
      <c r="B315">
        <v>26</v>
      </c>
      <c r="C315" t="s">
        <v>678</v>
      </c>
      <c r="D315" t="s">
        <v>754</v>
      </c>
      <c r="E315" t="s">
        <v>678</v>
      </c>
      <c r="F315">
        <v>0</v>
      </c>
      <c r="G315" t="s">
        <v>678</v>
      </c>
      <c r="H315" t="s">
        <v>678</v>
      </c>
      <c r="I315" t="s">
        <v>678</v>
      </c>
      <c r="J315" t="s">
        <v>678</v>
      </c>
      <c r="K315" t="s">
        <v>678</v>
      </c>
      <c r="L315" t="s">
        <v>678</v>
      </c>
      <c r="M315" t="s">
        <v>982</v>
      </c>
      <c r="N315" t="b">
        <v>0</v>
      </c>
    </row>
    <row r="316" spans="1:14">
      <c r="A316">
        <v>15</v>
      </c>
      <c r="B316">
        <v>0</v>
      </c>
      <c r="C316" t="s">
        <v>195</v>
      </c>
      <c r="D316" t="s">
        <v>737</v>
      </c>
      <c r="E316" t="s">
        <v>67</v>
      </c>
      <c r="F316">
        <v>50</v>
      </c>
      <c r="G316" t="s">
        <v>678</v>
      </c>
      <c r="H316" t="s">
        <v>678</v>
      </c>
      <c r="I316" t="s">
        <v>67</v>
      </c>
      <c r="J316" t="s">
        <v>678</v>
      </c>
      <c r="K316" t="s">
        <v>678</v>
      </c>
      <c r="L316" t="s">
        <v>678</v>
      </c>
      <c r="M316" t="s">
        <v>983</v>
      </c>
      <c r="N316" t="b">
        <v>0</v>
      </c>
    </row>
    <row r="317" spans="1:14">
      <c r="A317">
        <v>15</v>
      </c>
      <c r="B317">
        <v>1</v>
      </c>
      <c r="C317" t="s">
        <v>227</v>
      </c>
      <c r="D317" t="s">
        <v>737</v>
      </c>
      <c r="E317" t="s">
        <v>79</v>
      </c>
      <c r="F317">
        <v>60</v>
      </c>
      <c r="G317" t="s">
        <v>678</v>
      </c>
      <c r="H317" t="s">
        <v>678</v>
      </c>
      <c r="I317" t="s">
        <v>79</v>
      </c>
      <c r="J317" t="s">
        <v>678</v>
      </c>
      <c r="K317" t="s">
        <v>678</v>
      </c>
      <c r="L317" t="s">
        <v>678</v>
      </c>
      <c r="M317" t="s">
        <v>984</v>
      </c>
      <c r="N317" t="b">
        <v>0</v>
      </c>
    </row>
    <row r="318" spans="1:14">
      <c r="A318">
        <v>15</v>
      </c>
      <c r="B318">
        <v>2</v>
      </c>
      <c r="C318" t="s">
        <v>248</v>
      </c>
      <c r="D318" t="s">
        <v>737</v>
      </c>
      <c r="E318" t="s">
        <v>555</v>
      </c>
      <c r="F318">
        <v>40</v>
      </c>
      <c r="G318" t="s">
        <v>678</v>
      </c>
      <c r="H318" t="s">
        <v>558</v>
      </c>
      <c r="I318" t="s">
        <v>519</v>
      </c>
      <c r="J318" t="s">
        <v>678</v>
      </c>
      <c r="K318" t="s">
        <v>805</v>
      </c>
      <c r="L318" t="s">
        <v>806</v>
      </c>
      <c r="M318" t="s">
        <v>985</v>
      </c>
      <c r="N318" t="b">
        <v>0</v>
      </c>
    </row>
    <row r="319" spans="1:14">
      <c r="A319">
        <v>15</v>
      </c>
      <c r="B319">
        <v>3</v>
      </c>
      <c r="C319" t="s">
        <v>249</v>
      </c>
      <c r="D319" t="s">
        <v>737</v>
      </c>
      <c r="E319" t="s">
        <v>555</v>
      </c>
      <c r="F319">
        <v>40</v>
      </c>
      <c r="G319" t="s">
        <v>678</v>
      </c>
      <c r="H319" t="s">
        <v>568</v>
      </c>
      <c r="I319" t="s">
        <v>497</v>
      </c>
      <c r="J319" t="s">
        <v>678</v>
      </c>
      <c r="K319" t="s">
        <v>808</v>
      </c>
      <c r="L319" t="s">
        <v>809</v>
      </c>
      <c r="M319" t="s">
        <v>986</v>
      </c>
      <c r="N319" t="b">
        <v>0</v>
      </c>
    </row>
    <row r="320" spans="1:14">
      <c r="A320">
        <v>15</v>
      </c>
      <c r="B320">
        <v>4</v>
      </c>
      <c r="C320" t="s">
        <v>250</v>
      </c>
      <c r="D320" t="s">
        <v>737</v>
      </c>
      <c r="E320" t="s">
        <v>99</v>
      </c>
      <c r="F320">
        <v>50</v>
      </c>
      <c r="G320" t="s">
        <v>678</v>
      </c>
      <c r="H320" t="s">
        <v>678</v>
      </c>
      <c r="I320" t="s">
        <v>99</v>
      </c>
      <c r="J320" t="s">
        <v>678</v>
      </c>
      <c r="K320" t="s">
        <v>678</v>
      </c>
      <c r="L320" t="s">
        <v>678</v>
      </c>
      <c r="M320" t="s">
        <v>987</v>
      </c>
      <c r="N320" t="b">
        <v>0</v>
      </c>
    </row>
    <row r="321" spans="1:14">
      <c r="A321">
        <v>15</v>
      </c>
      <c r="B321">
        <v>5</v>
      </c>
      <c r="C321" t="s">
        <v>197</v>
      </c>
      <c r="D321" t="s">
        <v>737</v>
      </c>
      <c r="E321" t="s">
        <v>103</v>
      </c>
      <c r="F321">
        <v>50</v>
      </c>
      <c r="G321" t="s">
        <v>678</v>
      </c>
      <c r="H321" t="s">
        <v>678</v>
      </c>
      <c r="I321" t="s">
        <v>103</v>
      </c>
      <c r="J321" t="s">
        <v>678</v>
      </c>
      <c r="K321" t="s">
        <v>678</v>
      </c>
      <c r="L321" t="s">
        <v>678</v>
      </c>
      <c r="M321" t="s">
        <v>988</v>
      </c>
      <c r="N321" t="b">
        <v>0</v>
      </c>
    </row>
    <row r="322" spans="1:14">
      <c r="A322">
        <v>15</v>
      </c>
      <c r="B322">
        <v>6</v>
      </c>
      <c r="C322" t="s">
        <v>251</v>
      </c>
      <c r="D322" t="s">
        <v>737</v>
      </c>
      <c r="E322" t="s">
        <v>107</v>
      </c>
      <c r="F322">
        <v>50</v>
      </c>
      <c r="G322" t="s">
        <v>678</v>
      </c>
      <c r="H322" t="s">
        <v>678</v>
      </c>
      <c r="I322" t="s">
        <v>107</v>
      </c>
      <c r="J322" t="s">
        <v>678</v>
      </c>
      <c r="K322" t="s">
        <v>678</v>
      </c>
      <c r="L322" t="s">
        <v>678</v>
      </c>
      <c r="M322" t="s">
        <v>989</v>
      </c>
      <c r="N322" t="b">
        <v>0</v>
      </c>
    </row>
    <row r="323" spans="1:14">
      <c r="A323">
        <v>15</v>
      </c>
      <c r="B323">
        <v>7</v>
      </c>
      <c r="C323" t="s">
        <v>222</v>
      </c>
      <c r="D323" t="s">
        <v>737</v>
      </c>
      <c r="E323" t="s">
        <v>113</v>
      </c>
      <c r="F323">
        <v>40</v>
      </c>
      <c r="G323" t="s">
        <v>678</v>
      </c>
      <c r="H323" t="s">
        <v>678</v>
      </c>
      <c r="I323" t="s">
        <v>113</v>
      </c>
      <c r="J323" t="s">
        <v>678</v>
      </c>
      <c r="K323" t="s">
        <v>678</v>
      </c>
      <c r="L323" t="s">
        <v>678</v>
      </c>
      <c r="M323" t="s">
        <v>990</v>
      </c>
      <c r="N323" t="b">
        <v>0</v>
      </c>
    </row>
    <row r="324" spans="1:14">
      <c r="A324">
        <v>15</v>
      </c>
      <c r="B324">
        <v>8</v>
      </c>
      <c r="C324" t="s">
        <v>190</v>
      </c>
      <c r="D324" t="s">
        <v>737</v>
      </c>
      <c r="E324" t="s">
        <v>116</v>
      </c>
      <c r="F324">
        <v>50</v>
      </c>
      <c r="G324" t="s">
        <v>678</v>
      </c>
      <c r="H324" t="s">
        <v>678</v>
      </c>
      <c r="I324" t="s">
        <v>116</v>
      </c>
      <c r="J324" t="s">
        <v>678</v>
      </c>
      <c r="K324" t="s">
        <v>678</v>
      </c>
      <c r="L324" t="s">
        <v>678</v>
      </c>
      <c r="M324" t="s">
        <v>991</v>
      </c>
      <c r="N324" t="b">
        <v>0</v>
      </c>
    </row>
    <row r="325" spans="1:14">
      <c r="A325">
        <v>15</v>
      </c>
      <c r="B325">
        <v>9</v>
      </c>
      <c r="C325" t="s">
        <v>176</v>
      </c>
      <c r="D325" t="s">
        <v>737</v>
      </c>
      <c r="E325" t="s">
        <v>76</v>
      </c>
      <c r="F325">
        <v>50</v>
      </c>
      <c r="G325" t="s">
        <v>678</v>
      </c>
      <c r="H325" t="s">
        <v>678</v>
      </c>
      <c r="I325" t="s">
        <v>76</v>
      </c>
      <c r="J325" t="s">
        <v>678</v>
      </c>
      <c r="K325" t="s">
        <v>678</v>
      </c>
      <c r="L325" t="s">
        <v>678</v>
      </c>
      <c r="M325" t="s">
        <v>992</v>
      </c>
      <c r="N325" t="b">
        <v>0</v>
      </c>
    </row>
    <row r="326" spans="1:14">
      <c r="A326">
        <v>15</v>
      </c>
      <c r="B326">
        <v>10</v>
      </c>
      <c r="C326" t="s">
        <v>214</v>
      </c>
      <c r="D326" t="s">
        <v>737</v>
      </c>
      <c r="E326" t="s">
        <v>102</v>
      </c>
      <c r="F326">
        <v>40</v>
      </c>
      <c r="G326" t="s">
        <v>678</v>
      </c>
      <c r="H326" t="s">
        <v>678</v>
      </c>
      <c r="I326" t="s">
        <v>102</v>
      </c>
      <c r="J326" t="s">
        <v>678</v>
      </c>
      <c r="K326" t="s">
        <v>678</v>
      </c>
      <c r="L326" t="s">
        <v>678</v>
      </c>
      <c r="M326" t="s">
        <v>993</v>
      </c>
      <c r="N326" t="b">
        <v>0</v>
      </c>
    </row>
    <row r="327" spans="1:14">
      <c r="A327">
        <v>15</v>
      </c>
      <c r="B327">
        <v>11</v>
      </c>
      <c r="C327" t="s">
        <v>678</v>
      </c>
      <c r="D327" t="s">
        <v>737</v>
      </c>
      <c r="E327" t="s">
        <v>678</v>
      </c>
      <c r="F327">
        <v>0</v>
      </c>
      <c r="G327" t="s">
        <v>678</v>
      </c>
      <c r="H327" t="s">
        <v>678</v>
      </c>
      <c r="I327" t="s">
        <v>678</v>
      </c>
      <c r="J327" t="s">
        <v>678</v>
      </c>
      <c r="K327" t="s">
        <v>678</v>
      </c>
      <c r="L327" t="s">
        <v>678</v>
      </c>
      <c r="M327" t="s">
        <v>994</v>
      </c>
      <c r="N327" t="b">
        <v>0</v>
      </c>
    </row>
    <row r="328" spans="1:14">
      <c r="A328">
        <v>15</v>
      </c>
      <c r="B328">
        <v>12</v>
      </c>
      <c r="C328" t="s">
        <v>678</v>
      </c>
      <c r="D328" t="s">
        <v>737</v>
      </c>
      <c r="E328" t="s">
        <v>678</v>
      </c>
      <c r="F328">
        <v>0</v>
      </c>
      <c r="G328" t="s">
        <v>678</v>
      </c>
      <c r="H328" t="s">
        <v>678</v>
      </c>
      <c r="I328" t="s">
        <v>678</v>
      </c>
      <c r="J328" t="s">
        <v>678</v>
      </c>
      <c r="K328" t="s">
        <v>678</v>
      </c>
      <c r="L328" t="s">
        <v>678</v>
      </c>
      <c r="M328" t="s">
        <v>995</v>
      </c>
      <c r="N328" t="b">
        <v>0</v>
      </c>
    </row>
    <row r="329" spans="1:14">
      <c r="A329">
        <v>15</v>
      </c>
      <c r="B329">
        <v>13</v>
      </c>
      <c r="C329" t="s">
        <v>678</v>
      </c>
      <c r="D329" t="s">
        <v>737</v>
      </c>
      <c r="E329" t="s">
        <v>678</v>
      </c>
      <c r="F329">
        <v>0</v>
      </c>
      <c r="G329" t="s">
        <v>678</v>
      </c>
      <c r="H329" t="s">
        <v>678</v>
      </c>
      <c r="I329" t="s">
        <v>678</v>
      </c>
      <c r="J329" t="s">
        <v>678</v>
      </c>
      <c r="K329" t="s">
        <v>678</v>
      </c>
      <c r="L329" t="s">
        <v>678</v>
      </c>
      <c r="M329" t="s">
        <v>996</v>
      </c>
      <c r="N329" t="b">
        <v>0</v>
      </c>
    </row>
    <row r="330" spans="1:14">
      <c r="A330">
        <v>15</v>
      </c>
      <c r="B330">
        <v>14</v>
      </c>
      <c r="C330" t="s">
        <v>678</v>
      </c>
      <c r="D330" t="s">
        <v>737</v>
      </c>
      <c r="E330" t="s">
        <v>678</v>
      </c>
      <c r="F330">
        <v>0</v>
      </c>
      <c r="G330" t="s">
        <v>678</v>
      </c>
      <c r="H330" t="s">
        <v>678</v>
      </c>
      <c r="I330" t="s">
        <v>678</v>
      </c>
      <c r="J330" t="s">
        <v>678</v>
      </c>
      <c r="K330" t="s">
        <v>678</v>
      </c>
      <c r="L330" t="s">
        <v>678</v>
      </c>
      <c r="M330" t="s">
        <v>997</v>
      </c>
      <c r="N330" t="b">
        <v>0</v>
      </c>
    </row>
    <row r="331" spans="1:14">
      <c r="A331">
        <v>15</v>
      </c>
      <c r="B331">
        <v>15</v>
      </c>
      <c r="C331" t="s">
        <v>678</v>
      </c>
      <c r="D331" t="s">
        <v>737</v>
      </c>
      <c r="E331" t="s">
        <v>678</v>
      </c>
      <c r="F331">
        <v>0</v>
      </c>
      <c r="G331" t="s">
        <v>678</v>
      </c>
      <c r="H331" t="s">
        <v>678</v>
      </c>
      <c r="I331" t="s">
        <v>678</v>
      </c>
      <c r="J331" t="s">
        <v>678</v>
      </c>
      <c r="K331" t="s">
        <v>678</v>
      </c>
      <c r="L331" t="s">
        <v>678</v>
      </c>
      <c r="M331" t="s">
        <v>998</v>
      </c>
      <c r="N331" t="b">
        <v>0</v>
      </c>
    </row>
    <row r="332" spans="1:14">
      <c r="A332">
        <v>15</v>
      </c>
      <c r="B332">
        <v>16</v>
      </c>
      <c r="C332" t="s">
        <v>678</v>
      </c>
      <c r="D332" t="s">
        <v>754</v>
      </c>
      <c r="E332" t="s">
        <v>678</v>
      </c>
      <c r="F332">
        <v>0</v>
      </c>
      <c r="G332" t="s">
        <v>678</v>
      </c>
      <c r="H332" t="s">
        <v>678</v>
      </c>
      <c r="I332" t="s">
        <v>678</v>
      </c>
      <c r="J332" t="s">
        <v>678</v>
      </c>
      <c r="K332" t="s">
        <v>678</v>
      </c>
      <c r="L332" t="s">
        <v>678</v>
      </c>
      <c r="M332" t="s">
        <v>999</v>
      </c>
      <c r="N332" t="b">
        <v>0</v>
      </c>
    </row>
    <row r="333" spans="1:14">
      <c r="A333">
        <v>15</v>
      </c>
      <c r="B333">
        <v>17</v>
      </c>
      <c r="C333" t="s">
        <v>678</v>
      </c>
      <c r="D333" t="s">
        <v>754</v>
      </c>
      <c r="E333" t="s">
        <v>678</v>
      </c>
      <c r="F333">
        <v>0</v>
      </c>
      <c r="G333" t="s">
        <v>678</v>
      </c>
      <c r="H333" t="s">
        <v>678</v>
      </c>
      <c r="I333" t="s">
        <v>678</v>
      </c>
      <c r="J333" t="s">
        <v>678</v>
      </c>
      <c r="K333" t="s">
        <v>678</v>
      </c>
      <c r="L333" t="s">
        <v>678</v>
      </c>
      <c r="M333" t="s">
        <v>684</v>
      </c>
      <c r="N333" t="b">
        <v>0</v>
      </c>
    </row>
    <row r="334" spans="1:14">
      <c r="A334">
        <v>15</v>
      </c>
      <c r="B334">
        <v>18</v>
      </c>
      <c r="C334" t="s">
        <v>678</v>
      </c>
      <c r="D334" t="s">
        <v>754</v>
      </c>
      <c r="E334" t="s">
        <v>678</v>
      </c>
      <c r="F334">
        <v>0</v>
      </c>
      <c r="G334" t="s">
        <v>678</v>
      </c>
      <c r="H334" t="s">
        <v>678</v>
      </c>
      <c r="I334" t="s">
        <v>678</v>
      </c>
      <c r="J334" t="s">
        <v>678</v>
      </c>
      <c r="K334" t="s">
        <v>678</v>
      </c>
      <c r="L334" t="s">
        <v>678</v>
      </c>
      <c r="M334" t="s">
        <v>1000</v>
      </c>
      <c r="N334" t="b">
        <v>0</v>
      </c>
    </row>
    <row r="335" spans="1:14">
      <c r="A335">
        <v>15</v>
      </c>
      <c r="B335">
        <v>19</v>
      </c>
      <c r="C335" t="s">
        <v>678</v>
      </c>
      <c r="D335" t="s">
        <v>754</v>
      </c>
      <c r="E335" t="s">
        <v>678</v>
      </c>
      <c r="F335">
        <v>0</v>
      </c>
      <c r="G335" t="s">
        <v>678</v>
      </c>
      <c r="H335" t="s">
        <v>678</v>
      </c>
      <c r="I335" t="s">
        <v>678</v>
      </c>
      <c r="J335" t="s">
        <v>678</v>
      </c>
      <c r="K335" t="s">
        <v>678</v>
      </c>
      <c r="L335" t="s">
        <v>678</v>
      </c>
      <c r="M335" t="s">
        <v>1001</v>
      </c>
      <c r="N335" t="b">
        <v>0</v>
      </c>
    </row>
    <row r="336" spans="1:14">
      <c r="A336">
        <v>15</v>
      </c>
      <c r="B336">
        <v>20</v>
      </c>
      <c r="C336" t="s">
        <v>678</v>
      </c>
      <c r="D336" t="s">
        <v>754</v>
      </c>
      <c r="E336" t="s">
        <v>678</v>
      </c>
      <c r="F336">
        <v>0</v>
      </c>
      <c r="G336" t="s">
        <v>678</v>
      </c>
      <c r="H336" t="s">
        <v>678</v>
      </c>
      <c r="I336" t="s">
        <v>678</v>
      </c>
      <c r="J336" t="s">
        <v>678</v>
      </c>
      <c r="K336" t="s">
        <v>678</v>
      </c>
      <c r="L336" t="s">
        <v>678</v>
      </c>
      <c r="M336" t="s">
        <v>1002</v>
      </c>
      <c r="N336" t="b">
        <v>0</v>
      </c>
    </row>
    <row r="337" spans="1:14">
      <c r="A337">
        <v>15</v>
      </c>
      <c r="B337">
        <v>21</v>
      </c>
      <c r="C337" t="s">
        <v>678</v>
      </c>
      <c r="D337" t="s">
        <v>754</v>
      </c>
      <c r="E337" t="s">
        <v>678</v>
      </c>
      <c r="F337">
        <v>0</v>
      </c>
      <c r="G337" t="s">
        <v>678</v>
      </c>
      <c r="H337" t="s">
        <v>678</v>
      </c>
      <c r="I337" t="s">
        <v>678</v>
      </c>
      <c r="J337" t="s">
        <v>678</v>
      </c>
      <c r="K337" t="s">
        <v>678</v>
      </c>
      <c r="L337" t="s">
        <v>678</v>
      </c>
      <c r="M337" t="s">
        <v>1003</v>
      </c>
      <c r="N337" t="b">
        <v>0</v>
      </c>
    </row>
    <row r="338" spans="1:14">
      <c r="A338">
        <v>15</v>
      </c>
      <c r="B338">
        <v>22</v>
      </c>
      <c r="C338" t="s">
        <v>678</v>
      </c>
      <c r="D338" t="s">
        <v>754</v>
      </c>
      <c r="E338" t="s">
        <v>678</v>
      </c>
      <c r="F338">
        <v>0</v>
      </c>
      <c r="G338" t="s">
        <v>678</v>
      </c>
      <c r="H338" t="s">
        <v>678</v>
      </c>
      <c r="I338" t="s">
        <v>678</v>
      </c>
      <c r="J338" t="s">
        <v>678</v>
      </c>
      <c r="K338" t="s">
        <v>678</v>
      </c>
      <c r="L338" t="s">
        <v>678</v>
      </c>
      <c r="M338" t="s">
        <v>1004</v>
      </c>
      <c r="N338" t="b">
        <v>0</v>
      </c>
    </row>
    <row r="339" spans="1:14">
      <c r="A339">
        <v>15</v>
      </c>
      <c r="B339">
        <v>23</v>
      </c>
      <c r="C339" t="s">
        <v>678</v>
      </c>
      <c r="D339" t="s">
        <v>754</v>
      </c>
      <c r="E339" t="s">
        <v>678</v>
      </c>
      <c r="F339">
        <v>0</v>
      </c>
      <c r="G339" t="s">
        <v>678</v>
      </c>
      <c r="H339" t="s">
        <v>678</v>
      </c>
      <c r="I339" t="s">
        <v>678</v>
      </c>
      <c r="J339" t="s">
        <v>678</v>
      </c>
      <c r="K339" t="s">
        <v>678</v>
      </c>
      <c r="L339" t="s">
        <v>678</v>
      </c>
      <c r="M339" t="s">
        <v>1005</v>
      </c>
      <c r="N339" t="b">
        <v>0</v>
      </c>
    </row>
    <row r="340" spans="1:14">
      <c r="A340">
        <v>15</v>
      </c>
      <c r="B340">
        <v>24</v>
      </c>
      <c r="C340" t="s">
        <v>678</v>
      </c>
      <c r="D340" t="s">
        <v>754</v>
      </c>
      <c r="E340" t="s">
        <v>678</v>
      </c>
      <c r="F340">
        <v>0</v>
      </c>
      <c r="G340" t="s">
        <v>678</v>
      </c>
      <c r="H340" t="s">
        <v>678</v>
      </c>
      <c r="I340" t="s">
        <v>678</v>
      </c>
      <c r="J340" t="s">
        <v>678</v>
      </c>
      <c r="K340" t="s">
        <v>678</v>
      </c>
      <c r="L340" t="s">
        <v>678</v>
      </c>
      <c r="M340" t="s">
        <v>1006</v>
      </c>
      <c r="N340" t="b">
        <v>0</v>
      </c>
    </row>
    <row r="341" spans="1:14">
      <c r="A341">
        <v>15</v>
      </c>
      <c r="B341">
        <v>25</v>
      </c>
      <c r="C341" t="s">
        <v>678</v>
      </c>
      <c r="D341" t="s">
        <v>754</v>
      </c>
      <c r="E341" t="s">
        <v>678</v>
      </c>
      <c r="F341">
        <v>0</v>
      </c>
      <c r="G341" t="s">
        <v>678</v>
      </c>
      <c r="H341" t="s">
        <v>678</v>
      </c>
      <c r="I341" t="s">
        <v>678</v>
      </c>
      <c r="J341" t="s">
        <v>678</v>
      </c>
      <c r="K341" t="s">
        <v>678</v>
      </c>
      <c r="L341" t="s">
        <v>678</v>
      </c>
      <c r="M341" t="s">
        <v>1007</v>
      </c>
      <c r="N341" t="b">
        <v>0</v>
      </c>
    </row>
    <row r="342" spans="1:14">
      <c r="A342">
        <v>15</v>
      </c>
      <c r="B342">
        <v>26</v>
      </c>
      <c r="C342" t="s">
        <v>678</v>
      </c>
      <c r="D342" t="s">
        <v>754</v>
      </c>
      <c r="E342" t="s">
        <v>678</v>
      </c>
      <c r="F342">
        <v>0</v>
      </c>
      <c r="G342" t="s">
        <v>678</v>
      </c>
      <c r="H342" t="s">
        <v>678</v>
      </c>
      <c r="I342" t="s">
        <v>678</v>
      </c>
      <c r="J342" t="s">
        <v>678</v>
      </c>
      <c r="K342" t="s">
        <v>678</v>
      </c>
      <c r="L342" t="s">
        <v>678</v>
      </c>
      <c r="M342" t="s">
        <v>1008</v>
      </c>
      <c r="N342" t="b">
        <v>0</v>
      </c>
    </row>
    <row r="343" spans="1:14">
      <c r="A343">
        <v>16</v>
      </c>
      <c r="B343">
        <v>0</v>
      </c>
      <c r="C343" t="s">
        <v>254</v>
      </c>
      <c r="D343" t="s">
        <v>737</v>
      </c>
      <c r="E343" t="s">
        <v>63</v>
      </c>
      <c r="F343">
        <v>40</v>
      </c>
      <c r="G343" t="s">
        <v>678</v>
      </c>
      <c r="H343" t="s">
        <v>678</v>
      </c>
      <c r="I343" t="s">
        <v>63</v>
      </c>
      <c r="J343" t="s">
        <v>678</v>
      </c>
      <c r="K343" t="s">
        <v>678</v>
      </c>
      <c r="L343" t="s">
        <v>678</v>
      </c>
      <c r="M343" t="s">
        <v>1009</v>
      </c>
      <c r="N343" t="b">
        <v>0</v>
      </c>
    </row>
    <row r="344" spans="1:14">
      <c r="A344">
        <v>16</v>
      </c>
      <c r="B344">
        <v>1</v>
      </c>
      <c r="C344" t="s">
        <v>173</v>
      </c>
      <c r="D344" t="s">
        <v>737</v>
      </c>
      <c r="E344" t="s">
        <v>69</v>
      </c>
      <c r="F344">
        <v>40</v>
      </c>
      <c r="G344" t="s">
        <v>678</v>
      </c>
      <c r="H344" t="s">
        <v>678</v>
      </c>
      <c r="I344" t="s">
        <v>69</v>
      </c>
      <c r="J344" t="s">
        <v>678</v>
      </c>
      <c r="K344" t="s">
        <v>678</v>
      </c>
      <c r="L344" t="s">
        <v>678</v>
      </c>
      <c r="M344" t="s">
        <v>1010</v>
      </c>
      <c r="N344" t="b">
        <v>0</v>
      </c>
    </row>
    <row r="345" spans="1:14">
      <c r="A345">
        <v>16</v>
      </c>
      <c r="B345">
        <v>2</v>
      </c>
      <c r="C345" t="s">
        <v>255</v>
      </c>
      <c r="D345" t="s">
        <v>737</v>
      </c>
      <c r="E345" t="s">
        <v>85</v>
      </c>
      <c r="F345">
        <v>60</v>
      </c>
      <c r="G345" t="s">
        <v>678</v>
      </c>
      <c r="H345" t="s">
        <v>678</v>
      </c>
      <c r="I345" t="s">
        <v>85</v>
      </c>
      <c r="J345" t="s">
        <v>678</v>
      </c>
      <c r="K345" t="s">
        <v>678</v>
      </c>
      <c r="L345" t="s">
        <v>678</v>
      </c>
      <c r="M345" t="s">
        <v>1011</v>
      </c>
      <c r="N345" t="b">
        <v>0</v>
      </c>
    </row>
    <row r="346" spans="1:14">
      <c r="A346">
        <v>16</v>
      </c>
      <c r="B346">
        <v>3</v>
      </c>
      <c r="C346" t="s">
        <v>168</v>
      </c>
      <c r="D346" t="s">
        <v>766</v>
      </c>
      <c r="E346" t="s">
        <v>308</v>
      </c>
      <c r="F346">
        <v>50</v>
      </c>
      <c r="G346" t="s">
        <v>773</v>
      </c>
      <c r="H346" t="s">
        <v>678</v>
      </c>
      <c r="I346" t="s">
        <v>678</v>
      </c>
      <c r="J346" t="s">
        <v>774</v>
      </c>
      <c r="K346" t="s">
        <v>775</v>
      </c>
      <c r="L346" t="s">
        <v>776</v>
      </c>
      <c r="M346" t="s">
        <v>1012</v>
      </c>
      <c r="N346" t="b">
        <v>0</v>
      </c>
    </row>
    <row r="347" spans="1:14">
      <c r="A347">
        <v>16</v>
      </c>
      <c r="B347">
        <v>4</v>
      </c>
      <c r="C347" t="s">
        <v>168</v>
      </c>
      <c r="D347" t="s">
        <v>766</v>
      </c>
      <c r="E347" t="s">
        <v>308</v>
      </c>
      <c r="F347">
        <v>50</v>
      </c>
      <c r="G347" t="s">
        <v>773</v>
      </c>
      <c r="H347" t="s">
        <v>678</v>
      </c>
      <c r="I347" t="s">
        <v>678</v>
      </c>
      <c r="J347" t="s">
        <v>774</v>
      </c>
      <c r="K347" t="s">
        <v>778</v>
      </c>
      <c r="L347" t="s">
        <v>779</v>
      </c>
      <c r="M347" t="s">
        <v>1013</v>
      </c>
      <c r="N347" t="b">
        <v>0</v>
      </c>
    </row>
    <row r="348" spans="1:14">
      <c r="A348">
        <v>16</v>
      </c>
      <c r="B348">
        <v>5</v>
      </c>
      <c r="C348" t="s">
        <v>169</v>
      </c>
      <c r="D348" t="s">
        <v>766</v>
      </c>
      <c r="E348" t="s">
        <v>308</v>
      </c>
      <c r="F348">
        <v>40</v>
      </c>
      <c r="G348" t="s">
        <v>773</v>
      </c>
      <c r="H348" t="s">
        <v>678</v>
      </c>
      <c r="I348" t="s">
        <v>678</v>
      </c>
      <c r="J348" t="s">
        <v>774</v>
      </c>
      <c r="K348" t="s">
        <v>1014</v>
      </c>
      <c r="L348" t="s">
        <v>1015</v>
      </c>
      <c r="M348" t="s">
        <v>1016</v>
      </c>
      <c r="N348" t="b">
        <v>0</v>
      </c>
    </row>
    <row r="349" spans="1:14">
      <c r="A349">
        <v>16</v>
      </c>
      <c r="B349">
        <v>6</v>
      </c>
      <c r="C349" t="s">
        <v>256</v>
      </c>
      <c r="D349" t="s">
        <v>737</v>
      </c>
      <c r="E349" t="s">
        <v>118</v>
      </c>
      <c r="F349">
        <v>40</v>
      </c>
      <c r="G349" t="s">
        <v>678</v>
      </c>
      <c r="H349" t="s">
        <v>678</v>
      </c>
      <c r="I349" t="s">
        <v>118</v>
      </c>
      <c r="J349" t="s">
        <v>678</v>
      </c>
      <c r="K349" t="s">
        <v>678</v>
      </c>
      <c r="L349" t="s">
        <v>678</v>
      </c>
      <c r="M349" t="s">
        <v>1017</v>
      </c>
      <c r="N349" t="b">
        <v>0</v>
      </c>
    </row>
    <row r="350" spans="1:14">
      <c r="A350">
        <v>16</v>
      </c>
      <c r="B350">
        <v>7</v>
      </c>
      <c r="C350" t="s">
        <v>175</v>
      </c>
      <c r="D350" t="s">
        <v>737</v>
      </c>
      <c r="E350" t="s">
        <v>119</v>
      </c>
      <c r="F350">
        <v>50</v>
      </c>
      <c r="G350" t="s">
        <v>678</v>
      </c>
      <c r="H350" t="s">
        <v>678</v>
      </c>
      <c r="I350" t="s">
        <v>119</v>
      </c>
      <c r="J350" t="s">
        <v>678</v>
      </c>
      <c r="K350" t="s">
        <v>678</v>
      </c>
      <c r="L350" t="s">
        <v>678</v>
      </c>
      <c r="M350" t="s">
        <v>1018</v>
      </c>
      <c r="N350" t="b">
        <v>0</v>
      </c>
    </row>
    <row r="351" spans="1:14">
      <c r="A351">
        <v>16</v>
      </c>
      <c r="B351">
        <v>8</v>
      </c>
      <c r="C351" t="s">
        <v>191</v>
      </c>
      <c r="D351" t="s">
        <v>737</v>
      </c>
      <c r="E351" t="s">
        <v>64</v>
      </c>
      <c r="F351">
        <v>40</v>
      </c>
      <c r="G351" t="s">
        <v>678</v>
      </c>
      <c r="H351" t="s">
        <v>678</v>
      </c>
      <c r="I351" t="s">
        <v>64</v>
      </c>
      <c r="J351" t="s">
        <v>678</v>
      </c>
      <c r="K351" t="s">
        <v>678</v>
      </c>
      <c r="L351" t="s">
        <v>678</v>
      </c>
      <c r="M351" t="s">
        <v>1019</v>
      </c>
      <c r="N351" t="b">
        <v>0</v>
      </c>
    </row>
    <row r="352" spans="1:14">
      <c r="A352">
        <v>16</v>
      </c>
      <c r="B352">
        <v>9</v>
      </c>
      <c r="C352" t="s">
        <v>202</v>
      </c>
      <c r="D352" t="s">
        <v>737</v>
      </c>
      <c r="E352" t="s">
        <v>80</v>
      </c>
      <c r="F352">
        <v>50</v>
      </c>
      <c r="G352" t="s">
        <v>678</v>
      </c>
      <c r="H352" t="s">
        <v>678</v>
      </c>
      <c r="I352" t="s">
        <v>80</v>
      </c>
      <c r="J352" t="s">
        <v>678</v>
      </c>
      <c r="K352" t="s">
        <v>678</v>
      </c>
      <c r="L352" t="s">
        <v>678</v>
      </c>
      <c r="M352" t="s">
        <v>1020</v>
      </c>
      <c r="N352" t="b">
        <v>0</v>
      </c>
    </row>
    <row r="353" spans="1:14">
      <c r="A353">
        <v>16</v>
      </c>
      <c r="B353">
        <v>10</v>
      </c>
      <c r="C353" t="s">
        <v>678</v>
      </c>
      <c r="D353" t="s">
        <v>737</v>
      </c>
      <c r="E353" t="s">
        <v>678</v>
      </c>
      <c r="F353">
        <v>0</v>
      </c>
      <c r="G353" t="s">
        <v>678</v>
      </c>
      <c r="H353" t="s">
        <v>678</v>
      </c>
      <c r="I353" t="s">
        <v>678</v>
      </c>
      <c r="J353" t="s">
        <v>678</v>
      </c>
      <c r="K353" t="s">
        <v>678</v>
      </c>
      <c r="L353" t="s">
        <v>678</v>
      </c>
      <c r="M353" t="s">
        <v>1021</v>
      </c>
      <c r="N353" t="b">
        <v>0</v>
      </c>
    </row>
    <row r="354" spans="1:14">
      <c r="A354">
        <v>16</v>
      </c>
      <c r="B354">
        <v>11</v>
      </c>
      <c r="C354" t="s">
        <v>678</v>
      </c>
      <c r="D354" t="s">
        <v>737</v>
      </c>
      <c r="E354" t="s">
        <v>678</v>
      </c>
      <c r="F354">
        <v>0</v>
      </c>
      <c r="G354" t="s">
        <v>678</v>
      </c>
      <c r="H354" t="s">
        <v>678</v>
      </c>
      <c r="I354" t="s">
        <v>678</v>
      </c>
      <c r="J354" t="s">
        <v>678</v>
      </c>
      <c r="K354" t="s">
        <v>678</v>
      </c>
      <c r="L354" t="s">
        <v>678</v>
      </c>
      <c r="M354" t="s">
        <v>1022</v>
      </c>
      <c r="N354" t="b">
        <v>0</v>
      </c>
    </row>
    <row r="355" spans="1:14">
      <c r="A355">
        <v>16</v>
      </c>
      <c r="B355">
        <v>12</v>
      </c>
      <c r="C355" t="s">
        <v>678</v>
      </c>
      <c r="D355" t="s">
        <v>737</v>
      </c>
      <c r="E355" t="s">
        <v>678</v>
      </c>
      <c r="F355">
        <v>0</v>
      </c>
      <c r="G355" t="s">
        <v>678</v>
      </c>
      <c r="H355" t="s">
        <v>678</v>
      </c>
      <c r="I355" t="s">
        <v>678</v>
      </c>
      <c r="J355" t="s">
        <v>678</v>
      </c>
      <c r="K355" t="s">
        <v>678</v>
      </c>
      <c r="L355" t="s">
        <v>678</v>
      </c>
      <c r="M355" t="s">
        <v>1023</v>
      </c>
      <c r="N355" t="b">
        <v>0</v>
      </c>
    </row>
    <row r="356" spans="1:14">
      <c r="A356">
        <v>16</v>
      </c>
      <c r="B356">
        <v>13</v>
      </c>
      <c r="C356" t="s">
        <v>678</v>
      </c>
      <c r="D356" t="s">
        <v>737</v>
      </c>
      <c r="E356" t="s">
        <v>678</v>
      </c>
      <c r="F356">
        <v>0</v>
      </c>
      <c r="G356" t="s">
        <v>678</v>
      </c>
      <c r="H356" t="s">
        <v>678</v>
      </c>
      <c r="I356" t="s">
        <v>678</v>
      </c>
      <c r="J356" t="s">
        <v>678</v>
      </c>
      <c r="K356" t="s">
        <v>678</v>
      </c>
      <c r="L356" t="s">
        <v>678</v>
      </c>
      <c r="M356" t="s">
        <v>1024</v>
      </c>
      <c r="N356" t="b">
        <v>0</v>
      </c>
    </row>
    <row r="357" spans="1:14">
      <c r="A357">
        <v>16</v>
      </c>
      <c r="B357">
        <v>14</v>
      </c>
      <c r="C357" t="s">
        <v>678</v>
      </c>
      <c r="D357" t="s">
        <v>737</v>
      </c>
      <c r="E357" t="s">
        <v>678</v>
      </c>
      <c r="F357">
        <v>0</v>
      </c>
      <c r="G357" t="s">
        <v>678</v>
      </c>
      <c r="H357" t="s">
        <v>678</v>
      </c>
      <c r="I357" t="s">
        <v>678</v>
      </c>
      <c r="J357" t="s">
        <v>678</v>
      </c>
      <c r="K357" t="s">
        <v>678</v>
      </c>
      <c r="L357" t="s">
        <v>678</v>
      </c>
      <c r="M357" t="s">
        <v>1025</v>
      </c>
      <c r="N357" t="b">
        <v>0</v>
      </c>
    </row>
    <row r="358" spans="1:14">
      <c r="A358">
        <v>16</v>
      </c>
      <c r="B358">
        <v>15</v>
      </c>
      <c r="C358" t="s">
        <v>678</v>
      </c>
      <c r="D358" t="s">
        <v>737</v>
      </c>
      <c r="E358" t="s">
        <v>678</v>
      </c>
      <c r="F358">
        <v>0</v>
      </c>
      <c r="G358" t="s">
        <v>678</v>
      </c>
      <c r="H358" t="s">
        <v>678</v>
      </c>
      <c r="I358" t="s">
        <v>678</v>
      </c>
      <c r="J358" t="s">
        <v>678</v>
      </c>
      <c r="K358" t="s">
        <v>678</v>
      </c>
      <c r="L358" t="s">
        <v>678</v>
      </c>
      <c r="M358" t="s">
        <v>1026</v>
      </c>
      <c r="N358" t="b">
        <v>0</v>
      </c>
    </row>
    <row r="359" spans="1:14">
      <c r="A359">
        <v>16</v>
      </c>
      <c r="B359">
        <v>16</v>
      </c>
      <c r="C359" t="s">
        <v>678</v>
      </c>
      <c r="D359" t="s">
        <v>754</v>
      </c>
      <c r="E359" t="s">
        <v>678</v>
      </c>
      <c r="F359">
        <v>0</v>
      </c>
      <c r="G359" t="s">
        <v>678</v>
      </c>
      <c r="H359" t="s">
        <v>678</v>
      </c>
      <c r="I359" t="s">
        <v>678</v>
      </c>
      <c r="J359" t="s">
        <v>678</v>
      </c>
      <c r="K359" t="s">
        <v>678</v>
      </c>
      <c r="L359" t="s">
        <v>678</v>
      </c>
      <c r="M359" t="s">
        <v>1027</v>
      </c>
      <c r="N359" t="b">
        <v>0</v>
      </c>
    </row>
    <row r="360" spans="1:14">
      <c r="A360">
        <v>16</v>
      </c>
      <c r="B360">
        <v>17</v>
      </c>
      <c r="C360" t="s">
        <v>678</v>
      </c>
      <c r="D360" t="s">
        <v>754</v>
      </c>
      <c r="E360" t="s">
        <v>678</v>
      </c>
      <c r="F360">
        <v>0</v>
      </c>
      <c r="G360" t="s">
        <v>678</v>
      </c>
      <c r="H360" t="s">
        <v>678</v>
      </c>
      <c r="I360" t="s">
        <v>678</v>
      </c>
      <c r="J360" t="s">
        <v>678</v>
      </c>
      <c r="K360" t="s">
        <v>678</v>
      </c>
      <c r="L360" t="s">
        <v>678</v>
      </c>
      <c r="M360" t="s">
        <v>686</v>
      </c>
      <c r="N360" t="b">
        <v>0</v>
      </c>
    </row>
    <row r="361" spans="1:14">
      <c r="A361">
        <v>16</v>
      </c>
      <c r="B361">
        <v>18</v>
      </c>
      <c r="C361" t="s">
        <v>678</v>
      </c>
      <c r="D361" t="s">
        <v>754</v>
      </c>
      <c r="E361" t="s">
        <v>678</v>
      </c>
      <c r="F361">
        <v>0</v>
      </c>
      <c r="G361" t="s">
        <v>678</v>
      </c>
      <c r="H361" t="s">
        <v>678</v>
      </c>
      <c r="I361" t="s">
        <v>678</v>
      </c>
      <c r="J361" t="s">
        <v>678</v>
      </c>
      <c r="K361" t="s">
        <v>678</v>
      </c>
      <c r="L361" t="s">
        <v>678</v>
      </c>
      <c r="M361" t="s">
        <v>1028</v>
      </c>
      <c r="N361" t="b">
        <v>0</v>
      </c>
    </row>
    <row r="362" spans="1:14">
      <c r="A362">
        <v>16</v>
      </c>
      <c r="B362">
        <v>19</v>
      </c>
      <c r="C362" t="s">
        <v>678</v>
      </c>
      <c r="D362" t="s">
        <v>754</v>
      </c>
      <c r="E362" t="s">
        <v>678</v>
      </c>
      <c r="F362">
        <v>0</v>
      </c>
      <c r="G362" t="s">
        <v>678</v>
      </c>
      <c r="H362" t="s">
        <v>678</v>
      </c>
      <c r="I362" t="s">
        <v>678</v>
      </c>
      <c r="J362" t="s">
        <v>678</v>
      </c>
      <c r="K362" t="s">
        <v>678</v>
      </c>
      <c r="L362" t="s">
        <v>678</v>
      </c>
      <c r="M362" t="s">
        <v>1029</v>
      </c>
      <c r="N362" t="b">
        <v>0</v>
      </c>
    </row>
    <row r="363" spans="1:14">
      <c r="A363">
        <v>16</v>
      </c>
      <c r="B363">
        <v>20</v>
      </c>
      <c r="C363" t="s">
        <v>678</v>
      </c>
      <c r="D363" t="s">
        <v>754</v>
      </c>
      <c r="E363" t="s">
        <v>678</v>
      </c>
      <c r="F363">
        <v>0</v>
      </c>
      <c r="G363" t="s">
        <v>678</v>
      </c>
      <c r="H363" t="s">
        <v>678</v>
      </c>
      <c r="I363" t="s">
        <v>678</v>
      </c>
      <c r="J363" t="s">
        <v>678</v>
      </c>
      <c r="K363" t="s">
        <v>678</v>
      </c>
      <c r="L363" t="s">
        <v>678</v>
      </c>
      <c r="M363" t="s">
        <v>1030</v>
      </c>
      <c r="N363" t="b">
        <v>0</v>
      </c>
    </row>
    <row r="364" spans="1:14">
      <c r="A364">
        <v>16</v>
      </c>
      <c r="B364">
        <v>21</v>
      </c>
      <c r="C364" t="s">
        <v>678</v>
      </c>
      <c r="D364" t="s">
        <v>754</v>
      </c>
      <c r="E364" t="s">
        <v>678</v>
      </c>
      <c r="F364">
        <v>0</v>
      </c>
      <c r="G364" t="s">
        <v>678</v>
      </c>
      <c r="H364" t="s">
        <v>678</v>
      </c>
      <c r="I364" t="s">
        <v>678</v>
      </c>
      <c r="J364" t="s">
        <v>678</v>
      </c>
      <c r="K364" t="s">
        <v>678</v>
      </c>
      <c r="L364" t="s">
        <v>678</v>
      </c>
      <c r="M364" t="s">
        <v>1031</v>
      </c>
      <c r="N364" t="b">
        <v>0</v>
      </c>
    </row>
    <row r="365" spans="1:14">
      <c r="A365">
        <v>16</v>
      </c>
      <c r="B365">
        <v>22</v>
      </c>
      <c r="C365" t="s">
        <v>678</v>
      </c>
      <c r="D365" t="s">
        <v>754</v>
      </c>
      <c r="E365" t="s">
        <v>678</v>
      </c>
      <c r="F365">
        <v>0</v>
      </c>
      <c r="G365" t="s">
        <v>678</v>
      </c>
      <c r="H365" t="s">
        <v>678</v>
      </c>
      <c r="I365" t="s">
        <v>678</v>
      </c>
      <c r="J365" t="s">
        <v>678</v>
      </c>
      <c r="K365" t="s">
        <v>678</v>
      </c>
      <c r="L365" t="s">
        <v>678</v>
      </c>
      <c r="M365" t="s">
        <v>1032</v>
      </c>
      <c r="N365" t="b">
        <v>0</v>
      </c>
    </row>
    <row r="366" spans="1:14">
      <c r="A366">
        <v>16</v>
      </c>
      <c r="B366">
        <v>23</v>
      </c>
      <c r="C366" t="s">
        <v>678</v>
      </c>
      <c r="D366" t="s">
        <v>754</v>
      </c>
      <c r="E366" t="s">
        <v>678</v>
      </c>
      <c r="F366">
        <v>0</v>
      </c>
      <c r="G366" t="s">
        <v>678</v>
      </c>
      <c r="H366" t="s">
        <v>678</v>
      </c>
      <c r="I366" t="s">
        <v>678</v>
      </c>
      <c r="J366" t="s">
        <v>678</v>
      </c>
      <c r="K366" t="s">
        <v>678</v>
      </c>
      <c r="L366" t="s">
        <v>678</v>
      </c>
      <c r="M366" t="s">
        <v>1033</v>
      </c>
      <c r="N366" t="b">
        <v>0</v>
      </c>
    </row>
    <row r="367" spans="1:14">
      <c r="A367">
        <v>16</v>
      </c>
      <c r="B367">
        <v>24</v>
      </c>
      <c r="C367" t="s">
        <v>678</v>
      </c>
      <c r="D367" t="s">
        <v>754</v>
      </c>
      <c r="E367" t="s">
        <v>678</v>
      </c>
      <c r="F367">
        <v>0</v>
      </c>
      <c r="G367" t="s">
        <v>678</v>
      </c>
      <c r="H367" t="s">
        <v>678</v>
      </c>
      <c r="I367" t="s">
        <v>678</v>
      </c>
      <c r="J367" t="s">
        <v>678</v>
      </c>
      <c r="K367" t="s">
        <v>678</v>
      </c>
      <c r="L367" t="s">
        <v>678</v>
      </c>
      <c r="M367" t="s">
        <v>1034</v>
      </c>
      <c r="N367" t="b">
        <v>0</v>
      </c>
    </row>
    <row r="368" spans="1:14">
      <c r="A368">
        <v>16</v>
      </c>
      <c r="B368">
        <v>25</v>
      </c>
      <c r="C368" t="s">
        <v>678</v>
      </c>
      <c r="D368" t="s">
        <v>754</v>
      </c>
      <c r="E368" t="s">
        <v>678</v>
      </c>
      <c r="F368">
        <v>0</v>
      </c>
      <c r="G368" t="s">
        <v>678</v>
      </c>
      <c r="H368" t="s">
        <v>678</v>
      </c>
      <c r="I368" t="s">
        <v>678</v>
      </c>
      <c r="J368" t="s">
        <v>678</v>
      </c>
      <c r="K368" t="s">
        <v>678</v>
      </c>
      <c r="L368" t="s">
        <v>678</v>
      </c>
      <c r="M368" t="s">
        <v>1035</v>
      </c>
      <c r="N368" t="b">
        <v>0</v>
      </c>
    </row>
    <row r="369" spans="1:14">
      <c r="A369">
        <v>16</v>
      </c>
      <c r="B369">
        <v>26</v>
      </c>
      <c r="C369" t="s">
        <v>678</v>
      </c>
      <c r="D369" t="s">
        <v>754</v>
      </c>
      <c r="E369" t="s">
        <v>678</v>
      </c>
      <c r="F369">
        <v>0</v>
      </c>
      <c r="G369" t="s">
        <v>678</v>
      </c>
      <c r="H369" t="s">
        <v>678</v>
      </c>
      <c r="I369" t="s">
        <v>678</v>
      </c>
      <c r="J369" t="s">
        <v>678</v>
      </c>
      <c r="K369" t="s">
        <v>678</v>
      </c>
      <c r="L369" t="s">
        <v>678</v>
      </c>
      <c r="M369" t="s">
        <v>1036</v>
      </c>
      <c r="N369" t="b">
        <v>0</v>
      </c>
    </row>
    <row r="370" spans="1:14">
      <c r="A370">
        <v>17</v>
      </c>
      <c r="B370">
        <v>0</v>
      </c>
      <c r="C370" t="s">
        <v>173</v>
      </c>
      <c r="D370" t="s">
        <v>737</v>
      </c>
      <c r="E370" t="s">
        <v>69</v>
      </c>
      <c r="F370">
        <v>40</v>
      </c>
      <c r="G370" t="s">
        <v>678</v>
      </c>
      <c r="H370" t="s">
        <v>678</v>
      </c>
      <c r="I370" t="s">
        <v>69</v>
      </c>
      <c r="J370" t="s">
        <v>678</v>
      </c>
      <c r="K370" t="s">
        <v>678</v>
      </c>
      <c r="L370" t="s">
        <v>678</v>
      </c>
      <c r="M370" t="s">
        <v>1037</v>
      </c>
      <c r="N370" t="b">
        <v>0</v>
      </c>
    </row>
    <row r="371" spans="1:14">
      <c r="A371">
        <v>17</v>
      </c>
      <c r="B371">
        <v>1</v>
      </c>
      <c r="C371" t="s">
        <v>188</v>
      </c>
      <c r="D371" t="s">
        <v>737</v>
      </c>
      <c r="E371" t="s">
        <v>85</v>
      </c>
      <c r="F371">
        <v>50</v>
      </c>
      <c r="G371" t="s">
        <v>678</v>
      </c>
      <c r="H371" t="s">
        <v>678</v>
      </c>
      <c r="I371" t="s">
        <v>85</v>
      </c>
      <c r="J371" t="s">
        <v>678</v>
      </c>
      <c r="K371" t="s">
        <v>678</v>
      </c>
      <c r="L371" t="s">
        <v>678</v>
      </c>
      <c r="M371" t="s">
        <v>1038</v>
      </c>
      <c r="N371" t="b">
        <v>0</v>
      </c>
    </row>
    <row r="372" spans="1:14">
      <c r="A372">
        <v>17</v>
      </c>
      <c r="B372">
        <v>2</v>
      </c>
      <c r="C372" t="s">
        <v>220</v>
      </c>
      <c r="D372" t="s">
        <v>737</v>
      </c>
      <c r="E372" t="s">
        <v>90</v>
      </c>
      <c r="F372">
        <v>40</v>
      </c>
      <c r="G372" t="s">
        <v>678</v>
      </c>
      <c r="H372" t="s">
        <v>678</v>
      </c>
      <c r="I372" t="s">
        <v>90</v>
      </c>
      <c r="J372" t="s">
        <v>678</v>
      </c>
      <c r="K372" t="s">
        <v>678</v>
      </c>
      <c r="L372" t="s">
        <v>678</v>
      </c>
      <c r="M372" t="s">
        <v>1039</v>
      </c>
      <c r="N372" t="b">
        <v>0</v>
      </c>
    </row>
    <row r="373" spans="1:14">
      <c r="A373">
        <v>17</v>
      </c>
      <c r="B373">
        <v>3</v>
      </c>
      <c r="C373" t="s">
        <v>258</v>
      </c>
      <c r="D373" t="s">
        <v>737</v>
      </c>
      <c r="E373" t="s">
        <v>97</v>
      </c>
      <c r="F373">
        <v>40</v>
      </c>
      <c r="G373" t="s">
        <v>678</v>
      </c>
      <c r="H373" t="s">
        <v>678</v>
      </c>
      <c r="I373" t="s">
        <v>97</v>
      </c>
      <c r="J373" t="s">
        <v>678</v>
      </c>
      <c r="K373" t="s">
        <v>678</v>
      </c>
      <c r="L373" t="s">
        <v>678</v>
      </c>
      <c r="M373" t="s">
        <v>1040</v>
      </c>
      <c r="N373" t="b">
        <v>0</v>
      </c>
    </row>
    <row r="374" spans="1:14">
      <c r="A374">
        <v>17</v>
      </c>
      <c r="B374">
        <v>4</v>
      </c>
      <c r="C374" t="s">
        <v>168</v>
      </c>
      <c r="D374" t="s">
        <v>766</v>
      </c>
      <c r="E374" t="s">
        <v>308</v>
      </c>
      <c r="F374">
        <v>50</v>
      </c>
      <c r="G374" t="s">
        <v>773</v>
      </c>
      <c r="H374" t="s">
        <v>678</v>
      </c>
      <c r="I374" t="s">
        <v>678</v>
      </c>
      <c r="J374" t="s">
        <v>774</v>
      </c>
      <c r="K374" t="s">
        <v>775</v>
      </c>
      <c r="L374" t="s">
        <v>776</v>
      </c>
      <c r="M374" t="s">
        <v>1041</v>
      </c>
      <c r="N374" t="b">
        <v>0</v>
      </c>
    </row>
    <row r="375" spans="1:14">
      <c r="A375">
        <v>17</v>
      </c>
      <c r="B375">
        <v>5</v>
      </c>
      <c r="C375" t="s">
        <v>168</v>
      </c>
      <c r="D375" t="s">
        <v>766</v>
      </c>
      <c r="E375" t="s">
        <v>308</v>
      </c>
      <c r="F375">
        <v>50</v>
      </c>
      <c r="G375" t="s">
        <v>773</v>
      </c>
      <c r="H375" t="s">
        <v>678</v>
      </c>
      <c r="I375" t="s">
        <v>678</v>
      </c>
      <c r="J375" t="s">
        <v>774</v>
      </c>
      <c r="K375" t="s">
        <v>778</v>
      </c>
      <c r="L375" t="s">
        <v>779</v>
      </c>
      <c r="M375" t="s">
        <v>1042</v>
      </c>
      <c r="N375" t="b">
        <v>0</v>
      </c>
    </row>
    <row r="376" spans="1:14">
      <c r="A376">
        <v>17</v>
      </c>
      <c r="B376">
        <v>6</v>
      </c>
      <c r="C376" t="s">
        <v>169</v>
      </c>
      <c r="D376" t="s">
        <v>766</v>
      </c>
      <c r="E376" t="s">
        <v>308</v>
      </c>
      <c r="F376">
        <v>40</v>
      </c>
      <c r="G376" t="s">
        <v>773</v>
      </c>
      <c r="H376" t="s">
        <v>678</v>
      </c>
      <c r="I376" t="s">
        <v>678</v>
      </c>
      <c r="J376" t="s">
        <v>774</v>
      </c>
      <c r="K376" t="s">
        <v>1014</v>
      </c>
      <c r="L376" t="s">
        <v>1015</v>
      </c>
      <c r="M376" t="s">
        <v>1043</v>
      </c>
      <c r="N376" t="b">
        <v>0</v>
      </c>
    </row>
    <row r="377" spans="1:14">
      <c r="A377">
        <v>17</v>
      </c>
      <c r="B377">
        <v>7</v>
      </c>
      <c r="C377" t="s">
        <v>256</v>
      </c>
      <c r="D377" t="s">
        <v>737</v>
      </c>
      <c r="E377" t="s">
        <v>118</v>
      </c>
      <c r="F377">
        <v>40</v>
      </c>
      <c r="G377" t="s">
        <v>678</v>
      </c>
      <c r="H377" t="s">
        <v>678</v>
      </c>
      <c r="I377" t="s">
        <v>118</v>
      </c>
      <c r="J377" t="s">
        <v>678</v>
      </c>
      <c r="K377" t="s">
        <v>678</v>
      </c>
      <c r="L377" t="s">
        <v>678</v>
      </c>
      <c r="M377" t="s">
        <v>1044</v>
      </c>
      <c r="N377" t="b">
        <v>0</v>
      </c>
    </row>
    <row r="378" spans="1:14">
      <c r="A378">
        <v>17</v>
      </c>
      <c r="B378">
        <v>8</v>
      </c>
      <c r="C378" t="s">
        <v>175</v>
      </c>
      <c r="D378" t="s">
        <v>737</v>
      </c>
      <c r="E378" t="s">
        <v>119</v>
      </c>
      <c r="F378">
        <v>50</v>
      </c>
      <c r="G378" t="s">
        <v>678</v>
      </c>
      <c r="H378" t="s">
        <v>678</v>
      </c>
      <c r="I378" t="s">
        <v>119</v>
      </c>
      <c r="J378" t="s">
        <v>678</v>
      </c>
      <c r="K378" t="s">
        <v>678</v>
      </c>
      <c r="L378" t="s">
        <v>678</v>
      </c>
      <c r="M378" t="s">
        <v>1045</v>
      </c>
      <c r="N378" t="b">
        <v>0</v>
      </c>
    </row>
    <row r="379" spans="1:14">
      <c r="A379">
        <v>17</v>
      </c>
      <c r="B379">
        <v>9</v>
      </c>
      <c r="C379" t="s">
        <v>186</v>
      </c>
      <c r="D379" t="s">
        <v>737</v>
      </c>
      <c r="E379" t="s">
        <v>104</v>
      </c>
      <c r="F379">
        <v>40</v>
      </c>
      <c r="G379" t="s">
        <v>678</v>
      </c>
      <c r="H379" t="s">
        <v>678</v>
      </c>
      <c r="I379" t="s">
        <v>104</v>
      </c>
      <c r="J379" t="s">
        <v>678</v>
      </c>
      <c r="K379" t="s">
        <v>678</v>
      </c>
      <c r="L379" t="s">
        <v>678</v>
      </c>
      <c r="M379" t="s">
        <v>1046</v>
      </c>
      <c r="N379" t="b">
        <v>0</v>
      </c>
    </row>
    <row r="380" spans="1:14">
      <c r="A380">
        <v>17</v>
      </c>
      <c r="B380">
        <v>10</v>
      </c>
      <c r="C380" t="s">
        <v>678</v>
      </c>
      <c r="D380" t="s">
        <v>737</v>
      </c>
      <c r="E380" t="s">
        <v>678</v>
      </c>
      <c r="F380">
        <v>0</v>
      </c>
      <c r="G380" t="s">
        <v>678</v>
      </c>
      <c r="H380" t="s">
        <v>678</v>
      </c>
      <c r="I380" t="s">
        <v>678</v>
      </c>
      <c r="J380" t="s">
        <v>678</v>
      </c>
      <c r="K380" t="s">
        <v>678</v>
      </c>
      <c r="L380" t="s">
        <v>678</v>
      </c>
      <c r="M380" t="s">
        <v>1047</v>
      </c>
      <c r="N380" t="b">
        <v>0</v>
      </c>
    </row>
    <row r="381" spans="1:14">
      <c r="A381">
        <v>17</v>
      </c>
      <c r="B381">
        <v>11</v>
      </c>
      <c r="C381" t="s">
        <v>678</v>
      </c>
      <c r="D381" t="s">
        <v>737</v>
      </c>
      <c r="E381" t="s">
        <v>678</v>
      </c>
      <c r="F381">
        <v>0</v>
      </c>
      <c r="G381" t="s">
        <v>678</v>
      </c>
      <c r="H381" t="s">
        <v>678</v>
      </c>
      <c r="I381" t="s">
        <v>678</v>
      </c>
      <c r="J381" t="s">
        <v>678</v>
      </c>
      <c r="K381" t="s">
        <v>678</v>
      </c>
      <c r="L381" t="s">
        <v>678</v>
      </c>
      <c r="M381" t="s">
        <v>1048</v>
      </c>
      <c r="N381" t="b">
        <v>0</v>
      </c>
    </row>
    <row r="382" spans="1:14">
      <c r="A382">
        <v>17</v>
      </c>
      <c r="B382">
        <v>12</v>
      </c>
      <c r="C382" t="s">
        <v>678</v>
      </c>
      <c r="D382" t="s">
        <v>737</v>
      </c>
      <c r="E382" t="s">
        <v>678</v>
      </c>
      <c r="F382">
        <v>0</v>
      </c>
      <c r="G382" t="s">
        <v>678</v>
      </c>
      <c r="H382" t="s">
        <v>678</v>
      </c>
      <c r="I382" t="s">
        <v>678</v>
      </c>
      <c r="J382" t="s">
        <v>678</v>
      </c>
      <c r="K382" t="s">
        <v>678</v>
      </c>
      <c r="L382" t="s">
        <v>678</v>
      </c>
      <c r="M382" t="s">
        <v>1049</v>
      </c>
      <c r="N382" t="b">
        <v>0</v>
      </c>
    </row>
    <row r="383" spans="1:14">
      <c r="A383">
        <v>17</v>
      </c>
      <c r="B383">
        <v>13</v>
      </c>
      <c r="C383" t="s">
        <v>678</v>
      </c>
      <c r="D383" t="s">
        <v>737</v>
      </c>
      <c r="E383" t="s">
        <v>678</v>
      </c>
      <c r="F383">
        <v>0</v>
      </c>
      <c r="G383" t="s">
        <v>678</v>
      </c>
      <c r="H383" t="s">
        <v>678</v>
      </c>
      <c r="I383" t="s">
        <v>678</v>
      </c>
      <c r="J383" t="s">
        <v>678</v>
      </c>
      <c r="K383" t="s">
        <v>678</v>
      </c>
      <c r="L383" t="s">
        <v>678</v>
      </c>
      <c r="M383" t="s">
        <v>1050</v>
      </c>
      <c r="N383" t="b">
        <v>0</v>
      </c>
    </row>
    <row r="384" spans="1:14">
      <c r="A384">
        <v>17</v>
      </c>
      <c r="B384">
        <v>14</v>
      </c>
      <c r="C384" t="s">
        <v>678</v>
      </c>
      <c r="D384" t="s">
        <v>737</v>
      </c>
      <c r="E384" t="s">
        <v>678</v>
      </c>
      <c r="F384">
        <v>0</v>
      </c>
      <c r="G384" t="s">
        <v>678</v>
      </c>
      <c r="H384" t="s">
        <v>678</v>
      </c>
      <c r="I384" t="s">
        <v>678</v>
      </c>
      <c r="J384" t="s">
        <v>678</v>
      </c>
      <c r="K384" t="s">
        <v>678</v>
      </c>
      <c r="L384" t="s">
        <v>678</v>
      </c>
      <c r="M384" t="s">
        <v>1051</v>
      </c>
      <c r="N384" t="b">
        <v>0</v>
      </c>
    </row>
    <row r="385" spans="1:14">
      <c r="A385">
        <v>17</v>
      </c>
      <c r="B385">
        <v>15</v>
      </c>
      <c r="C385" t="s">
        <v>678</v>
      </c>
      <c r="D385" t="s">
        <v>737</v>
      </c>
      <c r="E385" t="s">
        <v>678</v>
      </c>
      <c r="F385">
        <v>0</v>
      </c>
      <c r="G385" t="s">
        <v>678</v>
      </c>
      <c r="H385" t="s">
        <v>678</v>
      </c>
      <c r="I385" t="s">
        <v>678</v>
      </c>
      <c r="J385" t="s">
        <v>678</v>
      </c>
      <c r="K385" t="s">
        <v>678</v>
      </c>
      <c r="L385" t="s">
        <v>678</v>
      </c>
      <c r="M385" t="s">
        <v>1052</v>
      </c>
      <c r="N385" t="b">
        <v>0</v>
      </c>
    </row>
    <row r="386" spans="1:14">
      <c r="A386">
        <v>17</v>
      </c>
      <c r="B386">
        <v>16</v>
      </c>
      <c r="C386" t="s">
        <v>678</v>
      </c>
      <c r="D386" t="s">
        <v>754</v>
      </c>
      <c r="E386" t="s">
        <v>678</v>
      </c>
      <c r="F386">
        <v>0</v>
      </c>
      <c r="G386" t="s">
        <v>678</v>
      </c>
      <c r="H386" t="s">
        <v>678</v>
      </c>
      <c r="I386" t="s">
        <v>678</v>
      </c>
      <c r="J386" t="s">
        <v>678</v>
      </c>
      <c r="K386" t="s">
        <v>678</v>
      </c>
      <c r="L386" t="s">
        <v>678</v>
      </c>
      <c r="M386" t="s">
        <v>1053</v>
      </c>
      <c r="N386" t="b">
        <v>0</v>
      </c>
    </row>
    <row r="387" spans="1:14">
      <c r="A387">
        <v>17</v>
      </c>
      <c r="B387">
        <v>17</v>
      </c>
      <c r="C387" t="s">
        <v>678</v>
      </c>
      <c r="D387" t="s">
        <v>754</v>
      </c>
      <c r="E387" t="s">
        <v>678</v>
      </c>
      <c r="F387">
        <v>0</v>
      </c>
      <c r="G387" t="s">
        <v>678</v>
      </c>
      <c r="H387" t="s">
        <v>678</v>
      </c>
      <c r="I387" t="s">
        <v>678</v>
      </c>
      <c r="J387" t="s">
        <v>678</v>
      </c>
      <c r="K387" t="s">
        <v>678</v>
      </c>
      <c r="L387" t="s">
        <v>678</v>
      </c>
      <c r="M387" t="s">
        <v>688</v>
      </c>
      <c r="N387" t="b">
        <v>0</v>
      </c>
    </row>
    <row r="388" spans="1:14">
      <c r="A388">
        <v>17</v>
      </c>
      <c r="B388">
        <v>18</v>
      </c>
      <c r="C388" t="s">
        <v>678</v>
      </c>
      <c r="D388" t="s">
        <v>754</v>
      </c>
      <c r="E388" t="s">
        <v>678</v>
      </c>
      <c r="F388">
        <v>0</v>
      </c>
      <c r="G388" t="s">
        <v>678</v>
      </c>
      <c r="H388" t="s">
        <v>678</v>
      </c>
      <c r="I388" t="s">
        <v>678</v>
      </c>
      <c r="J388" t="s">
        <v>678</v>
      </c>
      <c r="K388" t="s">
        <v>678</v>
      </c>
      <c r="L388" t="s">
        <v>678</v>
      </c>
      <c r="M388" t="s">
        <v>1054</v>
      </c>
      <c r="N388" t="b">
        <v>0</v>
      </c>
    </row>
    <row r="389" spans="1:14">
      <c r="A389">
        <v>17</v>
      </c>
      <c r="B389">
        <v>19</v>
      </c>
      <c r="C389" t="s">
        <v>678</v>
      </c>
      <c r="D389" t="s">
        <v>754</v>
      </c>
      <c r="E389" t="s">
        <v>678</v>
      </c>
      <c r="F389">
        <v>0</v>
      </c>
      <c r="G389" t="s">
        <v>678</v>
      </c>
      <c r="H389" t="s">
        <v>678</v>
      </c>
      <c r="I389" t="s">
        <v>678</v>
      </c>
      <c r="J389" t="s">
        <v>678</v>
      </c>
      <c r="K389" t="s">
        <v>678</v>
      </c>
      <c r="L389" t="s">
        <v>678</v>
      </c>
      <c r="M389" t="s">
        <v>1055</v>
      </c>
      <c r="N389" t="b">
        <v>0</v>
      </c>
    </row>
    <row r="390" spans="1:14">
      <c r="A390">
        <v>17</v>
      </c>
      <c r="B390">
        <v>20</v>
      </c>
      <c r="C390" t="s">
        <v>678</v>
      </c>
      <c r="D390" t="s">
        <v>754</v>
      </c>
      <c r="E390" t="s">
        <v>678</v>
      </c>
      <c r="F390">
        <v>0</v>
      </c>
      <c r="G390" t="s">
        <v>678</v>
      </c>
      <c r="H390" t="s">
        <v>678</v>
      </c>
      <c r="I390" t="s">
        <v>678</v>
      </c>
      <c r="J390" t="s">
        <v>678</v>
      </c>
      <c r="K390" t="s">
        <v>678</v>
      </c>
      <c r="L390" t="s">
        <v>678</v>
      </c>
      <c r="M390" t="s">
        <v>1056</v>
      </c>
      <c r="N390" t="b">
        <v>0</v>
      </c>
    </row>
    <row r="391" spans="1:14">
      <c r="A391">
        <v>17</v>
      </c>
      <c r="B391">
        <v>21</v>
      </c>
      <c r="C391" t="s">
        <v>678</v>
      </c>
      <c r="D391" t="s">
        <v>754</v>
      </c>
      <c r="E391" t="s">
        <v>678</v>
      </c>
      <c r="F391">
        <v>0</v>
      </c>
      <c r="G391" t="s">
        <v>678</v>
      </c>
      <c r="H391" t="s">
        <v>678</v>
      </c>
      <c r="I391" t="s">
        <v>678</v>
      </c>
      <c r="J391" t="s">
        <v>678</v>
      </c>
      <c r="K391" t="s">
        <v>678</v>
      </c>
      <c r="L391" t="s">
        <v>678</v>
      </c>
      <c r="M391" t="s">
        <v>1057</v>
      </c>
      <c r="N391" t="b">
        <v>0</v>
      </c>
    </row>
    <row r="392" spans="1:14">
      <c r="A392">
        <v>17</v>
      </c>
      <c r="B392">
        <v>22</v>
      </c>
      <c r="C392" t="s">
        <v>678</v>
      </c>
      <c r="D392" t="s">
        <v>754</v>
      </c>
      <c r="E392" t="s">
        <v>678</v>
      </c>
      <c r="F392">
        <v>0</v>
      </c>
      <c r="G392" t="s">
        <v>678</v>
      </c>
      <c r="H392" t="s">
        <v>678</v>
      </c>
      <c r="I392" t="s">
        <v>678</v>
      </c>
      <c r="J392" t="s">
        <v>678</v>
      </c>
      <c r="K392" t="s">
        <v>678</v>
      </c>
      <c r="L392" t="s">
        <v>678</v>
      </c>
      <c r="M392" t="s">
        <v>1058</v>
      </c>
      <c r="N392" t="b">
        <v>0</v>
      </c>
    </row>
    <row r="393" spans="1:14">
      <c r="A393">
        <v>17</v>
      </c>
      <c r="B393">
        <v>23</v>
      </c>
      <c r="C393" t="s">
        <v>678</v>
      </c>
      <c r="D393" t="s">
        <v>754</v>
      </c>
      <c r="E393" t="s">
        <v>678</v>
      </c>
      <c r="F393">
        <v>0</v>
      </c>
      <c r="G393" t="s">
        <v>678</v>
      </c>
      <c r="H393" t="s">
        <v>678</v>
      </c>
      <c r="I393" t="s">
        <v>678</v>
      </c>
      <c r="J393" t="s">
        <v>678</v>
      </c>
      <c r="K393" t="s">
        <v>678</v>
      </c>
      <c r="L393" t="s">
        <v>678</v>
      </c>
      <c r="M393" t="s">
        <v>1059</v>
      </c>
      <c r="N393" t="b">
        <v>0</v>
      </c>
    </row>
    <row r="394" spans="1:14">
      <c r="A394">
        <v>17</v>
      </c>
      <c r="B394">
        <v>24</v>
      </c>
      <c r="C394" t="s">
        <v>678</v>
      </c>
      <c r="D394" t="s">
        <v>754</v>
      </c>
      <c r="E394" t="s">
        <v>678</v>
      </c>
      <c r="F394">
        <v>0</v>
      </c>
      <c r="G394" t="s">
        <v>678</v>
      </c>
      <c r="H394" t="s">
        <v>678</v>
      </c>
      <c r="I394" t="s">
        <v>678</v>
      </c>
      <c r="J394" t="s">
        <v>678</v>
      </c>
      <c r="K394" t="s">
        <v>678</v>
      </c>
      <c r="L394" t="s">
        <v>678</v>
      </c>
      <c r="M394" t="s">
        <v>1060</v>
      </c>
      <c r="N394" t="b">
        <v>0</v>
      </c>
    </row>
    <row r="395" spans="1:14">
      <c r="A395">
        <v>17</v>
      </c>
      <c r="B395">
        <v>25</v>
      </c>
      <c r="C395" t="s">
        <v>678</v>
      </c>
      <c r="D395" t="s">
        <v>754</v>
      </c>
      <c r="E395" t="s">
        <v>678</v>
      </c>
      <c r="F395">
        <v>0</v>
      </c>
      <c r="G395" t="s">
        <v>678</v>
      </c>
      <c r="H395" t="s">
        <v>678</v>
      </c>
      <c r="I395" t="s">
        <v>678</v>
      </c>
      <c r="J395" t="s">
        <v>678</v>
      </c>
      <c r="K395" t="s">
        <v>678</v>
      </c>
      <c r="L395" t="s">
        <v>678</v>
      </c>
      <c r="M395" t="s">
        <v>1061</v>
      </c>
      <c r="N395" t="b">
        <v>0</v>
      </c>
    </row>
    <row r="396" spans="1:14">
      <c r="A396">
        <v>17</v>
      </c>
      <c r="B396">
        <v>26</v>
      </c>
      <c r="C396" t="s">
        <v>678</v>
      </c>
      <c r="D396" t="s">
        <v>754</v>
      </c>
      <c r="E396" t="s">
        <v>678</v>
      </c>
      <c r="F396">
        <v>0</v>
      </c>
      <c r="G396" t="s">
        <v>678</v>
      </c>
      <c r="H396" t="s">
        <v>678</v>
      </c>
      <c r="I396" t="s">
        <v>678</v>
      </c>
      <c r="J396" t="s">
        <v>678</v>
      </c>
      <c r="K396" t="s">
        <v>678</v>
      </c>
      <c r="L396" t="s">
        <v>678</v>
      </c>
      <c r="M396" t="s">
        <v>1062</v>
      </c>
      <c r="N396" t="b">
        <v>0</v>
      </c>
    </row>
    <row r="397" spans="1:14">
      <c r="A397">
        <v>18</v>
      </c>
      <c r="B397">
        <v>0</v>
      </c>
      <c r="C397" t="s">
        <v>195</v>
      </c>
      <c r="D397" t="s">
        <v>737</v>
      </c>
      <c r="E397" t="s">
        <v>67</v>
      </c>
      <c r="F397">
        <v>50</v>
      </c>
      <c r="G397" t="s">
        <v>678</v>
      </c>
      <c r="H397" t="s">
        <v>678</v>
      </c>
      <c r="I397" t="s">
        <v>67</v>
      </c>
      <c r="J397" t="s">
        <v>678</v>
      </c>
      <c r="K397" t="s">
        <v>678</v>
      </c>
      <c r="L397" t="s">
        <v>678</v>
      </c>
      <c r="M397" t="s">
        <v>1063</v>
      </c>
      <c r="N397" t="b">
        <v>0</v>
      </c>
    </row>
    <row r="398" spans="1:14">
      <c r="A398">
        <v>18</v>
      </c>
      <c r="B398">
        <v>1</v>
      </c>
      <c r="C398" t="s">
        <v>167</v>
      </c>
      <c r="D398" t="s">
        <v>737</v>
      </c>
      <c r="E398" t="s">
        <v>85</v>
      </c>
      <c r="F398">
        <v>40</v>
      </c>
      <c r="G398" t="s">
        <v>678</v>
      </c>
      <c r="H398" t="s">
        <v>678</v>
      </c>
      <c r="I398" t="s">
        <v>85</v>
      </c>
      <c r="J398" t="s">
        <v>678</v>
      </c>
      <c r="K398" t="s">
        <v>678</v>
      </c>
      <c r="L398" t="s">
        <v>678</v>
      </c>
      <c r="M398" t="s">
        <v>1064</v>
      </c>
      <c r="N398" t="b">
        <v>0</v>
      </c>
    </row>
    <row r="399" spans="1:14">
      <c r="A399">
        <v>18</v>
      </c>
      <c r="B399">
        <v>2</v>
      </c>
      <c r="C399" t="s">
        <v>196</v>
      </c>
      <c r="D399" t="s">
        <v>737</v>
      </c>
      <c r="E399" t="s">
        <v>97</v>
      </c>
      <c r="F399">
        <v>50</v>
      </c>
      <c r="G399" t="s">
        <v>678</v>
      </c>
      <c r="H399" t="s">
        <v>678</v>
      </c>
      <c r="I399" t="s">
        <v>97</v>
      </c>
      <c r="J399" t="s">
        <v>678</v>
      </c>
      <c r="K399" t="s">
        <v>678</v>
      </c>
      <c r="L399" t="s">
        <v>678</v>
      </c>
      <c r="M399" t="s">
        <v>1065</v>
      </c>
      <c r="N399" t="b">
        <v>0</v>
      </c>
    </row>
    <row r="400" spans="1:14">
      <c r="A400">
        <v>18</v>
      </c>
      <c r="B400">
        <v>3</v>
      </c>
      <c r="C400" t="s">
        <v>244</v>
      </c>
      <c r="D400" t="s">
        <v>737</v>
      </c>
      <c r="E400" t="s">
        <v>100</v>
      </c>
      <c r="F400">
        <v>50</v>
      </c>
      <c r="G400" t="s">
        <v>678</v>
      </c>
      <c r="H400" t="s">
        <v>678</v>
      </c>
      <c r="I400" t="s">
        <v>100</v>
      </c>
      <c r="J400" t="s">
        <v>678</v>
      </c>
      <c r="K400" t="s">
        <v>678</v>
      </c>
      <c r="L400" t="s">
        <v>678</v>
      </c>
      <c r="M400" t="s">
        <v>1066</v>
      </c>
      <c r="N400" t="b">
        <v>0</v>
      </c>
    </row>
    <row r="401" spans="1:14">
      <c r="A401">
        <v>18</v>
      </c>
      <c r="B401">
        <v>4</v>
      </c>
      <c r="C401" t="s">
        <v>261</v>
      </c>
      <c r="D401" t="s">
        <v>737</v>
      </c>
      <c r="E401" t="s">
        <v>103</v>
      </c>
      <c r="F401">
        <v>40</v>
      </c>
      <c r="G401" t="s">
        <v>678</v>
      </c>
      <c r="H401" t="s">
        <v>678</v>
      </c>
      <c r="I401" t="s">
        <v>103</v>
      </c>
      <c r="J401" t="s">
        <v>678</v>
      </c>
      <c r="K401" t="s">
        <v>678</v>
      </c>
      <c r="L401" t="s">
        <v>678</v>
      </c>
      <c r="M401" t="s">
        <v>1067</v>
      </c>
      <c r="N401" t="b">
        <v>0</v>
      </c>
    </row>
    <row r="402" spans="1:14">
      <c r="A402">
        <v>18</v>
      </c>
      <c r="B402">
        <v>5</v>
      </c>
      <c r="C402" t="s">
        <v>239</v>
      </c>
      <c r="D402" t="s">
        <v>737</v>
      </c>
      <c r="E402" t="s">
        <v>105</v>
      </c>
      <c r="F402">
        <v>40</v>
      </c>
      <c r="G402" t="s">
        <v>678</v>
      </c>
      <c r="H402" t="s">
        <v>678</v>
      </c>
      <c r="I402" t="s">
        <v>105</v>
      </c>
      <c r="J402" t="s">
        <v>678</v>
      </c>
      <c r="K402" t="s">
        <v>678</v>
      </c>
      <c r="L402" t="s">
        <v>678</v>
      </c>
      <c r="M402" t="s">
        <v>1068</v>
      </c>
      <c r="N402" t="b">
        <v>0</v>
      </c>
    </row>
    <row r="403" spans="1:14">
      <c r="A403">
        <v>18</v>
      </c>
      <c r="B403">
        <v>6</v>
      </c>
      <c r="C403" t="s">
        <v>168</v>
      </c>
      <c r="D403" t="s">
        <v>766</v>
      </c>
      <c r="E403" t="s">
        <v>308</v>
      </c>
      <c r="F403">
        <v>50</v>
      </c>
      <c r="G403" t="s">
        <v>773</v>
      </c>
      <c r="H403" t="s">
        <v>678</v>
      </c>
      <c r="I403" t="s">
        <v>678</v>
      </c>
      <c r="J403" t="s">
        <v>774</v>
      </c>
      <c r="K403" t="s">
        <v>775</v>
      </c>
      <c r="L403" t="s">
        <v>776</v>
      </c>
      <c r="M403" t="s">
        <v>1069</v>
      </c>
      <c r="N403" t="b">
        <v>0</v>
      </c>
    </row>
    <row r="404" spans="1:14">
      <c r="A404">
        <v>18</v>
      </c>
      <c r="B404">
        <v>7</v>
      </c>
      <c r="C404" t="s">
        <v>169</v>
      </c>
      <c r="D404" t="s">
        <v>766</v>
      </c>
      <c r="E404" t="s">
        <v>308</v>
      </c>
      <c r="F404">
        <v>40</v>
      </c>
      <c r="G404" t="s">
        <v>773</v>
      </c>
      <c r="H404" t="s">
        <v>678</v>
      </c>
      <c r="I404" t="s">
        <v>678</v>
      </c>
      <c r="J404" t="s">
        <v>774</v>
      </c>
      <c r="K404" t="s">
        <v>778</v>
      </c>
      <c r="L404" t="s">
        <v>779</v>
      </c>
      <c r="M404" t="s">
        <v>1070</v>
      </c>
      <c r="N404" t="b">
        <v>0</v>
      </c>
    </row>
    <row r="405" spans="1:14">
      <c r="A405">
        <v>18</v>
      </c>
      <c r="B405">
        <v>8</v>
      </c>
      <c r="C405" t="s">
        <v>200</v>
      </c>
      <c r="D405" t="s">
        <v>737</v>
      </c>
      <c r="E405" t="s">
        <v>119</v>
      </c>
      <c r="F405">
        <v>60</v>
      </c>
      <c r="G405" t="s">
        <v>678</v>
      </c>
      <c r="H405" t="s">
        <v>678</v>
      </c>
      <c r="I405" t="s">
        <v>119</v>
      </c>
      <c r="J405" t="s">
        <v>678</v>
      </c>
      <c r="K405" t="s">
        <v>678</v>
      </c>
      <c r="L405" t="s">
        <v>678</v>
      </c>
      <c r="M405" t="s">
        <v>1071</v>
      </c>
      <c r="N405" t="b">
        <v>0</v>
      </c>
    </row>
    <row r="406" spans="1:14">
      <c r="A406">
        <v>18</v>
      </c>
      <c r="B406">
        <v>9</v>
      </c>
      <c r="C406" t="s">
        <v>262</v>
      </c>
      <c r="D406" t="s">
        <v>737</v>
      </c>
      <c r="E406" t="s">
        <v>80</v>
      </c>
      <c r="F406">
        <v>60</v>
      </c>
      <c r="G406" t="s">
        <v>678</v>
      </c>
      <c r="H406" t="s">
        <v>678</v>
      </c>
      <c r="I406" t="s">
        <v>80</v>
      </c>
      <c r="J406" t="s">
        <v>678</v>
      </c>
      <c r="K406" t="s">
        <v>678</v>
      </c>
      <c r="L406" t="s">
        <v>678</v>
      </c>
      <c r="M406" t="s">
        <v>1072</v>
      </c>
      <c r="N406" t="b">
        <v>0</v>
      </c>
    </row>
    <row r="407" spans="1:14">
      <c r="A407">
        <v>18</v>
      </c>
      <c r="B407">
        <v>10</v>
      </c>
      <c r="C407" t="s">
        <v>186</v>
      </c>
      <c r="D407" t="s">
        <v>737</v>
      </c>
      <c r="E407" t="s">
        <v>104</v>
      </c>
      <c r="F407">
        <v>40</v>
      </c>
      <c r="G407" t="s">
        <v>678</v>
      </c>
      <c r="H407" t="s">
        <v>678</v>
      </c>
      <c r="I407" t="s">
        <v>104</v>
      </c>
      <c r="J407" t="s">
        <v>678</v>
      </c>
      <c r="K407" t="s">
        <v>678</v>
      </c>
      <c r="L407" t="s">
        <v>678</v>
      </c>
      <c r="M407" t="s">
        <v>1073</v>
      </c>
      <c r="N407" t="b">
        <v>0</v>
      </c>
    </row>
    <row r="408" spans="1:14">
      <c r="A408">
        <v>18</v>
      </c>
      <c r="B408">
        <v>11</v>
      </c>
      <c r="C408" t="s">
        <v>232</v>
      </c>
      <c r="D408" t="s">
        <v>737</v>
      </c>
      <c r="E408" t="s">
        <v>106</v>
      </c>
      <c r="F408">
        <v>50</v>
      </c>
      <c r="G408" t="s">
        <v>678</v>
      </c>
      <c r="H408" t="s">
        <v>678</v>
      </c>
      <c r="I408" t="s">
        <v>106</v>
      </c>
      <c r="J408" t="s">
        <v>678</v>
      </c>
      <c r="K408" t="s">
        <v>678</v>
      </c>
      <c r="L408" t="s">
        <v>678</v>
      </c>
      <c r="M408" t="s">
        <v>1074</v>
      </c>
      <c r="N408" t="b">
        <v>0</v>
      </c>
    </row>
    <row r="409" spans="1:14">
      <c r="A409">
        <v>18</v>
      </c>
      <c r="B409">
        <v>12</v>
      </c>
      <c r="C409" t="s">
        <v>242</v>
      </c>
      <c r="D409" t="s">
        <v>737</v>
      </c>
      <c r="E409" t="s">
        <v>112</v>
      </c>
      <c r="F409">
        <v>50</v>
      </c>
      <c r="G409" t="s">
        <v>678</v>
      </c>
      <c r="H409" t="s">
        <v>678</v>
      </c>
      <c r="I409" t="s">
        <v>112</v>
      </c>
      <c r="J409" t="s">
        <v>678</v>
      </c>
      <c r="K409" t="s">
        <v>678</v>
      </c>
      <c r="L409" t="s">
        <v>678</v>
      </c>
      <c r="M409" t="s">
        <v>1075</v>
      </c>
      <c r="N409" t="b">
        <v>0</v>
      </c>
    </row>
    <row r="410" spans="1:14">
      <c r="A410">
        <v>18</v>
      </c>
      <c r="B410">
        <v>13</v>
      </c>
      <c r="C410" t="s">
        <v>678</v>
      </c>
      <c r="D410" t="s">
        <v>737</v>
      </c>
      <c r="E410" t="s">
        <v>678</v>
      </c>
      <c r="F410">
        <v>0</v>
      </c>
      <c r="G410" t="s">
        <v>678</v>
      </c>
      <c r="H410" t="s">
        <v>678</v>
      </c>
      <c r="I410" t="s">
        <v>678</v>
      </c>
      <c r="J410" t="s">
        <v>678</v>
      </c>
      <c r="K410" t="s">
        <v>678</v>
      </c>
      <c r="L410" t="s">
        <v>678</v>
      </c>
      <c r="M410" t="s">
        <v>1076</v>
      </c>
      <c r="N410" t="b">
        <v>0</v>
      </c>
    </row>
    <row r="411" spans="1:14">
      <c r="A411">
        <v>18</v>
      </c>
      <c r="B411">
        <v>14</v>
      </c>
      <c r="C411" t="s">
        <v>678</v>
      </c>
      <c r="D411" t="s">
        <v>737</v>
      </c>
      <c r="E411" t="s">
        <v>678</v>
      </c>
      <c r="F411">
        <v>0</v>
      </c>
      <c r="G411" t="s">
        <v>678</v>
      </c>
      <c r="H411" t="s">
        <v>678</v>
      </c>
      <c r="I411" t="s">
        <v>678</v>
      </c>
      <c r="J411" t="s">
        <v>678</v>
      </c>
      <c r="K411" t="s">
        <v>678</v>
      </c>
      <c r="L411" t="s">
        <v>678</v>
      </c>
      <c r="M411" t="s">
        <v>1077</v>
      </c>
      <c r="N411" t="b">
        <v>0</v>
      </c>
    </row>
    <row r="412" spans="1:14">
      <c r="A412">
        <v>18</v>
      </c>
      <c r="B412">
        <v>15</v>
      </c>
      <c r="C412" t="s">
        <v>678</v>
      </c>
      <c r="D412" t="s">
        <v>737</v>
      </c>
      <c r="E412" t="s">
        <v>678</v>
      </c>
      <c r="F412">
        <v>0</v>
      </c>
      <c r="G412" t="s">
        <v>678</v>
      </c>
      <c r="H412" t="s">
        <v>678</v>
      </c>
      <c r="I412" t="s">
        <v>678</v>
      </c>
      <c r="J412" t="s">
        <v>678</v>
      </c>
      <c r="K412" t="s">
        <v>678</v>
      </c>
      <c r="L412" t="s">
        <v>678</v>
      </c>
      <c r="M412" t="s">
        <v>1078</v>
      </c>
      <c r="N412" t="b">
        <v>0</v>
      </c>
    </row>
    <row r="413" spans="1:14">
      <c r="A413">
        <v>18</v>
      </c>
      <c r="B413">
        <v>16</v>
      </c>
      <c r="C413" t="s">
        <v>678</v>
      </c>
      <c r="D413" t="s">
        <v>754</v>
      </c>
      <c r="E413" t="s">
        <v>678</v>
      </c>
      <c r="F413">
        <v>0</v>
      </c>
      <c r="G413" t="s">
        <v>678</v>
      </c>
      <c r="H413" t="s">
        <v>678</v>
      </c>
      <c r="I413" t="s">
        <v>678</v>
      </c>
      <c r="J413" t="s">
        <v>678</v>
      </c>
      <c r="K413" t="s">
        <v>678</v>
      </c>
      <c r="L413" t="s">
        <v>678</v>
      </c>
      <c r="M413" t="s">
        <v>1079</v>
      </c>
      <c r="N413" t="b">
        <v>0</v>
      </c>
    </row>
    <row r="414" spans="1:14">
      <c r="A414">
        <v>18</v>
      </c>
      <c r="B414">
        <v>17</v>
      </c>
      <c r="C414" t="s">
        <v>678</v>
      </c>
      <c r="D414" t="s">
        <v>754</v>
      </c>
      <c r="E414" t="s">
        <v>678</v>
      </c>
      <c r="F414">
        <v>0</v>
      </c>
      <c r="G414" t="s">
        <v>678</v>
      </c>
      <c r="H414" t="s">
        <v>678</v>
      </c>
      <c r="I414" t="s">
        <v>678</v>
      </c>
      <c r="J414" t="s">
        <v>678</v>
      </c>
      <c r="K414" t="s">
        <v>678</v>
      </c>
      <c r="L414" t="s">
        <v>678</v>
      </c>
      <c r="M414" t="s">
        <v>690</v>
      </c>
      <c r="N414" t="b">
        <v>0</v>
      </c>
    </row>
    <row r="415" spans="1:14">
      <c r="A415">
        <v>18</v>
      </c>
      <c r="B415">
        <v>18</v>
      </c>
      <c r="C415" t="s">
        <v>678</v>
      </c>
      <c r="D415" t="s">
        <v>754</v>
      </c>
      <c r="E415" t="s">
        <v>678</v>
      </c>
      <c r="F415">
        <v>0</v>
      </c>
      <c r="G415" t="s">
        <v>678</v>
      </c>
      <c r="H415" t="s">
        <v>678</v>
      </c>
      <c r="I415" t="s">
        <v>678</v>
      </c>
      <c r="J415" t="s">
        <v>678</v>
      </c>
      <c r="K415" t="s">
        <v>678</v>
      </c>
      <c r="L415" t="s">
        <v>678</v>
      </c>
      <c r="M415" t="s">
        <v>1080</v>
      </c>
      <c r="N415" t="b">
        <v>0</v>
      </c>
    </row>
    <row r="416" spans="1:14">
      <c r="A416">
        <v>18</v>
      </c>
      <c r="B416">
        <v>19</v>
      </c>
      <c r="C416" t="s">
        <v>678</v>
      </c>
      <c r="D416" t="s">
        <v>754</v>
      </c>
      <c r="E416" t="s">
        <v>678</v>
      </c>
      <c r="F416">
        <v>0</v>
      </c>
      <c r="G416" t="s">
        <v>678</v>
      </c>
      <c r="H416" t="s">
        <v>678</v>
      </c>
      <c r="I416" t="s">
        <v>678</v>
      </c>
      <c r="J416" t="s">
        <v>678</v>
      </c>
      <c r="K416" t="s">
        <v>678</v>
      </c>
      <c r="L416" t="s">
        <v>678</v>
      </c>
      <c r="M416" t="s">
        <v>1081</v>
      </c>
      <c r="N416" t="b">
        <v>0</v>
      </c>
    </row>
    <row r="417" spans="1:14">
      <c r="A417">
        <v>18</v>
      </c>
      <c r="B417">
        <v>20</v>
      </c>
      <c r="C417" t="s">
        <v>678</v>
      </c>
      <c r="D417" t="s">
        <v>754</v>
      </c>
      <c r="E417" t="s">
        <v>678</v>
      </c>
      <c r="F417">
        <v>0</v>
      </c>
      <c r="G417" t="s">
        <v>678</v>
      </c>
      <c r="H417" t="s">
        <v>678</v>
      </c>
      <c r="I417" t="s">
        <v>678</v>
      </c>
      <c r="J417" t="s">
        <v>678</v>
      </c>
      <c r="K417" t="s">
        <v>678</v>
      </c>
      <c r="L417" t="s">
        <v>678</v>
      </c>
      <c r="M417" t="s">
        <v>1082</v>
      </c>
      <c r="N417" t="b">
        <v>0</v>
      </c>
    </row>
    <row r="418" spans="1:14">
      <c r="A418">
        <v>18</v>
      </c>
      <c r="B418">
        <v>21</v>
      </c>
      <c r="C418" t="s">
        <v>678</v>
      </c>
      <c r="D418" t="s">
        <v>754</v>
      </c>
      <c r="E418" t="s">
        <v>678</v>
      </c>
      <c r="F418">
        <v>0</v>
      </c>
      <c r="G418" t="s">
        <v>678</v>
      </c>
      <c r="H418" t="s">
        <v>678</v>
      </c>
      <c r="I418" t="s">
        <v>678</v>
      </c>
      <c r="J418" t="s">
        <v>678</v>
      </c>
      <c r="K418" t="s">
        <v>678</v>
      </c>
      <c r="L418" t="s">
        <v>678</v>
      </c>
      <c r="M418" t="s">
        <v>1083</v>
      </c>
      <c r="N418" t="b">
        <v>0</v>
      </c>
    </row>
    <row r="419" spans="1:14">
      <c r="A419">
        <v>18</v>
      </c>
      <c r="B419">
        <v>22</v>
      </c>
      <c r="C419" t="s">
        <v>678</v>
      </c>
      <c r="D419" t="s">
        <v>754</v>
      </c>
      <c r="E419" t="s">
        <v>678</v>
      </c>
      <c r="F419">
        <v>0</v>
      </c>
      <c r="G419" t="s">
        <v>678</v>
      </c>
      <c r="H419" t="s">
        <v>678</v>
      </c>
      <c r="I419" t="s">
        <v>678</v>
      </c>
      <c r="J419" t="s">
        <v>678</v>
      </c>
      <c r="K419" t="s">
        <v>678</v>
      </c>
      <c r="L419" t="s">
        <v>678</v>
      </c>
      <c r="M419" t="s">
        <v>1084</v>
      </c>
      <c r="N419" t="b">
        <v>0</v>
      </c>
    </row>
    <row r="420" spans="1:14">
      <c r="A420">
        <v>18</v>
      </c>
      <c r="B420">
        <v>23</v>
      </c>
      <c r="C420" t="s">
        <v>678</v>
      </c>
      <c r="D420" t="s">
        <v>754</v>
      </c>
      <c r="E420" t="s">
        <v>678</v>
      </c>
      <c r="F420">
        <v>0</v>
      </c>
      <c r="G420" t="s">
        <v>678</v>
      </c>
      <c r="H420" t="s">
        <v>678</v>
      </c>
      <c r="I420" t="s">
        <v>678</v>
      </c>
      <c r="J420" t="s">
        <v>678</v>
      </c>
      <c r="K420" t="s">
        <v>678</v>
      </c>
      <c r="L420" t="s">
        <v>678</v>
      </c>
      <c r="M420" t="s">
        <v>1085</v>
      </c>
      <c r="N420" t="b">
        <v>0</v>
      </c>
    </row>
    <row r="421" spans="1:14">
      <c r="A421">
        <v>18</v>
      </c>
      <c r="B421">
        <v>24</v>
      </c>
      <c r="C421" t="s">
        <v>678</v>
      </c>
      <c r="D421" t="s">
        <v>754</v>
      </c>
      <c r="E421" t="s">
        <v>678</v>
      </c>
      <c r="F421">
        <v>0</v>
      </c>
      <c r="G421" t="s">
        <v>678</v>
      </c>
      <c r="H421" t="s">
        <v>678</v>
      </c>
      <c r="I421" t="s">
        <v>678</v>
      </c>
      <c r="J421" t="s">
        <v>678</v>
      </c>
      <c r="K421" t="s">
        <v>678</v>
      </c>
      <c r="L421" t="s">
        <v>678</v>
      </c>
      <c r="M421" t="s">
        <v>1086</v>
      </c>
      <c r="N421" t="b">
        <v>0</v>
      </c>
    </row>
    <row r="422" spans="1:14">
      <c r="A422">
        <v>18</v>
      </c>
      <c r="B422">
        <v>25</v>
      </c>
      <c r="C422" t="s">
        <v>678</v>
      </c>
      <c r="D422" t="s">
        <v>754</v>
      </c>
      <c r="E422" t="s">
        <v>678</v>
      </c>
      <c r="F422">
        <v>0</v>
      </c>
      <c r="G422" t="s">
        <v>678</v>
      </c>
      <c r="H422" t="s">
        <v>678</v>
      </c>
      <c r="I422" t="s">
        <v>678</v>
      </c>
      <c r="J422" t="s">
        <v>678</v>
      </c>
      <c r="K422" t="s">
        <v>678</v>
      </c>
      <c r="L422" t="s">
        <v>678</v>
      </c>
      <c r="M422" t="s">
        <v>1087</v>
      </c>
      <c r="N422" t="b">
        <v>0</v>
      </c>
    </row>
    <row r="423" spans="1:14">
      <c r="A423">
        <v>18</v>
      </c>
      <c r="B423">
        <v>26</v>
      </c>
      <c r="C423" t="s">
        <v>678</v>
      </c>
      <c r="D423" t="s">
        <v>754</v>
      </c>
      <c r="E423" t="s">
        <v>678</v>
      </c>
      <c r="F423">
        <v>0</v>
      </c>
      <c r="G423" t="s">
        <v>678</v>
      </c>
      <c r="H423" t="s">
        <v>678</v>
      </c>
      <c r="I423" t="s">
        <v>678</v>
      </c>
      <c r="J423" t="s">
        <v>678</v>
      </c>
      <c r="K423" t="s">
        <v>678</v>
      </c>
      <c r="L423" t="s">
        <v>678</v>
      </c>
      <c r="M423" t="s">
        <v>1088</v>
      </c>
      <c r="N423" t="b">
        <v>0</v>
      </c>
    </row>
    <row r="424" spans="1:14">
      <c r="A424">
        <v>19</v>
      </c>
      <c r="B424">
        <v>0</v>
      </c>
      <c r="C424" t="s">
        <v>187</v>
      </c>
      <c r="D424" t="s">
        <v>737</v>
      </c>
      <c r="E424" t="s">
        <v>63</v>
      </c>
      <c r="F424">
        <v>50</v>
      </c>
      <c r="G424" t="s">
        <v>678</v>
      </c>
      <c r="H424" t="s">
        <v>678</v>
      </c>
      <c r="I424" t="s">
        <v>63</v>
      </c>
      <c r="J424" t="s">
        <v>678</v>
      </c>
      <c r="K424" t="s">
        <v>678</v>
      </c>
      <c r="L424" t="s">
        <v>678</v>
      </c>
      <c r="M424" t="s">
        <v>1089</v>
      </c>
      <c r="N424" t="b">
        <v>0</v>
      </c>
    </row>
    <row r="425" spans="1:14">
      <c r="A425">
        <v>19</v>
      </c>
      <c r="B425">
        <v>1</v>
      </c>
      <c r="C425" t="s">
        <v>188</v>
      </c>
      <c r="D425" t="s">
        <v>737</v>
      </c>
      <c r="E425" t="s">
        <v>85</v>
      </c>
      <c r="F425">
        <v>50</v>
      </c>
      <c r="G425" t="s">
        <v>678</v>
      </c>
      <c r="H425" t="s">
        <v>678</v>
      </c>
      <c r="I425" t="s">
        <v>85</v>
      </c>
      <c r="J425" t="s">
        <v>678</v>
      </c>
      <c r="K425" t="s">
        <v>678</v>
      </c>
      <c r="L425" t="s">
        <v>678</v>
      </c>
      <c r="M425" t="s">
        <v>1090</v>
      </c>
      <c r="N425" t="b">
        <v>0</v>
      </c>
    </row>
    <row r="426" spans="1:14">
      <c r="A426">
        <v>19</v>
      </c>
      <c r="B426">
        <v>2</v>
      </c>
      <c r="C426" t="s">
        <v>264</v>
      </c>
      <c r="D426" t="s">
        <v>737</v>
      </c>
      <c r="E426" t="s">
        <v>119</v>
      </c>
      <c r="F426">
        <v>40</v>
      </c>
      <c r="G426" t="s">
        <v>678</v>
      </c>
      <c r="H426" t="s">
        <v>678</v>
      </c>
      <c r="I426" t="s">
        <v>119</v>
      </c>
      <c r="J426" t="s">
        <v>678</v>
      </c>
      <c r="K426" t="s">
        <v>678</v>
      </c>
      <c r="L426" t="s">
        <v>678</v>
      </c>
      <c r="M426" t="s">
        <v>1091</v>
      </c>
      <c r="N426" t="b">
        <v>0</v>
      </c>
    </row>
    <row r="427" spans="1:14">
      <c r="A427">
        <v>19</v>
      </c>
      <c r="B427">
        <v>3</v>
      </c>
      <c r="C427" t="s">
        <v>262</v>
      </c>
      <c r="D427" t="s">
        <v>737</v>
      </c>
      <c r="E427" t="s">
        <v>80</v>
      </c>
      <c r="F427">
        <v>60</v>
      </c>
      <c r="G427" t="s">
        <v>678</v>
      </c>
      <c r="H427" t="s">
        <v>678</v>
      </c>
      <c r="I427" t="s">
        <v>80</v>
      </c>
      <c r="J427" t="s">
        <v>678</v>
      </c>
      <c r="K427" t="s">
        <v>678</v>
      </c>
      <c r="L427" t="s">
        <v>678</v>
      </c>
      <c r="M427" t="s">
        <v>1092</v>
      </c>
      <c r="N427" t="b">
        <v>0</v>
      </c>
    </row>
    <row r="428" spans="1:14">
      <c r="A428">
        <v>19</v>
      </c>
      <c r="B428">
        <v>4</v>
      </c>
      <c r="C428" t="s">
        <v>678</v>
      </c>
      <c r="D428" t="s">
        <v>737</v>
      </c>
      <c r="E428" t="s">
        <v>678</v>
      </c>
      <c r="F428">
        <v>0</v>
      </c>
      <c r="G428" t="s">
        <v>678</v>
      </c>
      <c r="H428" t="s">
        <v>678</v>
      </c>
      <c r="I428" t="s">
        <v>678</v>
      </c>
      <c r="J428" t="s">
        <v>678</v>
      </c>
      <c r="K428" t="s">
        <v>678</v>
      </c>
      <c r="L428" t="s">
        <v>678</v>
      </c>
      <c r="M428" t="s">
        <v>1093</v>
      </c>
      <c r="N428" t="b">
        <v>0</v>
      </c>
    </row>
    <row r="429" spans="1:14">
      <c r="A429">
        <v>19</v>
      </c>
      <c r="B429">
        <v>5</v>
      </c>
      <c r="C429" t="s">
        <v>678</v>
      </c>
      <c r="D429" t="s">
        <v>737</v>
      </c>
      <c r="E429" t="s">
        <v>678</v>
      </c>
      <c r="F429">
        <v>0</v>
      </c>
      <c r="G429" t="s">
        <v>678</v>
      </c>
      <c r="H429" t="s">
        <v>678</v>
      </c>
      <c r="I429" t="s">
        <v>678</v>
      </c>
      <c r="J429" t="s">
        <v>678</v>
      </c>
      <c r="K429" t="s">
        <v>678</v>
      </c>
      <c r="L429" t="s">
        <v>678</v>
      </c>
      <c r="M429" t="s">
        <v>1094</v>
      </c>
      <c r="N429" t="b">
        <v>0</v>
      </c>
    </row>
    <row r="430" spans="1:14">
      <c r="A430">
        <v>19</v>
      </c>
      <c r="B430">
        <v>6</v>
      </c>
      <c r="C430" t="s">
        <v>678</v>
      </c>
      <c r="D430" t="s">
        <v>737</v>
      </c>
      <c r="E430" t="s">
        <v>678</v>
      </c>
      <c r="F430">
        <v>0</v>
      </c>
      <c r="G430" t="s">
        <v>678</v>
      </c>
      <c r="H430" t="s">
        <v>678</v>
      </c>
      <c r="I430" t="s">
        <v>678</v>
      </c>
      <c r="J430" t="s">
        <v>678</v>
      </c>
      <c r="K430" t="s">
        <v>678</v>
      </c>
      <c r="L430" t="s">
        <v>678</v>
      </c>
      <c r="M430" t="s">
        <v>1095</v>
      </c>
      <c r="N430" t="b">
        <v>0</v>
      </c>
    </row>
    <row r="431" spans="1:14">
      <c r="A431">
        <v>19</v>
      </c>
      <c r="B431">
        <v>7</v>
      </c>
      <c r="C431" t="s">
        <v>678</v>
      </c>
      <c r="D431" t="s">
        <v>737</v>
      </c>
      <c r="E431" t="s">
        <v>678</v>
      </c>
      <c r="F431">
        <v>0</v>
      </c>
      <c r="G431" t="s">
        <v>678</v>
      </c>
      <c r="H431" t="s">
        <v>678</v>
      </c>
      <c r="I431" t="s">
        <v>678</v>
      </c>
      <c r="J431" t="s">
        <v>678</v>
      </c>
      <c r="K431" t="s">
        <v>678</v>
      </c>
      <c r="L431" t="s">
        <v>678</v>
      </c>
      <c r="M431" t="s">
        <v>1096</v>
      </c>
      <c r="N431" t="b">
        <v>0</v>
      </c>
    </row>
    <row r="432" spans="1:14">
      <c r="A432">
        <v>19</v>
      </c>
      <c r="B432">
        <v>8</v>
      </c>
      <c r="C432" t="s">
        <v>678</v>
      </c>
      <c r="D432" t="s">
        <v>737</v>
      </c>
      <c r="E432" t="s">
        <v>678</v>
      </c>
      <c r="F432">
        <v>0</v>
      </c>
      <c r="G432" t="s">
        <v>678</v>
      </c>
      <c r="H432" t="s">
        <v>678</v>
      </c>
      <c r="I432" t="s">
        <v>678</v>
      </c>
      <c r="J432" t="s">
        <v>678</v>
      </c>
      <c r="K432" t="s">
        <v>678</v>
      </c>
      <c r="L432" t="s">
        <v>678</v>
      </c>
      <c r="M432" t="s">
        <v>1097</v>
      </c>
      <c r="N432" t="b">
        <v>0</v>
      </c>
    </row>
    <row r="433" spans="1:14">
      <c r="A433">
        <v>19</v>
      </c>
      <c r="B433">
        <v>9</v>
      </c>
      <c r="C433" t="s">
        <v>678</v>
      </c>
      <c r="D433" t="s">
        <v>737</v>
      </c>
      <c r="E433" t="s">
        <v>678</v>
      </c>
      <c r="F433">
        <v>0</v>
      </c>
      <c r="G433" t="s">
        <v>678</v>
      </c>
      <c r="H433" t="s">
        <v>678</v>
      </c>
      <c r="I433" t="s">
        <v>678</v>
      </c>
      <c r="J433" t="s">
        <v>678</v>
      </c>
      <c r="K433" t="s">
        <v>678</v>
      </c>
      <c r="L433" t="s">
        <v>678</v>
      </c>
      <c r="M433" t="s">
        <v>1098</v>
      </c>
      <c r="N433" t="b">
        <v>0</v>
      </c>
    </row>
    <row r="434" spans="1:14">
      <c r="A434">
        <v>19</v>
      </c>
      <c r="B434">
        <v>10</v>
      </c>
      <c r="C434" t="s">
        <v>678</v>
      </c>
      <c r="D434" t="s">
        <v>737</v>
      </c>
      <c r="E434" t="s">
        <v>678</v>
      </c>
      <c r="F434">
        <v>0</v>
      </c>
      <c r="G434" t="s">
        <v>678</v>
      </c>
      <c r="H434" t="s">
        <v>678</v>
      </c>
      <c r="I434" t="s">
        <v>678</v>
      </c>
      <c r="J434" t="s">
        <v>678</v>
      </c>
      <c r="K434" t="s">
        <v>678</v>
      </c>
      <c r="L434" t="s">
        <v>678</v>
      </c>
      <c r="M434" t="s">
        <v>1099</v>
      </c>
      <c r="N434" t="b">
        <v>0</v>
      </c>
    </row>
    <row r="435" spans="1:14">
      <c r="A435">
        <v>19</v>
      </c>
      <c r="B435">
        <v>11</v>
      </c>
      <c r="C435" t="s">
        <v>678</v>
      </c>
      <c r="D435" t="s">
        <v>737</v>
      </c>
      <c r="E435" t="s">
        <v>678</v>
      </c>
      <c r="F435">
        <v>0</v>
      </c>
      <c r="G435" t="s">
        <v>678</v>
      </c>
      <c r="H435" t="s">
        <v>678</v>
      </c>
      <c r="I435" t="s">
        <v>678</v>
      </c>
      <c r="J435" t="s">
        <v>678</v>
      </c>
      <c r="K435" t="s">
        <v>678</v>
      </c>
      <c r="L435" t="s">
        <v>678</v>
      </c>
      <c r="M435" t="s">
        <v>1100</v>
      </c>
      <c r="N435" t="b">
        <v>0</v>
      </c>
    </row>
    <row r="436" spans="1:14">
      <c r="A436">
        <v>19</v>
      </c>
      <c r="B436">
        <v>12</v>
      </c>
      <c r="C436" t="s">
        <v>678</v>
      </c>
      <c r="D436" t="s">
        <v>737</v>
      </c>
      <c r="E436" t="s">
        <v>678</v>
      </c>
      <c r="F436">
        <v>0</v>
      </c>
      <c r="G436" t="s">
        <v>678</v>
      </c>
      <c r="H436" t="s">
        <v>678</v>
      </c>
      <c r="I436" t="s">
        <v>678</v>
      </c>
      <c r="J436" t="s">
        <v>678</v>
      </c>
      <c r="K436" t="s">
        <v>678</v>
      </c>
      <c r="L436" t="s">
        <v>678</v>
      </c>
      <c r="M436" t="s">
        <v>1101</v>
      </c>
      <c r="N436" t="b">
        <v>0</v>
      </c>
    </row>
    <row r="437" spans="1:14">
      <c r="A437">
        <v>19</v>
      </c>
      <c r="B437">
        <v>13</v>
      </c>
      <c r="C437" t="s">
        <v>678</v>
      </c>
      <c r="D437" t="s">
        <v>737</v>
      </c>
      <c r="E437" t="s">
        <v>678</v>
      </c>
      <c r="F437">
        <v>0</v>
      </c>
      <c r="G437" t="s">
        <v>678</v>
      </c>
      <c r="H437" t="s">
        <v>678</v>
      </c>
      <c r="I437" t="s">
        <v>678</v>
      </c>
      <c r="J437" t="s">
        <v>678</v>
      </c>
      <c r="K437" t="s">
        <v>678</v>
      </c>
      <c r="L437" t="s">
        <v>678</v>
      </c>
      <c r="M437" t="s">
        <v>1102</v>
      </c>
      <c r="N437" t="b">
        <v>0</v>
      </c>
    </row>
    <row r="438" spans="1:14">
      <c r="A438">
        <v>19</v>
      </c>
      <c r="B438">
        <v>14</v>
      </c>
      <c r="C438" t="s">
        <v>678</v>
      </c>
      <c r="D438" t="s">
        <v>737</v>
      </c>
      <c r="E438" t="s">
        <v>678</v>
      </c>
      <c r="F438">
        <v>0</v>
      </c>
      <c r="G438" t="s">
        <v>678</v>
      </c>
      <c r="H438" t="s">
        <v>678</v>
      </c>
      <c r="I438" t="s">
        <v>678</v>
      </c>
      <c r="J438" t="s">
        <v>678</v>
      </c>
      <c r="K438" t="s">
        <v>678</v>
      </c>
      <c r="L438" t="s">
        <v>678</v>
      </c>
      <c r="M438" t="s">
        <v>1103</v>
      </c>
      <c r="N438" t="b">
        <v>0</v>
      </c>
    </row>
    <row r="439" spans="1:14">
      <c r="A439">
        <v>19</v>
      </c>
      <c r="B439">
        <v>15</v>
      </c>
      <c r="C439" t="s">
        <v>678</v>
      </c>
      <c r="D439" t="s">
        <v>737</v>
      </c>
      <c r="E439" t="s">
        <v>678</v>
      </c>
      <c r="F439">
        <v>0</v>
      </c>
      <c r="G439" t="s">
        <v>678</v>
      </c>
      <c r="H439" t="s">
        <v>678</v>
      </c>
      <c r="I439" t="s">
        <v>678</v>
      </c>
      <c r="J439" t="s">
        <v>678</v>
      </c>
      <c r="K439" t="s">
        <v>678</v>
      </c>
      <c r="L439" t="s">
        <v>678</v>
      </c>
      <c r="M439" t="s">
        <v>1104</v>
      </c>
      <c r="N439" t="b">
        <v>0</v>
      </c>
    </row>
    <row r="440" spans="1:14">
      <c r="A440">
        <v>19</v>
      </c>
      <c r="B440">
        <v>16</v>
      </c>
      <c r="C440" t="s">
        <v>206</v>
      </c>
      <c r="D440" t="s">
        <v>754</v>
      </c>
      <c r="E440" t="s">
        <v>90</v>
      </c>
      <c r="F440">
        <v>50</v>
      </c>
      <c r="G440" t="s">
        <v>678</v>
      </c>
      <c r="H440" t="s">
        <v>678</v>
      </c>
      <c r="I440" t="s">
        <v>90</v>
      </c>
      <c r="J440" t="s">
        <v>678</v>
      </c>
      <c r="K440" t="s">
        <v>678</v>
      </c>
      <c r="L440" t="s">
        <v>678</v>
      </c>
      <c r="M440" t="s">
        <v>1105</v>
      </c>
      <c r="N440" t="b">
        <v>0</v>
      </c>
    </row>
    <row r="441" spans="1:14">
      <c r="A441">
        <v>19</v>
      </c>
      <c r="B441">
        <v>17</v>
      </c>
      <c r="C441" t="s">
        <v>237</v>
      </c>
      <c r="D441" t="s">
        <v>754</v>
      </c>
      <c r="E441" t="s">
        <v>97</v>
      </c>
      <c r="F441">
        <v>60</v>
      </c>
      <c r="G441" t="s">
        <v>678</v>
      </c>
      <c r="H441" t="s">
        <v>678</v>
      </c>
      <c r="I441" t="s">
        <v>97</v>
      </c>
      <c r="J441" t="s">
        <v>678</v>
      </c>
      <c r="K441" t="s">
        <v>678</v>
      </c>
      <c r="L441" t="s">
        <v>678</v>
      </c>
      <c r="M441" t="s">
        <v>692</v>
      </c>
      <c r="N441" t="b">
        <v>0</v>
      </c>
    </row>
    <row r="442" spans="1:14">
      <c r="A442">
        <v>19</v>
      </c>
      <c r="B442">
        <v>18</v>
      </c>
      <c r="C442" t="s">
        <v>168</v>
      </c>
      <c r="D442" t="s">
        <v>754</v>
      </c>
      <c r="E442" t="s">
        <v>308</v>
      </c>
      <c r="F442">
        <v>50</v>
      </c>
      <c r="G442" t="s">
        <v>773</v>
      </c>
      <c r="H442" t="s">
        <v>678</v>
      </c>
      <c r="I442" t="s">
        <v>678</v>
      </c>
      <c r="J442" t="s">
        <v>774</v>
      </c>
      <c r="K442" t="s">
        <v>775</v>
      </c>
      <c r="L442" t="s">
        <v>776</v>
      </c>
      <c r="M442" t="s">
        <v>1106</v>
      </c>
      <c r="N442" t="b">
        <v>0</v>
      </c>
    </row>
    <row r="443" spans="1:14">
      <c r="A443">
        <v>19</v>
      </c>
      <c r="B443">
        <v>19</v>
      </c>
      <c r="C443" t="s">
        <v>265</v>
      </c>
      <c r="D443" t="s">
        <v>754</v>
      </c>
      <c r="E443" t="s">
        <v>64</v>
      </c>
      <c r="F443">
        <v>50</v>
      </c>
      <c r="G443" t="s">
        <v>678</v>
      </c>
      <c r="H443" t="s">
        <v>678</v>
      </c>
      <c r="I443" t="s">
        <v>64</v>
      </c>
      <c r="J443" t="s">
        <v>678</v>
      </c>
      <c r="K443" t="s">
        <v>678</v>
      </c>
      <c r="L443" t="s">
        <v>678</v>
      </c>
      <c r="M443" t="s">
        <v>1107</v>
      </c>
      <c r="N443" t="b">
        <v>0</v>
      </c>
    </row>
    <row r="444" spans="1:14">
      <c r="A444">
        <v>19</v>
      </c>
      <c r="B444">
        <v>20</v>
      </c>
      <c r="C444" t="s">
        <v>208</v>
      </c>
      <c r="D444" t="s">
        <v>754</v>
      </c>
      <c r="E444" t="s">
        <v>86</v>
      </c>
      <c r="F444">
        <v>50</v>
      </c>
      <c r="G444" t="s">
        <v>678</v>
      </c>
      <c r="H444" t="s">
        <v>678</v>
      </c>
      <c r="I444" t="s">
        <v>86</v>
      </c>
      <c r="J444" t="s">
        <v>678</v>
      </c>
      <c r="K444" t="s">
        <v>678</v>
      </c>
      <c r="L444" t="s">
        <v>678</v>
      </c>
      <c r="M444" t="s">
        <v>1108</v>
      </c>
      <c r="N444" t="b">
        <v>0</v>
      </c>
    </row>
    <row r="445" spans="1:14">
      <c r="A445">
        <v>19</v>
      </c>
      <c r="B445">
        <v>21</v>
      </c>
      <c r="C445" t="s">
        <v>678</v>
      </c>
      <c r="D445" t="s">
        <v>754</v>
      </c>
      <c r="E445" t="s">
        <v>678</v>
      </c>
      <c r="F445">
        <v>0</v>
      </c>
      <c r="G445" t="s">
        <v>678</v>
      </c>
      <c r="H445" t="s">
        <v>678</v>
      </c>
      <c r="I445" t="s">
        <v>678</v>
      </c>
      <c r="J445" t="s">
        <v>678</v>
      </c>
      <c r="K445" t="s">
        <v>678</v>
      </c>
      <c r="L445" t="s">
        <v>678</v>
      </c>
      <c r="M445" t="s">
        <v>1109</v>
      </c>
      <c r="N445" t="b">
        <v>0</v>
      </c>
    </row>
    <row r="446" spans="1:14">
      <c r="A446">
        <v>19</v>
      </c>
      <c r="B446">
        <v>22</v>
      </c>
      <c r="C446" t="s">
        <v>678</v>
      </c>
      <c r="D446" t="s">
        <v>754</v>
      </c>
      <c r="E446" t="s">
        <v>678</v>
      </c>
      <c r="F446">
        <v>0</v>
      </c>
      <c r="G446" t="s">
        <v>678</v>
      </c>
      <c r="H446" t="s">
        <v>678</v>
      </c>
      <c r="I446" t="s">
        <v>678</v>
      </c>
      <c r="J446" t="s">
        <v>678</v>
      </c>
      <c r="K446" t="s">
        <v>678</v>
      </c>
      <c r="L446" t="s">
        <v>678</v>
      </c>
      <c r="M446" t="s">
        <v>1110</v>
      </c>
      <c r="N446" t="b">
        <v>0</v>
      </c>
    </row>
    <row r="447" spans="1:14">
      <c r="A447">
        <v>19</v>
      </c>
      <c r="B447">
        <v>23</v>
      </c>
      <c r="C447" t="s">
        <v>678</v>
      </c>
      <c r="D447" t="s">
        <v>754</v>
      </c>
      <c r="E447" t="s">
        <v>678</v>
      </c>
      <c r="F447">
        <v>0</v>
      </c>
      <c r="G447" t="s">
        <v>678</v>
      </c>
      <c r="H447" t="s">
        <v>678</v>
      </c>
      <c r="I447" t="s">
        <v>678</v>
      </c>
      <c r="J447" t="s">
        <v>678</v>
      </c>
      <c r="K447" t="s">
        <v>678</v>
      </c>
      <c r="L447" t="s">
        <v>678</v>
      </c>
      <c r="M447" t="s">
        <v>1111</v>
      </c>
      <c r="N447" t="b">
        <v>0</v>
      </c>
    </row>
    <row r="448" spans="1:14">
      <c r="A448">
        <v>19</v>
      </c>
      <c r="B448">
        <v>24</v>
      </c>
      <c r="C448" t="s">
        <v>678</v>
      </c>
      <c r="D448" t="s">
        <v>754</v>
      </c>
      <c r="E448" t="s">
        <v>678</v>
      </c>
      <c r="F448">
        <v>0</v>
      </c>
      <c r="G448" t="s">
        <v>678</v>
      </c>
      <c r="H448" t="s">
        <v>678</v>
      </c>
      <c r="I448" t="s">
        <v>678</v>
      </c>
      <c r="J448" t="s">
        <v>678</v>
      </c>
      <c r="K448" t="s">
        <v>678</v>
      </c>
      <c r="L448" t="s">
        <v>678</v>
      </c>
      <c r="M448" t="s">
        <v>1112</v>
      </c>
      <c r="N448" t="b">
        <v>0</v>
      </c>
    </row>
    <row r="449" spans="1:14">
      <c r="A449">
        <v>19</v>
      </c>
      <c r="B449">
        <v>25</v>
      </c>
      <c r="C449" t="s">
        <v>678</v>
      </c>
      <c r="D449" t="s">
        <v>754</v>
      </c>
      <c r="E449" t="s">
        <v>678</v>
      </c>
      <c r="F449">
        <v>0</v>
      </c>
      <c r="G449" t="s">
        <v>678</v>
      </c>
      <c r="H449" t="s">
        <v>678</v>
      </c>
      <c r="I449" t="s">
        <v>678</v>
      </c>
      <c r="J449" t="s">
        <v>678</v>
      </c>
      <c r="K449" t="s">
        <v>678</v>
      </c>
      <c r="L449" t="s">
        <v>678</v>
      </c>
      <c r="M449" t="s">
        <v>1113</v>
      </c>
      <c r="N449" t="b">
        <v>0</v>
      </c>
    </row>
    <row r="450" spans="1:14">
      <c r="A450">
        <v>19</v>
      </c>
      <c r="B450">
        <v>26</v>
      </c>
      <c r="C450" t="s">
        <v>678</v>
      </c>
      <c r="D450" t="s">
        <v>754</v>
      </c>
      <c r="E450" t="s">
        <v>678</v>
      </c>
      <c r="F450">
        <v>0</v>
      </c>
      <c r="G450" t="s">
        <v>678</v>
      </c>
      <c r="H450" t="s">
        <v>678</v>
      </c>
      <c r="I450" t="s">
        <v>678</v>
      </c>
      <c r="J450" t="s">
        <v>678</v>
      </c>
      <c r="K450" t="s">
        <v>678</v>
      </c>
      <c r="L450" t="s">
        <v>678</v>
      </c>
      <c r="M450" t="s">
        <v>1114</v>
      </c>
      <c r="N450" t="b">
        <v>0</v>
      </c>
    </row>
    <row r="451" spans="1:14">
      <c r="A451">
        <v>20</v>
      </c>
      <c r="B451">
        <v>0</v>
      </c>
      <c r="C451" t="s">
        <v>267</v>
      </c>
      <c r="D451" t="s">
        <v>766</v>
      </c>
      <c r="E451" t="s">
        <v>554</v>
      </c>
      <c r="F451">
        <v>60</v>
      </c>
      <c r="G451" t="s">
        <v>773</v>
      </c>
      <c r="H451" t="s">
        <v>678</v>
      </c>
      <c r="I451" t="s">
        <v>678</v>
      </c>
      <c r="J451" t="s">
        <v>1115</v>
      </c>
      <c r="K451" t="s">
        <v>1116</v>
      </c>
      <c r="L451" t="s">
        <v>1069</v>
      </c>
      <c r="M451" t="s">
        <v>1117</v>
      </c>
      <c r="N451" t="b">
        <v>0</v>
      </c>
    </row>
    <row r="452" spans="1:14">
      <c r="A452">
        <v>20</v>
      </c>
      <c r="B452">
        <v>1</v>
      </c>
      <c r="C452" t="s">
        <v>256</v>
      </c>
      <c r="D452" t="s">
        <v>737</v>
      </c>
      <c r="E452" t="s">
        <v>118</v>
      </c>
      <c r="F452">
        <v>40</v>
      </c>
      <c r="G452" t="s">
        <v>678</v>
      </c>
      <c r="H452" t="s">
        <v>678</v>
      </c>
      <c r="I452" t="s">
        <v>118</v>
      </c>
      <c r="J452" t="s">
        <v>678</v>
      </c>
      <c r="K452" t="s">
        <v>678</v>
      </c>
      <c r="L452" t="s">
        <v>678</v>
      </c>
      <c r="M452" t="s">
        <v>1118</v>
      </c>
      <c r="N452" t="b">
        <v>0</v>
      </c>
    </row>
    <row r="453" spans="1:14">
      <c r="A453">
        <v>20</v>
      </c>
      <c r="B453">
        <v>2</v>
      </c>
      <c r="C453" t="s">
        <v>264</v>
      </c>
      <c r="D453" t="s">
        <v>737</v>
      </c>
      <c r="E453" t="s">
        <v>119</v>
      </c>
      <c r="F453">
        <v>40</v>
      </c>
      <c r="G453" t="s">
        <v>678</v>
      </c>
      <c r="H453" t="s">
        <v>678</v>
      </c>
      <c r="I453" t="s">
        <v>119</v>
      </c>
      <c r="J453" t="s">
        <v>678</v>
      </c>
      <c r="K453" t="s">
        <v>678</v>
      </c>
      <c r="L453" t="s">
        <v>678</v>
      </c>
      <c r="M453" t="s">
        <v>1119</v>
      </c>
      <c r="N453" t="b">
        <v>0</v>
      </c>
    </row>
    <row r="454" spans="1:14">
      <c r="A454">
        <v>20</v>
      </c>
      <c r="B454">
        <v>3</v>
      </c>
      <c r="C454" t="s">
        <v>202</v>
      </c>
      <c r="D454" t="s">
        <v>737</v>
      </c>
      <c r="E454" t="s">
        <v>80</v>
      </c>
      <c r="F454">
        <v>50</v>
      </c>
      <c r="G454" t="s">
        <v>678</v>
      </c>
      <c r="H454" t="s">
        <v>678</v>
      </c>
      <c r="I454" t="s">
        <v>80</v>
      </c>
      <c r="J454" t="s">
        <v>678</v>
      </c>
      <c r="K454" t="s">
        <v>678</v>
      </c>
      <c r="L454" t="s">
        <v>678</v>
      </c>
      <c r="M454" t="s">
        <v>1120</v>
      </c>
      <c r="N454" t="b">
        <v>0</v>
      </c>
    </row>
    <row r="455" spans="1:14">
      <c r="A455">
        <v>20</v>
      </c>
      <c r="B455">
        <v>4</v>
      </c>
      <c r="C455" t="s">
        <v>678</v>
      </c>
      <c r="D455" t="s">
        <v>737</v>
      </c>
      <c r="E455" t="s">
        <v>678</v>
      </c>
      <c r="F455">
        <v>0</v>
      </c>
      <c r="G455" t="s">
        <v>678</v>
      </c>
      <c r="H455" t="s">
        <v>678</v>
      </c>
      <c r="I455" t="s">
        <v>678</v>
      </c>
      <c r="J455" t="s">
        <v>678</v>
      </c>
      <c r="K455" t="s">
        <v>678</v>
      </c>
      <c r="L455" t="s">
        <v>678</v>
      </c>
      <c r="M455" t="s">
        <v>1121</v>
      </c>
      <c r="N455" t="b">
        <v>0</v>
      </c>
    </row>
    <row r="456" spans="1:14">
      <c r="A456">
        <v>20</v>
      </c>
      <c r="B456">
        <v>5</v>
      </c>
      <c r="C456" t="s">
        <v>678</v>
      </c>
      <c r="D456" t="s">
        <v>737</v>
      </c>
      <c r="E456" t="s">
        <v>678</v>
      </c>
      <c r="F456">
        <v>0</v>
      </c>
      <c r="G456" t="s">
        <v>678</v>
      </c>
      <c r="H456" t="s">
        <v>678</v>
      </c>
      <c r="I456" t="s">
        <v>678</v>
      </c>
      <c r="J456" t="s">
        <v>678</v>
      </c>
      <c r="K456" t="s">
        <v>678</v>
      </c>
      <c r="L456" t="s">
        <v>678</v>
      </c>
      <c r="M456" t="s">
        <v>1122</v>
      </c>
      <c r="N456" t="b">
        <v>0</v>
      </c>
    </row>
    <row r="457" spans="1:14">
      <c r="A457">
        <v>20</v>
      </c>
      <c r="B457">
        <v>6</v>
      </c>
      <c r="C457" t="s">
        <v>678</v>
      </c>
      <c r="D457" t="s">
        <v>737</v>
      </c>
      <c r="E457" t="s">
        <v>678</v>
      </c>
      <c r="F457">
        <v>0</v>
      </c>
      <c r="G457" t="s">
        <v>678</v>
      </c>
      <c r="H457" t="s">
        <v>678</v>
      </c>
      <c r="I457" t="s">
        <v>678</v>
      </c>
      <c r="J457" t="s">
        <v>678</v>
      </c>
      <c r="K457" t="s">
        <v>678</v>
      </c>
      <c r="L457" t="s">
        <v>678</v>
      </c>
      <c r="M457" t="s">
        <v>1123</v>
      </c>
      <c r="N457" t="b">
        <v>0</v>
      </c>
    </row>
    <row r="458" spans="1:14">
      <c r="A458">
        <v>20</v>
      </c>
      <c r="B458">
        <v>7</v>
      </c>
      <c r="C458" t="s">
        <v>678</v>
      </c>
      <c r="D458" t="s">
        <v>737</v>
      </c>
      <c r="E458" t="s">
        <v>678</v>
      </c>
      <c r="F458">
        <v>0</v>
      </c>
      <c r="G458" t="s">
        <v>678</v>
      </c>
      <c r="H458" t="s">
        <v>678</v>
      </c>
      <c r="I458" t="s">
        <v>678</v>
      </c>
      <c r="J458" t="s">
        <v>678</v>
      </c>
      <c r="K458" t="s">
        <v>678</v>
      </c>
      <c r="L458" t="s">
        <v>678</v>
      </c>
      <c r="M458" t="s">
        <v>1124</v>
      </c>
      <c r="N458" t="b">
        <v>0</v>
      </c>
    </row>
    <row r="459" spans="1:14">
      <c r="A459">
        <v>20</v>
      </c>
      <c r="B459">
        <v>8</v>
      </c>
      <c r="C459" t="s">
        <v>678</v>
      </c>
      <c r="D459" t="s">
        <v>737</v>
      </c>
      <c r="E459" t="s">
        <v>678</v>
      </c>
      <c r="F459">
        <v>0</v>
      </c>
      <c r="G459" t="s">
        <v>678</v>
      </c>
      <c r="H459" t="s">
        <v>678</v>
      </c>
      <c r="I459" t="s">
        <v>678</v>
      </c>
      <c r="J459" t="s">
        <v>678</v>
      </c>
      <c r="K459" t="s">
        <v>678</v>
      </c>
      <c r="L459" t="s">
        <v>678</v>
      </c>
      <c r="M459" t="s">
        <v>1125</v>
      </c>
      <c r="N459" t="b">
        <v>0</v>
      </c>
    </row>
    <row r="460" spans="1:14">
      <c r="A460">
        <v>20</v>
      </c>
      <c r="B460">
        <v>9</v>
      </c>
      <c r="C460" t="s">
        <v>678</v>
      </c>
      <c r="D460" t="s">
        <v>737</v>
      </c>
      <c r="E460" t="s">
        <v>678</v>
      </c>
      <c r="F460">
        <v>0</v>
      </c>
      <c r="G460" t="s">
        <v>678</v>
      </c>
      <c r="H460" t="s">
        <v>678</v>
      </c>
      <c r="I460" t="s">
        <v>678</v>
      </c>
      <c r="J460" t="s">
        <v>678</v>
      </c>
      <c r="K460" t="s">
        <v>678</v>
      </c>
      <c r="L460" t="s">
        <v>678</v>
      </c>
      <c r="M460" t="s">
        <v>1126</v>
      </c>
      <c r="N460" t="b">
        <v>0</v>
      </c>
    </row>
    <row r="461" spans="1:14">
      <c r="A461">
        <v>20</v>
      </c>
      <c r="B461">
        <v>10</v>
      </c>
      <c r="C461" t="s">
        <v>678</v>
      </c>
      <c r="D461" t="s">
        <v>737</v>
      </c>
      <c r="E461" t="s">
        <v>678</v>
      </c>
      <c r="F461">
        <v>0</v>
      </c>
      <c r="G461" t="s">
        <v>678</v>
      </c>
      <c r="H461" t="s">
        <v>678</v>
      </c>
      <c r="I461" t="s">
        <v>678</v>
      </c>
      <c r="J461" t="s">
        <v>678</v>
      </c>
      <c r="K461" t="s">
        <v>678</v>
      </c>
      <c r="L461" t="s">
        <v>678</v>
      </c>
      <c r="M461" t="s">
        <v>1127</v>
      </c>
      <c r="N461" t="b">
        <v>0</v>
      </c>
    </row>
    <row r="462" spans="1:14">
      <c r="A462">
        <v>20</v>
      </c>
      <c r="B462">
        <v>11</v>
      </c>
      <c r="C462" t="s">
        <v>678</v>
      </c>
      <c r="D462" t="s">
        <v>737</v>
      </c>
      <c r="E462" t="s">
        <v>678</v>
      </c>
      <c r="F462">
        <v>0</v>
      </c>
      <c r="G462" t="s">
        <v>678</v>
      </c>
      <c r="H462" t="s">
        <v>678</v>
      </c>
      <c r="I462" t="s">
        <v>678</v>
      </c>
      <c r="J462" t="s">
        <v>678</v>
      </c>
      <c r="K462" t="s">
        <v>678</v>
      </c>
      <c r="L462" t="s">
        <v>678</v>
      </c>
      <c r="M462" t="s">
        <v>1128</v>
      </c>
      <c r="N462" t="b">
        <v>0</v>
      </c>
    </row>
    <row r="463" spans="1:14">
      <c r="A463">
        <v>20</v>
      </c>
      <c r="B463">
        <v>12</v>
      </c>
      <c r="C463" t="s">
        <v>678</v>
      </c>
      <c r="D463" t="s">
        <v>737</v>
      </c>
      <c r="E463" t="s">
        <v>678</v>
      </c>
      <c r="F463">
        <v>0</v>
      </c>
      <c r="G463" t="s">
        <v>678</v>
      </c>
      <c r="H463" t="s">
        <v>678</v>
      </c>
      <c r="I463" t="s">
        <v>678</v>
      </c>
      <c r="J463" t="s">
        <v>678</v>
      </c>
      <c r="K463" t="s">
        <v>678</v>
      </c>
      <c r="L463" t="s">
        <v>678</v>
      </c>
      <c r="M463" t="s">
        <v>1129</v>
      </c>
      <c r="N463" t="b">
        <v>0</v>
      </c>
    </row>
    <row r="464" spans="1:14">
      <c r="A464">
        <v>20</v>
      </c>
      <c r="B464">
        <v>13</v>
      </c>
      <c r="C464" t="s">
        <v>678</v>
      </c>
      <c r="D464" t="s">
        <v>737</v>
      </c>
      <c r="E464" t="s">
        <v>678</v>
      </c>
      <c r="F464">
        <v>0</v>
      </c>
      <c r="G464" t="s">
        <v>678</v>
      </c>
      <c r="H464" t="s">
        <v>678</v>
      </c>
      <c r="I464" t="s">
        <v>678</v>
      </c>
      <c r="J464" t="s">
        <v>678</v>
      </c>
      <c r="K464" t="s">
        <v>678</v>
      </c>
      <c r="L464" t="s">
        <v>678</v>
      </c>
      <c r="M464" t="s">
        <v>1130</v>
      </c>
      <c r="N464" t="b">
        <v>0</v>
      </c>
    </row>
    <row r="465" spans="1:14">
      <c r="A465">
        <v>20</v>
      </c>
      <c r="B465">
        <v>14</v>
      </c>
      <c r="C465" t="s">
        <v>678</v>
      </c>
      <c r="D465" t="s">
        <v>737</v>
      </c>
      <c r="E465" t="s">
        <v>678</v>
      </c>
      <c r="F465">
        <v>0</v>
      </c>
      <c r="G465" t="s">
        <v>678</v>
      </c>
      <c r="H465" t="s">
        <v>678</v>
      </c>
      <c r="I465" t="s">
        <v>678</v>
      </c>
      <c r="J465" t="s">
        <v>678</v>
      </c>
      <c r="K465" t="s">
        <v>678</v>
      </c>
      <c r="L465" t="s">
        <v>678</v>
      </c>
      <c r="M465" t="s">
        <v>1131</v>
      </c>
      <c r="N465" t="b">
        <v>0</v>
      </c>
    </row>
    <row r="466" spans="1:14">
      <c r="A466">
        <v>20</v>
      </c>
      <c r="B466">
        <v>15</v>
      </c>
      <c r="C466" t="s">
        <v>678</v>
      </c>
      <c r="D466" t="s">
        <v>737</v>
      </c>
      <c r="E466" t="s">
        <v>678</v>
      </c>
      <c r="F466">
        <v>0</v>
      </c>
      <c r="G466" t="s">
        <v>678</v>
      </c>
      <c r="H466" t="s">
        <v>678</v>
      </c>
      <c r="I466" t="s">
        <v>678</v>
      </c>
      <c r="J466" t="s">
        <v>678</v>
      </c>
      <c r="K466" t="s">
        <v>678</v>
      </c>
      <c r="L466" t="s">
        <v>678</v>
      </c>
      <c r="M466" t="s">
        <v>1132</v>
      </c>
      <c r="N466" t="b">
        <v>0</v>
      </c>
    </row>
    <row r="467" spans="1:14">
      <c r="A467">
        <v>20</v>
      </c>
      <c r="B467">
        <v>16</v>
      </c>
      <c r="C467" t="s">
        <v>173</v>
      </c>
      <c r="D467" t="s">
        <v>754</v>
      </c>
      <c r="E467" t="s">
        <v>69</v>
      </c>
      <c r="F467">
        <v>40</v>
      </c>
      <c r="G467" t="s">
        <v>678</v>
      </c>
      <c r="H467" t="s">
        <v>678</v>
      </c>
      <c r="I467" t="s">
        <v>69</v>
      </c>
      <c r="J467" t="s">
        <v>678</v>
      </c>
      <c r="K467" t="s">
        <v>678</v>
      </c>
      <c r="L467" t="s">
        <v>678</v>
      </c>
      <c r="M467" t="s">
        <v>1133</v>
      </c>
      <c r="N467" t="b">
        <v>0</v>
      </c>
    </row>
    <row r="468" spans="1:14">
      <c r="A468">
        <v>20</v>
      </c>
      <c r="B468">
        <v>17</v>
      </c>
      <c r="C468" t="s">
        <v>174</v>
      </c>
      <c r="D468" t="s">
        <v>754</v>
      </c>
      <c r="E468" t="s">
        <v>72</v>
      </c>
      <c r="F468">
        <v>40</v>
      </c>
      <c r="G468" t="s">
        <v>678</v>
      </c>
      <c r="H468" t="s">
        <v>678</v>
      </c>
      <c r="I468" t="s">
        <v>72</v>
      </c>
      <c r="J468" t="s">
        <v>678</v>
      </c>
      <c r="K468" t="s">
        <v>678</v>
      </c>
      <c r="L468" t="s">
        <v>678</v>
      </c>
      <c r="M468" t="s">
        <v>694</v>
      </c>
      <c r="N468" t="b">
        <v>0</v>
      </c>
    </row>
    <row r="469" spans="1:14">
      <c r="A469">
        <v>20</v>
      </c>
      <c r="B469">
        <v>18</v>
      </c>
      <c r="C469" t="s">
        <v>268</v>
      </c>
      <c r="D469" t="s">
        <v>754</v>
      </c>
      <c r="E469" t="s">
        <v>554</v>
      </c>
      <c r="F469">
        <v>40</v>
      </c>
      <c r="G469" t="s">
        <v>773</v>
      </c>
      <c r="H469" t="s">
        <v>678</v>
      </c>
      <c r="I469" t="s">
        <v>678</v>
      </c>
      <c r="J469" t="s">
        <v>1115</v>
      </c>
      <c r="K469" t="s">
        <v>1134</v>
      </c>
      <c r="L469" t="s">
        <v>1095</v>
      </c>
      <c r="M469" t="s">
        <v>1135</v>
      </c>
      <c r="N469" t="b">
        <v>0</v>
      </c>
    </row>
    <row r="470" spans="1:14">
      <c r="A470">
        <v>20</v>
      </c>
      <c r="B470">
        <v>19</v>
      </c>
      <c r="C470" t="s">
        <v>188</v>
      </c>
      <c r="D470" t="s">
        <v>754</v>
      </c>
      <c r="E470" t="s">
        <v>85</v>
      </c>
      <c r="F470">
        <v>50</v>
      </c>
      <c r="G470" t="s">
        <v>678</v>
      </c>
      <c r="H470" t="s">
        <v>678</v>
      </c>
      <c r="I470" t="s">
        <v>85</v>
      </c>
      <c r="J470" t="s">
        <v>678</v>
      </c>
      <c r="K470" t="s">
        <v>678</v>
      </c>
      <c r="L470" t="s">
        <v>678</v>
      </c>
      <c r="M470" t="s">
        <v>1136</v>
      </c>
      <c r="N470" t="b">
        <v>0</v>
      </c>
    </row>
    <row r="471" spans="1:14">
      <c r="A471">
        <v>20</v>
      </c>
      <c r="B471">
        <v>20</v>
      </c>
      <c r="C471" t="s">
        <v>220</v>
      </c>
      <c r="D471" t="s">
        <v>754</v>
      </c>
      <c r="E471" t="s">
        <v>90</v>
      </c>
      <c r="F471">
        <v>40</v>
      </c>
      <c r="G471" t="s">
        <v>678</v>
      </c>
      <c r="H471" t="s">
        <v>678</v>
      </c>
      <c r="I471" t="s">
        <v>90</v>
      </c>
      <c r="J471" t="s">
        <v>678</v>
      </c>
      <c r="K471" t="s">
        <v>678</v>
      </c>
      <c r="L471" t="s">
        <v>678</v>
      </c>
      <c r="M471" t="s">
        <v>1137</v>
      </c>
      <c r="N471" t="b">
        <v>0</v>
      </c>
    </row>
    <row r="472" spans="1:14">
      <c r="A472">
        <v>20</v>
      </c>
      <c r="B472">
        <v>21</v>
      </c>
      <c r="C472" t="s">
        <v>196</v>
      </c>
      <c r="D472" t="s">
        <v>754</v>
      </c>
      <c r="E472" t="s">
        <v>97</v>
      </c>
      <c r="F472">
        <v>50</v>
      </c>
      <c r="G472" t="s">
        <v>678</v>
      </c>
      <c r="H472" t="s">
        <v>678</v>
      </c>
      <c r="I472" t="s">
        <v>97</v>
      </c>
      <c r="J472" t="s">
        <v>678</v>
      </c>
      <c r="K472" t="s">
        <v>678</v>
      </c>
      <c r="L472" t="s">
        <v>678</v>
      </c>
      <c r="M472" t="s">
        <v>1138</v>
      </c>
      <c r="N472" t="b">
        <v>0</v>
      </c>
    </row>
    <row r="473" spans="1:14">
      <c r="A473">
        <v>20</v>
      </c>
      <c r="B473">
        <v>22</v>
      </c>
      <c r="C473" t="s">
        <v>169</v>
      </c>
      <c r="D473" t="s">
        <v>754</v>
      </c>
      <c r="E473" t="s">
        <v>308</v>
      </c>
      <c r="F473">
        <v>40</v>
      </c>
      <c r="G473" t="s">
        <v>773</v>
      </c>
      <c r="H473" t="s">
        <v>678</v>
      </c>
      <c r="I473" t="s">
        <v>678</v>
      </c>
      <c r="J473" t="s">
        <v>774</v>
      </c>
      <c r="K473" t="s">
        <v>775</v>
      </c>
      <c r="L473" t="s">
        <v>776</v>
      </c>
      <c r="M473" t="s">
        <v>1139</v>
      </c>
      <c r="N473" t="b">
        <v>0</v>
      </c>
    </row>
    <row r="474" spans="1:14">
      <c r="A474">
        <v>20</v>
      </c>
      <c r="B474">
        <v>23</v>
      </c>
      <c r="C474" t="s">
        <v>191</v>
      </c>
      <c r="D474" t="s">
        <v>754</v>
      </c>
      <c r="E474" t="s">
        <v>64</v>
      </c>
      <c r="F474">
        <v>40</v>
      </c>
      <c r="G474" t="s">
        <v>678</v>
      </c>
      <c r="H474" t="s">
        <v>678</v>
      </c>
      <c r="I474" t="s">
        <v>64</v>
      </c>
      <c r="J474" t="s">
        <v>678</v>
      </c>
      <c r="K474" t="s">
        <v>678</v>
      </c>
      <c r="L474" t="s">
        <v>678</v>
      </c>
      <c r="M474" t="s">
        <v>1140</v>
      </c>
      <c r="N474" t="b">
        <v>0</v>
      </c>
    </row>
    <row r="475" spans="1:14">
      <c r="A475">
        <v>20</v>
      </c>
      <c r="B475">
        <v>24</v>
      </c>
      <c r="C475" t="s">
        <v>269</v>
      </c>
      <c r="D475" t="s">
        <v>754</v>
      </c>
      <c r="E475" t="s">
        <v>342</v>
      </c>
      <c r="F475">
        <v>40</v>
      </c>
      <c r="G475" t="s">
        <v>773</v>
      </c>
      <c r="H475" t="s">
        <v>678</v>
      </c>
      <c r="I475" t="s">
        <v>678</v>
      </c>
      <c r="J475" t="s">
        <v>1141</v>
      </c>
      <c r="K475" t="s">
        <v>934</v>
      </c>
      <c r="L475" t="s">
        <v>935</v>
      </c>
      <c r="M475" t="s">
        <v>1142</v>
      </c>
      <c r="N475" t="b">
        <v>0</v>
      </c>
    </row>
    <row r="476" spans="1:14">
      <c r="A476">
        <v>20</v>
      </c>
      <c r="B476">
        <v>25</v>
      </c>
      <c r="C476" t="s">
        <v>245</v>
      </c>
      <c r="D476" t="s">
        <v>754</v>
      </c>
      <c r="E476" t="s">
        <v>78</v>
      </c>
      <c r="F476">
        <v>50</v>
      </c>
      <c r="G476" t="s">
        <v>678</v>
      </c>
      <c r="H476" t="s">
        <v>678</v>
      </c>
      <c r="I476" t="s">
        <v>78</v>
      </c>
      <c r="J476" t="s">
        <v>678</v>
      </c>
      <c r="K476" t="s">
        <v>678</v>
      </c>
      <c r="L476" t="s">
        <v>678</v>
      </c>
      <c r="M476" t="s">
        <v>1143</v>
      </c>
      <c r="N476" t="b">
        <v>0</v>
      </c>
    </row>
    <row r="477" spans="1:14">
      <c r="A477">
        <v>20</v>
      </c>
      <c r="B477">
        <v>26</v>
      </c>
      <c r="C477" t="s">
        <v>192</v>
      </c>
      <c r="D477" t="s">
        <v>754</v>
      </c>
      <c r="E477" t="s">
        <v>556</v>
      </c>
      <c r="F477">
        <v>40</v>
      </c>
      <c r="G477" t="s">
        <v>773</v>
      </c>
      <c r="H477" t="s">
        <v>678</v>
      </c>
      <c r="I477" t="s">
        <v>678</v>
      </c>
      <c r="J477" t="s">
        <v>837</v>
      </c>
      <c r="K477" t="s">
        <v>814</v>
      </c>
      <c r="L477" t="s">
        <v>815</v>
      </c>
      <c r="M477" t="s">
        <v>1144</v>
      </c>
      <c r="N477" t="b">
        <v>0</v>
      </c>
    </row>
    <row r="478" spans="1:14">
      <c r="A478">
        <v>21</v>
      </c>
      <c r="B478">
        <v>0</v>
      </c>
      <c r="C478" t="s">
        <v>271</v>
      </c>
      <c r="D478" t="s">
        <v>737</v>
      </c>
      <c r="E478" t="s">
        <v>67</v>
      </c>
      <c r="F478">
        <v>40</v>
      </c>
      <c r="G478" t="s">
        <v>678</v>
      </c>
      <c r="H478" t="s">
        <v>678</v>
      </c>
      <c r="I478" t="s">
        <v>67</v>
      </c>
      <c r="J478" t="s">
        <v>678</v>
      </c>
      <c r="K478" t="s">
        <v>678</v>
      </c>
      <c r="L478" t="s">
        <v>678</v>
      </c>
      <c r="M478" t="s">
        <v>1145</v>
      </c>
      <c r="N478" t="b">
        <v>0</v>
      </c>
    </row>
    <row r="479" spans="1:14">
      <c r="A479">
        <v>21</v>
      </c>
      <c r="B479">
        <v>1</v>
      </c>
      <c r="C479" t="s">
        <v>167</v>
      </c>
      <c r="D479" t="s">
        <v>737</v>
      </c>
      <c r="E479" t="s">
        <v>85</v>
      </c>
      <c r="F479">
        <v>40</v>
      </c>
      <c r="G479" t="s">
        <v>678</v>
      </c>
      <c r="H479" t="s">
        <v>678</v>
      </c>
      <c r="I479" t="s">
        <v>85</v>
      </c>
      <c r="J479" t="s">
        <v>678</v>
      </c>
      <c r="K479" t="s">
        <v>678</v>
      </c>
      <c r="L479" t="s">
        <v>678</v>
      </c>
      <c r="M479" t="s">
        <v>1146</v>
      </c>
      <c r="N479" t="b">
        <v>0</v>
      </c>
    </row>
    <row r="480" spans="1:14">
      <c r="A480">
        <v>21</v>
      </c>
      <c r="B480">
        <v>2</v>
      </c>
      <c r="C480" t="s">
        <v>211</v>
      </c>
      <c r="D480" t="s">
        <v>737</v>
      </c>
      <c r="E480" t="s">
        <v>107</v>
      </c>
      <c r="F480">
        <v>60</v>
      </c>
      <c r="G480" t="s">
        <v>678</v>
      </c>
      <c r="H480" t="s">
        <v>678</v>
      </c>
      <c r="I480" t="s">
        <v>107</v>
      </c>
      <c r="J480" t="s">
        <v>678</v>
      </c>
      <c r="K480" t="s">
        <v>678</v>
      </c>
      <c r="L480" t="s">
        <v>678</v>
      </c>
      <c r="M480" t="s">
        <v>1147</v>
      </c>
      <c r="N480" t="b">
        <v>0</v>
      </c>
    </row>
    <row r="481" spans="1:14">
      <c r="A481">
        <v>21</v>
      </c>
      <c r="B481">
        <v>3</v>
      </c>
      <c r="C481" t="s">
        <v>264</v>
      </c>
      <c r="D481" t="s">
        <v>737</v>
      </c>
      <c r="E481" t="s">
        <v>119</v>
      </c>
      <c r="F481">
        <v>40</v>
      </c>
      <c r="G481" t="s">
        <v>678</v>
      </c>
      <c r="H481" t="s">
        <v>678</v>
      </c>
      <c r="I481" t="s">
        <v>119</v>
      </c>
      <c r="J481" t="s">
        <v>678</v>
      </c>
      <c r="K481" t="s">
        <v>678</v>
      </c>
      <c r="L481" t="s">
        <v>678</v>
      </c>
      <c r="M481" t="s">
        <v>1148</v>
      </c>
      <c r="N481" t="b">
        <v>0</v>
      </c>
    </row>
    <row r="482" spans="1:14">
      <c r="A482">
        <v>21</v>
      </c>
      <c r="B482">
        <v>4</v>
      </c>
      <c r="C482" t="s">
        <v>272</v>
      </c>
      <c r="D482" t="s">
        <v>737</v>
      </c>
      <c r="E482" t="s">
        <v>68</v>
      </c>
      <c r="F482">
        <v>40</v>
      </c>
      <c r="G482" t="s">
        <v>678</v>
      </c>
      <c r="H482" t="s">
        <v>678</v>
      </c>
      <c r="I482" t="s">
        <v>68</v>
      </c>
      <c r="J482" t="s">
        <v>678</v>
      </c>
      <c r="K482" t="s">
        <v>678</v>
      </c>
      <c r="L482" t="s">
        <v>678</v>
      </c>
      <c r="M482" t="s">
        <v>1149</v>
      </c>
      <c r="N482" t="b">
        <v>0</v>
      </c>
    </row>
    <row r="483" spans="1:14">
      <c r="A483">
        <v>21</v>
      </c>
      <c r="B483">
        <v>5</v>
      </c>
      <c r="C483" t="s">
        <v>172</v>
      </c>
      <c r="D483" t="s">
        <v>737</v>
      </c>
      <c r="E483" t="s">
        <v>80</v>
      </c>
      <c r="F483">
        <v>40</v>
      </c>
      <c r="G483" t="s">
        <v>678</v>
      </c>
      <c r="H483" t="s">
        <v>678</v>
      </c>
      <c r="I483" t="s">
        <v>80</v>
      </c>
      <c r="J483" t="s">
        <v>678</v>
      </c>
      <c r="K483" t="s">
        <v>678</v>
      </c>
      <c r="L483" t="s">
        <v>678</v>
      </c>
      <c r="M483" t="s">
        <v>1150</v>
      </c>
      <c r="N483" t="b">
        <v>0</v>
      </c>
    </row>
    <row r="484" spans="1:14">
      <c r="A484">
        <v>21</v>
      </c>
      <c r="B484">
        <v>6</v>
      </c>
      <c r="C484" t="s">
        <v>223</v>
      </c>
      <c r="D484" t="s">
        <v>737</v>
      </c>
      <c r="E484" t="s">
        <v>86</v>
      </c>
      <c r="F484">
        <v>40</v>
      </c>
      <c r="G484" t="s">
        <v>678</v>
      </c>
      <c r="H484" t="s">
        <v>678</v>
      </c>
      <c r="I484" t="s">
        <v>86</v>
      </c>
      <c r="J484" t="s">
        <v>678</v>
      </c>
      <c r="K484" t="s">
        <v>678</v>
      </c>
      <c r="L484" t="s">
        <v>678</v>
      </c>
      <c r="M484" t="s">
        <v>1151</v>
      </c>
      <c r="N484" t="b">
        <v>0</v>
      </c>
    </row>
    <row r="485" spans="1:14">
      <c r="A485">
        <v>21</v>
      </c>
      <c r="B485">
        <v>7</v>
      </c>
      <c r="C485" t="s">
        <v>273</v>
      </c>
      <c r="D485" t="s">
        <v>737</v>
      </c>
      <c r="E485" t="s">
        <v>556</v>
      </c>
      <c r="F485">
        <v>40</v>
      </c>
      <c r="G485" t="s">
        <v>678</v>
      </c>
      <c r="H485" t="s">
        <v>566</v>
      </c>
      <c r="I485" t="s">
        <v>343</v>
      </c>
      <c r="J485" t="s">
        <v>678</v>
      </c>
      <c r="K485" t="s">
        <v>814</v>
      </c>
      <c r="L485" t="s">
        <v>815</v>
      </c>
      <c r="M485" t="s">
        <v>1152</v>
      </c>
      <c r="N485" t="b">
        <v>0</v>
      </c>
    </row>
    <row r="486" spans="1:14">
      <c r="A486">
        <v>21</v>
      </c>
      <c r="B486">
        <v>8</v>
      </c>
      <c r="C486" t="s">
        <v>678</v>
      </c>
      <c r="D486" t="s">
        <v>737</v>
      </c>
      <c r="E486" t="s">
        <v>678</v>
      </c>
      <c r="F486">
        <v>0</v>
      </c>
      <c r="G486" t="s">
        <v>678</v>
      </c>
      <c r="H486" t="s">
        <v>678</v>
      </c>
      <c r="I486" t="s">
        <v>678</v>
      </c>
      <c r="J486" t="s">
        <v>678</v>
      </c>
      <c r="K486" t="s">
        <v>678</v>
      </c>
      <c r="L486" t="s">
        <v>678</v>
      </c>
      <c r="M486" t="s">
        <v>1153</v>
      </c>
      <c r="N486" t="b">
        <v>0</v>
      </c>
    </row>
    <row r="487" spans="1:14">
      <c r="A487">
        <v>21</v>
      </c>
      <c r="B487">
        <v>9</v>
      </c>
      <c r="C487" t="s">
        <v>678</v>
      </c>
      <c r="D487" t="s">
        <v>737</v>
      </c>
      <c r="E487" t="s">
        <v>678</v>
      </c>
      <c r="F487">
        <v>0</v>
      </c>
      <c r="G487" t="s">
        <v>678</v>
      </c>
      <c r="H487" t="s">
        <v>678</v>
      </c>
      <c r="I487" t="s">
        <v>678</v>
      </c>
      <c r="J487" t="s">
        <v>678</v>
      </c>
      <c r="K487" t="s">
        <v>678</v>
      </c>
      <c r="L487" t="s">
        <v>678</v>
      </c>
      <c r="M487" t="s">
        <v>1154</v>
      </c>
      <c r="N487" t="b">
        <v>0</v>
      </c>
    </row>
    <row r="488" spans="1:14">
      <c r="A488">
        <v>21</v>
      </c>
      <c r="B488">
        <v>10</v>
      </c>
      <c r="C488" t="s">
        <v>678</v>
      </c>
      <c r="D488" t="s">
        <v>737</v>
      </c>
      <c r="E488" t="s">
        <v>678</v>
      </c>
      <c r="F488">
        <v>0</v>
      </c>
      <c r="G488" t="s">
        <v>678</v>
      </c>
      <c r="H488" t="s">
        <v>678</v>
      </c>
      <c r="I488" t="s">
        <v>678</v>
      </c>
      <c r="J488" t="s">
        <v>678</v>
      </c>
      <c r="K488" t="s">
        <v>678</v>
      </c>
      <c r="L488" t="s">
        <v>678</v>
      </c>
      <c r="M488" t="s">
        <v>1155</v>
      </c>
      <c r="N488" t="b">
        <v>0</v>
      </c>
    </row>
    <row r="489" spans="1:14">
      <c r="A489">
        <v>21</v>
      </c>
      <c r="B489">
        <v>11</v>
      </c>
      <c r="C489" t="s">
        <v>678</v>
      </c>
      <c r="D489" t="s">
        <v>737</v>
      </c>
      <c r="E489" t="s">
        <v>678</v>
      </c>
      <c r="F489">
        <v>0</v>
      </c>
      <c r="G489" t="s">
        <v>678</v>
      </c>
      <c r="H489" t="s">
        <v>678</v>
      </c>
      <c r="I489" t="s">
        <v>678</v>
      </c>
      <c r="J489" t="s">
        <v>678</v>
      </c>
      <c r="K489" t="s">
        <v>678</v>
      </c>
      <c r="L489" t="s">
        <v>678</v>
      </c>
      <c r="M489" t="s">
        <v>1156</v>
      </c>
      <c r="N489" t="b">
        <v>0</v>
      </c>
    </row>
    <row r="490" spans="1:14">
      <c r="A490">
        <v>21</v>
      </c>
      <c r="B490">
        <v>12</v>
      </c>
      <c r="C490" t="s">
        <v>678</v>
      </c>
      <c r="D490" t="s">
        <v>737</v>
      </c>
      <c r="E490" t="s">
        <v>678</v>
      </c>
      <c r="F490">
        <v>0</v>
      </c>
      <c r="G490" t="s">
        <v>678</v>
      </c>
      <c r="H490" t="s">
        <v>678</v>
      </c>
      <c r="I490" t="s">
        <v>678</v>
      </c>
      <c r="J490" t="s">
        <v>678</v>
      </c>
      <c r="K490" t="s">
        <v>678</v>
      </c>
      <c r="L490" t="s">
        <v>678</v>
      </c>
      <c r="M490" t="s">
        <v>1157</v>
      </c>
      <c r="N490" t="b">
        <v>0</v>
      </c>
    </row>
    <row r="491" spans="1:14">
      <c r="A491">
        <v>21</v>
      </c>
      <c r="B491">
        <v>13</v>
      </c>
      <c r="C491" t="s">
        <v>678</v>
      </c>
      <c r="D491" t="s">
        <v>737</v>
      </c>
      <c r="E491" t="s">
        <v>678</v>
      </c>
      <c r="F491">
        <v>0</v>
      </c>
      <c r="G491" t="s">
        <v>678</v>
      </c>
      <c r="H491" t="s">
        <v>678</v>
      </c>
      <c r="I491" t="s">
        <v>678</v>
      </c>
      <c r="J491" t="s">
        <v>678</v>
      </c>
      <c r="K491" t="s">
        <v>678</v>
      </c>
      <c r="L491" t="s">
        <v>678</v>
      </c>
      <c r="M491" t="s">
        <v>1158</v>
      </c>
      <c r="N491" t="b">
        <v>0</v>
      </c>
    </row>
    <row r="492" spans="1:14">
      <c r="A492">
        <v>21</v>
      </c>
      <c r="B492">
        <v>14</v>
      </c>
      <c r="C492" t="s">
        <v>678</v>
      </c>
      <c r="D492" t="s">
        <v>737</v>
      </c>
      <c r="E492" t="s">
        <v>678</v>
      </c>
      <c r="F492">
        <v>0</v>
      </c>
      <c r="G492" t="s">
        <v>678</v>
      </c>
      <c r="H492" t="s">
        <v>678</v>
      </c>
      <c r="I492" t="s">
        <v>678</v>
      </c>
      <c r="J492" t="s">
        <v>678</v>
      </c>
      <c r="K492" t="s">
        <v>678</v>
      </c>
      <c r="L492" t="s">
        <v>678</v>
      </c>
      <c r="M492" t="s">
        <v>1159</v>
      </c>
      <c r="N492" t="b">
        <v>0</v>
      </c>
    </row>
    <row r="493" spans="1:14">
      <c r="A493">
        <v>21</v>
      </c>
      <c r="B493">
        <v>15</v>
      </c>
      <c r="C493" t="s">
        <v>678</v>
      </c>
      <c r="D493" t="s">
        <v>737</v>
      </c>
      <c r="E493" t="s">
        <v>678</v>
      </c>
      <c r="F493">
        <v>0</v>
      </c>
      <c r="G493" t="s">
        <v>678</v>
      </c>
      <c r="H493" t="s">
        <v>678</v>
      </c>
      <c r="I493" t="s">
        <v>678</v>
      </c>
      <c r="J493" t="s">
        <v>678</v>
      </c>
      <c r="K493" t="s">
        <v>678</v>
      </c>
      <c r="L493" t="s">
        <v>678</v>
      </c>
      <c r="M493" t="s">
        <v>1160</v>
      </c>
      <c r="N493" t="b">
        <v>0</v>
      </c>
    </row>
    <row r="494" spans="1:14">
      <c r="A494">
        <v>21</v>
      </c>
      <c r="B494">
        <v>16</v>
      </c>
      <c r="C494" t="s">
        <v>274</v>
      </c>
      <c r="D494" t="s">
        <v>754</v>
      </c>
      <c r="E494" t="s">
        <v>103</v>
      </c>
      <c r="F494">
        <v>60</v>
      </c>
      <c r="G494" t="s">
        <v>678</v>
      </c>
      <c r="H494" t="s">
        <v>678</v>
      </c>
      <c r="I494" t="s">
        <v>103</v>
      </c>
      <c r="J494" t="s">
        <v>678</v>
      </c>
      <c r="K494" t="s">
        <v>678</v>
      </c>
      <c r="L494" t="s">
        <v>678</v>
      </c>
      <c r="M494" t="s">
        <v>1161</v>
      </c>
      <c r="N494" t="b">
        <v>0</v>
      </c>
    </row>
    <row r="495" spans="1:14">
      <c r="A495">
        <v>21</v>
      </c>
      <c r="B495">
        <v>17</v>
      </c>
      <c r="C495" t="s">
        <v>222</v>
      </c>
      <c r="D495" t="s">
        <v>754</v>
      </c>
      <c r="E495" t="s">
        <v>113</v>
      </c>
      <c r="F495">
        <v>40</v>
      </c>
      <c r="G495" t="s">
        <v>678</v>
      </c>
      <c r="H495" t="s">
        <v>678</v>
      </c>
      <c r="I495" t="s">
        <v>113</v>
      </c>
      <c r="J495" t="s">
        <v>678</v>
      </c>
      <c r="K495" t="s">
        <v>678</v>
      </c>
      <c r="L495" t="s">
        <v>678</v>
      </c>
      <c r="M495" t="s">
        <v>696</v>
      </c>
      <c r="N495" t="b">
        <v>0</v>
      </c>
    </row>
    <row r="496" spans="1:14">
      <c r="A496">
        <v>21</v>
      </c>
      <c r="B496">
        <v>18</v>
      </c>
      <c r="C496" t="s">
        <v>176</v>
      </c>
      <c r="D496" t="s">
        <v>754</v>
      </c>
      <c r="E496" t="s">
        <v>76</v>
      </c>
      <c r="F496">
        <v>50</v>
      </c>
      <c r="G496" t="s">
        <v>678</v>
      </c>
      <c r="H496" t="s">
        <v>678</v>
      </c>
      <c r="I496" t="s">
        <v>76</v>
      </c>
      <c r="J496" t="s">
        <v>678</v>
      </c>
      <c r="K496" t="s">
        <v>678</v>
      </c>
      <c r="L496" t="s">
        <v>678</v>
      </c>
      <c r="M496" t="s">
        <v>1162</v>
      </c>
      <c r="N496" t="b">
        <v>0</v>
      </c>
    </row>
    <row r="497" spans="1:14">
      <c r="A497">
        <v>21</v>
      </c>
      <c r="B497">
        <v>19</v>
      </c>
      <c r="C497" t="s">
        <v>275</v>
      </c>
      <c r="D497" t="s">
        <v>754</v>
      </c>
      <c r="E497" t="s">
        <v>95</v>
      </c>
      <c r="F497">
        <v>50</v>
      </c>
      <c r="G497" t="s">
        <v>678</v>
      </c>
      <c r="H497" t="s">
        <v>678</v>
      </c>
      <c r="I497" t="s">
        <v>95</v>
      </c>
      <c r="J497" t="s">
        <v>678</v>
      </c>
      <c r="K497" t="s">
        <v>678</v>
      </c>
      <c r="L497" t="s">
        <v>678</v>
      </c>
      <c r="M497" t="s">
        <v>1163</v>
      </c>
      <c r="N497" t="b">
        <v>0</v>
      </c>
    </row>
    <row r="498" spans="1:14">
      <c r="A498">
        <v>21</v>
      </c>
      <c r="B498">
        <v>20</v>
      </c>
      <c r="C498" t="s">
        <v>178</v>
      </c>
      <c r="D498" t="s">
        <v>754</v>
      </c>
      <c r="E498" t="s">
        <v>102</v>
      </c>
      <c r="F498">
        <v>60</v>
      </c>
      <c r="G498" t="s">
        <v>678</v>
      </c>
      <c r="H498" t="s">
        <v>678</v>
      </c>
      <c r="I498" t="s">
        <v>102</v>
      </c>
      <c r="J498" t="s">
        <v>678</v>
      </c>
      <c r="K498" t="s">
        <v>678</v>
      </c>
      <c r="L498" t="s">
        <v>678</v>
      </c>
      <c r="M498" t="s">
        <v>1164</v>
      </c>
      <c r="N498" t="b">
        <v>0</v>
      </c>
    </row>
    <row r="499" spans="1:14">
      <c r="A499">
        <v>21</v>
      </c>
      <c r="B499">
        <v>21</v>
      </c>
      <c r="C499" t="s">
        <v>678</v>
      </c>
      <c r="D499" t="s">
        <v>754</v>
      </c>
      <c r="E499" t="s">
        <v>678</v>
      </c>
      <c r="F499">
        <v>0</v>
      </c>
      <c r="G499" t="s">
        <v>678</v>
      </c>
      <c r="H499" t="s">
        <v>678</v>
      </c>
      <c r="I499" t="s">
        <v>678</v>
      </c>
      <c r="J499" t="s">
        <v>678</v>
      </c>
      <c r="K499" t="s">
        <v>678</v>
      </c>
      <c r="L499" t="s">
        <v>678</v>
      </c>
      <c r="M499" t="s">
        <v>1165</v>
      </c>
      <c r="N499" t="b">
        <v>0</v>
      </c>
    </row>
    <row r="500" spans="1:14">
      <c r="A500">
        <v>21</v>
      </c>
      <c r="B500">
        <v>22</v>
      </c>
      <c r="C500" t="s">
        <v>678</v>
      </c>
      <c r="D500" t="s">
        <v>754</v>
      </c>
      <c r="E500" t="s">
        <v>678</v>
      </c>
      <c r="F500">
        <v>0</v>
      </c>
      <c r="G500" t="s">
        <v>678</v>
      </c>
      <c r="H500" t="s">
        <v>678</v>
      </c>
      <c r="I500" t="s">
        <v>678</v>
      </c>
      <c r="J500" t="s">
        <v>678</v>
      </c>
      <c r="K500" t="s">
        <v>678</v>
      </c>
      <c r="L500" t="s">
        <v>678</v>
      </c>
      <c r="M500" t="s">
        <v>1166</v>
      </c>
      <c r="N500" t="b">
        <v>0</v>
      </c>
    </row>
    <row r="501" spans="1:14">
      <c r="A501">
        <v>21</v>
      </c>
      <c r="B501">
        <v>23</v>
      </c>
      <c r="C501" t="s">
        <v>678</v>
      </c>
      <c r="D501" t="s">
        <v>754</v>
      </c>
      <c r="E501" t="s">
        <v>678</v>
      </c>
      <c r="F501">
        <v>0</v>
      </c>
      <c r="G501" t="s">
        <v>678</v>
      </c>
      <c r="H501" t="s">
        <v>678</v>
      </c>
      <c r="I501" t="s">
        <v>678</v>
      </c>
      <c r="J501" t="s">
        <v>678</v>
      </c>
      <c r="K501" t="s">
        <v>678</v>
      </c>
      <c r="L501" t="s">
        <v>678</v>
      </c>
      <c r="M501" t="s">
        <v>1167</v>
      </c>
      <c r="N501" t="b">
        <v>0</v>
      </c>
    </row>
    <row r="502" spans="1:14">
      <c r="A502">
        <v>21</v>
      </c>
      <c r="B502">
        <v>24</v>
      </c>
      <c r="C502" t="s">
        <v>678</v>
      </c>
      <c r="D502" t="s">
        <v>754</v>
      </c>
      <c r="E502" t="s">
        <v>678</v>
      </c>
      <c r="F502">
        <v>0</v>
      </c>
      <c r="G502" t="s">
        <v>678</v>
      </c>
      <c r="H502" t="s">
        <v>678</v>
      </c>
      <c r="I502" t="s">
        <v>678</v>
      </c>
      <c r="J502" t="s">
        <v>678</v>
      </c>
      <c r="K502" t="s">
        <v>678</v>
      </c>
      <c r="L502" t="s">
        <v>678</v>
      </c>
      <c r="M502" t="s">
        <v>1168</v>
      </c>
      <c r="N502" t="b">
        <v>0</v>
      </c>
    </row>
    <row r="503" spans="1:14">
      <c r="A503">
        <v>21</v>
      </c>
      <c r="B503">
        <v>25</v>
      </c>
      <c r="C503" t="s">
        <v>678</v>
      </c>
      <c r="D503" t="s">
        <v>754</v>
      </c>
      <c r="E503" t="s">
        <v>678</v>
      </c>
      <c r="F503">
        <v>0</v>
      </c>
      <c r="G503" t="s">
        <v>678</v>
      </c>
      <c r="H503" t="s">
        <v>678</v>
      </c>
      <c r="I503" t="s">
        <v>678</v>
      </c>
      <c r="J503" t="s">
        <v>678</v>
      </c>
      <c r="K503" t="s">
        <v>678</v>
      </c>
      <c r="L503" t="s">
        <v>678</v>
      </c>
      <c r="M503" t="s">
        <v>1169</v>
      </c>
      <c r="N503" t="b">
        <v>0</v>
      </c>
    </row>
    <row r="504" spans="1:14">
      <c r="A504">
        <v>21</v>
      </c>
      <c r="B504">
        <v>26</v>
      </c>
      <c r="C504" t="s">
        <v>678</v>
      </c>
      <c r="D504" t="s">
        <v>754</v>
      </c>
      <c r="E504" t="s">
        <v>678</v>
      </c>
      <c r="F504">
        <v>0</v>
      </c>
      <c r="G504" t="s">
        <v>678</v>
      </c>
      <c r="H504" t="s">
        <v>678</v>
      </c>
      <c r="I504" t="s">
        <v>678</v>
      </c>
      <c r="J504" t="s">
        <v>678</v>
      </c>
      <c r="K504" t="s">
        <v>678</v>
      </c>
      <c r="L504" t="s">
        <v>678</v>
      </c>
      <c r="M504" t="s">
        <v>1170</v>
      </c>
      <c r="N504" t="b">
        <v>0</v>
      </c>
    </row>
    <row r="505" spans="1:14">
      <c r="A505">
        <v>22</v>
      </c>
      <c r="B505">
        <v>0</v>
      </c>
      <c r="C505" t="s">
        <v>226</v>
      </c>
      <c r="D505" t="s">
        <v>737</v>
      </c>
      <c r="E505" t="s">
        <v>67</v>
      </c>
      <c r="F505">
        <v>60</v>
      </c>
      <c r="G505" t="s">
        <v>678</v>
      </c>
      <c r="H505" t="s">
        <v>678</v>
      </c>
      <c r="I505" t="s">
        <v>67</v>
      </c>
      <c r="J505" t="s">
        <v>678</v>
      </c>
      <c r="K505" t="s">
        <v>678</v>
      </c>
      <c r="L505" t="s">
        <v>678</v>
      </c>
      <c r="M505" t="s">
        <v>1171</v>
      </c>
      <c r="N505" t="b">
        <v>0</v>
      </c>
    </row>
    <row r="506" spans="1:14">
      <c r="A506">
        <v>22</v>
      </c>
      <c r="B506">
        <v>1</v>
      </c>
      <c r="C506" t="s">
        <v>278</v>
      </c>
      <c r="D506" t="s">
        <v>737</v>
      </c>
      <c r="E506" t="s">
        <v>85</v>
      </c>
      <c r="F506">
        <v>30</v>
      </c>
      <c r="G506" t="s">
        <v>678</v>
      </c>
      <c r="H506" t="s">
        <v>678</v>
      </c>
      <c r="I506" t="s">
        <v>85</v>
      </c>
      <c r="J506" t="s">
        <v>678</v>
      </c>
      <c r="K506" t="s">
        <v>678</v>
      </c>
      <c r="L506" t="s">
        <v>678</v>
      </c>
      <c r="M506" t="s">
        <v>1172</v>
      </c>
      <c r="N506" t="b">
        <v>0</v>
      </c>
    </row>
    <row r="507" spans="1:14">
      <c r="A507">
        <v>22</v>
      </c>
      <c r="B507">
        <v>2</v>
      </c>
      <c r="C507" t="s">
        <v>248</v>
      </c>
      <c r="D507" t="s">
        <v>737</v>
      </c>
      <c r="E507" t="s">
        <v>555</v>
      </c>
      <c r="F507">
        <v>40</v>
      </c>
      <c r="G507" t="s">
        <v>678</v>
      </c>
      <c r="H507" t="s">
        <v>558</v>
      </c>
      <c r="I507" t="s">
        <v>519</v>
      </c>
      <c r="J507" t="s">
        <v>678</v>
      </c>
      <c r="K507" t="s">
        <v>805</v>
      </c>
      <c r="L507" t="s">
        <v>806</v>
      </c>
      <c r="M507" t="s">
        <v>1173</v>
      </c>
      <c r="N507" t="b">
        <v>0</v>
      </c>
    </row>
    <row r="508" spans="1:14">
      <c r="A508">
        <v>22</v>
      </c>
      <c r="B508">
        <v>3</v>
      </c>
      <c r="C508" t="s">
        <v>249</v>
      </c>
      <c r="D508" t="s">
        <v>737</v>
      </c>
      <c r="E508" t="s">
        <v>555</v>
      </c>
      <c r="F508">
        <v>40</v>
      </c>
      <c r="G508" t="s">
        <v>678</v>
      </c>
      <c r="H508" t="s">
        <v>568</v>
      </c>
      <c r="I508" t="s">
        <v>497</v>
      </c>
      <c r="J508" t="s">
        <v>678</v>
      </c>
      <c r="K508" t="s">
        <v>808</v>
      </c>
      <c r="L508" t="s">
        <v>809</v>
      </c>
      <c r="M508" t="s">
        <v>1174</v>
      </c>
      <c r="N508" t="b">
        <v>0</v>
      </c>
    </row>
    <row r="509" spans="1:14">
      <c r="A509">
        <v>22</v>
      </c>
      <c r="B509">
        <v>4</v>
      </c>
      <c r="C509" t="s">
        <v>176</v>
      </c>
      <c r="D509" t="s">
        <v>737</v>
      </c>
      <c r="E509" t="s">
        <v>76</v>
      </c>
      <c r="F509">
        <v>50</v>
      </c>
      <c r="G509" t="s">
        <v>678</v>
      </c>
      <c r="H509" t="s">
        <v>678</v>
      </c>
      <c r="I509" t="s">
        <v>76</v>
      </c>
      <c r="J509" t="s">
        <v>678</v>
      </c>
      <c r="K509" t="s">
        <v>678</v>
      </c>
      <c r="L509" t="s">
        <v>678</v>
      </c>
      <c r="M509" t="s">
        <v>1175</v>
      </c>
      <c r="N509" t="b">
        <v>0</v>
      </c>
    </row>
    <row r="510" spans="1:14">
      <c r="A510">
        <v>22</v>
      </c>
      <c r="B510">
        <v>5</v>
      </c>
      <c r="C510" t="s">
        <v>279</v>
      </c>
      <c r="D510" t="s">
        <v>766</v>
      </c>
      <c r="E510" t="s">
        <v>369</v>
      </c>
      <c r="F510">
        <v>60</v>
      </c>
      <c r="G510" t="s">
        <v>773</v>
      </c>
      <c r="H510" t="s">
        <v>678</v>
      </c>
      <c r="I510" t="s">
        <v>678</v>
      </c>
      <c r="J510" t="s">
        <v>1176</v>
      </c>
      <c r="K510" t="s">
        <v>1177</v>
      </c>
      <c r="L510" t="s">
        <v>1178</v>
      </c>
      <c r="M510" t="s">
        <v>1179</v>
      </c>
      <c r="N510" t="b">
        <v>0</v>
      </c>
    </row>
    <row r="511" spans="1:14">
      <c r="A511">
        <v>22</v>
      </c>
      <c r="B511">
        <v>6</v>
      </c>
      <c r="C511" t="s">
        <v>280</v>
      </c>
      <c r="D511" t="s">
        <v>737</v>
      </c>
      <c r="E511" t="s">
        <v>556</v>
      </c>
      <c r="F511">
        <v>40</v>
      </c>
      <c r="G511" t="s">
        <v>678</v>
      </c>
      <c r="H511" t="s">
        <v>594</v>
      </c>
      <c r="I511" t="s">
        <v>507</v>
      </c>
      <c r="J511" t="s">
        <v>678</v>
      </c>
      <c r="K511" t="s">
        <v>814</v>
      </c>
      <c r="L511" t="s">
        <v>815</v>
      </c>
      <c r="M511" t="s">
        <v>1180</v>
      </c>
      <c r="N511" t="b">
        <v>0</v>
      </c>
    </row>
    <row r="512" spans="1:14">
      <c r="A512">
        <v>22</v>
      </c>
      <c r="B512">
        <v>7</v>
      </c>
      <c r="C512" t="s">
        <v>281</v>
      </c>
      <c r="D512" t="s">
        <v>737</v>
      </c>
      <c r="E512" t="s">
        <v>111</v>
      </c>
      <c r="F512">
        <v>40</v>
      </c>
      <c r="G512" t="s">
        <v>678</v>
      </c>
      <c r="H512" t="s">
        <v>678</v>
      </c>
      <c r="I512" t="s">
        <v>111</v>
      </c>
      <c r="J512" t="s">
        <v>678</v>
      </c>
      <c r="K512" t="s">
        <v>678</v>
      </c>
      <c r="L512" t="s">
        <v>678</v>
      </c>
      <c r="M512" t="s">
        <v>1181</v>
      </c>
      <c r="N512" t="b">
        <v>0</v>
      </c>
    </row>
    <row r="513" spans="1:14">
      <c r="A513">
        <v>22</v>
      </c>
      <c r="B513">
        <v>8</v>
      </c>
      <c r="C513" t="s">
        <v>678</v>
      </c>
      <c r="D513" t="s">
        <v>737</v>
      </c>
      <c r="E513" t="s">
        <v>678</v>
      </c>
      <c r="F513">
        <v>0</v>
      </c>
      <c r="G513" t="s">
        <v>678</v>
      </c>
      <c r="H513" t="s">
        <v>678</v>
      </c>
      <c r="I513" t="s">
        <v>678</v>
      </c>
      <c r="J513" t="s">
        <v>678</v>
      </c>
      <c r="K513" t="s">
        <v>678</v>
      </c>
      <c r="L513" t="s">
        <v>678</v>
      </c>
      <c r="M513" t="s">
        <v>1182</v>
      </c>
      <c r="N513" t="b">
        <v>0</v>
      </c>
    </row>
    <row r="514" spans="1:14">
      <c r="A514">
        <v>22</v>
      </c>
      <c r="B514">
        <v>9</v>
      </c>
      <c r="C514" t="s">
        <v>678</v>
      </c>
      <c r="D514" t="s">
        <v>737</v>
      </c>
      <c r="E514" t="s">
        <v>678</v>
      </c>
      <c r="F514">
        <v>0</v>
      </c>
      <c r="G514" t="s">
        <v>678</v>
      </c>
      <c r="H514" t="s">
        <v>678</v>
      </c>
      <c r="I514" t="s">
        <v>678</v>
      </c>
      <c r="J514" t="s">
        <v>678</v>
      </c>
      <c r="K514" t="s">
        <v>678</v>
      </c>
      <c r="L514" t="s">
        <v>678</v>
      </c>
      <c r="M514" t="s">
        <v>1183</v>
      </c>
      <c r="N514" t="b">
        <v>0</v>
      </c>
    </row>
    <row r="515" spans="1:14">
      <c r="A515">
        <v>22</v>
      </c>
      <c r="B515">
        <v>10</v>
      </c>
      <c r="C515" t="s">
        <v>678</v>
      </c>
      <c r="D515" t="s">
        <v>737</v>
      </c>
      <c r="E515" t="s">
        <v>678</v>
      </c>
      <c r="F515">
        <v>0</v>
      </c>
      <c r="G515" t="s">
        <v>678</v>
      </c>
      <c r="H515" t="s">
        <v>678</v>
      </c>
      <c r="I515" t="s">
        <v>678</v>
      </c>
      <c r="J515" t="s">
        <v>678</v>
      </c>
      <c r="K515" t="s">
        <v>678</v>
      </c>
      <c r="L515" t="s">
        <v>678</v>
      </c>
      <c r="M515" t="s">
        <v>1184</v>
      </c>
      <c r="N515" t="b">
        <v>0</v>
      </c>
    </row>
    <row r="516" spans="1:14">
      <c r="A516">
        <v>22</v>
      </c>
      <c r="B516">
        <v>11</v>
      </c>
      <c r="C516" t="s">
        <v>678</v>
      </c>
      <c r="D516" t="s">
        <v>737</v>
      </c>
      <c r="E516" t="s">
        <v>678</v>
      </c>
      <c r="F516">
        <v>0</v>
      </c>
      <c r="G516" t="s">
        <v>678</v>
      </c>
      <c r="H516" t="s">
        <v>678</v>
      </c>
      <c r="I516" t="s">
        <v>678</v>
      </c>
      <c r="J516" t="s">
        <v>678</v>
      </c>
      <c r="K516" t="s">
        <v>678</v>
      </c>
      <c r="L516" t="s">
        <v>678</v>
      </c>
      <c r="M516" t="s">
        <v>1185</v>
      </c>
      <c r="N516" t="b">
        <v>0</v>
      </c>
    </row>
    <row r="517" spans="1:14">
      <c r="A517">
        <v>22</v>
      </c>
      <c r="B517">
        <v>12</v>
      </c>
      <c r="C517" t="s">
        <v>678</v>
      </c>
      <c r="D517" t="s">
        <v>737</v>
      </c>
      <c r="E517" t="s">
        <v>678</v>
      </c>
      <c r="F517">
        <v>0</v>
      </c>
      <c r="G517" t="s">
        <v>678</v>
      </c>
      <c r="H517" t="s">
        <v>678</v>
      </c>
      <c r="I517" t="s">
        <v>678</v>
      </c>
      <c r="J517" t="s">
        <v>678</v>
      </c>
      <c r="K517" t="s">
        <v>678</v>
      </c>
      <c r="L517" t="s">
        <v>678</v>
      </c>
      <c r="M517" t="s">
        <v>1186</v>
      </c>
      <c r="N517" t="b">
        <v>0</v>
      </c>
    </row>
    <row r="518" spans="1:14">
      <c r="A518">
        <v>22</v>
      </c>
      <c r="B518">
        <v>13</v>
      </c>
      <c r="C518" t="s">
        <v>678</v>
      </c>
      <c r="D518" t="s">
        <v>737</v>
      </c>
      <c r="E518" t="s">
        <v>678</v>
      </c>
      <c r="F518">
        <v>0</v>
      </c>
      <c r="G518" t="s">
        <v>678</v>
      </c>
      <c r="H518" t="s">
        <v>678</v>
      </c>
      <c r="I518" t="s">
        <v>678</v>
      </c>
      <c r="J518" t="s">
        <v>678</v>
      </c>
      <c r="K518" t="s">
        <v>678</v>
      </c>
      <c r="L518" t="s">
        <v>678</v>
      </c>
      <c r="M518" t="s">
        <v>1187</v>
      </c>
      <c r="N518" t="b">
        <v>0</v>
      </c>
    </row>
    <row r="519" spans="1:14">
      <c r="A519">
        <v>22</v>
      </c>
      <c r="B519">
        <v>14</v>
      </c>
      <c r="C519" t="s">
        <v>678</v>
      </c>
      <c r="D519" t="s">
        <v>737</v>
      </c>
      <c r="E519" t="s">
        <v>678</v>
      </c>
      <c r="F519">
        <v>0</v>
      </c>
      <c r="G519" t="s">
        <v>678</v>
      </c>
      <c r="H519" t="s">
        <v>678</v>
      </c>
      <c r="I519" t="s">
        <v>678</v>
      </c>
      <c r="J519" t="s">
        <v>678</v>
      </c>
      <c r="K519" t="s">
        <v>678</v>
      </c>
      <c r="L519" t="s">
        <v>678</v>
      </c>
      <c r="M519" t="s">
        <v>1188</v>
      </c>
      <c r="N519" t="b">
        <v>0</v>
      </c>
    </row>
    <row r="520" spans="1:14">
      <c r="A520">
        <v>22</v>
      </c>
      <c r="B520">
        <v>15</v>
      </c>
      <c r="C520" t="s">
        <v>678</v>
      </c>
      <c r="D520" t="s">
        <v>737</v>
      </c>
      <c r="E520" t="s">
        <v>678</v>
      </c>
      <c r="F520">
        <v>0</v>
      </c>
      <c r="G520" t="s">
        <v>678</v>
      </c>
      <c r="H520" t="s">
        <v>678</v>
      </c>
      <c r="I520" t="s">
        <v>678</v>
      </c>
      <c r="J520" t="s">
        <v>678</v>
      </c>
      <c r="K520" t="s">
        <v>678</v>
      </c>
      <c r="L520" t="s">
        <v>678</v>
      </c>
      <c r="M520" t="s">
        <v>1189</v>
      </c>
      <c r="N520" t="b">
        <v>0</v>
      </c>
    </row>
    <row r="521" spans="1:14">
      <c r="A521">
        <v>22</v>
      </c>
      <c r="B521">
        <v>16</v>
      </c>
      <c r="C521" t="s">
        <v>168</v>
      </c>
      <c r="D521" t="s">
        <v>754</v>
      </c>
      <c r="E521" t="s">
        <v>308</v>
      </c>
      <c r="F521">
        <v>50</v>
      </c>
      <c r="G521" t="s">
        <v>773</v>
      </c>
      <c r="H521" t="s">
        <v>678</v>
      </c>
      <c r="I521" t="s">
        <v>678</v>
      </c>
      <c r="J521" t="s">
        <v>774</v>
      </c>
      <c r="K521" t="s">
        <v>775</v>
      </c>
      <c r="L521" t="s">
        <v>776</v>
      </c>
      <c r="M521" t="s">
        <v>1190</v>
      </c>
      <c r="N521" t="b">
        <v>0</v>
      </c>
    </row>
    <row r="522" spans="1:14">
      <c r="A522">
        <v>22</v>
      </c>
      <c r="B522">
        <v>17</v>
      </c>
      <c r="C522" t="s">
        <v>282</v>
      </c>
      <c r="D522" t="s">
        <v>754</v>
      </c>
      <c r="E522" t="s">
        <v>369</v>
      </c>
      <c r="F522">
        <v>50</v>
      </c>
      <c r="G522" t="s">
        <v>773</v>
      </c>
      <c r="H522" t="s">
        <v>678</v>
      </c>
      <c r="I522" t="s">
        <v>678</v>
      </c>
      <c r="J522" t="s">
        <v>1176</v>
      </c>
      <c r="K522" t="s">
        <v>1191</v>
      </c>
      <c r="L522" t="s">
        <v>1192</v>
      </c>
      <c r="M522" t="s">
        <v>698</v>
      </c>
      <c r="N522" t="b">
        <v>0</v>
      </c>
    </row>
    <row r="523" spans="1:14">
      <c r="A523">
        <v>22</v>
      </c>
      <c r="B523">
        <v>18</v>
      </c>
      <c r="C523" t="s">
        <v>207</v>
      </c>
      <c r="D523" t="s">
        <v>754</v>
      </c>
      <c r="E523" t="s">
        <v>117</v>
      </c>
      <c r="F523">
        <v>50</v>
      </c>
      <c r="G523" t="s">
        <v>678</v>
      </c>
      <c r="H523" t="s">
        <v>678</v>
      </c>
      <c r="I523" t="s">
        <v>117</v>
      </c>
      <c r="J523" t="s">
        <v>678</v>
      </c>
      <c r="K523" t="s">
        <v>678</v>
      </c>
      <c r="L523" t="s">
        <v>678</v>
      </c>
      <c r="M523" t="s">
        <v>1193</v>
      </c>
      <c r="N523" t="b">
        <v>0</v>
      </c>
    </row>
    <row r="524" spans="1:14">
      <c r="A524">
        <v>22</v>
      </c>
      <c r="B524">
        <v>19</v>
      </c>
      <c r="C524" t="s">
        <v>283</v>
      </c>
      <c r="D524" t="s">
        <v>754</v>
      </c>
      <c r="E524" t="s">
        <v>342</v>
      </c>
      <c r="F524">
        <v>50</v>
      </c>
      <c r="G524" t="s">
        <v>773</v>
      </c>
      <c r="H524" t="s">
        <v>678</v>
      </c>
      <c r="I524" t="s">
        <v>678</v>
      </c>
      <c r="J524" t="s">
        <v>1141</v>
      </c>
      <c r="K524" t="s">
        <v>934</v>
      </c>
      <c r="L524" t="s">
        <v>935</v>
      </c>
      <c r="M524" t="s">
        <v>1194</v>
      </c>
      <c r="N524" t="b">
        <v>0</v>
      </c>
    </row>
    <row r="525" spans="1:14">
      <c r="A525">
        <v>22</v>
      </c>
      <c r="B525">
        <v>20</v>
      </c>
      <c r="C525" t="s">
        <v>678</v>
      </c>
      <c r="D525" t="s">
        <v>754</v>
      </c>
      <c r="E525" t="s">
        <v>678</v>
      </c>
      <c r="F525">
        <v>0</v>
      </c>
      <c r="G525" t="s">
        <v>678</v>
      </c>
      <c r="H525" t="s">
        <v>678</v>
      </c>
      <c r="I525" t="s">
        <v>678</v>
      </c>
      <c r="J525" t="s">
        <v>678</v>
      </c>
      <c r="K525" t="s">
        <v>678</v>
      </c>
      <c r="L525" t="s">
        <v>678</v>
      </c>
      <c r="M525" t="s">
        <v>1195</v>
      </c>
      <c r="N525" t="b">
        <v>0</v>
      </c>
    </row>
    <row r="526" spans="1:14">
      <c r="A526">
        <v>22</v>
      </c>
      <c r="B526">
        <v>21</v>
      </c>
      <c r="C526" t="s">
        <v>678</v>
      </c>
      <c r="D526" t="s">
        <v>754</v>
      </c>
      <c r="E526" t="s">
        <v>678</v>
      </c>
      <c r="F526">
        <v>0</v>
      </c>
      <c r="G526" t="s">
        <v>678</v>
      </c>
      <c r="H526" t="s">
        <v>678</v>
      </c>
      <c r="I526" t="s">
        <v>678</v>
      </c>
      <c r="J526" t="s">
        <v>678</v>
      </c>
      <c r="K526" t="s">
        <v>678</v>
      </c>
      <c r="L526" t="s">
        <v>678</v>
      </c>
      <c r="M526" t="s">
        <v>1196</v>
      </c>
      <c r="N526" t="b">
        <v>0</v>
      </c>
    </row>
    <row r="527" spans="1:14">
      <c r="A527">
        <v>22</v>
      </c>
      <c r="B527">
        <v>22</v>
      </c>
      <c r="C527" t="s">
        <v>678</v>
      </c>
      <c r="D527" t="s">
        <v>754</v>
      </c>
      <c r="E527" t="s">
        <v>678</v>
      </c>
      <c r="F527">
        <v>0</v>
      </c>
      <c r="G527" t="s">
        <v>678</v>
      </c>
      <c r="H527" t="s">
        <v>678</v>
      </c>
      <c r="I527" t="s">
        <v>678</v>
      </c>
      <c r="J527" t="s">
        <v>678</v>
      </c>
      <c r="K527" t="s">
        <v>678</v>
      </c>
      <c r="L527" t="s">
        <v>678</v>
      </c>
      <c r="M527" t="s">
        <v>1197</v>
      </c>
      <c r="N527" t="b">
        <v>0</v>
      </c>
    </row>
    <row r="528" spans="1:14">
      <c r="A528">
        <v>22</v>
      </c>
      <c r="B528">
        <v>23</v>
      </c>
      <c r="C528" t="s">
        <v>678</v>
      </c>
      <c r="D528" t="s">
        <v>754</v>
      </c>
      <c r="E528" t="s">
        <v>678</v>
      </c>
      <c r="F528">
        <v>0</v>
      </c>
      <c r="G528" t="s">
        <v>678</v>
      </c>
      <c r="H528" t="s">
        <v>678</v>
      </c>
      <c r="I528" t="s">
        <v>678</v>
      </c>
      <c r="J528" t="s">
        <v>678</v>
      </c>
      <c r="K528" t="s">
        <v>678</v>
      </c>
      <c r="L528" t="s">
        <v>678</v>
      </c>
      <c r="M528" t="s">
        <v>1198</v>
      </c>
      <c r="N528" t="b">
        <v>0</v>
      </c>
    </row>
    <row r="529" spans="1:14">
      <c r="A529">
        <v>22</v>
      </c>
      <c r="B529">
        <v>24</v>
      </c>
      <c r="C529" t="s">
        <v>678</v>
      </c>
      <c r="D529" t="s">
        <v>754</v>
      </c>
      <c r="E529" t="s">
        <v>678</v>
      </c>
      <c r="F529">
        <v>0</v>
      </c>
      <c r="G529" t="s">
        <v>678</v>
      </c>
      <c r="H529" t="s">
        <v>678</v>
      </c>
      <c r="I529" t="s">
        <v>678</v>
      </c>
      <c r="J529" t="s">
        <v>678</v>
      </c>
      <c r="K529" t="s">
        <v>678</v>
      </c>
      <c r="L529" t="s">
        <v>678</v>
      </c>
      <c r="M529" t="s">
        <v>1199</v>
      </c>
      <c r="N529" t="b">
        <v>0</v>
      </c>
    </row>
    <row r="530" spans="1:14">
      <c r="A530">
        <v>22</v>
      </c>
      <c r="B530">
        <v>25</v>
      </c>
      <c r="C530" t="s">
        <v>678</v>
      </c>
      <c r="D530" t="s">
        <v>754</v>
      </c>
      <c r="E530" t="s">
        <v>678</v>
      </c>
      <c r="F530">
        <v>0</v>
      </c>
      <c r="G530" t="s">
        <v>678</v>
      </c>
      <c r="H530" t="s">
        <v>678</v>
      </c>
      <c r="I530" t="s">
        <v>678</v>
      </c>
      <c r="J530" t="s">
        <v>678</v>
      </c>
      <c r="K530" t="s">
        <v>678</v>
      </c>
      <c r="L530" t="s">
        <v>678</v>
      </c>
      <c r="M530" t="s">
        <v>1200</v>
      </c>
      <c r="N530" t="b">
        <v>0</v>
      </c>
    </row>
    <row r="531" spans="1:14">
      <c r="A531">
        <v>22</v>
      </c>
      <c r="B531">
        <v>26</v>
      </c>
      <c r="C531" t="s">
        <v>678</v>
      </c>
      <c r="D531" t="s">
        <v>754</v>
      </c>
      <c r="E531" t="s">
        <v>678</v>
      </c>
      <c r="F531">
        <v>0</v>
      </c>
      <c r="G531" t="s">
        <v>678</v>
      </c>
      <c r="H531" t="s">
        <v>678</v>
      </c>
      <c r="I531" t="s">
        <v>678</v>
      </c>
      <c r="J531" t="s">
        <v>678</v>
      </c>
      <c r="K531" t="s">
        <v>678</v>
      </c>
      <c r="L531" t="s">
        <v>678</v>
      </c>
      <c r="M531" t="s">
        <v>1201</v>
      </c>
      <c r="N531" t="b">
        <v>0</v>
      </c>
    </row>
    <row r="532" spans="1:14">
      <c r="A532">
        <v>23</v>
      </c>
      <c r="B532">
        <v>0</v>
      </c>
      <c r="C532" t="s">
        <v>226</v>
      </c>
      <c r="D532" t="s">
        <v>737</v>
      </c>
      <c r="E532" t="s">
        <v>67</v>
      </c>
      <c r="F532">
        <v>60</v>
      </c>
      <c r="G532" t="s">
        <v>678</v>
      </c>
      <c r="H532" t="s">
        <v>678</v>
      </c>
      <c r="I532" t="s">
        <v>67</v>
      </c>
      <c r="J532" t="s">
        <v>678</v>
      </c>
      <c r="K532" t="s">
        <v>678</v>
      </c>
      <c r="L532" t="s">
        <v>678</v>
      </c>
      <c r="M532" t="s">
        <v>1202</v>
      </c>
      <c r="N532" t="b">
        <v>0</v>
      </c>
    </row>
    <row r="533" spans="1:14">
      <c r="A533">
        <v>23</v>
      </c>
      <c r="B533">
        <v>1</v>
      </c>
      <c r="C533" t="s">
        <v>167</v>
      </c>
      <c r="D533" t="s">
        <v>737</v>
      </c>
      <c r="E533" t="s">
        <v>85</v>
      </c>
      <c r="F533">
        <v>40</v>
      </c>
      <c r="G533" t="s">
        <v>678</v>
      </c>
      <c r="H533" t="s">
        <v>678</v>
      </c>
      <c r="I533" t="s">
        <v>85</v>
      </c>
      <c r="J533" t="s">
        <v>678</v>
      </c>
      <c r="K533" t="s">
        <v>678</v>
      </c>
      <c r="L533" t="s">
        <v>678</v>
      </c>
      <c r="M533" t="s">
        <v>1203</v>
      </c>
      <c r="N533" t="b">
        <v>0</v>
      </c>
    </row>
    <row r="534" spans="1:14">
      <c r="A534">
        <v>23</v>
      </c>
      <c r="B534">
        <v>2</v>
      </c>
      <c r="C534" t="s">
        <v>258</v>
      </c>
      <c r="D534" t="s">
        <v>737</v>
      </c>
      <c r="E534" t="s">
        <v>97</v>
      </c>
      <c r="F534">
        <v>40</v>
      </c>
      <c r="G534" t="s">
        <v>678</v>
      </c>
      <c r="H534" t="s">
        <v>678</v>
      </c>
      <c r="I534" t="s">
        <v>97</v>
      </c>
      <c r="J534" t="s">
        <v>678</v>
      </c>
      <c r="K534" t="s">
        <v>678</v>
      </c>
      <c r="L534" t="s">
        <v>678</v>
      </c>
      <c r="M534" t="s">
        <v>1204</v>
      </c>
      <c r="N534" t="b">
        <v>0</v>
      </c>
    </row>
    <row r="535" spans="1:14">
      <c r="A535">
        <v>23</v>
      </c>
      <c r="B535">
        <v>3</v>
      </c>
      <c r="C535" t="s">
        <v>197</v>
      </c>
      <c r="D535" t="s">
        <v>737</v>
      </c>
      <c r="E535" t="s">
        <v>103</v>
      </c>
      <c r="F535">
        <v>50</v>
      </c>
      <c r="G535" t="s">
        <v>678</v>
      </c>
      <c r="H535" t="s">
        <v>678</v>
      </c>
      <c r="I535" t="s">
        <v>103</v>
      </c>
      <c r="J535" t="s">
        <v>678</v>
      </c>
      <c r="K535" t="s">
        <v>678</v>
      </c>
      <c r="L535" t="s">
        <v>678</v>
      </c>
      <c r="M535" t="s">
        <v>1205</v>
      </c>
      <c r="N535" t="b">
        <v>0</v>
      </c>
    </row>
    <row r="536" spans="1:14">
      <c r="A536">
        <v>23</v>
      </c>
      <c r="B536">
        <v>4</v>
      </c>
      <c r="C536" t="s">
        <v>239</v>
      </c>
      <c r="D536" t="s">
        <v>737</v>
      </c>
      <c r="E536" t="s">
        <v>105</v>
      </c>
      <c r="F536">
        <v>40</v>
      </c>
      <c r="G536" t="s">
        <v>678</v>
      </c>
      <c r="H536" t="s">
        <v>678</v>
      </c>
      <c r="I536" t="s">
        <v>105</v>
      </c>
      <c r="J536" t="s">
        <v>678</v>
      </c>
      <c r="K536" t="s">
        <v>678</v>
      </c>
      <c r="L536" t="s">
        <v>678</v>
      </c>
      <c r="M536" t="s">
        <v>1206</v>
      </c>
      <c r="N536" t="b">
        <v>0</v>
      </c>
    </row>
    <row r="537" spans="1:14">
      <c r="A537">
        <v>23</v>
      </c>
      <c r="B537">
        <v>5</v>
      </c>
      <c r="C537" t="s">
        <v>285</v>
      </c>
      <c r="D537" t="s">
        <v>737</v>
      </c>
      <c r="E537" t="s">
        <v>107</v>
      </c>
      <c r="F537">
        <v>30</v>
      </c>
      <c r="G537" t="s">
        <v>678</v>
      </c>
      <c r="H537" t="s">
        <v>678</v>
      </c>
      <c r="I537" t="s">
        <v>107</v>
      </c>
      <c r="J537" t="s">
        <v>678</v>
      </c>
      <c r="K537" t="s">
        <v>678</v>
      </c>
      <c r="L537" t="s">
        <v>678</v>
      </c>
      <c r="M537" t="s">
        <v>1207</v>
      </c>
      <c r="N537" t="b">
        <v>0</v>
      </c>
    </row>
    <row r="538" spans="1:14">
      <c r="A538">
        <v>23</v>
      </c>
      <c r="B538">
        <v>6</v>
      </c>
      <c r="C538" t="s">
        <v>175</v>
      </c>
      <c r="D538" t="s">
        <v>737</v>
      </c>
      <c r="E538" t="s">
        <v>119</v>
      </c>
      <c r="F538">
        <v>50</v>
      </c>
      <c r="G538" t="s">
        <v>678</v>
      </c>
      <c r="H538" t="s">
        <v>678</v>
      </c>
      <c r="I538" t="s">
        <v>119</v>
      </c>
      <c r="J538" t="s">
        <v>678</v>
      </c>
      <c r="K538" t="s">
        <v>678</v>
      </c>
      <c r="L538" t="s">
        <v>678</v>
      </c>
      <c r="M538" t="s">
        <v>1208</v>
      </c>
      <c r="N538" t="b">
        <v>0</v>
      </c>
    </row>
    <row r="539" spans="1:14">
      <c r="A539">
        <v>23</v>
      </c>
      <c r="B539">
        <v>7</v>
      </c>
      <c r="C539" t="s">
        <v>201</v>
      </c>
      <c r="D539" t="s">
        <v>737</v>
      </c>
      <c r="E539" t="s">
        <v>64</v>
      </c>
      <c r="F539">
        <v>30</v>
      </c>
      <c r="G539" t="s">
        <v>678</v>
      </c>
      <c r="H539" t="s">
        <v>678</v>
      </c>
      <c r="I539" t="s">
        <v>64</v>
      </c>
      <c r="J539" t="s">
        <v>678</v>
      </c>
      <c r="K539" t="s">
        <v>678</v>
      </c>
      <c r="L539" t="s">
        <v>678</v>
      </c>
      <c r="M539" t="s">
        <v>1209</v>
      </c>
      <c r="N539" t="b">
        <v>0</v>
      </c>
    </row>
    <row r="540" spans="1:14">
      <c r="A540">
        <v>23</v>
      </c>
      <c r="B540">
        <v>8</v>
      </c>
      <c r="C540" t="s">
        <v>230</v>
      </c>
      <c r="D540" t="s">
        <v>737</v>
      </c>
      <c r="E540" t="s">
        <v>70</v>
      </c>
      <c r="F540">
        <v>50</v>
      </c>
      <c r="G540" t="s">
        <v>678</v>
      </c>
      <c r="H540" t="s">
        <v>678</v>
      </c>
      <c r="I540" t="s">
        <v>70</v>
      </c>
      <c r="J540" t="s">
        <v>678</v>
      </c>
      <c r="K540" t="s">
        <v>678</v>
      </c>
      <c r="L540" t="s">
        <v>678</v>
      </c>
      <c r="M540" t="s">
        <v>1210</v>
      </c>
      <c r="N540" t="b">
        <v>0</v>
      </c>
    </row>
    <row r="541" spans="1:14">
      <c r="A541">
        <v>23</v>
      </c>
      <c r="B541">
        <v>9</v>
      </c>
      <c r="C541" t="s">
        <v>286</v>
      </c>
      <c r="D541" t="s">
        <v>737</v>
      </c>
      <c r="E541" t="s">
        <v>76</v>
      </c>
      <c r="F541">
        <v>40</v>
      </c>
      <c r="G541" t="s">
        <v>678</v>
      </c>
      <c r="H541" t="s">
        <v>678</v>
      </c>
      <c r="I541" t="s">
        <v>76</v>
      </c>
      <c r="J541" t="s">
        <v>678</v>
      </c>
      <c r="K541" t="s">
        <v>678</v>
      </c>
      <c r="L541" t="s">
        <v>678</v>
      </c>
      <c r="M541" t="s">
        <v>1211</v>
      </c>
      <c r="N541" t="b">
        <v>0</v>
      </c>
    </row>
    <row r="542" spans="1:14">
      <c r="A542">
        <v>23</v>
      </c>
      <c r="B542">
        <v>10</v>
      </c>
      <c r="C542" t="s">
        <v>172</v>
      </c>
      <c r="D542" t="s">
        <v>737</v>
      </c>
      <c r="E542" t="s">
        <v>80</v>
      </c>
      <c r="F542">
        <v>40</v>
      </c>
      <c r="G542" t="s">
        <v>678</v>
      </c>
      <c r="H542" t="s">
        <v>678</v>
      </c>
      <c r="I542" t="s">
        <v>80</v>
      </c>
      <c r="J542" t="s">
        <v>678</v>
      </c>
      <c r="K542" t="s">
        <v>678</v>
      </c>
      <c r="L542" t="s">
        <v>678</v>
      </c>
      <c r="M542" t="s">
        <v>1212</v>
      </c>
      <c r="N542" t="b">
        <v>0</v>
      </c>
    </row>
    <row r="543" spans="1:14">
      <c r="A543">
        <v>23</v>
      </c>
      <c r="B543">
        <v>11</v>
      </c>
      <c r="C543" t="s">
        <v>214</v>
      </c>
      <c r="D543" t="s">
        <v>737</v>
      </c>
      <c r="E543" t="s">
        <v>102</v>
      </c>
      <c r="F543">
        <v>40</v>
      </c>
      <c r="G543" t="s">
        <v>678</v>
      </c>
      <c r="H543" t="s">
        <v>678</v>
      </c>
      <c r="I543" t="s">
        <v>102</v>
      </c>
      <c r="J543" t="s">
        <v>678</v>
      </c>
      <c r="K543" t="s">
        <v>678</v>
      </c>
      <c r="L543" t="s">
        <v>678</v>
      </c>
      <c r="M543" t="s">
        <v>1213</v>
      </c>
      <c r="N543" t="b">
        <v>0</v>
      </c>
    </row>
    <row r="544" spans="1:14">
      <c r="A544">
        <v>23</v>
      </c>
      <c r="B544">
        <v>12</v>
      </c>
      <c r="C544" t="s">
        <v>204</v>
      </c>
      <c r="D544" t="s">
        <v>737</v>
      </c>
      <c r="E544" t="s">
        <v>112</v>
      </c>
      <c r="F544">
        <v>60</v>
      </c>
      <c r="G544" t="s">
        <v>678</v>
      </c>
      <c r="H544" t="s">
        <v>678</v>
      </c>
      <c r="I544" t="s">
        <v>112</v>
      </c>
      <c r="J544" t="s">
        <v>678</v>
      </c>
      <c r="K544" t="s">
        <v>678</v>
      </c>
      <c r="L544" t="s">
        <v>678</v>
      </c>
      <c r="M544" t="s">
        <v>1214</v>
      </c>
      <c r="N544" t="b">
        <v>0</v>
      </c>
    </row>
    <row r="545" spans="1:14">
      <c r="A545">
        <v>23</v>
      </c>
      <c r="B545">
        <v>13</v>
      </c>
      <c r="C545" t="s">
        <v>678</v>
      </c>
      <c r="D545" t="s">
        <v>737</v>
      </c>
      <c r="E545" t="s">
        <v>678</v>
      </c>
      <c r="F545">
        <v>0</v>
      </c>
      <c r="G545" t="s">
        <v>678</v>
      </c>
      <c r="H545" t="s">
        <v>678</v>
      </c>
      <c r="I545" t="s">
        <v>678</v>
      </c>
      <c r="J545" t="s">
        <v>678</v>
      </c>
      <c r="K545" t="s">
        <v>678</v>
      </c>
      <c r="L545" t="s">
        <v>678</v>
      </c>
      <c r="M545" t="s">
        <v>1215</v>
      </c>
      <c r="N545" t="b">
        <v>0</v>
      </c>
    </row>
    <row r="546" spans="1:14">
      <c r="A546">
        <v>23</v>
      </c>
      <c r="B546">
        <v>14</v>
      </c>
      <c r="C546" t="s">
        <v>678</v>
      </c>
      <c r="D546" t="s">
        <v>737</v>
      </c>
      <c r="E546" t="s">
        <v>678</v>
      </c>
      <c r="F546">
        <v>0</v>
      </c>
      <c r="G546" t="s">
        <v>678</v>
      </c>
      <c r="H546" t="s">
        <v>678</v>
      </c>
      <c r="I546" t="s">
        <v>678</v>
      </c>
      <c r="J546" t="s">
        <v>678</v>
      </c>
      <c r="K546" t="s">
        <v>678</v>
      </c>
      <c r="L546" t="s">
        <v>678</v>
      </c>
      <c r="M546" t="s">
        <v>1216</v>
      </c>
      <c r="N546" t="b">
        <v>0</v>
      </c>
    </row>
    <row r="547" spans="1:14">
      <c r="A547">
        <v>23</v>
      </c>
      <c r="B547">
        <v>15</v>
      </c>
      <c r="C547" t="s">
        <v>678</v>
      </c>
      <c r="D547" t="s">
        <v>737</v>
      </c>
      <c r="E547" t="s">
        <v>678</v>
      </c>
      <c r="F547">
        <v>0</v>
      </c>
      <c r="G547" t="s">
        <v>678</v>
      </c>
      <c r="H547" t="s">
        <v>678</v>
      </c>
      <c r="I547" t="s">
        <v>678</v>
      </c>
      <c r="J547" t="s">
        <v>678</v>
      </c>
      <c r="K547" t="s">
        <v>678</v>
      </c>
      <c r="L547" t="s">
        <v>678</v>
      </c>
      <c r="M547" t="s">
        <v>1217</v>
      </c>
      <c r="N547" t="b">
        <v>0</v>
      </c>
    </row>
    <row r="548" spans="1:14">
      <c r="A548">
        <v>23</v>
      </c>
      <c r="B548">
        <v>16</v>
      </c>
      <c r="C548" t="s">
        <v>215</v>
      </c>
      <c r="D548" t="s">
        <v>754</v>
      </c>
      <c r="E548" t="s">
        <v>113</v>
      </c>
      <c r="F548">
        <v>50</v>
      </c>
      <c r="G548" t="s">
        <v>678</v>
      </c>
      <c r="H548" t="s">
        <v>678</v>
      </c>
      <c r="I548" t="s">
        <v>113</v>
      </c>
      <c r="J548" t="s">
        <v>678</v>
      </c>
      <c r="K548" t="s">
        <v>678</v>
      </c>
      <c r="L548" t="s">
        <v>678</v>
      </c>
      <c r="M548" t="s">
        <v>1218</v>
      </c>
      <c r="N548" t="b">
        <v>0</v>
      </c>
    </row>
    <row r="549" spans="1:14">
      <c r="A549">
        <v>23</v>
      </c>
      <c r="B549">
        <v>17</v>
      </c>
      <c r="C549" t="s">
        <v>287</v>
      </c>
      <c r="D549" t="s">
        <v>754</v>
      </c>
      <c r="E549" t="s">
        <v>116</v>
      </c>
      <c r="F549">
        <v>60</v>
      </c>
      <c r="G549" t="s">
        <v>678</v>
      </c>
      <c r="H549" t="s">
        <v>678</v>
      </c>
      <c r="I549" t="s">
        <v>116</v>
      </c>
      <c r="J549" t="s">
        <v>678</v>
      </c>
      <c r="K549" t="s">
        <v>678</v>
      </c>
      <c r="L549" t="s">
        <v>678</v>
      </c>
      <c r="M549" t="s">
        <v>700</v>
      </c>
      <c r="N549" t="b">
        <v>0</v>
      </c>
    </row>
    <row r="550" spans="1:14">
      <c r="A550">
        <v>23</v>
      </c>
      <c r="B550">
        <v>18</v>
      </c>
      <c r="C550" t="s">
        <v>207</v>
      </c>
      <c r="D550" t="s">
        <v>754</v>
      </c>
      <c r="E550" t="s">
        <v>117</v>
      </c>
      <c r="F550">
        <v>50</v>
      </c>
      <c r="G550" t="s">
        <v>678</v>
      </c>
      <c r="H550" t="s">
        <v>678</v>
      </c>
      <c r="I550" t="s">
        <v>117</v>
      </c>
      <c r="J550" t="s">
        <v>678</v>
      </c>
      <c r="K550" t="s">
        <v>678</v>
      </c>
      <c r="L550" t="s">
        <v>678</v>
      </c>
      <c r="M550" t="s">
        <v>1219</v>
      </c>
      <c r="N550" t="b">
        <v>0</v>
      </c>
    </row>
    <row r="551" spans="1:14">
      <c r="A551">
        <v>23</v>
      </c>
      <c r="B551">
        <v>19</v>
      </c>
      <c r="C551" t="s">
        <v>288</v>
      </c>
      <c r="D551" t="s">
        <v>754</v>
      </c>
      <c r="E551" t="s">
        <v>96</v>
      </c>
      <c r="F551">
        <v>60</v>
      </c>
      <c r="G551" t="s">
        <v>678</v>
      </c>
      <c r="H551" t="s">
        <v>678</v>
      </c>
      <c r="I551" t="s">
        <v>96</v>
      </c>
      <c r="J551" t="s">
        <v>678</v>
      </c>
      <c r="K551" t="s">
        <v>678</v>
      </c>
      <c r="L551" t="s">
        <v>678</v>
      </c>
      <c r="M551" t="s">
        <v>1220</v>
      </c>
      <c r="N551" t="b">
        <v>0</v>
      </c>
    </row>
    <row r="552" spans="1:14">
      <c r="A552">
        <v>23</v>
      </c>
      <c r="B552">
        <v>20</v>
      </c>
      <c r="C552" t="s">
        <v>678</v>
      </c>
      <c r="D552" t="s">
        <v>754</v>
      </c>
      <c r="E552" t="s">
        <v>678</v>
      </c>
      <c r="F552">
        <v>0</v>
      </c>
      <c r="G552" t="s">
        <v>678</v>
      </c>
      <c r="H552" t="s">
        <v>678</v>
      </c>
      <c r="I552" t="s">
        <v>678</v>
      </c>
      <c r="J552" t="s">
        <v>678</v>
      </c>
      <c r="K552" t="s">
        <v>678</v>
      </c>
      <c r="L552" t="s">
        <v>678</v>
      </c>
      <c r="M552" t="s">
        <v>1221</v>
      </c>
      <c r="N552" t="b">
        <v>0</v>
      </c>
    </row>
    <row r="553" spans="1:14">
      <c r="A553">
        <v>23</v>
      </c>
      <c r="B553">
        <v>21</v>
      </c>
      <c r="C553" t="s">
        <v>678</v>
      </c>
      <c r="D553" t="s">
        <v>754</v>
      </c>
      <c r="E553" t="s">
        <v>678</v>
      </c>
      <c r="F553">
        <v>0</v>
      </c>
      <c r="G553" t="s">
        <v>678</v>
      </c>
      <c r="H553" t="s">
        <v>678</v>
      </c>
      <c r="I553" t="s">
        <v>678</v>
      </c>
      <c r="J553" t="s">
        <v>678</v>
      </c>
      <c r="K553" t="s">
        <v>678</v>
      </c>
      <c r="L553" t="s">
        <v>678</v>
      </c>
      <c r="M553" t="s">
        <v>1222</v>
      </c>
      <c r="N553" t="b">
        <v>0</v>
      </c>
    </row>
    <row r="554" spans="1:14">
      <c r="A554">
        <v>23</v>
      </c>
      <c r="B554">
        <v>22</v>
      </c>
      <c r="C554" t="s">
        <v>678</v>
      </c>
      <c r="D554" t="s">
        <v>754</v>
      </c>
      <c r="E554" t="s">
        <v>678</v>
      </c>
      <c r="F554">
        <v>0</v>
      </c>
      <c r="G554" t="s">
        <v>678</v>
      </c>
      <c r="H554" t="s">
        <v>678</v>
      </c>
      <c r="I554" t="s">
        <v>678</v>
      </c>
      <c r="J554" t="s">
        <v>678</v>
      </c>
      <c r="K554" t="s">
        <v>678</v>
      </c>
      <c r="L554" t="s">
        <v>678</v>
      </c>
      <c r="M554" t="s">
        <v>1223</v>
      </c>
      <c r="N554" t="b">
        <v>0</v>
      </c>
    </row>
    <row r="555" spans="1:14">
      <c r="A555">
        <v>23</v>
      </c>
      <c r="B555">
        <v>23</v>
      </c>
      <c r="C555" t="s">
        <v>678</v>
      </c>
      <c r="D555" t="s">
        <v>754</v>
      </c>
      <c r="E555" t="s">
        <v>678</v>
      </c>
      <c r="F555">
        <v>0</v>
      </c>
      <c r="G555" t="s">
        <v>678</v>
      </c>
      <c r="H555" t="s">
        <v>678</v>
      </c>
      <c r="I555" t="s">
        <v>678</v>
      </c>
      <c r="J555" t="s">
        <v>678</v>
      </c>
      <c r="K555" t="s">
        <v>678</v>
      </c>
      <c r="L555" t="s">
        <v>678</v>
      </c>
      <c r="M555" t="s">
        <v>1224</v>
      </c>
      <c r="N555" t="b">
        <v>0</v>
      </c>
    </row>
    <row r="556" spans="1:14">
      <c r="A556">
        <v>23</v>
      </c>
      <c r="B556">
        <v>24</v>
      </c>
      <c r="C556" t="s">
        <v>678</v>
      </c>
      <c r="D556" t="s">
        <v>754</v>
      </c>
      <c r="E556" t="s">
        <v>678</v>
      </c>
      <c r="F556">
        <v>0</v>
      </c>
      <c r="G556" t="s">
        <v>678</v>
      </c>
      <c r="H556" t="s">
        <v>678</v>
      </c>
      <c r="I556" t="s">
        <v>678</v>
      </c>
      <c r="J556" t="s">
        <v>678</v>
      </c>
      <c r="K556" t="s">
        <v>678</v>
      </c>
      <c r="L556" t="s">
        <v>678</v>
      </c>
      <c r="M556" t="s">
        <v>1225</v>
      </c>
      <c r="N556" t="b">
        <v>0</v>
      </c>
    </row>
    <row r="557" spans="1:14">
      <c r="A557">
        <v>23</v>
      </c>
      <c r="B557">
        <v>25</v>
      </c>
      <c r="C557" t="s">
        <v>678</v>
      </c>
      <c r="D557" t="s">
        <v>754</v>
      </c>
      <c r="E557" t="s">
        <v>678</v>
      </c>
      <c r="F557">
        <v>0</v>
      </c>
      <c r="G557" t="s">
        <v>678</v>
      </c>
      <c r="H557" t="s">
        <v>678</v>
      </c>
      <c r="I557" t="s">
        <v>678</v>
      </c>
      <c r="J557" t="s">
        <v>678</v>
      </c>
      <c r="K557" t="s">
        <v>678</v>
      </c>
      <c r="L557" t="s">
        <v>678</v>
      </c>
      <c r="M557" t="s">
        <v>1226</v>
      </c>
      <c r="N557" t="b">
        <v>0</v>
      </c>
    </row>
    <row r="558" spans="1:14">
      <c r="A558">
        <v>23</v>
      </c>
      <c r="B558">
        <v>26</v>
      </c>
      <c r="C558" t="s">
        <v>678</v>
      </c>
      <c r="D558" t="s">
        <v>754</v>
      </c>
      <c r="E558" t="s">
        <v>678</v>
      </c>
      <c r="F558">
        <v>0</v>
      </c>
      <c r="G558" t="s">
        <v>678</v>
      </c>
      <c r="H558" t="s">
        <v>678</v>
      </c>
      <c r="I558" t="s">
        <v>678</v>
      </c>
      <c r="J558" t="s">
        <v>678</v>
      </c>
      <c r="K558" t="s">
        <v>678</v>
      </c>
      <c r="L558" t="s">
        <v>678</v>
      </c>
      <c r="M558" t="s">
        <v>1227</v>
      </c>
      <c r="N558" t="b">
        <v>0</v>
      </c>
    </row>
    <row r="559" spans="1:14">
      <c r="A559">
        <v>24</v>
      </c>
      <c r="B559">
        <v>0</v>
      </c>
      <c r="C559" t="s">
        <v>205</v>
      </c>
      <c r="D559" t="s">
        <v>737</v>
      </c>
      <c r="E559" t="s">
        <v>63</v>
      </c>
      <c r="F559">
        <v>60</v>
      </c>
      <c r="G559" t="s">
        <v>678</v>
      </c>
      <c r="H559" t="s">
        <v>678</v>
      </c>
      <c r="I559" t="s">
        <v>63</v>
      </c>
      <c r="J559" t="s">
        <v>678</v>
      </c>
      <c r="K559" t="s">
        <v>678</v>
      </c>
      <c r="L559" t="s">
        <v>678</v>
      </c>
      <c r="M559" t="s">
        <v>1228</v>
      </c>
      <c r="N559" t="b">
        <v>0</v>
      </c>
    </row>
    <row r="560" spans="1:14">
      <c r="A560">
        <v>24</v>
      </c>
      <c r="B560">
        <v>1</v>
      </c>
      <c r="C560" t="s">
        <v>255</v>
      </c>
      <c r="D560" t="s">
        <v>737</v>
      </c>
      <c r="E560" t="s">
        <v>85</v>
      </c>
      <c r="F560">
        <v>60</v>
      </c>
      <c r="G560" t="s">
        <v>678</v>
      </c>
      <c r="H560" t="s">
        <v>678</v>
      </c>
      <c r="I560" t="s">
        <v>85</v>
      </c>
      <c r="J560" t="s">
        <v>678</v>
      </c>
      <c r="K560" t="s">
        <v>678</v>
      </c>
      <c r="L560" t="s">
        <v>678</v>
      </c>
      <c r="M560" t="s">
        <v>1229</v>
      </c>
      <c r="N560" t="b">
        <v>0</v>
      </c>
    </row>
    <row r="561" spans="1:14">
      <c r="A561">
        <v>24</v>
      </c>
      <c r="B561">
        <v>2</v>
      </c>
      <c r="C561" t="s">
        <v>206</v>
      </c>
      <c r="D561" t="s">
        <v>737</v>
      </c>
      <c r="E561" t="s">
        <v>90</v>
      </c>
      <c r="F561">
        <v>50</v>
      </c>
      <c r="G561" t="s">
        <v>678</v>
      </c>
      <c r="H561" t="s">
        <v>678</v>
      </c>
      <c r="I561" t="s">
        <v>90</v>
      </c>
      <c r="J561" t="s">
        <v>678</v>
      </c>
      <c r="K561" t="s">
        <v>678</v>
      </c>
      <c r="L561" t="s">
        <v>678</v>
      </c>
      <c r="M561" t="s">
        <v>1230</v>
      </c>
      <c r="N561" t="b">
        <v>0</v>
      </c>
    </row>
    <row r="562" spans="1:14">
      <c r="A562">
        <v>24</v>
      </c>
      <c r="B562">
        <v>3</v>
      </c>
      <c r="C562" t="s">
        <v>290</v>
      </c>
      <c r="D562" t="s">
        <v>737</v>
      </c>
      <c r="E562" t="s">
        <v>97</v>
      </c>
      <c r="F562">
        <v>30</v>
      </c>
      <c r="G562" t="s">
        <v>678</v>
      </c>
      <c r="H562" t="s">
        <v>678</v>
      </c>
      <c r="I562" t="s">
        <v>97</v>
      </c>
      <c r="J562" t="s">
        <v>678</v>
      </c>
      <c r="K562" t="s">
        <v>678</v>
      </c>
      <c r="L562" t="s">
        <v>678</v>
      </c>
      <c r="M562" t="s">
        <v>1231</v>
      </c>
      <c r="N562" t="b">
        <v>0</v>
      </c>
    </row>
    <row r="563" spans="1:14">
      <c r="A563">
        <v>24</v>
      </c>
      <c r="B563">
        <v>4</v>
      </c>
      <c r="C563" t="s">
        <v>168</v>
      </c>
      <c r="D563" t="s">
        <v>766</v>
      </c>
      <c r="E563" t="s">
        <v>308</v>
      </c>
      <c r="F563">
        <v>50</v>
      </c>
      <c r="G563" t="s">
        <v>773</v>
      </c>
      <c r="H563" t="s">
        <v>678</v>
      </c>
      <c r="I563" t="s">
        <v>678</v>
      </c>
      <c r="J563" t="s">
        <v>774</v>
      </c>
      <c r="K563" t="s">
        <v>775</v>
      </c>
      <c r="L563" t="s">
        <v>776</v>
      </c>
      <c r="M563" t="s">
        <v>1232</v>
      </c>
      <c r="N563" t="b">
        <v>0</v>
      </c>
    </row>
    <row r="564" spans="1:14">
      <c r="A564">
        <v>24</v>
      </c>
      <c r="B564">
        <v>5</v>
      </c>
      <c r="C564" t="s">
        <v>256</v>
      </c>
      <c r="D564" t="s">
        <v>737</v>
      </c>
      <c r="E564" t="s">
        <v>118</v>
      </c>
      <c r="F564">
        <v>40</v>
      </c>
      <c r="G564" t="s">
        <v>678</v>
      </c>
      <c r="H564" t="s">
        <v>678</v>
      </c>
      <c r="I564" t="s">
        <v>118</v>
      </c>
      <c r="J564" t="s">
        <v>678</v>
      </c>
      <c r="K564" t="s">
        <v>678</v>
      </c>
      <c r="L564" t="s">
        <v>678</v>
      </c>
      <c r="M564" t="s">
        <v>1233</v>
      </c>
      <c r="N564" t="b">
        <v>0</v>
      </c>
    </row>
    <row r="565" spans="1:14">
      <c r="A565">
        <v>24</v>
      </c>
      <c r="B565">
        <v>6</v>
      </c>
      <c r="C565" t="s">
        <v>191</v>
      </c>
      <c r="D565" t="s">
        <v>737</v>
      </c>
      <c r="E565" t="s">
        <v>64</v>
      </c>
      <c r="F565">
        <v>40</v>
      </c>
      <c r="G565" t="s">
        <v>678</v>
      </c>
      <c r="H565" t="s">
        <v>678</v>
      </c>
      <c r="I565" t="s">
        <v>64</v>
      </c>
      <c r="J565" t="s">
        <v>678</v>
      </c>
      <c r="K565" t="s">
        <v>678</v>
      </c>
      <c r="L565" t="s">
        <v>678</v>
      </c>
      <c r="M565" t="s">
        <v>1234</v>
      </c>
      <c r="N565" t="b">
        <v>0</v>
      </c>
    </row>
    <row r="566" spans="1:14">
      <c r="A566">
        <v>24</v>
      </c>
      <c r="B566">
        <v>7</v>
      </c>
      <c r="C566" t="s">
        <v>202</v>
      </c>
      <c r="D566" t="s">
        <v>737</v>
      </c>
      <c r="E566" t="s">
        <v>80</v>
      </c>
      <c r="F566">
        <v>50</v>
      </c>
      <c r="G566" t="s">
        <v>678</v>
      </c>
      <c r="H566" t="s">
        <v>678</v>
      </c>
      <c r="I566" t="s">
        <v>80</v>
      </c>
      <c r="J566" t="s">
        <v>678</v>
      </c>
      <c r="K566" t="s">
        <v>678</v>
      </c>
      <c r="L566" t="s">
        <v>678</v>
      </c>
      <c r="M566" t="s">
        <v>1235</v>
      </c>
      <c r="N566" t="b">
        <v>0</v>
      </c>
    </row>
    <row r="567" spans="1:14">
      <c r="A567">
        <v>24</v>
      </c>
      <c r="B567">
        <v>8</v>
      </c>
      <c r="C567" t="s">
        <v>678</v>
      </c>
      <c r="D567" t="s">
        <v>737</v>
      </c>
      <c r="E567" t="s">
        <v>678</v>
      </c>
      <c r="F567">
        <v>0</v>
      </c>
      <c r="G567" t="s">
        <v>678</v>
      </c>
      <c r="H567" t="s">
        <v>678</v>
      </c>
      <c r="I567" t="s">
        <v>678</v>
      </c>
      <c r="J567" t="s">
        <v>678</v>
      </c>
      <c r="K567" t="s">
        <v>678</v>
      </c>
      <c r="L567" t="s">
        <v>678</v>
      </c>
      <c r="M567" t="s">
        <v>1236</v>
      </c>
      <c r="N567" t="b">
        <v>0</v>
      </c>
    </row>
    <row r="568" spans="1:14">
      <c r="A568">
        <v>24</v>
      </c>
      <c r="B568">
        <v>9</v>
      </c>
      <c r="C568" t="s">
        <v>678</v>
      </c>
      <c r="D568" t="s">
        <v>737</v>
      </c>
      <c r="E568" t="s">
        <v>678</v>
      </c>
      <c r="F568">
        <v>0</v>
      </c>
      <c r="G568" t="s">
        <v>678</v>
      </c>
      <c r="H568" t="s">
        <v>678</v>
      </c>
      <c r="I568" t="s">
        <v>678</v>
      </c>
      <c r="J568" t="s">
        <v>678</v>
      </c>
      <c r="K568" t="s">
        <v>678</v>
      </c>
      <c r="L568" t="s">
        <v>678</v>
      </c>
      <c r="M568" t="s">
        <v>1237</v>
      </c>
      <c r="N568" t="b">
        <v>0</v>
      </c>
    </row>
    <row r="569" spans="1:14">
      <c r="A569">
        <v>24</v>
      </c>
      <c r="B569">
        <v>10</v>
      </c>
      <c r="C569" t="s">
        <v>678</v>
      </c>
      <c r="D569" t="s">
        <v>737</v>
      </c>
      <c r="E569" t="s">
        <v>678</v>
      </c>
      <c r="F569">
        <v>0</v>
      </c>
      <c r="G569" t="s">
        <v>678</v>
      </c>
      <c r="H569" t="s">
        <v>678</v>
      </c>
      <c r="I569" t="s">
        <v>678</v>
      </c>
      <c r="J569" t="s">
        <v>678</v>
      </c>
      <c r="K569" t="s">
        <v>678</v>
      </c>
      <c r="L569" t="s">
        <v>678</v>
      </c>
      <c r="M569" t="s">
        <v>1238</v>
      </c>
      <c r="N569" t="b">
        <v>0</v>
      </c>
    </row>
    <row r="570" spans="1:14">
      <c r="A570">
        <v>24</v>
      </c>
      <c r="B570">
        <v>11</v>
      </c>
      <c r="C570" t="s">
        <v>678</v>
      </c>
      <c r="D570" t="s">
        <v>737</v>
      </c>
      <c r="E570" t="s">
        <v>678</v>
      </c>
      <c r="F570">
        <v>0</v>
      </c>
      <c r="G570" t="s">
        <v>678</v>
      </c>
      <c r="H570" t="s">
        <v>678</v>
      </c>
      <c r="I570" t="s">
        <v>678</v>
      </c>
      <c r="J570" t="s">
        <v>678</v>
      </c>
      <c r="K570" t="s">
        <v>678</v>
      </c>
      <c r="L570" t="s">
        <v>678</v>
      </c>
      <c r="M570" t="s">
        <v>1239</v>
      </c>
      <c r="N570" t="b">
        <v>0</v>
      </c>
    </row>
    <row r="571" spans="1:14">
      <c r="A571">
        <v>24</v>
      </c>
      <c r="B571">
        <v>12</v>
      </c>
      <c r="C571" t="s">
        <v>678</v>
      </c>
      <c r="D571" t="s">
        <v>737</v>
      </c>
      <c r="E571" t="s">
        <v>678</v>
      </c>
      <c r="F571">
        <v>0</v>
      </c>
      <c r="G571" t="s">
        <v>678</v>
      </c>
      <c r="H571" t="s">
        <v>678</v>
      </c>
      <c r="I571" t="s">
        <v>678</v>
      </c>
      <c r="J571" t="s">
        <v>678</v>
      </c>
      <c r="K571" t="s">
        <v>678</v>
      </c>
      <c r="L571" t="s">
        <v>678</v>
      </c>
      <c r="M571" t="s">
        <v>1240</v>
      </c>
      <c r="N571" t="b">
        <v>0</v>
      </c>
    </row>
    <row r="572" spans="1:14">
      <c r="A572">
        <v>24</v>
      </c>
      <c r="B572">
        <v>13</v>
      </c>
      <c r="C572" t="s">
        <v>678</v>
      </c>
      <c r="D572" t="s">
        <v>737</v>
      </c>
      <c r="E572" t="s">
        <v>678</v>
      </c>
      <c r="F572">
        <v>0</v>
      </c>
      <c r="G572" t="s">
        <v>678</v>
      </c>
      <c r="H572" t="s">
        <v>678</v>
      </c>
      <c r="I572" t="s">
        <v>678</v>
      </c>
      <c r="J572" t="s">
        <v>678</v>
      </c>
      <c r="K572" t="s">
        <v>678</v>
      </c>
      <c r="L572" t="s">
        <v>678</v>
      </c>
      <c r="M572" t="s">
        <v>1241</v>
      </c>
      <c r="N572" t="b">
        <v>0</v>
      </c>
    </row>
    <row r="573" spans="1:14">
      <c r="A573">
        <v>24</v>
      </c>
      <c r="B573">
        <v>14</v>
      </c>
      <c r="C573" t="s">
        <v>678</v>
      </c>
      <c r="D573" t="s">
        <v>737</v>
      </c>
      <c r="E573" t="s">
        <v>678</v>
      </c>
      <c r="F573">
        <v>0</v>
      </c>
      <c r="G573" t="s">
        <v>678</v>
      </c>
      <c r="H573" t="s">
        <v>678</v>
      </c>
      <c r="I573" t="s">
        <v>678</v>
      </c>
      <c r="J573" t="s">
        <v>678</v>
      </c>
      <c r="K573" t="s">
        <v>678</v>
      </c>
      <c r="L573" t="s">
        <v>678</v>
      </c>
      <c r="M573" t="s">
        <v>1242</v>
      </c>
      <c r="N573" t="b">
        <v>0</v>
      </c>
    </row>
    <row r="574" spans="1:14">
      <c r="A574">
        <v>24</v>
      </c>
      <c r="B574">
        <v>15</v>
      </c>
      <c r="C574" t="s">
        <v>678</v>
      </c>
      <c r="D574" t="s">
        <v>737</v>
      </c>
      <c r="E574" t="s">
        <v>678</v>
      </c>
      <c r="F574">
        <v>0</v>
      </c>
      <c r="G574" t="s">
        <v>678</v>
      </c>
      <c r="H574" t="s">
        <v>678</v>
      </c>
      <c r="I574" t="s">
        <v>678</v>
      </c>
      <c r="J574" t="s">
        <v>678</v>
      </c>
      <c r="K574" t="s">
        <v>678</v>
      </c>
      <c r="L574" t="s">
        <v>678</v>
      </c>
      <c r="M574" t="s">
        <v>1243</v>
      </c>
      <c r="N574" t="b">
        <v>0</v>
      </c>
    </row>
    <row r="575" spans="1:14">
      <c r="A575">
        <v>24</v>
      </c>
      <c r="B575">
        <v>16</v>
      </c>
      <c r="C575" t="s">
        <v>291</v>
      </c>
      <c r="D575" t="s">
        <v>754</v>
      </c>
      <c r="E575" t="s">
        <v>69</v>
      </c>
      <c r="F575">
        <v>30</v>
      </c>
      <c r="G575" t="s">
        <v>678</v>
      </c>
      <c r="H575" t="s">
        <v>678</v>
      </c>
      <c r="I575" t="s">
        <v>69</v>
      </c>
      <c r="J575" t="s">
        <v>678</v>
      </c>
      <c r="K575" t="s">
        <v>678</v>
      </c>
      <c r="L575" t="s">
        <v>678</v>
      </c>
      <c r="M575" t="s">
        <v>1244</v>
      </c>
      <c r="N575" t="b">
        <v>0</v>
      </c>
    </row>
    <row r="576" spans="1:14">
      <c r="A576">
        <v>24</v>
      </c>
      <c r="B576">
        <v>17</v>
      </c>
      <c r="C576" t="s">
        <v>292</v>
      </c>
      <c r="D576" t="s">
        <v>754</v>
      </c>
      <c r="E576" t="s">
        <v>554</v>
      </c>
      <c r="F576">
        <v>30</v>
      </c>
      <c r="G576" t="s">
        <v>773</v>
      </c>
      <c r="H576" t="s">
        <v>678</v>
      </c>
      <c r="I576" t="s">
        <v>678</v>
      </c>
      <c r="J576" t="s">
        <v>1115</v>
      </c>
      <c r="K576" t="s">
        <v>1116</v>
      </c>
      <c r="L576" t="s">
        <v>1069</v>
      </c>
      <c r="M576" t="s">
        <v>702</v>
      </c>
      <c r="N576" t="b">
        <v>0</v>
      </c>
    </row>
    <row r="577" spans="1:14">
      <c r="A577">
        <v>24</v>
      </c>
      <c r="B577">
        <v>18</v>
      </c>
      <c r="C577" t="s">
        <v>293</v>
      </c>
      <c r="D577" t="s">
        <v>754</v>
      </c>
      <c r="E577" t="s">
        <v>555</v>
      </c>
      <c r="F577">
        <v>30</v>
      </c>
      <c r="G577" t="s">
        <v>773</v>
      </c>
      <c r="H577" t="s">
        <v>678</v>
      </c>
      <c r="I577" t="s">
        <v>678</v>
      </c>
      <c r="J577" t="s">
        <v>830</v>
      </c>
      <c r="K577" t="s">
        <v>805</v>
      </c>
      <c r="L577" t="s">
        <v>806</v>
      </c>
      <c r="M577" t="s">
        <v>1245</v>
      </c>
      <c r="N577" t="b">
        <v>0</v>
      </c>
    </row>
    <row r="578" spans="1:14">
      <c r="A578">
        <v>24</v>
      </c>
      <c r="B578">
        <v>19</v>
      </c>
      <c r="C578" t="s">
        <v>294</v>
      </c>
      <c r="D578" t="s">
        <v>754</v>
      </c>
      <c r="E578" t="s">
        <v>556</v>
      </c>
      <c r="F578">
        <v>30</v>
      </c>
      <c r="G578" t="s">
        <v>773</v>
      </c>
      <c r="H578" t="s">
        <v>678</v>
      </c>
      <c r="I578" t="s">
        <v>678</v>
      </c>
      <c r="J578" t="s">
        <v>837</v>
      </c>
      <c r="K578" t="s">
        <v>814</v>
      </c>
      <c r="L578" t="s">
        <v>815</v>
      </c>
      <c r="M578" t="s">
        <v>1246</v>
      </c>
      <c r="N578" t="b">
        <v>0</v>
      </c>
    </row>
    <row r="579" spans="1:14">
      <c r="A579">
        <v>24</v>
      </c>
      <c r="B579">
        <v>20</v>
      </c>
      <c r="C579" t="s">
        <v>678</v>
      </c>
      <c r="D579" t="s">
        <v>754</v>
      </c>
      <c r="E579" t="s">
        <v>678</v>
      </c>
      <c r="F579">
        <v>0</v>
      </c>
      <c r="G579" t="s">
        <v>678</v>
      </c>
      <c r="H579" t="s">
        <v>678</v>
      </c>
      <c r="I579" t="s">
        <v>678</v>
      </c>
      <c r="J579" t="s">
        <v>678</v>
      </c>
      <c r="K579" t="s">
        <v>678</v>
      </c>
      <c r="L579" t="s">
        <v>678</v>
      </c>
      <c r="M579" t="s">
        <v>1247</v>
      </c>
      <c r="N579" t="b">
        <v>0</v>
      </c>
    </row>
    <row r="580" spans="1:14">
      <c r="A580">
        <v>24</v>
      </c>
      <c r="B580">
        <v>21</v>
      </c>
      <c r="C580" t="s">
        <v>678</v>
      </c>
      <c r="D580" t="s">
        <v>754</v>
      </c>
      <c r="E580" t="s">
        <v>678</v>
      </c>
      <c r="F580">
        <v>0</v>
      </c>
      <c r="G580" t="s">
        <v>678</v>
      </c>
      <c r="H580" t="s">
        <v>678</v>
      </c>
      <c r="I580" t="s">
        <v>678</v>
      </c>
      <c r="J580" t="s">
        <v>678</v>
      </c>
      <c r="K580" t="s">
        <v>678</v>
      </c>
      <c r="L580" t="s">
        <v>678</v>
      </c>
      <c r="M580" t="s">
        <v>1248</v>
      </c>
      <c r="N580" t="b">
        <v>0</v>
      </c>
    </row>
    <row r="581" spans="1:14">
      <c r="A581">
        <v>24</v>
      </c>
      <c r="B581">
        <v>22</v>
      </c>
      <c r="C581" t="s">
        <v>678</v>
      </c>
      <c r="D581" t="s">
        <v>754</v>
      </c>
      <c r="E581" t="s">
        <v>678</v>
      </c>
      <c r="F581">
        <v>0</v>
      </c>
      <c r="G581" t="s">
        <v>678</v>
      </c>
      <c r="H581" t="s">
        <v>678</v>
      </c>
      <c r="I581" t="s">
        <v>678</v>
      </c>
      <c r="J581" t="s">
        <v>678</v>
      </c>
      <c r="K581" t="s">
        <v>678</v>
      </c>
      <c r="L581" t="s">
        <v>678</v>
      </c>
      <c r="M581" t="s">
        <v>1249</v>
      </c>
      <c r="N581" t="b">
        <v>0</v>
      </c>
    </row>
    <row r="582" spans="1:14">
      <c r="A582">
        <v>24</v>
      </c>
      <c r="B582">
        <v>23</v>
      </c>
      <c r="C582" t="s">
        <v>678</v>
      </c>
      <c r="D582" t="s">
        <v>754</v>
      </c>
      <c r="E582" t="s">
        <v>678</v>
      </c>
      <c r="F582">
        <v>0</v>
      </c>
      <c r="G582" t="s">
        <v>678</v>
      </c>
      <c r="H582" t="s">
        <v>678</v>
      </c>
      <c r="I582" t="s">
        <v>678</v>
      </c>
      <c r="J582" t="s">
        <v>678</v>
      </c>
      <c r="K582" t="s">
        <v>678</v>
      </c>
      <c r="L582" t="s">
        <v>678</v>
      </c>
      <c r="M582" t="s">
        <v>1250</v>
      </c>
      <c r="N582" t="b">
        <v>0</v>
      </c>
    </row>
    <row r="583" spans="1:14">
      <c r="A583">
        <v>24</v>
      </c>
      <c r="B583">
        <v>24</v>
      </c>
      <c r="C583" t="s">
        <v>678</v>
      </c>
      <c r="D583" t="s">
        <v>754</v>
      </c>
      <c r="E583" t="s">
        <v>678</v>
      </c>
      <c r="F583">
        <v>0</v>
      </c>
      <c r="G583" t="s">
        <v>678</v>
      </c>
      <c r="H583" t="s">
        <v>678</v>
      </c>
      <c r="I583" t="s">
        <v>678</v>
      </c>
      <c r="J583" t="s">
        <v>678</v>
      </c>
      <c r="K583" t="s">
        <v>678</v>
      </c>
      <c r="L583" t="s">
        <v>678</v>
      </c>
      <c r="M583" t="s">
        <v>1251</v>
      </c>
      <c r="N583" t="b">
        <v>0</v>
      </c>
    </row>
    <row r="584" spans="1:14">
      <c r="A584">
        <v>24</v>
      </c>
      <c r="B584">
        <v>25</v>
      </c>
      <c r="C584" t="s">
        <v>678</v>
      </c>
      <c r="D584" t="s">
        <v>754</v>
      </c>
      <c r="E584" t="s">
        <v>678</v>
      </c>
      <c r="F584">
        <v>0</v>
      </c>
      <c r="G584" t="s">
        <v>678</v>
      </c>
      <c r="H584" t="s">
        <v>678</v>
      </c>
      <c r="I584" t="s">
        <v>678</v>
      </c>
      <c r="J584" t="s">
        <v>678</v>
      </c>
      <c r="K584" t="s">
        <v>678</v>
      </c>
      <c r="L584" t="s">
        <v>678</v>
      </c>
      <c r="M584" t="s">
        <v>1252</v>
      </c>
      <c r="N584" t="b">
        <v>0</v>
      </c>
    </row>
    <row r="585" spans="1:14">
      <c r="A585">
        <v>24</v>
      </c>
      <c r="B585">
        <v>26</v>
      </c>
      <c r="C585" t="s">
        <v>678</v>
      </c>
      <c r="D585" t="s">
        <v>754</v>
      </c>
      <c r="E585" t="s">
        <v>678</v>
      </c>
      <c r="F585">
        <v>0</v>
      </c>
      <c r="G585" t="s">
        <v>678</v>
      </c>
      <c r="H585" t="s">
        <v>678</v>
      </c>
      <c r="I585" t="s">
        <v>678</v>
      </c>
      <c r="J585" t="s">
        <v>678</v>
      </c>
      <c r="K585" t="s">
        <v>678</v>
      </c>
      <c r="L585" t="s">
        <v>678</v>
      </c>
      <c r="M585" t="s">
        <v>1253</v>
      </c>
      <c r="N585" t="b">
        <v>0</v>
      </c>
    </row>
    <row r="586" spans="1:14">
      <c r="A586">
        <v>25</v>
      </c>
      <c r="B586">
        <v>0</v>
      </c>
      <c r="C586" t="s">
        <v>195</v>
      </c>
      <c r="D586" t="s">
        <v>737</v>
      </c>
      <c r="E586" t="s">
        <v>67</v>
      </c>
      <c r="F586">
        <v>50</v>
      </c>
      <c r="G586" t="s">
        <v>678</v>
      </c>
      <c r="H586" t="s">
        <v>678</v>
      </c>
      <c r="I586" t="s">
        <v>67</v>
      </c>
      <c r="J586" t="s">
        <v>678</v>
      </c>
      <c r="K586" t="s">
        <v>678</v>
      </c>
      <c r="L586" t="s">
        <v>678</v>
      </c>
      <c r="M586" t="s">
        <v>1254</v>
      </c>
      <c r="N586" t="b">
        <v>0</v>
      </c>
    </row>
    <row r="587" spans="1:14">
      <c r="A587">
        <v>25</v>
      </c>
      <c r="B587">
        <v>1</v>
      </c>
      <c r="C587" t="s">
        <v>236</v>
      </c>
      <c r="D587" t="s">
        <v>737</v>
      </c>
      <c r="E587" t="s">
        <v>79</v>
      </c>
      <c r="F587">
        <v>50</v>
      </c>
      <c r="G587" t="s">
        <v>678</v>
      </c>
      <c r="H587" t="s">
        <v>678</v>
      </c>
      <c r="I587" t="s">
        <v>79</v>
      </c>
      <c r="J587" t="s">
        <v>678</v>
      </c>
      <c r="K587" t="s">
        <v>678</v>
      </c>
      <c r="L587" t="s">
        <v>678</v>
      </c>
      <c r="M587" t="s">
        <v>1255</v>
      </c>
      <c r="N587" t="b">
        <v>0</v>
      </c>
    </row>
    <row r="588" spans="1:14">
      <c r="A588">
        <v>25</v>
      </c>
      <c r="B588">
        <v>2</v>
      </c>
      <c r="C588" t="s">
        <v>278</v>
      </c>
      <c r="D588" t="s">
        <v>737</v>
      </c>
      <c r="E588" t="s">
        <v>85</v>
      </c>
      <c r="F588">
        <v>30</v>
      </c>
      <c r="G588" t="s">
        <v>678</v>
      </c>
      <c r="H588" t="s">
        <v>678</v>
      </c>
      <c r="I588" t="s">
        <v>85</v>
      </c>
      <c r="J588" t="s">
        <v>678</v>
      </c>
      <c r="K588" t="s">
        <v>678</v>
      </c>
      <c r="L588" t="s">
        <v>678</v>
      </c>
      <c r="M588" t="s">
        <v>1256</v>
      </c>
      <c r="N588" t="b">
        <v>0</v>
      </c>
    </row>
    <row r="589" spans="1:14">
      <c r="A589">
        <v>25</v>
      </c>
      <c r="B589">
        <v>3</v>
      </c>
      <c r="C589" t="s">
        <v>261</v>
      </c>
      <c r="D589" t="s">
        <v>737</v>
      </c>
      <c r="E589" t="s">
        <v>103</v>
      </c>
      <c r="F589">
        <v>40</v>
      </c>
      <c r="G589" t="s">
        <v>678</v>
      </c>
      <c r="H589" t="s">
        <v>678</v>
      </c>
      <c r="I589" t="s">
        <v>103</v>
      </c>
      <c r="J589" t="s">
        <v>678</v>
      </c>
      <c r="K589" t="s">
        <v>678</v>
      </c>
      <c r="L589" t="s">
        <v>678</v>
      </c>
      <c r="M589" t="s">
        <v>1257</v>
      </c>
      <c r="N589" t="b">
        <v>0</v>
      </c>
    </row>
    <row r="590" spans="1:14">
      <c r="A590">
        <v>25</v>
      </c>
      <c r="B590">
        <v>4</v>
      </c>
      <c r="C590" t="s">
        <v>239</v>
      </c>
      <c r="D590" t="s">
        <v>737</v>
      </c>
      <c r="E590" t="s">
        <v>105</v>
      </c>
      <c r="F590">
        <v>40</v>
      </c>
      <c r="G590" t="s">
        <v>678</v>
      </c>
      <c r="H590" t="s">
        <v>678</v>
      </c>
      <c r="I590" t="s">
        <v>105</v>
      </c>
      <c r="J590" t="s">
        <v>678</v>
      </c>
      <c r="K590" t="s">
        <v>678</v>
      </c>
      <c r="L590" t="s">
        <v>678</v>
      </c>
      <c r="M590" t="s">
        <v>1258</v>
      </c>
      <c r="N590" t="b">
        <v>0</v>
      </c>
    </row>
    <row r="591" spans="1:14">
      <c r="A591">
        <v>25</v>
      </c>
      <c r="B591">
        <v>5</v>
      </c>
      <c r="C591" t="s">
        <v>297</v>
      </c>
      <c r="D591" t="s">
        <v>737</v>
      </c>
      <c r="E591" t="s">
        <v>107</v>
      </c>
      <c r="F591">
        <v>40</v>
      </c>
      <c r="G591" t="s">
        <v>678</v>
      </c>
      <c r="H591" t="s">
        <v>678</v>
      </c>
      <c r="I591" t="s">
        <v>107</v>
      </c>
      <c r="J591" t="s">
        <v>678</v>
      </c>
      <c r="K591" t="s">
        <v>678</v>
      </c>
      <c r="L591" t="s">
        <v>678</v>
      </c>
      <c r="M591" t="s">
        <v>1259</v>
      </c>
      <c r="N591" t="b">
        <v>0</v>
      </c>
    </row>
    <row r="592" spans="1:14">
      <c r="A592">
        <v>25</v>
      </c>
      <c r="B592">
        <v>6</v>
      </c>
      <c r="C592" t="s">
        <v>298</v>
      </c>
      <c r="D592" t="s">
        <v>737</v>
      </c>
      <c r="E592" t="s">
        <v>342</v>
      </c>
      <c r="F592">
        <v>40</v>
      </c>
      <c r="G592" t="s">
        <v>678</v>
      </c>
      <c r="H592" t="s">
        <v>559</v>
      </c>
      <c r="I592" t="s">
        <v>456</v>
      </c>
      <c r="J592" t="s">
        <v>678</v>
      </c>
      <c r="K592" t="s">
        <v>934</v>
      </c>
      <c r="L592" t="s">
        <v>935</v>
      </c>
      <c r="M592" t="s">
        <v>806</v>
      </c>
      <c r="N592" t="b">
        <v>0</v>
      </c>
    </row>
    <row r="593" spans="1:14">
      <c r="A593">
        <v>25</v>
      </c>
      <c r="B593">
        <v>7</v>
      </c>
      <c r="C593" t="s">
        <v>286</v>
      </c>
      <c r="D593" t="s">
        <v>737</v>
      </c>
      <c r="E593" t="s">
        <v>76</v>
      </c>
      <c r="F593">
        <v>40</v>
      </c>
      <c r="G593" t="s">
        <v>678</v>
      </c>
      <c r="H593" t="s">
        <v>678</v>
      </c>
      <c r="I593" t="s">
        <v>76</v>
      </c>
      <c r="J593" t="s">
        <v>678</v>
      </c>
      <c r="K593" t="s">
        <v>678</v>
      </c>
      <c r="L593" t="s">
        <v>678</v>
      </c>
      <c r="M593" t="s">
        <v>1260</v>
      </c>
      <c r="N593" t="b">
        <v>0</v>
      </c>
    </row>
    <row r="594" spans="1:14">
      <c r="A594">
        <v>25</v>
      </c>
      <c r="B594">
        <v>8</v>
      </c>
      <c r="C594" t="s">
        <v>299</v>
      </c>
      <c r="D594" t="s">
        <v>737</v>
      </c>
      <c r="E594" t="s">
        <v>80</v>
      </c>
      <c r="F594">
        <v>30</v>
      </c>
      <c r="G594" t="s">
        <v>678</v>
      </c>
      <c r="H594" t="s">
        <v>678</v>
      </c>
      <c r="I594" t="s">
        <v>80</v>
      </c>
      <c r="J594" t="s">
        <v>678</v>
      </c>
      <c r="K594" t="s">
        <v>678</v>
      </c>
      <c r="L594" t="s">
        <v>678</v>
      </c>
      <c r="M594" t="s">
        <v>1261</v>
      </c>
      <c r="N594" t="b">
        <v>0</v>
      </c>
    </row>
    <row r="595" spans="1:14">
      <c r="A595">
        <v>25</v>
      </c>
      <c r="B595">
        <v>9</v>
      </c>
      <c r="C595" t="s">
        <v>242</v>
      </c>
      <c r="D595" t="s">
        <v>737</v>
      </c>
      <c r="E595" t="s">
        <v>112</v>
      </c>
      <c r="F595">
        <v>50</v>
      </c>
      <c r="G595" t="s">
        <v>678</v>
      </c>
      <c r="H595" t="s">
        <v>678</v>
      </c>
      <c r="I595" t="s">
        <v>112</v>
      </c>
      <c r="J595" t="s">
        <v>678</v>
      </c>
      <c r="K595" t="s">
        <v>678</v>
      </c>
      <c r="L595" t="s">
        <v>678</v>
      </c>
      <c r="M595" t="s">
        <v>1262</v>
      </c>
      <c r="N595" t="b">
        <v>0</v>
      </c>
    </row>
    <row r="596" spans="1:14">
      <c r="A596">
        <v>25</v>
      </c>
      <c r="B596">
        <v>10</v>
      </c>
      <c r="C596" t="s">
        <v>678</v>
      </c>
      <c r="D596" t="s">
        <v>737</v>
      </c>
      <c r="E596" t="s">
        <v>678</v>
      </c>
      <c r="F596">
        <v>0</v>
      </c>
      <c r="G596" t="s">
        <v>678</v>
      </c>
      <c r="H596" t="s">
        <v>678</v>
      </c>
      <c r="I596" t="s">
        <v>678</v>
      </c>
      <c r="J596" t="s">
        <v>678</v>
      </c>
      <c r="K596" t="s">
        <v>678</v>
      </c>
      <c r="L596" t="s">
        <v>678</v>
      </c>
      <c r="M596" t="s">
        <v>1263</v>
      </c>
      <c r="N596" t="b">
        <v>0</v>
      </c>
    </row>
    <row r="597" spans="1:14">
      <c r="A597">
        <v>25</v>
      </c>
      <c r="B597">
        <v>11</v>
      </c>
      <c r="C597" t="s">
        <v>678</v>
      </c>
      <c r="D597" t="s">
        <v>737</v>
      </c>
      <c r="E597" t="s">
        <v>678</v>
      </c>
      <c r="F597">
        <v>0</v>
      </c>
      <c r="G597" t="s">
        <v>678</v>
      </c>
      <c r="H597" t="s">
        <v>678</v>
      </c>
      <c r="I597" t="s">
        <v>678</v>
      </c>
      <c r="J597" t="s">
        <v>678</v>
      </c>
      <c r="K597" t="s">
        <v>678</v>
      </c>
      <c r="L597" t="s">
        <v>678</v>
      </c>
      <c r="M597" t="s">
        <v>1264</v>
      </c>
      <c r="N597" t="b">
        <v>0</v>
      </c>
    </row>
    <row r="598" spans="1:14">
      <c r="A598">
        <v>25</v>
      </c>
      <c r="B598">
        <v>12</v>
      </c>
      <c r="C598" t="s">
        <v>678</v>
      </c>
      <c r="D598" t="s">
        <v>737</v>
      </c>
      <c r="E598" t="s">
        <v>678</v>
      </c>
      <c r="F598">
        <v>0</v>
      </c>
      <c r="G598" t="s">
        <v>678</v>
      </c>
      <c r="H598" t="s">
        <v>678</v>
      </c>
      <c r="I598" t="s">
        <v>678</v>
      </c>
      <c r="J598" t="s">
        <v>678</v>
      </c>
      <c r="K598" t="s">
        <v>678</v>
      </c>
      <c r="L598" t="s">
        <v>678</v>
      </c>
      <c r="M598" t="s">
        <v>1265</v>
      </c>
      <c r="N598" t="b">
        <v>0</v>
      </c>
    </row>
    <row r="599" spans="1:14">
      <c r="A599">
        <v>25</v>
      </c>
      <c r="B599">
        <v>13</v>
      </c>
      <c r="C599" t="s">
        <v>678</v>
      </c>
      <c r="D599" t="s">
        <v>737</v>
      </c>
      <c r="E599" t="s">
        <v>678</v>
      </c>
      <c r="F599">
        <v>0</v>
      </c>
      <c r="G599" t="s">
        <v>678</v>
      </c>
      <c r="H599" t="s">
        <v>678</v>
      </c>
      <c r="I599" t="s">
        <v>678</v>
      </c>
      <c r="J599" t="s">
        <v>678</v>
      </c>
      <c r="K599" t="s">
        <v>678</v>
      </c>
      <c r="L599" t="s">
        <v>678</v>
      </c>
      <c r="M599" t="s">
        <v>1266</v>
      </c>
      <c r="N599" t="b">
        <v>0</v>
      </c>
    </row>
    <row r="600" spans="1:14">
      <c r="A600">
        <v>25</v>
      </c>
      <c r="B600">
        <v>14</v>
      </c>
      <c r="C600" t="s">
        <v>678</v>
      </c>
      <c r="D600" t="s">
        <v>737</v>
      </c>
      <c r="E600" t="s">
        <v>678</v>
      </c>
      <c r="F600">
        <v>0</v>
      </c>
      <c r="G600" t="s">
        <v>678</v>
      </c>
      <c r="H600" t="s">
        <v>678</v>
      </c>
      <c r="I600" t="s">
        <v>678</v>
      </c>
      <c r="J600" t="s">
        <v>678</v>
      </c>
      <c r="K600" t="s">
        <v>678</v>
      </c>
      <c r="L600" t="s">
        <v>678</v>
      </c>
      <c r="M600" t="s">
        <v>1267</v>
      </c>
      <c r="N600" t="b">
        <v>0</v>
      </c>
    </row>
    <row r="601" spans="1:14">
      <c r="A601">
        <v>25</v>
      </c>
      <c r="B601">
        <v>15</v>
      </c>
      <c r="C601" t="s">
        <v>678</v>
      </c>
      <c r="D601" t="s">
        <v>737</v>
      </c>
      <c r="E601" t="s">
        <v>678</v>
      </c>
      <c r="F601">
        <v>0</v>
      </c>
      <c r="G601" t="s">
        <v>678</v>
      </c>
      <c r="H601" t="s">
        <v>678</v>
      </c>
      <c r="I601" t="s">
        <v>678</v>
      </c>
      <c r="J601" t="s">
        <v>678</v>
      </c>
      <c r="K601" t="s">
        <v>678</v>
      </c>
      <c r="L601" t="s">
        <v>678</v>
      </c>
      <c r="M601" t="s">
        <v>1268</v>
      </c>
      <c r="N601" t="b">
        <v>0</v>
      </c>
    </row>
    <row r="602" spans="1:14">
      <c r="A602">
        <v>25</v>
      </c>
      <c r="B602">
        <v>16</v>
      </c>
      <c r="C602" t="s">
        <v>300</v>
      </c>
      <c r="D602" t="s">
        <v>754</v>
      </c>
      <c r="E602" t="s">
        <v>77</v>
      </c>
      <c r="F602">
        <v>40</v>
      </c>
      <c r="G602" t="s">
        <v>678</v>
      </c>
      <c r="H602" t="s">
        <v>678</v>
      </c>
      <c r="I602" t="s">
        <v>77</v>
      </c>
      <c r="J602" t="s">
        <v>678</v>
      </c>
      <c r="K602" t="s">
        <v>678</v>
      </c>
      <c r="L602" t="s">
        <v>678</v>
      </c>
      <c r="M602" t="s">
        <v>1269</v>
      </c>
      <c r="N602" t="b">
        <v>0</v>
      </c>
    </row>
    <row r="603" spans="1:14">
      <c r="A603">
        <v>25</v>
      </c>
      <c r="B603">
        <v>17</v>
      </c>
      <c r="C603" t="s">
        <v>220</v>
      </c>
      <c r="D603" t="s">
        <v>754</v>
      </c>
      <c r="E603" t="s">
        <v>90</v>
      </c>
      <c r="F603">
        <v>40</v>
      </c>
      <c r="G603" t="s">
        <v>678</v>
      </c>
      <c r="H603" t="s">
        <v>678</v>
      </c>
      <c r="I603" t="s">
        <v>90</v>
      </c>
      <c r="J603" t="s">
        <v>678</v>
      </c>
      <c r="K603" t="s">
        <v>678</v>
      </c>
      <c r="L603" t="s">
        <v>678</v>
      </c>
      <c r="M603" t="s">
        <v>704</v>
      </c>
      <c r="N603" t="b">
        <v>0</v>
      </c>
    </row>
    <row r="604" spans="1:14">
      <c r="A604">
        <v>25</v>
      </c>
      <c r="B604">
        <v>18</v>
      </c>
      <c r="C604" t="s">
        <v>189</v>
      </c>
      <c r="D604" t="s">
        <v>754</v>
      </c>
      <c r="E604" t="s">
        <v>555</v>
      </c>
      <c r="F604">
        <v>40</v>
      </c>
      <c r="G604" t="s">
        <v>773</v>
      </c>
      <c r="H604" t="s">
        <v>678</v>
      </c>
      <c r="I604" t="s">
        <v>678</v>
      </c>
      <c r="J604" t="s">
        <v>830</v>
      </c>
      <c r="K604" t="s">
        <v>805</v>
      </c>
      <c r="L604" t="s">
        <v>806</v>
      </c>
      <c r="M604" t="s">
        <v>1270</v>
      </c>
      <c r="N604" t="b">
        <v>0</v>
      </c>
    </row>
    <row r="605" spans="1:14">
      <c r="A605">
        <v>25</v>
      </c>
      <c r="B605">
        <v>19</v>
      </c>
      <c r="C605" t="s">
        <v>228</v>
      </c>
      <c r="D605" t="s">
        <v>754</v>
      </c>
      <c r="E605" t="s">
        <v>99</v>
      </c>
      <c r="F605">
        <v>40</v>
      </c>
      <c r="G605" t="s">
        <v>678</v>
      </c>
      <c r="H605" t="s">
        <v>678</v>
      </c>
      <c r="I605" t="s">
        <v>99</v>
      </c>
      <c r="J605" t="s">
        <v>678</v>
      </c>
      <c r="K605" t="s">
        <v>678</v>
      </c>
      <c r="L605" t="s">
        <v>678</v>
      </c>
      <c r="M605" t="s">
        <v>1271</v>
      </c>
      <c r="N605" t="b">
        <v>0</v>
      </c>
    </row>
    <row r="606" spans="1:14">
      <c r="A606">
        <v>25</v>
      </c>
      <c r="B606">
        <v>20</v>
      </c>
      <c r="C606" t="s">
        <v>169</v>
      </c>
      <c r="D606" t="s">
        <v>754</v>
      </c>
      <c r="E606" t="s">
        <v>308</v>
      </c>
      <c r="F606">
        <v>40</v>
      </c>
      <c r="G606" t="s">
        <v>773</v>
      </c>
      <c r="H606" t="s">
        <v>678</v>
      </c>
      <c r="I606" t="s">
        <v>678</v>
      </c>
      <c r="J606" t="s">
        <v>774</v>
      </c>
      <c r="K606" t="s">
        <v>775</v>
      </c>
      <c r="L606" t="s">
        <v>776</v>
      </c>
      <c r="M606" t="s">
        <v>1272</v>
      </c>
      <c r="N606" t="b">
        <v>0</v>
      </c>
    </row>
    <row r="607" spans="1:14">
      <c r="A607">
        <v>25</v>
      </c>
      <c r="B607">
        <v>21</v>
      </c>
      <c r="C607" t="s">
        <v>190</v>
      </c>
      <c r="D607" t="s">
        <v>754</v>
      </c>
      <c r="E607" t="s">
        <v>116</v>
      </c>
      <c r="F607">
        <v>50</v>
      </c>
      <c r="G607" t="s">
        <v>678</v>
      </c>
      <c r="H607" t="s">
        <v>678</v>
      </c>
      <c r="I607" t="s">
        <v>116</v>
      </c>
      <c r="J607" t="s">
        <v>678</v>
      </c>
      <c r="K607" t="s">
        <v>678</v>
      </c>
      <c r="L607" t="s">
        <v>678</v>
      </c>
      <c r="M607" t="s">
        <v>1273</v>
      </c>
      <c r="N607" t="b">
        <v>0</v>
      </c>
    </row>
    <row r="608" spans="1:14">
      <c r="A608">
        <v>25</v>
      </c>
      <c r="B608">
        <v>22</v>
      </c>
      <c r="C608" t="s">
        <v>301</v>
      </c>
      <c r="D608" t="s">
        <v>754</v>
      </c>
      <c r="E608" t="s">
        <v>117</v>
      </c>
      <c r="F608">
        <v>40</v>
      </c>
      <c r="G608" t="s">
        <v>678</v>
      </c>
      <c r="H608" t="s">
        <v>678</v>
      </c>
      <c r="I608" t="s">
        <v>117</v>
      </c>
      <c r="J608" t="s">
        <v>678</v>
      </c>
      <c r="K608" t="s">
        <v>678</v>
      </c>
      <c r="L608" t="s">
        <v>678</v>
      </c>
      <c r="M608" t="s">
        <v>1274</v>
      </c>
      <c r="N608" t="b">
        <v>0</v>
      </c>
    </row>
    <row r="609" spans="1:14">
      <c r="A609">
        <v>25</v>
      </c>
      <c r="B609">
        <v>23</v>
      </c>
      <c r="C609" t="s">
        <v>178</v>
      </c>
      <c r="D609" t="s">
        <v>754</v>
      </c>
      <c r="E609" t="s">
        <v>102</v>
      </c>
      <c r="F609">
        <v>60</v>
      </c>
      <c r="G609" t="s">
        <v>678</v>
      </c>
      <c r="H609" t="s">
        <v>678</v>
      </c>
      <c r="I609" t="s">
        <v>102</v>
      </c>
      <c r="J609" t="s">
        <v>678</v>
      </c>
      <c r="K609" t="s">
        <v>678</v>
      </c>
      <c r="L609" t="s">
        <v>678</v>
      </c>
      <c r="M609" t="s">
        <v>1275</v>
      </c>
      <c r="N609" t="b">
        <v>0</v>
      </c>
    </row>
    <row r="610" spans="1:14">
      <c r="A610">
        <v>25</v>
      </c>
      <c r="B610">
        <v>24</v>
      </c>
      <c r="C610" t="s">
        <v>186</v>
      </c>
      <c r="D610" t="s">
        <v>754</v>
      </c>
      <c r="E610" t="s">
        <v>104</v>
      </c>
      <c r="F610">
        <v>40</v>
      </c>
      <c r="G610" t="s">
        <v>678</v>
      </c>
      <c r="H610" t="s">
        <v>678</v>
      </c>
      <c r="I610" t="s">
        <v>104</v>
      </c>
      <c r="J610" t="s">
        <v>678</v>
      </c>
      <c r="K610" t="s">
        <v>678</v>
      </c>
      <c r="L610" t="s">
        <v>678</v>
      </c>
      <c r="M610" t="s">
        <v>1276</v>
      </c>
      <c r="N610" t="b">
        <v>0</v>
      </c>
    </row>
    <row r="611" spans="1:14">
      <c r="A611">
        <v>25</v>
      </c>
      <c r="B611">
        <v>25</v>
      </c>
      <c r="C611" t="s">
        <v>302</v>
      </c>
      <c r="D611" t="s">
        <v>754</v>
      </c>
      <c r="E611" t="s">
        <v>111</v>
      </c>
      <c r="F611">
        <v>60</v>
      </c>
      <c r="G611" t="s">
        <v>678</v>
      </c>
      <c r="H611" t="s">
        <v>678</v>
      </c>
      <c r="I611" t="s">
        <v>111</v>
      </c>
      <c r="J611" t="s">
        <v>678</v>
      </c>
      <c r="K611" t="s">
        <v>678</v>
      </c>
      <c r="L611" t="s">
        <v>678</v>
      </c>
      <c r="M611" t="s">
        <v>1277</v>
      </c>
      <c r="N611" t="b">
        <v>0</v>
      </c>
    </row>
    <row r="612" spans="1:14">
      <c r="A612">
        <v>25</v>
      </c>
      <c r="B612">
        <v>26</v>
      </c>
      <c r="C612" t="s">
        <v>678</v>
      </c>
      <c r="D612" t="s">
        <v>754</v>
      </c>
      <c r="E612" t="s">
        <v>678</v>
      </c>
      <c r="F612">
        <v>0</v>
      </c>
      <c r="G612" t="s">
        <v>678</v>
      </c>
      <c r="H612" t="s">
        <v>678</v>
      </c>
      <c r="I612" t="s">
        <v>678</v>
      </c>
      <c r="J612" t="s">
        <v>678</v>
      </c>
      <c r="K612" t="s">
        <v>678</v>
      </c>
      <c r="L612" t="s">
        <v>678</v>
      </c>
      <c r="M612" t="s">
        <v>1278</v>
      </c>
      <c r="N612" t="b">
        <v>0</v>
      </c>
    </row>
    <row r="613" spans="1:14">
      <c r="A613">
        <v>30</v>
      </c>
      <c r="B613">
        <v>0</v>
      </c>
      <c r="C613" t="s">
        <v>226</v>
      </c>
      <c r="D613" t="s">
        <v>737</v>
      </c>
      <c r="E613" t="s">
        <v>67</v>
      </c>
      <c r="F613">
        <v>60</v>
      </c>
      <c r="G613" t="s">
        <v>678</v>
      </c>
      <c r="H613" t="s">
        <v>678</v>
      </c>
      <c r="I613" t="s">
        <v>67</v>
      </c>
      <c r="J613" t="s">
        <v>678</v>
      </c>
      <c r="K613" t="s">
        <v>678</v>
      </c>
      <c r="L613" t="s">
        <v>678</v>
      </c>
      <c r="M613" t="s">
        <v>1279</v>
      </c>
      <c r="N613" t="b">
        <v>0</v>
      </c>
    </row>
    <row r="614" spans="1:14">
      <c r="A614">
        <v>30</v>
      </c>
      <c r="B614">
        <v>1</v>
      </c>
      <c r="C614" t="s">
        <v>227</v>
      </c>
      <c r="D614" t="s">
        <v>737</v>
      </c>
      <c r="E614" t="s">
        <v>79</v>
      </c>
      <c r="F614">
        <v>60</v>
      </c>
      <c r="G614" t="s">
        <v>678</v>
      </c>
      <c r="H614" t="s">
        <v>678</v>
      </c>
      <c r="I614" t="s">
        <v>79</v>
      </c>
      <c r="J614" t="s">
        <v>678</v>
      </c>
      <c r="K614" t="s">
        <v>678</v>
      </c>
      <c r="L614" t="s">
        <v>678</v>
      </c>
      <c r="M614" t="s">
        <v>1280</v>
      </c>
      <c r="N614" t="b">
        <v>0</v>
      </c>
    </row>
    <row r="615" spans="1:14">
      <c r="A615">
        <v>30</v>
      </c>
      <c r="B615">
        <v>2</v>
      </c>
      <c r="C615" t="s">
        <v>228</v>
      </c>
      <c r="D615" t="s">
        <v>737</v>
      </c>
      <c r="E615" t="s">
        <v>99</v>
      </c>
      <c r="F615">
        <v>40</v>
      </c>
      <c r="G615" t="s">
        <v>678</v>
      </c>
      <c r="H615" t="s">
        <v>678</v>
      </c>
      <c r="I615" t="s">
        <v>99</v>
      </c>
      <c r="J615" t="s">
        <v>678</v>
      </c>
      <c r="K615" t="s">
        <v>678</v>
      </c>
      <c r="L615" t="s">
        <v>678</v>
      </c>
      <c r="M615" t="s">
        <v>1281</v>
      </c>
      <c r="N615" t="b">
        <v>0</v>
      </c>
    </row>
    <row r="616" spans="1:14">
      <c r="A616">
        <v>30</v>
      </c>
      <c r="B616">
        <v>3</v>
      </c>
      <c r="C616" t="s">
        <v>316</v>
      </c>
      <c r="D616" t="s">
        <v>737</v>
      </c>
      <c r="E616" t="s">
        <v>101</v>
      </c>
      <c r="F616">
        <v>50</v>
      </c>
      <c r="G616" t="s">
        <v>678</v>
      </c>
      <c r="H616" t="s">
        <v>678</v>
      </c>
      <c r="I616" t="s">
        <v>101</v>
      </c>
      <c r="J616" t="s">
        <v>678</v>
      </c>
      <c r="K616" t="s">
        <v>678</v>
      </c>
      <c r="L616" t="s">
        <v>678</v>
      </c>
      <c r="M616" t="s">
        <v>1282</v>
      </c>
      <c r="N616" t="b">
        <v>0</v>
      </c>
    </row>
    <row r="617" spans="1:14">
      <c r="A617">
        <v>30</v>
      </c>
      <c r="B617">
        <v>4</v>
      </c>
      <c r="C617" t="s">
        <v>229</v>
      </c>
      <c r="D617" t="s">
        <v>737</v>
      </c>
      <c r="E617" t="s">
        <v>105</v>
      </c>
      <c r="F617">
        <v>60</v>
      </c>
      <c r="G617" t="s">
        <v>678</v>
      </c>
      <c r="H617" t="s">
        <v>678</v>
      </c>
      <c r="I617" t="s">
        <v>105</v>
      </c>
      <c r="J617" t="s">
        <v>678</v>
      </c>
      <c r="K617" t="s">
        <v>678</v>
      </c>
      <c r="L617" t="s">
        <v>678</v>
      </c>
      <c r="M617" t="s">
        <v>1283</v>
      </c>
      <c r="N617" t="b">
        <v>0</v>
      </c>
    </row>
    <row r="618" spans="1:14">
      <c r="A618">
        <v>30</v>
      </c>
      <c r="B618">
        <v>5</v>
      </c>
      <c r="C618" t="s">
        <v>199</v>
      </c>
      <c r="D618" t="s">
        <v>737</v>
      </c>
      <c r="E618" t="s">
        <v>113</v>
      </c>
      <c r="F618">
        <v>30</v>
      </c>
      <c r="G618" t="s">
        <v>678</v>
      </c>
      <c r="H618" t="s">
        <v>678</v>
      </c>
      <c r="I618" t="s">
        <v>113</v>
      </c>
      <c r="J618" t="s">
        <v>678</v>
      </c>
      <c r="K618" t="s">
        <v>678</v>
      </c>
      <c r="L618" t="s">
        <v>678</v>
      </c>
      <c r="M618" t="s">
        <v>1284</v>
      </c>
      <c r="N618" t="b">
        <v>0</v>
      </c>
    </row>
    <row r="619" spans="1:14">
      <c r="A619">
        <v>30</v>
      </c>
      <c r="B619">
        <v>6</v>
      </c>
      <c r="C619" t="s">
        <v>207</v>
      </c>
      <c r="D619" t="s">
        <v>737</v>
      </c>
      <c r="E619" t="s">
        <v>117</v>
      </c>
      <c r="F619">
        <v>50</v>
      </c>
      <c r="G619" t="s">
        <v>678</v>
      </c>
      <c r="H619" t="s">
        <v>678</v>
      </c>
      <c r="I619" t="s">
        <v>117</v>
      </c>
      <c r="J619" t="s">
        <v>678</v>
      </c>
      <c r="K619" t="s">
        <v>678</v>
      </c>
      <c r="L619" t="s">
        <v>678</v>
      </c>
      <c r="M619" t="s">
        <v>1285</v>
      </c>
      <c r="N619" t="b">
        <v>0</v>
      </c>
    </row>
    <row r="620" spans="1:14">
      <c r="A620">
        <v>30</v>
      </c>
      <c r="B620">
        <v>7</v>
      </c>
      <c r="C620" t="s">
        <v>230</v>
      </c>
      <c r="D620" t="s">
        <v>737</v>
      </c>
      <c r="E620" t="s">
        <v>70</v>
      </c>
      <c r="F620">
        <v>50</v>
      </c>
      <c r="G620" t="s">
        <v>678</v>
      </c>
      <c r="H620" t="s">
        <v>678</v>
      </c>
      <c r="I620" t="s">
        <v>70</v>
      </c>
      <c r="J620" t="s">
        <v>678</v>
      </c>
      <c r="K620" t="s">
        <v>678</v>
      </c>
      <c r="L620" t="s">
        <v>678</v>
      </c>
      <c r="M620" t="s">
        <v>1286</v>
      </c>
      <c r="N620" t="b">
        <v>0</v>
      </c>
    </row>
    <row r="621" spans="1:14">
      <c r="A621">
        <v>30</v>
      </c>
      <c r="B621">
        <v>8</v>
      </c>
      <c r="C621" t="s">
        <v>231</v>
      </c>
      <c r="D621" t="s">
        <v>737</v>
      </c>
      <c r="E621" t="s">
        <v>342</v>
      </c>
      <c r="F621">
        <v>60</v>
      </c>
      <c r="G621" t="s">
        <v>678</v>
      </c>
      <c r="H621" t="s">
        <v>559</v>
      </c>
      <c r="I621" t="s">
        <v>456</v>
      </c>
      <c r="J621" t="s">
        <v>678</v>
      </c>
      <c r="K621" t="s">
        <v>934</v>
      </c>
      <c r="L621" t="s">
        <v>935</v>
      </c>
      <c r="M621" t="s">
        <v>1287</v>
      </c>
      <c r="N621" t="b">
        <v>0</v>
      </c>
    </row>
    <row r="622" spans="1:14">
      <c r="A622">
        <v>30</v>
      </c>
      <c r="B622">
        <v>9</v>
      </c>
      <c r="C622" t="s">
        <v>176</v>
      </c>
      <c r="D622" t="s">
        <v>737</v>
      </c>
      <c r="E622" t="s">
        <v>76</v>
      </c>
      <c r="F622">
        <v>50</v>
      </c>
      <c r="G622" t="s">
        <v>678</v>
      </c>
      <c r="H622" t="s">
        <v>678</v>
      </c>
      <c r="I622" t="s">
        <v>76</v>
      </c>
      <c r="J622" t="s">
        <v>678</v>
      </c>
      <c r="K622" t="s">
        <v>678</v>
      </c>
      <c r="L622" t="s">
        <v>678</v>
      </c>
      <c r="M622" t="s">
        <v>1288</v>
      </c>
      <c r="N622" t="b">
        <v>0</v>
      </c>
    </row>
    <row r="623" spans="1:14">
      <c r="A623">
        <v>30</v>
      </c>
      <c r="B623">
        <v>10</v>
      </c>
      <c r="C623" t="s">
        <v>232</v>
      </c>
      <c r="D623" t="s">
        <v>737</v>
      </c>
      <c r="E623" t="s">
        <v>106</v>
      </c>
      <c r="F623">
        <v>50</v>
      </c>
      <c r="G623" t="s">
        <v>678</v>
      </c>
      <c r="H623" t="s">
        <v>678</v>
      </c>
      <c r="I623" t="s">
        <v>106</v>
      </c>
      <c r="J623" t="s">
        <v>678</v>
      </c>
      <c r="K623" t="s">
        <v>678</v>
      </c>
      <c r="L623" t="s">
        <v>678</v>
      </c>
      <c r="M623" t="s">
        <v>1289</v>
      </c>
      <c r="N623" t="b">
        <v>0</v>
      </c>
    </row>
    <row r="624" spans="1:14">
      <c r="A624">
        <v>30</v>
      </c>
      <c r="B624">
        <v>11</v>
      </c>
      <c r="C624" t="s">
        <v>179</v>
      </c>
      <c r="D624" t="s">
        <v>737</v>
      </c>
      <c r="E624" t="s">
        <v>110</v>
      </c>
      <c r="F624">
        <v>50</v>
      </c>
      <c r="G624" t="s">
        <v>678</v>
      </c>
      <c r="H624" t="s">
        <v>678</v>
      </c>
      <c r="I624" t="s">
        <v>110</v>
      </c>
      <c r="J624" t="s">
        <v>678</v>
      </c>
      <c r="K624" t="s">
        <v>678</v>
      </c>
      <c r="L624" t="s">
        <v>678</v>
      </c>
      <c r="M624" t="s">
        <v>1290</v>
      </c>
      <c r="N624" t="b">
        <v>0</v>
      </c>
    </row>
    <row r="625" spans="1:14">
      <c r="A625">
        <v>30</v>
      </c>
      <c r="B625">
        <v>12</v>
      </c>
      <c r="C625" t="s">
        <v>233</v>
      </c>
      <c r="D625" t="s">
        <v>737</v>
      </c>
      <c r="E625" t="s">
        <v>111</v>
      </c>
      <c r="F625">
        <v>50</v>
      </c>
      <c r="G625" t="s">
        <v>678</v>
      </c>
      <c r="H625" t="s">
        <v>678</v>
      </c>
      <c r="I625" t="s">
        <v>111</v>
      </c>
      <c r="J625" t="s">
        <v>678</v>
      </c>
      <c r="K625" t="s">
        <v>678</v>
      </c>
      <c r="L625" t="s">
        <v>678</v>
      </c>
      <c r="M625" t="s">
        <v>1291</v>
      </c>
      <c r="N625" t="b">
        <v>0</v>
      </c>
    </row>
    <row r="626" spans="1:14">
      <c r="A626">
        <v>30</v>
      </c>
      <c r="B626">
        <v>13</v>
      </c>
      <c r="C626" t="s">
        <v>204</v>
      </c>
      <c r="D626" t="s">
        <v>737</v>
      </c>
      <c r="E626" t="s">
        <v>112</v>
      </c>
      <c r="F626">
        <v>60</v>
      </c>
      <c r="G626" t="s">
        <v>678</v>
      </c>
      <c r="H626" t="s">
        <v>678</v>
      </c>
      <c r="I626" t="s">
        <v>112</v>
      </c>
      <c r="J626" t="s">
        <v>678</v>
      </c>
      <c r="K626" t="s">
        <v>678</v>
      </c>
      <c r="L626" t="s">
        <v>678</v>
      </c>
      <c r="M626" t="s">
        <v>1292</v>
      </c>
      <c r="N626" t="b">
        <v>0</v>
      </c>
    </row>
    <row r="627" spans="1:14">
      <c r="A627">
        <v>30</v>
      </c>
      <c r="B627">
        <v>14</v>
      </c>
      <c r="C627" t="s">
        <v>678</v>
      </c>
      <c r="D627" t="s">
        <v>737</v>
      </c>
      <c r="E627" t="s">
        <v>678</v>
      </c>
      <c r="F627">
        <v>0</v>
      </c>
      <c r="G627" t="s">
        <v>678</v>
      </c>
      <c r="H627" t="s">
        <v>678</v>
      </c>
      <c r="I627" t="s">
        <v>678</v>
      </c>
      <c r="J627" t="s">
        <v>678</v>
      </c>
      <c r="K627" t="s">
        <v>678</v>
      </c>
      <c r="L627" t="s">
        <v>678</v>
      </c>
      <c r="M627" t="s">
        <v>1293</v>
      </c>
      <c r="N627" t="b">
        <v>0</v>
      </c>
    </row>
    <row r="628" spans="1:14">
      <c r="A628">
        <v>30</v>
      </c>
      <c r="B628">
        <v>15</v>
      </c>
      <c r="C628" t="s">
        <v>678</v>
      </c>
      <c r="D628" t="s">
        <v>737</v>
      </c>
      <c r="E628" t="s">
        <v>678</v>
      </c>
      <c r="F628">
        <v>0</v>
      </c>
      <c r="G628" t="s">
        <v>678</v>
      </c>
      <c r="H628" t="s">
        <v>678</v>
      </c>
      <c r="I628" t="s">
        <v>678</v>
      </c>
      <c r="J628" t="s">
        <v>678</v>
      </c>
      <c r="K628" t="s">
        <v>678</v>
      </c>
      <c r="L628" t="s">
        <v>678</v>
      </c>
      <c r="M628" t="s">
        <v>1294</v>
      </c>
      <c r="N628" t="b">
        <v>0</v>
      </c>
    </row>
    <row r="629" spans="1:14">
      <c r="A629">
        <v>30</v>
      </c>
      <c r="B629">
        <v>16</v>
      </c>
      <c r="C629" t="s">
        <v>678</v>
      </c>
      <c r="D629" t="s">
        <v>754</v>
      </c>
      <c r="E629" t="s">
        <v>678</v>
      </c>
      <c r="F629">
        <v>0</v>
      </c>
      <c r="G629" t="s">
        <v>678</v>
      </c>
      <c r="H629" t="s">
        <v>678</v>
      </c>
      <c r="I629" t="s">
        <v>678</v>
      </c>
      <c r="J629" t="s">
        <v>678</v>
      </c>
      <c r="K629" t="s">
        <v>678</v>
      </c>
      <c r="L629" t="s">
        <v>678</v>
      </c>
      <c r="M629" t="s">
        <v>1295</v>
      </c>
      <c r="N629" t="b">
        <v>0</v>
      </c>
    </row>
    <row r="630" spans="1:14">
      <c r="A630">
        <v>30</v>
      </c>
      <c r="B630">
        <v>17</v>
      </c>
      <c r="C630" t="s">
        <v>678</v>
      </c>
      <c r="D630" t="s">
        <v>754</v>
      </c>
      <c r="E630" t="s">
        <v>678</v>
      </c>
      <c r="F630">
        <v>0</v>
      </c>
      <c r="G630" t="s">
        <v>678</v>
      </c>
      <c r="H630" t="s">
        <v>678</v>
      </c>
      <c r="I630" t="s">
        <v>678</v>
      </c>
      <c r="J630" t="s">
        <v>678</v>
      </c>
      <c r="K630" t="s">
        <v>678</v>
      </c>
      <c r="L630" t="s">
        <v>678</v>
      </c>
      <c r="M630" t="s">
        <v>714</v>
      </c>
      <c r="N630" t="b">
        <v>0</v>
      </c>
    </row>
    <row r="631" spans="1:14">
      <c r="A631">
        <v>30</v>
      </c>
      <c r="B631">
        <v>18</v>
      </c>
      <c r="C631" t="s">
        <v>678</v>
      </c>
      <c r="D631" t="s">
        <v>754</v>
      </c>
      <c r="E631" t="s">
        <v>678</v>
      </c>
      <c r="F631">
        <v>0</v>
      </c>
      <c r="G631" t="s">
        <v>678</v>
      </c>
      <c r="H631" t="s">
        <v>678</v>
      </c>
      <c r="I631" t="s">
        <v>678</v>
      </c>
      <c r="J631" t="s">
        <v>678</v>
      </c>
      <c r="K631" t="s">
        <v>678</v>
      </c>
      <c r="L631" t="s">
        <v>678</v>
      </c>
      <c r="M631" t="s">
        <v>1296</v>
      </c>
      <c r="N631" t="b">
        <v>0</v>
      </c>
    </row>
    <row r="632" spans="1:14">
      <c r="A632">
        <v>30</v>
      </c>
      <c r="B632">
        <v>19</v>
      </c>
      <c r="C632" t="s">
        <v>678</v>
      </c>
      <c r="D632" t="s">
        <v>754</v>
      </c>
      <c r="E632" t="s">
        <v>678</v>
      </c>
      <c r="F632">
        <v>0</v>
      </c>
      <c r="G632" t="s">
        <v>678</v>
      </c>
      <c r="H632" t="s">
        <v>678</v>
      </c>
      <c r="I632" t="s">
        <v>678</v>
      </c>
      <c r="J632" t="s">
        <v>678</v>
      </c>
      <c r="K632" t="s">
        <v>678</v>
      </c>
      <c r="L632" t="s">
        <v>678</v>
      </c>
      <c r="M632" t="s">
        <v>1297</v>
      </c>
      <c r="N632" t="b">
        <v>0</v>
      </c>
    </row>
    <row r="633" spans="1:14">
      <c r="A633">
        <v>30</v>
      </c>
      <c r="B633">
        <v>20</v>
      </c>
      <c r="C633" t="s">
        <v>678</v>
      </c>
      <c r="D633" t="s">
        <v>754</v>
      </c>
      <c r="E633" t="s">
        <v>678</v>
      </c>
      <c r="F633">
        <v>0</v>
      </c>
      <c r="G633" t="s">
        <v>678</v>
      </c>
      <c r="H633" t="s">
        <v>678</v>
      </c>
      <c r="I633" t="s">
        <v>678</v>
      </c>
      <c r="J633" t="s">
        <v>678</v>
      </c>
      <c r="K633" t="s">
        <v>678</v>
      </c>
      <c r="L633" t="s">
        <v>678</v>
      </c>
      <c r="M633" t="s">
        <v>1298</v>
      </c>
      <c r="N633" t="b">
        <v>0</v>
      </c>
    </row>
    <row r="634" spans="1:14">
      <c r="A634">
        <v>30</v>
      </c>
      <c r="B634">
        <v>21</v>
      </c>
      <c r="C634" t="s">
        <v>678</v>
      </c>
      <c r="D634" t="s">
        <v>754</v>
      </c>
      <c r="E634" t="s">
        <v>678</v>
      </c>
      <c r="F634">
        <v>0</v>
      </c>
      <c r="G634" t="s">
        <v>678</v>
      </c>
      <c r="H634" t="s">
        <v>678</v>
      </c>
      <c r="I634" t="s">
        <v>678</v>
      </c>
      <c r="J634" t="s">
        <v>678</v>
      </c>
      <c r="K634" t="s">
        <v>678</v>
      </c>
      <c r="L634" t="s">
        <v>678</v>
      </c>
      <c r="M634" t="s">
        <v>1299</v>
      </c>
      <c r="N634" t="b">
        <v>0</v>
      </c>
    </row>
    <row r="635" spans="1:14">
      <c r="A635">
        <v>30</v>
      </c>
      <c r="B635">
        <v>22</v>
      </c>
      <c r="C635" t="s">
        <v>678</v>
      </c>
      <c r="D635" t="s">
        <v>754</v>
      </c>
      <c r="E635" t="s">
        <v>678</v>
      </c>
      <c r="F635">
        <v>0</v>
      </c>
      <c r="G635" t="s">
        <v>678</v>
      </c>
      <c r="H635" t="s">
        <v>678</v>
      </c>
      <c r="I635" t="s">
        <v>678</v>
      </c>
      <c r="J635" t="s">
        <v>678</v>
      </c>
      <c r="K635" t="s">
        <v>678</v>
      </c>
      <c r="L635" t="s">
        <v>678</v>
      </c>
      <c r="M635" t="s">
        <v>1300</v>
      </c>
      <c r="N635" t="b">
        <v>0</v>
      </c>
    </row>
    <row r="636" spans="1:14">
      <c r="A636">
        <v>30</v>
      </c>
      <c r="B636">
        <v>23</v>
      </c>
      <c r="C636" t="s">
        <v>678</v>
      </c>
      <c r="D636" t="s">
        <v>754</v>
      </c>
      <c r="E636" t="s">
        <v>678</v>
      </c>
      <c r="F636">
        <v>0</v>
      </c>
      <c r="G636" t="s">
        <v>678</v>
      </c>
      <c r="H636" t="s">
        <v>678</v>
      </c>
      <c r="I636" t="s">
        <v>678</v>
      </c>
      <c r="J636" t="s">
        <v>678</v>
      </c>
      <c r="K636" t="s">
        <v>678</v>
      </c>
      <c r="L636" t="s">
        <v>678</v>
      </c>
      <c r="M636" t="s">
        <v>1301</v>
      </c>
      <c r="N636" t="b">
        <v>0</v>
      </c>
    </row>
    <row r="637" spans="1:14">
      <c r="A637">
        <v>30</v>
      </c>
      <c r="B637">
        <v>24</v>
      </c>
      <c r="C637" t="s">
        <v>678</v>
      </c>
      <c r="D637" t="s">
        <v>754</v>
      </c>
      <c r="E637" t="s">
        <v>678</v>
      </c>
      <c r="F637">
        <v>0</v>
      </c>
      <c r="G637" t="s">
        <v>678</v>
      </c>
      <c r="H637" t="s">
        <v>678</v>
      </c>
      <c r="I637" t="s">
        <v>678</v>
      </c>
      <c r="J637" t="s">
        <v>678</v>
      </c>
      <c r="K637" t="s">
        <v>678</v>
      </c>
      <c r="L637" t="s">
        <v>678</v>
      </c>
      <c r="M637" t="s">
        <v>1302</v>
      </c>
      <c r="N637" t="b">
        <v>0</v>
      </c>
    </row>
    <row r="638" spans="1:14">
      <c r="A638">
        <v>30</v>
      </c>
      <c r="B638">
        <v>25</v>
      </c>
      <c r="C638" t="s">
        <v>678</v>
      </c>
      <c r="D638" t="s">
        <v>754</v>
      </c>
      <c r="E638" t="s">
        <v>678</v>
      </c>
      <c r="F638">
        <v>0</v>
      </c>
      <c r="G638" t="s">
        <v>678</v>
      </c>
      <c r="H638" t="s">
        <v>678</v>
      </c>
      <c r="I638" t="s">
        <v>678</v>
      </c>
      <c r="J638" t="s">
        <v>678</v>
      </c>
      <c r="K638" t="s">
        <v>678</v>
      </c>
      <c r="L638" t="s">
        <v>678</v>
      </c>
      <c r="M638" t="s">
        <v>1303</v>
      </c>
      <c r="N638" t="b">
        <v>0</v>
      </c>
    </row>
    <row r="639" spans="1:14">
      <c r="A639">
        <v>30</v>
      </c>
      <c r="B639">
        <v>26</v>
      </c>
      <c r="C639" t="s">
        <v>678</v>
      </c>
      <c r="D639" t="s">
        <v>754</v>
      </c>
      <c r="E639" t="s">
        <v>678</v>
      </c>
      <c r="F639">
        <v>0</v>
      </c>
      <c r="G639" t="s">
        <v>678</v>
      </c>
      <c r="H639" t="s">
        <v>678</v>
      </c>
      <c r="I639" t="s">
        <v>678</v>
      </c>
      <c r="J639" t="s">
        <v>678</v>
      </c>
      <c r="K639" t="s">
        <v>678</v>
      </c>
      <c r="L639" t="s">
        <v>678</v>
      </c>
      <c r="M639" t="s">
        <v>1304</v>
      </c>
      <c r="N639" t="b">
        <v>0</v>
      </c>
    </row>
    <row r="640" spans="1:14">
      <c r="A640">
        <v>34</v>
      </c>
      <c r="B640">
        <v>0</v>
      </c>
      <c r="C640" t="s">
        <v>195</v>
      </c>
      <c r="D640" t="s">
        <v>737</v>
      </c>
      <c r="E640" t="s">
        <v>67</v>
      </c>
      <c r="F640">
        <v>50</v>
      </c>
      <c r="G640" t="s">
        <v>678</v>
      </c>
      <c r="H640" t="s">
        <v>678</v>
      </c>
      <c r="I640" t="s">
        <v>67</v>
      </c>
      <c r="J640" t="s">
        <v>678</v>
      </c>
      <c r="K640" t="s">
        <v>678</v>
      </c>
      <c r="L640" t="s">
        <v>678</v>
      </c>
      <c r="M640" t="s">
        <v>1305</v>
      </c>
      <c r="N640" t="b">
        <v>0</v>
      </c>
    </row>
    <row r="641" spans="1:14">
      <c r="A641">
        <v>34</v>
      </c>
      <c r="B641">
        <v>1</v>
      </c>
      <c r="C641" t="s">
        <v>167</v>
      </c>
      <c r="D641" t="s">
        <v>737</v>
      </c>
      <c r="E641" t="s">
        <v>85</v>
      </c>
      <c r="F641">
        <v>40</v>
      </c>
      <c r="G641" t="s">
        <v>678</v>
      </c>
      <c r="H641" t="s">
        <v>678</v>
      </c>
      <c r="I641" t="s">
        <v>85</v>
      </c>
      <c r="J641" t="s">
        <v>678</v>
      </c>
      <c r="K641" t="s">
        <v>678</v>
      </c>
      <c r="L641" t="s">
        <v>678</v>
      </c>
      <c r="M641" t="s">
        <v>1306</v>
      </c>
      <c r="N641" t="b">
        <v>0</v>
      </c>
    </row>
    <row r="642" spans="1:14">
      <c r="A642">
        <v>34</v>
      </c>
      <c r="B642">
        <v>2</v>
      </c>
      <c r="C642" t="s">
        <v>196</v>
      </c>
      <c r="D642" t="s">
        <v>737</v>
      </c>
      <c r="E642" t="s">
        <v>97</v>
      </c>
      <c r="F642">
        <v>50</v>
      </c>
      <c r="G642" t="s">
        <v>678</v>
      </c>
      <c r="H642" t="s">
        <v>678</v>
      </c>
      <c r="I642" t="s">
        <v>97</v>
      </c>
      <c r="J642" t="s">
        <v>678</v>
      </c>
      <c r="K642" t="s">
        <v>678</v>
      </c>
      <c r="L642" t="s">
        <v>678</v>
      </c>
      <c r="M642" t="s">
        <v>1307</v>
      </c>
      <c r="N642" t="b">
        <v>0</v>
      </c>
    </row>
    <row r="643" spans="1:14">
      <c r="A643">
        <v>34</v>
      </c>
      <c r="B643">
        <v>3</v>
      </c>
      <c r="C643" t="s">
        <v>261</v>
      </c>
      <c r="D643" t="s">
        <v>737</v>
      </c>
      <c r="E643" t="s">
        <v>103</v>
      </c>
      <c r="F643">
        <v>40</v>
      </c>
      <c r="G643" t="s">
        <v>678</v>
      </c>
      <c r="H643" t="s">
        <v>678</v>
      </c>
      <c r="I643" t="s">
        <v>103</v>
      </c>
      <c r="J643" t="s">
        <v>678</v>
      </c>
      <c r="K643" t="s">
        <v>678</v>
      </c>
      <c r="L643" t="s">
        <v>678</v>
      </c>
      <c r="M643" t="s">
        <v>1308</v>
      </c>
      <c r="N643" t="b">
        <v>0</v>
      </c>
    </row>
    <row r="644" spans="1:14">
      <c r="A644">
        <v>34</v>
      </c>
      <c r="B644">
        <v>4</v>
      </c>
      <c r="C644" t="s">
        <v>198</v>
      </c>
      <c r="D644" t="s">
        <v>737</v>
      </c>
      <c r="E644" t="s">
        <v>105</v>
      </c>
      <c r="F644">
        <v>50</v>
      </c>
      <c r="G644" t="s">
        <v>678</v>
      </c>
      <c r="H644" t="s">
        <v>678</v>
      </c>
      <c r="I644" t="s">
        <v>105</v>
      </c>
      <c r="J644" t="s">
        <v>678</v>
      </c>
      <c r="K644" t="s">
        <v>678</v>
      </c>
      <c r="L644" t="s">
        <v>678</v>
      </c>
      <c r="M644" t="s">
        <v>1309</v>
      </c>
      <c r="N644" t="b">
        <v>0</v>
      </c>
    </row>
    <row r="645" spans="1:14">
      <c r="A645">
        <v>34</v>
      </c>
      <c r="B645">
        <v>5</v>
      </c>
      <c r="C645" t="s">
        <v>326</v>
      </c>
      <c r="D645" t="s">
        <v>766</v>
      </c>
      <c r="E645" t="s">
        <v>308</v>
      </c>
      <c r="F645">
        <v>30</v>
      </c>
      <c r="G645" t="s">
        <v>773</v>
      </c>
      <c r="H645" t="s">
        <v>678</v>
      </c>
      <c r="I645" t="s">
        <v>678</v>
      </c>
      <c r="J645" t="s">
        <v>774</v>
      </c>
      <c r="K645" t="s">
        <v>775</v>
      </c>
      <c r="L645" t="s">
        <v>776</v>
      </c>
      <c r="M645" t="s">
        <v>1310</v>
      </c>
      <c r="N645" t="b">
        <v>0</v>
      </c>
    </row>
    <row r="646" spans="1:14">
      <c r="A646">
        <v>34</v>
      </c>
      <c r="B646">
        <v>6</v>
      </c>
      <c r="C646" t="s">
        <v>199</v>
      </c>
      <c r="D646" t="s">
        <v>737</v>
      </c>
      <c r="E646" t="s">
        <v>113</v>
      </c>
      <c r="F646">
        <v>30</v>
      </c>
      <c r="G646" t="s">
        <v>678</v>
      </c>
      <c r="H646" t="s">
        <v>678</v>
      </c>
      <c r="I646" t="s">
        <v>113</v>
      </c>
      <c r="J646" t="s">
        <v>678</v>
      </c>
      <c r="K646" t="s">
        <v>678</v>
      </c>
      <c r="L646" t="s">
        <v>678</v>
      </c>
      <c r="M646" t="s">
        <v>1311</v>
      </c>
      <c r="N646" t="b">
        <v>0</v>
      </c>
    </row>
    <row r="647" spans="1:14">
      <c r="A647">
        <v>34</v>
      </c>
      <c r="B647">
        <v>7</v>
      </c>
      <c r="C647" t="s">
        <v>327</v>
      </c>
      <c r="D647" t="s">
        <v>737</v>
      </c>
      <c r="E647" t="s">
        <v>117</v>
      </c>
      <c r="F647">
        <v>30</v>
      </c>
      <c r="G647" t="s">
        <v>678</v>
      </c>
      <c r="H647" t="s">
        <v>678</v>
      </c>
      <c r="I647" t="s">
        <v>117</v>
      </c>
      <c r="J647" t="s">
        <v>678</v>
      </c>
      <c r="K647" t="s">
        <v>678</v>
      </c>
      <c r="L647" t="s">
        <v>678</v>
      </c>
      <c r="M647" t="s">
        <v>1312</v>
      </c>
      <c r="N647" t="b">
        <v>0</v>
      </c>
    </row>
    <row r="648" spans="1:14">
      <c r="A648">
        <v>34</v>
      </c>
      <c r="B648">
        <v>8</v>
      </c>
      <c r="C648" t="s">
        <v>328</v>
      </c>
      <c r="D648" t="s">
        <v>737</v>
      </c>
      <c r="E648" t="s">
        <v>119</v>
      </c>
      <c r="F648">
        <v>30</v>
      </c>
      <c r="G648" t="s">
        <v>678</v>
      </c>
      <c r="H648" t="s">
        <v>678</v>
      </c>
      <c r="I648" t="s">
        <v>119</v>
      </c>
      <c r="J648" t="s">
        <v>678</v>
      </c>
      <c r="K648" t="s">
        <v>678</v>
      </c>
      <c r="L648" t="s">
        <v>678</v>
      </c>
      <c r="M648" t="s">
        <v>1313</v>
      </c>
      <c r="N648" t="b">
        <v>0</v>
      </c>
    </row>
    <row r="649" spans="1:14">
      <c r="A649">
        <v>34</v>
      </c>
      <c r="B649">
        <v>9</v>
      </c>
      <c r="C649" t="s">
        <v>201</v>
      </c>
      <c r="D649" t="s">
        <v>737</v>
      </c>
      <c r="E649" t="s">
        <v>64</v>
      </c>
      <c r="F649">
        <v>30</v>
      </c>
      <c r="G649" t="s">
        <v>678</v>
      </c>
      <c r="H649" t="s">
        <v>678</v>
      </c>
      <c r="I649" t="s">
        <v>64</v>
      </c>
      <c r="J649" t="s">
        <v>678</v>
      </c>
      <c r="K649" t="s">
        <v>678</v>
      </c>
      <c r="L649" t="s">
        <v>678</v>
      </c>
      <c r="M649" t="s">
        <v>1314</v>
      </c>
      <c r="N649" t="b">
        <v>0</v>
      </c>
    </row>
    <row r="650" spans="1:14">
      <c r="A650">
        <v>34</v>
      </c>
      <c r="B650">
        <v>10</v>
      </c>
      <c r="C650" t="s">
        <v>329</v>
      </c>
      <c r="D650" t="s">
        <v>737</v>
      </c>
      <c r="E650" t="s">
        <v>342</v>
      </c>
      <c r="F650">
        <v>30</v>
      </c>
      <c r="G650" t="s">
        <v>678</v>
      </c>
      <c r="H650" t="s">
        <v>559</v>
      </c>
      <c r="I650" t="s">
        <v>456</v>
      </c>
      <c r="J650" t="s">
        <v>678</v>
      </c>
      <c r="K650" t="s">
        <v>934</v>
      </c>
      <c r="L650" t="s">
        <v>935</v>
      </c>
      <c r="M650" t="s">
        <v>1315</v>
      </c>
      <c r="N650" t="b">
        <v>0</v>
      </c>
    </row>
    <row r="651" spans="1:14">
      <c r="A651">
        <v>34</v>
      </c>
      <c r="B651">
        <v>11</v>
      </c>
      <c r="C651" t="s">
        <v>172</v>
      </c>
      <c r="D651" t="s">
        <v>737</v>
      </c>
      <c r="E651" t="s">
        <v>80</v>
      </c>
      <c r="F651">
        <v>40</v>
      </c>
      <c r="G651" t="s">
        <v>678</v>
      </c>
      <c r="H651" t="s">
        <v>678</v>
      </c>
      <c r="I651" t="s">
        <v>80</v>
      </c>
      <c r="J651" t="s">
        <v>678</v>
      </c>
      <c r="K651" t="s">
        <v>678</v>
      </c>
      <c r="L651" t="s">
        <v>678</v>
      </c>
      <c r="M651" t="s">
        <v>1316</v>
      </c>
      <c r="N651" t="b">
        <v>0</v>
      </c>
    </row>
    <row r="652" spans="1:14">
      <c r="A652">
        <v>34</v>
      </c>
      <c r="B652">
        <v>12</v>
      </c>
      <c r="C652" t="s">
        <v>330</v>
      </c>
      <c r="D652" t="s">
        <v>737</v>
      </c>
      <c r="E652" t="s">
        <v>86</v>
      </c>
      <c r="F652">
        <v>30</v>
      </c>
      <c r="G652" t="s">
        <v>678</v>
      </c>
      <c r="H652" t="s">
        <v>678</v>
      </c>
      <c r="I652" t="s">
        <v>86</v>
      </c>
      <c r="J652" t="s">
        <v>678</v>
      </c>
      <c r="K652" t="s">
        <v>678</v>
      </c>
      <c r="L652" t="s">
        <v>678</v>
      </c>
      <c r="M652" t="s">
        <v>1317</v>
      </c>
      <c r="N652" t="b">
        <v>0</v>
      </c>
    </row>
    <row r="653" spans="1:14">
      <c r="A653">
        <v>34</v>
      </c>
      <c r="B653">
        <v>13</v>
      </c>
      <c r="C653" t="s">
        <v>203</v>
      </c>
      <c r="D653" t="s">
        <v>737</v>
      </c>
      <c r="E653" t="s">
        <v>102</v>
      </c>
      <c r="F653">
        <v>50</v>
      </c>
      <c r="G653" t="s">
        <v>678</v>
      </c>
      <c r="H653" t="s">
        <v>678</v>
      </c>
      <c r="I653" t="s">
        <v>102</v>
      </c>
      <c r="J653" t="s">
        <v>678</v>
      </c>
      <c r="K653" t="s">
        <v>678</v>
      </c>
      <c r="L653" t="s">
        <v>678</v>
      </c>
      <c r="M653" t="s">
        <v>1318</v>
      </c>
      <c r="N653" t="b">
        <v>0</v>
      </c>
    </row>
    <row r="654" spans="1:14">
      <c r="A654">
        <v>34</v>
      </c>
      <c r="B654">
        <v>14</v>
      </c>
      <c r="C654" t="s">
        <v>331</v>
      </c>
      <c r="D654" t="s">
        <v>737</v>
      </c>
      <c r="E654" t="s">
        <v>110</v>
      </c>
      <c r="F654">
        <v>30</v>
      </c>
      <c r="G654" t="s">
        <v>678</v>
      </c>
      <c r="H654" t="s">
        <v>678</v>
      </c>
      <c r="I654" t="s">
        <v>110</v>
      </c>
      <c r="J654" t="s">
        <v>678</v>
      </c>
      <c r="K654" t="s">
        <v>678</v>
      </c>
      <c r="L654" t="s">
        <v>678</v>
      </c>
      <c r="M654" t="s">
        <v>1319</v>
      </c>
      <c r="N654" t="b">
        <v>0</v>
      </c>
    </row>
    <row r="655" spans="1:14">
      <c r="A655">
        <v>34</v>
      </c>
      <c r="B655">
        <v>15</v>
      </c>
      <c r="C655" t="s">
        <v>204</v>
      </c>
      <c r="D655" t="s">
        <v>737</v>
      </c>
      <c r="E655" t="s">
        <v>112</v>
      </c>
      <c r="F655">
        <v>60</v>
      </c>
      <c r="G655" t="s">
        <v>678</v>
      </c>
      <c r="H655" t="s">
        <v>678</v>
      </c>
      <c r="I655" t="s">
        <v>112</v>
      </c>
      <c r="J655" t="s">
        <v>678</v>
      </c>
      <c r="K655" t="s">
        <v>678</v>
      </c>
      <c r="L655" t="s">
        <v>678</v>
      </c>
      <c r="M655" t="s">
        <v>1320</v>
      </c>
      <c r="N655" t="b">
        <v>0</v>
      </c>
    </row>
    <row r="656" spans="1:14">
      <c r="A656">
        <v>34</v>
      </c>
      <c r="B656">
        <v>16</v>
      </c>
      <c r="C656" t="s">
        <v>678</v>
      </c>
      <c r="D656" t="s">
        <v>754</v>
      </c>
      <c r="E656" t="s">
        <v>678</v>
      </c>
      <c r="F656">
        <v>0</v>
      </c>
      <c r="G656" t="s">
        <v>678</v>
      </c>
      <c r="H656" t="s">
        <v>678</v>
      </c>
      <c r="I656" t="s">
        <v>678</v>
      </c>
      <c r="J656" t="s">
        <v>678</v>
      </c>
      <c r="K656" t="s">
        <v>678</v>
      </c>
      <c r="L656" t="s">
        <v>678</v>
      </c>
      <c r="M656" t="s">
        <v>1321</v>
      </c>
      <c r="N656" t="b">
        <v>0</v>
      </c>
    </row>
    <row r="657" spans="1:14">
      <c r="A657">
        <v>34</v>
      </c>
      <c r="B657">
        <v>17</v>
      </c>
      <c r="C657" t="s">
        <v>678</v>
      </c>
      <c r="D657" t="s">
        <v>754</v>
      </c>
      <c r="E657" t="s">
        <v>678</v>
      </c>
      <c r="F657">
        <v>0</v>
      </c>
      <c r="G657" t="s">
        <v>678</v>
      </c>
      <c r="H657" t="s">
        <v>678</v>
      </c>
      <c r="I657" t="s">
        <v>678</v>
      </c>
      <c r="J657" t="s">
        <v>678</v>
      </c>
      <c r="K657" t="s">
        <v>678</v>
      </c>
      <c r="L657" t="s">
        <v>678</v>
      </c>
      <c r="M657" t="s">
        <v>722</v>
      </c>
      <c r="N657" t="b">
        <v>0</v>
      </c>
    </row>
    <row r="658" spans="1:14">
      <c r="A658">
        <v>34</v>
      </c>
      <c r="B658">
        <v>18</v>
      </c>
      <c r="C658" t="s">
        <v>678</v>
      </c>
      <c r="D658" t="s">
        <v>754</v>
      </c>
      <c r="E658" t="s">
        <v>678</v>
      </c>
      <c r="F658">
        <v>0</v>
      </c>
      <c r="G658" t="s">
        <v>678</v>
      </c>
      <c r="H658" t="s">
        <v>678</v>
      </c>
      <c r="I658" t="s">
        <v>678</v>
      </c>
      <c r="J658" t="s">
        <v>678</v>
      </c>
      <c r="K658" t="s">
        <v>678</v>
      </c>
      <c r="L658" t="s">
        <v>678</v>
      </c>
      <c r="M658" t="s">
        <v>1322</v>
      </c>
      <c r="N658" t="b">
        <v>0</v>
      </c>
    </row>
    <row r="659" spans="1:14">
      <c r="A659">
        <v>34</v>
      </c>
      <c r="B659">
        <v>19</v>
      </c>
      <c r="C659" t="s">
        <v>678</v>
      </c>
      <c r="D659" t="s">
        <v>754</v>
      </c>
      <c r="E659" t="s">
        <v>678</v>
      </c>
      <c r="F659">
        <v>0</v>
      </c>
      <c r="G659" t="s">
        <v>678</v>
      </c>
      <c r="H659" t="s">
        <v>678</v>
      </c>
      <c r="I659" t="s">
        <v>678</v>
      </c>
      <c r="J659" t="s">
        <v>678</v>
      </c>
      <c r="K659" t="s">
        <v>678</v>
      </c>
      <c r="L659" t="s">
        <v>678</v>
      </c>
      <c r="M659" t="s">
        <v>1323</v>
      </c>
      <c r="N659" t="b">
        <v>0</v>
      </c>
    </row>
    <row r="660" spans="1:14">
      <c r="A660">
        <v>34</v>
      </c>
      <c r="B660">
        <v>20</v>
      </c>
      <c r="C660" t="s">
        <v>678</v>
      </c>
      <c r="D660" t="s">
        <v>754</v>
      </c>
      <c r="E660" t="s">
        <v>678</v>
      </c>
      <c r="F660">
        <v>0</v>
      </c>
      <c r="G660" t="s">
        <v>678</v>
      </c>
      <c r="H660" t="s">
        <v>678</v>
      </c>
      <c r="I660" t="s">
        <v>678</v>
      </c>
      <c r="J660" t="s">
        <v>678</v>
      </c>
      <c r="K660" t="s">
        <v>678</v>
      </c>
      <c r="L660" t="s">
        <v>678</v>
      </c>
      <c r="M660" t="s">
        <v>1324</v>
      </c>
      <c r="N660" t="b">
        <v>0</v>
      </c>
    </row>
    <row r="661" spans="1:14">
      <c r="A661">
        <v>34</v>
      </c>
      <c r="B661">
        <v>21</v>
      </c>
      <c r="C661" t="s">
        <v>678</v>
      </c>
      <c r="D661" t="s">
        <v>754</v>
      </c>
      <c r="E661" t="s">
        <v>678</v>
      </c>
      <c r="F661">
        <v>0</v>
      </c>
      <c r="G661" t="s">
        <v>678</v>
      </c>
      <c r="H661" t="s">
        <v>678</v>
      </c>
      <c r="I661" t="s">
        <v>678</v>
      </c>
      <c r="J661" t="s">
        <v>678</v>
      </c>
      <c r="K661" t="s">
        <v>678</v>
      </c>
      <c r="L661" t="s">
        <v>678</v>
      </c>
      <c r="M661" t="s">
        <v>1325</v>
      </c>
      <c r="N661" t="b">
        <v>0</v>
      </c>
    </row>
    <row r="662" spans="1:14">
      <c r="A662">
        <v>34</v>
      </c>
      <c r="B662">
        <v>22</v>
      </c>
      <c r="C662" t="s">
        <v>678</v>
      </c>
      <c r="D662" t="s">
        <v>754</v>
      </c>
      <c r="E662" t="s">
        <v>678</v>
      </c>
      <c r="F662">
        <v>0</v>
      </c>
      <c r="G662" t="s">
        <v>678</v>
      </c>
      <c r="H662" t="s">
        <v>678</v>
      </c>
      <c r="I662" t="s">
        <v>678</v>
      </c>
      <c r="J662" t="s">
        <v>678</v>
      </c>
      <c r="K662" t="s">
        <v>678</v>
      </c>
      <c r="L662" t="s">
        <v>678</v>
      </c>
      <c r="M662" t="s">
        <v>1326</v>
      </c>
      <c r="N662" t="b">
        <v>0</v>
      </c>
    </row>
    <row r="663" spans="1:14">
      <c r="A663">
        <v>34</v>
      </c>
      <c r="B663">
        <v>23</v>
      </c>
      <c r="C663" t="s">
        <v>678</v>
      </c>
      <c r="D663" t="s">
        <v>754</v>
      </c>
      <c r="E663" t="s">
        <v>678</v>
      </c>
      <c r="F663">
        <v>0</v>
      </c>
      <c r="G663" t="s">
        <v>678</v>
      </c>
      <c r="H663" t="s">
        <v>678</v>
      </c>
      <c r="I663" t="s">
        <v>678</v>
      </c>
      <c r="J663" t="s">
        <v>678</v>
      </c>
      <c r="K663" t="s">
        <v>678</v>
      </c>
      <c r="L663" t="s">
        <v>678</v>
      </c>
      <c r="M663" t="s">
        <v>1327</v>
      </c>
      <c r="N663" t="b">
        <v>0</v>
      </c>
    </row>
    <row r="664" spans="1:14">
      <c r="A664">
        <v>34</v>
      </c>
      <c r="B664">
        <v>24</v>
      </c>
      <c r="C664" t="s">
        <v>678</v>
      </c>
      <c r="D664" t="s">
        <v>754</v>
      </c>
      <c r="E664" t="s">
        <v>678</v>
      </c>
      <c r="F664">
        <v>0</v>
      </c>
      <c r="G664" t="s">
        <v>678</v>
      </c>
      <c r="H664" t="s">
        <v>678</v>
      </c>
      <c r="I664" t="s">
        <v>678</v>
      </c>
      <c r="J664" t="s">
        <v>678</v>
      </c>
      <c r="K664" t="s">
        <v>678</v>
      </c>
      <c r="L664" t="s">
        <v>678</v>
      </c>
      <c r="M664" t="s">
        <v>1328</v>
      </c>
      <c r="N664" t="b">
        <v>0</v>
      </c>
    </row>
    <row r="665" spans="1:14">
      <c r="A665">
        <v>34</v>
      </c>
      <c r="B665">
        <v>25</v>
      </c>
      <c r="C665" t="s">
        <v>678</v>
      </c>
      <c r="D665" t="s">
        <v>754</v>
      </c>
      <c r="E665" t="s">
        <v>678</v>
      </c>
      <c r="F665">
        <v>0</v>
      </c>
      <c r="G665" t="s">
        <v>678</v>
      </c>
      <c r="H665" t="s">
        <v>678</v>
      </c>
      <c r="I665" t="s">
        <v>678</v>
      </c>
      <c r="J665" t="s">
        <v>678</v>
      </c>
      <c r="K665" t="s">
        <v>678</v>
      </c>
      <c r="L665" t="s">
        <v>678</v>
      </c>
      <c r="M665" t="s">
        <v>1329</v>
      </c>
      <c r="N665" t="b">
        <v>0</v>
      </c>
    </row>
    <row r="666" spans="1:14">
      <c r="A666">
        <v>34</v>
      </c>
      <c r="B666">
        <v>26</v>
      </c>
      <c r="C666" t="s">
        <v>678</v>
      </c>
      <c r="D666" t="s">
        <v>754</v>
      </c>
      <c r="E666" t="s">
        <v>678</v>
      </c>
      <c r="F666">
        <v>0</v>
      </c>
      <c r="G666" t="s">
        <v>678</v>
      </c>
      <c r="H666" t="s">
        <v>678</v>
      </c>
      <c r="I666" t="s">
        <v>678</v>
      </c>
      <c r="J666" t="s">
        <v>678</v>
      </c>
      <c r="K666" t="s">
        <v>678</v>
      </c>
      <c r="L666" t="s">
        <v>678</v>
      </c>
      <c r="M666" t="s">
        <v>1330</v>
      </c>
      <c r="N666" t="b">
        <v>0</v>
      </c>
    </row>
    <row r="667" spans="1:14">
      <c r="A667">
        <v>37</v>
      </c>
      <c r="B667">
        <v>0</v>
      </c>
      <c r="C667" t="s">
        <v>195</v>
      </c>
      <c r="D667" t="s">
        <v>737</v>
      </c>
      <c r="E667" t="s">
        <v>67</v>
      </c>
      <c r="F667">
        <v>50</v>
      </c>
      <c r="G667" t="s">
        <v>678</v>
      </c>
      <c r="H667" t="s">
        <v>678</v>
      </c>
      <c r="I667" t="s">
        <v>67</v>
      </c>
      <c r="J667" t="s">
        <v>678</v>
      </c>
      <c r="K667" t="s">
        <v>678</v>
      </c>
      <c r="L667" t="s">
        <v>678</v>
      </c>
      <c r="M667" t="s">
        <v>1331</v>
      </c>
      <c r="N667" t="b">
        <v>0</v>
      </c>
    </row>
    <row r="668" spans="1:14">
      <c r="A668">
        <v>37</v>
      </c>
      <c r="B668">
        <v>1</v>
      </c>
      <c r="C668" t="s">
        <v>167</v>
      </c>
      <c r="D668" t="s">
        <v>737</v>
      </c>
      <c r="E668" t="s">
        <v>85</v>
      </c>
      <c r="F668">
        <v>40</v>
      </c>
      <c r="G668" t="s">
        <v>678</v>
      </c>
      <c r="H668" t="s">
        <v>678</v>
      </c>
      <c r="I668" t="s">
        <v>85</v>
      </c>
      <c r="J668" t="s">
        <v>678</v>
      </c>
      <c r="K668" t="s">
        <v>678</v>
      </c>
      <c r="L668" t="s">
        <v>678</v>
      </c>
      <c r="M668" t="s">
        <v>1332</v>
      </c>
      <c r="N668" t="b">
        <v>0</v>
      </c>
    </row>
    <row r="669" spans="1:14">
      <c r="A669">
        <v>37</v>
      </c>
      <c r="B669">
        <v>2</v>
      </c>
      <c r="C669" t="s">
        <v>196</v>
      </c>
      <c r="D669" t="s">
        <v>737</v>
      </c>
      <c r="E669" t="s">
        <v>97</v>
      </c>
      <c r="F669">
        <v>50</v>
      </c>
      <c r="G669" t="s">
        <v>678</v>
      </c>
      <c r="H669" t="s">
        <v>678</v>
      </c>
      <c r="I669" t="s">
        <v>97</v>
      </c>
      <c r="J669" t="s">
        <v>678</v>
      </c>
      <c r="K669" t="s">
        <v>678</v>
      </c>
      <c r="L669" t="s">
        <v>678</v>
      </c>
      <c r="M669" t="s">
        <v>1333</v>
      </c>
      <c r="N669" t="b">
        <v>0</v>
      </c>
    </row>
    <row r="670" spans="1:14">
      <c r="A670">
        <v>37</v>
      </c>
      <c r="B670">
        <v>3</v>
      </c>
      <c r="C670" t="s">
        <v>316</v>
      </c>
      <c r="D670" t="s">
        <v>737</v>
      </c>
      <c r="E670" t="s">
        <v>101</v>
      </c>
      <c r="F670">
        <v>50</v>
      </c>
      <c r="G670" t="s">
        <v>678</v>
      </c>
      <c r="H670" t="s">
        <v>678</v>
      </c>
      <c r="I670" t="s">
        <v>101</v>
      </c>
      <c r="J670" t="s">
        <v>678</v>
      </c>
      <c r="K670" t="s">
        <v>678</v>
      </c>
      <c r="L670" t="s">
        <v>678</v>
      </c>
      <c r="M670" t="s">
        <v>1334</v>
      </c>
      <c r="N670" t="b">
        <v>0</v>
      </c>
    </row>
    <row r="671" spans="1:14">
      <c r="A671">
        <v>37</v>
      </c>
      <c r="B671">
        <v>4</v>
      </c>
      <c r="C671" t="s">
        <v>197</v>
      </c>
      <c r="D671" t="s">
        <v>737</v>
      </c>
      <c r="E671" t="s">
        <v>103</v>
      </c>
      <c r="F671">
        <v>50</v>
      </c>
      <c r="G671" t="s">
        <v>678</v>
      </c>
      <c r="H671" t="s">
        <v>678</v>
      </c>
      <c r="I671" t="s">
        <v>103</v>
      </c>
      <c r="J671" t="s">
        <v>678</v>
      </c>
      <c r="K671" t="s">
        <v>678</v>
      </c>
      <c r="L671" t="s">
        <v>678</v>
      </c>
      <c r="M671" t="s">
        <v>1335</v>
      </c>
      <c r="N671" t="b">
        <v>0</v>
      </c>
    </row>
    <row r="672" spans="1:14">
      <c r="A672">
        <v>37</v>
      </c>
      <c r="B672">
        <v>5</v>
      </c>
      <c r="C672" t="s">
        <v>198</v>
      </c>
      <c r="D672" t="s">
        <v>737</v>
      </c>
      <c r="E672" t="s">
        <v>105</v>
      </c>
      <c r="F672">
        <v>50</v>
      </c>
      <c r="G672" t="s">
        <v>678</v>
      </c>
      <c r="H672" t="s">
        <v>678</v>
      </c>
      <c r="I672" t="s">
        <v>105</v>
      </c>
      <c r="J672" t="s">
        <v>678</v>
      </c>
      <c r="K672" t="s">
        <v>678</v>
      </c>
      <c r="L672" t="s">
        <v>678</v>
      </c>
      <c r="M672" t="s">
        <v>1336</v>
      </c>
      <c r="N672" t="b">
        <v>0</v>
      </c>
    </row>
    <row r="673" spans="1:14">
      <c r="A673">
        <v>37</v>
      </c>
      <c r="B673">
        <v>6</v>
      </c>
      <c r="C673" t="s">
        <v>199</v>
      </c>
      <c r="D673" t="s">
        <v>737</v>
      </c>
      <c r="E673" t="s">
        <v>113</v>
      </c>
      <c r="F673">
        <v>30</v>
      </c>
      <c r="G673" t="s">
        <v>678</v>
      </c>
      <c r="H673" t="s">
        <v>678</v>
      </c>
      <c r="I673" t="s">
        <v>113</v>
      </c>
      <c r="J673" t="s">
        <v>678</v>
      </c>
      <c r="K673" t="s">
        <v>678</v>
      </c>
      <c r="L673" t="s">
        <v>678</v>
      </c>
      <c r="M673" t="s">
        <v>779</v>
      </c>
      <c r="N673" t="b">
        <v>0</v>
      </c>
    </row>
    <row r="674" spans="1:14">
      <c r="A674">
        <v>37</v>
      </c>
      <c r="B674">
        <v>7</v>
      </c>
      <c r="C674" t="s">
        <v>207</v>
      </c>
      <c r="D674" t="s">
        <v>737</v>
      </c>
      <c r="E674" t="s">
        <v>117</v>
      </c>
      <c r="F674">
        <v>50</v>
      </c>
      <c r="G674" t="s">
        <v>678</v>
      </c>
      <c r="H674" t="s">
        <v>678</v>
      </c>
      <c r="I674" t="s">
        <v>117</v>
      </c>
      <c r="J674" t="s">
        <v>678</v>
      </c>
      <c r="K674" t="s">
        <v>678</v>
      </c>
      <c r="L674" t="s">
        <v>678</v>
      </c>
      <c r="M674" t="s">
        <v>1337</v>
      </c>
      <c r="N674" t="b">
        <v>0</v>
      </c>
    </row>
    <row r="675" spans="1:14">
      <c r="A675">
        <v>37</v>
      </c>
      <c r="B675">
        <v>8</v>
      </c>
      <c r="C675" t="s">
        <v>200</v>
      </c>
      <c r="D675" t="s">
        <v>737</v>
      </c>
      <c r="E675" t="s">
        <v>119</v>
      </c>
      <c r="F675">
        <v>60</v>
      </c>
      <c r="G675" t="s">
        <v>678</v>
      </c>
      <c r="H675" t="s">
        <v>678</v>
      </c>
      <c r="I675" t="s">
        <v>119</v>
      </c>
      <c r="J675" t="s">
        <v>678</v>
      </c>
      <c r="K675" t="s">
        <v>678</v>
      </c>
      <c r="L675" t="s">
        <v>678</v>
      </c>
      <c r="M675" t="s">
        <v>1338</v>
      </c>
      <c r="N675" t="b">
        <v>0</v>
      </c>
    </row>
    <row r="676" spans="1:14">
      <c r="A676">
        <v>37</v>
      </c>
      <c r="B676">
        <v>9</v>
      </c>
      <c r="C676" t="s">
        <v>201</v>
      </c>
      <c r="D676" t="s">
        <v>737</v>
      </c>
      <c r="E676" t="s">
        <v>64</v>
      </c>
      <c r="F676">
        <v>30</v>
      </c>
      <c r="G676" t="s">
        <v>678</v>
      </c>
      <c r="H676" t="s">
        <v>678</v>
      </c>
      <c r="I676" t="s">
        <v>64</v>
      </c>
      <c r="J676" t="s">
        <v>678</v>
      </c>
      <c r="K676" t="s">
        <v>678</v>
      </c>
      <c r="L676" t="s">
        <v>678</v>
      </c>
      <c r="M676" t="s">
        <v>1339</v>
      </c>
      <c r="N676" t="b">
        <v>0</v>
      </c>
    </row>
    <row r="677" spans="1:14">
      <c r="A677">
        <v>37</v>
      </c>
      <c r="B677">
        <v>10</v>
      </c>
      <c r="C677" t="s">
        <v>202</v>
      </c>
      <c r="D677" t="s">
        <v>737</v>
      </c>
      <c r="E677" t="s">
        <v>80</v>
      </c>
      <c r="F677">
        <v>50</v>
      </c>
      <c r="G677" t="s">
        <v>678</v>
      </c>
      <c r="H677" t="s">
        <v>678</v>
      </c>
      <c r="I677" t="s">
        <v>80</v>
      </c>
      <c r="J677" t="s">
        <v>678</v>
      </c>
      <c r="K677" t="s">
        <v>678</v>
      </c>
      <c r="L677" t="s">
        <v>678</v>
      </c>
      <c r="M677" t="s">
        <v>1340</v>
      </c>
      <c r="N677" t="b">
        <v>0</v>
      </c>
    </row>
    <row r="678" spans="1:14">
      <c r="A678">
        <v>37</v>
      </c>
      <c r="B678">
        <v>11</v>
      </c>
      <c r="C678" t="s">
        <v>203</v>
      </c>
      <c r="D678" t="s">
        <v>737</v>
      </c>
      <c r="E678" t="s">
        <v>102</v>
      </c>
      <c r="F678">
        <v>50</v>
      </c>
      <c r="G678" t="s">
        <v>678</v>
      </c>
      <c r="H678" t="s">
        <v>678</v>
      </c>
      <c r="I678" t="s">
        <v>102</v>
      </c>
      <c r="J678" t="s">
        <v>678</v>
      </c>
      <c r="K678" t="s">
        <v>678</v>
      </c>
      <c r="L678" t="s">
        <v>678</v>
      </c>
      <c r="M678" t="s">
        <v>1341</v>
      </c>
      <c r="N678" t="b">
        <v>0</v>
      </c>
    </row>
    <row r="679" spans="1:14">
      <c r="A679">
        <v>37</v>
      </c>
      <c r="B679">
        <v>12</v>
      </c>
      <c r="C679" t="s">
        <v>336</v>
      </c>
      <c r="D679" t="s">
        <v>737</v>
      </c>
      <c r="E679" t="s">
        <v>106</v>
      </c>
      <c r="F679">
        <v>40</v>
      </c>
      <c r="G679" t="s">
        <v>678</v>
      </c>
      <c r="H679" t="s">
        <v>678</v>
      </c>
      <c r="I679" t="s">
        <v>106</v>
      </c>
      <c r="J679" t="s">
        <v>678</v>
      </c>
      <c r="K679" t="s">
        <v>678</v>
      </c>
      <c r="L679" t="s">
        <v>678</v>
      </c>
      <c r="M679" t="s">
        <v>1342</v>
      </c>
      <c r="N679" t="b">
        <v>0</v>
      </c>
    </row>
    <row r="680" spans="1:14">
      <c r="A680">
        <v>37</v>
      </c>
      <c r="B680">
        <v>13</v>
      </c>
      <c r="C680" t="s">
        <v>204</v>
      </c>
      <c r="D680" t="s">
        <v>737</v>
      </c>
      <c r="E680" t="s">
        <v>112</v>
      </c>
      <c r="F680">
        <v>60</v>
      </c>
      <c r="G680" t="s">
        <v>678</v>
      </c>
      <c r="H680" t="s">
        <v>678</v>
      </c>
      <c r="I680" t="s">
        <v>112</v>
      </c>
      <c r="J680" t="s">
        <v>678</v>
      </c>
      <c r="K680" t="s">
        <v>678</v>
      </c>
      <c r="L680" t="s">
        <v>678</v>
      </c>
      <c r="M680" t="s">
        <v>1343</v>
      </c>
      <c r="N680" t="b">
        <v>0</v>
      </c>
    </row>
    <row r="681" spans="1:14">
      <c r="A681">
        <v>37</v>
      </c>
      <c r="B681">
        <v>14</v>
      </c>
      <c r="C681" t="s">
        <v>678</v>
      </c>
      <c r="D681" t="s">
        <v>737</v>
      </c>
      <c r="E681" t="s">
        <v>678</v>
      </c>
      <c r="F681">
        <v>0</v>
      </c>
      <c r="G681" t="s">
        <v>678</v>
      </c>
      <c r="H681" t="s">
        <v>678</v>
      </c>
      <c r="I681" t="s">
        <v>678</v>
      </c>
      <c r="J681" t="s">
        <v>678</v>
      </c>
      <c r="K681" t="s">
        <v>678</v>
      </c>
      <c r="L681" t="s">
        <v>678</v>
      </c>
      <c r="M681" t="s">
        <v>1344</v>
      </c>
      <c r="N681" t="b">
        <v>0</v>
      </c>
    </row>
    <row r="682" spans="1:14">
      <c r="A682">
        <v>37</v>
      </c>
      <c r="B682">
        <v>15</v>
      </c>
      <c r="C682" t="s">
        <v>678</v>
      </c>
      <c r="D682" t="s">
        <v>737</v>
      </c>
      <c r="E682" t="s">
        <v>678</v>
      </c>
      <c r="F682">
        <v>0</v>
      </c>
      <c r="G682" t="s">
        <v>678</v>
      </c>
      <c r="H682" t="s">
        <v>678</v>
      </c>
      <c r="I682" t="s">
        <v>678</v>
      </c>
      <c r="J682" t="s">
        <v>678</v>
      </c>
      <c r="K682" t="s">
        <v>678</v>
      </c>
      <c r="L682" t="s">
        <v>678</v>
      </c>
      <c r="M682" t="s">
        <v>1345</v>
      </c>
      <c r="N682" t="b">
        <v>0</v>
      </c>
    </row>
    <row r="683" spans="1:14">
      <c r="A683">
        <v>37</v>
      </c>
      <c r="B683">
        <v>16</v>
      </c>
      <c r="C683" t="s">
        <v>678</v>
      </c>
      <c r="D683" t="s">
        <v>754</v>
      </c>
      <c r="E683" t="s">
        <v>678</v>
      </c>
      <c r="F683">
        <v>0</v>
      </c>
      <c r="G683" t="s">
        <v>678</v>
      </c>
      <c r="H683" t="s">
        <v>678</v>
      </c>
      <c r="I683" t="s">
        <v>678</v>
      </c>
      <c r="J683" t="s">
        <v>678</v>
      </c>
      <c r="K683" t="s">
        <v>678</v>
      </c>
      <c r="L683" t="s">
        <v>678</v>
      </c>
      <c r="M683" t="s">
        <v>1346</v>
      </c>
      <c r="N683" t="b">
        <v>0</v>
      </c>
    </row>
    <row r="684" spans="1:14">
      <c r="A684">
        <v>37</v>
      </c>
      <c r="B684">
        <v>17</v>
      </c>
      <c r="C684" t="s">
        <v>678</v>
      </c>
      <c r="D684" t="s">
        <v>754</v>
      </c>
      <c r="E684" t="s">
        <v>678</v>
      </c>
      <c r="F684">
        <v>0</v>
      </c>
      <c r="G684" t="s">
        <v>678</v>
      </c>
      <c r="H684" t="s">
        <v>678</v>
      </c>
      <c r="I684" t="s">
        <v>678</v>
      </c>
      <c r="J684" t="s">
        <v>678</v>
      </c>
      <c r="K684" t="s">
        <v>678</v>
      </c>
      <c r="L684" t="s">
        <v>678</v>
      </c>
      <c r="M684" t="s">
        <v>728</v>
      </c>
      <c r="N684" t="b">
        <v>0</v>
      </c>
    </row>
    <row r="685" spans="1:14">
      <c r="A685">
        <v>37</v>
      </c>
      <c r="B685">
        <v>18</v>
      </c>
      <c r="C685" t="s">
        <v>678</v>
      </c>
      <c r="D685" t="s">
        <v>754</v>
      </c>
      <c r="E685" t="s">
        <v>678</v>
      </c>
      <c r="F685">
        <v>0</v>
      </c>
      <c r="G685" t="s">
        <v>678</v>
      </c>
      <c r="H685" t="s">
        <v>678</v>
      </c>
      <c r="I685" t="s">
        <v>678</v>
      </c>
      <c r="J685" t="s">
        <v>678</v>
      </c>
      <c r="K685" t="s">
        <v>678</v>
      </c>
      <c r="L685" t="s">
        <v>678</v>
      </c>
      <c r="M685" t="s">
        <v>1347</v>
      </c>
      <c r="N685" t="b">
        <v>0</v>
      </c>
    </row>
    <row r="686" spans="1:14">
      <c r="A686">
        <v>37</v>
      </c>
      <c r="B686">
        <v>19</v>
      </c>
      <c r="C686" t="s">
        <v>678</v>
      </c>
      <c r="D686" t="s">
        <v>754</v>
      </c>
      <c r="E686" t="s">
        <v>678</v>
      </c>
      <c r="F686">
        <v>0</v>
      </c>
      <c r="G686" t="s">
        <v>678</v>
      </c>
      <c r="H686" t="s">
        <v>678</v>
      </c>
      <c r="I686" t="s">
        <v>678</v>
      </c>
      <c r="J686" t="s">
        <v>678</v>
      </c>
      <c r="K686" t="s">
        <v>678</v>
      </c>
      <c r="L686" t="s">
        <v>678</v>
      </c>
      <c r="M686" t="s">
        <v>1348</v>
      </c>
      <c r="N686" t="b">
        <v>0</v>
      </c>
    </row>
    <row r="687" spans="1:14">
      <c r="A687">
        <v>37</v>
      </c>
      <c r="B687">
        <v>20</v>
      </c>
      <c r="C687" t="s">
        <v>678</v>
      </c>
      <c r="D687" t="s">
        <v>754</v>
      </c>
      <c r="E687" t="s">
        <v>678</v>
      </c>
      <c r="F687">
        <v>0</v>
      </c>
      <c r="G687" t="s">
        <v>678</v>
      </c>
      <c r="H687" t="s">
        <v>678</v>
      </c>
      <c r="I687" t="s">
        <v>678</v>
      </c>
      <c r="J687" t="s">
        <v>678</v>
      </c>
      <c r="K687" t="s">
        <v>678</v>
      </c>
      <c r="L687" t="s">
        <v>678</v>
      </c>
      <c r="M687" t="s">
        <v>1349</v>
      </c>
      <c r="N687" t="b">
        <v>0</v>
      </c>
    </row>
    <row r="688" spans="1:14">
      <c r="A688">
        <v>37</v>
      </c>
      <c r="B688">
        <v>21</v>
      </c>
      <c r="C688" t="s">
        <v>678</v>
      </c>
      <c r="D688" t="s">
        <v>754</v>
      </c>
      <c r="E688" t="s">
        <v>678</v>
      </c>
      <c r="F688">
        <v>0</v>
      </c>
      <c r="G688" t="s">
        <v>678</v>
      </c>
      <c r="H688" t="s">
        <v>678</v>
      </c>
      <c r="I688" t="s">
        <v>678</v>
      </c>
      <c r="J688" t="s">
        <v>678</v>
      </c>
      <c r="K688" t="s">
        <v>678</v>
      </c>
      <c r="L688" t="s">
        <v>678</v>
      </c>
      <c r="M688" t="s">
        <v>1350</v>
      </c>
      <c r="N688" t="b">
        <v>0</v>
      </c>
    </row>
    <row r="689" spans="1:14">
      <c r="A689">
        <v>37</v>
      </c>
      <c r="B689">
        <v>22</v>
      </c>
      <c r="C689" t="s">
        <v>678</v>
      </c>
      <c r="D689" t="s">
        <v>754</v>
      </c>
      <c r="E689" t="s">
        <v>678</v>
      </c>
      <c r="F689">
        <v>0</v>
      </c>
      <c r="G689" t="s">
        <v>678</v>
      </c>
      <c r="H689" t="s">
        <v>678</v>
      </c>
      <c r="I689" t="s">
        <v>678</v>
      </c>
      <c r="J689" t="s">
        <v>678</v>
      </c>
      <c r="K689" t="s">
        <v>678</v>
      </c>
      <c r="L689" t="s">
        <v>678</v>
      </c>
      <c r="M689" t="s">
        <v>1351</v>
      </c>
      <c r="N689" t="b">
        <v>0</v>
      </c>
    </row>
    <row r="690" spans="1:14">
      <c r="A690">
        <v>37</v>
      </c>
      <c r="B690">
        <v>23</v>
      </c>
      <c r="C690" t="s">
        <v>678</v>
      </c>
      <c r="D690" t="s">
        <v>754</v>
      </c>
      <c r="E690" t="s">
        <v>678</v>
      </c>
      <c r="F690">
        <v>0</v>
      </c>
      <c r="G690" t="s">
        <v>678</v>
      </c>
      <c r="H690" t="s">
        <v>678</v>
      </c>
      <c r="I690" t="s">
        <v>678</v>
      </c>
      <c r="J690" t="s">
        <v>678</v>
      </c>
      <c r="K690" t="s">
        <v>678</v>
      </c>
      <c r="L690" t="s">
        <v>678</v>
      </c>
      <c r="M690" t="s">
        <v>1352</v>
      </c>
      <c r="N690" t="b">
        <v>0</v>
      </c>
    </row>
    <row r="691" spans="1:14">
      <c r="A691">
        <v>37</v>
      </c>
      <c r="B691">
        <v>24</v>
      </c>
      <c r="C691" t="s">
        <v>678</v>
      </c>
      <c r="D691" t="s">
        <v>754</v>
      </c>
      <c r="E691" t="s">
        <v>678</v>
      </c>
      <c r="F691">
        <v>0</v>
      </c>
      <c r="G691" t="s">
        <v>678</v>
      </c>
      <c r="H691" t="s">
        <v>678</v>
      </c>
      <c r="I691" t="s">
        <v>678</v>
      </c>
      <c r="J691" t="s">
        <v>678</v>
      </c>
      <c r="K691" t="s">
        <v>678</v>
      </c>
      <c r="L691" t="s">
        <v>678</v>
      </c>
      <c r="M691" t="s">
        <v>1353</v>
      </c>
      <c r="N691" t="b">
        <v>0</v>
      </c>
    </row>
    <row r="692" spans="1:14">
      <c r="A692">
        <v>37</v>
      </c>
      <c r="B692">
        <v>25</v>
      </c>
      <c r="C692" t="s">
        <v>678</v>
      </c>
      <c r="D692" t="s">
        <v>754</v>
      </c>
      <c r="E692" t="s">
        <v>678</v>
      </c>
      <c r="F692">
        <v>0</v>
      </c>
      <c r="G692" t="s">
        <v>678</v>
      </c>
      <c r="H692" t="s">
        <v>678</v>
      </c>
      <c r="I692" t="s">
        <v>678</v>
      </c>
      <c r="J692" t="s">
        <v>678</v>
      </c>
      <c r="K692" t="s">
        <v>678</v>
      </c>
      <c r="L692" t="s">
        <v>678</v>
      </c>
      <c r="M692" t="s">
        <v>1354</v>
      </c>
      <c r="N692" t="b">
        <v>0</v>
      </c>
    </row>
    <row r="693" spans="1:14">
      <c r="A693">
        <v>37</v>
      </c>
      <c r="B693">
        <v>26</v>
      </c>
      <c r="C693" t="s">
        <v>678</v>
      </c>
      <c r="D693" t="s">
        <v>754</v>
      </c>
      <c r="E693" t="s">
        <v>678</v>
      </c>
      <c r="F693">
        <v>0</v>
      </c>
      <c r="G693" t="s">
        <v>678</v>
      </c>
      <c r="H693" t="s">
        <v>678</v>
      </c>
      <c r="I693" t="s">
        <v>678</v>
      </c>
      <c r="J693" t="s">
        <v>678</v>
      </c>
      <c r="K693" t="s">
        <v>678</v>
      </c>
      <c r="L693" t="s">
        <v>678</v>
      </c>
      <c r="M693" t="s">
        <v>1355</v>
      </c>
      <c r="N693" t="b">
        <v>0</v>
      </c>
    </row>
    <row r="694" spans="1:14">
      <c r="A694">
        <v>40</v>
      </c>
      <c r="B694">
        <v>0</v>
      </c>
      <c r="C694" t="s">
        <v>195</v>
      </c>
      <c r="D694" t="s">
        <v>737</v>
      </c>
      <c r="E694" t="s">
        <v>67</v>
      </c>
      <c r="F694">
        <v>50</v>
      </c>
      <c r="G694" t="s">
        <v>678</v>
      </c>
      <c r="H694" t="s">
        <v>678</v>
      </c>
      <c r="I694" t="s">
        <v>67</v>
      </c>
      <c r="J694" t="s">
        <v>678</v>
      </c>
      <c r="K694" t="s">
        <v>678</v>
      </c>
      <c r="L694" t="s">
        <v>678</v>
      </c>
      <c r="M694" t="s">
        <v>1356</v>
      </c>
      <c r="N694" t="b">
        <v>0</v>
      </c>
    </row>
    <row r="695" spans="1:14">
      <c r="A695">
        <v>40</v>
      </c>
      <c r="B695">
        <v>1</v>
      </c>
      <c r="C695" t="s">
        <v>340</v>
      </c>
      <c r="D695" t="s">
        <v>737</v>
      </c>
      <c r="E695" t="s">
        <v>79</v>
      </c>
      <c r="F695">
        <v>40</v>
      </c>
      <c r="G695" t="s">
        <v>678</v>
      </c>
      <c r="H695" t="s">
        <v>678</v>
      </c>
      <c r="I695" t="s">
        <v>79</v>
      </c>
      <c r="J695" t="s">
        <v>678</v>
      </c>
      <c r="K695" t="s">
        <v>678</v>
      </c>
      <c r="L695" t="s">
        <v>678</v>
      </c>
      <c r="M695" t="s">
        <v>1357</v>
      </c>
      <c r="N695" t="b">
        <v>0</v>
      </c>
    </row>
    <row r="696" spans="1:14">
      <c r="A696">
        <v>40</v>
      </c>
      <c r="B696">
        <v>2</v>
      </c>
      <c r="C696" t="s">
        <v>167</v>
      </c>
      <c r="D696" t="s">
        <v>737</v>
      </c>
      <c r="E696" t="s">
        <v>85</v>
      </c>
      <c r="F696">
        <v>40</v>
      </c>
      <c r="G696" t="s">
        <v>678</v>
      </c>
      <c r="H696" t="s">
        <v>678</v>
      </c>
      <c r="I696" t="s">
        <v>85</v>
      </c>
      <c r="J696" t="s">
        <v>678</v>
      </c>
      <c r="K696" t="s">
        <v>678</v>
      </c>
      <c r="L696" t="s">
        <v>678</v>
      </c>
      <c r="M696" t="s">
        <v>1358</v>
      </c>
      <c r="N696" t="b">
        <v>0</v>
      </c>
    </row>
    <row r="697" spans="1:14">
      <c r="A697">
        <v>40</v>
      </c>
      <c r="B697">
        <v>3</v>
      </c>
      <c r="C697" t="s">
        <v>196</v>
      </c>
      <c r="D697" t="s">
        <v>737</v>
      </c>
      <c r="E697" t="s">
        <v>97</v>
      </c>
      <c r="F697">
        <v>50</v>
      </c>
      <c r="G697" t="s">
        <v>678</v>
      </c>
      <c r="H697" t="s">
        <v>678</v>
      </c>
      <c r="I697" t="s">
        <v>97</v>
      </c>
      <c r="J697" t="s">
        <v>678</v>
      </c>
      <c r="K697" t="s">
        <v>678</v>
      </c>
      <c r="L697" t="s">
        <v>678</v>
      </c>
      <c r="M697" t="s">
        <v>1359</v>
      </c>
      <c r="N697" t="b">
        <v>0</v>
      </c>
    </row>
    <row r="698" spans="1:14">
      <c r="A698">
        <v>40</v>
      </c>
      <c r="B698">
        <v>4</v>
      </c>
      <c r="C698" t="s">
        <v>238</v>
      </c>
      <c r="D698" t="s">
        <v>737</v>
      </c>
      <c r="E698" t="s">
        <v>101</v>
      </c>
      <c r="F698">
        <v>40</v>
      </c>
      <c r="G698" t="s">
        <v>678</v>
      </c>
      <c r="H698" t="s">
        <v>678</v>
      </c>
      <c r="I698" t="s">
        <v>101</v>
      </c>
      <c r="J698" t="s">
        <v>678</v>
      </c>
      <c r="K698" t="s">
        <v>678</v>
      </c>
      <c r="L698" t="s">
        <v>678</v>
      </c>
      <c r="M698" t="s">
        <v>1360</v>
      </c>
      <c r="N698" t="b">
        <v>0</v>
      </c>
    </row>
    <row r="699" spans="1:14">
      <c r="A699">
        <v>40</v>
      </c>
      <c r="B699">
        <v>5</v>
      </c>
      <c r="C699" t="s">
        <v>197</v>
      </c>
      <c r="D699" t="s">
        <v>737</v>
      </c>
      <c r="E699" t="s">
        <v>103</v>
      </c>
      <c r="F699">
        <v>50</v>
      </c>
      <c r="G699" t="s">
        <v>678</v>
      </c>
      <c r="H699" t="s">
        <v>678</v>
      </c>
      <c r="I699" t="s">
        <v>103</v>
      </c>
      <c r="J699" t="s">
        <v>678</v>
      </c>
      <c r="K699" t="s">
        <v>678</v>
      </c>
      <c r="L699" t="s">
        <v>678</v>
      </c>
      <c r="M699" t="s">
        <v>1361</v>
      </c>
      <c r="N699" t="b">
        <v>0</v>
      </c>
    </row>
    <row r="700" spans="1:14">
      <c r="A700">
        <v>40</v>
      </c>
      <c r="B700">
        <v>6</v>
      </c>
      <c r="C700" t="s">
        <v>198</v>
      </c>
      <c r="D700" t="s">
        <v>737</v>
      </c>
      <c r="E700" t="s">
        <v>105</v>
      </c>
      <c r="F700">
        <v>50</v>
      </c>
      <c r="G700" t="s">
        <v>678</v>
      </c>
      <c r="H700" t="s">
        <v>678</v>
      </c>
      <c r="I700" t="s">
        <v>105</v>
      </c>
      <c r="J700" t="s">
        <v>678</v>
      </c>
      <c r="K700" t="s">
        <v>678</v>
      </c>
      <c r="L700" t="s">
        <v>678</v>
      </c>
      <c r="M700" t="s">
        <v>1362</v>
      </c>
      <c r="N700" t="b">
        <v>0</v>
      </c>
    </row>
    <row r="701" spans="1:14">
      <c r="A701">
        <v>40</v>
      </c>
      <c r="B701">
        <v>7</v>
      </c>
      <c r="C701" t="s">
        <v>199</v>
      </c>
      <c r="D701" t="s">
        <v>737</v>
      </c>
      <c r="E701" t="s">
        <v>113</v>
      </c>
      <c r="F701">
        <v>30</v>
      </c>
      <c r="G701" t="s">
        <v>678</v>
      </c>
      <c r="H701" t="s">
        <v>678</v>
      </c>
      <c r="I701" t="s">
        <v>113</v>
      </c>
      <c r="J701" t="s">
        <v>678</v>
      </c>
      <c r="K701" t="s">
        <v>678</v>
      </c>
      <c r="L701" t="s">
        <v>678</v>
      </c>
      <c r="M701" t="s">
        <v>1363</v>
      </c>
      <c r="N701" t="b">
        <v>0</v>
      </c>
    </row>
    <row r="702" spans="1:14">
      <c r="A702">
        <v>40</v>
      </c>
      <c r="B702">
        <v>8</v>
      </c>
      <c r="C702" t="s">
        <v>207</v>
      </c>
      <c r="D702" t="s">
        <v>737</v>
      </c>
      <c r="E702" t="s">
        <v>117</v>
      </c>
      <c r="F702">
        <v>50</v>
      </c>
      <c r="G702" t="s">
        <v>678</v>
      </c>
      <c r="H702" t="s">
        <v>678</v>
      </c>
      <c r="I702" t="s">
        <v>117</v>
      </c>
      <c r="J702" t="s">
        <v>678</v>
      </c>
      <c r="K702" t="s">
        <v>678</v>
      </c>
      <c r="L702" t="s">
        <v>678</v>
      </c>
      <c r="M702" t="s">
        <v>1364</v>
      </c>
      <c r="N702" t="b">
        <v>0</v>
      </c>
    </row>
    <row r="703" spans="1:14">
      <c r="A703">
        <v>40</v>
      </c>
      <c r="B703">
        <v>9</v>
      </c>
      <c r="C703" t="s">
        <v>200</v>
      </c>
      <c r="D703" t="s">
        <v>737</v>
      </c>
      <c r="E703" t="s">
        <v>119</v>
      </c>
      <c r="F703">
        <v>60</v>
      </c>
      <c r="G703" t="s">
        <v>678</v>
      </c>
      <c r="H703" t="s">
        <v>678</v>
      </c>
      <c r="I703" t="s">
        <v>119</v>
      </c>
      <c r="J703" t="s">
        <v>678</v>
      </c>
      <c r="K703" t="s">
        <v>678</v>
      </c>
      <c r="L703" t="s">
        <v>678</v>
      </c>
      <c r="M703" t="s">
        <v>1365</v>
      </c>
      <c r="N703" t="b">
        <v>0</v>
      </c>
    </row>
    <row r="704" spans="1:14">
      <c r="A704">
        <v>40</v>
      </c>
      <c r="B704">
        <v>10</v>
      </c>
      <c r="C704" t="s">
        <v>201</v>
      </c>
      <c r="D704" t="s">
        <v>737</v>
      </c>
      <c r="E704" t="s">
        <v>64</v>
      </c>
      <c r="F704">
        <v>30</v>
      </c>
      <c r="G704" t="s">
        <v>678</v>
      </c>
      <c r="H704" t="s">
        <v>678</v>
      </c>
      <c r="I704" t="s">
        <v>64</v>
      </c>
      <c r="J704" t="s">
        <v>678</v>
      </c>
      <c r="K704" t="s">
        <v>678</v>
      </c>
      <c r="L704" t="s">
        <v>678</v>
      </c>
      <c r="M704" t="s">
        <v>1366</v>
      </c>
      <c r="N704" t="b">
        <v>0</v>
      </c>
    </row>
    <row r="705" spans="1:14">
      <c r="A705">
        <v>40</v>
      </c>
      <c r="B705">
        <v>11</v>
      </c>
      <c r="C705" t="s">
        <v>202</v>
      </c>
      <c r="D705" t="s">
        <v>737</v>
      </c>
      <c r="E705" t="s">
        <v>80</v>
      </c>
      <c r="F705">
        <v>50</v>
      </c>
      <c r="G705" t="s">
        <v>678</v>
      </c>
      <c r="H705" t="s">
        <v>678</v>
      </c>
      <c r="I705" t="s">
        <v>80</v>
      </c>
      <c r="J705" t="s">
        <v>678</v>
      </c>
      <c r="K705" t="s">
        <v>678</v>
      </c>
      <c r="L705" t="s">
        <v>678</v>
      </c>
      <c r="M705" t="s">
        <v>1367</v>
      </c>
      <c r="N705" t="b">
        <v>0</v>
      </c>
    </row>
    <row r="706" spans="1:14">
      <c r="A706">
        <v>40</v>
      </c>
      <c r="B706">
        <v>12</v>
      </c>
      <c r="C706" t="s">
        <v>203</v>
      </c>
      <c r="D706" t="s">
        <v>737</v>
      </c>
      <c r="E706" t="s">
        <v>102</v>
      </c>
      <c r="F706">
        <v>50</v>
      </c>
      <c r="G706" t="s">
        <v>678</v>
      </c>
      <c r="H706" t="s">
        <v>678</v>
      </c>
      <c r="I706" t="s">
        <v>102</v>
      </c>
      <c r="J706" t="s">
        <v>678</v>
      </c>
      <c r="K706" t="s">
        <v>678</v>
      </c>
      <c r="L706" t="s">
        <v>678</v>
      </c>
      <c r="M706" t="s">
        <v>1368</v>
      </c>
      <c r="N706" t="b">
        <v>0</v>
      </c>
    </row>
    <row r="707" spans="1:14">
      <c r="A707">
        <v>40</v>
      </c>
      <c r="B707">
        <v>13</v>
      </c>
      <c r="C707" t="s">
        <v>336</v>
      </c>
      <c r="D707" t="s">
        <v>737</v>
      </c>
      <c r="E707" t="s">
        <v>106</v>
      </c>
      <c r="F707">
        <v>40</v>
      </c>
      <c r="G707" t="s">
        <v>678</v>
      </c>
      <c r="H707" t="s">
        <v>678</v>
      </c>
      <c r="I707" t="s">
        <v>106</v>
      </c>
      <c r="J707" t="s">
        <v>678</v>
      </c>
      <c r="K707" t="s">
        <v>678</v>
      </c>
      <c r="L707" t="s">
        <v>678</v>
      </c>
      <c r="M707" t="s">
        <v>1369</v>
      </c>
      <c r="N707" t="b">
        <v>0</v>
      </c>
    </row>
    <row r="708" spans="1:14">
      <c r="A708">
        <v>40</v>
      </c>
      <c r="B708">
        <v>14</v>
      </c>
      <c r="C708" t="s">
        <v>204</v>
      </c>
      <c r="D708" t="s">
        <v>737</v>
      </c>
      <c r="E708" t="s">
        <v>112</v>
      </c>
      <c r="F708">
        <v>60</v>
      </c>
      <c r="G708" t="s">
        <v>678</v>
      </c>
      <c r="H708" t="s">
        <v>678</v>
      </c>
      <c r="I708" t="s">
        <v>112</v>
      </c>
      <c r="J708" t="s">
        <v>678</v>
      </c>
      <c r="K708" t="s">
        <v>678</v>
      </c>
      <c r="L708" t="s">
        <v>678</v>
      </c>
      <c r="M708" t="s">
        <v>1370</v>
      </c>
      <c r="N708" t="b">
        <v>0</v>
      </c>
    </row>
    <row r="709" spans="1:14">
      <c r="A709">
        <v>40</v>
      </c>
      <c r="B709">
        <v>15</v>
      </c>
      <c r="C709" t="s">
        <v>678</v>
      </c>
      <c r="D709" t="s">
        <v>737</v>
      </c>
      <c r="E709" t="s">
        <v>678</v>
      </c>
      <c r="F709">
        <v>0</v>
      </c>
      <c r="G709" t="s">
        <v>678</v>
      </c>
      <c r="H709" t="s">
        <v>678</v>
      </c>
      <c r="I709" t="s">
        <v>678</v>
      </c>
      <c r="J709" t="s">
        <v>678</v>
      </c>
      <c r="K709" t="s">
        <v>678</v>
      </c>
      <c r="L709" t="s">
        <v>678</v>
      </c>
      <c r="M709" t="s">
        <v>1371</v>
      </c>
      <c r="N709" t="b">
        <v>0</v>
      </c>
    </row>
    <row r="710" spans="1:14">
      <c r="A710">
        <v>40</v>
      </c>
      <c r="B710">
        <v>16</v>
      </c>
      <c r="C710" t="s">
        <v>678</v>
      </c>
      <c r="D710" t="s">
        <v>754</v>
      </c>
      <c r="E710" t="s">
        <v>678</v>
      </c>
      <c r="F710">
        <v>0</v>
      </c>
      <c r="G710" t="s">
        <v>678</v>
      </c>
      <c r="H710" t="s">
        <v>678</v>
      </c>
      <c r="I710" t="s">
        <v>678</v>
      </c>
      <c r="J710" t="s">
        <v>678</v>
      </c>
      <c r="K710" t="s">
        <v>678</v>
      </c>
      <c r="L710" t="s">
        <v>678</v>
      </c>
      <c r="M710" t="s">
        <v>1372</v>
      </c>
      <c r="N710" t="b">
        <v>0</v>
      </c>
    </row>
    <row r="711" spans="1:14">
      <c r="A711">
        <v>40</v>
      </c>
      <c r="B711">
        <v>17</v>
      </c>
      <c r="C711" t="s">
        <v>678</v>
      </c>
      <c r="D711" t="s">
        <v>754</v>
      </c>
      <c r="E711" t="s">
        <v>678</v>
      </c>
      <c r="F711">
        <v>0</v>
      </c>
      <c r="G711" t="s">
        <v>678</v>
      </c>
      <c r="H711" t="s">
        <v>678</v>
      </c>
      <c r="I711" t="s">
        <v>678</v>
      </c>
      <c r="J711" t="s">
        <v>678</v>
      </c>
      <c r="K711" t="s">
        <v>678</v>
      </c>
      <c r="L711" t="s">
        <v>678</v>
      </c>
      <c r="M711" t="s">
        <v>733</v>
      </c>
      <c r="N711" t="b">
        <v>0</v>
      </c>
    </row>
    <row r="712" spans="1:14">
      <c r="A712">
        <v>40</v>
      </c>
      <c r="B712">
        <v>18</v>
      </c>
      <c r="C712" t="s">
        <v>678</v>
      </c>
      <c r="D712" t="s">
        <v>754</v>
      </c>
      <c r="E712" t="s">
        <v>678</v>
      </c>
      <c r="F712">
        <v>0</v>
      </c>
      <c r="G712" t="s">
        <v>678</v>
      </c>
      <c r="H712" t="s">
        <v>678</v>
      </c>
      <c r="I712" t="s">
        <v>678</v>
      </c>
      <c r="J712" t="s">
        <v>678</v>
      </c>
      <c r="K712" t="s">
        <v>678</v>
      </c>
      <c r="L712" t="s">
        <v>678</v>
      </c>
      <c r="M712" t="s">
        <v>1373</v>
      </c>
      <c r="N712" t="b">
        <v>0</v>
      </c>
    </row>
    <row r="713" spans="1:14">
      <c r="A713">
        <v>40</v>
      </c>
      <c r="B713">
        <v>19</v>
      </c>
      <c r="C713" t="s">
        <v>678</v>
      </c>
      <c r="D713" t="s">
        <v>754</v>
      </c>
      <c r="E713" t="s">
        <v>678</v>
      </c>
      <c r="F713">
        <v>0</v>
      </c>
      <c r="G713" t="s">
        <v>678</v>
      </c>
      <c r="H713" t="s">
        <v>678</v>
      </c>
      <c r="I713" t="s">
        <v>678</v>
      </c>
      <c r="J713" t="s">
        <v>678</v>
      </c>
      <c r="K713" t="s">
        <v>678</v>
      </c>
      <c r="L713" t="s">
        <v>678</v>
      </c>
      <c r="M713" t="s">
        <v>1374</v>
      </c>
      <c r="N713" t="b">
        <v>0</v>
      </c>
    </row>
    <row r="714" spans="1:14">
      <c r="A714">
        <v>40</v>
      </c>
      <c r="B714">
        <v>20</v>
      </c>
      <c r="C714" t="s">
        <v>678</v>
      </c>
      <c r="D714" t="s">
        <v>754</v>
      </c>
      <c r="E714" t="s">
        <v>678</v>
      </c>
      <c r="F714">
        <v>0</v>
      </c>
      <c r="G714" t="s">
        <v>678</v>
      </c>
      <c r="H714" t="s">
        <v>678</v>
      </c>
      <c r="I714" t="s">
        <v>678</v>
      </c>
      <c r="J714" t="s">
        <v>678</v>
      </c>
      <c r="K714" t="s">
        <v>678</v>
      </c>
      <c r="L714" t="s">
        <v>678</v>
      </c>
      <c r="M714" t="s">
        <v>1375</v>
      </c>
      <c r="N714" t="b">
        <v>0</v>
      </c>
    </row>
    <row r="715" spans="1:14">
      <c r="A715">
        <v>40</v>
      </c>
      <c r="B715">
        <v>21</v>
      </c>
      <c r="C715" t="s">
        <v>678</v>
      </c>
      <c r="D715" t="s">
        <v>754</v>
      </c>
      <c r="E715" t="s">
        <v>678</v>
      </c>
      <c r="F715">
        <v>0</v>
      </c>
      <c r="G715" t="s">
        <v>678</v>
      </c>
      <c r="H715" t="s">
        <v>678</v>
      </c>
      <c r="I715" t="s">
        <v>678</v>
      </c>
      <c r="J715" t="s">
        <v>678</v>
      </c>
      <c r="K715" t="s">
        <v>678</v>
      </c>
      <c r="L715" t="s">
        <v>678</v>
      </c>
      <c r="M715" t="s">
        <v>1376</v>
      </c>
      <c r="N715" t="b">
        <v>0</v>
      </c>
    </row>
    <row r="716" spans="1:14">
      <c r="A716">
        <v>40</v>
      </c>
      <c r="B716">
        <v>22</v>
      </c>
      <c r="C716" t="s">
        <v>678</v>
      </c>
      <c r="D716" t="s">
        <v>754</v>
      </c>
      <c r="E716" t="s">
        <v>678</v>
      </c>
      <c r="F716">
        <v>0</v>
      </c>
      <c r="G716" t="s">
        <v>678</v>
      </c>
      <c r="H716" t="s">
        <v>678</v>
      </c>
      <c r="I716" t="s">
        <v>678</v>
      </c>
      <c r="J716" t="s">
        <v>678</v>
      </c>
      <c r="K716" t="s">
        <v>678</v>
      </c>
      <c r="L716" t="s">
        <v>678</v>
      </c>
      <c r="M716" t="s">
        <v>1377</v>
      </c>
      <c r="N716" t="b">
        <v>0</v>
      </c>
    </row>
    <row r="717" spans="1:14">
      <c r="A717">
        <v>40</v>
      </c>
      <c r="B717">
        <v>23</v>
      </c>
      <c r="C717" t="s">
        <v>678</v>
      </c>
      <c r="D717" t="s">
        <v>754</v>
      </c>
      <c r="E717" t="s">
        <v>678</v>
      </c>
      <c r="F717">
        <v>0</v>
      </c>
      <c r="G717" t="s">
        <v>678</v>
      </c>
      <c r="H717" t="s">
        <v>678</v>
      </c>
      <c r="I717" t="s">
        <v>678</v>
      </c>
      <c r="J717" t="s">
        <v>678</v>
      </c>
      <c r="K717" t="s">
        <v>678</v>
      </c>
      <c r="L717" t="s">
        <v>678</v>
      </c>
      <c r="M717" t="s">
        <v>1378</v>
      </c>
      <c r="N717" t="b">
        <v>0</v>
      </c>
    </row>
    <row r="718" spans="1:14">
      <c r="A718">
        <v>40</v>
      </c>
      <c r="B718">
        <v>24</v>
      </c>
      <c r="C718" t="s">
        <v>678</v>
      </c>
      <c r="D718" t="s">
        <v>754</v>
      </c>
      <c r="E718" t="s">
        <v>678</v>
      </c>
      <c r="F718">
        <v>0</v>
      </c>
      <c r="G718" t="s">
        <v>678</v>
      </c>
      <c r="H718" t="s">
        <v>678</v>
      </c>
      <c r="I718" t="s">
        <v>678</v>
      </c>
      <c r="J718" t="s">
        <v>678</v>
      </c>
      <c r="K718" t="s">
        <v>678</v>
      </c>
      <c r="L718" t="s">
        <v>678</v>
      </c>
      <c r="M718" t="s">
        <v>1379</v>
      </c>
      <c r="N718" t="b">
        <v>0</v>
      </c>
    </row>
    <row r="719" spans="1:14">
      <c r="A719">
        <v>40</v>
      </c>
      <c r="B719">
        <v>25</v>
      </c>
      <c r="C719" t="s">
        <v>678</v>
      </c>
      <c r="D719" t="s">
        <v>754</v>
      </c>
      <c r="E719" t="s">
        <v>678</v>
      </c>
      <c r="F719">
        <v>0</v>
      </c>
      <c r="G719" t="s">
        <v>678</v>
      </c>
      <c r="H719" t="s">
        <v>678</v>
      </c>
      <c r="I719" t="s">
        <v>678</v>
      </c>
      <c r="J719" t="s">
        <v>678</v>
      </c>
      <c r="K719" t="s">
        <v>678</v>
      </c>
      <c r="L719" t="s">
        <v>678</v>
      </c>
      <c r="M719" t="s">
        <v>1380</v>
      </c>
      <c r="N719" t="b">
        <v>0</v>
      </c>
    </row>
    <row r="720" spans="1:14">
      <c r="A720">
        <v>40</v>
      </c>
      <c r="B720">
        <v>26</v>
      </c>
      <c r="C720" t="s">
        <v>678</v>
      </c>
      <c r="D720" t="s">
        <v>754</v>
      </c>
      <c r="E720" t="s">
        <v>678</v>
      </c>
      <c r="F720">
        <v>0</v>
      </c>
      <c r="G720" t="s">
        <v>678</v>
      </c>
      <c r="H720" t="s">
        <v>678</v>
      </c>
      <c r="I720" t="s">
        <v>678</v>
      </c>
      <c r="J720" t="s">
        <v>678</v>
      </c>
      <c r="K720" t="s">
        <v>678</v>
      </c>
      <c r="L720" t="s">
        <v>678</v>
      </c>
      <c r="M720" t="s">
        <v>1381</v>
      </c>
      <c r="N720" t="b">
        <v>0</v>
      </c>
    </row>
    <row r="721" spans="1:14">
      <c r="A721">
        <v>43</v>
      </c>
      <c r="B721">
        <v>0</v>
      </c>
      <c r="C721" t="s">
        <v>195</v>
      </c>
      <c r="D721" t="s">
        <v>737</v>
      </c>
      <c r="E721" t="s">
        <v>67</v>
      </c>
      <c r="F721">
        <v>50</v>
      </c>
      <c r="G721" t="s">
        <v>678</v>
      </c>
      <c r="H721" t="s">
        <v>678</v>
      </c>
      <c r="I721" t="s">
        <v>67</v>
      </c>
      <c r="J721" t="s">
        <v>678</v>
      </c>
      <c r="K721" t="s">
        <v>678</v>
      </c>
      <c r="L721" t="s">
        <v>678</v>
      </c>
      <c r="M721" t="s">
        <v>1382</v>
      </c>
      <c r="N721" t="b">
        <v>0</v>
      </c>
    </row>
    <row r="722" spans="1:14">
      <c r="A722">
        <v>43</v>
      </c>
      <c r="B722">
        <v>1</v>
      </c>
      <c r="C722" t="s">
        <v>227</v>
      </c>
      <c r="D722" t="s">
        <v>737</v>
      </c>
      <c r="E722" t="s">
        <v>79</v>
      </c>
      <c r="F722">
        <v>60</v>
      </c>
      <c r="G722" t="s">
        <v>678</v>
      </c>
      <c r="H722" t="s">
        <v>678</v>
      </c>
      <c r="I722" t="s">
        <v>79</v>
      </c>
      <c r="J722" t="s">
        <v>678</v>
      </c>
      <c r="K722" t="s">
        <v>678</v>
      </c>
      <c r="L722" t="s">
        <v>678</v>
      </c>
      <c r="M722" t="s">
        <v>1383</v>
      </c>
      <c r="N722" t="b">
        <v>0</v>
      </c>
    </row>
    <row r="723" spans="1:14">
      <c r="A723">
        <v>43</v>
      </c>
      <c r="B723">
        <v>2</v>
      </c>
      <c r="C723" t="s">
        <v>278</v>
      </c>
      <c r="D723" t="s">
        <v>737</v>
      </c>
      <c r="E723" t="s">
        <v>85</v>
      </c>
      <c r="F723">
        <v>30</v>
      </c>
      <c r="G723" t="s">
        <v>678</v>
      </c>
      <c r="H723" t="s">
        <v>678</v>
      </c>
      <c r="I723" t="s">
        <v>85</v>
      </c>
      <c r="J723" t="s">
        <v>678</v>
      </c>
      <c r="K723" t="s">
        <v>678</v>
      </c>
      <c r="L723" t="s">
        <v>678</v>
      </c>
      <c r="M723" t="s">
        <v>1384</v>
      </c>
      <c r="N723" t="b">
        <v>0</v>
      </c>
    </row>
    <row r="724" spans="1:14">
      <c r="A724">
        <v>43</v>
      </c>
      <c r="B724">
        <v>3</v>
      </c>
      <c r="C724" t="s">
        <v>261</v>
      </c>
      <c r="D724" t="s">
        <v>737</v>
      </c>
      <c r="E724" t="s">
        <v>103</v>
      </c>
      <c r="F724">
        <v>40</v>
      </c>
      <c r="G724" t="s">
        <v>678</v>
      </c>
      <c r="H724" t="s">
        <v>678</v>
      </c>
      <c r="I724" t="s">
        <v>103</v>
      </c>
      <c r="J724" t="s">
        <v>678</v>
      </c>
      <c r="K724" t="s">
        <v>678</v>
      </c>
      <c r="L724" t="s">
        <v>678</v>
      </c>
      <c r="M724" t="s">
        <v>1385</v>
      </c>
      <c r="N724" t="b">
        <v>0</v>
      </c>
    </row>
    <row r="725" spans="1:14">
      <c r="A725">
        <v>43</v>
      </c>
      <c r="B725">
        <v>4</v>
      </c>
      <c r="C725" t="s">
        <v>239</v>
      </c>
      <c r="D725" t="s">
        <v>737</v>
      </c>
      <c r="E725" t="s">
        <v>105</v>
      </c>
      <c r="F725">
        <v>40</v>
      </c>
      <c r="G725" t="s">
        <v>678</v>
      </c>
      <c r="H725" t="s">
        <v>678</v>
      </c>
      <c r="I725" t="s">
        <v>105</v>
      </c>
      <c r="J725" t="s">
        <v>678</v>
      </c>
      <c r="K725" t="s">
        <v>678</v>
      </c>
      <c r="L725" t="s">
        <v>678</v>
      </c>
      <c r="M725" t="s">
        <v>1386</v>
      </c>
      <c r="N725" t="b">
        <v>0</v>
      </c>
    </row>
    <row r="726" spans="1:14">
      <c r="A726">
        <v>43</v>
      </c>
      <c r="B726">
        <v>5</v>
      </c>
      <c r="C726" t="s">
        <v>285</v>
      </c>
      <c r="D726" t="s">
        <v>737</v>
      </c>
      <c r="E726" t="s">
        <v>107</v>
      </c>
      <c r="F726">
        <v>30</v>
      </c>
      <c r="G726" t="s">
        <v>678</v>
      </c>
      <c r="H726" t="s">
        <v>678</v>
      </c>
      <c r="I726" t="s">
        <v>107</v>
      </c>
      <c r="J726" t="s">
        <v>678</v>
      </c>
      <c r="K726" t="s">
        <v>678</v>
      </c>
      <c r="L726" t="s">
        <v>678</v>
      </c>
      <c r="M726" t="s">
        <v>1387</v>
      </c>
      <c r="N726" t="b">
        <v>0</v>
      </c>
    </row>
    <row r="727" spans="1:14">
      <c r="A727">
        <v>43</v>
      </c>
      <c r="B727">
        <v>6</v>
      </c>
      <c r="C727" t="s">
        <v>298</v>
      </c>
      <c r="D727" t="s">
        <v>737</v>
      </c>
      <c r="E727" t="s">
        <v>342</v>
      </c>
      <c r="F727">
        <v>40</v>
      </c>
      <c r="G727" t="s">
        <v>678</v>
      </c>
      <c r="H727" t="s">
        <v>559</v>
      </c>
      <c r="I727" t="s">
        <v>456</v>
      </c>
      <c r="J727" t="s">
        <v>678</v>
      </c>
      <c r="K727" t="s">
        <v>934</v>
      </c>
      <c r="L727" t="s">
        <v>935</v>
      </c>
      <c r="M727" t="s">
        <v>1388</v>
      </c>
      <c r="N727" t="b">
        <v>0</v>
      </c>
    </row>
    <row r="728" spans="1:14">
      <c r="A728">
        <v>43</v>
      </c>
      <c r="B728">
        <v>7</v>
      </c>
      <c r="C728" t="s">
        <v>176</v>
      </c>
      <c r="D728" t="s">
        <v>737</v>
      </c>
      <c r="E728" t="s">
        <v>76</v>
      </c>
      <c r="F728">
        <v>50</v>
      </c>
      <c r="G728" t="s">
        <v>678</v>
      </c>
      <c r="H728" t="s">
        <v>678</v>
      </c>
      <c r="I728" t="s">
        <v>76</v>
      </c>
      <c r="J728" t="s">
        <v>678</v>
      </c>
      <c r="K728" t="s">
        <v>678</v>
      </c>
      <c r="L728" t="s">
        <v>678</v>
      </c>
      <c r="M728" t="s">
        <v>1389</v>
      </c>
      <c r="N728" t="b">
        <v>0</v>
      </c>
    </row>
    <row r="729" spans="1:14">
      <c r="A729">
        <v>43</v>
      </c>
      <c r="B729">
        <v>8</v>
      </c>
      <c r="C729" t="s">
        <v>299</v>
      </c>
      <c r="D729" t="s">
        <v>737</v>
      </c>
      <c r="E729" t="s">
        <v>80</v>
      </c>
      <c r="F729">
        <v>30</v>
      </c>
      <c r="G729" t="s">
        <v>678</v>
      </c>
      <c r="H729" t="s">
        <v>678</v>
      </c>
      <c r="I729" t="s">
        <v>80</v>
      </c>
      <c r="J729" t="s">
        <v>678</v>
      </c>
      <c r="K729" t="s">
        <v>678</v>
      </c>
      <c r="L729" t="s">
        <v>678</v>
      </c>
      <c r="M729" t="s">
        <v>1390</v>
      </c>
      <c r="N729" t="b">
        <v>0</v>
      </c>
    </row>
    <row r="730" spans="1:14">
      <c r="A730">
        <v>43</v>
      </c>
      <c r="B730">
        <v>9</v>
      </c>
      <c r="C730" t="s">
        <v>179</v>
      </c>
      <c r="D730" t="s">
        <v>737</v>
      </c>
      <c r="E730" t="s">
        <v>110</v>
      </c>
      <c r="F730">
        <v>50</v>
      </c>
      <c r="G730" t="s">
        <v>678</v>
      </c>
      <c r="H730" t="s">
        <v>678</v>
      </c>
      <c r="I730" t="s">
        <v>110</v>
      </c>
      <c r="J730" t="s">
        <v>678</v>
      </c>
      <c r="K730" t="s">
        <v>678</v>
      </c>
      <c r="L730" t="s">
        <v>678</v>
      </c>
      <c r="M730" t="s">
        <v>1391</v>
      </c>
      <c r="N730" t="b">
        <v>0</v>
      </c>
    </row>
    <row r="731" spans="1:14">
      <c r="A731">
        <v>43</v>
      </c>
      <c r="B731">
        <v>10</v>
      </c>
      <c r="C731" t="s">
        <v>242</v>
      </c>
      <c r="D731" t="s">
        <v>737</v>
      </c>
      <c r="E731" t="s">
        <v>112</v>
      </c>
      <c r="F731">
        <v>50</v>
      </c>
      <c r="G731" t="s">
        <v>678</v>
      </c>
      <c r="H731" t="s">
        <v>678</v>
      </c>
      <c r="I731" t="s">
        <v>112</v>
      </c>
      <c r="J731" t="s">
        <v>678</v>
      </c>
      <c r="K731" t="s">
        <v>678</v>
      </c>
      <c r="L731" t="s">
        <v>678</v>
      </c>
      <c r="M731" t="s">
        <v>1392</v>
      </c>
      <c r="N731" t="b">
        <v>0</v>
      </c>
    </row>
    <row r="732" spans="1:14">
      <c r="A732">
        <v>43</v>
      </c>
      <c r="B732">
        <v>11</v>
      </c>
      <c r="C732" t="s">
        <v>678</v>
      </c>
      <c r="D732" t="s">
        <v>737</v>
      </c>
      <c r="E732" t="s">
        <v>678</v>
      </c>
      <c r="F732">
        <v>0</v>
      </c>
      <c r="G732" t="s">
        <v>678</v>
      </c>
      <c r="H732" t="s">
        <v>678</v>
      </c>
      <c r="I732" t="s">
        <v>678</v>
      </c>
      <c r="J732" t="s">
        <v>678</v>
      </c>
      <c r="K732" t="s">
        <v>678</v>
      </c>
      <c r="L732" t="s">
        <v>678</v>
      </c>
      <c r="M732" t="s">
        <v>1393</v>
      </c>
      <c r="N732" t="b">
        <v>0</v>
      </c>
    </row>
    <row r="733" spans="1:14">
      <c r="A733">
        <v>43</v>
      </c>
      <c r="B733">
        <v>12</v>
      </c>
      <c r="C733" t="s">
        <v>678</v>
      </c>
      <c r="D733" t="s">
        <v>737</v>
      </c>
      <c r="E733" t="s">
        <v>678</v>
      </c>
      <c r="F733">
        <v>0</v>
      </c>
      <c r="G733" t="s">
        <v>678</v>
      </c>
      <c r="H733" t="s">
        <v>678</v>
      </c>
      <c r="I733" t="s">
        <v>678</v>
      </c>
      <c r="J733" t="s">
        <v>678</v>
      </c>
      <c r="K733" t="s">
        <v>678</v>
      </c>
      <c r="L733" t="s">
        <v>678</v>
      </c>
      <c r="M733" t="s">
        <v>1394</v>
      </c>
      <c r="N733" t="b">
        <v>0</v>
      </c>
    </row>
    <row r="734" spans="1:14">
      <c r="A734">
        <v>43</v>
      </c>
      <c r="B734">
        <v>13</v>
      </c>
      <c r="C734" t="s">
        <v>678</v>
      </c>
      <c r="D734" t="s">
        <v>737</v>
      </c>
      <c r="E734" t="s">
        <v>678</v>
      </c>
      <c r="F734">
        <v>0</v>
      </c>
      <c r="G734" t="s">
        <v>678</v>
      </c>
      <c r="H734" t="s">
        <v>678</v>
      </c>
      <c r="I734" t="s">
        <v>678</v>
      </c>
      <c r="J734" t="s">
        <v>678</v>
      </c>
      <c r="K734" t="s">
        <v>678</v>
      </c>
      <c r="L734" t="s">
        <v>678</v>
      </c>
      <c r="M734" t="s">
        <v>1395</v>
      </c>
      <c r="N734" t="b">
        <v>0</v>
      </c>
    </row>
    <row r="735" spans="1:14">
      <c r="A735">
        <v>43</v>
      </c>
      <c r="B735">
        <v>14</v>
      </c>
      <c r="C735" t="s">
        <v>678</v>
      </c>
      <c r="D735" t="s">
        <v>737</v>
      </c>
      <c r="E735" t="s">
        <v>678</v>
      </c>
      <c r="F735">
        <v>0</v>
      </c>
      <c r="G735" t="s">
        <v>678</v>
      </c>
      <c r="H735" t="s">
        <v>678</v>
      </c>
      <c r="I735" t="s">
        <v>678</v>
      </c>
      <c r="J735" t="s">
        <v>678</v>
      </c>
      <c r="K735" t="s">
        <v>678</v>
      </c>
      <c r="L735" t="s">
        <v>678</v>
      </c>
      <c r="M735" t="s">
        <v>1396</v>
      </c>
      <c r="N735" t="b">
        <v>0</v>
      </c>
    </row>
    <row r="736" spans="1:14">
      <c r="A736">
        <v>43</v>
      </c>
      <c r="B736">
        <v>15</v>
      </c>
      <c r="C736" t="s">
        <v>678</v>
      </c>
      <c r="D736" t="s">
        <v>737</v>
      </c>
      <c r="E736" t="s">
        <v>678</v>
      </c>
      <c r="F736">
        <v>0</v>
      </c>
      <c r="G736" t="s">
        <v>678</v>
      </c>
      <c r="H736" t="s">
        <v>678</v>
      </c>
      <c r="I736" t="s">
        <v>678</v>
      </c>
      <c r="J736" t="s">
        <v>678</v>
      </c>
      <c r="K736" t="s">
        <v>678</v>
      </c>
      <c r="L736" t="s">
        <v>678</v>
      </c>
      <c r="M736" t="s">
        <v>1397</v>
      </c>
      <c r="N736" t="b">
        <v>0</v>
      </c>
    </row>
    <row r="737" spans="1:14">
      <c r="A737">
        <v>43</v>
      </c>
      <c r="B737">
        <v>16</v>
      </c>
      <c r="C737" t="s">
        <v>220</v>
      </c>
      <c r="D737" t="s">
        <v>754</v>
      </c>
      <c r="E737" t="s">
        <v>90</v>
      </c>
      <c r="F737">
        <v>40</v>
      </c>
      <c r="G737" t="s">
        <v>678</v>
      </c>
      <c r="H737" t="s">
        <v>678</v>
      </c>
      <c r="I737" t="s">
        <v>90</v>
      </c>
      <c r="J737" t="s">
        <v>678</v>
      </c>
      <c r="K737" t="s">
        <v>678</v>
      </c>
      <c r="L737" t="s">
        <v>678</v>
      </c>
      <c r="M737" t="s">
        <v>1398</v>
      </c>
      <c r="N737" t="b">
        <v>0</v>
      </c>
    </row>
    <row r="738" spans="1:14">
      <c r="A738">
        <v>43</v>
      </c>
      <c r="B738">
        <v>17</v>
      </c>
      <c r="C738" t="s">
        <v>189</v>
      </c>
      <c r="D738" t="s">
        <v>754</v>
      </c>
      <c r="E738" t="s">
        <v>555</v>
      </c>
      <c r="F738">
        <v>40</v>
      </c>
      <c r="G738" t="s">
        <v>773</v>
      </c>
      <c r="H738" t="s">
        <v>678</v>
      </c>
      <c r="I738" t="s">
        <v>678</v>
      </c>
      <c r="J738" t="s">
        <v>830</v>
      </c>
      <c r="K738" t="s">
        <v>805</v>
      </c>
      <c r="L738" t="s">
        <v>806</v>
      </c>
      <c r="M738" t="s">
        <v>736</v>
      </c>
      <c r="N738" t="b">
        <v>0</v>
      </c>
    </row>
    <row r="739" spans="1:14">
      <c r="A739">
        <v>43</v>
      </c>
      <c r="B739">
        <v>18</v>
      </c>
      <c r="C739" t="s">
        <v>228</v>
      </c>
      <c r="D739" t="s">
        <v>754</v>
      </c>
      <c r="E739" t="s">
        <v>99</v>
      </c>
      <c r="F739">
        <v>40</v>
      </c>
      <c r="G739" t="s">
        <v>678</v>
      </c>
      <c r="H739" t="s">
        <v>678</v>
      </c>
      <c r="I739" t="s">
        <v>99</v>
      </c>
      <c r="J739" t="s">
        <v>678</v>
      </c>
      <c r="K739" t="s">
        <v>678</v>
      </c>
      <c r="L739" t="s">
        <v>678</v>
      </c>
      <c r="M739" t="s">
        <v>1399</v>
      </c>
      <c r="N739" t="b">
        <v>0</v>
      </c>
    </row>
    <row r="740" spans="1:14">
      <c r="A740">
        <v>43</v>
      </c>
      <c r="B740">
        <v>19</v>
      </c>
      <c r="C740" t="s">
        <v>169</v>
      </c>
      <c r="D740" t="s">
        <v>754</v>
      </c>
      <c r="E740" t="s">
        <v>308</v>
      </c>
      <c r="F740">
        <v>40</v>
      </c>
      <c r="G740" t="s">
        <v>773</v>
      </c>
      <c r="H740" t="s">
        <v>678</v>
      </c>
      <c r="I740" t="s">
        <v>678</v>
      </c>
      <c r="J740" t="s">
        <v>774</v>
      </c>
      <c r="K740" t="s">
        <v>775</v>
      </c>
      <c r="L740" t="s">
        <v>776</v>
      </c>
      <c r="M740" t="s">
        <v>1400</v>
      </c>
      <c r="N740" t="b">
        <v>0</v>
      </c>
    </row>
    <row r="741" spans="1:14">
      <c r="A741">
        <v>43</v>
      </c>
      <c r="B741">
        <v>20</v>
      </c>
      <c r="C741" t="s">
        <v>190</v>
      </c>
      <c r="D741" t="s">
        <v>754</v>
      </c>
      <c r="E741" t="s">
        <v>116</v>
      </c>
      <c r="F741">
        <v>50</v>
      </c>
      <c r="G741" t="s">
        <v>678</v>
      </c>
      <c r="H741" t="s">
        <v>678</v>
      </c>
      <c r="I741" t="s">
        <v>116</v>
      </c>
      <c r="J741" t="s">
        <v>678</v>
      </c>
      <c r="K741" t="s">
        <v>678</v>
      </c>
      <c r="L741" t="s">
        <v>678</v>
      </c>
      <c r="M741" t="s">
        <v>1401</v>
      </c>
      <c r="N741" t="b">
        <v>0</v>
      </c>
    </row>
    <row r="742" spans="1:14">
      <c r="A742">
        <v>43</v>
      </c>
      <c r="B742">
        <v>21</v>
      </c>
      <c r="C742" t="s">
        <v>301</v>
      </c>
      <c r="D742" t="s">
        <v>754</v>
      </c>
      <c r="E742" t="s">
        <v>117</v>
      </c>
      <c r="F742">
        <v>40</v>
      </c>
      <c r="G742" t="s">
        <v>678</v>
      </c>
      <c r="H742" t="s">
        <v>678</v>
      </c>
      <c r="I742" t="s">
        <v>117</v>
      </c>
      <c r="J742" t="s">
        <v>678</v>
      </c>
      <c r="K742" t="s">
        <v>678</v>
      </c>
      <c r="L742" t="s">
        <v>678</v>
      </c>
      <c r="M742" t="s">
        <v>1402</v>
      </c>
      <c r="N742" t="b">
        <v>0</v>
      </c>
    </row>
    <row r="743" spans="1:14">
      <c r="A743">
        <v>43</v>
      </c>
      <c r="B743">
        <v>22</v>
      </c>
      <c r="C743" t="s">
        <v>178</v>
      </c>
      <c r="D743" t="s">
        <v>754</v>
      </c>
      <c r="E743" t="s">
        <v>102</v>
      </c>
      <c r="F743">
        <v>60</v>
      </c>
      <c r="G743" t="s">
        <v>678</v>
      </c>
      <c r="H743" t="s">
        <v>678</v>
      </c>
      <c r="I743" t="s">
        <v>102</v>
      </c>
      <c r="J743" t="s">
        <v>678</v>
      </c>
      <c r="K743" t="s">
        <v>678</v>
      </c>
      <c r="L743" t="s">
        <v>678</v>
      </c>
      <c r="M743" t="s">
        <v>1403</v>
      </c>
      <c r="N743" t="b">
        <v>0</v>
      </c>
    </row>
    <row r="744" spans="1:14">
      <c r="A744">
        <v>43</v>
      </c>
      <c r="B744">
        <v>23</v>
      </c>
      <c r="C744" t="s">
        <v>186</v>
      </c>
      <c r="D744" t="s">
        <v>754</v>
      </c>
      <c r="E744" t="s">
        <v>104</v>
      </c>
      <c r="F744">
        <v>40</v>
      </c>
      <c r="G744" t="s">
        <v>678</v>
      </c>
      <c r="H744" t="s">
        <v>678</v>
      </c>
      <c r="I744" t="s">
        <v>104</v>
      </c>
      <c r="J744" t="s">
        <v>678</v>
      </c>
      <c r="K744" t="s">
        <v>678</v>
      </c>
      <c r="L744" t="s">
        <v>678</v>
      </c>
      <c r="M744" t="s">
        <v>1404</v>
      </c>
      <c r="N744" t="b">
        <v>0</v>
      </c>
    </row>
    <row r="745" spans="1:14">
      <c r="A745">
        <v>43</v>
      </c>
      <c r="B745">
        <v>24</v>
      </c>
      <c r="C745" t="s">
        <v>302</v>
      </c>
      <c r="D745" t="s">
        <v>754</v>
      </c>
      <c r="E745" t="s">
        <v>111</v>
      </c>
      <c r="F745">
        <v>60</v>
      </c>
      <c r="G745" t="s">
        <v>678</v>
      </c>
      <c r="H745" t="s">
        <v>678</v>
      </c>
      <c r="I745" t="s">
        <v>111</v>
      </c>
      <c r="J745" t="s">
        <v>678</v>
      </c>
      <c r="K745" t="s">
        <v>678</v>
      </c>
      <c r="L745" t="s">
        <v>678</v>
      </c>
      <c r="M745" t="s">
        <v>1405</v>
      </c>
      <c r="N745" t="b">
        <v>0</v>
      </c>
    </row>
    <row r="746" spans="1:14">
      <c r="A746">
        <v>43</v>
      </c>
      <c r="B746">
        <v>25</v>
      </c>
      <c r="C746" t="s">
        <v>678</v>
      </c>
      <c r="D746" t="s">
        <v>754</v>
      </c>
      <c r="E746" t="s">
        <v>678</v>
      </c>
      <c r="F746">
        <v>0</v>
      </c>
      <c r="G746" t="s">
        <v>678</v>
      </c>
      <c r="H746" t="s">
        <v>678</v>
      </c>
      <c r="I746" t="s">
        <v>678</v>
      </c>
      <c r="J746" t="s">
        <v>678</v>
      </c>
      <c r="K746" t="s">
        <v>678</v>
      </c>
      <c r="L746" t="s">
        <v>678</v>
      </c>
      <c r="M746" t="s">
        <v>1406</v>
      </c>
      <c r="N746" t="b">
        <v>0</v>
      </c>
    </row>
    <row r="747" spans="1:14">
      <c r="A747">
        <v>43</v>
      </c>
      <c r="B747">
        <v>26</v>
      </c>
      <c r="C747" t="s">
        <v>678</v>
      </c>
      <c r="D747" t="s">
        <v>754</v>
      </c>
      <c r="E747" t="s">
        <v>678</v>
      </c>
      <c r="F747">
        <v>0</v>
      </c>
      <c r="G747" t="s">
        <v>678</v>
      </c>
      <c r="H747" t="s">
        <v>678</v>
      </c>
      <c r="I747" t="s">
        <v>678</v>
      </c>
      <c r="J747" t="s">
        <v>678</v>
      </c>
      <c r="K747" t="s">
        <v>678</v>
      </c>
      <c r="L747" t="s">
        <v>678</v>
      </c>
      <c r="M747" t="s">
        <v>1407</v>
      </c>
      <c r="N747" t="b">
        <v>0</v>
      </c>
    </row>
    <row r="748" spans="1:14">
      <c r="A748">
        <v>44</v>
      </c>
      <c r="B748">
        <v>0</v>
      </c>
      <c r="C748" t="s">
        <v>195</v>
      </c>
      <c r="D748" t="s">
        <v>737</v>
      </c>
      <c r="E748" t="s">
        <v>67</v>
      </c>
      <c r="F748">
        <v>50</v>
      </c>
      <c r="G748" t="s">
        <v>678</v>
      </c>
      <c r="H748" t="s">
        <v>678</v>
      </c>
      <c r="I748" t="s">
        <v>67</v>
      </c>
      <c r="J748" t="s">
        <v>678</v>
      </c>
      <c r="K748" t="s">
        <v>678</v>
      </c>
      <c r="L748" t="s">
        <v>678</v>
      </c>
      <c r="M748" t="s">
        <v>1408</v>
      </c>
      <c r="N748" t="b">
        <v>0</v>
      </c>
    </row>
    <row r="749" spans="1:14">
      <c r="A749">
        <v>44</v>
      </c>
      <c r="B749">
        <v>1</v>
      </c>
      <c r="C749" t="s">
        <v>236</v>
      </c>
      <c r="D749" t="s">
        <v>737</v>
      </c>
      <c r="E749" t="s">
        <v>79</v>
      </c>
      <c r="F749">
        <v>50</v>
      </c>
      <c r="G749" t="s">
        <v>678</v>
      </c>
      <c r="H749" t="s">
        <v>678</v>
      </c>
      <c r="I749" t="s">
        <v>79</v>
      </c>
      <c r="J749" t="s">
        <v>678</v>
      </c>
      <c r="K749" t="s">
        <v>678</v>
      </c>
      <c r="L749" t="s">
        <v>678</v>
      </c>
      <c r="M749" t="s">
        <v>1409</v>
      </c>
      <c r="N749" t="b">
        <v>0</v>
      </c>
    </row>
    <row r="750" spans="1:14">
      <c r="A750">
        <v>44</v>
      </c>
      <c r="B750">
        <v>2</v>
      </c>
      <c r="C750" t="s">
        <v>278</v>
      </c>
      <c r="D750" t="s">
        <v>737</v>
      </c>
      <c r="E750" t="s">
        <v>85</v>
      </c>
      <c r="F750">
        <v>30</v>
      </c>
      <c r="G750" t="s">
        <v>678</v>
      </c>
      <c r="H750" t="s">
        <v>678</v>
      </c>
      <c r="I750" t="s">
        <v>85</v>
      </c>
      <c r="J750" t="s">
        <v>678</v>
      </c>
      <c r="K750" t="s">
        <v>678</v>
      </c>
      <c r="L750" t="s">
        <v>678</v>
      </c>
      <c r="M750" t="s">
        <v>1410</v>
      </c>
      <c r="N750" t="b">
        <v>0</v>
      </c>
    </row>
    <row r="751" spans="1:14">
      <c r="A751">
        <v>44</v>
      </c>
      <c r="B751">
        <v>3</v>
      </c>
      <c r="C751" t="s">
        <v>197</v>
      </c>
      <c r="D751" t="s">
        <v>737</v>
      </c>
      <c r="E751" t="s">
        <v>103</v>
      </c>
      <c r="F751">
        <v>50</v>
      </c>
      <c r="G751" t="s">
        <v>678</v>
      </c>
      <c r="H751" t="s">
        <v>678</v>
      </c>
      <c r="I751" t="s">
        <v>103</v>
      </c>
      <c r="J751" t="s">
        <v>678</v>
      </c>
      <c r="K751" t="s">
        <v>678</v>
      </c>
      <c r="L751" t="s">
        <v>678</v>
      </c>
      <c r="M751" t="s">
        <v>1411</v>
      </c>
      <c r="N751" t="b">
        <v>0</v>
      </c>
    </row>
    <row r="752" spans="1:14">
      <c r="A752">
        <v>44</v>
      </c>
      <c r="B752">
        <v>4</v>
      </c>
      <c r="C752" t="s">
        <v>239</v>
      </c>
      <c r="D752" t="s">
        <v>737</v>
      </c>
      <c r="E752" t="s">
        <v>105</v>
      </c>
      <c r="F752">
        <v>40</v>
      </c>
      <c r="G752" t="s">
        <v>678</v>
      </c>
      <c r="H752" t="s">
        <v>678</v>
      </c>
      <c r="I752" t="s">
        <v>105</v>
      </c>
      <c r="J752" t="s">
        <v>678</v>
      </c>
      <c r="K752" t="s">
        <v>678</v>
      </c>
      <c r="L752" t="s">
        <v>678</v>
      </c>
      <c r="M752" t="s">
        <v>1412</v>
      </c>
      <c r="N752" t="b">
        <v>0</v>
      </c>
    </row>
    <row r="753" spans="1:14">
      <c r="A753">
        <v>44</v>
      </c>
      <c r="B753">
        <v>5</v>
      </c>
      <c r="C753" t="s">
        <v>285</v>
      </c>
      <c r="D753" t="s">
        <v>737</v>
      </c>
      <c r="E753" t="s">
        <v>107</v>
      </c>
      <c r="F753">
        <v>30</v>
      </c>
      <c r="G753" t="s">
        <v>678</v>
      </c>
      <c r="H753" t="s">
        <v>678</v>
      </c>
      <c r="I753" t="s">
        <v>107</v>
      </c>
      <c r="J753" t="s">
        <v>678</v>
      </c>
      <c r="K753" t="s">
        <v>678</v>
      </c>
      <c r="L753" t="s">
        <v>678</v>
      </c>
      <c r="M753" t="s">
        <v>1413</v>
      </c>
      <c r="N753" t="b">
        <v>0</v>
      </c>
    </row>
    <row r="754" spans="1:14">
      <c r="A754">
        <v>44</v>
      </c>
      <c r="B754">
        <v>6</v>
      </c>
      <c r="C754" t="s">
        <v>350</v>
      </c>
      <c r="D754" t="s">
        <v>737</v>
      </c>
      <c r="E754" t="s">
        <v>116</v>
      </c>
      <c r="F754">
        <v>40</v>
      </c>
      <c r="G754" t="s">
        <v>678</v>
      </c>
      <c r="H754" t="s">
        <v>678</v>
      </c>
      <c r="I754" t="s">
        <v>116</v>
      </c>
      <c r="J754" t="s">
        <v>678</v>
      </c>
      <c r="K754" t="s">
        <v>678</v>
      </c>
      <c r="L754" t="s">
        <v>678</v>
      </c>
      <c r="M754" t="s">
        <v>1414</v>
      </c>
      <c r="N754" t="b">
        <v>0</v>
      </c>
    </row>
    <row r="755" spans="1:14">
      <c r="A755">
        <v>44</v>
      </c>
      <c r="B755">
        <v>7</v>
      </c>
      <c r="C755" t="s">
        <v>301</v>
      </c>
      <c r="D755" t="s">
        <v>737</v>
      </c>
      <c r="E755" t="s">
        <v>117</v>
      </c>
      <c r="F755">
        <v>40</v>
      </c>
      <c r="G755" t="s">
        <v>678</v>
      </c>
      <c r="H755" t="s">
        <v>678</v>
      </c>
      <c r="I755" t="s">
        <v>117</v>
      </c>
      <c r="J755" t="s">
        <v>678</v>
      </c>
      <c r="K755" t="s">
        <v>678</v>
      </c>
      <c r="L755" t="s">
        <v>678</v>
      </c>
      <c r="M755" t="s">
        <v>1415</v>
      </c>
      <c r="N755" t="b">
        <v>0</v>
      </c>
    </row>
    <row r="756" spans="1:14">
      <c r="A756">
        <v>44</v>
      </c>
      <c r="B756">
        <v>8</v>
      </c>
      <c r="C756" t="s">
        <v>351</v>
      </c>
      <c r="D756" t="s">
        <v>737</v>
      </c>
      <c r="E756" t="s">
        <v>559</v>
      </c>
      <c r="F756">
        <v>40</v>
      </c>
      <c r="G756" t="s">
        <v>1416</v>
      </c>
      <c r="H756" t="s">
        <v>559</v>
      </c>
      <c r="I756" t="s">
        <v>678</v>
      </c>
      <c r="J756" t="s">
        <v>678</v>
      </c>
      <c r="K756" t="s">
        <v>678</v>
      </c>
      <c r="L756" t="s">
        <v>678</v>
      </c>
      <c r="M756" t="s">
        <v>1417</v>
      </c>
      <c r="N756" t="b">
        <v>0</v>
      </c>
    </row>
    <row r="757" spans="1:14">
      <c r="A757">
        <v>44</v>
      </c>
      <c r="B757">
        <v>9</v>
      </c>
      <c r="C757" t="s">
        <v>176</v>
      </c>
      <c r="D757" t="s">
        <v>737</v>
      </c>
      <c r="E757" t="s">
        <v>76</v>
      </c>
      <c r="F757">
        <v>50</v>
      </c>
      <c r="G757" t="s">
        <v>678</v>
      </c>
      <c r="H757" t="s">
        <v>678</v>
      </c>
      <c r="I757" t="s">
        <v>76</v>
      </c>
      <c r="J757" t="s">
        <v>678</v>
      </c>
      <c r="K757" t="s">
        <v>678</v>
      </c>
      <c r="L757" t="s">
        <v>678</v>
      </c>
      <c r="M757" t="s">
        <v>1418</v>
      </c>
      <c r="N757" t="b">
        <v>0</v>
      </c>
    </row>
    <row r="758" spans="1:14">
      <c r="A758">
        <v>44</v>
      </c>
      <c r="B758">
        <v>10</v>
      </c>
      <c r="C758" t="s">
        <v>352</v>
      </c>
      <c r="D758" t="s">
        <v>737</v>
      </c>
      <c r="E758" t="s">
        <v>106</v>
      </c>
      <c r="F758">
        <v>30</v>
      </c>
      <c r="G758" t="s">
        <v>678</v>
      </c>
      <c r="H758" t="s">
        <v>678</v>
      </c>
      <c r="I758" t="s">
        <v>106</v>
      </c>
      <c r="J758" t="s">
        <v>678</v>
      </c>
      <c r="K758" t="s">
        <v>678</v>
      </c>
      <c r="L758" t="s">
        <v>678</v>
      </c>
      <c r="M758" t="s">
        <v>1419</v>
      </c>
      <c r="N758" t="b">
        <v>0</v>
      </c>
    </row>
    <row r="759" spans="1:14">
      <c r="A759">
        <v>44</v>
      </c>
      <c r="B759">
        <v>11</v>
      </c>
      <c r="C759" t="s">
        <v>179</v>
      </c>
      <c r="D759" t="s">
        <v>737</v>
      </c>
      <c r="E759" t="s">
        <v>110</v>
      </c>
      <c r="F759">
        <v>50</v>
      </c>
      <c r="G759" t="s">
        <v>678</v>
      </c>
      <c r="H759" t="s">
        <v>678</v>
      </c>
      <c r="I759" t="s">
        <v>110</v>
      </c>
      <c r="J759" t="s">
        <v>678</v>
      </c>
      <c r="K759" t="s">
        <v>678</v>
      </c>
      <c r="L759" t="s">
        <v>678</v>
      </c>
      <c r="M759" t="s">
        <v>1420</v>
      </c>
      <c r="N759" t="b">
        <v>0</v>
      </c>
    </row>
    <row r="760" spans="1:14">
      <c r="A760">
        <v>44</v>
      </c>
      <c r="B760">
        <v>12</v>
      </c>
      <c r="C760" t="s">
        <v>242</v>
      </c>
      <c r="D760" t="s">
        <v>737</v>
      </c>
      <c r="E760" t="s">
        <v>112</v>
      </c>
      <c r="F760">
        <v>50</v>
      </c>
      <c r="G760" t="s">
        <v>678</v>
      </c>
      <c r="H760" t="s">
        <v>678</v>
      </c>
      <c r="I760" t="s">
        <v>112</v>
      </c>
      <c r="J760" t="s">
        <v>678</v>
      </c>
      <c r="K760" t="s">
        <v>678</v>
      </c>
      <c r="L760" t="s">
        <v>678</v>
      </c>
      <c r="M760" t="s">
        <v>1421</v>
      </c>
      <c r="N760" t="b">
        <v>0</v>
      </c>
    </row>
    <row r="761" spans="1:14">
      <c r="A761">
        <v>44</v>
      </c>
      <c r="B761">
        <v>13</v>
      </c>
      <c r="C761" t="s">
        <v>678</v>
      </c>
      <c r="D761" t="s">
        <v>737</v>
      </c>
      <c r="E761" t="s">
        <v>678</v>
      </c>
      <c r="F761">
        <v>0</v>
      </c>
      <c r="G761" t="s">
        <v>678</v>
      </c>
      <c r="H761" t="s">
        <v>678</v>
      </c>
      <c r="I761" t="s">
        <v>678</v>
      </c>
      <c r="J761" t="s">
        <v>678</v>
      </c>
      <c r="K761" t="s">
        <v>678</v>
      </c>
      <c r="L761" t="s">
        <v>678</v>
      </c>
      <c r="M761" t="s">
        <v>1422</v>
      </c>
      <c r="N761" t="b">
        <v>0</v>
      </c>
    </row>
    <row r="762" spans="1:14">
      <c r="A762">
        <v>44</v>
      </c>
      <c r="B762">
        <v>14</v>
      </c>
      <c r="C762" t="s">
        <v>678</v>
      </c>
      <c r="D762" t="s">
        <v>737</v>
      </c>
      <c r="E762" t="s">
        <v>678</v>
      </c>
      <c r="F762">
        <v>0</v>
      </c>
      <c r="G762" t="s">
        <v>678</v>
      </c>
      <c r="H762" t="s">
        <v>678</v>
      </c>
      <c r="I762" t="s">
        <v>678</v>
      </c>
      <c r="J762" t="s">
        <v>678</v>
      </c>
      <c r="K762" t="s">
        <v>678</v>
      </c>
      <c r="L762" t="s">
        <v>678</v>
      </c>
      <c r="M762" t="s">
        <v>1423</v>
      </c>
      <c r="N762" t="b">
        <v>0</v>
      </c>
    </row>
    <row r="763" spans="1:14">
      <c r="A763">
        <v>44</v>
      </c>
      <c r="B763">
        <v>15</v>
      </c>
      <c r="C763" t="s">
        <v>678</v>
      </c>
      <c r="D763" t="s">
        <v>737</v>
      </c>
      <c r="E763" t="s">
        <v>678</v>
      </c>
      <c r="F763">
        <v>0</v>
      </c>
      <c r="G763" t="s">
        <v>678</v>
      </c>
      <c r="H763" t="s">
        <v>678</v>
      </c>
      <c r="I763" t="s">
        <v>678</v>
      </c>
      <c r="J763" t="s">
        <v>678</v>
      </c>
      <c r="K763" t="s">
        <v>678</v>
      </c>
      <c r="L763" t="s">
        <v>678</v>
      </c>
      <c r="M763" t="s">
        <v>1424</v>
      </c>
      <c r="N763" t="b">
        <v>0</v>
      </c>
    </row>
    <row r="764" spans="1:14">
      <c r="A764">
        <v>44</v>
      </c>
      <c r="B764">
        <v>16</v>
      </c>
      <c r="C764" t="s">
        <v>300</v>
      </c>
      <c r="D764" t="s">
        <v>754</v>
      </c>
      <c r="E764" t="s">
        <v>77</v>
      </c>
      <c r="F764">
        <v>40</v>
      </c>
      <c r="G764" t="s">
        <v>678</v>
      </c>
      <c r="H764" t="s">
        <v>678</v>
      </c>
      <c r="I764" t="s">
        <v>77</v>
      </c>
      <c r="J764" t="s">
        <v>678</v>
      </c>
      <c r="K764" t="s">
        <v>678</v>
      </c>
      <c r="L764" t="s">
        <v>678</v>
      </c>
      <c r="M764" t="s">
        <v>1425</v>
      </c>
      <c r="N764" t="b">
        <v>0</v>
      </c>
    </row>
    <row r="765" spans="1:14">
      <c r="A765">
        <v>44</v>
      </c>
      <c r="B765">
        <v>17</v>
      </c>
      <c r="C765" t="s">
        <v>220</v>
      </c>
      <c r="D765" t="s">
        <v>754</v>
      </c>
      <c r="E765" t="s">
        <v>90</v>
      </c>
      <c r="F765">
        <v>40</v>
      </c>
      <c r="G765" t="s">
        <v>678</v>
      </c>
      <c r="H765" t="s">
        <v>678</v>
      </c>
      <c r="I765" t="s">
        <v>90</v>
      </c>
      <c r="J765" t="s">
        <v>678</v>
      </c>
      <c r="K765" t="s">
        <v>678</v>
      </c>
      <c r="L765" t="s">
        <v>678</v>
      </c>
      <c r="M765" t="s">
        <v>1426</v>
      </c>
      <c r="N765" t="b">
        <v>0</v>
      </c>
    </row>
    <row r="766" spans="1:14">
      <c r="A766">
        <v>44</v>
      </c>
      <c r="B766">
        <v>18</v>
      </c>
      <c r="C766" t="s">
        <v>189</v>
      </c>
      <c r="D766" t="s">
        <v>754</v>
      </c>
      <c r="E766" t="s">
        <v>555</v>
      </c>
      <c r="F766">
        <v>40</v>
      </c>
      <c r="G766" t="s">
        <v>773</v>
      </c>
      <c r="H766" t="s">
        <v>678</v>
      </c>
      <c r="I766" t="s">
        <v>678</v>
      </c>
      <c r="J766" t="s">
        <v>830</v>
      </c>
      <c r="K766" t="s">
        <v>805</v>
      </c>
      <c r="L766" t="s">
        <v>806</v>
      </c>
      <c r="M766" t="s">
        <v>1427</v>
      </c>
      <c r="N766" t="b">
        <v>0</v>
      </c>
    </row>
    <row r="767" spans="1:14">
      <c r="A767">
        <v>44</v>
      </c>
      <c r="B767">
        <v>19</v>
      </c>
      <c r="C767" t="s">
        <v>228</v>
      </c>
      <c r="D767" t="s">
        <v>754</v>
      </c>
      <c r="E767" t="s">
        <v>99</v>
      </c>
      <c r="F767">
        <v>40</v>
      </c>
      <c r="G767" t="s">
        <v>678</v>
      </c>
      <c r="H767" t="s">
        <v>678</v>
      </c>
      <c r="I767" t="s">
        <v>99</v>
      </c>
      <c r="J767" t="s">
        <v>678</v>
      </c>
      <c r="K767" t="s">
        <v>678</v>
      </c>
      <c r="L767" t="s">
        <v>678</v>
      </c>
      <c r="M767" t="s">
        <v>1428</v>
      </c>
      <c r="N767" t="b">
        <v>0</v>
      </c>
    </row>
    <row r="768" spans="1:14">
      <c r="A768">
        <v>44</v>
      </c>
      <c r="B768">
        <v>20</v>
      </c>
      <c r="C768" t="s">
        <v>169</v>
      </c>
      <c r="D768" t="s">
        <v>754</v>
      </c>
      <c r="E768" t="s">
        <v>308</v>
      </c>
      <c r="F768">
        <v>40</v>
      </c>
      <c r="G768" t="s">
        <v>773</v>
      </c>
      <c r="H768" t="s">
        <v>678</v>
      </c>
      <c r="I768" t="s">
        <v>678</v>
      </c>
      <c r="J768" t="s">
        <v>774</v>
      </c>
      <c r="K768" t="s">
        <v>775</v>
      </c>
      <c r="L768" t="s">
        <v>776</v>
      </c>
      <c r="M768" t="s">
        <v>1429</v>
      </c>
      <c r="N768" t="b">
        <v>0</v>
      </c>
    </row>
    <row r="769" spans="1:14">
      <c r="A769">
        <v>44</v>
      </c>
      <c r="B769">
        <v>21</v>
      </c>
      <c r="C769" t="s">
        <v>186</v>
      </c>
      <c r="D769" t="s">
        <v>754</v>
      </c>
      <c r="E769" t="s">
        <v>104</v>
      </c>
      <c r="F769">
        <v>40</v>
      </c>
      <c r="G769" t="s">
        <v>678</v>
      </c>
      <c r="H769" t="s">
        <v>678</v>
      </c>
      <c r="I769" t="s">
        <v>104</v>
      </c>
      <c r="J769" t="s">
        <v>678</v>
      </c>
      <c r="K769" t="s">
        <v>678</v>
      </c>
      <c r="L769" t="s">
        <v>678</v>
      </c>
      <c r="M769" t="s">
        <v>1430</v>
      </c>
      <c r="N769" t="b">
        <v>0</v>
      </c>
    </row>
    <row r="770" spans="1:14">
      <c r="A770">
        <v>44</v>
      </c>
      <c r="B770">
        <v>22</v>
      </c>
      <c r="C770" t="s">
        <v>678</v>
      </c>
      <c r="D770" t="s">
        <v>754</v>
      </c>
      <c r="E770" t="s">
        <v>678</v>
      </c>
      <c r="F770">
        <v>0</v>
      </c>
      <c r="G770" t="s">
        <v>678</v>
      </c>
      <c r="H770" t="s">
        <v>678</v>
      </c>
      <c r="I770" t="s">
        <v>678</v>
      </c>
      <c r="J770" t="s">
        <v>678</v>
      </c>
      <c r="K770" t="s">
        <v>678</v>
      </c>
      <c r="L770" t="s">
        <v>678</v>
      </c>
      <c r="M770" t="s">
        <v>1431</v>
      </c>
      <c r="N770" t="b">
        <v>0</v>
      </c>
    </row>
    <row r="771" spans="1:14">
      <c r="A771">
        <v>44</v>
      </c>
      <c r="B771">
        <v>23</v>
      </c>
      <c r="C771" t="s">
        <v>678</v>
      </c>
      <c r="D771" t="s">
        <v>754</v>
      </c>
      <c r="E771" t="s">
        <v>678</v>
      </c>
      <c r="F771">
        <v>0</v>
      </c>
      <c r="G771" t="s">
        <v>678</v>
      </c>
      <c r="H771" t="s">
        <v>678</v>
      </c>
      <c r="I771" t="s">
        <v>678</v>
      </c>
      <c r="J771" t="s">
        <v>678</v>
      </c>
      <c r="K771" t="s">
        <v>678</v>
      </c>
      <c r="L771" t="s">
        <v>678</v>
      </c>
      <c r="M771" t="s">
        <v>1432</v>
      </c>
      <c r="N771" t="b">
        <v>0</v>
      </c>
    </row>
    <row r="772" spans="1:14">
      <c r="A772">
        <v>44</v>
      </c>
      <c r="B772">
        <v>24</v>
      </c>
      <c r="C772" t="s">
        <v>678</v>
      </c>
      <c r="D772" t="s">
        <v>754</v>
      </c>
      <c r="E772" t="s">
        <v>678</v>
      </c>
      <c r="F772">
        <v>0</v>
      </c>
      <c r="G772" t="s">
        <v>678</v>
      </c>
      <c r="H772" t="s">
        <v>678</v>
      </c>
      <c r="I772" t="s">
        <v>678</v>
      </c>
      <c r="J772" t="s">
        <v>678</v>
      </c>
      <c r="K772" t="s">
        <v>678</v>
      </c>
      <c r="L772" t="s">
        <v>678</v>
      </c>
      <c r="M772" t="s">
        <v>1433</v>
      </c>
      <c r="N772" t="b">
        <v>0</v>
      </c>
    </row>
    <row r="773" spans="1:14">
      <c r="A773">
        <v>44</v>
      </c>
      <c r="B773">
        <v>25</v>
      </c>
      <c r="C773" t="s">
        <v>678</v>
      </c>
      <c r="D773" t="s">
        <v>754</v>
      </c>
      <c r="E773" t="s">
        <v>678</v>
      </c>
      <c r="F773">
        <v>0</v>
      </c>
      <c r="G773" t="s">
        <v>678</v>
      </c>
      <c r="H773" t="s">
        <v>678</v>
      </c>
      <c r="I773" t="s">
        <v>678</v>
      </c>
      <c r="J773" t="s">
        <v>678</v>
      </c>
      <c r="K773" t="s">
        <v>678</v>
      </c>
      <c r="L773" t="s">
        <v>678</v>
      </c>
      <c r="M773" t="s">
        <v>1434</v>
      </c>
      <c r="N773" t="b">
        <v>0</v>
      </c>
    </row>
    <row r="774" spans="1:14">
      <c r="A774">
        <v>44</v>
      </c>
      <c r="B774">
        <v>26</v>
      </c>
      <c r="C774" t="s">
        <v>678</v>
      </c>
      <c r="D774" t="s">
        <v>754</v>
      </c>
      <c r="E774" t="s">
        <v>678</v>
      </c>
      <c r="F774">
        <v>0</v>
      </c>
      <c r="G774" t="s">
        <v>678</v>
      </c>
      <c r="H774" t="s">
        <v>678</v>
      </c>
      <c r="I774" t="s">
        <v>678</v>
      </c>
      <c r="J774" t="s">
        <v>678</v>
      </c>
      <c r="K774" t="s">
        <v>678</v>
      </c>
      <c r="L774" t="s">
        <v>678</v>
      </c>
      <c r="M774" t="s">
        <v>1435</v>
      </c>
      <c r="N774" t="b">
        <v>0</v>
      </c>
    </row>
    <row r="775" spans="1:14">
      <c r="A775">
        <v>46</v>
      </c>
      <c r="B775">
        <v>0</v>
      </c>
      <c r="C775" t="s">
        <v>195</v>
      </c>
      <c r="D775" t="s">
        <v>737</v>
      </c>
      <c r="E775" t="s">
        <v>67</v>
      </c>
      <c r="F775">
        <v>50</v>
      </c>
      <c r="G775" t="s">
        <v>678</v>
      </c>
      <c r="H775" t="s">
        <v>678</v>
      </c>
      <c r="I775" t="s">
        <v>67</v>
      </c>
      <c r="J775" t="s">
        <v>678</v>
      </c>
      <c r="K775" t="s">
        <v>678</v>
      </c>
      <c r="L775" t="s">
        <v>678</v>
      </c>
      <c r="M775" t="s">
        <v>1436</v>
      </c>
      <c r="N775" t="b">
        <v>0</v>
      </c>
    </row>
    <row r="776" spans="1:14">
      <c r="A776">
        <v>46</v>
      </c>
      <c r="B776">
        <v>1</v>
      </c>
      <c r="C776" t="s">
        <v>227</v>
      </c>
      <c r="D776" t="s">
        <v>737</v>
      </c>
      <c r="E776" t="s">
        <v>79</v>
      </c>
      <c r="F776">
        <v>60</v>
      </c>
      <c r="G776" t="s">
        <v>678</v>
      </c>
      <c r="H776" t="s">
        <v>678</v>
      </c>
      <c r="I776" t="s">
        <v>79</v>
      </c>
      <c r="J776" t="s">
        <v>678</v>
      </c>
      <c r="K776" t="s">
        <v>678</v>
      </c>
      <c r="L776" t="s">
        <v>678</v>
      </c>
      <c r="M776" t="s">
        <v>1437</v>
      </c>
      <c r="N776" t="b">
        <v>0</v>
      </c>
    </row>
    <row r="777" spans="1:14">
      <c r="A777">
        <v>46</v>
      </c>
      <c r="B777">
        <v>2</v>
      </c>
      <c r="C777" t="s">
        <v>228</v>
      </c>
      <c r="D777" t="s">
        <v>737</v>
      </c>
      <c r="E777" t="s">
        <v>99</v>
      </c>
      <c r="F777">
        <v>40</v>
      </c>
      <c r="G777" t="s">
        <v>678</v>
      </c>
      <c r="H777" t="s">
        <v>678</v>
      </c>
      <c r="I777" t="s">
        <v>99</v>
      </c>
      <c r="J777" t="s">
        <v>678</v>
      </c>
      <c r="K777" t="s">
        <v>678</v>
      </c>
      <c r="L777" t="s">
        <v>678</v>
      </c>
      <c r="M777" t="s">
        <v>1438</v>
      </c>
      <c r="N777" t="b">
        <v>0</v>
      </c>
    </row>
    <row r="778" spans="1:14">
      <c r="A778">
        <v>46</v>
      </c>
      <c r="B778">
        <v>3</v>
      </c>
      <c r="C778" t="s">
        <v>229</v>
      </c>
      <c r="D778" t="s">
        <v>737</v>
      </c>
      <c r="E778" t="s">
        <v>105</v>
      </c>
      <c r="F778">
        <v>60</v>
      </c>
      <c r="G778" t="s">
        <v>678</v>
      </c>
      <c r="H778" t="s">
        <v>678</v>
      </c>
      <c r="I778" t="s">
        <v>105</v>
      </c>
      <c r="J778" t="s">
        <v>678</v>
      </c>
      <c r="K778" t="s">
        <v>678</v>
      </c>
      <c r="L778" t="s">
        <v>678</v>
      </c>
      <c r="M778" t="s">
        <v>1439</v>
      </c>
      <c r="N778" t="b">
        <v>0</v>
      </c>
    </row>
    <row r="779" spans="1:14">
      <c r="A779">
        <v>46</v>
      </c>
      <c r="B779">
        <v>4</v>
      </c>
      <c r="C779" t="s">
        <v>356</v>
      </c>
      <c r="D779" t="s">
        <v>766</v>
      </c>
      <c r="E779" t="s">
        <v>308</v>
      </c>
      <c r="F779">
        <v>20</v>
      </c>
      <c r="G779" t="s">
        <v>773</v>
      </c>
      <c r="H779" t="s">
        <v>678</v>
      </c>
      <c r="I779" t="s">
        <v>678</v>
      </c>
      <c r="J779" t="s">
        <v>774</v>
      </c>
      <c r="K779" t="s">
        <v>775</v>
      </c>
      <c r="L779" t="s">
        <v>776</v>
      </c>
      <c r="M779" t="s">
        <v>1440</v>
      </c>
      <c r="N779" t="b">
        <v>0</v>
      </c>
    </row>
    <row r="780" spans="1:14">
      <c r="A780">
        <v>46</v>
      </c>
      <c r="B780">
        <v>5</v>
      </c>
      <c r="C780" t="s">
        <v>207</v>
      </c>
      <c r="D780" t="s">
        <v>737</v>
      </c>
      <c r="E780" t="s">
        <v>117</v>
      </c>
      <c r="F780">
        <v>50</v>
      </c>
      <c r="G780" t="s">
        <v>678</v>
      </c>
      <c r="H780" t="s">
        <v>678</v>
      </c>
      <c r="I780" t="s">
        <v>117</v>
      </c>
      <c r="J780" t="s">
        <v>678</v>
      </c>
      <c r="K780" t="s">
        <v>678</v>
      </c>
      <c r="L780" t="s">
        <v>678</v>
      </c>
      <c r="M780" t="s">
        <v>1441</v>
      </c>
      <c r="N780" t="b">
        <v>0</v>
      </c>
    </row>
    <row r="781" spans="1:14">
      <c r="A781">
        <v>46</v>
      </c>
      <c r="B781">
        <v>6</v>
      </c>
      <c r="C781" t="s">
        <v>264</v>
      </c>
      <c r="D781" t="s">
        <v>737</v>
      </c>
      <c r="E781" t="s">
        <v>119</v>
      </c>
      <c r="F781">
        <v>40</v>
      </c>
      <c r="G781" t="s">
        <v>678</v>
      </c>
      <c r="H781" t="s">
        <v>678</v>
      </c>
      <c r="I781" t="s">
        <v>119</v>
      </c>
      <c r="J781" t="s">
        <v>678</v>
      </c>
      <c r="K781" t="s">
        <v>678</v>
      </c>
      <c r="L781" t="s">
        <v>678</v>
      </c>
      <c r="M781" t="s">
        <v>1442</v>
      </c>
      <c r="N781" t="b">
        <v>0</v>
      </c>
    </row>
    <row r="782" spans="1:14">
      <c r="A782">
        <v>46</v>
      </c>
      <c r="B782">
        <v>7</v>
      </c>
      <c r="C782" t="s">
        <v>230</v>
      </c>
      <c r="D782" t="s">
        <v>737</v>
      </c>
      <c r="E782" t="s">
        <v>70</v>
      </c>
      <c r="F782">
        <v>50</v>
      </c>
      <c r="G782" t="s">
        <v>678</v>
      </c>
      <c r="H782" t="s">
        <v>678</v>
      </c>
      <c r="I782" t="s">
        <v>70</v>
      </c>
      <c r="J782" t="s">
        <v>678</v>
      </c>
      <c r="K782" t="s">
        <v>678</v>
      </c>
      <c r="L782" t="s">
        <v>678</v>
      </c>
      <c r="M782" t="s">
        <v>1443</v>
      </c>
      <c r="N782" t="b">
        <v>0</v>
      </c>
    </row>
    <row r="783" spans="1:14">
      <c r="A783">
        <v>46</v>
      </c>
      <c r="B783">
        <v>8</v>
      </c>
      <c r="C783" t="s">
        <v>231</v>
      </c>
      <c r="D783" t="s">
        <v>737</v>
      </c>
      <c r="E783" t="s">
        <v>342</v>
      </c>
      <c r="F783">
        <v>60</v>
      </c>
      <c r="G783" t="s">
        <v>678</v>
      </c>
      <c r="H783" t="s">
        <v>559</v>
      </c>
      <c r="I783" t="s">
        <v>456</v>
      </c>
      <c r="J783" t="s">
        <v>678</v>
      </c>
      <c r="K783" t="s">
        <v>934</v>
      </c>
      <c r="L783" t="s">
        <v>935</v>
      </c>
      <c r="M783" t="s">
        <v>1444</v>
      </c>
      <c r="N783" t="b">
        <v>0</v>
      </c>
    </row>
    <row r="784" spans="1:14">
      <c r="A784">
        <v>46</v>
      </c>
      <c r="B784">
        <v>9</v>
      </c>
      <c r="C784" t="s">
        <v>176</v>
      </c>
      <c r="D784" t="s">
        <v>737</v>
      </c>
      <c r="E784" t="s">
        <v>76</v>
      </c>
      <c r="F784">
        <v>50</v>
      </c>
      <c r="G784" t="s">
        <v>678</v>
      </c>
      <c r="H784" t="s">
        <v>678</v>
      </c>
      <c r="I784" t="s">
        <v>76</v>
      </c>
      <c r="J784" t="s">
        <v>678</v>
      </c>
      <c r="K784" t="s">
        <v>678</v>
      </c>
      <c r="L784" t="s">
        <v>678</v>
      </c>
      <c r="M784" t="s">
        <v>1445</v>
      </c>
      <c r="N784" t="b">
        <v>0</v>
      </c>
    </row>
    <row r="785" spans="1:14">
      <c r="A785">
        <v>46</v>
      </c>
      <c r="B785">
        <v>10</v>
      </c>
      <c r="C785" t="s">
        <v>172</v>
      </c>
      <c r="D785" t="s">
        <v>737</v>
      </c>
      <c r="E785" t="s">
        <v>80</v>
      </c>
      <c r="F785">
        <v>40</v>
      </c>
      <c r="G785" t="s">
        <v>678</v>
      </c>
      <c r="H785" t="s">
        <v>678</v>
      </c>
      <c r="I785" t="s">
        <v>80</v>
      </c>
      <c r="J785" t="s">
        <v>678</v>
      </c>
      <c r="K785" t="s">
        <v>678</v>
      </c>
      <c r="L785" t="s">
        <v>678</v>
      </c>
      <c r="M785" t="s">
        <v>1446</v>
      </c>
      <c r="N785" t="b">
        <v>0</v>
      </c>
    </row>
    <row r="786" spans="1:14">
      <c r="A786">
        <v>46</v>
      </c>
      <c r="B786">
        <v>11</v>
      </c>
      <c r="C786" t="s">
        <v>232</v>
      </c>
      <c r="D786" t="s">
        <v>737</v>
      </c>
      <c r="E786" t="s">
        <v>106</v>
      </c>
      <c r="F786">
        <v>50</v>
      </c>
      <c r="G786" t="s">
        <v>678</v>
      </c>
      <c r="H786" t="s">
        <v>678</v>
      </c>
      <c r="I786" t="s">
        <v>106</v>
      </c>
      <c r="J786" t="s">
        <v>678</v>
      </c>
      <c r="K786" t="s">
        <v>678</v>
      </c>
      <c r="L786" t="s">
        <v>678</v>
      </c>
      <c r="M786" t="s">
        <v>1447</v>
      </c>
      <c r="N786" t="b">
        <v>0</v>
      </c>
    </row>
    <row r="787" spans="1:14">
      <c r="A787">
        <v>46</v>
      </c>
      <c r="B787">
        <v>12</v>
      </c>
      <c r="C787" t="s">
        <v>179</v>
      </c>
      <c r="D787" t="s">
        <v>737</v>
      </c>
      <c r="E787" t="s">
        <v>110</v>
      </c>
      <c r="F787">
        <v>50</v>
      </c>
      <c r="G787" t="s">
        <v>678</v>
      </c>
      <c r="H787" t="s">
        <v>678</v>
      </c>
      <c r="I787" t="s">
        <v>110</v>
      </c>
      <c r="J787" t="s">
        <v>678</v>
      </c>
      <c r="K787" t="s">
        <v>678</v>
      </c>
      <c r="L787" t="s">
        <v>678</v>
      </c>
      <c r="M787" t="s">
        <v>1448</v>
      </c>
      <c r="N787" t="b">
        <v>0</v>
      </c>
    </row>
    <row r="788" spans="1:14">
      <c r="A788">
        <v>46</v>
      </c>
      <c r="B788">
        <v>13</v>
      </c>
      <c r="C788" t="s">
        <v>233</v>
      </c>
      <c r="D788" t="s">
        <v>737</v>
      </c>
      <c r="E788" t="s">
        <v>111</v>
      </c>
      <c r="F788">
        <v>50</v>
      </c>
      <c r="G788" t="s">
        <v>678</v>
      </c>
      <c r="H788" t="s">
        <v>678</v>
      </c>
      <c r="I788" t="s">
        <v>111</v>
      </c>
      <c r="J788" t="s">
        <v>678</v>
      </c>
      <c r="K788" t="s">
        <v>678</v>
      </c>
      <c r="L788" t="s">
        <v>678</v>
      </c>
      <c r="M788" t="s">
        <v>1449</v>
      </c>
      <c r="N788" t="b">
        <v>0</v>
      </c>
    </row>
    <row r="789" spans="1:14">
      <c r="A789">
        <v>46</v>
      </c>
      <c r="B789">
        <v>14</v>
      </c>
      <c r="C789" t="s">
        <v>204</v>
      </c>
      <c r="D789" t="s">
        <v>737</v>
      </c>
      <c r="E789" t="s">
        <v>112</v>
      </c>
      <c r="F789">
        <v>60</v>
      </c>
      <c r="G789" t="s">
        <v>678</v>
      </c>
      <c r="H789" t="s">
        <v>678</v>
      </c>
      <c r="I789" t="s">
        <v>112</v>
      </c>
      <c r="J789" t="s">
        <v>678</v>
      </c>
      <c r="K789" t="s">
        <v>678</v>
      </c>
      <c r="L789" t="s">
        <v>678</v>
      </c>
      <c r="M789" t="s">
        <v>1450</v>
      </c>
      <c r="N789" t="b">
        <v>0</v>
      </c>
    </row>
    <row r="790" spans="1:14">
      <c r="A790">
        <v>46</v>
      </c>
      <c r="B790">
        <v>15</v>
      </c>
      <c r="C790" t="s">
        <v>678</v>
      </c>
      <c r="D790" t="s">
        <v>737</v>
      </c>
      <c r="E790" t="s">
        <v>678</v>
      </c>
      <c r="F790">
        <v>0</v>
      </c>
      <c r="G790" t="s">
        <v>678</v>
      </c>
      <c r="H790" t="s">
        <v>678</v>
      </c>
      <c r="I790" t="s">
        <v>678</v>
      </c>
      <c r="J790" t="s">
        <v>678</v>
      </c>
      <c r="K790" t="s">
        <v>678</v>
      </c>
      <c r="L790" t="s">
        <v>678</v>
      </c>
      <c r="M790" t="s">
        <v>1451</v>
      </c>
      <c r="N790" t="b">
        <v>0</v>
      </c>
    </row>
    <row r="791" spans="1:14">
      <c r="A791">
        <v>46</v>
      </c>
      <c r="B791">
        <v>16</v>
      </c>
      <c r="C791" t="s">
        <v>678</v>
      </c>
      <c r="D791" t="s">
        <v>754</v>
      </c>
      <c r="E791" t="s">
        <v>678</v>
      </c>
      <c r="F791">
        <v>0</v>
      </c>
      <c r="G791" t="s">
        <v>678</v>
      </c>
      <c r="H791" t="s">
        <v>678</v>
      </c>
      <c r="I791" t="s">
        <v>678</v>
      </c>
      <c r="J791" t="s">
        <v>678</v>
      </c>
      <c r="K791" t="s">
        <v>678</v>
      </c>
      <c r="L791" t="s">
        <v>678</v>
      </c>
      <c r="M791" t="s">
        <v>1452</v>
      </c>
      <c r="N791" t="b">
        <v>0</v>
      </c>
    </row>
    <row r="792" spans="1:14">
      <c r="A792">
        <v>46</v>
      </c>
      <c r="B792">
        <v>17</v>
      </c>
      <c r="C792" t="s">
        <v>678</v>
      </c>
      <c r="D792" t="s">
        <v>754</v>
      </c>
      <c r="E792" t="s">
        <v>678</v>
      </c>
      <c r="F792">
        <v>0</v>
      </c>
      <c r="G792" t="s">
        <v>678</v>
      </c>
      <c r="H792" t="s">
        <v>678</v>
      </c>
      <c r="I792" t="s">
        <v>678</v>
      </c>
      <c r="J792" t="s">
        <v>678</v>
      </c>
      <c r="K792" t="s">
        <v>678</v>
      </c>
      <c r="L792" t="s">
        <v>678</v>
      </c>
      <c r="M792" t="s">
        <v>1453</v>
      </c>
      <c r="N792" t="b">
        <v>0</v>
      </c>
    </row>
    <row r="793" spans="1:14">
      <c r="A793">
        <v>46</v>
      </c>
      <c r="B793">
        <v>18</v>
      </c>
      <c r="C793" t="s">
        <v>678</v>
      </c>
      <c r="D793" t="s">
        <v>754</v>
      </c>
      <c r="E793" t="s">
        <v>678</v>
      </c>
      <c r="F793">
        <v>0</v>
      </c>
      <c r="G793" t="s">
        <v>678</v>
      </c>
      <c r="H793" t="s">
        <v>678</v>
      </c>
      <c r="I793" t="s">
        <v>678</v>
      </c>
      <c r="J793" t="s">
        <v>678</v>
      </c>
      <c r="K793" t="s">
        <v>678</v>
      </c>
      <c r="L793" t="s">
        <v>678</v>
      </c>
      <c r="M793" t="s">
        <v>1454</v>
      </c>
      <c r="N793" t="b">
        <v>0</v>
      </c>
    </row>
    <row r="794" spans="1:14">
      <c r="A794">
        <v>46</v>
      </c>
      <c r="B794">
        <v>19</v>
      </c>
      <c r="C794" t="s">
        <v>678</v>
      </c>
      <c r="D794" t="s">
        <v>754</v>
      </c>
      <c r="E794" t="s">
        <v>678</v>
      </c>
      <c r="F794">
        <v>0</v>
      </c>
      <c r="G794" t="s">
        <v>678</v>
      </c>
      <c r="H794" t="s">
        <v>678</v>
      </c>
      <c r="I794" t="s">
        <v>678</v>
      </c>
      <c r="J794" t="s">
        <v>678</v>
      </c>
      <c r="K794" t="s">
        <v>678</v>
      </c>
      <c r="L794" t="s">
        <v>678</v>
      </c>
      <c r="M794" t="s">
        <v>1455</v>
      </c>
      <c r="N794" t="b">
        <v>0</v>
      </c>
    </row>
    <row r="795" spans="1:14">
      <c r="A795">
        <v>46</v>
      </c>
      <c r="B795">
        <v>20</v>
      </c>
      <c r="C795" t="s">
        <v>678</v>
      </c>
      <c r="D795" t="s">
        <v>754</v>
      </c>
      <c r="E795" t="s">
        <v>678</v>
      </c>
      <c r="F795">
        <v>0</v>
      </c>
      <c r="G795" t="s">
        <v>678</v>
      </c>
      <c r="H795" t="s">
        <v>678</v>
      </c>
      <c r="I795" t="s">
        <v>678</v>
      </c>
      <c r="J795" t="s">
        <v>678</v>
      </c>
      <c r="K795" t="s">
        <v>678</v>
      </c>
      <c r="L795" t="s">
        <v>678</v>
      </c>
      <c r="M795" t="s">
        <v>1456</v>
      </c>
      <c r="N795" t="b">
        <v>0</v>
      </c>
    </row>
    <row r="796" spans="1:14">
      <c r="A796">
        <v>46</v>
      </c>
      <c r="B796">
        <v>21</v>
      </c>
      <c r="C796" t="s">
        <v>678</v>
      </c>
      <c r="D796" t="s">
        <v>754</v>
      </c>
      <c r="E796" t="s">
        <v>678</v>
      </c>
      <c r="F796">
        <v>0</v>
      </c>
      <c r="G796" t="s">
        <v>678</v>
      </c>
      <c r="H796" t="s">
        <v>678</v>
      </c>
      <c r="I796" t="s">
        <v>678</v>
      </c>
      <c r="J796" t="s">
        <v>678</v>
      </c>
      <c r="K796" t="s">
        <v>678</v>
      </c>
      <c r="L796" t="s">
        <v>678</v>
      </c>
      <c r="M796" t="s">
        <v>1457</v>
      </c>
      <c r="N796" t="b">
        <v>0</v>
      </c>
    </row>
    <row r="797" spans="1:14">
      <c r="A797">
        <v>46</v>
      </c>
      <c r="B797">
        <v>22</v>
      </c>
      <c r="C797" t="s">
        <v>678</v>
      </c>
      <c r="D797" t="s">
        <v>754</v>
      </c>
      <c r="E797" t="s">
        <v>678</v>
      </c>
      <c r="F797">
        <v>0</v>
      </c>
      <c r="G797" t="s">
        <v>678</v>
      </c>
      <c r="H797" t="s">
        <v>678</v>
      </c>
      <c r="I797" t="s">
        <v>678</v>
      </c>
      <c r="J797" t="s">
        <v>678</v>
      </c>
      <c r="K797" t="s">
        <v>678</v>
      </c>
      <c r="L797" t="s">
        <v>678</v>
      </c>
      <c r="M797" t="s">
        <v>1458</v>
      </c>
      <c r="N797" t="b">
        <v>0</v>
      </c>
    </row>
    <row r="798" spans="1:14">
      <c r="A798">
        <v>46</v>
      </c>
      <c r="B798">
        <v>23</v>
      </c>
      <c r="C798" t="s">
        <v>678</v>
      </c>
      <c r="D798" t="s">
        <v>754</v>
      </c>
      <c r="E798" t="s">
        <v>678</v>
      </c>
      <c r="F798">
        <v>0</v>
      </c>
      <c r="G798" t="s">
        <v>678</v>
      </c>
      <c r="H798" t="s">
        <v>678</v>
      </c>
      <c r="I798" t="s">
        <v>678</v>
      </c>
      <c r="J798" t="s">
        <v>678</v>
      </c>
      <c r="K798" t="s">
        <v>678</v>
      </c>
      <c r="L798" t="s">
        <v>678</v>
      </c>
      <c r="M798" t="s">
        <v>1459</v>
      </c>
      <c r="N798" t="b">
        <v>0</v>
      </c>
    </row>
    <row r="799" spans="1:14">
      <c r="A799">
        <v>46</v>
      </c>
      <c r="B799">
        <v>24</v>
      </c>
      <c r="C799" t="s">
        <v>678</v>
      </c>
      <c r="D799" t="s">
        <v>754</v>
      </c>
      <c r="E799" t="s">
        <v>678</v>
      </c>
      <c r="F799">
        <v>0</v>
      </c>
      <c r="G799" t="s">
        <v>678</v>
      </c>
      <c r="H799" t="s">
        <v>678</v>
      </c>
      <c r="I799" t="s">
        <v>678</v>
      </c>
      <c r="J799" t="s">
        <v>678</v>
      </c>
      <c r="K799" t="s">
        <v>678</v>
      </c>
      <c r="L799" t="s">
        <v>678</v>
      </c>
      <c r="M799" t="s">
        <v>1460</v>
      </c>
      <c r="N799" t="b">
        <v>0</v>
      </c>
    </row>
    <row r="800" spans="1:14">
      <c r="A800">
        <v>46</v>
      </c>
      <c r="B800">
        <v>25</v>
      </c>
      <c r="C800" t="s">
        <v>678</v>
      </c>
      <c r="D800" t="s">
        <v>754</v>
      </c>
      <c r="E800" t="s">
        <v>678</v>
      </c>
      <c r="F800">
        <v>0</v>
      </c>
      <c r="G800" t="s">
        <v>678</v>
      </c>
      <c r="H800" t="s">
        <v>678</v>
      </c>
      <c r="I800" t="s">
        <v>678</v>
      </c>
      <c r="J800" t="s">
        <v>678</v>
      </c>
      <c r="K800" t="s">
        <v>678</v>
      </c>
      <c r="L800" t="s">
        <v>678</v>
      </c>
      <c r="M800" t="s">
        <v>1461</v>
      </c>
      <c r="N800" t="b">
        <v>0</v>
      </c>
    </row>
    <row r="801" spans="1:14">
      <c r="A801">
        <v>46</v>
      </c>
      <c r="B801">
        <v>26</v>
      </c>
      <c r="C801" t="s">
        <v>678</v>
      </c>
      <c r="D801" t="s">
        <v>754</v>
      </c>
      <c r="E801" t="s">
        <v>678</v>
      </c>
      <c r="F801">
        <v>0</v>
      </c>
      <c r="G801" t="s">
        <v>678</v>
      </c>
      <c r="H801" t="s">
        <v>678</v>
      </c>
      <c r="I801" t="s">
        <v>678</v>
      </c>
      <c r="J801" t="s">
        <v>678</v>
      </c>
      <c r="K801" t="s">
        <v>678</v>
      </c>
      <c r="L801" t="s">
        <v>678</v>
      </c>
      <c r="M801" t="s">
        <v>1462</v>
      </c>
      <c r="N801" t="b">
        <v>0</v>
      </c>
    </row>
    <row r="802" spans="1:14">
      <c r="A802">
        <v>48</v>
      </c>
      <c r="B802">
        <v>0</v>
      </c>
      <c r="C802" t="s">
        <v>195</v>
      </c>
      <c r="D802" t="s">
        <v>737</v>
      </c>
      <c r="E802" t="s">
        <v>67</v>
      </c>
      <c r="F802">
        <v>50</v>
      </c>
      <c r="G802" t="s">
        <v>678</v>
      </c>
      <c r="H802" t="s">
        <v>678</v>
      </c>
      <c r="I802" t="s">
        <v>67</v>
      </c>
      <c r="J802" t="s">
        <v>678</v>
      </c>
      <c r="K802" t="s">
        <v>678</v>
      </c>
      <c r="L802" t="s">
        <v>678</v>
      </c>
      <c r="M802" t="s">
        <v>1463</v>
      </c>
      <c r="N802" t="b">
        <v>0</v>
      </c>
    </row>
    <row r="803" spans="1:14">
      <c r="A803">
        <v>48</v>
      </c>
      <c r="B803">
        <v>1</v>
      </c>
      <c r="C803" t="s">
        <v>236</v>
      </c>
      <c r="D803" t="s">
        <v>737</v>
      </c>
      <c r="E803" t="s">
        <v>79</v>
      </c>
      <c r="F803">
        <v>50</v>
      </c>
      <c r="G803" t="s">
        <v>678</v>
      </c>
      <c r="H803" t="s">
        <v>678</v>
      </c>
      <c r="I803" t="s">
        <v>79</v>
      </c>
      <c r="J803" t="s">
        <v>678</v>
      </c>
      <c r="K803" t="s">
        <v>678</v>
      </c>
      <c r="L803" t="s">
        <v>678</v>
      </c>
      <c r="M803" t="s">
        <v>1464</v>
      </c>
      <c r="N803" t="b">
        <v>0</v>
      </c>
    </row>
    <row r="804" spans="1:14">
      <c r="A804">
        <v>48</v>
      </c>
      <c r="B804">
        <v>2</v>
      </c>
      <c r="C804" t="s">
        <v>278</v>
      </c>
      <c r="D804" t="s">
        <v>737</v>
      </c>
      <c r="E804" t="s">
        <v>85</v>
      </c>
      <c r="F804">
        <v>30</v>
      </c>
      <c r="G804" t="s">
        <v>678</v>
      </c>
      <c r="H804" t="s">
        <v>678</v>
      </c>
      <c r="I804" t="s">
        <v>85</v>
      </c>
      <c r="J804" t="s">
        <v>678</v>
      </c>
      <c r="K804" t="s">
        <v>678</v>
      </c>
      <c r="L804" t="s">
        <v>678</v>
      </c>
      <c r="M804" t="s">
        <v>1465</v>
      </c>
      <c r="N804" t="b">
        <v>0</v>
      </c>
    </row>
    <row r="805" spans="1:14">
      <c r="A805">
        <v>48</v>
      </c>
      <c r="B805">
        <v>3</v>
      </c>
      <c r="C805" t="s">
        <v>261</v>
      </c>
      <c r="D805" t="s">
        <v>737</v>
      </c>
      <c r="E805" t="s">
        <v>103</v>
      </c>
      <c r="F805">
        <v>40</v>
      </c>
      <c r="G805" t="s">
        <v>678</v>
      </c>
      <c r="H805" t="s">
        <v>678</v>
      </c>
      <c r="I805" t="s">
        <v>103</v>
      </c>
      <c r="J805" t="s">
        <v>678</v>
      </c>
      <c r="K805" t="s">
        <v>678</v>
      </c>
      <c r="L805" t="s">
        <v>678</v>
      </c>
      <c r="M805" t="s">
        <v>1466</v>
      </c>
      <c r="N805" t="b">
        <v>0</v>
      </c>
    </row>
    <row r="806" spans="1:14">
      <c r="A806">
        <v>48</v>
      </c>
      <c r="B806">
        <v>4</v>
      </c>
      <c r="C806" t="s">
        <v>239</v>
      </c>
      <c r="D806" t="s">
        <v>737</v>
      </c>
      <c r="E806" t="s">
        <v>105</v>
      </c>
      <c r="F806">
        <v>40</v>
      </c>
      <c r="G806" t="s">
        <v>678</v>
      </c>
      <c r="H806" t="s">
        <v>678</v>
      </c>
      <c r="I806" t="s">
        <v>105</v>
      </c>
      <c r="J806" t="s">
        <v>678</v>
      </c>
      <c r="K806" t="s">
        <v>678</v>
      </c>
      <c r="L806" t="s">
        <v>678</v>
      </c>
      <c r="M806" t="s">
        <v>1467</v>
      </c>
      <c r="N806" t="b">
        <v>0</v>
      </c>
    </row>
    <row r="807" spans="1:14">
      <c r="A807">
        <v>48</v>
      </c>
      <c r="B807">
        <v>5</v>
      </c>
      <c r="C807" t="s">
        <v>285</v>
      </c>
      <c r="D807" t="s">
        <v>737</v>
      </c>
      <c r="E807" t="s">
        <v>107</v>
      </c>
      <c r="F807">
        <v>30</v>
      </c>
      <c r="G807" t="s">
        <v>678</v>
      </c>
      <c r="H807" t="s">
        <v>678</v>
      </c>
      <c r="I807" t="s">
        <v>107</v>
      </c>
      <c r="J807" t="s">
        <v>678</v>
      </c>
      <c r="K807" t="s">
        <v>678</v>
      </c>
      <c r="L807" t="s">
        <v>678</v>
      </c>
      <c r="M807" t="s">
        <v>1468</v>
      </c>
      <c r="N807" t="b">
        <v>0</v>
      </c>
    </row>
    <row r="808" spans="1:14">
      <c r="A808">
        <v>48</v>
      </c>
      <c r="B808">
        <v>6</v>
      </c>
      <c r="C808" t="s">
        <v>169</v>
      </c>
      <c r="D808" t="s">
        <v>766</v>
      </c>
      <c r="E808" t="s">
        <v>308</v>
      </c>
      <c r="F808">
        <v>40</v>
      </c>
      <c r="G808" t="s">
        <v>773</v>
      </c>
      <c r="H808" t="s">
        <v>678</v>
      </c>
      <c r="I808" t="s">
        <v>678</v>
      </c>
      <c r="J808" t="s">
        <v>774</v>
      </c>
      <c r="K808" t="s">
        <v>775</v>
      </c>
      <c r="L808" t="s">
        <v>776</v>
      </c>
      <c r="M808" t="s">
        <v>1469</v>
      </c>
      <c r="N808" t="b">
        <v>0</v>
      </c>
    </row>
    <row r="809" spans="1:14">
      <c r="A809">
        <v>48</v>
      </c>
      <c r="B809">
        <v>7</v>
      </c>
      <c r="C809" t="s">
        <v>175</v>
      </c>
      <c r="D809" t="s">
        <v>737</v>
      </c>
      <c r="E809" t="s">
        <v>119</v>
      </c>
      <c r="F809">
        <v>50</v>
      </c>
      <c r="G809" t="s">
        <v>678</v>
      </c>
      <c r="H809" t="s">
        <v>678</v>
      </c>
      <c r="I809" t="s">
        <v>119</v>
      </c>
      <c r="J809" t="s">
        <v>678</v>
      </c>
      <c r="K809" t="s">
        <v>678</v>
      </c>
      <c r="L809" t="s">
        <v>678</v>
      </c>
      <c r="M809" t="s">
        <v>1470</v>
      </c>
      <c r="N809" t="b">
        <v>0</v>
      </c>
    </row>
    <row r="810" spans="1:14">
      <c r="A810">
        <v>48</v>
      </c>
      <c r="B810">
        <v>8</v>
      </c>
      <c r="C810" t="s">
        <v>298</v>
      </c>
      <c r="D810" t="s">
        <v>737</v>
      </c>
      <c r="E810" t="s">
        <v>342</v>
      </c>
      <c r="F810">
        <v>40</v>
      </c>
      <c r="G810" t="s">
        <v>678</v>
      </c>
      <c r="H810" t="s">
        <v>559</v>
      </c>
      <c r="I810" t="s">
        <v>456</v>
      </c>
      <c r="J810" t="s">
        <v>678</v>
      </c>
      <c r="K810" t="s">
        <v>934</v>
      </c>
      <c r="L810" t="s">
        <v>935</v>
      </c>
      <c r="M810" t="s">
        <v>1471</v>
      </c>
      <c r="N810" t="b">
        <v>0</v>
      </c>
    </row>
    <row r="811" spans="1:14">
      <c r="A811">
        <v>48</v>
      </c>
      <c r="B811">
        <v>9</v>
      </c>
      <c r="C811" t="s">
        <v>286</v>
      </c>
      <c r="D811" t="s">
        <v>737</v>
      </c>
      <c r="E811" t="s">
        <v>76</v>
      </c>
      <c r="F811">
        <v>40</v>
      </c>
      <c r="G811" t="s">
        <v>678</v>
      </c>
      <c r="H811" t="s">
        <v>678</v>
      </c>
      <c r="I811" t="s">
        <v>76</v>
      </c>
      <c r="J811" t="s">
        <v>678</v>
      </c>
      <c r="K811" t="s">
        <v>678</v>
      </c>
      <c r="L811" t="s">
        <v>678</v>
      </c>
      <c r="M811" t="s">
        <v>1472</v>
      </c>
      <c r="N811" t="b">
        <v>0</v>
      </c>
    </row>
    <row r="812" spans="1:14">
      <c r="A812">
        <v>48</v>
      </c>
      <c r="B812">
        <v>10</v>
      </c>
      <c r="C812" t="s">
        <v>202</v>
      </c>
      <c r="D812" t="s">
        <v>737</v>
      </c>
      <c r="E812" t="s">
        <v>80</v>
      </c>
      <c r="F812">
        <v>50</v>
      </c>
      <c r="G812" t="s">
        <v>678</v>
      </c>
      <c r="H812" t="s">
        <v>678</v>
      </c>
      <c r="I812" t="s">
        <v>80</v>
      </c>
      <c r="J812" t="s">
        <v>678</v>
      </c>
      <c r="K812" t="s">
        <v>678</v>
      </c>
      <c r="L812" t="s">
        <v>678</v>
      </c>
      <c r="M812" t="s">
        <v>1473</v>
      </c>
      <c r="N812" t="b">
        <v>0</v>
      </c>
    </row>
    <row r="813" spans="1:14">
      <c r="A813">
        <v>48</v>
      </c>
      <c r="B813">
        <v>11</v>
      </c>
      <c r="C813" t="s">
        <v>186</v>
      </c>
      <c r="D813" t="s">
        <v>737</v>
      </c>
      <c r="E813" t="s">
        <v>104</v>
      </c>
      <c r="F813">
        <v>40</v>
      </c>
      <c r="G813" t="s">
        <v>678</v>
      </c>
      <c r="H813" t="s">
        <v>678</v>
      </c>
      <c r="I813" t="s">
        <v>104</v>
      </c>
      <c r="J813" t="s">
        <v>678</v>
      </c>
      <c r="K813" t="s">
        <v>678</v>
      </c>
      <c r="L813" t="s">
        <v>678</v>
      </c>
      <c r="M813" t="s">
        <v>1474</v>
      </c>
      <c r="N813" t="b">
        <v>0</v>
      </c>
    </row>
    <row r="814" spans="1:14">
      <c r="A814">
        <v>48</v>
      </c>
      <c r="B814">
        <v>12</v>
      </c>
      <c r="C814" t="s">
        <v>242</v>
      </c>
      <c r="D814" t="s">
        <v>737</v>
      </c>
      <c r="E814" t="s">
        <v>112</v>
      </c>
      <c r="F814">
        <v>50</v>
      </c>
      <c r="G814" t="s">
        <v>678</v>
      </c>
      <c r="H814" t="s">
        <v>678</v>
      </c>
      <c r="I814" t="s">
        <v>112</v>
      </c>
      <c r="J814" t="s">
        <v>678</v>
      </c>
      <c r="K814" t="s">
        <v>678</v>
      </c>
      <c r="L814" t="s">
        <v>678</v>
      </c>
      <c r="M814" t="s">
        <v>1475</v>
      </c>
      <c r="N814" t="b">
        <v>0</v>
      </c>
    </row>
    <row r="815" spans="1:14">
      <c r="A815">
        <v>48</v>
      </c>
      <c r="B815">
        <v>13</v>
      </c>
      <c r="C815" t="s">
        <v>678</v>
      </c>
      <c r="D815" t="s">
        <v>737</v>
      </c>
      <c r="E815" t="s">
        <v>678</v>
      </c>
      <c r="F815">
        <v>0</v>
      </c>
      <c r="G815" t="s">
        <v>678</v>
      </c>
      <c r="H815" t="s">
        <v>678</v>
      </c>
      <c r="I815" t="s">
        <v>678</v>
      </c>
      <c r="J815" t="s">
        <v>678</v>
      </c>
      <c r="K815" t="s">
        <v>678</v>
      </c>
      <c r="L815" t="s">
        <v>678</v>
      </c>
      <c r="M815" t="s">
        <v>1476</v>
      </c>
      <c r="N815" t="b">
        <v>0</v>
      </c>
    </row>
    <row r="816" spans="1:14">
      <c r="A816">
        <v>48</v>
      </c>
      <c r="B816">
        <v>14</v>
      </c>
      <c r="C816" t="s">
        <v>678</v>
      </c>
      <c r="D816" t="s">
        <v>737</v>
      </c>
      <c r="E816" t="s">
        <v>678</v>
      </c>
      <c r="F816">
        <v>0</v>
      </c>
      <c r="G816" t="s">
        <v>678</v>
      </c>
      <c r="H816" t="s">
        <v>678</v>
      </c>
      <c r="I816" t="s">
        <v>678</v>
      </c>
      <c r="J816" t="s">
        <v>678</v>
      </c>
      <c r="K816" t="s">
        <v>678</v>
      </c>
      <c r="L816" t="s">
        <v>678</v>
      </c>
      <c r="M816" t="s">
        <v>1477</v>
      </c>
      <c r="N816" t="b">
        <v>0</v>
      </c>
    </row>
    <row r="817" spans="1:14">
      <c r="A817">
        <v>48</v>
      </c>
      <c r="B817">
        <v>15</v>
      </c>
      <c r="C817" t="s">
        <v>678</v>
      </c>
      <c r="D817" t="s">
        <v>737</v>
      </c>
      <c r="E817" t="s">
        <v>678</v>
      </c>
      <c r="F817">
        <v>0</v>
      </c>
      <c r="G817" t="s">
        <v>678</v>
      </c>
      <c r="H817" t="s">
        <v>678</v>
      </c>
      <c r="I817" t="s">
        <v>678</v>
      </c>
      <c r="J817" t="s">
        <v>678</v>
      </c>
      <c r="K817" t="s">
        <v>678</v>
      </c>
      <c r="L817" t="s">
        <v>678</v>
      </c>
      <c r="M817" t="s">
        <v>1478</v>
      </c>
      <c r="N817" t="b">
        <v>0</v>
      </c>
    </row>
    <row r="818" spans="1:14">
      <c r="A818">
        <v>48</v>
      </c>
      <c r="B818">
        <v>16</v>
      </c>
      <c r="C818" t="s">
        <v>359</v>
      </c>
      <c r="D818" t="s">
        <v>754</v>
      </c>
      <c r="E818" t="s">
        <v>554</v>
      </c>
      <c r="F818">
        <v>40</v>
      </c>
      <c r="G818" t="s">
        <v>773</v>
      </c>
      <c r="H818" t="s">
        <v>678</v>
      </c>
      <c r="I818" t="s">
        <v>678</v>
      </c>
      <c r="J818" t="s">
        <v>1115</v>
      </c>
      <c r="K818" t="s">
        <v>1116</v>
      </c>
      <c r="L818" t="s">
        <v>1069</v>
      </c>
      <c r="M818" t="s">
        <v>1479</v>
      </c>
      <c r="N818" t="b">
        <v>0</v>
      </c>
    </row>
    <row r="819" spans="1:14">
      <c r="A819">
        <v>48</v>
      </c>
      <c r="B819">
        <v>17</v>
      </c>
      <c r="C819" t="s">
        <v>360</v>
      </c>
      <c r="D819" t="s">
        <v>754</v>
      </c>
      <c r="E819" t="s">
        <v>90</v>
      </c>
      <c r="F819">
        <v>40</v>
      </c>
      <c r="G819" t="s">
        <v>678</v>
      </c>
      <c r="H819" t="s">
        <v>678</v>
      </c>
      <c r="I819" t="s">
        <v>90</v>
      </c>
      <c r="J819" t="s">
        <v>678</v>
      </c>
      <c r="K819" t="s">
        <v>678</v>
      </c>
      <c r="L819" t="s">
        <v>678</v>
      </c>
      <c r="M819" t="s">
        <v>1480</v>
      </c>
      <c r="N819" t="b">
        <v>0</v>
      </c>
    </row>
    <row r="820" spans="1:14">
      <c r="A820">
        <v>48</v>
      </c>
      <c r="B820">
        <v>18</v>
      </c>
      <c r="C820" t="s">
        <v>361</v>
      </c>
      <c r="D820" t="s">
        <v>754</v>
      </c>
      <c r="E820" t="s">
        <v>555</v>
      </c>
      <c r="F820">
        <v>40</v>
      </c>
      <c r="G820" t="s">
        <v>773</v>
      </c>
      <c r="H820" t="s">
        <v>678</v>
      </c>
      <c r="I820" t="s">
        <v>678</v>
      </c>
      <c r="J820" t="s">
        <v>830</v>
      </c>
      <c r="K820" t="s">
        <v>805</v>
      </c>
      <c r="L820" t="s">
        <v>806</v>
      </c>
      <c r="M820" t="s">
        <v>1481</v>
      </c>
      <c r="N820" t="b">
        <v>0</v>
      </c>
    </row>
    <row r="821" spans="1:14">
      <c r="A821">
        <v>48</v>
      </c>
      <c r="B821">
        <v>19</v>
      </c>
      <c r="C821" t="s">
        <v>362</v>
      </c>
      <c r="D821" t="s">
        <v>754</v>
      </c>
      <c r="E821" t="s">
        <v>308</v>
      </c>
      <c r="F821">
        <v>40</v>
      </c>
      <c r="G821" t="s">
        <v>773</v>
      </c>
      <c r="H821" t="s">
        <v>678</v>
      </c>
      <c r="I821" t="s">
        <v>678</v>
      </c>
      <c r="J821" t="s">
        <v>774</v>
      </c>
      <c r="K821" t="s">
        <v>778</v>
      </c>
      <c r="L821" t="s">
        <v>779</v>
      </c>
      <c r="M821" t="s">
        <v>1482</v>
      </c>
      <c r="N821" t="b">
        <v>0</v>
      </c>
    </row>
    <row r="822" spans="1:14">
      <c r="A822">
        <v>48</v>
      </c>
      <c r="B822">
        <v>20</v>
      </c>
      <c r="C822" t="s">
        <v>678</v>
      </c>
      <c r="D822" t="s">
        <v>754</v>
      </c>
      <c r="E822" t="s">
        <v>678</v>
      </c>
      <c r="F822">
        <v>0</v>
      </c>
      <c r="G822" t="s">
        <v>678</v>
      </c>
      <c r="H822" t="s">
        <v>678</v>
      </c>
      <c r="I822" t="s">
        <v>678</v>
      </c>
      <c r="J822" t="s">
        <v>678</v>
      </c>
      <c r="K822" t="s">
        <v>678</v>
      </c>
      <c r="L822" t="s">
        <v>678</v>
      </c>
      <c r="M822" t="s">
        <v>1483</v>
      </c>
      <c r="N822" t="b">
        <v>0</v>
      </c>
    </row>
    <row r="823" spans="1:14">
      <c r="A823">
        <v>48</v>
      </c>
      <c r="B823">
        <v>21</v>
      </c>
      <c r="C823" t="s">
        <v>678</v>
      </c>
      <c r="D823" t="s">
        <v>754</v>
      </c>
      <c r="E823" t="s">
        <v>678</v>
      </c>
      <c r="F823">
        <v>0</v>
      </c>
      <c r="G823" t="s">
        <v>678</v>
      </c>
      <c r="H823" t="s">
        <v>678</v>
      </c>
      <c r="I823" t="s">
        <v>678</v>
      </c>
      <c r="J823" t="s">
        <v>678</v>
      </c>
      <c r="K823" t="s">
        <v>678</v>
      </c>
      <c r="L823" t="s">
        <v>678</v>
      </c>
      <c r="M823" t="s">
        <v>1484</v>
      </c>
      <c r="N823" t="b">
        <v>0</v>
      </c>
    </row>
    <row r="824" spans="1:14">
      <c r="A824">
        <v>48</v>
      </c>
      <c r="B824">
        <v>22</v>
      </c>
      <c r="C824" t="s">
        <v>678</v>
      </c>
      <c r="D824" t="s">
        <v>754</v>
      </c>
      <c r="E824" t="s">
        <v>678</v>
      </c>
      <c r="F824">
        <v>0</v>
      </c>
      <c r="G824" t="s">
        <v>678</v>
      </c>
      <c r="H824" t="s">
        <v>678</v>
      </c>
      <c r="I824" t="s">
        <v>678</v>
      </c>
      <c r="J824" t="s">
        <v>678</v>
      </c>
      <c r="K824" t="s">
        <v>678</v>
      </c>
      <c r="L824" t="s">
        <v>678</v>
      </c>
      <c r="M824" t="s">
        <v>1485</v>
      </c>
      <c r="N824" t="b">
        <v>0</v>
      </c>
    </row>
    <row r="825" spans="1:14">
      <c r="A825">
        <v>48</v>
      </c>
      <c r="B825">
        <v>23</v>
      </c>
      <c r="C825" t="s">
        <v>678</v>
      </c>
      <c r="D825" t="s">
        <v>754</v>
      </c>
      <c r="E825" t="s">
        <v>678</v>
      </c>
      <c r="F825">
        <v>0</v>
      </c>
      <c r="G825" t="s">
        <v>678</v>
      </c>
      <c r="H825" t="s">
        <v>678</v>
      </c>
      <c r="I825" t="s">
        <v>678</v>
      </c>
      <c r="J825" t="s">
        <v>678</v>
      </c>
      <c r="K825" t="s">
        <v>678</v>
      </c>
      <c r="L825" t="s">
        <v>678</v>
      </c>
      <c r="M825" t="s">
        <v>1486</v>
      </c>
      <c r="N825" t="b">
        <v>0</v>
      </c>
    </row>
    <row r="826" spans="1:14">
      <c r="A826">
        <v>48</v>
      </c>
      <c r="B826">
        <v>24</v>
      </c>
      <c r="C826" t="s">
        <v>678</v>
      </c>
      <c r="D826" t="s">
        <v>754</v>
      </c>
      <c r="E826" t="s">
        <v>678</v>
      </c>
      <c r="F826">
        <v>0</v>
      </c>
      <c r="G826" t="s">
        <v>678</v>
      </c>
      <c r="H826" t="s">
        <v>678</v>
      </c>
      <c r="I826" t="s">
        <v>678</v>
      </c>
      <c r="J826" t="s">
        <v>678</v>
      </c>
      <c r="K826" t="s">
        <v>678</v>
      </c>
      <c r="L826" t="s">
        <v>678</v>
      </c>
      <c r="M826" t="s">
        <v>1487</v>
      </c>
      <c r="N826" t="b">
        <v>0</v>
      </c>
    </row>
    <row r="827" spans="1:14">
      <c r="A827">
        <v>48</v>
      </c>
      <c r="B827">
        <v>25</v>
      </c>
      <c r="C827" t="s">
        <v>678</v>
      </c>
      <c r="D827" t="s">
        <v>754</v>
      </c>
      <c r="E827" t="s">
        <v>678</v>
      </c>
      <c r="F827">
        <v>0</v>
      </c>
      <c r="G827" t="s">
        <v>678</v>
      </c>
      <c r="H827" t="s">
        <v>678</v>
      </c>
      <c r="I827" t="s">
        <v>678</v>
      </c>
      <c r="J827" t="s">
        <v>678</v>
      </c>
      <c r="K827" t="s">
        <v>678</v>
      </c>
      <c r="L827" t="s">
        <v>678</v>
      </c>
      <c r="M827" t="s">
        <v>1488</v>
      </c>
      <c r="N827" t="b">
        <v>0</v>
      </c>
    </row>
    <row r="828" spans="1:14">
      <c r="A828">
        <v>48</v>
      </c>
      <c r="B828">
        <v>26</v>
      </c>
      <c r="C828" t="s">
        <v>678</v>
      </c>
      <c r="D828" t="s">
        <v>754</v>
      </c>
      <c r="E828" t="s">
        <v>678</v>
      </c>
      <c r="F828">
        <v>0</v>
      </c>
      <c r="G828" t="s">
        <v>678</v>
      </c>
      <c r="H828" t="s">
        <v>678</v>
      </c>
      <c r="I828" t="s">
        <v>678</v>
      </c>
      <c r="J828" t="s">
        <v>678</v>
      </c>
      <c r="K828" t="s">
        <v>678</v>
      </c>
      <c r="L828" t="s">
        <v>678</v>
      </c>
      <c r="M828" t="s">
        <v>1489</v>
      </c>
      <c r="N828" t="b">
        <v>0</v>
      </c>
    </row>
    <row r="829" spans="1:14">
      <c r="A829">
        <v>49</v>
      </c>
      <c r="B829">
        <v>0</v>
      </c>
      <c r="C829" t="s">
        <v>226</v>
      </c>
      <c r="D829" t="s">
        <v>737</v>
      </c>
      <c r="E829" t="s">
        <v>67</v>
      </c>
      <c r="F829">
        <v>60</v>
      </c>
      <c r="G829" t="s">
        <v>678</v>
      </c>
      <c r="H829" t="s">
        <v>678</v>
      </c>
      <c r="I829" t="s">
        <v>67</v>
      </c>
      <c r="J829" t="s">
        <v>678</v>
      </c>
      <c r="K829" t="s">
        <v>678</v>
      </c>
      <c r="L829" t="s">
        <v>678</v>
      </c>
      <c r="M829" t="s">
        <v>1490</v>
      </c>
      <c r="N829" t="b">
        <v>0</v>
      </c>
    </row>
    <row r="830" spans="1:14">
      <c r="A830">
        <v>49</v>
      </c>
      <c r="B830">
        <v>1</v>
      </c>
      <c r="C830" t="s">
        <v>236</v>
      </c>
      <c r="D830" t="s">
        <v>737</v>
      </c>
      <c r="E830" t="s">
        <v>79</v>
      </c>
      <c r="F830">
        <v>50</v>
      </c>
      <c r="G830" t="s">
        <v>678</v>
      </c>
      <c r="H830" t="s">
        <v>678</v>
      </c>
      <c r="I830" t="s">
        <v>79</v>
      </c>
      <c r="J830" t="s">
        <v>678</v>
      </c>
      <c r="K830" t="s">
        <v>678</v>
      </c>
      <c r="L830" t="s">
        <v>678</v>
      </c>
      <c r="M830" t="s">
        <v>1491</v>
      </c>
      <c r="N830" t="b">
        <v>0</v>
      </c>
    </row>
    <row r="831" spans="1:14">
      <c r="A831">
        <v>49</v>
      </c>
      <c r="B831">
        <v>2</v>
      </c>
      <c r="C831" t="s">
        <v>278</v>
      </c>
      <c r="D831" t="s">
        <v>737</v>
      </c>
      <c r="E831" t="s">
        <v>85</v>
      </c>
      <c r="F831">
        <v>30</v>
      </c>
      <c r="G831" t="s">
        <v>678</v>
      </c>
      <c r="H831" t="s">
        <v>678</v>
      </c>
      <c r="I831" t="s">
        <v>85</v>
      </c>
      <c r="J831" t="s">
        <v>678</v>
      </c>
      <c r="K831" t="s">
        <v>678</v>
      </c>
      <c r="L831" t="s">
        <v>678</v>
      </c>
      <c r="M831" t="s">
        <v>1492</v>
      </c>
      <c r="N831" t="b">
        <v>0</v>
      </c>
    </row>
    <row r="832" spans="1:14">
      <c r="A832">
        <v>49</v>
      </c>
      <c r="B832">
        <v>3</v>
      </c>
      <c r="C832" t="s">
        <v>248</v>
      </c>
      <c r="D832" t="s">
        <v>737</v>
      </c>
      <c r="E832" t="s">
        <v>555</v>
      </c>
      <c r="F832">
        <v>40</v>
      </c>
      <c r="G832" t="s">
        <v>678</v>
      </c>
      <c r="H832" t="s">
        <v>558</v>
      </c>
      <c r="I832" t="s">
        <v>519</v>
      </c>
      <c r="J832" t="s">
        <v>678</v>
      </c>
      <c r="K832" t="s">
        <v>805</v>
      </c>
      <c r="L832" t="s">
        <v>806</v>
      </c>
      <c r="M832" t="s">
        <v>1493</v>
      </c>
      <c r="N832" t="b">
        <v>0</v>
      </c>
    </row>
    <row r="833" spans="1:14">
      <c r="A833">
        <v>49</v>
      </c>
      <c r="B833">
        <v>4</v>
      </c>
      <c r="C833" t="s">
        <v>249</v>
      </c>
      <c r="D833" t="s">
        <v>737</v>
      </c>
      <c r="E833" t="s">
        <v>555</v>
      </c>
      <c r="F833">
        <v>40</v>
      </c>
      <c r="G833" t="s">
        <v>678</v>
      </c>
      <c r="H833" t="s">
        <v>568</v>
      </c>
      <c r="I833" t="s">
        <v>497</v>
      </c>
      <c r="J833" t="s">
        <v>678</v>
      </c>
      <c r="K833" t="s">
        <v>808</v>
      </c>
      <c r="L833" t="s">
        <v>809</v>
      </c>
      <c r="M833" t="s">
        <v>1494</v>
      </c>
      <c r="N833" t="b">
        <v>0</v>
      </c>
    </row>
    <row r="834" spans="1:14">
      <c r="A834">
        <v>49</v>
      </c>
      <c r="B834">
        <v>5</v>
      </c>
      <c r="C834" t="s">
        <v>239</v>
      </c>
      <c r="D834" t="s">
        <v>737</v>
      </c>
      <c r="E834" t="s">
        <v>105</v>
      </c>
      <c r="F834">
        <v>40</v>
      </c>
      <c r="G834" t="s">
        <v>678</v>
      </c>
      <c r="H834" t="s">
        <v>678</v>
      </c>
      <c r="I834" t="s">
        <v>105</v>
      </c>
      <c r="J834" t="s">
        <v>678</v>
      </c>
      <c r="K834" t="s">
        <v>678</v>
      </c>
      <c r="L834" t="s">
        <v>678</v>
      </c>
      <c r="M834" t="s">
        <v>1495</v>
      </c>
      <c r="N834" t="b">
        <v>0</v>
      </c>
    </row>
    <row r="835" spans="1:14">
      <c r="A835">
        <v>49</v>
      </c>
      <c r="B835">
        <v>6</v>
      </c>
      <c r="C835" t="s">
        <v>207</v>
      </c>
      <c r="D835" t="s">
        <v>737</v>
      </c>
      <c r="E835" t="s">
        <v>117</v>
      </c>
      <c r="F835">
        <v>50</v>
      </c>
      <c r="G835" t="s">
        <v>678</v>
      </c>
      <c r="H835" t="s">
        <v>678</v>
      </c>
      <c r="I835" t="s">
        <v>117</v>
      </c>
      <c r="J835" t="s">
        <v>678</v>
      </c>
      <c r="K835" t="s">
        <v>678</v>
      </c>
      <c r="L835" t="s">
        <v>678</v>
      </c>
      <c r="M835" t="s">
        <v>1496</v>
      </c>
      <c r="N835" t="b">
        <v>0</v>
      </c>
    </row>
    <row r="836" spans="1:14">
      <c r="A836">
        <v>49</v>
      </c>
      <c r="B836">
        <v>7</v>
      </c>
      <c r="C836" t="s">
        <v>364</v>
      </c>
      <c r="D836" t="s">
        <v>737</v>
      </c>
      <c r="E836" t="s">
        <v>342</v>
      </c>
      <c r="F836">
        <v>60</v>
      </c>
      <c r="G836" t="s">
        <v>678</v>
      </c>
      <c r="H836" t="s">
        <v>564</v>
      </c>
      <c r="I836" t="s">
        <v>1497</v>
      </c>
      <c r="J836" t="s">
        <v>678</v>
      </c>
      <c r="K836" t="s">
        <v>934</v>
      </c>
      <c r="L836" t="s">
        <v>935</v>
      </c>
      <c r="M836" t="s">
        <v>1498</v>
      </c>
      <c r="N836" t="b">
        <v>0</v>
      </c>
    </row>
    <row r="837" spans="1:14">
      <c r="A837">
        <v>49</v>
      </c>
      <c r="B837">
        <v>8</v>
      </c>
      <c r="C837" t="s">
        <v>365</v>
      </c>
      <c r="D837" t="s">
        <v>737</v>
      </c>
      <c r="E837" t="s">
        <v>342</v>
      </c>
      <c r="F837">
        <v>20</v>
      </c>
      <c r="G837" t="s">
        <v>678</v>
      </c>
      <c r="H837" t="s">
        <v>559</v>
      </c>
      <c r="I837" t="s">
        <v>456</v>
      </c>
      <c r="J837" t="s">
        <v>678</v>
      </c>
      <c r="K837" t="s">
        <v>1499</v>
      </c>
      <c r="L837" t="s">
        <v>1500</v>
      </c>
      <c r="M837" t="s">
        <v>1501</v>
      </c>
      <c r="N837" t="b">
        <v>0</v>
      </c>
    </row>
    <row r="838" spans="1:14">
      <c r="A838">
        <v>49</v>
      </c>
      <c r="B838">
        <v>9</v>
      </c>
      <c r="C838" t="s">
        <v>366</v>
      </c>
      <c r="D838" t="s">
        <v>737</v>
      </c>
      <c r="E838" t="s">
        <v>76</v>
      </c>
      <c r="F838">
        <v>60</v>
      </c>
      <c r="G838" t="s">
        <v>678</v>
      </c>
      <c r="H838" t="s">
        <v>678</v>
      </c>
      <c r="I838" t="s">
        <v>76</v>
      </c>
      <c r="J838" t="s">
        <v>678</v>
      </c>
      <c r="K838" t="s">
        <v>678</v>
      </c>
      <c r="L838" t="s">
        <v>678</v>
      </c>
      <c r="M838" t="s">
        <v>1502</v>
      </c>
      <c r="N838" t="b">
        <v>0</v>
      </c>
    </row>
    <row r="839" spans="1:14">
      <c r="A839">
        <v>49</v>
      </c>
      <c r="B839">
        <v>10</v>
      </c>
      <c r="C839" t="s">
        <v>367</v>
      </c>
      <c r="D839" t="s">
        <v>737</v>
      </c>
      <c r="E839" t="s">
        <v>369</v>
      </c>
      <c r="F839">
        <v>60</v>
      </c>
      <c r="G839" t="s">
        <v>678</v>
      </c>
      <c r="H839" t="s">
        <v>570</v>
      </c>
      <c r="I839" t="s">
        <v>374</v>
      </c>
      <c r="J839" t="s">
        <v>678</v>
      </c>
      <c r="K839" t="s">
        <v>1177</v>
      </c>
      <c r="L839" t="s">
        <v>1178</v>
      </c>
      <c r="M839" t="s">
        <v>1503</v>
      </c>
      <c r="N839" t="b">
        <v>0</v>
      </c>
    </row>
    <row r="840" spans="1:14">
      <c r="A840">
        <v>49</v>
      </c>
      <c r="B840">
        <v>11</v>
      </c>
      <c r="C840" t="s">
        <v>368</v>
      </c>
      <c r="D840" t="s">
        <v>737</v>
      </c>
      <c r="E840" t="s">
        <v>556</v>
      </c>
      <c r="F840">
        <v>50</v>
      </c>
      <c r="G840" t="s">
        <v>678</v>
      </c>
      <c r="H840" t="s">
        <v>594</v>
      </c>
      <c r="I840" t="s">
        <v>507</v>
      </c>
      <c r="J840" t="s">
        <v>678</v>
      </c>
      <c r="K840" t="s">
        <v>814</v>
      </c>
      <c r="L840" t="s">
        <v>815</v>
      </c>
      <c r="M840" t="s">
        <v>1504</v>
      </c>
      <c r="N840" t="b">
        <v>0</v>
      </c>
    </row>
    <row r="841" spans="1:14">
      <c r="A841">
        <v>49</v>
      </c>
      <c r="B841">
        <v>12</v>
      </c>
      <c r="C841" t="s">
        <v>233</v>
      </c>
      <c r="D841" t="s">
        <v>737</v>
      </c>
      <c r="E841" t="s">
        <v>111</v>
      </c>
      <c r="F841">
        <v>50</v>
      </c>
      <c r="G841" t="s">
        <v>678</v>
      </c>
      <c r="H841" t="s">
        <v>678</v>
      </c>
      <c r="I841" t="s">
        <v>111</v>
      </c>
      <c r="J841" t="s">
        <v>678</v>
      </c>
      <c r="K841" t="s">
        <v>678</v>
      </c>
      <c r="L841" t="s">
        <v>678</v>
      </c>
      <c r="M841" t="s">
        <v>1505</v>
      </c>
      <c r="N841" t="b">
        <v>0</v>
      </c>
    </row>
    <row r="842" spans="1:14">
      <c r="A842">
        <v>49</v>
      </c>
      <c r="B842">
        <v>13</v>
      </c>
      <c r="C842" t="s">
        <v>678</v>
      </c>
      <c r="D842" t="s">
        <v>737</v>
      </c>
      <c r="E842" t="s">
        <v>678</v>
      </c>
      <c r="F842">
        <v>0</v>
      </c>
      <c r="G842" t="s">
        <v>678</v>
      </c>
      <c r="H842" t="s">
        <v>678</v>
      </c>
      <c r="I842" t="s">
        <v>678</v>
      </c>
      <c r="J842" t="s">
        <v>678</v>
      </c>
      <c r="K842" t="s">
        <v>678</v>
      </c>
      <c r="L842" t="s">
        <v>678</v>
      </c>
      <c r="M842" t="s">
        <v>1506</v>
      </c>
      <c r="N842" t="b">
        <v>0</v>
      </c>
    </row>
    <row r="843" spans="1:14">
      <c r="A843">
        <v>49</v>
      </c>
      <c r="B843">
        <v>14</v>
      </c>
      <c r="C843" t="s">
        <v>678</v>
      </c>
      <c r="D843" t="s">
        <v>737</v>
      </c>
      <c r="E843" t="s">
        <v>678</v>
      </c>
      <c r="F843">
        <v>0</v>
      </c>
      <c r="G843" t="s">
        <v>678</v>
      </c>
      <c r="H843" t="s">
        <v>678</v>
      </c>
      <c r="I843" t="s">
        <v>678</v>
      </c>
      <c r="J843" t="s">
        <v>678</v>
      </c>
      <c r="K843" t="s">
        <v>678</v>
      </c>
      <c r="L843" t="s">
        <v>678</v>
      </c>
      <c r="M843" t="s">
        <v>1507</v>
      </c>
      <c r="N843" t="b">
        <v>0</v>
      </c>
    </row>
    <row r="844" spans="1:14">
      <c r="A844">
        <v>49</v>
      </c>
      <c r="B844">
        <v>15</v>
      </c>
      <c r="C844" t="s">
        <v>678</v>
      </c>
      <c r="D844" t="s">
        <v>737</v>
      </c>
      <c r="E844" t="s">
        <v>678</v>
      </c>
      <c r="F844">
        <v>0</v>
      </c>
      <c r="G844" t="s">
        <v>678</v>
      </c>
      <c r="H844" t="s">
        <v>678</v>
      </c>
      <c r="I844" t="s">
        <v>678</v>
      </c>
      <c r="J844" t="s">
        <v>678</v>
      </c>
      <c r="K844" t="s">
        <v>678</v>
      </c>
      <c r="L844" t="s">
        <v>678</v>
      </c>
      <c r="M844" t="s">
        <v>1508</v>
      </c>
      <c r="N844" t="b">
        <v>0</v>
      </c>
    </row>
    <row r="845" spans="1:14">
      <c r="A845">
        <v>49</v>
      </c>
      <c r="B845">
        <v>16</v>
      </c>
      <c r="C845" t="s">
        <v>678</v>
      </c>
      <c r="D845" t="s">
        <v>754</v>
      </c>
      <c r="E845" t="s">
        <v>678</v>
      </c>
      <c r="F845">
        <v>0</v>
      </c>
      <c r="G845" t="s">
        <v>678</v>
      </c>
      <c r="H845" t="s">
        <v>678</v>
      </c>
      <c r="I845" t="s">
        <v>678</v>
      </c>
      <c r="J845" t="s">
        <v>678</v>
      </c>
      <c r="K845" t="s">
        <v>678</v>
      </c>
      <c r="L845" t="s">
        <v>678</v>
      </c>
      <c r="M845" t="s">
        <v>1509</v>
      </c>
      <c r="N845" t="b">
        <v>0</v>
      </c>
    </row>
    <row r="846" spans="1:14">
      <c r="A846">
        <v>49</v>
      </c>
      <c r="B846">
        <v>17</v>
      </c>
      <c r="C846" t="s">
        <v>678</v>
      </c>
      <c r="D846" t="s">
        <v>754</v>
      </c>
      <c r="E846" t="s">
        <v>678</v>
      </c>
      <c r="F846">
        <v>0</v>
      </c>
      <c r="G846" t="s">
        <v>678</v>
      </c>
      <c r="H846" t="s">
        <v>678</v>
      </c>
      <c r="I846" t="s">
        <v>678</v>
      </c>
      <c r="J846" t="s">
        <v>678</v>
      </c>
      <c r="K846" t="s">
        <v>678</v>
      </c>
      <c r="L846" t="s">
        <v>678</v>
      </c>
      <c r="M846" t="s">
        <v>1510</v>
      </c>
      <c r="N846" t="b">
        <v>0</v>
      </c>
    </row>
    <row r="847" spans="1:14">
      <c r="A847">
        <v>49</v>
      </c>
      <c r="B847">
        <v>18</v>
      </c>
      <c r="C847" t="s">
        <v>678</v>
      </c>
      <c r="D847" t="s">
        <v>754</v>
      </c>
      <c r="E847" t="s">
        <v>678</v>
      </c>
      <c r="F847">
        <v>0</v>
      </c>
      <c r="G847" t="s">
        <v>678</v>
      </c>
      <c r="H847" t="s">
        <v>678</v>
      </c>
      <c r="I847" t="s">
        <v>678</v>
      </c>
      <c r="J847" t="s">
        <v>678</v>
      </c>
      <c r="K847" t="s">
        <v>678</v>
      </c>
      <c r="L847" t="s">
        <v>678</v>
      </c>
      <c r="M847" t="s">
        <v>1511</v>
      </c>
      <c r="N847" t="b">
        <v>0</v>
      </c>
    </row>
    <row r="848" spans="1:14">
      <c r="A848">
        <v>49</v>
      </c>
      <c r="B848">
        <v>19</v>
      </c>
      <c r="C848" t="s">
        <v>678</v>
      </c>
      <c r="D848" t="s">
        <v>754</v>
      </c>
      <c r="E848" t="s">
        <v>678</v>
      </c>
      <c r="F848">
        <v>0</v>
      </c>
      <c r="G848" t="s">
        <v>678</v>
      </c>
      <c r="H848" t="s">
        <v>678</v>
      </c>
      <c r="I848" t="s">
        <v>678</v>
      </c>
      <c r="J848" t="s">
        <v>678</v>
      </c>
      <c r="K848" t="s">
        <v>678</v>
      </c>
      <c r="L848" t="s">
        <v>678</v>
      </c>
      <c r="M848" t="s">
        <v>1512</v>
      </c>
      <c r="N848" t="b">
        <v>0</v>
      </c>
    </row>
    <row r="849" spans="1:14">
      <c r="A849">
        <v>49</v>
      </c>
      <c r="B849">
        <v>20</v>
      </c>
      <c r="C849" t="s">
        <v>678</v>
      </c>
      <c r="D849" t="s">
        <v>754</v>
      </c>
      <c r="E849" t="s">
        <v>678</v>
      </c>
      <c r="F849">
        <v>0</v>
      </c>
      <c r="G849" t="s">
        <v>678</v>
      </c>
      <c r="H849" t="s">
        <v>678</v>
      </c>
      <c r="I849" t="s">
        <v>678</v>
      </c>
      <c r="J849" t="s">
        <v>678</v>
      </c>
      <c r="K849" t="s">
        <v>678</v>
      </c>
      <c r="L849" t="s">
        <v>678</v>
      </c>
      <c r="M849" t="s">
        <v>1513</v>
      </c>
      <c r="N849" t="b">
        <v>0</v>
      </c>
    </row>
    <row r="850" spans="1:14">
      <c r="A850">
        <v>49</v>
      </c>
      <c r="B850">
        <v>21</v>
      </c>
      <c r="C850" t="s">
        <v>678</v>
      </c>
      <c r="D850" t="s">
        <v>754</v>
      </c>
      <c r="E850" t="s">
        <v>678</v>
      </c>
      <c r="F850">
        <v>0</v>
      </c>
      <c r="G850" t="s">
        <v>678</v>
      </c>
      <c r="H850" t="s">
        <v>678</v>
      </c>
      <c r="I850" t="s">
        <v>678</v>
      </c>
      <c r="J850" t="s">
        <v>678</v>
      </c>
      <c r="K850" t="s">
        <v>678</v>
      </c>
      <c r="L850" t="s">
        <v>678</v>
      </c>
      <c r="M850" t="s">
        <v>1514</v>
      </c>
      <c r="N850" t="b">
        <v>0</v>
      </c>
    </row>
    <row r="851" spans="1:14">
      <c r="A851">
        <v>49</v>
      </c>
      <c r="B851">
        <v>22</v>
      </c>
      <c r="C851" t="s">
        <v>678</v>
      </c>
      <c r="D851" t="s">
        <v>754</v>
      </c>
      <c r="E851" t="s">
        <v>678</v>
      </c>
      <c r="F851">
        <v>0</v>
      </c>
      <c r="G851" t="s">
        <v>678</v>
      </c>
      <c r="H851" t="s">
        <v>678</v>
      </c>
      <c r="I851" t="s">
        <v>678</v>
      </c>
      <c r="J851" t="s">
        <v>678</v>
      </c>
      <c r="K851" t="s">
        <v>678</v>
      </c>
      <c r="L851" t="s">
        <v>678</v>
      </c>
      <c r="M851" t="s">
        <v>1515</v>
      </c>
      <c r="N851" t="b">
        <v>0</v>
      </c>
    </row>
    <row r="852" spans="1:14">
      <c r="A852">
        <v>49</v>
      </c>
      <c r="B852">
        <v>23</v>
      </c>
      <c r="C852" t="s">
        <v>678</v>
      </c>
      <c r="D852" t="s">
        <v>754</v>
      </c>
      <c r="E852" t="s">
        <v>678</v>
      </c>
      <c r="F852">
        <v>0</v>
      </c>
      <c r="G852" t="s">
        <v>678</v>
      </c>
      <c r="H852" t="s">
        <v>678</v>
      </c>
      <c r="I852" t="s">
        <v>678</v>
      </c>
      <c r="J852" t="s">
        <v>678</v>
      </c>
      <c r="K852" t="s">
        <v>678</v>
      </c>
      <c r="L852" t="s">
        <v>678</v>
      </c>
      <c r="M852" t="s">
        <v>1516</v>
      </c>
      <c r="N852" t="b">
        <v>0</v>
      </c>
    </row>
    <row r="853" spans="1:14">
      <c r="A853">
        <v>49</v>
      </c>
      <c r="B853">
        <v>24</v>
      </c>
      <c r="C853" t="s">
        <v>678</v>
      </c>
      <c r="D853" t="s">
        <v>754</v>
      </c>
      <c r="E853" t="s">
        <v>678</v>
      </c>
      <c r="F853">
        <v>0</v>
      </c>
      <c r="G853" t="s">
        <v>678</v>
      </c>
      <c r="H853" t="s">
        <v>678</v>
      </c>
      <c r="I853" t="s">
        <v>678</v>
      </c>
      <c r="J853" t="s">
        <v>678</v>
      </c>
      <c r="K853" t="s">
        <v>678</v>
      </c>
      <c r="L853" t="s">
        <v>678</v>
      </c>
      <c r="M853" t="s">
        <v>1517</v>
      </c>
      <c r="N853" t="b">
        <v>0</v>
      </c>
    </row>
    <row r="854" spans="1:14">
      <c r="A854">
        <v>49</v>
      </c>
      <c r="B854">
        <v>25</v>
      </c>
      <c r="C854" t="s">
        <v>678</v>
      </c>
      <c r="D854" t="s">
        <v>754</v>
      </c>
      <c r="E854" t="s">
        <v>678</v>
      </c>
      <c r="F854">
        <v>0</v>
      </c>
      <c r="G854" t="s">
        <v>678</v>
      </c>
      <c r="H854" t="s">
        <v>678</v>
      </c>
      <c r="I854" t="s">
        <v>678</v>
      </c>
      <c r="J854" t="s">
        <v>678</v>
      </c>
      <c r="K854" t="s">
        <v>678</v>
      </c>
      <c r="L854" t="s">
        <v>678</v>
      </c>
      <c r="M854" t="s">
        <v>1518</v>
      </c>
      <c r="N854" t="b">
        <v>0</v>
      </c>
    </row>
    <row r="855" spans="1:14">
      <c r="A855">
        <v>49</v>
      </c>
      <c r="B855">
        <v>26</v>
      </c>
      <c r="C855" t="s">
        <v>678</v>
      </c>
      <c r="D855" t="s">
        <v>754</v>
      </c>
      <c r="E855" t="s">
        <v>678</v>
      </c>
      <c r="F855">
        <v>0</v>
      </c>
      <c r="G855" t="s">
        <v>678</v>
      </c>
      <c r="H855" t="s">
        <v>678</v>
      </c>
      <c r="I855" t="s">
        <v>678</v>
      </c>
      <c r="J855" t="s">
        <v>678</v>
      </c>
      <c r="K855" t="s">
        <v>678</v>
      </c>
      <c r="L855" t="s">
        <v>678</v>
      </c>
      <c r="M855" t="s">
        <v>1519</v>
      </c>
      <c r="N855" t="b">
        <v>0</v>
      </c>
    </row>
    <row r="856" spans="1:14">
      <c r="A856">
        <v>50</v>
      </c>
      <c r="B856">
        <v>0</v>
      </c>
      <c r="C856" t="s">
        <v>226</v>
      </c>
      <c r="D856" t="s">
        <v>737</v>
      </c>
      <c r="E856" t="s">
        <v>67</v>
      </c>
      <c r="F856">
        <v>60</v>
      </c>
      <c r="G856" t="s">
        <v>678</v>
      </c>
      <c r="H856" t="s">
        <v>678</v>
      </c>
      <c r="I856" t="s">
        <v>67</v>
      </c>
      <c r="J856" t="s">
        <v>678</v>
      </c>
      <c r="K856" t="s">
        <v>678</v>
      </c>
      <c r="L856" t="s">
        <v>678</v>
      </c>
      <c r="M856" t="s">
        <v>1520</v>
      </c>
      <c r="N856" t="b">
        <v>0</v>
      </c>
    </row>
    <row r="857" spans="1:14">
      <c r="A857">
        <v>50</v>
      </c>
      <c r="B857">
        <v>1</v>
      </c>
      <c r="C857" t="s">
        <v>227</v>
      </c>
      <c r="D857" t="s">
        <v>737</v>
      </c>
      <c r="E857" t="s">
        <v>79</v>
      </c>
      <c r="F857">
        <v>60</v>
      </c>
      <c r="G857" t="s">
        <v>678</v>
      </c>
      <c r="H857" t="s">
        <v>678</v>
      </c>
      <c r="I857" t="s">
        <v>79</v>
      </c>
      <c r="J857" t="s">
        <v>678</v>
      </c>
      <c r="K857" t="s">
        <v>678</v>
      </c>
      <c r="L857" t="s">
        <v>678</v>
      </c>
      <c r="M857" t="s">
        <v>1521</v>
      </c>
      <c r="N857" t="b">
        <v>0</v>
      </c>
    </row>
    <row r="858" spans="1:14">
      <c r="A858">
        <v>50</v>
      </c>
      <c r="B858">
        <v>2</v>
      </c>
      <c r="C858" t="s">
        <v>229</v>
      </c>
      <c r="D858" t="s">
        <v>737</v>
      </c>
      <c r="E858" t="s">
        <v>105</v>
      </c>
      <c r="F858">
        <v>60</v>
      </c>
      <c r="G858" t="s">
        <v>678</v>
      </c>
      <c r="H858" t="s">
        <v>678</v>
      </c>
      <c r="I858" t="s">
        <v>105</v>
      </c>
      <c r="J858" t="s">
        <v>678</v>
      </c>
      <c r="K858" t="s">
        <v>678</v>
      </c>
      <c r="L858" t="s">
        <v>678</v>
      </c>
      <c r="M858" t="s">
        <v>1522</v>
      </c>
      <c r="N858" t="b">
        <v>0</v>
      </c>
    </row>
    <row r="859" spans="1:14">
      <c r="A859">
        <v>50</v>
      </c>
      <c r="B859">
        <v>3</v>
      </c>
      <c r="C859" t="s">
        <v>207</v>
      </c>
      <c r="D859" t="s">
        <v>737</v>
      </c>
      <c r="E859" t="s">
        <v>117</v>
      </c>
      <c r="F859">
        <v>50</v>
      </c>
      <c r="G859" t="s">
        <v>678</v>
      </c>
      <c r="H859" t="s">
        <v>678</v>
      </c>
      <c r="I859" t="s">
        <v>117</v>
      </c>
      <c r="J859" t="s">
        <v>678</v>
      </c>
      <c r="K859" t="s">
        <v>678</v>
      </c>
      <c r="L859" t="s">
        <v>678</v>
      </c>
      <c r="M859" t="s">
        <v>1523</v>
      </c>
      <c r="N859" t="b">
        <v>0</v>
      </c>
    </row>
    <row r="860" spans="1:14">
      <c r="A860">
        <v>50</v>
      </c>
      <c r="B860">
        <v>4</v>
      </c>
      <c r="C860" t="s">
        <v>175</v>
      </c>
      <c r="D860" t="s">
        <v>737</v>
      </c>
      <c r="E860" t="s">
        <v>119</v>
      </c>
      <c r="F860">
        <v>50</v>
      </c>
      <c r="G860" t="s">
        <v>678</v>
      </c>
      <c r="H860" t="s">
        <v>678</v>
      </c>
      <c r="I860" t="s">
        <v>119</v>
      </c>
      <c r="J860" t="s">
        <v>678</v>
      </c>
      <c r="K860" t="s">
        <v>678</v>
      </c>
      <c r="L860" t="s">
        <v>678</v>
      </c>
      <c r="M860" t="s">
        <v>1524</v>
      </c>
      <c r="N860" t="b">
        <v>0</v>
      </c>
    </row>
    <row r="861" spans="1:14">
      <c r="A861">
        <v>50</v>
      </c>
      <c r="B861">
        <v>5</v>
      </c>
      <c r="C861" t="s">
        <v>230</v>
      </c>
      <c r="D861" t="s">
        <v>737</v>
      </c>
      <c r="E861" t="s">
        <v>70</v>
      </c>
      <c r="F861">
        <v>50</v>
      </c>
      <c r="G861" t="s">
        <v>678</v>
      </c>
      <c r="H861" t="s">
        <v>678</v>
      </c>
      <c r="I861" t="s">
        <v>70</v>
      </c>
      <c r="J861" t="s">
        <v>678</v>
      </c>
      <c r="K861" t="s">
        <v>678</v>
      </c>
      <c r="L861" t="s">
        <v>678</v>
      </c>
      <c r="M861" t="s">
        <v>1525</v>
      </c>
      <c r="N861" t="b">
        <v>0</v>
      </c>
    </row>
    <row r="862" spans="1:14">
      <c r="A862">
        <v>50</v>
      </c>
      <c r="B862">
        <v>6</v>
      </c>
      <c r="C862" t="s">
        <v>231</v>
      </c>
      <c r="D862" t="s">
        <v>737</v>
      </c>
      <c r="E862" t="s">
        <v>342</v>
      </c>
      <c r="F862">
        <v>60</v>
      </c>
      <c r="G862" t="s">
        <v>678</v>
      </c>
      <c r="H862" t="s">
        <v>559</v>
      </c>
      <c r="I862" t="s">
        <v>456</v>
      </c>
      <c r="J862" t="s">
        <v>678</v>
      </c>
      <c r="K862" t="s">
        <v>934</v>
      </c>
      <c r="L862" t="s">
        <v>935</v>
      </c>
      <c r="M862" t="s">
        <v>1526</v>
      </c>
      <c r="N862" t="b">
        <v>0</v>
      </c>
    </row>
    <row r="863" spans="1:14">
      <c r="A863">
        <v>50</v>
      </c>
      <c r="B863">
        <v>7</v>
      </c>
      <c r="C863" t="s">
        <v>176</v>
      </c>
      <c r="D863" t="s">
        <v>737</v>
      </c>
      <c r="E863" t="s">
        <v>76</v>
      </c>
      <c r="F863">
        <v>50</v>
      </c>
      <c r="G863" t="s">
        <v>678</v>
      </c>
      <c r="H863" t="s">
        <v>678</v>
      </c>
      <c r="I863" t="s">
        <v>76</v>
      </c>
      <c r="J863" t="s">
        <v>678</v>
      </c>
      <c r="K863" t="s">
        <v>678</v>
      </c>
      <c r="L863" t="s">
        <v>678</v>
      </c>
      <c r="M863" t="s">
        <v>1527</v>
      </c>
      <c r="N863" t="b">
        <v>0</v>
      </c>
    </row>
    <row r="864" spans="1:14">
      <c r="A864">
        <v>50</v>
      </c>
      <c r="B864">
        <v>8</v>
      </c>
      <c r="C864" t="s">
        <v>371</v>
      </c>
      <c r="D864" t="s">
        <v>737</v>
      </c>
      <c r="E864" t="s">
        <v>104</v>
      </c>
      <c r="F864">
        <v>50</v>
      </c>
      <c r="G864" t="s">
        <v>678</v>
      </c>
      <c r="H864" t="s">
        <v>678</v>
      </c>
      <c r="I864" t="s">
        <v>104</v>
      </c>
      <c r="J864" t="s">
        <v>678</v>
      </c>
      <c r="K864" t="s">
        <v>678</v>
      </c>
      <c r="L864" t="s">
        <v>678</v>
      </c>
      <c r="M864" t="s">
        <v>1528</v>
      </c>
      <c r="N864" t="b">
        <v>0</v>
      </c>
    </row>
    <row r="865" spans="1:14">
      <c r="A865">
        <v>50</v>
      </c>
      <c r="B865">
        <v>9</v>
      </c>
      <c r="C865" t="s">
        <v>232</v>
      </c>
      <c r="D865" t="s">
        <v>737</v>
      </c>
      <c r="E865" t="s">
        <v>106</v>
      </c>
      <c r="F865">
        <v>50</v>
      </c>
      <c r="G865" t="s">
        <v>678</v>
      </c>
      <c r="H865" t="s">
        <v>678</v>
      </c>
      <c r="I865" t="s">
        <v>106</v>
      </c>
      <c r="J865" t="s">
        <v>678</v>
      </c>
      <c r="K865" t="s">
        <v>678</v>
      </c>
      <c r="L865" t="s">
        <v>678</v>
      </c>
      <c r="M865" t="s">
        <v>1529</v>
      </c>
      <c r="N865" t="b">
        <v>0</v>
      </c>
    </row>
    <row r="866" spans="1:14">
      <c r="A866">
        <v>50</v>
      </c>
      <c r="B866">
        <v>10</v>
      </c>
      <c r="C866" t="s">
        <v>179</v>
      </c>
      <c r="D866" t="s">
        <v>737</v>
      </c>
      <c r="E866" t="s">
        <v>110</v>
      </c>
      <c r="F866">
        <v>50</v>
      </c>
      <c r="G866" t="s">
        <v>678</v>
      </c>
      <c r="H866" t="s">
        <v>678</v>
      </c>
      <c r="I866" t="s">
        <v>110</v>
      </c>
      <c r="J866" t="s">
        <v>678</v>
      </c>
      <c r="K866" t="s">
        <v>678</v>
      </c>
      <c r="L866" t="s">
        <v>678</v>
      </c>
      <c r="M866" t="s">
        <v>1530</v>
      </c>
      <c r="N866" t="b">
        <v>0</v>
      </c>
    </row>
    <row r="867" spans="1:14">
      <c r="A867">
        <v>50</v>
      </c>
      <c r="B867">
        <v>11</v>
      </c>
      <c r="C867" t="s">
        <v>233</v>
      </c>
      <c r="D867" t="s">
        <v>737</v>
      </c>
      <c r="E867" t="s">
        <v>111</v>
      </c>
      <c r="F867">
        <v>50</v>
      </c>
      <c r="G867" t="s">
        <v>678</v>
      </c>
      <c r="H867" t="s">
        <v>678</v>
      </c>
      <c r="I867" t="s">
        <v>111</v>
      </c>
      <c r="J867" t="s">
        <v>678</v>
      </c>
      <c r="K867" t="s">
        <v>678</v>
      </c>
      <c r="L867" t="s">
        <v>678</v>
      </c>
      <c r="M867" t="s">
        <v>1531</v>
      </c>
      <c r="N867" t="b">
        <v>0</v>
      </c>
    </row>
    <row r="868" spans="1:14">
      <c r="A868">
        <v>50</v>
      </c>
      <c r="B868">
        <v>12</v>
      </c>
      <c r="C868" t="s">
        <v>204</v>
      </c>
      <c r="D868" t="s">
        <v>737</v>
      </c>
      <c r="E868" t="s">
        <v>112</v>
      </c>
      <c r="F868">
        <v>60</v>
      </c>
      <c r="G868" t="s">
        <v>678</v>
      </c>
      <c r="H868" t="s">
        <v>678</v>
      </c>
      <c r="I868" t="s">
        <v>112</v>
      </c>
      <c r="J868" t="s">
        <v>678</v>
      </c>
      <c r="K868" t="s">
        <v>678</v>
      </c>
      <c r="L868" t="s">
        <v>678</v>
      </c>
      <c r="M868" t="s">
        <v>1532</v>
      </c>
      <c r="N868" t="b">
        <v>0</v>
      </c>
    </row>
    <row r="869" spans="1:14">
      <c r="A869">
        <v>50</v>
      </c>
      <c r="B869">
        <v>13</v>
      </c>
      <c r="C869" t="s">
        <v>678</v>
      </c>
      <c r="D869" t="s">
        <v>737</v>
      </c>
      <c r="E869" t="s">
        <v>678</v>
      </c>
      <c r="F869">
        <v>0</v>
      </c>
      <c r="G869" t="s">
        <v>678</v>
      </c>
      <c r="H869" t="s">
        <v>678</v>
      </c>
      <c r="I869" t="s">
        <v>678</v>
      </c>
      <c r="J869" t="s">
        <v>678</v>
      </c>
      <c r="K869" t="s">
        <v>678</v>
      </c>
      <c r="L869" t="s">
        <v>678</v>
      </c>
      <c r="M869" t="s">
        <v>1533</v>
      </c>
      <c r="N869" t="b">
        <v>0</v>
      </c>
    </row>
    <row r="870" spans="1:14">
      <c r="A870">
        <v>50</v>
      </c>
      <c r="B870">
        <v>14</v>
      </c>
      <c r="C870" t="s">
        <v>678</v>
      </c>
      <c r="D870" t="s">
        <v>737</v>
      </c>
      <c r="E870" t="s">
        <v>678</v>
      </c>
      <c r="F870">
        <v>0</v>
      </c>
      <c r="G870" t="s">
        <v>678</v>
      </c>
      <c r="H870" t="s">
        <v>678</v>
      </c>
      <c r="I870" t="s">
        <v>678</v>
      </c>
      <c r="J870" t="s">
        <v>678</v>
      </c>
      <c r="K870" t="s">
        <v>678</v>
      </c>
      <c r="L870" t="s">
        <v>678</v>
      </c>
      <c r="M870" t="s">
        <v>1534</v>
      </c>
      <c r="N870" t="b">
        <v>0</v>
      </c>
    </row>
    <row r="871" spans="1:14">
      <c r="A871">
        <v>50</v>
      </c>
      <c r="B871">
        <v>15</v>
      </c>
      <c r="C871" t="s">
        <v>678</v>
      </c>
      <c r="D871" t="s">
        <v>737</v>
      </c>
      <c r="E871" t="s">
        <v>678</v>
      </c>
      <c r="F871">
        <v>0</v>
      </c>
      <c r="G871" t="s">
        <v>678</v>
      </c>
      <c r="H871" t="s">
        <v>678</v>
      </c>
      <c r="I871" t="s">
        <v>678</v>
      </c>
      <c r="J871" t="s">
        <v>678</v>
      </c>
      <c r="K871" t="s">
        <v>678</v>
      </c>
      <c r="L871" t="s">
        <v>678</v>
      </c>
      <c r="M871" t="s">
        <v>1535</v>
      </c>
      <c r="N871" t="b">
        <v>0</v>
      </c>
    </row>
    <row r="872" spans="1:14">
      <c r="A872">
        <v>50</v>
      </c>
      <c r="B872">
        <v>16</v>
      </c>
      <c r="C872" t="s">
        <v>678</v>
      </c>
      <c r="D872" t="s">
        <v>754</v>
      </c>
      <c r="E872" t="s">
        <v>678</v>
      </c>
      <c r="F872">
        <v>0</v>
      </c>
      <c r="G872" t="s">
        <v>678</v>
      </c>
      <c r="H872" t="s">
        <v>678</v>
      </c>
      <c r="I872" t="s">
        <v>678</v>
      </c>
      <c r="J872" t="s">
        <v>678</v>
      </c>
      <c r="K872" t="s">
        <v>678</v>
      </c>
      <c r="L872" t="s">
        <v>678</v>
      </c>
      <c r="M872" t="s">
        <v>1536</v>
      </c>
      <c r="N872" t="b">
        <v>0</v>
      </c>
    </row>
    <row r="873" spans="1:14">
      <c r="A873">
        <v>50</v>
      </c>
      <c r="B873">
        <v>17</v>
      </c>
      <c r="C873" t="s">
        <v>678</v>
      </c>
      <c r="D873" t="s">
        <v>754</v>
      </c>
      <c r="E873" t="s">
        <v>678</v>
      </c>
      <c r="F873">
        <v>0</v>
      </c>
      <c r="G873" t="s">
        <v>678</v>
      </c>
      <c r="H873" t="s">
        <v>678</v>
      </c>
      <c r="I873" t="s">
        <v>678</v>
      </c>
      <c r="J873" t="s">
        <v>678</v>
      </c>
      <c r="K873" t="s">
        <v>678</v>
      </c>
      <c r="L873" t="s">
        <v>678</v>
      </c>
      <c r="M873" t="s">
        <v>1537</v>
      </c>
      <c r="N873" t="b">
        <v>0</v>
      </c>
    </row>
    <row r="874" spans="1:14">
      <c r="A874">
        <v>50</v>
      </c>
      <c r="B874">
        <v>18</v>
      </c>
      <c r="C874" t="s">
        <v>678</v>
      </c>
      <c r="D874" t="s">
        <v>754</v>
      </c>
      <c r="E874" t="s">
        <v>678</v>
      </c>
      <c r="F874">
        <v>0</v>
      </c>
      <c r="G874" t="s">
        <v>678</v>
      </c>
      <c r="H874" t="s">
        <v>678</v>
      </c>
      <c r="I874" t="s">
        <v>678</v>
      </c>
      <c r="J874" t="s">
        <v>678</v>
      </c>
      <c r="K874" t="s">
        <v>678</v>
      </c>
      <c r="L874" t="s">
        <v>678</v>
      </c>
      <c r="M874" t="s">
        <v>1538</v>
      </c>
      <c r="N874" t="b">
        <v>0</v>
      </c>
    </row>
    <row r="875" spans="1:14">
      <c r="A875">
        <v>50</v>
      </c>
      <c r="B875">
        <v>19</v>
      </c>
      <c r="C875" t="s">
        <v>678</v>
      </c>
      <c r="D875" t="s">
        <v>754</v>
      </c>
      <c r="E875" t="s">
        <v>678</v>
      </c>
      <c r="F875">
        <v>0</v>
      </c>
      <c r="G875" t="s">
        <v>678</v>
      </c>
      <c r="H875" t="s">
        <v>678</v>
      </c>
      <c r="I875" t="s">
        <v>678</v>
      </c>
      <c r="J875" t="s">
        <v>678</v>
      </c>
      <c r="K875" t="s">
        <v>678</v>
      </c>
      <c r="L875" t="s">
        <v>678</v>
      </c>
      <c r="M875" t="s">
        <v>1539</v>
      </c>
      <c r="N875" t="b">
        <v>0</v>
      </c>
    </row>
    <row r="876" spans="1:14">
      <c r="A876">
        <v>50</v>
      </c>
      <c r="B876">
        <v>20</v>
      </c>
      <c r="C876" t="s">
        <v>678</v>
      </c>
      <c r="D876" t="s">
        <v>754</v>
      </c>
      <c r="E876" t="s">
        <v>678</v>
      </c>
      <c r="F876">
        <v>0</v>
      </c>
      <c r="G876" t="s">
        <v>678</v>
      </c>
      <c r="H876" t="s">
        <v>678</v>
      </c>
      <c r="I876" t="s">
        <v>678</v>
      </c>
      <c r="J876" t="s">
        <v>678</v>
      </c>
      <c r="K876" t="s">
        <v>678</v>
      </c>
      <c r="L876" t="s">
        <v>678</v>
      </c>
      <c r="M876" t="s">
        <v>1540</v>
      </c>
      <c r="N876" t="b">
        <v>0</v>
      </c>
    </row>
    <row r="877" spans="1:14">
      <c r="A877">
        <v>50</v>
      </c>
      <c r="B877">
        <v>21</v>
      </c>
      <c r="C877" t="s">
        <v>678</v>
      </c>
      <c r="D877" t="s">
        <v>754</v>
      </c>
      <c r="E877" t="s">
        <v>678</v>
      </c>
      <c r="F877">
        <v>0</v>
      </c>
      <c r="G877" t="s">
        <v>678</v>
      </c>
      <c r="H877" t="s">
        <v>678</v>
      </c>
      <c r="I877" t="s">
        <v>678</v>
      </c>
      <c r="J877" t="s">
        <v>678</v>
      </c>
      <c r="K877" t="s">
        <v>678</v>
      </c>
      <c r="L877" t="s">
        <v>678</v>
      </c>
      <c r="M877" t="s">
        <v>1541</v>
      </c>
      <c r="N877" t="b">
        <v>0</v>
      </c>
    </row>
    <row r="878" spans="1:14">
      <c r="A878">
        <v>50</v>
      </c>
      <c r="B878">
        <v>22</v>
      </c>
      <c r="C878" t="s">
        <v>678</v>
      </c>
      <c r="D878" t="s">
        <v>754</v>
      </c>
      <c r="E878" t="s">
        <v>678</v>
      </c>
      <c r="F878">
        <v>0</v>
      </c>
      <c r="G878" t="s">
        <v>678</v>
      </c>
      <c r="H878" t="s">
        <v>678</v>
      </c>
      <c r="I878" t="s">
        <v>678</v>
      </c>
      <c r="J878" t="s">
        <v>678</v>
      </c>
      <c r="K878" t="s">
        <v>678</v>
      </c>
      <c r="L878" t="s">
        <v>678</v>
      </c>
      <c r="M878" t="s">
        <v>1542</v>
      </c>
      <c r="N878" t="b">
        <v>0</v>
      </c>
    </row>
    <row r="879" spans="1:14">
      <c r="A879">
        <v>50</v>
      </c>
      <c r="B879">
        <v>23</v>
      </c>
      <c r="C879" t="s">
        <v>678</v>
      </c>
      <c r="D879" t="s">
        <v>754</v>
      </c>
      <c r="E879" t="s">
        <v>678</v>
      </c>
      <c r="F879">
        <v>0</v>
      </c>
      <c r="G879" t="s">
        <v>678</v>
      </c>
      <c r="H879" t="s">
        <v>678</v>
      </c>
      <c r="I879" t="s">
        <v>678</v>
      </c>
      <c r="J879" t="s">
        <v>678</v>
      </c>
      <c r="K879" t="s">
        <v>678</v>
      </c>
      <c r="L879" t="s">
        <v>678</v>
      </c>
      <c r="M879" t="s">
        <v>1543</v>
      </c>
      <c r="N879" t="b">
        <v>0</v>
      </c>
    </row>
    <row r="880" spans="1:14">
      <c r="A880">
        <v>50</v>
      </c>
      <c r="B880">
        <v>24</v>
      </c>
      <c r="C880" t="s">
        <v>678</v>
      </c>
      <c r="D880" t="s">
        <v>754</v>
      </c>
      <c r="E880" t="s">
        <v>678</v>
      </c>
      <c r="F880">
        <v>0</v>
      </c>
      <c r="G880" t="s">
        <v>678</v>
      </c>
      <c r="H880" t="s">
        <v>678</v>
      </c>
      <c r="I880" t="s">
        <v>678</v>
      </c>
      <c r="J880" t="s">
        <v>678</v>
      </c>
      <c r="K880" t="s">
        <v>678</v>
      </c>
      <c r="L880" t="s">
        <v>678</v>
      </c>
      <c r="M880" t="s">
        <v>1544</v>
      </c>
      <c r="N880" t="b">
        <v>0</v>
      </c>
    </row>
    <row r="881" spans="1:14">
      <c r="A881">
        <v>50</v>
      </c>
      <c r="B881">
        <v>25</v>
      </c>
      <c r="C881" t="s">
        <v>678</v>
      </c>
      <c r="D881" t="s">
        <v>754</v>
      </c>
      <c r="E881" t="s">
        <v>678</v>
      </c>
      <c r="F881">
        <v>0</v>
      </c>
      <c r="G881" t="s">
        <v>678</v>
      </c>
      <c r="H881" t="s">
        <v>678</v>
      </c>
      <c r="I881" t="s">
        <v>678</v>
      </c>
      <c r="J881" t="s">
        <v>678</v>
      </c>
      <c r="K881" t="s">
        <v>678</v>
      </c>
      <c r="L881" t="s">
        <v>678</v>
      </c>
      <c r="M881" t="s">
        <v>1545</v>
      </c>
      <c r="N881" t="b">
        <v>0</v>
      </c>
    </row>
    <row r="882" spans="1:14">
      <c r="A882">
        <v>50</v>
      </c>
      <c r="B882">
        <v>26</v>
      </c>
      <c r="C882" t="s">
        <v>678</v>
      </c>
      <c r="D882" t="s">
        <v>754</v>
      </c>
      <c r="E882" t="s">
        <v>678</v>
      </c>
      <c r="F882">
        <v>0</v>
      </c>
      <c r="G882" t="s">
        <v>678</v>
      </c>
      <c r="H882" t="s">
        <v>678</v>
      </c>
      <c r="I882" t="s">
        <v>678</v>
      </c>
      <c r="J882" t="s">
        <v>678</v>
      </c>
      <c r="K882" t="s">
        <v>678</v>
      </c>
      <c r="L882" t="s">
        <v>678</v>
      </c>
      <c r="M882" t="s">
        <v>1546</v>
      </c>
      <c r="N882" t="b">
        <v>0</v>
      </c>
    </row>
    <row r="883" spans="1:14">
      <c r="A883">
        <v>57</v>
      </c>
      <c r="B883">
        <v>0</v>
      </c>
      <c r="C883" t="s">
        <v>226</v>
      </c>
      <c r="D883" t="s">
        <v>737</v>
      </c>
      <c r="E883" t="s">
        <v>67</v>
      </c>
      <c r="F883">
        <v>60</v>
      </c>
      <c r="G883" t="s">
        <v>678</v>
      </c>
      <c r="H883" t="s">
        <v>678</v>
      </c>
      <c r="I883" t="s">
        <v>67</v>
      </c>
      <c r="J883" t="s">
        <v>678</v>
      </c>
      <c r="K883" t="s">
        <v>678</v>
      </c>
      <c r="L883" t="s">
        <v>678</v>
      </c>
      <c r="M883" t="s">
        <v>1547</v>
      </c>
      <c r="N883" t="b">
        <v>0</v>
      </c>
    </row>
    <row r="884" spans="1:14">
      <c r="A884">
        <v>57</v>
      </c>
      <c r="B884">
        <v>1</v>
      </c>
      <c r="C884" t="s">
        <v>227</v>
      </c>
      <c r="D884" t="s">
        <v>737</v>
      </c>
      <c r="E884" t="s">
        <v>79</v>
      </c>
      <c r="F884">
        <v>60</v>
      </c>
      <c r="G884" t="s">
        <v>678</v>
      </c>
      <c r="H884" t="s">
        <v>678</v>
      </c>
      <c r="I884" t="s">
        <v>79</v>
      </c>
      <c r="J884" t="s">
        <v>678</v>
      </c>
      <c r="K884" t="s">
        <v>678</v>
      </c>
      <c r="L884" t="s">
        <v>678</v>
      </c>
      <c r="M884" t="s">
        <v>1548</v>
      </c>
      <c r="N884" t="b">
        <v>0</v>
      </c>
    </row>
    <row r="885" spans="1:14">
      <c r="A885">
        <v>57</v>
      </c>
      <c r="B885">
        <v>2</v>
      </c>
      <c r="C885" t="s">
        <v>228</v>
      </c>
      <c r="D885" t="s">
        <v>737</v>
      </c>
      <c r="E885" t="s">
        <v>99</v>
      </c>
      <c r="F885">
        <v>40</v>
      </c>
      <c r="G885" t="s">
        <v>678</v>
      </c>
      <c r="H885" t="s">
        <v>678</v>
      </c>
      <c r="I885" t="s">
        <v>99</v>
      </c>
      <c r="J885" t="s">
        <v>678</v>
      </c>
      <c r="K885" t="s">
        <v>678</v>
      </c>
      <c r="L885" t="s">
        <v>678</v>
      </c>
      <c r="M885" t="s">
        <v>1549</v>
      </c>
      <c r="N885" t="b">
        <v>0</v>
      </c>
    </row>
    <row r="886" spans="1:14">
      <c r="A886">
        <v>57</v>
      </c>
      <c r="B886">
        <v>3</v>
      </c>
      <c r="C886" t="s">
        <v>229</v>
      </c>
      <c r="D886" t="s">
        <v>737</v>
      </c>
      <c r="E886" t="s">
        <v>105</v>
      </c>
      <c r="F886">
        <v>60</v>
      </c>
      <c r="G886" t="s">
        <v>678</v>
      </c>
      <c r="H886" t="s">
        <v>678</v>
      </c>
      <c r="I886" t="s">
        <v>105</v>
      </c>
      <c r="J886" t="s">
        <v>678</v>
      </c>
      <c r="K886" t="s">
        <v>678</v>
      </c>
      <c r="L886" t="s">
        <v>678</v>
      </c>
      <c r="M886" t="s">
        <v>1550</v>
      </c>
      <c r="N886" t="b">
        <v>0</v>
      </c>
    </row>
    <row r="887" spans="1:14">
      <c r="A887">
        <v>57</v>
      </c>
      <c r="B887">
        <v>4</v>
      </c>
      <c r="C887" t="s">
        <v>207</v>
      </c>
      <c r="D887" t="s">
        <v>737</v>
      </c>
      <c r="E887" t="s">
        <v>117</v>
      </c>
      <c r="F887">
        <v>50</v>
      </c>
      <c r="G887" t="s">
        <v>678</v>
      </c>
      <c r="H887" t="s">
        <v>678</v>
      </c>
      <c r="I887" t="s">
        <v>117</v>
      </c>
      <c r="J887" t="s">
        <v>678</v>
      </c>
      <c r="K887" t="s">
        <v>678</v>
      </c>
      <c r="L887" t="s">
        <v>678</v>
      </c>
      <c r="M887" t="s">
        <v>1551</v>
      </c>
      <c r="N887" t="b">
        <v>0</v>
      </c>
    </row>
    <row r="888" spans="1:14">
      <c r="A888">
        <v>57</v>
      </c>
      <c r="B888">
        <v>5</v>
      </c>
      <c r="C888" t="s">
        <v>230</v>
      </c>
      <c r="D888" t="s">
        <v>737</v>
      </c>
      <c r="E888" t="s">
        <v>70</v>
      </c>
      <c r="F888">
        <v>50</v>
      </c>
      <c r="G888" t="s">
        <v>678</v>
      </c>
      <c r="H888" t="s">
        <v>678</v>
      </c>
      <c r="I888" t="s">
        <v>70</v>
      </c>
      <c r="J888" t="s">
        <v>678</v>
      </c>
      <c r="K888" t="s">
        <v>678</v>
      </c>
      <c r="L888" t="s">
        <v>678</v>
      </c>
      <c r="M888" t="s">
        <v>1552</v>
      </c>
      <c r="N888" t="b">
        <v>0</v>
      </c>
    </row>
    <row r="889" spans="1:14">
      <c r="A889">
        <v>57</v>
      </c>
      <c r="B889">
        <v>6</v>
      </c>
      <c r="C889" t="s">
        <v>231</v>
      </c>
      <c r="D889" t="s">
        <v>737</v>
      </c>
      <c r="E889" t="s">
        <v>342</v>
      </c>
      <c r="F889">
        <v>60</v>
      </c>
      <c r="G889" t="s">
        <v>678</v>
      </c>
      <c r="H889" t="s">
        <v>559</v>
      </c>
      <c r="I889" t="s">
        <v>456</v>
      </c>
      <c r="J889" t="s">
        <v>678</v>
      </c>
      <c r="K889" t="s">
        <v>934</v>
      </c>
      <c r="L889" t="s">
        <v>935</v>
      </c>
      <c r="M889" t="s">
        <v>1553</v>
      </c>
      <c r="N889" t="b">
        <v>0</v>
      </c>
    </row>
    <row r="890" spans="1:14">
      <c r="A890">
        <v>57</v>
      </c>
      <c r="B890">
        <v>7</v>
      </c>
      <c r="C890" t="s">
        <v>176</v>
      </c>
      <c r="D890" t="s">
        <v>737</v>
      </c>
      <c r="E890" t="s">
        <v>76</v>
      </c>
      <c r="F890">
        <v>50</v>
      </c>
      <c r="G890" t="s">
        <v>678</v>
      </c>
      <c r="H890" t="s">
        <v>678</v>
      </c>
      <c r="I890" t="s">
        <v>76</v>
      </c>
      <c r="J890" t="s">
        <v>678</v>
      </c>
      <c r="K890" t="s">
        <v>678</v>
      </c>
      <c r="L890" t="s">
        <v>678</v>
      </c>
      <c r="M890" t="s">
        <v>1554</v>
      </c>
      <c r="N890" t="b">
        <v>0</v>
      </c>
    </row>
    <row r="891" spans="1:14">
      <c r="A891">
        <v>57</v>
      </c>
      <c r="B891">
        <v>8</v>
      </c>
      <c r="C891" t="s">
        <v>232</v>
      </c>
      <c r="D891" t="s">
        <v>737</v>
      </c>
      <c r="E891" t="s">
        <v>106</v>
      </c>
      <c r="F891">
        <v>50</v>
      </c>
      <c r="G891" t="s">
        <v>678</v>
      </c>
      <c r="H891" t="s">
        <v>678</v>
      </c>
      <c r="I891" t="s">
        <v>106</v>
      </c>
      <c r="J891" t="s">
        <v>678</v>
      </c>
      <c r="K891" t="s">
        <v>678</v>
      </c>
      <c r="L891" t="s">
        <v>678</v>
      </c>
      <c r="M891" t="s">
        <v>1555</v>
      </c>
      <c r="N891" t="b">
        <v>0</v>
      </c>
    </row>
    <row r="892" spans="1:14">
      <c r="A892">
        <v>57</v>
      </c>
      <c r="B892">
        <v>9</v>
      </c>
      <c r="C892" t="s">
        <v>179</v>
      </c>
      <c r="D892" t="s">
        <v>737</v>
      </c>
      <c r="E892" t="s">
        <v>110</v>
      </c>
      <c r="F892">
        <v>50</v>
      </c>
      <c r="G892" t="s">
        <v>678</v>
      </c>
      <c r="H892" t="s">
        <v>678</v>
      </c>
      <c r="I892" t="s">
        <v>110</v>
      </c>
      <c r="J892" t="s">
        <v>678</v>
      </c>
      <c r="K892" t="s">
        <v>678</v>
      </c>
      <c r="L892" t="s">
        <v>678</v>
      </c>
      <c r="M892" t="s">
        <v>1556</v>
      </c>
      <c r="N892" t="b">
        <v>0</v>
      </c>
    </row>
    <row r="893" spans="1:14">
      <c r="A893">
        <v>57</v>
      </c>
      <c r="B893">
        <v>10</v>
      </c>
      <c r="C893" t="s">
        <v>233</v>
      </c>
      <c r="D893" t="s">
        <v>737</v>
      </c>
      <c r="E893" t="s">
        <v>111</v>
      </c>
      <c r="F893">
        <v>50</v>
      </c>
      <c r="G893" t="s">
        <v>678</v>
      </c>
      <c r="H893" t="s">
        <v>678</v>
      </c>
      <c r="I893" t="s">
        <v>111</v>
      </c>
      <c r="J893" t="s">
        <v>678</v>
      </c>
      <c r="K893" t="s">
        <v>678</v>
      </c>
      <c r="L893" t="s">
        <v>678</v>
      </c>
      <c r="M893" t="s">
        <v>1557</v>
      </c>
      <c r="N893" t="b">
        <v>0</v>
      </c>
    </row>
    <row r="894" spans="1:14">
      <c r="A894">
        <v>57</v>
      </c>
      <c r="B894">
        <v>11</v>
      </c>
      <c r="C894" t="s">
        <v>204</v>
      </c>
      <c r="D894" t="s">
        <v>737</v>
      </c>
      <c r="E894" t="s">
        <v>112</v>
      </c>
      <c r="F894">
        <v>60</v>
      </c>
      <c r="G894" t="s">
        <v>678</v>
      </c>
      <c r="H894" t="s">
        <v>678</v>
      </c>
      <c r="I894" t="s">
        <v>112</v>
      </c>
      <c r="J894" t="s">
        <v>678</v>
      </c>
      <c r="K894" t="s">
        <v>678</v>
      </c>
      <c r="L894" t="s">
        <v>678</v>
      </c>
      <c r="M894" t="s">
        <v>1558</v>
      </c>
      <c r="N894" t="b">
        <v>0</v>
      </c>
    </row>
    <row r="895" spans="1:14">
      <c r="A895">
        <v>57</v>
      </c>
      <c r="B895">
        <v>12</v>
      </c>
      <c r="C895" t="s">
        <v>678</v>
      </c>
      <c r="D895" t="s">
        <v>737</v>
      </c>
      <c r="E895" t="s">
        <v>678</v>
      </c>
      <c r="F895">
        <v>0</v>
      </c>
      <c r="G895" t="s">
        <v>678</v>
      </c>
      <c r="H895" t="s">
        <v>678</v>
      </c>
      <c r="I895" t="s">
        <v>678</v>
      </c>
      <c r="J895" t="s">
        <v>678</v>
      </c>
      <c r="K895" t="s">
        <v>678</v>
      </c>
      <c r="L895" t="s">
        <v>678</v>
      </c>
      <c r="M895" t="s">
        <v>1559</v>
      </c>
      <c r="N895" t="b">
        <v>0</v>
      </c>
    </row>
    <row r="896" spans="1:14">
      <c r="A896">
        <v>57</v>
      </c>
      <c r="B896">
        <v>13</v>
      </c>
      <c r="C896" t="s">
        <v>678</v>
      </c>
      <c r="D896" t="s">
        <v>737</v>
      </c>
      <c r="E896" t="s">
        <v>678</v>
      </c>
      <c r="F896">
        <v>0</v>
      </c>
      <c r="G896" t="s">
        <v>678</v>
      </c>
      <c r="H896" t="s">
        <v>678</v>
      </c>
      <c r="I896" t="s">
        <v>678</v>
      </c>
      <c r="J896" t="s">
        <v>678</v>
      </c>
      <c r="K896" t="s">
        <v>678</v>
      </c>
      <c r="L896" t="s">
        <v>678</v>
      </c>
      <c r="M896" t="s">
        <v>1560</v>
      </c>
      <c r="N896" t="b">
        <v>0</v>
      </c>
    </row>
    <row r="897" spans="1:14">
      <c r="A897">
        <v>57</v>
      </c>
      <c r="B897">
        <v>14</v>
      </c>
      <c r="C897" t="s">
        <v>678</v>
      </c>
      <c r="D897" t="s">
        <v>737</v>
      </c>
      <c r="E897" t="s">
        <v>678</v>
      </c>
      <c r="F897">
        <v>0</v>
      </c>
      <c r="G897" t="s">
        <v>678</v>
      </c>
      <c r="H897" t="s">
        <v>678</v>
      </c>
      <c r="I897" t="s">
        <v>678</v>
      </c>
      <c r="J897" t="s">
        <v>678</v>
      </c>
      <c r="K897" t="s">
        <v>678</v>
      </c>
      <c r="L897" t="s">
        <v>678</v>
      </c>
      <c r="M897" t="s">
        <v>1561</v>
      </c>
      <c r="N897" t="b">
        <v>0</v>
      </c>
    </row>
    <row r="898" spans="1:14">
      <c r="A898">
        <v>57</v>
      </c>
      <c r="B898">
        <v>15</v>
      </c>
      <c r="C898" t="s">
        <v>678</v>
      </c>
      <c r="D898" t="s">
        <v>737</v>
      </c>
      <c r="E898" t="s">
        <v>678</v>
      </c>
      <c r="F898">
        <v>0</v>
      </c>
      <c r="G898" t="s">
        <v>678</v>
      </c>
      <c r="H898" t="s">
        <v>678</v>
      </c>
      <c r="I898" t="s">
        <v>678</v>
      </c>
      <c r="J898" t="s">
        <v>678</v>
      </c>
      <c r="K898" t="s">
        <v>678</v>
      </c>
      <c r="L898" t="s">
        <v>678</v>
      </c>
      <c r="M898" t="s">
        <v>1562</v>
      </c>
      <c r="N898" t="b">
        <v>0</v>
      </c>
    </row>
    <row r="899" spans="1:14">
      <c r="A899">
        <v>57</v>
      </c>
      <c r="B899">
        <v>16</v>
      </c>
      <c r="C899" t="s">
        <v>211</v>
      </c>
      <c r="D899" t="s">
        <v>754</v>
      </c>
      <c r="E899" t="s">
        <v>107</v>
      </c>
      <c r="F899">
        <v>60</v>
      </c>
      <c r="G899" t="s">
        <v>678</v>
      </c>
      <c r="H899" t="s">
        <v>678</v>
      </c>
      <c r="I899" t="s">
        <v>107</v>
      </c>
      <c r="J899" t="s">
        <v>678</v>
      </c>
      <c r="K899" t="s">
        <v>678</v>
      </c>
      <c r="L899" t="s">
        <v>678</v>
      </c>
      <c r="M899" t="s">
        <v>1563</v>
      </c>
      <c r="N899" t="b">
        <v>0</v>
      </c>
    </row>
    <row r="900" spans="1:14">
      <c r="A900">
        <v>57</v>
      </c>
      <c r="B900">
        <v>17</v>
      </c>
      <c r="C900" t="s">
        <v>371</v>
      </c>
      <c r="D900" t="s">
        <v>754</v>
      </c>
      <c r="E900" t="s">
        <v>104</v>
      </c>
      <c r="F900">
        <v>50</v>
      </c>
      <c r="G900" t="s">
        <v>678</v>
      </c>
      <c r="H900" t="s">
        <v>678</v>
      </c>
      <c r="I900" t="s">
        <v>104</v>
      </c>
      <c r="J900" t="s">
        <v>678</v>
      </c>
      <c r="K900" t="s">
        <v>678</v>
      </c>
      <c r="L900" t="s">
        <v>678</v>
      </c>
      <c r="M900" t="s">
        <v>1564</v>
      </c>
      <c r="N900" t="b">
        <v>0</v>
      </c>
    </row>
    <row r="901" spans="1:14">
      <c r="A901">
        <v>57</v>
      </c>
      <c r="B901">
        <v>18</v>
      </c>
      <c r="C901" t="s">
        <v>678</v>
      </c>
      <c r="D901" t="s">
        <v>754</v>
      </c>
      <c r="E901" t="s">
        <v>678</v>
      </c>
      <c r="F901">
        <v>0</v>
      </c>
      <c r="G901" t="s">
        <v>678</v>
      </c>
      <c r="H901" t="s">
        <v>678</v>
      </c>
      <c r="I901" t="s">
        <v>678</v>
      </c>
      <c r="J901" t="s">
        <v>678</v>
      </c>
      <c r="K901" t="s">
        <v>678</v>
      </c>
      <c r="L901" t="s">
        <v>678</v>
      </c>
      <c r="M901" t="s">
        <v>1565</v>
      </c>
      <c r="N901" t="b">
        <v>0</v>
      </c>
    </row>
    <row r="902" spans="1:14">
      <c r="A902">
        <v>57</v>
      </c>
      <c r="B902">
        <v>19</v>
      </c>
      <c r="C902" t="s">
        <v>678</v>
      </c>
      <c r="D902" t="s">
        <v>754</v>
      </c>
      <c r="E902" t="s">
        <v>678</v>
      </c>
      <c r="F902">
        <v>0</v>
      </c>
      <c r="G902" t="s">
        <v>678</v>
      </c>
      <c r="H902" t="s">
        <v>678</v>
      </c>
      <c r="I902" t="s">
        <v>678</v>
      </c>
      <c r="J902" t="s">
        <v>678</v>
      </c>
      <c r="K902" t="s">
        <v>678</v>
      </c>
      <c r="L902" t="s">
        <v>678</v>
      </c>
      <c r="M902" t="s">
        <v>1566</v>
      </c>
      <c r="N902" t="b">
        <v>0</v>
      </c>
    </row>
    <row r="903" spans="1:14">
      <c r="A903">
        <v>57</v>
      </c>
      <c r="B903">
        <v>20</v>
      </c>
      <c r="C903" t="s">
        <v>678</v>
      </c>
      <c r="D903" t="s">
        <v>754</v>
      </c>
      <c r="E903" t="s">
        <v>678</v>
      </c>
      <c r="F903">
        <v>0</v>
      </c>
      <c r="G903" t="s">
        <v>678</v>
      </c>
      <c r="H903" t="s">
        <v>678</v>
      </c>
      <c r="I903" t="s">
        <v>678</v>
      </c>
      <c r="J903" t="s">
        <v>678</v>
      </c>
      <c r="K903" t="s">
        <v>678</v>
      </c>
      <c r="L903" t="s">
        <v>678</v>
      </c>
      <c r="M903" t="s">
        <v>1567</v>
      </c>
      <c r="N903" t="b">
        <v>0</v>
      </c>
    </row>
    <row r="904" spans="1:14">
      <c r="A904">
        <v>57</v>
      </c>
      <c r="B904">
        <v>21</v>
      </c>
      <c r="C904" t="s">
        <v>678</v>
      </c>
      <c r="D904" t="s">
        <v>754</v>
      </c>
      <c r="E904" t="s">
        <v>678</v>
      </c>
      <c r="F904">
        <v>0</v>
      </c>
      <c r="G904" t="s">
        <v>678</v>
      </c>
      <c r="H904" t="s">
        <v>678</v>
      </c>
      <c r="I904" t="s">
        <v>678</v>
      </c>
      <c r="J904" t="s">
        <v>678</v>
      </c>
      <c r="K904" t="s">
        <v>678</v>
      </c>
      <c r="L904" t="s">
        <v>678</v>
      </c>
      <c r="M904" t="s">
        <v>1568</v>
      </c>
      <c r="N904" t="b">
        <v>0</v>
      </c>
    </row>
    <row r="905" spans="1:14">
      <c r="A905">
        <v>57</v>
      </c>
      <c r="B905">
        <v>22</v>
      </c>
      <c r="C905" t="s">
        <v>678</v>
      </c>
      <c r="D905" t="s">
        <v>754</v>
      </c>
      <c r="E905" t="s">
        <v>678</v>
      </c>
      <c r="F905">
        <v>0</v>
      </c>
      <c r="G905" t="s">
        <v>678</v>
      </c>
      <c r="H905" t="s">
        <v>678</v>
      </c>
      <c r="I905" t="s">
        <v>678</v>
      </c>
      <c r="J905" t="s">
        <v>678</v>
      </c>
      <c r="K905" t="s">
        <v>678</v>
      </c>
      <c r="L905" t="s">
        <v>678</v>
      </c>
      <c r="M905" t="s">
        <v>1569</v>
      </c>
      <c r="N905" t="b">
        <v>0</v>
      </c>
    </row>
    <row r="906" spans="1:14">
      <c r="A906">
        <v>57</v>
      </c>
      <c r="B906">
        <v>23</v>
      </c>
      <c r="C906" t="s">
        <v>678</v>
      </c>
      <c r="D906" t="s">
        <v>754</v>
      </c>
      <c r="E906" t="s">
        <v>678</v>
      </c>
      <c r="F906">
        <v>0</v>
      </c>
      <c r="G906" t="s">
        <v>678</v>
      </c>
      <c r="H906" t="s">
        <v>678</v>
      </c>
      <c r="I906" t="s">
        <v>678</v>
      </c>
      <c r="J906" t="s">
        <v>678</v>
      </c>
      <c r="K906" t="s">
        <v>678</v>
      </c>
      <c r="L906" t="s">
        <v>678</v>
      </c>
      <c r="M906" t="s">
        <v>1570</v>
      </c>
      <c r="N906" t="b">
        <v>0</v>
      </c>
    </row>
    <row r="907" spans="1:14">
      <c r="A907">
        <v>57</v>
      </c>
      <c r="B907">
        <v>24</v>
      </c>
      <c r="C907" t="s">
        <v>678</v>
      </c>
      <c r="D907" t="s">
        <v>754</v>
      </c>
      <c r="E907" t="s">
        <v>678</v>
      </c>
      <c r="F907">
        <v>0</v>
      </c>
      <c r="G907" t="s">
        <v>678</v>
      </c>
      <c r="H907" t="s">
        <v>678</v>
      </c>
      <c r="I907" t="s">
        <v>678</v>
      </c>
      <c r="J907" t="s">
        <v>678</v>
      </c>
      <c r="K907" t="s">
        <v>678</v>
      </c>
      <c r="L907" t="s">
        <v>678</v>
      </c>
      <c r="M907" t="s">
        <v>1571</v>
      </c>
      <c r="N907" t="b">
        <v>0</v>
      </c>
    </row>
    <row r="908" spans="1:14">
      <c r="A908">
        <v>57</v>
      </c>
      <c r="B908">
        <v>25</v>
      </c>
      <c r="C908" t="s">
        <v>678</v>
      </c>
      <c r="D908" t="s">
        <v>754</v>
      </c>
      <c r="E908" t="s">
        <v>678</v>
      </c>
      <c r="F908">
        <v>0</v>
      </c>
      <c r="G908" t="s">
        <v>678</v>
      </c>
      <c r="H908" t="s">
        <v>678</v>
      </c>
      <c r="I908" t="s">
        <v>678</v>
      </c>
      <c r="J908" t="s">
        <v>678</v>
      </c>
      <c r="K908" t="s">
        <v>678</v>
      </c>
      <c r="L908" t="s">
        <v>678</v>
      </c>
      <c r="M908" t="s">
        <v>1572</v>
      </c>
      <c r="N908" t="b">
        <v>0</v>
      </c>
    </row>
    <row r="909" spans="1:14">
      <c r="A909">
        <v>57</v>
      </c>
      <c r="B909">
        <v>26</v>
      </c>
      <c r="C909" t="s">
        <v>678</v>
      </c>
      <c r="D909" t="s">
        <v>754</v>
      </c>
      <c r="E909" t="s">
        <v>678</v>
      </c>
      <c r="F909">
        <v>0</v>
      </c>
      <c r="G909" t="s">
        <v>678</v>
      </c>
      <c r="H909" t="s">
        <v>678</v>
      </c>
      <c r="I909" t="s">
        <v>678</v>
      </c>
      <c r="J909" t="s">
        <v>678</v>
      </c>
      <c r="K909" t="s">
        <v>678</v>
      </c>
      <c r="L909" t="s">
        <v>678</v>
      </c>
      <c r="M909" t="s">
        <v>1573</v>
      </c>
      <c r="N909" t="b">
        <v>0</v>
      </c>
    </row>
    <row r="910" spans="1:14">
      <c r="A910">
        <v>59</v>
      </c>
      <c r="B910">
        <v>0</v>
      </c>
      <c r="C910" t="s">
        <v>226</v>
      </c>
      <c r="D910" t="s">
        <v>737</v>
      </c>
      <c r="E910" t="s">
        <v>67</v>
      </c>
      <c r="F910">
        <v>60</v>
      </c>
      <c r="G910" t="s">
        <v>678</v>
      </c>
      <c r="H910" t="s">
        <v>678</v>
      </c>
      <c r="I910" t="s">
        <v>67</v>
      </c>
      <c r="J910" t="s">
        <v>678</v>
      </c>
      <c r="K910" t="s">
        <v>678</v>
      </c>
      <c r="L910" t="s">
        <v>678</v>
      </c>
      <c r="M910" t="s">
        <v>1574</v>
      </c>
      <c r="N910" t="b">
        <v>0</v>
      </c>
    </row>
    <row r="911" spans="1:14">
      <c r="A911">
        <v>59</v>
      </c>
      <c r="B911">
        <v>1</v>
      </c>
      <c r="C911" t="s">
        <v>340</v>
      </c>
      <c r="D911" t="s">
        <v>737</v>
      </c>
      <c r="E911" t="s">
        <v>79</v>
      </c>
      <c r="F911">
        <v>40</v>
      </c>
      <c r="G911" t="s">
        <v>678</v>
      </c>
      <c r="H911" t="s">
        <v>678</v>
      </c>
      <c r="I911" t="s">
        <v>79</v>
      </c>
      <c r="J911" t="s">
        <v>678</v>
      </c>
      <c r="K911" t="s">
        <v>678</v>
      </c>
      <c r="L911" t="s">
        <v>678</v>
      </c>
      <c r="M911" t="s">
        <v>1575</v>
      </c>
      <c r="N911" t="b">
        <v>0</v>
      </c>
    </row>
    <row r="912" spans="1:14">
      <c r="A912">
        <v>59</v>
      </c>
      <c r="B912">
        <v>2</v>
      </c>
      <c r="C912" t="s">
        <v>278</v>
      </c>
      <c r="D912" t="s">
        <v>737</v>
      </c>
      <c r="E912" t="s">
        <v>85</v>
      </c>
      <c r="F912">
        <v>30</v>
      </c>
      <c r="G912" t="s">
        <v>678</v>
      </c>
      <c r="H912" t="s">
        <v>678</v>
      </c>
      <c r="I912" t="s">
        <v>85</v>
      </c>
      <c r="J912" t="s">
        <v>678</v>
      </c>
      <c r="K912" t="s">
        <v>678</v>
      </c>
      <c r="L912" t="s">
        <v>678</v>
      </c>
      <c r="M912" t="s">
        <v>1576</v>
      </c>
      <c r="N912" t="b">
        <v>0</v>
      </c>
    </row>
    <row r="913" spans="1:14">
      <c r="A913">
        <v>59</v>
      </c>
      <c r="B913">
        <v>3</v>
      </c>
      <c r="C913" t="s">
        <v>248</v>
      </c>
      <c r="D913" t="s">
        <v>737</v>
      </c>
      <c r="E913" t="s">
        <v>555</v>
      </c>
      <c r="F913">
        <v>40</v>
      </c>
      <c r="G913" t="s">
        <v>678</v>
      </c>
      <c r="H913" t="s">
        <v>558</v>
      </c>
      <c r="I913" t="s">
        <v>519</v>
      </c>
      <c r="J913" t="s">
        <v>678</v>
      </c>
      <c r="K913" t="s">
        <v>805</v>
      </c>
      <c r="L913" t="s">
        <v>806</v>
      </c>
      <c r="M913" t="s">
        <v>1577</v>
      </c>
      <c r="N913" t="b">
        <v>0</v>
      </c>
    </row>
    <row r="914" spans="1:14">
      <c r="A914">
        <v>59</v>
      </c>
      <c r="B914">
        <v>4</v>
      </c>
      <c r="C914" t="s">
        <v>249</v>
      </c>
      <c r="D914" t="s">
        <v>737</v>
      </c>
      <c r="E914" t="s">
        <v>555</v>
      </c>
      <c r="F914">
        <v>40</v>
      </c>
      <c r="G914" t="s">
        <v>678</v>
      </c>
      <c r="H914" t="s">
        <v>568</v>
      </c>
      <c r="I914" t="s">
        <v>497</v>
      </c>
      <c r="J914" t="s">
        <v>678</v>
      </c>
      <c r="K914" t="s">
        <v>808</v>
      </c>
      <c r="L914" t="s">
        <v>809</v>
      </c>
      <c r="M914" t="s">
        <v>1578</v>
      </c>
      <c r="N914" t="b">
        <v>0</v>
      </c>
    </row>
    <row r="915" spans="1:14">
      <c r="A915">
        <v>59</v>
      </c>
      <c r="B915">
        <v>5</v>
      </c>
      <c r="C915" t="s">
        <v>392</v>
      </c>
      <c r="D915" t="s">
        <v>737</v>
      </c>
      <c r="E915" t="s">
        <v>99</v>
      </c>
      <c r="F915">
        <v>60</v>
      </c>
      <c r="G915" t="s">
        <v>678</v>
      </c>
      <c r="H915" t="s">
        <v>678</v>
      </c>
      <c r="I915" t="s">
        <v>99</v>
      </c>
      <c r="J915" t="s">
        <v>678</v>
      </c>
      <c r="K915" t="s">
        <v>678</v>
      </c>
      <c r="L915" t="s">
        <v>678</v>
      </c>
      <c r="M915" t="s">
        <v>1579</v>
      </c>
      <c r="N915" t="b">
        <v>0</v>
      </c>
    </row>
    <row r="916" spans="1:14">
      <c r="A916">
        <v>59</v>
      </c>
      <c r="B916">
        <v>6</v>
      </c>
      <c r="C916" t="s">
        <v>393</v>
      </c>
      <c r="D916" t="s">
        <v>737</v>
      </c>
      <c r="E916" t="s">
        <v>342</v>
      </c>
      <c r="F916">
        <v>50</v>
      </c>
      <c r="G916" t="s">
        <v>678</v>
      </c>
      <c r="H916" t="s">
        <v>569</v>
      </c>
      <c r="I916" t="s">
        <v>488</v>
      </c>
      <c r="J916" t="s">
        <v>678</v>
      </c>
      <c r="K916" t="s">
        <v>934</v>
      </c>
      <c r="L916" t="s">
        <v>935</v>
      </c>
      <c r="M916" t="s">
        <v>1580</v>
      </c>
      <c r="N916" t="b">
        <v>0</v>
      </c>
    </row>
    <row r="917" spans="1:14">
      <c r="A917">
        <v>59</v>
      </c>
      <c r="B917">
        <v>7</v>
      </c>
      <c r="C917" t="s">
        <v>176</v>
      </c>
      <c r="D917" t="s">
        <v>737</v>
      </c>
      <c r="E917" t="s">
        <v>76</v>
      </c>
      <c r="F917">
        <v>50</v>
      </c>
      <c r="G917" t="s">
        <v>678</v>
      </c>
      <c r="H917" t="s">
        <v>678</v>
      </c>
      <c r="I917" t="s">
        <v>76</v>
      </c>
      <c r="J917" t="s">
        <v>678</v>
      </c>
      <c r="K917" t="s">
        <v>678</v>
      </c>
      <c r="L917" t="s">
        <v>678</v>
      </c>
      <c r="M917" t="s">
        <v>1581</v>
      </c>
      <c r="N917" t="b">
        <v>0</v>
      </c>
    </row>
    <row r="918" spans="1:14">
      <c r="A918">
        <v>59</v>
      </c>
      <c r="B918">
        <v>8</v>
      </c>
      <c r="C918" t="s">
        <v>394</v>
      </c>
      <c r="D918" t="s">
        <v>766</v>
      </c>
      <c r="E918" t="s">
        <v>369</v>
      </c>
      <c r="F918">
        <v>40</v>
      </c>
      <c r="G918" t="s">
        <v>773</v>
      </c>
      <c r="H918" t="s">
        <v>678</v>
      </c>
      <c r="I918" t="s">
        <v>678</v>
      </c>
      <c r="J918" t="s">
        <v>1176</v>
      </c>
      <c r="K918" t="s">
        <v>1177</v>
      </c>
      <c r="L918" t="s">
        <v>1178</v>
      </c>
      <c r="M918" t="s">
        <v>1582</v>
      </c>
      <c r="N918" t="b">
        <v>0</v>
      </c>
    </row>
    <row r="919" spans="1:14">
      <c r="A919">
        <v>59</v>
      </c>
      <c r="B919">
        <v>9</v>
      </c>
      <c r="C919" t="s">
        <v>280</v>
      </c>
      <c r="D919" t="s">
        <v>737</v>
      </c>
      <c r="E919" t="s">
        <v>556</v>
      </c>
      <c r="F919">
        <v>40</v>
      </c>
      <c r="G919" t="s">
        <v>678</v>
      </c>
      <c r="H919" t="s">
        <v>594</v>
      </c>
      <c r="I919" t="s">
        <v>507</v>
      </c>
      <c r="J919" t="s">
        <v>678</v>
      </c>
      <c r="K919" t="s">
        <v>814</v>
      </c>
      <c r="L919" t="s">
        <v>815</v>
      </c>
      <c r="M919" t="s">
        <v>1583</v>
      </c>
      <c r="N919" t="b">
        <v>0</v>
      </c>
    </row>
    <row r="920" spans="1:14">
      <c r="A920">
        <v>59</v>
      </c>
      <c r="B920">
        <v>10</v>
      </c>
      <c r="C920" t="s">
        <v>203</v>
      </c>
      <c r="D920" t="s">
        <v>737</v>
      </c>
      <c r="E920" t="s">
        <v>102</v>
      </c>
      <c r="F920">
        <v>50</v>
      </c>
      <c r="G920" t="s">
        <v>678</v>
      </c>
      <c r="H920" t="s">
        <v>678</v>
      </c>
      <c r="I920" t="s">
        <v>102</v>
      </c>
      <c r="J920" t="s">
        <v>678</v>
      </c>
      <c r="K920" t="s">
        <v>678</v>
      </c>
      <c r="L920" t="s">
        <v>678</v>
      </c>
      <c r="M920" t="s">
        <v>1584</v>
      </c>
      <c r="N920" t="b">
        <v>0</v>
      </c>
    </row>
    <row r="921" spans="1:14">
      <c r="A921">
        <v>59</v>
      </c>
      <c r="B921">
        <v>11</v>
      </c>
      <c r="C921" t="s">
        <v>302</v>
      </c>
      <c r="D921" t="s">
        <v>737</v>
      </c>
      <c r="E921" t="s">
        <v>111</v>
      </c>
      <c r="F921">
        <v>60</v>
      </c>
      <c r="G921" t="s">
        <v>678</v>
      </c>
      <c r="H921" t="s">
        <v>678</v>
      </c>
      <c r="I921" t="s">
        <v>111</v>
      </c>
      <c r="J921" t="s">
        <v>678</v>
      </c>
      <c r="K921" t="s">
        <v>678</v>
      </c>
      <c r="L921" t="s">
        <v>678</v>
      </c>
      <c r="M921" t="s">
        <v>1585</v>
      </c>
      <c r="N921" t="b">
        <v>0</v>
      </c>
    </row>
    <row r="922" spans="1:14">
      <c r="A922">
        <v>59</v>
      </c>
      <c r="B922">
        <v>12</v>
      </c>
      <c r="C922" t="s">
        <v>678</v>
      </c>
      <c r="D922" t="s">
        <v>737</v>
      </c>
      <c r="E922" t="s">
        <v>678</v>
      </c>
      <c r="F922">
        <v>0</v>
      </c>
      <c r="G922" t="s">
        <v>678</v>
      </c>
      <c r="H922" t="s">
        <v>678</v>
      </c>
      <c r="I922" t="s">
        <v>678</v>
      </c>
      <c r="J922" t="s">
        <v>678</v>
      </c>
      <c r="K922" t="s">
        <v>678</v>
      </c>
      <c r="L922" t="s">
        <v>678</v>
      </c>
      <c r="M922" t="s">
        <v>1586</v>
      </c>
      <c r="N922" t="b">
        <v>0</v>
      </c>
    </row>
    <row r="923" spans="1:14">
      <c r="A923">
        <v>59</v>
      </c>
      <c r="B923">
        <v>13</v>
      </c>
      <c r="C923" t="s">
        <v>678</v>
      </c>
      <c r="D923" t="s">
        <v>737</v>
      </c>
      <c r="E923" t="s">
        <v>678</v>
      </c>
      <c r="F923">
        <v>0</v>
      </c>
      <c r="G923" t="s">
        <v>678</v>
      </c>
      <c r="H923" t="s">
        <v>678</v>
      </c>
      <c r="I923" t="s">
        <v>678</v>
      </c>
      <c r="J923" t="s">
        <v>678</v>
      </c>
      <c r="K923" t="s">
        <v>678</v>
      </c>
      <c r="L923" t="s">
        <v>678</v>
      </c>
      <c r="M923" t="s">
        <v>1587</v>
      </c>
      <c r="N923" t="b">
        <v>0</v>
      </c>
    </row>
    <row r="924" spans="1:14">
      <c r="A924">
        <v>59</v>
      </c>
      <c r="B924">
        <v>14</v>
      </c>
      <c r="C924" t="s">
        <v>678</v>
      </c>
      <c r="D924" t="s">
        <v>737</v>
      </c>
      <c r="E924" t="s">
        <v>678</v>
      </c>
      <c r="F924">
        <v>0</v>
      </c>
      <c r="G924" t="s">
        <v>678</v>
      </c>
      <c r="H924" t="s">
        <v>678</v>
      </c>
      <c r="I924" t="s">
        <v>678</v>
      </c>
      <c r="J924" t="s">
        <v>678</v>
      </c>
      <c r="K924" t="s">
        <v>678</v>
      </c>
      <c r="L924" t="s">
        <v>678</v>
      </c>
      <c r="M924" t="s">
        <v>1588</v>
      </c>
      <c r="N924" t="b">
        <v>0</v>
      </c>
    </row>
    <row r="925" spans="1:14">
      <c r="A925">
        <v>59</v>
      </c>
      <c r="B925">
        <v>15</v>
      </c>
      <c r="C925" t="s">
        <v>678</v>
      </c>
      <c r="D925" t="s">
        <v>737</v>
      </c>
      <c r="E925" t="s">
        <v>678</v>
      </c>
      <c r="F925">
        <v>0</v>
      </c>
      <c r="G925" t="s">
        <v>678</v>
      </c>
      <c r="H925" t="s">
        <v>678</v>
      </c>
      <c r="I925" t="s">
        <v>678</v>
      </c>
      <c r="J925" t="s">
        <v>678</v>
      </c>
      <c r="K925" t="s">
        <v>678</v>
      </c>
      <c r="L925" t="s">
        <v>678</v>
      </c>
      <c r="M925" t="s">
        <v>1589</v>
      </c>
      <c r="N925" t="b">
        <v>0</v>
      </c>
    </row>
    <row r="926" spans="1:14">
      <c r="A926">
        <v>59</v>
      </c>
      <c r="B926">
        <v>16</v>
      </c>
      <c r="C926" t="s">
        <v>678</v>
      </c>
      <c r="D926" t="s">
        <v>754</v>
      </c>
      <c r="E926" t="s">
        <v>678</v>
      </c>
      <c r="F926">
        <v>0</v>
      </c>
      <c r="G926" t="s">
        <v>678</v>
      </c>
      <c r="H926" t="s">
        <v>678</v>
      </c>
      <c r="I926" t="s">
        <v>678</v>
      </c>
      <c r="J926" t="s">
        <v>678</v>
      </c>
      <c r="K926" t="s">
        <v>678</v>
      </c>
      <c r="L926" t="s">
        <v>678</v>
      </c>
      <c r="M926" t="s">
        <v>1590</v>
      </c>
      <c r="N926" t="b">
        <v>0</v>
      </c>
    </row>
    <row r="927" spans="1:14">
      <c r="A927">
        <v>59</v>
      </c>
      <c r="B927">
        <v>17</v>
      </c>
      <c r="C927" t="s">
        <v>678</v>
      </c>
      <c r="D927" t="s">
        <v>754</v>
      </c>
      <c r="E927" t="s">
        <v>678</v>
      </c>
      <c r="F927">
        <v>0</v>
      </c>
      <c r="G927" t="s">
        <v>678</v>
      </c>
      <c r="H927" t="s">
        <v>678</v>
      </c>
      <c r="I927" t="s">
        <v>678</v>
      </c>
      <c r="J927" t="s">
        <v>678</v>
      </c>
      <c r="K927" t="s">
        <v>678</v>
      </c>
      <c r="L927" t="s">
        <v>678</v>
      </c>
      <c r="M927" t="s">
        <v>1591</v>
      </c>
      <c r="N927" t="b">
        <v>0</v>
      </c>
    </row>
    <row r="928" spans="1:14">
      <c r="A928">
        <v>59</v>
      </c>
      <c r="B928">
        <v>18</v>
      </c>
      <c r="C928" t="s">
        <v>678</v>
      </c>
      <c r="D928" t="s">
        <v>754</v>
      </c>
      <c r="E928" t="s">
        <v>678</v>
      </c>
      <c r="F928">
        <v>0</v>
      </c>
      <c r="G928" t="s">
        <v>678</v>
      </c>
      <c r="H928" t="s">
        <v>678</v>
      </c>
      <c r="I928" t="s">
        <v>678</v>
      </c>
      <c r="J928" t="s">
        <v>678</v>
      </c>
      <c r="K928" t="s">
        <v>678</v>
      </c>
      <c r="L928" t="s">
        <v>678</v>
      </c>
      <c r="M928" t="s">
        <v>1592</v>
      </c>
      <c r="N928" t="b">
        <v>0</v>
      </c>
    </row>
    <row r="929" spans="1:14">
      <c r="A929">
        <v>59</v>
      </c>
      <c r="B929">
        <v>19</v>
      </c>
      <c r="C929" t="s">
        <v>678</v>
      </c>
      <c r="D929" t="s">
        <v>754</v>
      </c>
      <c r="E929" t="s">
        <v>678</v>
      </c>
      <c r="F929">
        <v>0</v>
      </c>
      <c r="G929" t="s">
        <v>678</v>
      </c>
      <c r="H929" t="s">
        <v>678</v>
      </c>
      <c r="I929" t="s">
        <v>678</v>
      </c>
      <c r="J929" t="s">
        <v>678</v>
      </c>
      <c r="K929" t="s">
        <v>678</v>
      </c>
      <c r="L929" t="s">
        <v>678</v>
      </c>
      <c r="M929" t="s">
        <v>1593</v>
      </c>
      <c r="N929" t="b">
        <v>0</v>
      </c>
    </row>
    <row r="930" spans="1:14">
      <c r="A930">
        <v>59</v>
      </c>
      <c r="B930">
        <v>20</v>
      </c>
      <c r="C930" t="s">
        <v>678</v>
      </c>
      <c r="D930" t="s">
        <v>754</v>
      </c>
      <c r="E930" t="s">
        <v>678</v>
      </c>
      <c r="F930">
        <v>0</v>
      </c>
      <c r="G930" t="s">
        <v>678</v>
      </c>
      <c r="H930" t="s">
        <v>678</v>
      </c>
      <c r="I930" t="s">
        <v>678</v>
      </c>
      <c r="J930" t="s">
        <v>678</v>
      </c>
      <c r="K930" t="s">
        <v>678</v>
      </c>
      <c r="L930" t="s">
        <v>678</v>
      </c>
      <c r="M930" t="s">
        <v>1594</v>
      </c>
      <c r="N930" t="b">
        <v>0</v>
      </c>
    </row>
    <row r="931" spans="1:14">
      <c r="A931">
        <v>59</v>
      </c>
      <c r="B931">
        <v>21</v>
      </c>
      <c r="C931" t="s">
        <v>678</v>
      </c>
      <c r="D931" t="s">
        <v>754</v>
      </c>
      <c r="E931" t="s">
        <v>678</v>
      </c>
      <c r="F931">
        <v>0</v>
      </c>
      <c r="G931" t="s">
        <v>678</v>
      </c>
      <c r="H931" t="s">
        <v>678</v>
      </c>
      <c r="I931" t="s">
        <v>678</v>
      </c>
      <c r="J931" t="s">
        <v>678</v>
      </c>
      <c r="K931" t="s">
        <v>678</v>
      </c>
      <c r="L931" t="s">
        <v>678</v>
      </c>
      <c r="M931" t="s">
        <v>1595</v>
      </c>
      <c r="N931" t="b">
        <v>0</v>
      </c>
    </row>
    <row r="932" spans="1:14">
      <c r="A932">
        <v>59</v>
      </c>
      <c r="B932">
        <v>22</v>
      </c>
      <c r="C932" t="s">
        <v>678</v>
      </c>
      <c r="D932" t="s">
        <v>754</v>
      </c>
      <c r="E932" t="s">
        <v>678</v>
      </c>
      <c r="F932">
        <v>0</v>
      </c>
      <c r="G932" t="s">
        <v>678</v>
      </c>
      <c r="H932" t="s">
        <v>678</v>
      </c>
      <c r="I932" t="s">
        <v>678</v>
      </c>
      <c r="J932" t="s">
        <v>678</v>
      </c>
      <c r="K932" t="s">
        <v>678</v>
      </c>
      <c r="L932" t="s">
        <v>678</v>
      </c>
      <c r="M932" t="s">
        <v>1596</v>
      </c>
      <c r="N932" t="b">
        <v>0</v>
      </c>
    </row>
    <row r="933" spans="1:14">
      <c r="A933">
        <v>59</v>
      </c>
      <c r="B933">
        <v>23</v>
      </c>
      <c r="C933" t="s">
        <v>678</v>
      </c>
      <c r="D933" t="s">
        <v>754</v>
      </c>
      <c r="E933" t="s">
        <v>678</v>
      </c>
      <c r="F933">
        <v>0</v>
      </c>
      <c r="G933" t="s">
        <v>678</v>
      </c>
      <c r="H933" t="s">
        <v>678</v>
      </c>
      <c r="I933" t="s">
        <v>678</v>
      </c>
      <c r="J933" t="s">
        <v>678</v>
      </c>
      <c r="K933" t="s">
        <v>678</v>
      </c>
      <c r="L933" t="s">
        <v>678</v>
      </c>
      <c r="M933" t="s">
        <v>1597</v>
      </c>
      <c r="N933" t="b">
        <v>0</v>
      </c>
    </row>
    <row r="934" spans="1:14">
      <c r="A934">
        <v>59</v>
      </c>
      <c r="B934">
        <v>24</v>
      </c>
      <c r="C934" t="s">
        <v>678</v>
      </c>
      <c r="D934" t="s">
        <v>754</v>
      </c>
      <c r="E934" t="s">
        <v>678</v>
      </c>
      <c r="F934">
        <v>0</v>
      </c>
      <c r="G934" t="s">
        <v>678</v>
      </c>
      <c r="H934" t="s">
        <v>678</v>
      </c>
      <c r="I934" t="s">
        <v>678</v>
      </c>
      <c r="J934" t="s">
        <v>678</v>
      </c>
      <c r="K934" t="s">
        <v>678</v>
      </c>
      <c r="L934" t="s">
        <v>678</v>
      </c>
      <c r="M934" t="s">
        <v>1598</v>
      </c>
      <c r="N934" t="b">
        <v>0</v>
      </c>
    </row>
    <row r="935" spans="1:14">
      <c r="A935">
        <v>59</v>
      </c>
      <c r="B935">
        <v>25</v>
      </c>
      <c r="C935" t="s">
        <v>678</v>
      </c>
      <c r="D935" t="s">
        <v>754</v>
      </c>
      <c r="E935" t="s">
        <v>678</v>
      </c>
      <c r="F935">
        <v>0</v>
      </c>
      <c r="G935" t="s">
        <v>678</v>
      </c>
      <c r="H935" t="s">
        <v>678</v>
      </c>
      <c r="I935" t="s">
        <v>678</v>
      </c>
      <c r="J935" t="s">
        <v>678</v>
      </c>
      <c r="K935" t="s">
        <v>678</v>
      </c>
      <c r="L935" t="s">
        <v>678</v>
      </c>
      <c r="M935" t="s">
        <v>1599</v>
      </c>
      <c r="N935" t="b">
        <v>0</v>
      </c>
    </row>
    <row r="936" spans="1:14">
      <c r="A936">
        <v>59</v>
      </c>
      <c r="B936">
        <v>26</v>
      </c>
      <c r="C936" t="s">
        <v>678</v>
      </c>
      <c r="D936" t="s">
        <v>754</v>
      </c>
      <c r="E936" t="s">
        <v>678</v>
      </c>
      <c r="F936">
        <v>0</v>
      </c>
      <c r="G936" t="s">
        <v>678</v>
      </c>
      <c r="H936" t="s">
        <v>678</v>
      </c>
      <c r="I936" t="s">
        <v>678</v>
      </c>
      <c r="J936" t="s">
        <v>678</v>
      </c>
      <c r="K936" t="s">
        <v>678</v>
      </c>
      <c r="L936" t="s">
        <v>678</v>
      </c>
      <c r="M936" t="s">
        <v>1600</v>
      </c>
      <c r="N936" t="b">
        <v>0</v>
      </c>
    </row>
    <row r="937" spans="1:14">
      <c r="A937">
        <v>60</v>
      </c>
      <c r="B937">
        <v>0</v>
      </c>
      <c r="C937" t="s">
        <v>195</v>
      </c>
      <c r="D937" t="s">
        <v>737</v>
      </c>
      <c r="E937" t="s">
        <v>67</v>
      </c>
      <c r="F937">
        <v>50</v>
      </c>
      <c r="G937" t="s">
        <v>678</v>
      </c>
      <c r="H937" t="s">
        <v>678</v>
      </c>
      <c r="I937" t="s">
        <v>67</v>
      </c>
      <c r="J937" t="s">
        <v>678</v>
      </c>
      <c r="K937" t="s">
        <v>678</v>
      </c>
      <c r="L937" t="s">
        <v>678</v>
      </c>
      <c r="M937" t="s">
        <v>1601</v>
      </c>
      <c r="N937" t="b">
        <v>0</v>
      </c>
    </row>
    <row r="938" spans="1:14">
      <c r="A938">
        <v>60</v>
      </c>
      <c r="B938">
        <v>1</v>
      </c>
      <c r="C938" t="s">
        <v>236</v>
      </c>
      <c r="D938" t="s">
        <v>737</v>
      </c>
      <c r="E938" t="s">
        <v>79</v>
      </c>
      <c r="F938">
        <v>50</v>
      </c>
      <c r="G938" t="s">
        <v>678</v>
      </c>
      <c r="H938" t="s">
        <v>678</v>
      </c>
      <c r="I938" t="s">
        <v>79</v>
      </c>
      <c r="J938" t="s">
        <v>678</v>
      </c>
      <c r="K938" t="s">
        <v>678</v>
      </c>
      <c r="L938" t="s">
        <v>678</v>
      </c>
      <c r="M938" t="s">
        <v>1602</v>
      </c>
      <c r="N938" t="b">
        <v>0</v>
      </c>
    </row>
    <row r="939" spans="1:14">
      <c r="A939">
        <v>60</v>
      </c>
      <c r="B939">
        <v>2</v>
      </c>
      <c r="C939" t="s">
        <v>167</v>
      </c>
      <c r="D939" t="s">
        <v>737</v>
      </c>
      <c r="E939" t="s">
        <v>85</v>
      </c>
      <c r="F939">
        <v>40</v>
      </c>
      <c r="G939" t="s">
        <v>678</v>
      </c>
      <c r="H939" t="s">
        <v>678</v>
      </c>
      <c r="I939" t="s">
        <v>85</v>
      </c>
      <c r="J939" t="s">
        <v>678</v>
      </c>
      <c r="K939" t="s">
        <v>678</v>
      </c>
      <c r="L939" t="s">
        <v>678</v>
      </c>
      <c r="M939" t="s">
        <v>1603</v>
      </c>
      <c r="N939" t="b">
        <v>0</v>
      </c>
    </row>
    <row r="940" spans="1:14">
      <c r="A940">
        <v>60</v>
      </c>
      <c r="B940">
        <v>3</v>
      </c>
      <c r="C940" t="s">
        <v>239</v>
      </c>
      <c r="D940" t="s">
        <v>737</v>
      </c>
      <c r="E940" t="s">
        <v>105</v>
      </c>
      <c r="F940">
        <v>40</v>
      </c>
      <c r="G940" t="s">
        <v>678</v>
      </c>
      <c r="H940" t="s">
        <v>678</v>
      </c>
      <c r="I940" t="s">
        <v>105</v>
      </c>
      <c r="J940" t="s">
        <v>678</v>
      </c>
      <c r="K940" t="s">
        <v>678</v>
      </c>
      <c r="L940" t="s">
        <v>678</v>
      </c>
      <c r="M940" t="s">
        <v>1604</v>
      </c>
      <c r="N940" t="b">
        <v>0</v>
      </c>
    </row>
    <row r="941" spans="1:14">
      <c r="A941">
        <v>60</v>
      </c>
      <c r="B941">
        <v>4</v>
      </c>
      <c r="C941" t="s">
        <v>211</v>
      </c>
      <c r="D941" t="s">
        <v>737</v>
      </c>
      <c r="E941" t="s">
        <v>107</v>
      </c>
      <c r="F941">
        <v>60</v>
      </c>
      <c r="G941" t="s">
        <v>678</v>
      </c>
      <c r="H941" t="s">
        <v>678</v>
      </c>
      <c r="I941" t="s">
        <v>107</v>
      </c>
      <c r="J941" t="s">
        <v>678</v>
      </c>
      <c r="K941" t="s">
        <v>678</v>
      </c>
      <c r="L941" t="s">
        <v>678</v>
      </c>
      <c r="M941" t="s">
        <v>1605</v>
      </c>
      <c r="N941" t="b">
        <v>0</v>
      </c>
    </row>
    <row r="942" spans="1:14">
      <c r="A942">
        <v>60</v>
      </c>
      <c r="B942">
        <v>5</v>
      </c>
      <c r="C942" t="s">
        <v>264</v>
      </c>
      <c r="D942" t="s">
        <v>737</v>
      </c>
      <c r="E942" t="s">
        <v>119</v>
      </c>
      <c r="F942">
        <v>40</v>
      </c>
      <c r="G942" t="s">
        <v>678</v>
      </c>
      <c r="H942" t="s">
        <v>678</v>
      </c>
      <c r="I942" t="s">
        <v>119</v>
      </c>
      <c r="J942" t="s">
        <v>678</v>
      </c>
      <c r="K942" t="s">
        <v>678</v>
      </c>
      <c r="L942" t="s">
        <v>678</v>
      </c>
      <c r="M942" t="s">
        <v>1606</v>
      </c>
      <c r="N942" t="b">
        <v>0</v>
      </c>
    </row>
    <row r="943" spans="1:14">
      <c r="A943">
        <v>60</v>
      </c>
      <c r="B943">
        <v>6</v>
      </c>
      <c r="C943" t="s">
        <v>272</v>
      </c>
      <c r="D943" t="s">
        <v>737</v>
      </c>
      <c r="E943" t="s">
        <v>68</v>
      </c>
      <c r="F943">
        <v>40</v>
      </c>
      <c r="G943" t="s">
        <v>678</v>
      </c>
      <c r="H943" t="s">
        <v>678</v>
      </c>
      <c r="I943" t="s">
        <v>68</v>
      </c>
      <c r="J943" t="s">
        <v>678</v>
      </c>
      <c r="K943" t="s">
        <v>678</v>
      </c>
      <c r="L943" t="s">
        <v>678</v>
      </c>
      <c r="M943" t="s">
        <v>1607</v>
      </c>
      <c r="N943" t="b">
        <v>0</v>
      </c>
    </row>
    <row r="944" spans="1:14">
      <c r="A944">
        <v>60</v>
      </c>
      <c r="B944">
        <v>7</v>
      </c>
      <c r="C944" t="s">
        <v>202</v>
      </c>
      <c r="D944" t="s">
        <v>737</v>
      </c>
      <c r="E944" t="s">
        <v>80</v>
      </c>
      <c r="F944">
        <v>50</v>
      </c>
      <c r="G944" t="s">
        <v>678</v>
      </c>
      <c r="H944" t="s">
        <v>678</v>
      </c>
      <c r="I944" t="s">
        <v>80</v>
      </c>
      <c r="J944" t="s">
        <v>678</v>
      </c>
      <c r="K944" t="s">
        <v>678</v>
      </c>
      <c r="L944" t="s">
        <v>678</v>
      </c>
      <c r="M944" t="s">
        <v>1608</v>
      </c>
      <c r="N944" t="b">
        <v>0</v>
      </c>
    </row>
    <row r="945" spans="1:14">
      <c r="A945">
        <v>60</v>
      </c>
      <c r="B945">
        <v>8</v>
      </c>
      <c r="C945" t="s">
        <v>223</v>
      </c>
      <c r="D945" t="s">
        <v>737</v>
      </c>
      <c r="E945" t="s">
        <v>86</v>
      </c>
      <c r="F945">
        <v>40</v>
      </c>
      <c r="G945" t="s">
        <v>678</v>
      </c>
      <c r="H945" t="s">
        <v>678</v>
      </c>
      <c r="I945" t="s">
        <v>86</v>
      </c>
      <c r="J945" t="s">
        <v>678</v>
      </c>
      <c r="K945" t="s">
        <v>678</v>
      </c>
      <c r="L945" t="s">
        <v>678</v>
      </c>
      <c r="M945" t="s">
        <v>1609</v>
      </c>
      <c r="N945" t="b">
        <v>0</v>
      </c>
    </row>
    <row r="946" spans="1:14">
      <c r="A946">
        <v>60</v>
      </c>
      <c r="B946">
        <v>9</v>
      </c>
      <c r="C946" t="s">
        <v>273</v>
      </c>
      <c r="D946" t="s">
        <v>737</v>
      </c>
      <c r="E946" t="s">
        <v>556</v>
      </c>
      <c r="F946">
        <v>40</v>
      </c>
      <c r="G946" t="s">
        <v>678</v>
      </c>
      <c r="H946" t="s">
        <v>566</v>
      </c>
      <c r="I946" t="s">
        <v>343</v>
      </c>
      <c r="J946" t="s">
        <v>678</v>
      </c>
      <c r="K946" t="s">
        <v>814</v>
      </c>
      <c r="L946" t="s">
        <v>815</v>
      </c>
      <c r="M946" t="s">
        <v>1610</v>
      </c>
      <c r="N946" t="b">
        <v>0</v>
      </c>
    </row>
    <row r="947" spans="1:14">
      <c r="A947">
        <v>60</v>
      </c>
      <c r="B947">
        <v>10</v>
      </c>
      <c r="C947" t="s">
        <v>179</v>
      </c>
      <c r="D947" t="s">
        <v>737</v>
      </c>
      <c r="E947" t="s">
        <v>110</v>
      </c>
      <c r="F947">
        <v>50</v>
      </c>
      <c r="G947" t="s">
        <v>678</v>
      </c>
      <c r="H947" t="s">
        <v>678</v>
      </c>
      <c r="I947" t="s">
        <v>110</v>
      </c>
      <c r="J947" t="s">
        <v>678</v>
      </c>
      <c r="K947" t="s">
        <v>678</v>
      </c>
      <c r="L947" t="s">
        <v>678</v>
      </c>
      <c r="M947" t="s">
        <v>1611</v>
      </c>
      <c r="N947" t="b">
        <v>0</v>
      </c>
    </row>
    <row r="948" spans="1:14">
      <c r="A948">
        <v>60</v>
      </c>
      <c r="B948">
        <v>11</v>
      </c>
      <c r="C948" t="s">
        <v>678</v>
      </c>
      <c r="D948" t="s">
        <v>737</v>
      </c>
      <c r="E948" t="s">
        <v>678</v>
      </c>
      <c r="F948">
        <v>0</v>
      </c>
      <c r="G948" t="s">
        <v>678</v>
      </c>
      <c r="H948" t="s">
        <v>678</v>
      </c>
      <c r="I948" t="s">
        <v>678</v>
      </c>
      <c r="J948" t="s">
        <v>678</v>
      </c>
      <c r="K948" t="s">
        <v>678</v>
      </c>
      <c r="L948" t="s">
        <v>678</v>
      </c>
      <c r="M948" t="s">
        <v>1612</v>
      </c>
      <c r="N948" t="b">
        <v>0</v>
      </c>
    </row>
    <row r="949" spans="1:14">
      <c r="A949">
        <v>60</v>
      </c>
      <c r="B949">
        <v>12</v>
      </c>
      <c r="C949" t="s">
        <v>678</v>
      </c>
      <c r="D949" t="s">
        <v>737</v>
      </c>
      <c r="E949" t="s">
        <v>678</v>
      </c>
      <c r="F949">
        <v>0</v>
      </c>
      <c r="G949" t="s">
        <v>678</v>
      </c>
      <c r="H949" t="s">
        <v>678</v>
      </c>
      <c r="I949" t="s">
        <v>678</v>
      </c>
      <c r="J949" t="s">
        <v>678</v>
      </c>
      <c r="K949" t="s">
        <v>678</v>
      </c>
      <c r="L949" t="s">
        <v>678</v>
      </c>
      <c r="M949" t="s">
        <v>1613</v>
      </c>
      <c r="N949" t="b">
        <v>0</v>
      </c>
    </row>
    <row r="950" spans="1:14">
      <c r="A950">
        <v>60</v>
      </c>
      <c r="B950">
        <v>13</v>
      </c>
      <c r="C950" t="s">
        <v>678</v>
      </c>
      <c r="D950" t="s">
        <v>737</v>
      </c>
      <c r="E950" t="s">
        <v>678</v>
      </c>
      <c r="F950">
        <v>0</v>
      </c>
      <c r="G950" t="s">
        <v>678</v>
      </c>
      <c r="H950" t="s">
        <v>678</v>
      </c>
      <c r="I950" t="s">
        <v>678</v>
      </c>
      <c r="J950" t="s">
        <v>678</v>
      </c>
      <c r="K950" t="s">
        <v>678</v>
      </c>
      <c r="L950" t="s">
        <v>678</v>
      </c>
      <c r="M950" t="s">
        <v>1614</v>
      </c>
      <c r="N950" t="b">
        <v>0</v>
      </c>
    </row>
    <row r="951" spans="1:14">
      <c r="A951">
        <v>60</v>
      </c>
      <c r="B951">
        <v>14</v>
      </c>
      <c r="C951" t="s">
        <v>678</v>
      </c>
      <c r="D951" t="s">
        <v>737</v>
      </c>
      <c r="E951" t="s">
        <v>678</v>
      </c>
      <c r="F951">
        <v>0</v>
      </c>
      <c r="G951" t="s">
        <v>678</v>
      </c>
      <c r="H951" t="s">
        <v>678</v>
      </c>
      <c r="I951" t="s">
        <v>678</v>
      </c>
      <c r="J951" t="s">
        <v>678</v>
      </c>
      <c r="K951" t="s">
        <v>678</v>
      </c>
      <c r="L951" t="s">
        <v>678</v>
      </c>
      <c r="M951" t="s">
        <v>1615</v>
      </c>
      <c r="N951" t="b">
        <v>0</v>
      </c>
    </row>
    <row r="952" spans="1:14">
      <c r="A952">
        <v>60</v>
      </c>
      <c r="B952">
        <v>15</v>
      </c>
      <c r="C952" t="s">
        <v>678</v>
      </c>
      <c r="D952" t="s">
        <v>737</v>
      </c>
      <c r="E952" t="s">
        <v>678</v>
      </c>
      <c r="F952">
        <v>0</v>
      </c>
      <c r="G952" t="s">
        <v>678</v>
      </c>
      <c r="H952" t="s">
        <v>678</v>
      </c>
      <c r="I952" t="s">
        <v>678</v>
      </c>
      <c r="J952" t="s">
        <v>678</v>
      </c>
      <c r="K952" t="s">
        <v>678</v>
      </c>
      <c r="L952" t="s">
        <v>678</v>
      </c>
      <c r="M952" t="s">
        <v>1616</v>
      </c>
      <c r="N952" t="b">
        <v>0</v>
      </c>
    </row>
    <row r="953" spans="1:14">
      <c r="A953">
        <v>60</v>
      </c>
      <c r="B953">
        <v>16</v>
      </c>
      <c r="C953" t="s">
        <v>274</v>
      </c>
      <c r="D953" t="s">
        <v>754</v>
      </c>
      <c r="E953" t="s">
        <v>103</v>
      </c>
      <c r="F953">
        <v>60</v>
      </c>
      <c r="G953" t="s">
        <v>678</v>
      </c>
      <c r="H953" t="s">
        <v>678</v>
      </c>
      <c r="I953" t="s">
        <v>103</v>
      </c>
      <c r="J953" t="s">
        <v>678</v>
      </c>
      <c r="K953" t="s">
        <v>678</v>
      </c>
      <c r="L953" t="s">
        <v>678</v>
      </c>
      <c r="M953" t="s">
        <v>1617</v>
      </c>
      <c r="N953" t="b">
        <v>0</v>
      </c>
    </row>
    <row r="954" spans="1:14">
      <c r="A954">
        <v>60</v>
      </c>
      <c r="B954">
        <v>17</v>
      </c>
      <c r="C954" t="s">
        <v>222</v>
      </c>
      <c r="D954" t="s">
        <v>754</v>
      </c>
      <c r="E954" t="s">
        <v>113</v>
      </c>
      <c r="F954">
        <v>40</v>
      </c>
      <c r="G954" t="s">
        <v>678</v>
      </c>
      <c r="H954" t="s">
        <v>678</v>
      </c>
      <c r="I954" t="s">
        <v>113</v>
      </c>
      <c r="J954" t="s">
        <v>678</v>
      </c>
      <c r="K954" t="s">
        <v>678</v>
      </c>
      <c r="L954" t="s">
        <v>678</v>
      </c>
      <c r="M954" t="s">
        <v>1618</v>
      </c>
      <c r="N954" t="b">
        <v>0</v>
      </c>
    </row>
    <row r="955" spans="1:14">
      <c r="A955">
        <v>60</v>
      </c>
      <c r="B955">
        <v>18</v>
      </c>
      <c r="C955" t="s">
        <v>176</v>
      </c>
      <c r="D955" t="s">
        <v>754</v>
      </c>
      <c r="E955" t="s">
        <v>76</v>
      </c>
      <c r="F955">
        <v>50</v>
      </c>
      <c r="G955" t="s">
        <v>678</v>
      </c>
      <c r="H955" t="s">
        <v>678</v>
      </c>
      <c r="I955" t="s">
        <v>76</v>
      </c>
      <c r="J955" t="s">
        <v>678</v>
      </c>
      <c r="K955" t="s">
        <v>678</v>
      </c>
      <c r="L955" t="s">
        <v>678</v>
      </c>
      <c r="M955" t="s">
        <v>1619</v>
      </c>
      <c r="N955" t="b">
        <v>0</v>
      </c>
    </row>
    <row r="956" spans="1:14">
      <c r="A956">
        <v>60</v>
      </c>
      <c r="B956">
        <v>19</v>
      </c>
      <c r="C956" t="s">
        <v>275</v>
      </c>
      <c r="D956" t="s">
        <v>754</v>
      </c>
      <c r="E956" t="s">
        <v>95</v>
      </c>
      <c r="F956">
        <v>50</v>
      </c>
      <c r="G956" t="s">
        <v>678</v>
      </c>
      <c r="H956" t="s">
        <v>678</v>
      </c>
      <c r="I956" t="s">
        <v>95</v>
      </c>
      <c r="J956" t="s">
        <v>678</v>
      </c>
      <c r="K956" t="s">
        <v>678</v>
      </c>
      <c r="L956" t="s">
        <v>678</v>
      </c>
      <c r="M956" t="s">
        <v>1620</v>
      </c>
      <c r="N956" t="b">
        <v>0</v>
      </c>
    </row>
    <row r="957" spans="1:14">
      <c r="A957">
        <v>60</v>
      </c>
      <c r="B957">
        <v>20</v>
      </c>
      <c r="C957" t="s">
        <v>178</v>
      </c>
      <c r="D957" t="s">
        <v>754</v>
      </c>
      <c r="E957" t="s">
        <v>102</v>
      </c>
      <c r="F957">
        <v>60</v>
      </c>
      <c r="G957" t="s">
        <v>678</v>
      </c>
      <c r="H957" t="s">
        <v>678</v>
      </c>
      <c r="I957" t="s">
        <v>102</v>
      </c>
      <c r="J957" t="s">
        <v>678</v>
      </c>
      <c r="K957" t="s">
        <v>678</v>
      </c>
      <c r="L957" t="s">
        <v>678</v>
      </c>
      <c r="M957" t="s">
        <v>1621</v>
      </c>
      <c r="N957" t="b">
        <v>0</v>
      </c>
    </row>
    <row r="958" spans="1:14">
      <c r="A958">
        <v>60</v>
      </c>
      <c r="B958">
        <v>21</v>
      </c>
      <c r="C958" t="s">
        <v>678</v>
      </c>
      <c r="D958" t="s">
        <v>754</v>
      </c>
      <c r="E958" t="s">
        <v>678</v>
      </c>
      <c r="F958">
        <v>0</v>
      </c>
      <c r="G958" t="s">
        <v>678</v>
      </c>
      <c r="H958" t="s">
        <v>678</v>
      </c>
      <c r="I958" t="s">
        <v>678</v>
      </c>
      <c r="J958" t="s">
        <v>678</v>
      </c>
      <c r="K958" t="s">
        <v>678</v>
      </c>
      <c r="L958" t="s">
        <v>678</v>
      </c>
      <c r="M958" t="s">
        <v>1622</v>
      </c>
      <c r="N958" t="b">
        <v>0</v>
      </c>
    </row>
    <row r="959" spans="1:14">
      <c r="A959">
        <v>60</v>
      </c>
      <c r="B959">
        <v>22</v>
      </c>
      <c r="C959" t="s">
        <v>678</v>
      </c>
      <c r="D959" t="s">
        <v>754</v>
      </c>
      <c r="E959" t="s">
        <v>678</v>
      </c>
      <c r="F959">
        <v>0</v>
      </c>
      <c r="G959" t="s">
        <v>678</v>
      </c>
      <c r="H959" t="s">
        <v>678</v>
      </c>
      <c r="I959" t="s">
        <v>678</v>
      </c>
      <c r="J959" t="s">
        <v>678</v>
      </c>
      <c r="K959" t="s">
        <v>678</v>
      </c>
      <c r="L959" t="s">
        <v>678</v>
      </c>
      <c r="M959" t="s">
        <v>1623</v>
      </c>
      <c r="N959" t="b">
        <v>0</v>
      </c>
    </row>
    <row r="960" spans="1:14">
      <c r="A960">
        <v>60</v>
      </c>
      <c r="B960">
        <v>23</v>
      </c>
      <c r="C960" t="s">
        <v>678</v>
      </c>
      <c r="D960" t="s">
        <v>754</v>
      </c>
      <c r="E960" t="s">
        <v>678</v>
      </c>
      <c r="F960">
        <v>0</v>
      </c>
      <c r="G960" t="s">
        <v>678</v>
      </c>
      <c r="H960" t="s">
        <v>678</v>
      </c>
      <c r="I960" t="s">
        <v>678</v>
      </c>
      <c r="J960" t="s">
        <v>678</v>
      </c>
      <c r="K960" t="s">
        <v>678</v>
      </c>
      <c r="L960" t="s">
        <v>678</v>
      </c>
      <c r="M960" t="s">
        <v>1624</v>
      </c>
      <c r="N960" t="b">
        <v>0</v>
      </c>
    </row>
    <row r="961" spans="1:14">
      <c r="A961">
        <v>60</v>
      </c>
      <c r="B961">
        <v>24</v>
      </c>
      <c r="C961" t="s">
        <v>678</v>
      </c>
      <c r="D961" t="s">
        <v>754</v>
      </c>
      <c r="E961" t="s">
        <v>678</v>
      </c>
      <c r="F961">
        <v>0</v>
      </c>
      <c r="G961" t="s">
        <v>678</v>
      </c>
      <c r="H961" t="s">
        <v>678</v>
      </c>
      <c r="I961" t="s">
        <v>678</v>
      </c>
      <c r="J961" t="s">
        <v>678</v>
      </c>
      <c r="K961" t="s">
        <v>678</v>
      </c>
      <c r="L961" t="s">
        <v>678</v>
      </c>
      <c r="M961" t="s">
        <v>1625</v>
      </c>
      <c r="N961" t="b">
        <v>0</v>
      </c>
    </row>
    <row r="962" spans="1:14">
      <c r="A962">
        <v>60</v>
      </c>
      <c r="B962">
        <v>25</v>
      </c>
      <c r="C962" t="s">
        <v>678</v>
      </c>
      <c r="D962" t="s">
        <v>754</v>
      </c>
      <c r="E962" t="s">
        <v>678</v>
      </c>
      <c r="F962">
        <v>0</v>
      </c>
      <c r="G962" t="s">
        <v>678</v>
      </c>
      <c r="H962" t="s">
        <v>678</v>
      </c>
      <c r="I962" t="s">
        <v>678</v>
      </c>
      <c r="J962" t="s">
        <v>678</v>
      </c>
      <c r="K962" t="s">
        <v>678</v>
      </c>
      <c r="L962" t="s">
        <v>678</v>
      </c>
      <c r="M962" t="s">
        <v>1626</v>
      </c>
      <c r="N962" t="b">
        <v>0</v>
      </c>
    </row>
    <row r="963" spans="1:14">
      <c r="A963">
        <v>60</v>
      </c>
      <c r="B963">
        <v>26</v>
      </c>
      <c r="C963" t="s">
        <v>678</v>
      </c>
      <c r="D963" t="s">
        <v>754</v>
      </c>
      <c r="E963" t="s">
        <v>678</v>
      </c>
      <c r="F963">
        <v>0</v>
      </c>
      <c r="G963" t="s">
        <v>678</v>
      </c>
      <c r="H963" t="s">
        <v>678</v>
      </c>
      <c r="I963" t="s">
        <v>678</v>
      </c>
      <c r="J963" t="s">
        <v>678</v>
      </c>
      <c r="K963" t="s">
        <v>678</v>
      </c>
      <c r="L963" t="s">
        <v>678</v>
      </c>
      <c r="M963" t="s">
        <v>1627</v>
      </c>
      <c r="N963" t="b">
        <v>0</v>
      </c>
    </row>
    <row r="964" spans="1:14">
      <c r="A964">
        <v>61</v>
      </c>
      <c r="B964">
        <v>0</v>
      </c>
      <c r="C964" t="s">
        <v>195</v>
      </c>
      <c r="D964" t="s">
        <v>737</v>
      </c>
      <c r="E964" t="s">
        <v>67</v>
      </c>
      <c r="F964">
        <v>50</v>
      </c>
      <c r="G964" t="s">
        <v>678</v>
      </c>
      <c r="H964" t="s">
        <v>678</v>
      </c>
      <c r="I964" t="s">
        <v>67</v>
      </c>
      <c r="J964" t="s">
        <v>678</v>
      </c>
      <c r="K964" t="s">
        <v>678</v>
      </c>
      <c r="L964" t="s">
        <v>678</v>
      </c>
      <c r="M964" t="s">
        <v>1628</v>
      </c>
      <c r="N964" t="b">
        <v>0</v>
      </c>
    </row>
    <row r="965" spans="1:14">
      <c r="A965">
        <v>61</v>
      </c>
      <c r="B965">
        <v>1</v>
      </c>
      <c r="C965" t="s">
        <v>227</v>
      </c>
      <c r="D965" t="s">
        <v>737</v>
      </c>
      <c r="E965" t="s">
        <v>79</v>
      </c>
      <c r="F965">
        <v>60</v>
      </c>
      <c r="G965" t="s">
        <v>678</v>
      </c>
      <c r="H965" t="s">
        <v>678</v>
      </c>
      <c r="I965" t="s">
        <v>79</v>
      </c>
      <c r="J965" t="s">
        <v>678</v>
      </c>
      <c r="K965" t="s">
        <v>678</v>
      </c>
      <c r="L965" t="s">
        <v>678</v>
      </c>
      <c r="M965" t="s">
        <v>1629</v>
      </c>
      <c r="N965" t="b">
        <v>0</v>
      </c>
    </row>
    <row r="966" spans="1:14">
      <c r="A966">
        <v>61</v>
      </c>
      <c r="B966">
        <v>2</v>
      </c>
      <c r="C966" t="s">
        <v>228</v>
      </c>
      <c r="D966" t="s">
        <v>737</v>
      </c>
      <c r="E966" t="s">
        <v>99</v>
      </c>
      <c r="F966">
        <v>40</v>
      </c>
      <c r="G966" t="s">
        <v>678</v>
      </c>
      <c r="H966" t="s">
        <v>678</v>
      </c>
      <c r="I966" t="s">
        <v>99</v>
      </c>
      <c r="J966" t="s">
        <v>678</v>
      </c>
      <c r="K966" t="s">
        <v>678</v>
      </c>
      <c r="L966" t="s">
        <v>678</v>
      </c>
      <c r="M966" t="s">
        <v>1630</v>
      </c>
      <c r="N966" t="b">
        <v>0</v>
      </c>
    </row>
    <row r="967" spans="1:14">
      <c r="A967">
        <v>61</v>
      </c>
      <c r="B967">
        <v>3</v>
      </c>
      <c r="C967" t="s">
        <v>229</v>
      </c>
      <c r="D967" t="s">
        <v>737</v>
      </c>
      <c r="E967" t="s">
        <v>105</v>
      </c>
      <c r="F967">
        <v>60</v>
      </c>
      <c r="G967" t="s">
        <v>678</v>
      </c>
      <c r="H967" t="s">
        <v>678</v>
      </c>
      <c r="I967" t="s">
        <v>105</v>
      </c>
      <c r="J967" t="s">
        <v>678</v>
      </c>
      <c r="K967" t="s">
        <v>678</v>
      </c>
      <c r="L967" t="s">
        <v>678</v>
      </c>
      <c r="M967" t="s">
        <v>1631</v>
      </c>
      <c r="N967" t="b">
        <v>0</v>
      </c>
    </row>
    <row r="968" spans="1:14">
      <c r="A968">
        <v>61</v>
      </c>
      <c r="B968">
        <v>4</v>
      </c>
      <c r="C968" t="s">
        <v>207</v>
      </c>
      <c r="D968" t="s">
        <v>737</v>
      </c>
      <c r="E968" t="s">
        <v>117</v>
      </c>
      <c r="F968">
        <v>50</v>
      </c>
      <c r="G968" t="s">
        <v>678</v>
      </c>
      <c r="H968" t="s">
        <v>678</v>
      </c>
      <c r="I968" t="s">
        <v>117</v>
      </c>
      <c r="J968" t="s">
        <v>678</v>
      </c>
      <c r="K968" t="s">
        <v>678</v>
      </c>
      <c r="L968" t="s">
        <v>678</v>
      </c>
      <c r="M968" t="s">
        <v>1632</v>
      </c>
      <c r="N968" t="b">
        <v>0</v>
      </c>
    </row>
    <row r="969" spans="1:14">
      <c r="A969">
        <v>61</v>
      </c>
      <c r="B969">
        <v>5</v>
      </c>
      <c r="C969" t="s">
        <v>230</v>
      </c>
      <c r="D969" t="s">
        <v>737</v>
      </c>
      <c r="E969" t="s">
        <v>70</v>
      </c>
      <c r="F969">
        <v>50</v>
      </c>
      <c r="G969" t="s">
        <v>678</v>
      </c>
      <c r="H969" t="s">
        <v>678</v>
      </c>
      <c r="I969" t="s">
        <v>70</v>
      </c>
      <c r="J969" t="s">
        <v>678</v>
      </c>
      <c r="K969" t="s">
        <v>678</v>
      </c>
      <c r="L969" t="s">
        <v>678</v>
      </c>
      <c r="M969" t="s">
        <v>1633</v>
      </c>
      <c r="N969" t="b">
        <v>0</v>
      </c>
    </row>
    <row r="970" spans="1:14">
      <c r="A970">
        <v>61</v>
      </c>
      <c r="B970">
        <v>6</v>
      </c>
      <c r="C970" t="s">
        <v>231</v>
      </c>
      <c r="D970" t="s">
        <v>737</v>
      </c>
      <c r="E970" t="s">
        <v>342</v>
      </c>
      <c r="F970">
        <v>60</v>
      </c>
      <c r="G970" t="s">
        <v>678</v>
      </c>
      <c r="H970" t="s">
        <v>559</v>
      </c>
      <c r="I970" t="s">
        <v>456</v>
      </c>
      <c r="J970" t="s">
        <v>678</v>
      </c>
      <c r="K970" t="s">
        <v>934</v>
      </c>
      <c r="L970" t="s">
        <v>935</v>
      </c>
      <c r="M970" t="s">
        <v>1634</v>
      </c>
      <c r="N970" t="b">
        <v>0</v>
      </c>
    </row>
    <row r="971" spans="1:14">
      <c r="A971">
        <v>61</v>
      </c>
      <c r="B971">
        <v>7</v>
      </c>
      <c r="C971" t="s">
        <v>176</v>
      </c>
      <c r="D971" t="s">
        <v>737</v>
      </c>
      <c r="E971" t="s">
        <v>76</v>
      </c>
      <c r="F971">
        <v>50</v>
      </c>
      <c r="G971" t="s">
        <v>678</v>
      </c>
      <c r="H971" t="s">
        <v>678</v>
      </c>
      <c r="I971" t="s">
        <v>76</v>
      </c>
      <c r="J971" t="s">
        <v>678</v>
      </c>
      <c r="K971" t="s">
        <v>678</v>
      </c>
      <c r="L971" t="s">
        <v>678</v>
      </c>
      <c r="M971" t="s">
        <v>1635</v>
      </c>
      <c r="N971" t="b">
        <v>0</v>
      </c>
    </row>
    <row r="972" spans="1:14">
      <c r="A972">
        <v>61</v>
      </c>
      <c r="B972">
        <v>8</v>
      </c>
      <c r="C972" t="s">
        <v>399</v>
      </c>
      <c r="D972" t="s">
        <v>737</v>
      </c>
      <c r="E972" t="s">
        <v>369</v>
      </c>
      <c r="F972">
        <v>40</v>
      </c>
      <c r="G972" t="s">
        <v>678</v>
      </c>
      <c r="H972" t="s">
        <v>574</v>
      </c>
      <c r="I972" t="s">
        <v>1636</v>
      </c>
      <c r="J972" t="s">
        <v>678</v>
      </c>
      <c r="K972" t="s">
        <v>1177</v>
      </c>
      <c r="L972" t="s">
        <v>1178</v>
      </c>
      <c r="M972" t="s">
        <v>1637</v>
      </c>
      <c r="N972" t="b">
        <v>0</v>
      </c>
    </row>
    <row r="973" spans="1:14">
      <c r="A973">
        <v>61</v>
      </c>
      <c r="B973">
        <v>9</v>
      </c>
      <c r="C973" t="s">
        <v>232</v>
      </c>
      <c r="D973" t="s">
        <v>737</v>
      </c>
      <c r="E973" t="s">
        <v>106</v>
      </c>
      <c r="F973">
        <v>50</v>
      </c>
      <c r="G973" t="s">
        <v>678</v>
      </c>
      <c r="H973" t="s">
        <v>678</v>
      </c>
      <c r="I973" t="s">
        <v>106</v>
      </c>
      <c r="J973" t="s">
        <v>678</v>
      </c>
      <c r="K973" t="s">
        <v>678</v>
      </c>
      <c r="L973" t="s">
        <v>678</v>
      </c>
      <c r="M973" t="s">
        <v>1638</v>
      </c>
      <c r="N973" t="b">
        <v>0</v>
      </c>
    </row>
    <row r="974" spans="1:14">
      <c r="A974">
        <v>61</v>
      </c>
      <c r="B974">
        <v>10</v>
      </c>
      <c r="C974" t="s">
        <v>400</v>
      </c>
      <c r="D974" t="s">
        <v>737</v>
      </c>
      <c r="E974" t="s">
        <v>110</v>
      </c>
      <c r="F974">
        <v>60</v>
      </c>
      <c r="G974" t="s">
        <v>678</v>
      </c>
      <c r="H974" t="s">
        <v>678</v>
      </c>
      <c r="I974" t="s">
        <v>110</v>
      </c>
      <c r="J974" t="s">
        <v>678</v>
      </c>
      <c r="K974" t="s">
        <v>678</v>
      </c>
      <c r="L974" t="s">
        <v>678</v>
      </c>
      <c r="M974" t="s">
        <v>1639</v>
      </c>
      <c r="N974" t="b">
        <v>0</v>
      </c>
    </row>
    <row r="975" spans="1:14">
      <c r="A975">
        <v>61</v>
      </c>
      <c r="B975">
        <v>11</v>
      </c>
      <c r="C975" t="s">
        <v>302</v>
      </c>
      <c r="D975" t="s">
        <v>737</v>
      </c>
      <c r="E975" t="s">
        <v>111</v>
      </c>
      <c r="F975">
        <v>60</v>
      </c>
      <c r="G975" t="s">
        <v>678</v>
      </c>
      <c r="H975" t="s">
        <v>678</v>
      </c>
      <c r="I975" t="s">
        <v>111</v>
      </c>
      <c r="J975" t="s">
        <v>678</v>
      </c>
      <c r="K975" t="s">
        <v>678</v>
      </c>
      <c r="L975" t="s">
        <v>678</v>
      </c>
      <c r="M975" t="s">
        <v>1640</v>
      </c>
      <c r="N975" t="b">
        <v>0</v>
      </c>
    </row>
    <row r="976" spans="1:14">
      <c r="A976">
        <v>61</v>
      </c>
      <c r="B976">
        <v>12</v>
      </c>
      <c r="C976" t="s">
        <v>204</v>
      </c>
      <c r="D976" t="s">
        <v>737</v>
      </c>
      <c r="E976" t="s">
        <v>112</v>
      </c>
      <c r="F976">
        <v>60</v>
      </c>
      <c r="G976" t="s">
        <v>678</v>
      </c>
      <c r="H976" t="s">
        <v>678</v>
      </c>
      <c r="I976" t="s">
        <v>112</v>
      </c>
      <c r="J976" t="s">
        <v>678</v>
      </c>
      <c r="K976" t="s">
        <v>678</v>
      </c>
      <c r="L976" t="s">
        <v>678</v>
      </c>
      <c r="M976" t="s">
        <v>1641</v>
      </c>
      <c r="N976" t="b">
        <v>0</v>
      </c>
    </row>
    <row r="977" spans="1:14">
      <c r="A977">
        <v>61</v>
      </c>
      <c r="B977">
        <v>13</v>
      </c>
      <c r="C977" t="s">
        <v>678</v>
      </c>
      <c r="D977" t="s">
        <v>737</v>
      </c>
      <c r="E977" t="s">
        <v>678</v>
      </c>
      <c r="F977">
        <v>0</v>
      </c>
      <c r="G977" t="s">
        <v>678</v>
      </c>
      <c r="H977" t="s">
        <v>678</v>
      </c>
      <c r="I977" t="s">
        <v>678</v>
      </c>
      <c r="J977" t="s">
        <v>678</v>
      </c>
      <c r="K977" t="s">
        <v>678</v>
      </c>
      <c r="L977" t="s">
        <v>678</v>
      </c>
      <c r="M977" t="s">
        <v>1642</v>
      </c>
      <c r="N977" t="b">
        <v>0</v>
      </c>
    </row>
    <row r="978" spans="1:14">
      <c r="A978">
        <v>61</v>
      </c>
      <c r="B978">
        <v>14</v>
      </c>
      <c r="C978" t="s">
        <v>678</v>
      </c>
      <c r="D978" t="s">
        <v>737</v>
      </c>
      <c r="E978" t="s">
        <v>678</v>
      </c>
      <c r="F978">
        <v>0</v>
      </c>
      <c r="G978" t="s">
        <v>678</v>
      </c>
      <c r="H978" t="s">
        <v>678</v>
      </c>
      <c r="I978" t="s">
        <v>678</v>
      </c>
      <c r="J978" t="s">
        <v>678</v>
      </c>
      <c r="K978" t="s">
        <v>678</v>
      </c>
      <c r="L978" t="s">
        <v>678</v>
      </c>
      <c r="M978" t="s">
        <v>1643</v>
      </c>
      <c r="N978" t="b">
        <v>0</v>
      </c>
    </row>
    <row r="979" spans="1:14">
      <c r="A979">
        <v>61</v>
      </c>
      <c r="B979">
        <v>15</v>
      </c>
      <c r="C979" t="s">
        <v>678</v>
      </c>
      <c r="D979" t="s">
        <v>737</v>
      </c>
      <c r="E979" t="s">
        <v>678</v>
      </c>
      <c r="F979">
        <v>0</v>
      </c>
      <c r="G979" t="s">
        <v>678</v>
      </c>
      <c r="H979" t="s">
        <v>678</v>
      </c>
      <c r="I979" t="s">
        <v>678</v>
      </c>
      <c r="J979" t="s">
        <v>678</v>
      </c>
      <c r="K979" t="s">
        <v>678</v>
      </c>
      <c r="L979" t="s">
        <v>678</v>
      </c>
      <c r="M979" t="s">
        <v>1644</v>
      </c>
      <c r="N979" t="b">
        <v>0</v>
      </c>
    </row>
    <row r="980" spans="1:14">
      <c r="A980">
        <v>61</v>
      </c>
      <c r="B980">
        <v>16</v>
      </c>
      <c r="C980" t="s">
        <v>678</v>
      </c>
      <c r="D980" t="s">
        <v>754</v>
      </c>
      <c r="E980" t="s">
        <v>678</v>
      </c>
      <c r="F980">
        <v>0</v>
      </c>
      <c r="G980" t="s">
        <v>678</v>
      </c>
      <c r="H980" t="s">
        <v>678</v>
      </c>
      <c r="I980" t="s">
        <v>678</v>
      </c>
      <c r="J980" t="s">
        <v>678</v>
      </c>
      <c r="K980" t="s">
        <v>678</v>
      </c>
      <c r="L980" t="s">
        <v>678</v>
      </c>
      <c r="M980" t="s">
        <v>1645</v>
      </c>
      <c r="N980" t="b">
        <v>0</v>
      </c>
    </row>
    <row r="981" spans="1:14">
      <c r="A981">
        <v>61</v>
      </c>
      <c r="B981">
        <v>17</v>
      </c>
      <c r="C981" t="s">
        <v>678</v>
      </c>
      <c r="D981" t="s">
        <v>754</v>
      </c>
      <c r="E981" t="s">
        <v>678</v>
      </c>
      <c r="F981">
        <v>0</v>
      </c>
      <c r="G981" t="s">
        <v>678</v>
      </c>
      <c r="H981" t="s">
        <v>678</v>
      </c>
      <c r="I981" t="s">
        <v>678</v>
      </c>
      <c r="J981" t="s">
        <v>678</v>
      </c>
      <c r="K981" t="s">
        <v>678</v>
      </c>
      <c r="L981" t="s">
        <v>678</v>
      </c>
      <c r="M981" t="s">
        <v>1646</v>
      </c>
      <c r="N981" t="b">
        <v>0</v>
      </c>
    </row>
    <row r="982" spans="1:14">
      <c r="A982">
        <v>61</v>
      </c>
      <c r="B982">
        <v>18</v>
      </c>
      <c r="C982" t="s">
        <v>678</v>
      </c>
      <c r="D982" t="s">
        <v>754</v>
      </c>
      <c r="E982" t="s">
        <v>678</v>
      </c>
      <c r="F982">
        <v>0</v>
      </c>
      <c r="G982" t="s">
        <v>678</v>
      </c>
      <c r="H982" t="s">
        <v>678</v>
      </c>
      <c r="I982" t="s">
        <v>678</v>
      </c>
      <c r="J982" t="s">
        <v>678</v>
      </c>
      <c r="K982" t="s">
        <v>678</v>
      </c>
      <c r="L982" t="s">
        <v>678</v>
      </c>
      <c r="M982" t="s">
        <v>1647</v>
      </c>
      <c r="N982" t="b">
        <v>0</v>
      </c>
    </row>
    <row r="983" spans="1:14">
      <c r="A983">
        <v>61</v>
      </c>
      <c r="B983">
        <v>19</v>
      </c>
      <c r="C983" t="s">
        <v>678</v>
      </c>
      <c r="D983" t="s">
        <v>754</v>
      </c>
      <c r="E983" t="s">
        <v>678</v>
      </c>
      <c r="F983">
        <v>0</v>
      </c>
      <c r="G983" t="s">
        <v>678</v>
      </c>
      <c r="H983" t="s">
        <v>678</v>
      </c>
      <c r="I983" t="s">
        <v>678</v>
      </c>
      <c r="J983" t="s">
        <v>678</v>
      </c>
      <c r="K983" t="s">
        <v>678</v>
      </c>
      <c r="L983" t="s">
        <v>678</v>
      </c>
      <c r="M983" t="s">
        <v>1648</v>
      </c>
      <c r="N983" t="b">
        <v>0</v>
      </c>
    </row>
    <row r="984" spans="1:14">
      <c r="A984">
        <v>61</v>
      </c>
      <c r="B984">
        <v>20</v>
      </c>
      <c r="C984" t="s">
        <v>678</v>
      </c>
      <c r="D984" t="s">
        <v>754</v>
      </c>
      <c r="E984" t="s">
        <v>678</v>
      </c>
      <c r="F984">
        <v>0</v>
      </c>
      <c r="G984" t="s">
        <v>678</v>
      </c>
      <c r="H984" t="s">
        <v>678</v>
      </c>
      <c r="I984" t="s">
        <v>678</v>
      </c>
      <c r="J984" t="s">
        <v>678</v>
      </c>
      <c r="K984" t="s">
        <v>678</v>
      </c>
      <c r="L984" t="s">
        <v>678</v>
      </c>
      <c r="M984" t="s">
        <v>1649</v>
      </c>
      <c r="N984" t="b">
        <v>0</v>
      </c>
    </row>
    <row r="985" spans="1:14">
      <c r="A985">
        <v>61</v>
      </c>
      <c r="B985">
        <v>21</v>
      </c>
      <c r="C985" t="s">
        <v>678</v>
      </c>
      <c r="D985" t="s">
        <v>754</v>
      </c>
      <c r="E985" t="s">
        <v>678</v>
      </c>
      <c r="F985">
        <v>0</v>
      </c>
      <c r="G985" t="s">
        <v>678</v>
      </c>
      <c r="H985" t="s">
        <v>678</v>
      </c>
      <c r="I985" t="s">
        <v>678</v>
      </c>
      <c r="J985" t="s">
        <v>678</v>
      </c>
      <c r="K985" t="s">
        <v>678</v>
      </c>
      <c r="L985" t="s">
        <v>678</v>
      </c>
      <c r="M985" t="s">
        <v>1650</v>
      </c>
      <c r="N985" t="b">
        <v>0</v>
      </c>
    </row>
    <row r="986" spans="1:14">
      <c r="A986">
        <v>61</v>
      </c>
      <c r="B986">
        <v>22</v>
      </c>
      <c r="C986" t="s">
        <v>678</v>
      </c>
      <c r="D986" t="s">
        <v>754</v>
      </c>
      <c r="E986" t="s">
        <v>678</v>
      </c>
      <c r="F986">
        <v>0</v>
      </c>
      <c r="G986" t="s">
        <v>678</v>
      </c>
      <c r="H986" t="s">
        <v>678</v>
      </c>
      <c r="I986" t="s">
        <v>678</v>
      </c>
      <c r="J986" t="s">
        <v>678</v>
      </c>
      <c r="K986" t="s">
        <v>678</v>
      </c>
      <c r="L986" t="s">
        <v>678</v>
      </c>
      <c r="M986" t="s">
        <v>1651</v>
      </c>
      <c r="N986" t="b">
        <v>0</v>
      </c>
    </row>
    <row r="987" spans="1:14">
      <c r="A987">
        <v>61</v>
      </c>
      <c r="B987">
        <v>23</v>
      </c>
      <c r="C987" t="s">
        <v>678</v>
      </c>
      <c r="D987" t="s">
        <v>754</v>
      </c>
      <c r="E987" t="s">
        <v>678</v>
      </c>
      <c r="F987">
        <v>0</v>
      </c>
      <c r="G987" t="s">
        <v>678</v>
      </c>
      <c r="H987" t="s">
        <v>678</v>
      </c>
      <c r="I987" t="s">
        <v>678</v>
      </c>
      <c r="J987" t="s">
        <v>678</v>
      </c>
      <c r="K987" t="s">
        <v>678</v>
      </c>
      <c r="L987" t="s">
        <v>678</v>
      </c>
      <c r="M987" t="s">
        <v>1652</v>
      </c>
      <c r="N987" t="b">
        <v>0</v>
      </c>
    </row>
    <row r="988" spans="1:14">
      <c r="A988">
        <v>61</v>
      </c>
      <c r="B988">
        <v>24</v>
      </c>
      <c r="C988" t="s">
        <v>678</v>
      </c>
      <c r="D988" t="s">
        <v>754</v>
      </c>
      <c r="E988" t="s">
        <v>678</v>
      </c>
      <c r="F988">
        <v>0</v>
      </c>
      <c r="G988" t="s">
        <v>678</v>
      </c>
      <c r="H988" t="s">
        <v>678</v>
      </c>
      <c r="I988" t="s">
        <v>678</v>
      </c>
      <c r="J988" t="s">
        <v>678</v>
      </c>
      <c r="K988" t="s">
        <v>678</v>
      </c>
      <c r="L988" t="s">
        <v>678</v>
      </c>
      <c r="M988" t="s">
        <v>1653</v>
      </c>
      <c r="N988" t="b">
        <v>0</v>
      </c>
    </row>
    <row r="989" spans="1:14">
      <c r="A989">
        <v>61</v>
      </c>
      <c r="B989">
        <v>25</v>
      </c>
      <c r="C989" t="s">
        <v>678</v>
      </c>
      <c r="D989" t="s">
        <v>754</v>
      </c>
      <c r="E989" t="s">
        <v>678</v>
      </c>
      <c r="F989">
        <v>0</v>
      </c>
      <c r="G989" t="s">
        <v>678</v>
      </c>
      <c r="H989" t="s">
        <v>678</v>
      </c>
      <c r="I989" t="s">
        <v>678</v>
      </c>
      <c r="J989" t="s">
        <v>678</v>
      </c>
      <c r="K989" t="s">
        <v>678</v>
      </c>
      <c r="L989" t="s">
        <v>678</v>
      </c>
      <c r="M989" t="s">
        <v>1654</v>
      </c>
      <c r="N989" t="b">
        <v>0</v>
      </c>
    </row>
    <row r="990" spans="1:14">
      <c r="A990">
        <v>61</v>
      </c>
      <c r="B990">
        <v>26</v>
      </c>
      <c r="C990" t="s">
        <v>678</v>
      </c>
      <c r="D990" t="s">
        <v>754</v>
      </c>
      <c r="E990" t="s">
        <v>678</v>
      </c>
      <c r="F990">
        <v>0</v>
      </c>
      <c r="G990" t="s">
        <v>678</v>
      </c>
      <c r="H990" t="s">
        <v>678</v>
      </c>
      <c r="I990" t="s">
        <v>678</v>
      </c>
      <c r="J990" t="s">
        <v>678</v>
      </c>
      <c r="K990" t="s">
        <v>678</v>
      </c>
      <c r="L990" t="s">
        <v>678</v>
      </c>
      <c r="M990" t="s">
        <v>1655</v>
      </c>
      <c r="N990" t="b">
        <v>0</v>
      </c>
    </row>
    <row r="991" spans="1:14">
      <c r="A991">
        <v>62</v>
      </c>
      <c r="B991">
        <v>0</v>
      </c>
      <c r="C991" t="s">
        <v>226</v>
      </c>
      <c r="D991" t="s">
        <v>737</v>
      </c>
      <c r="E991" t="s">
        <v>67</v>
      </c>
      <c r="F991">
        <v>60</v>
      </c>
      <c r="G991" t="s">
        <v>678</v>
      </c>
      <c r="H991" t="s">
        <v>678</v>
      </c>
      <c r="I991" t="s">
        <v>67</v>
      </c>
      <c r="J991" t="s">
        <v>678</v>
      </c>
      <c r="K991" t="s">
        <v>678</v>
      </c>
      <c r="L991" t="s">
        <v>678</v>
      </c>
      <c r="M991" t="s">
        <v>1656</v>
      </c>
      <c r="N991" t="b">
        <v>0</v>
      </c>
    </row>
    <row r="992" spans="1:14">
      <c r="A992">
        <v>62</v>
      </c>
      <c r="B992">
        <v>1</v>
      </c>
      <c r="C992" t="s">
        <v>227</v>
      </c>
      <c r="D992" t="s">
        <v>737</v>
      </c>
      <c r="E992" t="s">
        <v>79</v>
      </c>
      <c r="F992">
        <v>60</v>
      </c>
      <c r="G992" t="s">
        <v>678</v>
      </c>
      <c r="H992" t="s">
        <v>678</v>
      </c>
      <c r="I992" t="s">
        <v>79</v>
      </c>
      <c r="J992" t="s">
        <v>678</v>
      </c>
      <c r="K992" t="s">
        <v>678</v>
      </c>
      <c r="L992" t="s">
        <v>678</v>
      </c>
      <c r="M992" t="s">
        <v>1657</v>
      </c>
      <c r="N992" t="b">
        <v>0</v>
      </c>
    </row>
    <row r="993" spans="1:14">
      <c r="A993">
        <v>62</v>
      </c>
      <c r="B993">
        <v>2</v>
      </c>
      <c r="C993" t="s">
        <v>228</v>
      </c>
      <c r="D993" t="s">
        <v>737</v>
      </c>
      <c r="E993" t="s">
        <v>99</v>
      </c>
      <c r="F993">
        <v>40</v>
      </c>
      <c r="G993" t="s">
        <v>678</v>
      </c>
      <c r="H993" t="s">
        <v>678</v>
      </c>
      <c r="I993" t="s">
        <v>99</v>
      </c>
      <c r="J993" t="s">
        <v>678</v>
      </c>
      <c r="K993" t="s">
        <v>678</v>
      </c>
      <c r="L993" t="s">
        <v>678</v>
      </c>
      <c r="M993" t="s">
        <v>1658</v>
      </c>
      <c r="N993" t="b">
        <v>0</v>
      </c>
    </row>
    <row r="994" spans="1:14">
      <c r="A994">
        <v>62</v>
      </c>
      <c r="B994">
        <v>3</v>
      </c>
      <c r="C994" t="s">
        <v>316</v>
      </c>
      <c r="D994" t="s">
        <v>737</v>
      </c>
      <c r="E994" t="s">
        <v>101</v>
      </c>
      <c r="F994">
        <v>50</v>
      </c>
      <c r="G994" t="s">
        <v>678</v>
      </c>
      <c r="H994" t="s">
        <v>678</v>
      </c>
      <c r="I994" t="s">
        <v>101</v>
      </c>
      <c r="J994" t="s">
        <v>678</v>
      </c>
      <c r="K994" t="s">
        <v>678</v>
      </c>
      <c r="L994" t="s">
        <v>678</v>
      </c>
      <c r="M994" t="s">
        <v>1659</v>
      </c>
      <c r="N994" t="b">
        <v>0</v>
      </c>
    </row>
    <row r="995" spans="1:14">
      <c r="A995">
        <v>62</v>
      </c>
      <c r="B995">
        <v>4</v>
      </c>
      <c r="C995" t="s">
        <v>229</v>
      </c>
      <c r="D995" t="s">
        <v>737</v>
      </c>
      <c r="E995" t="s">
        <v>105</v>
      </c>
      <c r="F995">
        <v>60</v>
      </c>
      <c r="G995" t="s">
        <v>678</v>
      </c>
      <c r="H995" t="s">
        <v>678</v>
      </c>
      <c r="I995" t="s">
        <v>105</v>
      </c>
      <c r="J995" t="s">
        <v>678</v>
      </c>
      <c r="K995" t="s">
        <v>678</v>
      </c>
      <c r="L995" t="s">
        <v>678</v>
      </c>
      <c r="M995" t="s">
        <v>1660</v>
      </c>
      <c r="N995" t="b">
        <v>0</v>
      </c>
    </row>
    <row r="996" spans="1:14">
      <c r="A996">
        <v>62</v>
      </c>
      <c r="B996">
        <v>5</v>
      </c>
      <c r="C996" t="s">
        <v>207</v>
      </c>
      <c r="D996" t="s">
        <v>737</v>
      </c>
      <c r="E996" t="s">
        <v>117</v>
      </c>
      <c r="F996">
        <v>50</v>
      </c>
      <c r="G996" t="s">
        <v>678</v>
      </c>
      <c r="H996" t="s">
        <v>678</v>
      </c>
      <c r="I996" t="s">
        <v>117</v>
      </c>
      <c r="J996" t="s">
        <v>678</v>
      </c>
      <c r="K996" t="s">
        <v>678</v>
      </c>
      <c r="L996" t="s">
        <v>678</v>
      </c>
      <c r="M996" t="s">
        <v>1661</v>
      </c>
      <c r="N996" t="b">
        <v>0</v>
      </c>
    </row>
    <row r="997" spans="1:14">
      <c r="A997">
        <v>62</v>
      </c>
      <c r="B997">
        <v>6</v>
      </c>
      <c r="C997" t="s">
        <v>230</v>
      </c>
      <c r="D997" t="s">
        <v>737</v>
      </c>
      <c r="E997" t="s">
        <v>70</v>
      </c>
      <c r="F997">
        <v>50</v>
      </c>
      <c r="G997" t="s">
        <v>678</v>
      </c>
      <c r="H997" t="s">
        <v>678</v>
      </c>
      <c r="I997" t="s">
        <v>70</v>
      </c>
      <c r="J997" t="s">
        <v>678</v>
      </c>
      <c r="K997" t="s">
        <v>678</v>
      </c>
      <c r="L997" t="s">
        <v>678</v>
      </c>
      <c r="M997" t="s">
        <v>1662</v>
      </c>
      <c r="N997" t="b">
        <v>0</v>
      </c>
    </row>
    <row r="998" spans="1:14">
      <c r="A998">
        <v>62</v>
      </c>
      <c r="B998">
        <v>7</v>
      </c>
      <c r="C998" t="s">
        <v>231</v>
      </c>
      <c r="D998" t="s">
        <v>737</v>
      </c>
      <c r="E998" t="s">
        <v>342</v>
      </c>
      <c r="F998">
        <v>60</v>
      </c>
      <c r="G998" t="s">
        <v>678</v>
      </c>
      <c r="H998" t="s">
        <v>559</v>
      </c>
      <c r="I998" t="s">
        <v>456</v>
      </c>
      <c r="J998" t="s">
        <v>678</v>
      </c>
      <c r="K998" t="s">
        <v>934</v>
      </c>
      <c r="L998" t="s">
        <v>935</v>
      </c>
      <c r="M998" t="s">
        <v>1663</v>
      </c>
      <c r="N998" t="b">
        <v>0</v>
      </c>
    </row>
    <row r="999" spans="1:14">
      <c r="A999">
        <v>62</v>
      </c>
      <c r="B999">
        <v>8</v>
      </c>
      <c r="C999" t="s">
        <v>366</v>
      </c>
      <c r="D999" t="s">
        <v>737</v>
      </c>
      <c r="E999" t="s">
        <v>76</v>
      </c>
      <c r="F999">
        <v>60</v>
      </c>
      <c r="G999" t="s">
        <v>678</v>
      </c>
      <c r="H999" t="s">
        <v>678</v>
      </c>
      <c r="I999" t="s">
        <v>76</v>
      </c>
      <c r="J999" t="s">
        <v>678</v>
      </c>
      <c r="K999" t="s">
        <v>678</v>
      </c>
      <c r="L999" t="s">
        <v>678</v>
      </c>
      <c r="M999" t="s">
        <v>1664</v>
      </c>
      <c r="N999" t="b">
        <v>0</v>
      </c>
    </row>
    <row r="1000" spans="1:14">
      <c r="A1000">
        <v>62</v>
      </c>
      <c r="B1000">
        <v>9</v>
      </c>
      <c r="C1000" t="s">
        <v>402</v>
      </c>
      <c r="D1000" t="s">
        <v>737</v>
      </c>
      <c r="E1000" t="s">
        <v>106</v>
      </c>
      <c r="F1000">
        <v>60</v>
      </c>
      <c r="G1000" t="s">
        <v>678</v>
      </c>
      <c r="H1000" t="s">
        <v>678</v>
      </c>
      <c r="I1000" t="s">
        <v>106</v>
      </c>
      <c r="J1000" t="s">
        <v>678</v>
      </c>
      <c r="K1000" t="s">
        <v>678</v>
      </c>
      <c r="L1000" t="s">
        <v>678</v>
      </c>
      <c r="M1000" t="s">
        <v>1665</v>
      </c>
      <c r="N1000" t="b">
        <v>0</v>
      </c>
    </row>
    <row r="1001" spans="1:14">
      <c r="A1001">
        <v>62</v>
      </c>
      <c r="B1001">
        <v>10</v>
      </c>
      <c r="C1001" t="s">
        <v>400</v>
      </c>
      <c r="D1001" t="s">
        <v>737</v>
      </c>
      <c r="E1001" t="s">
        <v>110</v>
      </c>
      <c r="F1001">
        <v>60</v>
      </c>
      <c r="G1001" t="s">
        <v>678</v>
      </c>
      <c r="H1001" t="s">
        <v>678</v>
      </c>
      <c r="I1001" t="s">
        <v>110</v>
      </c>
      <c r="J1001" t="s">
        <v>678</v>
      </c>
      <c r="K1001" t="s">
        <v>678</v>
      </c>
      <c r="L1001" t="s">
        <v>678</v>
      </c>
      <c r="M1001" t="s">
        <v>1666</v>
      </c>
      <c r="N1001" t="b">
        <v>0</v>
      </c>
    </row>
    <row r="1002" spans="1:14">
      <c r="A1002">
        <v>62</v>
      </c>
      <c r="B1002">
        <v>11</v>
      </c>
      <c r="C1002" t="s">
        <v>233</v>
      </c>
      <c r="D1002" t="s">
        <v>737</v>
      </c>
      <c r="E1002" t="s">
        <v>111</v>
      </c>
      <c r="F1002">
        <v>50</v>
      </c>
      <c r="G1002" t="s">
        <v>678</v>
      </c>
      <c r="H1002" t="s">
        <v>678</v>
      </c>
      <c r="I1002" t="s">
        <v>111</v>
      </c>
      <c r="J1002" t="s">
        <v>678</v>
      </c>
      <c r="K1002" t="s">
        <v>678</v>
      </c>
      <c r="L1002" t="s">
        <v>678</v>
      </c>
      <c r="M1002" t="s">
        <v>1667</v>
      </c>
      <c r="N1002" t="b">
        <v>0</v>
      </c>
    </row>
    <row r="1003" spans="1:14">
      <c r="A1003">
        <v>62</v>
      </c>
      <c r="B1003">
        <v>12</v>
      </c>
      <c r="C1003" t="s">
        <v>204</v>
      </c>
      <c r="D1003" t="s">
        <v>737</v>
      </c>
      <c r="E1003" t="s">
        <v>112</v>
      </c>
      <c r="F1003">
        <v>60</v>
      </c>
      <c r="G1003" t="s">
        <v>678</v>
      </c>
      <c r="H1003" t="s">
        <v>678</v>
      </c>
      <c r="I1003" t="s">
        <v>112</v>
      </c>
      <c r="J1003" t="s">
        <v>678</v>
      </c>
      <c r="K1003" t="s">
        <v>678</v>
      </c>
      <c r="L1003" t="s">
        <v>678</v>
      </c>
      <c r="M1003" t="s">
        <v>770</v>
      </c>
      <c r="N1003" t="b">
        <v>0</v>
      </c>
    </row>
    <row r="1004" spans="1:14">
      <c r="A1004">
        <v>62</v>
      </c>
      <c r="B1004">
        <v>13</v>
      </c>
      <c r="C1004" t="s">
        <v>678</v>
      </c>
      <c r="D1004" t="s">
        <v>737</v>
      </c>
      <c r="E1004" t="s">
        <v>678</v>
      </c>
      <c r="F1004">
        <v>0</v>
      </c>
      <c r="G1004" t="s">
        <v>678</v>
      </c>
      <c r="H1004" t="s">
        <v>678</v>
      </c>
      <c r="I1004" t="s">
        <v>678</v>
      </c>
      <c r="J1004" t="s">
        <v>678</v>
      </c>
      <c r="K1004" t="s">
        <v>678</v>
      </c>
      <c r="L1004" t="s">
        <v>678</v>
      </c>
      <c r="M1004" t="s">
        <v>1668</v>
      </c>
      <c r="N1004" t="b">
        <v>0</v>
      </c>
    </row>
    <row r="1005" spans="1:14">
      <c r="A1005">
        <v>62</v>
      </c>
      <c r="B1005">
        <v>14</v>
      </c>
      <c r="C1005" t="s">
        <v>678</v>
      </c>
      <c r="D1005" t="s">
        <v>737</v>
      </c>
      <c r="E1005" t="s">
        <v>678</v>
      </c>
      <c r="F1005">
        <v>0</v>
      </c>
      <c r="G1005" t="s">
        <v>678</v>
      </c>
      <c r="H1005" t="s">
        <v>678</v>
      </c>
      <c r="I1005" t="s">
        <v>678</v>
      </c>
      <c r="J1005" t="s">
        <v>678</v>
      </c>
      <c r="K1005" t="s">
        <v>678</v>
      </c>
      <c r="L1005" t="s">
        <v>678</v>
      </c>
      <c r="M1005" t="s">
        <v>1669</v>
      </c>
      <c r="N1005" t="b">
        <v>0</v>
      </c>
    </row>
    <row r="1006" spans="1:14">
      <c r="A1006">
        <v>62</v>
      </c>
      <c r="B1006">
        <v>15</v>
      </c>
      <c r="C1006" t="s">
        <v>678</v>
      </c>
      <c r="D1006" t="s">
        <v>737</v>
      </c>
      <c r="E1006" t="s">
        <v>678</v>
      </c>
      <c r="F1006">
        <v>0</v>
      </c>
      <c r="G1006" t="s">
        <v>678</v>
      </c>
      <c r="H1006" t="s">
        <v>678</v>
      </c>
      <c r="I1006" t="s">
        <v>678</v>
      </c>
      <c r="J1006" t="s">
        <v>678</v>
      </c>
      <c r="K1006" t="s">
        <v>678</v>
      </c>
      <c r="L1006" t="s">
        <v>678</v>
      </c>
      <c r="M1006" t="s">
        <v>1670</v>
      </c>
      <c r="N1006" t="b">
        <v>0</v>
      </c>
    </row>
    <row r="1007" spans="1:14">
      <c r="A1007">
        <v>62</v>
      </c>
      <c r="B1007">
        <v>16</v>
      </c>
      <c r="C1007" t="s">
        <v>678</v>
      </c>
      <c r="D1007" t="s">
        <v>754</v>
      </c>
      <c r="E1007" t="s">
        <v>678</v>
      </c>
      <c r="F1007">
        <v>0</v>
      </c>
      <c r="G1007" t="s">
        <v>678</v>
      </c>
      <c r="H1007" t="s">
        <v>678</v>
      </c>
      <c r="I1007" t="s">
        <v>678</v>
      </c>
      <c r="J1007" t="s">
        <v>678</v>
      </c>
      <c r="K1007" t="s">
        <v>678</v>
      </c>
      <c r="L1007" t="s">
        <v>678</v>
      </c>
      <c r="M1007" t="s">
        <v>1671</v>
      </c>
      <c r="N1007" t="b">
        <v>0</v>
      </c>
    </row>
    <row r="1008" spans="1:14">
      <c r="A1008">
        <v>62</v>
      </c>
      <c r="B1008">
        <v>17</v>
      </c>
      <c r="C1008" t="s">
        <v>678</v>
      </c>
      <c r="D1008" t="s">
        <v>754</v>
      </c>
      <c r="E1008" t="s">
        <v>678</v>
      </c>
      <c r="F1008">
        <v>0</v>
      </c>
      <c r="G1008" t="s">
        <v>678</v>
      </c>
      <c r="H1008" t="s">
        <v>678</v>
      </c>
      <c r="I1008" t="s">
        <v>678</v>
      </c>
      <c r="J1008" t="s">
        <v>678</v>
      </c>
      <c r="K1008" t="s">
        <v>678</v>
      </c>
      <c r="L1008" t="s">
        <v>678</v>
      </c>
      <c r="M1008" t="s">
        <v>1672</v>
      </c>
      <c r="N1008" t="b">
        <v>0</v>
      </c>
    </row>
    <row r="1009" spans="1:14">
      <c r="A1009">
        <v>62</v>
      </c>
      <c r="B1009">
        <v>18</v>
      </c>
      <c r="C1009" t="s">
        <v>678</v>
      </c>
      <c r="D1009" t="s">
        <v>754</v>
      </c>
      <c r="E1009" t="s">
        <v>678</v>
      </c>
      <c r="F1009">
        <v>0</v>
      </c>
      <c r="G1009" t="s">
        <v>678</v>
      </c>
      <c r="H1009" t="s">
        <v>678</v>
      </c>
      <c r="I1009" t="s">
        <v>678</v>
      </c>
      <c r="J1009" t="s">
        <v>678</v>
      </c>
      <c r="K1009" t="s">
        <v>678</v>
      </c>
      <c r="L1009" t="s">
        <v>678</v>
      </c>
      <c r="M1009" t="s">
        <v>1673</v>
      </c>
      <c r="N1009" t="b">
        <v>0</v>
      </c>
    </row>
    <row r="1010" spans="1:14">
      <c r="A1010">
        <v>62</v>
      </c>
      <c r="B1010">
        <v>19</v>
      </c>
      <c r="C1010" t="s">
        <v>678</v>
      </c>
      <c r="D1010" t="s">
        <v>754</v>
      </c>
      <c r="E1010" t="s">
        <v>678</v>
      </c>
      <c r="F1010">
        <v>0</v>
      </c>
      <c r="G1010" t="s">
        <v>678</v>
      </c>
      <c r="H1010" t="s">
        <v>678</v>
      </c>
      <c r="I1010" t="s">
        <v>678</v>
      </c>
      <c r="J1010" t="s">
        <v>678</v>
      </c>
      <c r="K1010" t="s">
        <v>678</v>
      </c>
      <c r="L1010" t="s">
        <v>678</v>
      </c>
      <c r="M1010" t="s">
        <v>1674</v>
      </c>
      <c r="N1010" t="b">
        <v>0</v>
      </c>
    </row>
    <row r="1011" spans="1:14">
      <c r="A1011">
        <v>62</v>
      </c>
      <c r="B1011">
        <v>20</v>
      </c>
      <c r="C1011" t="s">
        <v>678</v>
      </c>
      <c r="D1011" t="s">
        <v>754</v>
      </c>
      <c r="E1011" t="s">
        <v>678</v>
      </c>
      <c r="F1011">
        <v>0</v>
      </c>
      <c r="G1011" t="s">
        <v>678</v>
      </c>
      <c r="H1011" t="s">
        <v>678</v>
      </c>
      <c r="I1011" t="s">
        <v>678</v>
      </c>
      <c r="J1011" t="s">
        <v>678</v>
      </c>
      <c r="K1011" t="s">
        <v>678</v>
      </c>
      <c r="L1011" t="s">
        <v>678</v>
      </c>
      <c r="M1011" t="s">
        <v>1675</v>
      </c>
      <c r="N1011" t="b">
        <v>0</v>
      </c>
    </row>
    <row r="1012" spans="1:14">
      <c r="A1012">
        <v>62</v>
      </c>
      <c r="B1012">
        <v>21</v>
      </c>
      <c r="C1012" t="s">
        <v>678</v>
      </c>
      <c r="D1012" t="s">
        <v>754</v>
      </c>
      <c r="E1012" t="s">
        <v>678</v>
      </c>
      <c r="F1012">
        <v>0</v>
      </c>
      <c r="G1012" t="s">
        <v>678</v>
      </c>
      <c r="H1012" t="s">
        <v>678</v>
      </c>
      <c r="I1012" t="s">
        <v>678</v>
      </c>
      <c r="J1012" t="s">
        <v>678</v>
      </c>
      <c r="K1012" t="s">
        <v>678</v>
      </c>
      <c r="L1012" t="s">
        <v>678</v>
      </c>
      <c r="M1012" t="s">
        <v>1676</v>
      </c>
      <c r="N1012" t="b">
        <v>0</v>
      </c>
    </row>
    <row r="1013" spans="1:14">
      <c r="A1013">
        <v>62</v>
      </c>
      <c r="B1013">
        <v>22</v>
      </c>
      <c r="C1013" t="s">
        <v>678</v>
      </c>
      <c r="D1013" t="s">
        <v>754</v>
      </c>
      <c r="E1013" t="s">
        <v>678</v>
      </c>
      <c r="F1013">
        <v>0</v>
      </c>
      <c r="G1013" t="s">
        <v>678</v>
      </c>
      <c r="H1013" t="s">
        <v>678</v>
      </c>
      <c r="I1013" t="s">
        <v>678</v>
      </c>
      <c r="J1013" t="s">
        <v>678</v>
      </c>
      <c r="K1013" t="s">
        <v>678</v>
      </c>
      <c r="L1013" t="s">
        <v>678</v>
      </c>
      <c r="M1013" t="s">
        <v>1677</v>
      </c>
      <c r="N1013" t="b">
        <v>0</v>
      </c>
    </row>
    <row r="1014" spans="1:14">
      <c r="A1014">
        <v>62</v>
      </c>
      <c r="B1014">
        <v>23</v>
      </c>
      <c r="C1014" t="s">
        <v>678</v>
      </c>
      <c r="D1014" t="s">
        <v>754</v>
      </c>
      <c r="E1014" t="s">
        <v>678</v>
      </c>
      <c r="F1014">
        <v>0</v>
      </c>
      <c r="G1014" t="s">
        <v>678</v>
      </c>
      <c r="H1014" t="s">
        <v>678</v>
      </c>
      <c r="I1014" t="s">
        <v>678</v>
      </c>
      <c r="J1014" t="s">
        <v>678</v>
      </c>
      <c r="K1014" t="s">
        <v>678</v>
      </c>
      <c r="L1014" t="s">
        <v>678</v>
      </c>
      <c r="M1014" t="s">
        <v>1678</v>
      </c>
      <c r="N1014" t="b">
        <v>0</v>
      </c>
    </row>
    <row r="1015" spans="1:14">
      <c r="A1015">
        <v>62</v>
      </c>
      <c r="B1015">
        <v>24</v>
      </c>
      <c r="C1015" t="s">
        <v>678</v>
      </c>
      <c r="D1015" t="s">
        <v>754</v>
      </c>
      <c r="E1015" t="s">
        <v>678</v>
      </c>
      <c r="F1015">
        <v>0</v>
      </c>
      <c r="G1015" t="s">
        <v>678</v>
      </c>
      <c r="H1015" t="s">
        <v>678</v>
      </c>
      <c r="I1015" t="s">
        <v>678</v>
      </c>
      <c r="J1015" t="s">
        <v>678</v>
      </c>
      <c r="K1015" t="s">
        <v>678</v>
      </c>
      <c r="L1015" t="s">
        <v>678</v>
      </c>
      <c r="M1015" t="s">
        <v>1679</v>
      </c>
      <c r="N1015" t="b">
        <v>0</v>
      </c>
    </row>
    <row r="1016" spans="1:14">
      <c r="A1016">
        <v>62</v>
      </c>
      <c r="B1016">
        <v>25</v>
      </c>
      <c r="C1016" t="s">
        <v>678</v>
      </c>
      <c r="D1016" t="s">
        <v>754</v>
      </c>
      <c r="E1016" t="s">
        <v>678</v>
      </c>
      <c r="F1016">
        <v>0</v>
      </c>
      <c r="G1016" t="s">
        <v>678</v>
      </c>
      <c r="H1016" t="s">
        <v>678</v>
      </c>
      <c r="I1016" t="s">
        <v>678</v>
      </c>
      <c r="J1016" t="s">
        <v>678</v>
      </c>
      <c r="K1016" t="s">
        <v>678</v>
      </c>
      <c r="L1016" t="s">
        <v>678</v>
      </c>
      <c r="M1016" t="s">
        <v>1680</v>
      </c>
      <c r="N1016" t="b">
        <v>0</v>
      </c>
    </row>
    <row r="1017" spans="1:14">
      <c r="A1017">
        <v>62</v>
      </c>
      <c r="B1017">
        <v>26</v>
      </c>
      <c r="C1017" t="s">
        <v>678</v>
      </c>
      <c r="D1017" t="s">
        <v>754</v>
      </c>
      <c r="E1017" t="s">
        <v>678</v>
      </c>
      <c r="F1017">
        <v>0</v>
      </c>
      <c r="G1017" t="s">
        <v>678</v>
      </c>
      <c r="H1017" t="s">
        <v>678</v>
      </c>
      <c r="I1017" t="s">
        <v>678</v>
      </c>
      <c r="J1017" t="s">
        <v>678</v>
      </c>
      <c r="K1017" t="s">
        <v>678</v>
      </c>
      <c r="L1017" t="s">
        <v>678</v>
      </c>
      <c r="M1017" t="s">
        <v>1681</v>
      </c>
      <c r="N1017" t="b">
        <v>0</v>
      </c>
    </row>
    <row r="1018" spans="1:14">
      <c r="A1018">
        <v>63</v>
      </c>
      <c r="B1018">
        <v>0</v>
      </c>
      <c r="C1018" t="s">
        <v>404</v>
      </c>
      <c r="D1018" t="s">
        <v>766</v>
      </c>
      <c r="E1018" t="s">
        <v>554</v>
      </c>
      <c r="F1018">
        <v>50</v>
      </c>
      <c r="G1018" t="s">
        <v>1682</v>
      </c>
      <c r="H1018" t="s">
        <v>678</v>
      </c>
      <c r="I1018" t="s">
        <v>678</v>
      </c>
      <c r="J1018" t="s">
        <v>1683</v>
      </c>
      <c r="K1018" t="s">
        <v>1116</v>
      </c>
      <c r="L1018" t="s">
        <v>1069</v>
      </c>
      <c r="M1018" t="s">
        <v>1684</v>
      </c>
      <c r="N1018" t="b">
        <v>0</v>
      </c>
    </row>
    <row r="1019" spans="1:14">
      <c r="A1019">
        <v>63</v>
      </c>
      <c r="B1019">
        <v>1</v>
      </c>
      <c r="C1019" t="s">
        <v>227</v>
      </c>
      <c r="D1019" t="s">
        <v>737</v>
      </c>
      <c r="E1019" t="s">
        <v>79</v>
      </c>
      <c r="F1019">
        <v>60</v>
      </c>
      <c r="G1019" t="s">
        <v>678</v>
      </c>
      <c r="H1019" t="s">
        <v>678</v>
      </c>
      <c r="I1019" t="s">
        <v>79</v>
      </c>
      <c r="J1019" t="s">
        <v>678</v>
      </c>
      <c r="K1019" t="s">
        <v>678</v>
      </c>
      <c r="L1019" t="s">
        <v>678</v>
      </c>
      <c r="M1019" t="s">
        <v>1685</v>
      </c>
      <c r="N1019" t="b">
        <v>0</v>
      </c>
    </row>
    <row r="1020" spans="1:14">
      <c r="A1020">
        <v>63</v>
      </c>
      <c r="B1020">
        <v>2</v>
      </c>
      <c r="C1020" t="s">
        <v>188</v>
      </c>
      <c r="D1020" t="s">
        <v>737</v>
      </c>
      <c r="E1020" t="s">
        <v>85</v>
      </c>
      <c r="F1020">
        <v>50</v>
      </c>
      <c r="G1020" t="s">
        <v>678</v>
      </c>
      <c r="H1020" t="s">
        <v>678</v>
      </c>
      <c r="I1020" t="s">
        <v>85</v>
      </c>
      <c r="J1020" t="s">
        <v>678</v>
      </c>
      <c r="K1020" t="s">
        <v>678</v>
      </c>
      <c r="L1020" t="s">
        <v>678</v>
      </c>
      <c r="M1020" t="s">
        <v>1686</v>
      </c>
      <c r="N1020" t="b">
        <v>0</v>
      </c>
    </row>
    <row r="1021" spans="1:14">
      <c r="A1021">
        <v>63</v>
      </c>
      <c r="B1021">
        <v>3</v>
      </c>
      <c r="C1021" t="s">
        <v>405</v>
      </c>
      <c r="D1021" t="s">
        <v>737</v>
      </c>
      <c r="E1021" t="s">
        <v>90</v>
      </c>
      <c r="F1021">
        <v>30</v>
      </c>
      <c r="G1021" t="s">
        <v>678</v>
      </c>
      <c r="H1021" t="s">
        <v>678</v>
      </c>
      <c r="I1021" t="s">
        <v>90</v>
      </c>
      <c r="J1021" t="s">
        <v>678</v>
      </c>
      <c r="K1021" t="s">
        <v>678</v>
      </c>
      <c r="L1021" t="s">
        <v>678</v>
      </c>
      <c r="M1021" t="s">
        <v>1687</v>
      </c>
      <c r="N1021" t="b">
        <v>0</v>
      </c>
    </row>
    <row r="1022" spans="1:14">
      <c r="A1022">
        <v>63</v>
      </c>
      <c r="B1022">
        <v>4</v>
      </c>
      <c r="C1022" t="s">
        <v>406</v>
      </c>
      <c r="D1022" t="s">
        <v>737</v>
      </c>
      <c r="E1022" t="s">
        <v>555</v>
      </c>
      <c r="F1022">
        <v>30</v>
      </c>
      <c r="G1022" t="s">
        <v>678</v>
      </c>
      <c r="H1022" t="s">
        <v>602</v>
      </c>
      <c r="I1022" t="s">
        <v>381</v>
      </c>
      <c r="J1022" t="s">
        <v>678</v>
      </c>
      <c r="K1022" t="s">
        <v>805</v>
      </c>
      <c r="L1022" t="s">
        <v>806</v>
      </c>
      <c r="M1022" t="s">
        <v>1688</v>
      </c>
      <c r="N1022" t="b">
        <v>0</v>
      </c>
    </row>
    <row r="1023" spans="1:14">
      <c r="A1023">
        <v>63</v>
      </c>
      <c r="B1023">
        <v>5</v>
      </c>
      <c r="C1023" t="s">
        <v>239</v>
      </c>
      <c r="D1023" t="s">
        <v>737</v>
      </c>
      <c r="E1023" t="s">
        <v>105</v>
      </c>
      <c r="F1023">
        <v>40</v>
      </c>
      <c r="G1023" t="s">
        <v>678</v>
      </c>
      <c r="H1023" t="s">
        <v>678</v>
      </c>
      <c r="I1023" t="s">
        <v>105</v>
      </c>
      <c r="J1023" t="s">
        <v>678</v>
      </c>
      <c r="K1023" t="s">
        <v>678</v>
      </c>
      <c r="L1023" t="s">
        <v>678</v>
      </c>
      <c r="M1023" t="s">
        <v>1689</v>
      </c>
      <c r="N1023" t="b">
        <v>0</v>
      </c>
    </row>
    <row r="1024" spans="1:14">
      <c r="A1024">
        <v>63</v>
      </c>
      <c r="B1024">
        <v>6</v>
      </c>
      <c r="C1024" t="s">
        <v>256</v>
      </c>
      <c r="D1024" t="s">
        <v>737</v>
      </c>
      <c r="E1024" t="s">
        <v>118</v>
      </c>
      <c r="F1024">
        <v>40</v>
      </c>
      <c r="G1024" t="s">
        <v>678</v>
      </c>
      <c r="H1024" t="s">
        <v>678</v>
      </c>
      <c r="I1024" t="s">
        <v>118</v>
      </c>
      <c r="J1024" t="s">
        <v>678</v>
      </c>
      <c r="K1024" t="s">
        <v>678</v>
      </c>
      <c r="L1024" t="s">
        <v>678</v>
      </c>
      <c r="M1024" t="s">
        <v>1690</v>
      </c>
      <c r="N1024" t="b">
        <v>0</v>
      </c>
    </row>
    <row r="1025" spans="1:14">
      <c r="A1025">
        <v>63</v>
      </c>
      <c r="B1025">
        <v>7</v>
      </c>
      <c r="C1025" t="s">
        <v>175</v>
      </c>
      <c r="D1025" t="s">
        <v>737</v>
      </c>
      <c r="E1025" t="s">
        <v>119</v>
      </c>
      <c r="F1025">
        <v>50</v>
      </c>
      <c r="G1025" t="s">
        <v>678</v>
      </c>
      <c r="H1025" t="s">
        <v>678</v>
      </c>
      <c r="I1025" t="s">
        <v>119</v>
      </c>
      <c r="J1025" t="s">
        <v>678</v>
      </c>
      <c r="K1025" t="s">
        <v>678</v>
      </c>
      <c r="L1025" t="s">
        <v>678</v>
      </c>
      <c r="M1025" t="s">
        <v>1691</v>
      </c>
      <c r="N1025" t="b">
        <v>0</v>
      </c>
    </row>
    <row r="1026" spans="1:14">
      <c r="A1026">
        <v>63</v>
      </c>
      <c r="B1026">
        <v>8</v>
      </c>
      <c r="C1026" t="s">
        <v>241</v>
      </c>
      <c r="D1026" t="s">
        <v>737</v>
      </c>
      <c r="E1026" t="s">
        <v>70</v>
      </c>
      <c r="F1026">
        <v>40</v>
      </c>
      <c r="G1026" t="s">
        <v>678</v>
      </c>
      <c r="H1026" t="s">
        <v>678</v>
      </c>
      <c r="I1026" t="s">
        <v>70</v>
      </c>
      <c r="J1026" t="s">
        <v>678</v>
      </c>
      <c r="K1026" t="s">
        <v>678</v>
      </c>
      <c r="L1026" t="s">
        <v>678</v>
      </c>
      <c r="M1026" t="s">
        <v>1692</v>
      </c>
      <c r="N1026" t="b">
        <v>0</v>
      </c>
    </row>
    <row r="1027" spans="1:14">
      <c r="A1027">
        <v>63</v>
      </c>
      <c r="B1027">
        <v>9</v>
      </c>
      <c r="C1027" t="s">
        <v>202</v>
      </c>
      <c r="D1027" t="s">
        <v>737</v>
      </c>
      <c r="E1027" t="s">
        <v>80</v>
      </c>
      <c r="F1027">
        <v>50</v>
      </c>
      <c r="G1027" t="s">
        <v>678</v>
      </c>
      <c r="H1027" t="s">
        <v>678</v>
      </c>
      <c r="I1027" t="s">
        <v>80</v>
      </c>
      <c r="J1027" t="s">
        <v>678</v>
      </c>
      <c r="K1027" t="s">
        <v>678</v>
      </c>
      <c r="L1027" t="s">
        <v>678</v>
      </c>
      <c r="M1027" t="s">
        <v>1693</v>
      </c>
      <c r="N1027" t="b">
        <v>0</v>
      </c>
    </row>
    <row r="1028" spans="1:14">
      <c r="A1028">
        <v>63</v>
      </c>
      <c r="B1028">
        <v>10</v>
      </c>
      <c r="C1028" t="s">
        <v>407</v>
      </c>
      <c r="D1028" t="s">
        <v>737</v>
      </c>
      <c r="E1028" t="s">
        <v>110</v>
      </c>
      <c r="F1028">
        <v>40</v>
      </c>
      <c r="G1028" t="s">
        <v>678</v>
      </c>
      <c r="H1028" t="s">
        <v>678</v>
      </c>
      <c r="I1028" t="s">
        <v>110</v>
      </c>
      <c r="J1028" t="s">
        <v>678</v>
      </c>
      <c r="K1028" t="s">
        <v>678</v>
      </c>
      <c r="L1028" t="s">
        <v>678</v>
      </c>
      <c r="M1028" t="s">
        <v>1694</v>
      </c>
      <c r="N1028" t="b">
        <v>0</v>
      </c>
    </row>
    <row r="1029" spans="1:14">
      <c r="A1029">
        <v>63</v>
      </c>
      <c r="B1029">
        <v>11</v>
      </c>
      <c r="C1029" t="s">
        <v>242</v>
      </c>
      <c r="D1029" t="s">
        <v>737</v>
      </c>
      <c r="E1029" t="s">
        <v>112</v>
      </c>
      <c r="F1029">
        <v>50</v>
      </c>
      <c r="G1029" t="s">
        <v>678</v>
      </c>
      <c r="H1029" t="s">
        <v>678</v>
      </c>
      <c r="I1029" t="s">
        <v>112</v>
      </c>
      <c r="J1029" t="s">
        <v>678</v>
      </c>
      <c r="K1029" t="s">
        <v>678</v>
      </c>
      <c r="L1029" t="s">
        <v>678</v>
      </c>
      <c r="M1029" t="s">
        <v>1695</v>
      </c>
      <c r="N1029" t="b">
        <v>0</v>
      </c>
    </row>
    <row r="1030" spans="1:14">
      <c r="A1030">
        <v>63</v>
      </c>
      <c r="B1030">
        <v>12</v>
      </c>
      <c r="C1030" t="s">
        <v>678</v>
      </c>
      <c r="D1030" t="s">
        <v>737</v>
      </c>
      <c r="E1030" t="s">
        <v>678</v>
      </c>
      <c r="F1030">
        <v>0</v>
      </c>
      <c r="G1030" t="s">
        <v>678</v>
      </c>
      <c r="H1030" t="s">
        <v>678</v>
      </c>
      <c r="I1030" t="s">
        <v>678</v>
      </c>
      <c r="J1030" t="s">
        <v>678</v>
      </c>
      <c r="K1030" t="s">
        <v>678</v>
      </c>
      <c r="L1030" t="s">
        <v>678</v>
      </c>
      <c r="M1030" t="s">
        <v>1696</v>
      </c>
      <c r="N1030" t="b">
        <v>0</v>
      </c>
    </row>
    <row r="1031" spans="1:14">
      <c r="A1031">
        <v>63</v>
      </c>
      <c r="B1031">
        <v>13</v>
      </c>
      <c r="C1031" t="s">
        <v>678</v>
      </c>
      <c r="D1031" t="s">
        <v>737</v>
      </c>
      <c r="E1031" t="s">
        <v>678</v>
      </c>
      <c r="F1031">
        <v>0</v>
      </c>
      <c r="G1031" t="s">
        <v>678</v>
      </c>
      <c r="H1031" t="s">
        <v>678</v>
      </c>
      <c r="I1031" t="s">
        <v>678</v>
      </c>
      <c r="J1031" t="s">
        <v>678</v>
      </c>
      <c r="K1031" t="s">
        <v>678</v>
      </c>
      <c r="L1031" t="s">
        <v>678</v>
      </c>
      <c r="M1031" t="s">
        <v>1697</v>
      </c>
      <c r="N1031" t="b">
        <v>0</v>
      </c>
    </row>
    <row r="1032" spans="1:14">
      <c r="A1032">
        <v>63</v>
      </c>
      <c r="B1032">
        <v>14</v>
      </c>
      <c r="C1032" t="s">
        <v>678</v>
      </c>
      <c r="D1032" t="s">
        <v>737</v>
      </c>
      <c r="E1032" t="s">
        <v>678</v>
      </c>
      <c r="F1032">
        <v>0</v>
      </c>
      <c r="G1032" t="s">
        <v>678</v>
      </c>
      <c r="H1032" t="s">
        <v>678</v>
      </c>
      <c r="I1032" t="s">
        <v>678</v>
      </c>
      <c r="J1032" t="s">
        <v>678</v>
      </c>
      <c r="K1032" t="s">
        <v>678</v>
      </c>
      <c r="L1032" t="s">
        <v>678</v>
      </c>
      <c r="M1032" t="s">
        <v>1698</v>
      </c>
      <c r="N1032" t="b">
        <v>0</v>
      </c>
    </row>
    <row r="1033" spans="1:14">
      <c r="A1033">
        <v>63</v>
      </c>
      <c r="B1033">
        <v>15</v>
      </c>
      <c r="C1033" t="s">
        <v>678</v>
      </c>
      <c r="D1033" t="s">
        <v>737</v>
      </c>
      <c r="E1033" t="s">
        <v>678</v>
      </c>
      <c r="F1033">
        <v>0</v>
      </c>
      <c r="G1033" t="s">
        <v>678</v>
      </c>
      <c r="H1033" t="s">
        <v>678</v>
      </c>
      <c r="I1033" t="s">
        <v>678</v>
      </c>
      <c r="J1033" t="s">
        <v>678</v>
      </c>
      <c r="K1033" t="s">
        <v>678</v>
      </c>
      <c r="L1033" t="s">
        <v>678</v>
      </c>
      <c r="M1033" t="s">
        <v>1699</v>
      </c>
      <c r="N1033" t="b">
        <v>0</v>
      </c>
    </row>
    <row r="1034" spans="1:14">
      <c r="A1034">
        <v>63</v>
      </c>
      <c r="B1034">
        <v>16</v>
      </c>
      <c r="C1034" t="s">
        <v>408</v>
      </c>
      <c r="D1034" t="s">
        <v>754</v>
      </c>
      <c r="E1034" t="s">
        <v>554</v>
      </c>
      <c r="F1034">
        <v>50</v>
      </c>
      <c r="G1034" t="s">
        <v>773</v>
      </c>
      <c r="H1034" t="s">
        <v>678</v>
      </c>
      <c r="I1034" t="s">
        <v>678</v>
      </c>
      <c r="J1034" t="s">
        <v>1115</v>
      </c>
      <c r="K1034" t="s">
        <v>1134</v>
      </c>
      <c r="L1034" t="s">
        <v>1095</v>
      </c>
      <c r="M1034" t="s">
        <v>1700</v>
      </c>
      <c r="N1034" t="b">
        <v>0</v>
      </c>
    </row>
    <row r="1035" spans="1:14">
      <c r="A1035">
        <v>63</v>
      </c>
      <c r="B1035">
        <v>17</v>
      </c>
      <c r="C1035" t="s">
        <v>168</v>
      </c>
      <c r="D1035" t="s">
        <v>754</v>
      </c>
      <c r="E1035" t="s">
        <v>308</v>
      </c>
      <c r="F1035">
        <v>50</v>
      </c>
      <c r="G1035" t="s">
        <v>773</v>
      </c>
      <c r="H1035" t="s">
        <v>678</v>
      </c>
      <c r="I1035" t="s">
        <v>678</v>
      </c>
      <c r="J1035" t="s">
        <v>774</v>
      </c>
      <c r="K1035" t="s">
        <v>775</v>
      </c>
      <c r="L1035" t="s">
        <v>776</v>
      </c>
      <c r="M1035" t="s">
        <v>1701</v>
      </c>
      <c r="N1035" t="b">
        <v>0</v>
      </c>
    </row>
    <row r="1036" spans="1:14">
      <c r="A1036">
        <v>63</v>
      </c>
      <c r="B1036">
        <v>18</v>
      </c>
      <c r="C1036" t="s">
        <v>283</v>
      </c>
      <c r="D1036" t="s">
        <v>754</v>
      </c>
      <c r="E1036" t="s">
        <v>342</v>
      </c>
      <c r="F1036">
        <v>50</v>
      </c>
      <c r="G1036" t="s">
        <v>773</v>
      </c>
      <c r="H1036" t="s">
        <v>678</v>
      </c>
      <c r="I1036" t="s">
        <v>678</v>
      </c>
      <c r="J1036" t="s">
        <v>1141</v>
      </c>
      <c r="K1036" t="s">
        <v>934</v>
      </c>
      <c r="L1036" t="s">
        <v>935</v>
      </c>
      <c r="M1036" t="s">
        <v>1702</v>
      </c>
      <c r="N1036" t="b">
        <v>0</v>
      </c>
    </row>
    <row r="1037" spans="1:14">
      <c r="A1037">
        <v>63</v>
      </c>
      <c r="B1037">
        <v>19</v>
      </c>
      <c r="C1037" t="s">
        <v>678</v>
      </c>
      <c r="D1037" t="s">
        <v>754</v>
      </c>
      <c r="E1037" t="s">
        <v>678</v>
      </c>
      <c r="F1037">
        <v>0</v>
      </c>
      <c r="G1037" t="s">
        <v>678</v>
      </c>
      <c r="H1037" t="s">
        <v>678</v>
      </c>
      <c r="I1037" t="s">
        <v>678</v>
      </c>
      <c r="J1037" t="s">
        <v>678</v>
      </c>
      <c r="K1037" t="s">
        <v>678</v>
      </c>
      <c r="L1037" t="s">
        <v>678</v>
      </c>
      <c r="M1037" t="s">
        <v>1703</v>
      </c>
      <c r="N1037" t="b">
        <v>0</v>
      </c>
    </row>
    <row r="1038" spans="1:14">
      <c r="A1038">
        <v>63</v>
      </c>
      <c r="B1038">
        <v>20</v>
      </c>
      <c r="C1038" t="s">
        <v>678</v>
      </c>
      <c r="D1038" t="s">
        <v>754</v>
      </c>
      <c r="E1038" t="s">
        <v>678</v>
      </c>
      <c r="F1038">
        <v>0</v>
      </c>
      <c r="G1038" t="s">
        <v>678</v>
      </c>
      <c r="H1038" t="s">
        <v>678</v>
      </c>
      <c r="I1038" t="s">
        <v>678</v>
      </c>
      <c r="J1038" t="s">
        <v>678</v>
      </c>
      <c r="K1038" t="s">
        <v>678</v>
      </c>
      <c r="L1038" t="s">
        <v>678</v>
      </c>
      <c r="M1038" t="s">
        <v>1704</v>
      </c>
      <c r="N1038" t="b">
        <v>0</v>
      </c>
    </row>
    <row r="1039" spans="1:14">
      <c r="A1039">
        <v>63</v>
      </c>
      <c r="B1039">
        <v>21</v>
      </c>
      <c r="C1039" t="s">
        <v>678</v>
      </c>
      <c r="D1039" t="s">
        <v>754</v>
      </c>
      <c r="E1039" t="s">
        <v>678</v>
      </c>
      <c r="F1039">
        <v>0</v>
      </c>
      <c r="G1039" t="s">
        <v>678</v>
      </c>
      <c r="H1039" t="s">
        <v>678</v>
      </c>
      <c r="I1039" t="s">
        <v>678</v>
      </c>
      <c r="J1039" t="s">
        <v>678</v>
      </c>
      <c r="K1039" t="s">
        <v>678</v>
      </c>
      <c r="L1039" t="s">
        <v>678</v>
      </c>
      <c r="M1039" t="s">
        <v>1705</v>
      </c>
      <c r="N1039" t="b">
        <v>0</v>
      </c>
    </row>
    <row r="1040" spans="1:14">
      <c r="A1040">
        <v>63</v>
      </c>
      <c r="B1040">
        <v>22</v>
      </c>
      <c r="C1040" t="s">
        <v>678</v>
      </c>
      <c r="D1040" t="s">
        <v>754</v>
      </c>
      <c r="E1040" t="s">
        <v>678</v>
      </c>
      <c r="F1040">
        <v>0</v>
      </c>
      <c r="G1040" t="s">
        <v>678</v>
      </c>
      <c r="H1040" t="s">
        <v>678</v>
      </c>
      <c r="I1040" t="s">
        <v>678</v>
      </c>
      <c r="J1040" t="s">
        <v>678</v>
      </c>
      <c r="K1040" t="s">
        <v>678</v>
      </c>
      <c r="L1040" t="s">
        <v>678</v>
      </c>
      <c r="M1040" t="s">
        <v>1706</v>
      </c>
      <c r="N1040" t="b">
        <v>0</v>
      </c>
    </row>
    <row r="1041" spans="1:14">
      <c r="A1041">
        <v>63</v>
      </c>
      <c r="B1041">
        <v>23</v>
      </c>
      <c r="C1041" t="s">
        <v>678</v>
      </c>
      <c r="D1041" t="s">
        <v>754</v>
      </c>
      <c r="E1041" t="s">
        <v>678</v>
      </c>
      <c r="F1041">
        <v>0</v>
      </c>
      <c r="G1041" t="s">
        <v>678</v>
      </c>
      <c r="H1041" t="s">
        <v>678</v>
      </c>
      <c r="I1041" t="s">
        <v>678</v>
      </c>
      <c r="J1041" t="s">
        <v>678</v>
      </c>
      <c r="K1041" t="s">
        <v>678</v>
      </c>
      <c r="L1041" t="s">
        <v>678</v>
      </c>
      <c r="M1041" t="s">
        <v>1707</v>
      </c>
      <c r="N1041" t="b">
        <v>0</v>
      </c>
    </row>
    <row r="1042" spans="1:14">
      <c r="A1042">
        <v>63</v>
      </c>
      <c r="B1042">
        <v>24</v>
      </c>
      <c r="C1042" t="s">
        <v>678</v>
      </c>
      <c r="D1042" t="s">
        <v>754</v>
      </c>
      <c r="E1042" t="s">
        <v>678</v>
      </c>
      <c r="F1042">
        <v>0</v>
      </c>
      <c r="G1042" t="s">
        <v>678</v>
      </c>
      <c r="H1042" t="s">
        <v>678</v>
      </c>
      <c r="I1042" t="s">
        <v>678</v>
      </c>
      <c r="J1042" t="s">
        <v>678</v>
      </c>
      <c r="K1042" t="s">
        <v>678</v>
      </c>
      <c r="L1042" t="s">
        <v>678</v>
      </c>
      <c r="M1042" t="s">
        <v>1708</v>
      </c>
      <c r="N1042" t="b">
        <v>0</v>
      </c>
    </row>
    <row r="1043" spans="1:14">
      <c r="A1043">
        <v>63</v>
      </c>
      <c r="B1043">
        <v>25</v>
      </c>
      <c r="C1043" t="s">
        <v>678</v>
      </c>
      <c r="D1043" t="s">
        <v>754</v>
      </c>
      <c r="E1043" t="s">
        <v>678</v>
      </c>
      <c r="F1043">
        <v>0</v>
      </c>
      <c r="G1043" t="s">
        <v>678</v>
      </c>
      <c r="H1043" t="s">
        <v>678</v>
      </c>
      <c r="I1043" t="s">
        <v>678</v>
      </c>
      <c r="J1043" t="s">
        <v>678</v>
      </c>
      <c r="K1043" t="s">
        <v>678</v>
      </c>
      <c r="L1043" t="s">
        <v>678</v>
      </c>
      <c r="M1043" t="s">
        <v>1709</v>
      </c>
      <c r="N1043" t="b">
        <v>0</v>
      </c>
    </row>
    <row r="1044" spans="1:14">
      <c r="A1044">
        <v>63</v>
      </c>
      <c r="B1044">
        <v>26</v>
      </c>
      <c r="C1044" t="s">
        <v>678</v>
      </c>
      <c r="D1044" t="s">
        <v>754</v>
      </c>
      <c r="E1044" t="s">
        <v>678</v>
      </c>
      <c r="F1044">
        <v>0</v>
      </c>
      <c r="G1044" t="s">
        <v>678</v>
      </c>
      <c r="H1044" t="s">
        <v>678</v>
      </c>
      <c r="I1044" t="s">
        <v>678</v>
      </c>
      <c r="J1044" t="s">
        <v>678</v>
      </c>
      <c r="K1044" t="s">
        <v>678</v>
      </c>
      <c r="L1044" t="s">
        <v>678</v>
      </c>
      <c r="M1044" t="s">
        <v>1710</v>
      </c>
      <c r="N1044" t="b">
        <v>0</v>
      </c>
    </row>
    <row r="1045" spans="1:14">
      <c r="A1045">
        <v>64</v>
      </c>
      <c r="B1045">
        <v>0</v>
      </c>
      <c r="C1045" t="s">
        <v>226</v>
      </c>
      <c r="D1045" t="s">
        <v>737</v>
      </c>
      <c r="E1045" t="s">
        <v>67</v>
      </c>
      <c r="F1045">
        <v>60</v>
      </c>
      <c r="G1045" t="s">
        <v>678</v>
      </c>
      <c r="H1045" t="s">
        <v>678</v>
      </c>
      <c r="I1045" t="s">
        <v>67</v>
      </c>
      <c r="J1045" t="s">
        <v>678</v>
      </c>
      <c r="K1045" t="s">
        <v>678</v>
      </c>
      <c r="L1045" t="s">
        <v>678</v>
      </c>
      <c r="M1045" t="s">
        <v>1711</v>
      </c>
      <c r="N1045" t="b">
        <v>0</v>
      </c>
    </row>
    <row r="1046" spans="1:14">
      <c r="A1046">
        <v>64</v>
      </c>
      <c r="B1046">
        <v>1</v>
      </c>
      <c r="C1046" t="s">
        <v>227</v>
      </c>
      <c r="D1046" t="s">
        <v>737</v>
      </c>
      <c r="E1046" t="s">
        <v>79</v>
      </c>
      <c r="F1046">
        <v>60</v>
      </c>
      <c r="G1046" t="s">
        <v>678</v>
      </c>
      <c r="H1046" t="s">
        <v>678</v>
      </c>
      <c r="I1046" t="s">
        <v>79</v>
      </c>
      <c r="J1046" t="s">
        <v>678</v>
      </c>
      <c r="K1046" t="s">
        <v>678</v>
      </c>
      <c r="L1046" t="s">
        <v>678</v>
      </c>
      <c r="M1046" t="s">
        <v>1712</v>
      </c>
      <c r="N1046" t="b">
        <v>0</v>
      </c>
    </row>
    <row r="1047" spans="1:14">
      <c r="A1047">
        <v>64</v>
      </c>
      <c r="B1047">
        <v>2</v>
      </c>
      <c r="C1047" t="s">
        <v>278</v>
      </c>
      <c r="D1047" t="s">
        <v>737</v>
      </c>
      <c r="E1047" t="s">
        <v>85</v>
      </c>
      <c r="F1047">
        <v>30</v>
      </c>
      <c r="G1047" t="s">
        <v>678</v>
      </c>
      <c r="H1047" t="s">
        <v>678</v>
      </c>
      <c r="I1047" t="s">
        <v>85</v>
      </c>
      <c r="J1047" t="s">
        <v>678</v>
      </c>
      <c r="K1047" t="s">
        <v>678</v>
      </c>
      <c r="L1047" t="s">
        <v>678</v>
      </c>
      <c r="M1047" t="s">
        <v>1713</v>
      </c>
      <c r="N1047" t="b">
        <v>0</v>
      </c>
    </row>
    <row r="1048" spans="1:14">
      <c r="A1048">
        <v>64</v>
      </c>
      <c r="B1048">
        <v>3</v>
      </c>
      <c r="C1048" t="s">
        <v>228</v>
      </c>
      <c r="D1048" t="s">
        <v>737</v>
      </c>
      <c r="E1048" t="s">
        <v>99</v>
      </c>
      <c r="F1048">
        <v>40</v>
      </c>
      <c r="G1048" t="s">
        <v>678</v>
      </c>
      <c r="H1048" t="s">
        <v>678</v>
      </c>
      <c r="I1048" t="s">
        <v>99</v>
      </c>
      <c r="J1048" t="s">
        <v>678</v>
      </c>
      <c r="K1048" t="s">
        <v>678</v>
      </c>
      <c r="L1048" t="s">
        <v>678</v>
      </c>
      <c r="M1048" t="s">
        <v>1714</v>
      </c>
      <c r="N1048" t="b">
        <v>0</v>
      </c>
    </row>
    <row r="1049" spans="1:14">
      <c r="A1049">
        <v>64</v>
      </c>
      <c r="B1049">
        <v>4</v>
      </c>
      <c r="C1049" t="s">
        <v>316</v>
      </c>
      <c r="D1049" t="s">
        <v>737</v>
      </c>
      <c r="E1049" t="s">
        <v>101</v>
      </c>
      <c r="F1049">
        <v>50</v>
      </c>
      <c r="G1049" t="s">
        <v>678</v>
      </c>
      <c r="H1049" t="s">
        <v>678</v>
      </c>
      <c r="I1049" t="s">
        <v>101</v>
      </c>
      <c r="J1049" t="s">
        <v>678</v>
      </c>
      <c r="K1049" t="s">
        <v>678</v>
      </c>
      <c r="L1049" t="s">
        <v>678</v>
      </c>
      <c r="M1049" t="s">
        <v>1715</v>
      </c>
      <c r="N1049" t="b">
        <v>0</v>
      </c>
    </row>
    <row r="1050" spans="1:14">
      <c r="A1050">
        <v>64</v>
      </c>
      <c r="B1050">
        <v>5</v>
      </c>
      <c r="C1050" t="s">
        <v>261</v>
      </c>
      <c r="D1050" t="s">
        <v>737</v>
      </c>
      <c r="E1050" t="s">
        <v>103</v>
      </c>
      <c r="F1050">
        <v>40</v>
      </c>
      <c r="G1050" t="s">
        <v>678</v>
      </c>
      <c r="H1050" t="s">
        <v>678</v>
      </c>
      <c r="I1050" t="s">
        <v>103</v>
      </c>
      <c r="J1050" t="s">
        <v>678</v>
      </c>
      <c r="K1050" t="s">
        <v>678</v>
      </c>
      <c r="L1050" t="s">
        <v>678</v>
      </c>
      <c r="M1050" t="s">
        <v>1716</v>
      </c>
      <c r="N1050" t="b">
        <v>0</v>
      </c>
    </row>
    <row r="1051" spans="1:14">
      <c r="A1051">
        <v>64</v>
      </c>
      <c r="B1051">
        <v>6</v>
      </c>
      <c r="C1051" t="s">
        <v>229</v>
      </c>
      <c r="D1051" t="s">
        <v>737</v>
      </c>
      <c r="E1051" t="s">
        <v>105</v>
      </c>
      <c r="F1051">
        <v>60</v>
      </c>
      <c r="G1051" t="s">
        <v>678</v>
      </c>
      <c r="H1051" t="s">
        <v>678</v>
      </c>
      <c r="I1051" t="s">
        <v>105</v>
      </c>
      <c r="J1051" t="s">
        <v>678</v>
      </c>
      <c r="K1051" t="s">
        <v>678</v>
      </c>
      <c r="L1051" t="s">
        <v>678</v>
      </c>
      <c r="M1051" t="s">
        <v>1717</v>
      </c>
      <c r="N1051" t="b">
        <v>0</v>
      </c>
    </row>
    <row r="1052" spans="1:14">
      <c r="A1052">
        <v>64</v>
      </c>
      <c r="B1052">
        <v>7</v>
      </c>
      <c r="C1052" t="s">
        <v>285</v>
      </c>
      <c r="D1052" t="s">
        <v>737</v>
      </c>
      <c r="E1052" t="s">
        <v>107</v>
      </c>
      <c r="F1052">
        <v>30</v>
      </c>
      <c r="G1052" t="s">
        <v>678</v>
      </c>
      <c r="H1052" t="s">
        <v>678</v>
      </c>
      <c r="I1052" t="s">
        <v>107</v>
      </c>
      <c r="J1052" t="s">
        <v>678</v>
      </c>
      <c r="K1052" t="s">
        <v>678</v>
      </c>
      <c r="L1052" t="s">
        <v>678</v>
      </c>
      <c r="M1052" t="s">
        <v>1718</v>
      </c>
      <c r="N1052" t="b">
        <v>0</v>
      </c>
    </row>
    <row r="1053" spans="1:14">
      <c r="A1053">
        <v>64</v>
      </c>
      <c r="B1053">
        <v>8</v>
      </c>
      <c r="C1053" t="s">
        <v>169</v>
      </c>
      <c r="D1053" t="s">
        <v>766</v>
      </c>
      <c r="E1053" t="s">
        <v>308</v>
      </c>
      <c r="F1053">
        <v>40</v>
      </c>
      <c r="G1053" t="s">
        <v>773</v>
      </c>
      <c r="H1053" t="s">
        <v>678</v>
      </c>
      <c r="I1053" t="s">
        <v>678</v>
      </c>
      <c r="J1053" t="s">
        <v>774</v>
      </c>
      <c r="K1053" t="s">
        <v>775</v>
      </c>
      <c r="L1053" t="s">
        <v>776</v>
      </c>
      <c r="M1053" t="s">
        <v>1719</v>
      </c>
      <c r="N1053" t="b">
        <v>0</v>
      </c>
    </row>
    <row r="1054" spans="1:14">
      <c r="A1054">
        <v>64</v>
      </c>
      <c r="B1054">
        <v>9</v>
      </c>
      <c r="C1054" t="s">
        <v>190</v>
      </c>
      <c r="D1054" t="s">
        <v>737</v>
      </c>
      <c r="E1054" t="s">
        <v>116</v>
      </c>
      <c r="F1054">
        <v>50</v>
      </c>
      <c r="G1054" t="s">
        <v>678</v>
      </c>
      <c r="H1054" t="s">
        <v>678</v>
      </c>
      <c r="I1054" t="s">
        <v>116</v>
      </c>
      <c r="J1054" t="s">
        <v>678</v>
      </c>
      <c r="K1054" t="s">
        <v>678</v>
      </c>
      <c r="L1054" t="s">
        <v>678</v>
      </c>
      <c r="M1054" t="s">
        <v>1720</v>
      </c>
      <c r="N1054" t="b">
        <v>0</v>
      </c>
    </row>
    <row r="1055" spans="1:14">
      <c r="A1055">
        <v>64</v>
      </c>
      <c r="B1055">
        <v>10</v>
      </c>
      <c r="C1055" t="s">
        <v>207</v>
      </c>
      <c r="D1055" t="s">
        <v>737</v>
      </c>
      <c r="E1055" t="s">
        <v>117</v>
      </c>
      <c r="F1055">
        <v>50</v>
      </c>
      <c r="G1055" t="s">
        <v>678</v>
      </c>
      <c r="H1055" t="s">
        <v>678</v>
      </c>
      <c r="I1055" t="s">
        <v>117</v>
      </c>
      <c r="J1055" t="s">
        <v>678</v>
      </c>
      <c r="K1055" t="s">
        <v>678</v>
      </c>
      <c r="L1055" t="s">
        <v>678</v>
      </c>
      <c r="M1055" t="s">
        <v>1721</v>
      </c>
      <c r="N1055" t="b">
        <v>0</v>
      </c>
    </row>
    <row r="1056" spans="1:14">
      <c r="A1056">
        <v>64</v>
      </c>
      <c r="B1056">
        <v>11</v>
      </c>
      <c r="C1056" t="s">
        <v>298</v>
      </c>
      <c r="D1056" t="s">
        <v>737</v>
      </c>
      <c r="E1056" t="s">
        <v>342</v>
      </c>
      <c r="F1056">
        <v>40</v>
      </c>
      <c r="G1056" t="s">
        <v>678</v>
      </c>
      <c r="H1056" t="s">
        <v>559</v>
      </c>
      <c r="I1056" t="s">
        <v>456</v>
      </c>
      <c r="J1056" t="s">
        <v>678</v>
      </c>
      <c r="K1056" t="s">
        <v>934</v>
      </c>
      <c r="L1056" t="s">
        <v>935</v>
      </c>
      <c r="M1056" t="s">
        <v>1722</v>
      </c>
      <c r="N1056" t="b">
        <v>0</v>
      </c>
    </row>
    <row r="1057" spans="1:14">
      <c r="A1057">
        <v>64</v>
      </c>
      <c r="B1057">
        <v>12</v>
      </c>
      <c r="C1057" t="s">
        <v>286</v>
      </c>
      <c r="D1057" t="s">
        <v>737</v>
      </c>
      <c r="E1057" t="s">
        <v>76</v>
      </c>
      <c r="F1057">
        <v>40</v>
      </c>
      <c r="G1057" t="s">
        <v>678</v>
      </c>
      <c r="H1057" t="s">
        <v>678</v>
      </c>
      <c r="I1057" t="s">
        <v>76</v>
      </c>
      <c r="J1057" t="s">
        <v>678</v>
      </c>
      <c r="K1057" t="s">
        <v>678</v>
      </c>
      <c r="L1057" t="s">
        <v>678</v>
      </c>
      <c r="M1057" t="s">
        <v>1723</v>
      </c>
      <c r="N1057" t="b">
        <v>0</v>
      </c>
    </row>
    <row r="1058" spans="1:14">
      <c r="A1058">
        <v>64</v>
      </c>
      <c r="B1058">
        <v>13</v>
      </c>
      <c r="C1058" t="s">
        <v>299</v>
      </c>
      <c r="D1058" t="s">
        <v>737</v>
      </c>
      <c r="E1058" t="s">
        <v>80</v>
      </c>
      <c r="F1058">
        <v>30</v>
      </c>
      <c r="G1058" t="s">
        <v>678</v>
      </c>
      <c r="H1058" t="s">
        <v>678</v>
      </c>
      <c r="I1058" t="s">
        <v>80</v>
      </c>
      <c r="J1058" t="s">
        <v>678</v>
      </c>
      <c r="K1058" t="s">
        <v>678</v>
      </c>
      <c r="L1058" t="s">
        <v>678</v>
      </c>
      <c r="M1058" t="s">
        <v>1724</v>
      </c>
      <c r="N1058" t="b">
        <v>0</v>
      </c>
    </row>
    <row r="1059" spans="1:14">
      <c r="A1059">
        <v>64</v>
      </c>
      <c r="B1059">
        <v>14</v>
      </c>
      <c r="C1059" t="s">
        <v>302</v>
      </c>
      <c r="D1059" t="s">
        <v>737</v>
      </c>
      <c r="E1059" t="s">
        <v>111</v>
      </c>
      <c r="F1059">
        <v>60</v>
      </c>
      <c r="G1059" t="s">
        <v>678</v>
      </c>
      <c r="H1059" t="s">
        <v>678</v>
      </c>
      <c r="I1059" t="s">
        <v>111</v>
      </c>
      <c r="J1059" t="s">
        <v>678</v>
      </c>
      <c r="K1059" t="s">
        <v>678</v>
      </c>
      <c r="L1059" t="s">
        <v>678</v>
      </c>
      <c r="M1059" t="s">
        <v>1725</v>
      </c>
      <c r="N1059" t="b">
        <v>0</v>
      </c>
    </row>
    <row r="1060" spans="1:14">
      <c r="A1060">
        <v>64</v>
      </c>
      <c r="B1060">
        <v>15</v>
      </c>
      <c r="C1060" t="s">
        <v>242</v>
      </c>
      <c r="D1060" t="s">
        <v>737</v>
      </c>
      <c r="E1060" t="s">
        <v>112</v>
      </c>
      <c r="F1060">
        <v>50</v>
      </c>
      <c r="G1060" t="s">
        <v>678</v>
      </c>
      <c r="H1060" t="s">
        <v>678</v>
      </c>
      <c r="I1060" t="s">
        <v>112</v>
      </c>
      <c r="J1060" t="s">
        <v>678</v>
      </c>
      <c r="K1060" t="s">
        <v>678</v>
      </c>
      <c r="L1060" t="s">
        <v>678</v>
      </c>
      <c r="M1060" t="s">
        <v>1726</v>
      </c>
      <c r="N1060" t="b">
        <v>0</v>
      </c>
    </row>
    <row r="1061" spans="1:14">
      <c r="A1061">
        <v>64</v>
      </c>
      <c r="B1061">
        <v>16</v>
      </c>
      <c r="C1061" t="s">
        <v>678</v>
      </c>
      <c r="D1061" t="s">
        <v>754</v>
      </c>
      <c r="E1061" t="s">
        <v>678</v>
      </c>
      <c r="F1061">
        <v>0</v>
      </c>
      <c r="G1061" t="s">
        <v>678</v>
      </c>
      <c r="H1061" t="s">
        <v>678</v>
      </c>
      <c r="I1061" t="s">
        <v>678</v>
      </c>
      <c r="J1061" t="s">
        <v>678</v>
      </c>
      <c r="K1061" t="s">
        <v>678</v>
      </c>
      <c r="L1061" t="s">
        <v>678</v>
      </c>
      <c r="M1061" t="s">
        <v>1727</v>
      </c>
      <c r="N1061" t="b">
        <v>0</v>
      </c>
    </row>
    <row r="1062" spans="1:14">
      <c r="A1062">
        <v>64</v>
      </c>
      <c r="B1062">
        <v>17</v>
      </c>
      <c r="C1062" t="s">
        <v>678</v>
      </c>
      <c r="D1062" t="s">
        <v>754</v>
      </c>
      <c r="E1062" t="s">
        <v>678</v>
      </c>
      <c r="F1062">
        <v>0</v>
      </c>
      <c r="G1062" t="s">
        <v>678</v>
      </c>
      <c r="H1062" t="s">
        <v>678</v>
      </c>
      <c r="I1062" t="s">
        <v>678</v>
      </c>
      <c r="J1062" t="s">
        <v>678</v>
      </c>
      <c r="K1062" t="s">
        <v>678</v>
      </c>
      <c r="L1062" t="s">
        <v>678</v>
      </c>
      <c r="M1062" t="s">
        <v>1728</v>
      </c>
      <c r="N1062" t="b">
        <v>0</v>
      </c>
    </row>
    <row r="1063" spans="1:14">
      <c r="A1063">
        <v>64</v>
      </c>
      <c r="B1063">
        <v>18</v>
      </c>
      <c r="C1063" t="s">
        <v>678</v>
      </c>
      <c r="D1063" t="s">
        <v>754</v>
      </c>
      <c r="E1063" t="s">
        <v>678</v>
      </c>
      <c r="F1063">
        <v>0</v>
      </c>
      <c r="G1063" t="s">
        <v>678</v>
      </c>
      <c r="H1063" t="s">
        <v>678</v>
      </c>
      <c r="I1063" t="s">
        <v>678</v>
      </c>
      <c r="J1063" t="s">
        <v>678</v>
      </c>
      <c r="K1063" t="s">
        <v>678</v>
      </c>
      <c r="L1063" t="s">
        <v>678</v>
      </c>
      <c r="M1063" t="s">
        <v>1729</v>
      </c>
      <c r="N1063" t="b">
        <v>0</v>
      </c>
    </row>
    <row r="1064" spans="1:14">
      <c r="A1064">
        <v>64</v>
      </c>
      <c r="B1064">
        <v>19</v>
      </c>
      <c r="C1064" t="s">
        <v>678</v>
      </c>
      <c r="D1064" t="s">
        <v>754</v>
      </c>
      <c r="E1064" t="s">
        <v>678</v>
      </c>
      <c r="F1064">
        <v>0</v>
      </c>
      <c r="G1064" t="s">
        <v>678</v>
      </c>
      <c r="H1064" t="s">
        <v>678</v>
      </c>
      <c r="I1064" t="s">
        <v>678</v>
      </c>
      <c r="J1064" t="s">
        <v>678</v>
      </c>
      <c r="K1064" t="s">
        <v>678</v>
      </c>
      <c r="L1064" t="s">
        <v>678</v>
      </c>
      <c r="M1064" t="s">
        <v>1730</v>
      </c>
      <c r="N1064" t="b">
        <v>0</v>
      </c>
    </row>
    <row r="1065" spans="1:14">
      <c r="A1065">
        <v>64</v>
      </c>
      <c r="B1065">
        <v>20</v>
      </c>
      <c r="C1065" t="s">
        <v>678</v>
      </c>
      <c r="D1065" t="s">
        <v>754</v>
      </c>
      <c r="E1065" t="s">
        <v>678</v>
      </c>
      <c r="F1065">
        <v>0</v>
      </c>
      <c r="G1065" t="s">
        <v>678</v>
      </c>
      <c r="H1065" t="s">
        <v>678</v>
      </c>
      <c r="I1065" t="s">
        <v>678</v>
      </c>
      <c r="J1065" t="s">
        <v>678</v>
      </c>
      <c r="K1065" t="s">
        <v>678</v>
      </c>
      <c r="L1065" t="s">
        <v>678</v>
      </c>
      <c r="M1065" t="s">
        <v>1731</v>
      </c>
      <c r="N1065" t="b">
        <v>0</v>
      </c>
    </row>
    <row r="1066" spans="1:14">
      <c r="A1066">
        <v>64</v>
      </c>
      <c r="B1066">
        <v>21</v>
      </c>
      <c r="C1066" t="s">
        <v>678</v>
      </c>
      <c r="D1066" t="s">
        <v>754</v>
      </c>
      <c r="E1066" t="s">
        <v>678</v>
      </c>
      <c r="F1066">
        <v>0</v>
      </c>
      <c r="G1066" t="s">
        <v>678</v>
      </c>
      <c r="H1066" t="s">
        <v>678</v>
      </c>
      <c r="I1066" t="s">
        <v>678</v>
      </c>
      <c r="J1066" t="s">
        <v>678</v>
      </c>
      <c r="K1066" t="s">
        <v>678</v>
      </c>
      <c r="L1066" t="s">
        <v>678</v>
      </c>
      <c r="M1066" t="s">
        <v>1732</v>
      </c>
      <c r="N1066" t="b">
        <v>0</v>
      </c>
    </row>
    <row r="1067" spans="1:14">
      <c r="A1067">
        <v>64</v>
      </c>
      <c r="B1067">
        <v>22</v>
      </c>
      <c r="C1067" t="s">
        <v>678</v>
      </c>
      <c r="D1067" t="s">
        <v>754</v>
      </c>
      <c r="E1067" t="s">
        <v>678</v>
      </c>
      <c r="F1067">
        <v>0</v>
      </c>
      <c r="G1067" t="s">
        <v>678</v>
      </c>
      <c r="H1067" t="s">
        <v>678</v>
      </c>
      <c r="I1067" t="s">
        <v>678</v>
      </c>
      <c r="J1067" t="s">
        <v>678</v>
      </c>
      <c r="K1067" t="s">
        <v>678</v>
      </c>
      <c r="L1067" t="s">
        <v>678</v>
      </c>
      <c r="M1067" t="s">
        <v>1733</v>
      </c>
      <c r="N1067" t="b">
        <v>0</v>
      </c>
    </row>
    <row r="1068" spans="1:14">
      <c r="A1068">
        <v>64</v>
      </c>
      <c r="B1068">
        <v>23</v>
      </c>
      <c r="C1068" t="s">
        <v>678</v>
      </c>
      <c r="D1068" t="s">
        <v>754</v>
      </c>
      <c r="E1068" t="s">
        <v>678</v>
      </c>
      <c r="F1068">
        <v>0</v>
      </c>
      <c r="G1068" t="s">
        <v>678</v>
      </c>
      <c r="H1068" t="s">
        <v>678</v>
      </c>
      <c r="I1068" t="s">
        <v>678</v>
      </c>
      <c r="J1068" t="s">
        <v>678</v>
      </c>
      <c r="K1068" t="s">
        <v>678</v>
      </c>
      <c r="L1068" t="s">
        <v>678</v>
      </c>
      <c r="M1068" t="s">
        <v>1734</v>
      </c>
      <c r="N1068" t="b">
        <v>0</v>
      </c>
    </row>
    <row r="1069" spans="1:14">
      <c r="A1069">
        <v>64</v>
      </c>
      <c r="B1069">
        <v>24</v>
      </c>
      <c r="C1069" t="s">
        <v>678</v>
      </c>
      <c r="D1069" t="s">
        <v>754</v>
      </c>
      <c r="E1069" t="s">
        <v>678</v>
      </c>
      <c r="F1069">
        <v>0</v>
      </c>
      <c r="G1069" t="s">
        <v>678</v>
      </c>
      <c r="H1069" t="s">
        <v>678</v>
      </c>
      <c r="I1069" t="s">
        <v>678</v>
      </c>
      <c r="J1069" t="s">
        <v>678</v>
      </c>
      <c r="K1069" t="s">
        <v>678</v>
      </c>
      <c r="L1069" t="s">
        <v>678</v>
      </c>
      <c r="M1069" t="s">
        <v>1735</v>
      </c>
      <c r="N1069" t="b">
        <v>0</v>
      </c>
    </row>
    <row r="1070" spans="1:14">
      <c r="A1070">
        <v>64</v>
      </c>
      <c r="B1070">
        <v>25</v>
      </c>
      <c r="C1070" t="s">
        <v>678</v>
      </c>
      <c r="D1070" t="s">
        <v>754</v>
      </c>
      <c r="E1070" t="s">
        <v>678</v>
      </c>
      <c r="F1070">
        <v>0</v>
      </c>
      <c r="G1070" t="s">
        <v>678</v>
      </c>
      <c r="H1070" t="s">
        <v>678</v>
      </c>
      <c r="I1070" t="s">
        <v>678</v>
      </c>
      <c r="J1070" t="s">
        <v>678</v>
      </c>
      <c r="K1070" t="s">
        <v>678</v>
      </c>
      <c r="L1070" t="s">
        <v>678</v>
      </c>
      <c r="M1070" t="s">
        <v>1736</v>
      </c>
      <c r="N1070" t="b">
        <v>0</v>
      </c>
    </row>
    <row r="1071" spans="1:14">
      <c r="A1071">
        <v>64</v>
      </c>
      <c r="B1071">
        <v>26</v>
      </c>
      <c r="C1071" t="s">
        <v>678</v>
      </c>
      <c r="D1071" t="s">
        <v>754</v>
      </c>
      <c r="E1071" t="s">
        <v>678</v>
      </c>
      <c r="F1071">
        <v>0</v>
      </c>
      <c r="G1071" t="s">
        <v>678</v>
      </c>
      <c r="H1071" t="s">
        <v>678</v>
      </c>
      <c r="I1071" t="s">
        <v>678</v>
      </c>
      <c r="J1071" t="s">
        <v>678</v>
      </c>
      <c r="K1071" t="s">
        <v>678</v>
      </c>
      <c r="L1071" t="s">
        <v>678</v>
      </c>
      <c r="M1071" t="s">
        <v>1737</v>
      </c>
      <c r="N1071" t="b">
        <v>0</v>
      </c>
    </row>
    <row r="1072" spans="1:14">
      <c r="A1072">
        <v>65</v>
      </c>
      <c r="B1072">
        <v>0</v>
      </c>
      <c r="C1072" t="s">
        <v>226</v>
      </c>
      <c r="D1072" t="s">
        <v>737</v>
      </c>
      <c r="E1072" t="s">
        <v>67</v>
      </c>
      <c r="F1072">
        <v>60</v>
      </c>
      <c r="G1072" t="s">
        <v>678</v>
      </c>
      <c r="H1072" t="s">
        <v>678</v>
      </c>
      <c r="I1072" t="s">
        <v>67</v>
      </c>
      <c r="J1072" t="s">
        <v>678</v>
      </c>
      <c r="K1072" t="s">
        <v>678</v>
      </c>
      <c r="L1072" t="s">
        <v>678</v>
      </c>
      <c r="M1072" t="s">
        <v>1738</v>
      </c>
      <c r="N1072" t="b">
        <v>0</v>
      </c>
    </row>
    <row r="1073" spans="1:14">
      <c r="A1073">
        <v>65</v>
      </c>
      <c r="B1073">
        <v>1</v>
      </c>
      <c r="C1073" t="s">
        <v>227</v>
      </c>
      <c r="D1073" t="s">
        <v>737</v>
      </c>
      <c r="E1073" t="s">
        <v>79</v>
      </c>
      <c r="F1073">
        <v>60</v>
      </c>
      <c r="G1073" t="s">
        <v>678</v>
      </c>
      <c r="H1073" t="s">
        <v>678</v>
      </c>
      <c r="I1073" t="s">
        <v>79</v>
      </c>
      <c r="J1073" t="s">
        <v>678</v>
      </c>
      <c r="K1073" t="s">
        <v>678</v>
      </c>
      <c r="L1073" t="s">
        <v>678</v>
      </c>
      <c r="M1073" t="s">
        <v>1739</v>
      </c>
      <c r="N1073" t="b">
        <v>0</v>
      </c>
    </row>
    <row r="1074" spans="1:14">
      <c r="A1074">
        <v>65</v>
      </c>
      <c r="B1074">
        <v>2</v>
      </c>
      <c r="C1074" t="s">
        <v>278</v>
      </c>
      <c r="D1074" t="s">
        <v>737</v>
      </c>
      <c r="E1074" t="s">
        <v>85</v>
      </c>
      <c r="F1074">
        <v>30</v>
      </c>
      <c r="G1074" t="s">
        <v>678</v>
      </c>
      <c r="H1074" t="s">
        <v>678</v>
      </c>
      <c r="I1074" t="s">
        <v>85</v>
      </c>
      <c r="J1074" t="s">
        <v>678</v>
      </c>
      <c r="K1074" t="s">
        <v>678</v>
      </c>
      <c r="L1074" t="s">
        <v>678</v>
      </c>
      <c r="M1074" t="s">
        <v>1740</v>
      </c>
      <c r="N1074" t="b">
        <v>0</v>
      </c>
    </row>
    <row r="1075" spans="1:14">
      <c r="A1075">
        <v>65</v>
      </c>
      <c r="B1075">
        <v>3</v>
      </c>
      <c r="C1075" t="s">
        <v>261</v>
      </c>
      <c r="D1075" t="s">
        <v>737</v>
      </c>
      <c r="E1075" t="s">
        <v>103</v>
      </c>
      <c r="F1075">
        <v>40</v>
      </c>
      <c r="G1075" t="s">
        <v>678</v>
      </c>
      <c r="H1075" t="s">
        <v>678</v>
      </c>
      <c r="I1075" t="s">
        <v>103</v>
      </c>
      <c r="J1075" t="s">
        <v>678</v>
      </c>
      <c r="K1075" t="s">
        <v>678</v>
      </c>
      <c r="L1075" t="s">
        <v>678</v>
      </c>
      <c r="M1075" t="s">
        <v>1741</v>
      </c>
      <c r="N1075" t="b">
        <v>0</v>
      </c>
    </row>
    <row r="1076" spans="1:14">
      <c r="A1076">
        <v>65</v>
      </c>
      <c r="B1076">
        <v>4</v>
      </c>
      <c r="C1076" t="s">
        <v>229</v>
      </c>
      <c r="D1076" t="s">
        <v>737</v>
      </c>
      <c r="E1076" t="s">
        <v>105</v>
      </c>
      <c r="F1076">
        <v>60</v>
      </c>
      <c r="G1076" t="s">
        <v>678</v>
      </c>
      <c r="H1076" t="s">
        <v>678</v>
      </c>
      <c r="I1076" t="s">
        <v>105</v>
      </c>
      <c r="J1076" t="s">
        <v>678</v>
      </c>
      <c r="K1076" t="s">
        <v>678</v>
      </c>
      <c r="L1076" t="s">
        <v>678</v>
      </c>
      <c r="M1076" t="s">
        <v>1742</v>
      </c>
      <c r="N1076" t="b">
        <v>0</v>
      </c>
    </row>
    <row r="1077" spans="1:14">
      <c r="A1077">
        <v>65</v>
      </c>
      <c r="B1077">
        <v>5</v>
      </c>
      <c r="C1077" t="s">
        <v>285</v>
      </c>
      <c r="D1077" t="s">
        <v>737</v>
      </c>
      <c r="E1077" t="s">
        <v>107</v>
      </c>
      <c r="F1077">
        <v>30</v>
      </c>
      <c r="G1077" t="s">
        <v>678</v>
      </c>
      <c r="H1077" t="s">
        <v>678</v>
      </c>
      <c r="I1077" t="s">
        <v>107</v>
      </c>
      <c r="J1077" t="s">
        <v>678</v>
      </c>
      <c r="K1077" t="s">
        <v>678</v>
      </c>
      <c r="L1077" t="s">
        <v>678</v>
      </c>
      <c r="M1077" t="s">
        <v>1743</v>
      </c>
      <c r="N1077" t="b">
        <v>0</v>
      </c>
    </row>
    <row r="1078" spans="1:14">
      <c r="A1078">
        <v>65</v>
      </c>
      <c r="B1078">
        <v>6</v>
      </c>
      <c r="C1078" t="s">
        <v>301</v>
      </c>
      <c r="D1078" t="s">
        <v>737</v>
      </c>
      <c r="E1078" t="s">
        <v>117</v>
      </c>
      <c r="F1078">
        <v>40</v>
      </c>
      <c r="G1078" t="s">
        <v>678</v>
      </c>
      <c r="H1078" t="s">
        <v>678</v>
      </c>
      <c r="I1078" t="s">
        <v>117</v>
      </c>
      <c r="J1078" t="s">
        <v>678</v>
      </c>
      <c r="K1078" t="s">
        <v>678</v>
      </c>
      <c r="L1078" t="s">
        <v>678</v>
      </c>
      <c r="M1078" t="s">
        <v>1744</v>
      </c>
      <c r="N1078" t="b">
        <v>0</v>
      </c>
    </row>
    <row r="1079" spans="1:14">
      <c r="A1079">
        <v>65</v>
      </c>
      <c r="B1079">
        <v>7</v>
      </c>
      <c r="C1079" t="s">
        <v>298</v>
      </c>
      <c r="D1079" t="s">
        <v>737</v>
      </c>
      <c r="E1079" t="s">
        <v>342</v>
      </c>
      <c r="F1079">
        <v>40</v>
      </c>
      <c r="G1079" t="s">
        <v>678</v>
      </c>
      <c r="H1079" t="s">
        <v>559</v>
      </c>
      <c r="I1079" t="s">
        <v>456</v>
      </c>
      <c r="J1079" t="s">
        <v>678</v>
      </c>
      <c r="K1079" t="s">
        <v>934</v>
      </c>
      <c r="L1079" t="s">
        <v>935</v>
      </c>
      <c r="M1079" t="s">
        <v>1745</v>
      </c>
      <c r="N1079" t="b">
        <v>0</v>
      </c>
    </row>
    <row r="1080" spans="1:14">
      <c r="A1080">
        <v>65</v>
      </c>
      <c r="B1080">
        <v>8</v>
      </c>
      <c r="C1080" t="s">
        <v>286</v>
      </c>
      <c r="D1080" t="s">
        <v>737</v>
      </c>
      <c r="E1080" t="s">
        <v>76</v>
      </c>
      <c r="F1080">
        <v>40</v>
      </c>
      <c r="G1080" t="s">
        <v>678</v>
      </c>
      <c r="H1080" t="s">
        <v>678</v>
      </c>
      <c r="I1080" t="s">
        <v>76</v>
      </c>
      <c r="J1080" t="s">
        <v>678</v>
      </c>
      <c r="K1080" t="s">
        <v>678</v>
      </c>
      <c r="L1080" t="s">
        <v>678</v>
      </c>
      <c r="M1080" t="s">
        <v>1746</v>
      </c>
      <c r="N1080" t="b">
        <v>0</v>
      </c>
    </row>
    <row r="1081" spans="1:14">
      <c r="A1081">
        <v>65</v>
      </c>
      <c r="B1081">
        <v>9</v>
      </c>
      <c r="C1081" t="s">
        <v>299</v>
      </c>
      <c r="D1081" t="s">
        <v>737</v>
      </c>
      <c r="E1081" t="s">
        <v>80</v>
      </c>
      <c r="F1081">
        <v>30</v>
      </c>
      <c r="G1081" t="s">
        <v>678</v>
      </c>
      <c r="H1081" t="s">
        <v>678</v>
      </c>
      <c r="I1081" t="s">
        <v>80</v>
      </c>
      <c r="J1081" t="s">
        <v>678</v>
      </c>
      <c r="K1081" t="s">
        <v>678</v>
      </c>
      <c r="L1081" t="s">
        <v>678</v>
      </c>
      <c r="M1081" t="s">
        <v>1747</v>
      </c>
      <c r="N1081" t="b">
        <v>0</v>
      </c>
    </row>
    <row r="1082" spans="1:14">
      <c r="A1082">
        <v>65</v>
      </c>
      <c r="B1082">
        <v>10</v>
      </c>
      <c r="C1082" t="s">
        <v>331</v>
      </c>
      <c r="D1082" t="s">
        <v>737</v>
      </c>
      <c r="E1082" t="s">
        <v>110</v>
      </c>
      <c r="F1082">
        <v>30</v>
      </c>
      <c r="G1082" t="s">
        <v>678</v>
      </c>
      <c r="H1082" t="s">
        <v>678</v>
      </c>
      <c r="I1082" t="s">
        <v>110</v>
      </c>
      <c r="J1082" t="s">
        <v>678</v>
      </c>
      <c r="K1082" t="s">
        <v>678</v>
      </c>
      <c r="L1082" t="s">
        <v>678</v>
      </c>
      <c r="M1082" t="s">
        <v>1748</v>
      </c>
      <c r="N1082" t="b">
        <v>0</v>
      </c>
    </row>
    <row r="1083" spans="1:14">
      <c r="A1083">
        <v>65</v>
      </c>
      <c r="B1083">
        <v>11</v>
      </c>
      <c r="C1083" t="s">
        <v>242</v>
      </c>
      <c r="D1083" t="s">
        <v>737</v>
      </c>
      <c r="E1083" t="s">
        <v>112</v>
      </c>
      <c r="F1083">
        <v>50</v>
      </c>
      <c r="G1083" t="s">
        <v>678</v>
      </c>
      <c r="H1083" t="s">
        <v>678</v>
      </c>
      <c r="I1083" t="s">
        <v>112</v>
      </c>
      <c r="J1083" t="s">
        <v>678</v>
      </c>
      <c r="K1083" t="s">
        <v>678</v>
      </c>
      <c r="L1083" t="s">
        <v>678</v>
      </c>
      <c r="M1083" t="s">
        <v>1749</v>
      </c>
      <c r="N1083" t="b">
        <v>0</v>
      </c>
    </row>
    <row r="1084" spans="1:14">
      <c r="A1084">
        <v>65</v>
      </c>
      <c r="B1084">
        <v>12</v>
      </c>
      <c r="C1084" t="s">
        <v>678</v>
      </c>
      <c r="D1084" t="s">
        <v>737</v>
      </c>
      <c r="E1084" t="s">
        <v>678</v>
      </c>
      <c r="F1084">
        <v>0</v>
      </c>
      <c r="G1084" t="s">
        <v>678</v>
      </c>
      <c r="H1084" t="s">
        <v>678</v>
      </c>
      <c r="I1084" t="s">
        <v>678</v>
      </c>
      <c r="J1084" t="s">
        <v>678</v>
      </c>
      <c r="K1084" t="s">
        <v>678</v>
      </c>
      <c r="L1084" t="s">
        <v>678</v>
      </c>
      <c r="M1084" t="s">
        <v>1750</v>
      </c>
      <c r="N1084" t="b">
        <v>0</v>
      </c>
    </row>
    <row r="1085" spans="1:14">
      <c r="A1085">
        <v>65</v>
      </c>
      <c r="B1085">
        <v>13</v>
      </c>
      <c r="C1085" t="s">
        <v>678</v>
      </c>
      <c r="D1085" t="s">
        <v>737</v>
      </c>
      <c r="E1085" t="s">
        <v>678</v>
      </c>
      <c r="F1085">
        <v>0</v>
      </c>
      <c r="G1085" t="s">
        <v>678</v>
      </c>
      <c r="H1085" t="s">
        <v>678</v>
      </c>
      <c r="I1085" t="s">
        <v>678</v>
      </c>
      <c r="J1085" t="s">
        <v>678</v>
      </c>
      <c r="K1085" t="s">
        <v>678</v>
      </c>
      <c r="L1085" t="s">
        <v>678</v>
      </c>
      <c r="M1085" t="s">
        <v>1751</v>
      </c>
      <c r="N1085" t="b">
        <v>0</v>
      </c>
    </row>
    <row r="1086" spans="1:14">
      <c r="A1086">
        <v>65</v>
      </c>
      <c r="B1086">
        <v>14</v>
      </c>
      <c r="C1086" t="s">
        <v>678</v>
      </c>
      <c r="D1086" t="s">
        <v>737</v>
      </c>
      <c r="E1086" t="s">
        <v>678</v>
      </c>
      <c r="F1086">
        <v>0</v>
      </c>
      <c r="G1086" t="s">
        <v>678</v>
      </c>
      <c r="H1086" t="s">
        <v>678</v>
      </c>
      <c r="I1086" t="s">
        <v>678</v>
      </c>
      <c r="J1086" t="s">
        <v>678</v>
      </c>
      <c r="K1086" t="s">
        <v>678</v>
      </c>
      <c r="L1086" t="s">
        <v>678</v>
      </c>
      <c r="M1086" t="s">
        <v>1752</v>
      </c>
      <c r="N1086" t="b">
        <v>0</v>
      </c>
    </row>
    <row r="1087" spans="1:14">
      <c r="A1087">
        <v>65</v>
      </c>
      <c r="B1087">
        <v>15</v>
      </c>
      <c r="C1087" t="s">
        <v>678</v>
      </c>
      <c r="D1087" t="s">
        <v>737</v>
      </c>
      <c r="E1087" t="s">
        <v>678</v>
      </c>
      <c r="F1087">
        <v>0</v>
      </c>
      <c r="G1087" t="s">
        <v>678</v>
      </c>
      <c r="H1087" t="s">
        <v>678</v>
      </c>
      <c r="I1087" t="s">
        <v>678</v>
      </c>
      <c r="J1087" t="s">
        <v>678</v>
      </c>
      <c r="K1087" t="s">
        <v>678</v>
      </c>
      <c r="L1087" t="s">
        <v>678</v>
      </c>
      <c r="M1087" t="s">
        <v>1753</v>
      </c>
      <c r="N1087" t="b">
        <v>0</v>
      </c>
    </row>
    <row r="1088" spans="1:14">
      <c r="A1088">
        <v>65</v>
      </c>
      <c r="B1088">
        <v>16</v>
      </c>
      <c r="C1088" t="s">
        <v>228</v>
      </c>
      <c r="D1088" t="s">
        <v>754</v>
      </c>
      <c r="E1088" t="s">
        <v>99</v>
      </c>
      <c r="F1088">
        <v>40</v>
      </c>
      <c r="G1088" t="s">
        <v>678</v>
      </c>
      <c r="H1088" t="s">
        <v>678</v>
      </c>
      <c r="I1088" t="s">
        <v>99</v>
      </c>
      <c r="J1088" t="s">
        <v>678</v>
      </c>
      <c r="K1088" t="s">
        <v>678</v>
      </c>
      <c r="L1088" t="s">
        <v>678</v>
      </c>
      <c r="M1088" t="s">
        <v>1754</v>
      </c>
      <c r="N1088" t="b">
        <v>0</v>
      </c>
    </row>
    <row r="1089" spans="1:14">
      <c r="A1089">
        <v>65</v>
      </c>
      <c r="B1089">
        <v>17</v>
      </c>
      <c r="C1089" t="s">
        <v>169</v>
      </c>
      <c r="D1089" t="s">
        <v>754</v>
      </c>
      <c r="E1089" t="s">
        <v>308</v>
      </c>
      <c r="F1089">
        <v>40</v>
      </c>
      <c r="G1089" t="s">
        <v>773</v>
      </c>
      <c r="H1089" t="s">
        <v>678</v>
      </c>
      <c r="I1089" t="s">
        <v>678</v>
      </c>
      <c r="J1089" t="s">
        <v>774</v>
      </c>
      <c r="K1089" t="s">
        <v>775</v>
      </c>
      <c r="L1089" t="s">
        <v>776</v>
      </c>
      <c r="M1089" t="s">
        <v>1755</v>
      </c>
      <c r="N1089" t="b">
        <v>0</v>
      </c>
    </row>
    <row r="1090" spans="1:14">
      <c r="A1090">
        <v>65</v>
      </c>
      <c r="B1090">
        <v>18</v>
      </c>
      <c r="C1090" t="s">
        <v>207</v>
      </c>
      <c r="D1090" t="s">
        <v>754</v>
      </c>
      <c r="E1090" t="s">
        <v>117</v>
      </c>
      <c r="F1090">
        <v>50</v>
      </c>
      <c r="G1090" t="s">
        <v>678</v>
      </c>
      <c r="H1090" t="s">
        <v>678</v>
      </c>
      <c r="I1090" t="s">
        <v>117</v>
      </c>
      <c r="J1090" t="s">
        <v>678</v>
      </c>
      <c r="K1090" t="s">
        <v>678</v>
      </c>
      <c r="L1090" t="s">
        <v>678</v>
      </c>
      <c r="M1090" t="s">
        <v>1756</v>
      </c>
      <c r="N1090" t="b">
        <v>1</v>
      </c>
    </row>
    <row r="1091" spans="1:14">
      <c r="A1091">
        <v>65</v>
      </c>
      <c r="B1091">
        <v>19</v>
      </c>
      <c r="C1091" t="s">
        <v>178</v>
      </c>
      <c r="D1091" t="s">
        <v>754</v>
      </c>
      <c r="E1091" t="s">
        <v>102</v>
      </c>
      <c r="F1091">
        <v>60</v>
      </c>
      <c r="G1091" t="s">
        <v>678</v>
      </c>
      <c r="H1091" t="s">
        <v>678</v>
      </c>
      <c r="I1091" t="s">
        <v>102</v>
      </c>
      <c r="J1091" t="s">
        <v>678</v>
      </c>
      <c r="K1091" t="s">
        <v>678</v>
      </c>
      <c r="L1091" t="s">
        <v>678</v>
      </c>
      <c r="M1091" t="s">
        <v>1757</v>
      </c>
      <c r="N1091" t="b">
        <v>0</v>
      </c>
    </row>
    <row r="1092" spans="1:14">
      <c r="A1092">
        <v>65</v>
      </c>
      <c r="B1092">
        <v>20</v>
      </c>
      <c r="C1092" t="s">
        <v>186</v>
      </c>
      <c r="D1092" t="s">
        <v>754</v>
      </c>
      <c r="E1092" t="s">
        <v>104</v>
      </c>
      <c r="F1092">
        <v>40</v>
      </c>
      <c r="G1092" t="s">
        <v>678</v>
      </c>
      <c r="H1092" t="s">
        <v>678</v>
      </c>
      <c r="I1092" t="s">
        <v>104</v>
      </c>
      <c r="J1092" t="s">
        <v>678</v>
      </c>
      <c r="K1092" t="s">
        <v>678</v>
      </c>
      <c r="L1092" t="s">
        <v>678</v>
      </c>
      <c r="M1092" t="s">
        <v>1758</v>
      </c>
      <c r="N1092" t="b">
        <v>0</v>
      </c>
    </row>
    <row r="1093" spans="1:14">
      <c r="A1093">
        <v>65</v>
      </c>
      <c r="B1093">
        <v>21</v>
      </c>
      <c r="C1093" t="s">
        <v>302</v>
      </c>
      <c r="D1093" t="s">
        <v>754</v>
      </c>
      <c r="E1093" t="s">
        <v>111</v>
      </c>
      <c r="F1093">
        <v>60</v>
      </c>
      <c r="G1093" t="s">
        <v>678</v>
      </c>
      <c r="H1093" t="s">
        <v>678</v>
      </c>
      <c r="I1093" t="s">
        <v>111</v>
      </c>
      <c r="J1093" t="s">
        <v>678</v>
      </c>
      <c r="K1093" t="s">
        <v>678</v>
      </c>
      <c r="L1093" t="s">
        <v>678</v>
      </c>
      <c r="M1093" t="s">
        <v>1759</v>
      </c>
      <c r="N1093" t="b">
        <v>0</v>
      </c>
    </row>
    <row r="1094" spans="1:14">
      <c r="A1094">
        <v>65</v>
      </c>
      <c r="B1094">
        <v>22</v>
      </c>
      <c r="C1094" t="s">
        <v>678</v>
      </c>
      <c r="D1094" t="s">
        <v>754</v>
      </c>
      <c r="E1094" t="s">
        <v>678</v>
      </c>
      <c r="F1094">
        <v>0</v>
      </c>
      <c r="G1094" t="s">
        <v>678</v>
      </c>
      <c r="H1094" t="s">
        <v>678</v>
      </c>
      <c r="I1094" t="s">
        <v>678</v>
      </c>
      <c r="J1094" t="s">
        <v>678</v>
      </c>
      <c r="K1094" t="s">
        <v>678</v>
      </c>
      <c r="L1094" t="s">
        <v>678</v>
      </c>
      <c r="M1094" t="s">
        <v>1760</v>
      </c>
      <c r="N1094" t="b">
        <v>0</v>
      </c>
    </row>
    <row r="1095" spans="1:14">
      <c r="A1095">
        <v>65</v>
      </c>
      <c r="B1095">
        <v>23</v>
      </c>
      <c r="C1095" t="s">
        <v>678</v>
      </c>
      <c r="D1095" t="s">
        <v>754</v>
      </c>
      <c r="E1095" t="s">
        <v>678</v>
      </c>
      <c r="F1095">
        <v>0</v>
      </c>
      <c r="G1095" t="s">
        <v>678</v>
      </c>
      <c r="H1095" t="s">
        <v>678</v>
      </c>
      <c r="I1095" t="s">
        <v>678</v>
      </c>
      <c r="J1095" t="s">
        <v>678</v>
      </c>
      <c r="K1095" t="s">
        <v>678</v>
      </c>
      <c r="L1095" t="s">
        <v>678</v>
      </c>
      <c r="M1095" t="s">
        <v>1761</v>
      </c>
      <c r="N1095" t="b">
        <v>0</v>
      </c>
    </row>
    <row r="1096" spans="1:14">
      <c r="A1096">
        <v>65</v>
      </c>
      <c r="B1096">
        <v>24</v>
      </c>
      <c r="C1096" t="s">
        <v>678</v>
      </c>
      <c r="D1096" t="s">
        <v>754</v>
      </c>
      <c r="E1096" t="s">
        <v>678</v>
      </c>
      <c r="F1096">
        <v>0</v>
      </c>
      <c r="G1096" t="s">
        <v>678</v>
      </c>
      <c r="H1096" t="s">
        <v>678</v>
      </c>
      <c r="I1096" t="s">
        <v>678</v>
      </c>
      <c r="J1096" t="s">
        <v>678</v>
      </c>
      <c r="K1096" t="s">
        <v>678</v>
      </c>
      <c r="L1096" t="s">
        <v>678</v>
      </c>
      <c r="M1096" t="s">
        <v>1762</v>
      </c>
      <c r="N1096" t="b">
        <v>0</v>
      </c>
    </row>
    <row r="1097" spans="1:14">
      <c r="A1097">
        <v>65</v>
      </c>
      <c r="B1097">
        <v>25</v>
      </c>
      <c r="C1097" t="s">
        <v>678</v>
      </c>
      <c r="D1097" t="s">
        <v>754</v>
      </c>
      <c r="E1097" t="s">
        <v>678</v>
      </c>
      <c r="F1097">
        <v>0</v>
      </c>
      <c r="G1097" t="s">
        <v>678</v>
      </c>
      <c r="H1097" t="s">
        <v>678</v>
      </c>
      <c r="I1097" t="s">
        <v>678</v>
      </c>
      <c r="J1097" t="s">
        <v>678</v>
      </c>
      <c r="K1097" t="s">
        <v>678</v>
      </c>
      <c r="L1097" t="s">
        <v>678</v>
      </c>
      <c r="M1097" t="s">
        <v>1763</v>
      </c>
      <c r="N1097" t="b">
        <v>0</v>
      </c>
    </row>
    <row r="1098" spans="1:14">
      <c r="A1098">
        <v>65</v>
      </c>
      <c r="B1098">
        <v>26</v>
      </c>
      <c r="C1098" t="s">
        <v>678</v>
      </c>
      <c r="D1098" t="s">
        <v>754</v>
      </c>
      <c r="E1098" t="s">
        <v>678</v>
      </c>
      <c r="F1098">
        <v>0</v>
      </c>
      <c r="G1098" t="s">
        <v>678</v>
      </c>
      <c r="H1098" t="s">
        <v>678</v>
      </c>
      <c r="I1098" t="s">
        <v>678</v>
      </c>
      <c r="J1098" t="s">
        <v>678</v>
      </c>
      <c r="K1098" t="s">
        <v>678</v>
      </c>
      <c r="L1098" t="s">
        <v>678</v>
      </c>
      <c r="M1098" t="s">
        <v>1764</v>
      </c>
      <c r="N1098" t="b">
        <v>0</v>
      </c>
    </row>
    <row r="1099" spans="1:14">
      <c r="A1099">
        <v>66</v>
      </c>
      <c r="B1099">
        <v>0</v>
      </c>
      <c r="C1099" t="s">
        <v>195</v>
      </c>
      <c r="D1099" t="s">
        <v>737</v>
      </c>
      <c r="E1099" t="s">
        <v>67</v>
      </c>
      <c r="F1099">
        <v>50</v>
      </c>
      <c r="G1099" t="s">
        <v>678</v>
      </c>
      <c r="H1099" t="s">
        <v>678</v>
      </c>
      <c r="I1099" t="s">
        <v>67</v>
      </c>
      <c r="J1099" t="s">
        <v>678</v>
      </c>
      <c r="K1099" t="s">
        <v>678</v>
      </c>
      <c r="L1099" t="s">
        <v>678</v>
      </c>
      <c r="M1099" t="s">
        <v>1765</v>
      </c>
      <c r="N1099" t="b">
        <v>0</v>
      </c>
    </row>
    <row r="1100" spans="1:14">
      <c r="A1100">
        <v>66</v>
      </c>
      <c r="B1100">
        <v>1</v>
      </c>
      <c r="C1100" t="s">
        <v>227</v>
      </c>
      <c r="D1100" t="s">
        <v>737</v>
      </c>
      <c r="E1100" t="s">
        <v>79</v>
      </c>
      <c r="F1100">
        <v>60</v>
      </c>
      <c r="G1100" t="s">
        <v>678</v>
      </c>
      <c r="H1100" t="s">
        <v>678</v>
      </c>
      <c r="I1100" t="s">
        <v>79</v>
      </c>
      <c r="J1100" t="s">
        <v>678</v>
      </c>
      <c r="K1100" t="s">
        <v>678</v>
      </c>
      <c r="L1100" t="s">
        <v>678</v>
      </c>
      <c r="M1100" t="s">
        <v>1766</v>
      </c>
      <c r="N1100" t="b">
        <v>0</v>
      </c>
    </row>
    <row r="1101" spans="1:14">
      <c r="A1101">
        <v>66</v>
      </c>
      <c r="B1101">
        <v>2</v>
      </c>
      <c r="C1101" t="s">
        <v>228</v>
      </c>
      <c r="D1101" t="s">
        <v>737</v>
      </c>
      <c r="E1101" t="s">
        <v>99</v>
      </c>
      <c r="F1101">
        <v>40</v>
      </c>
      <c r="G1101" t="s">
        <v>678</v>
      </c>
      <c r="H1101" t="s">
        <v>678</v>
      </c>
      <c r="I1101" t="s">
        <v>99</v>
      </c>
      <c r="J1101" t="s">
        <v>678</v>
      </c>
      <c r="K1101" t="s">
        <v>678</v>
      </c>
      <c r="L1101" t="s">
        <v>678</v>
      </c>
      <c r="M1101" t="s">
        <v>1767</v>
      </c>
      <c r="N1101" t="b">
        <v>0</v>
      </c>
    </row>
    <row r="1102" spans="1:14">
      <c r="A1102">
        <v>66</v>
      </c>
      <c r="B1102">
        <v>3</v>
      </c>
      <c r="C1102" t="s">
        <v>229</v>
      </c>
      <c r="D1102" t="s">
        <v>737</v>
      </c>
      <c r="E1102" t="s">
        <v>105</v>
      </c>
      <c r="F1102">
        <v>60</v>
      </c>
      <c r="G1102" t="s">
        <v>678</v>
      </c>
      <c r="H1102" t="s">
        <v>678</v>
      </c>
      <c r="I1102" t="s">
        <v>105</v>
      </c>
      <c r="J1102" t="s">
        <v>678</v>
      </c>
      <c r="K1102" t="s">
        <v>678</v>
      </c>
      <c r="L1102" t="s">
        <v>678</v>
      </c>
      <c r="M1102" t="s">
        <v>1768</v>
      </c>
      <c r="N1102" t="b">
        <v>0</v>
      </c>
    </row>
    <row r="1103" spans="1:14">
      <c r="A1103">
        <v>66</v>
      </c>
      <c r="B1103">
        <v>4</v>
      </c>
      <c r="C1103" t="s">
        <v>207</v>
      </c>
      <c r="D1103" t="s">
        <v>737</v>
      </c>
      <c r="E1103" t="s">
        <v>117</v>
      </c>
      <c r="F1103">
        <v>50</v>
      </c>
      <c r="G1103" t="s">
        <v>678</v>
      </c>
      <c r="H1103" t="s">
        <v>678</v>
      </c>
      <c r="I1103" t="s">
        <v>117</v>
      </c>
      <c r="J1103" t="s">
        <v>678</v>
      </c>
      <c r="K1103" t="s">
        <v>678</v>
      </c>
      <c r="L1103" t="s">
        <v>678</v>
      </c>
      <c r="M1103" t="s">
        <v>1769</v>
      </c>
      <c r="N1103" t="b">
        <v>0</v>
      </c>
    </row>
    <row r="1104" spans="1:14">
      <c r="A1104">
        <v>66</v>
      </c>
      <c r="B1104">
        <v>5</v>
      </c>
      <c r="C1104" t="s">
        <v>230</v>
      </c>
      <c r="D1104" t="s">
        <v>737</v>
      </c>
      <c r="E1104" t="s">
        <v>70</v>
      </c>
      <c r="F1104">
        <v>50</v>
      </c>
      <c r="G1104" t="s">
        <v>678</v>
      </c>
      <c r="H1104" t="s">
        <v>678</v>
      </c>
      <c r="I1104" t="s">
        <v>70</v>
      </c>
      <c r="J1104" t="s">
        <v>678</v>
      </c>
      <c r="K1104" t="s">
        <v>678</v>
      </c>
      <c r="L1104" t="s">
        <v>678</v>
      </c>
      <c r="M1104" t="s">
        <v>1770</v>
      </c>
      <c r="N1104" t="b">
        <v>0</v>
      </c>
    </row>
    <row r="1105" spans="1:14">
      <c r="A1105">
        <v>66</v>
      </c>
      <c r="B1105">
        <v>6</v>
      </c>
      <c r="C1105" t="s">
        <v>231</v>
      </c>
      <c r="D1105" t="s">
        <v>737</v>
      </c>
      <c r="E1105" t="s">
        <v>342</v>
      </c>
      <c r="F1105">
        <v>60</v>
      </c>
      <c r="G1105" t="s">
        <v>678</v>
      </c>
      <c r="H1105" t="s">
        <v>559</v>
      </c>
      <c r="I1105" t="s">
        <v>456</v>
      </c>
      <c r="J1105" t="s">
        <v>678</v>
      </c>
      <c r="K1105" t="s">
        <v>934</v>
      </c>
      <c r="L1105" t="s">
        <v>935</v>
      </c>
      <c r="M1105" t="s">
        <v>1771</v>
      </c>
      <c r="N1105" t="b">
        <v>0</v>
      </c>
    </row>
    <row r="1106" spans="1:14">
      <c r="A1106">
        <v>66</v>
      </c>
      <c r="B1106">
        <v>7</v>
      </c>
      <c r="C1106" t="s">
        <v>176</v>
      </c>
      <c r="D1106" t="s">
        <v>737</v>
      </c>
      <c r="E1106" t="s">
        <v>76</v>
      </c>
      <c r="F1106">
        <v>50</v>
      </c>
      <c r="G1106" t="s">
        <v>678</v>
      </c>
      <c r="H1106" t="s">
        <v>678</v>
      </c>
      <c r="I1106" t="s">
        <v>76</v>
      </c>
      <c r="J1106" t="s">
        <v>678</v>
      </c>
      <c r="K1106" t="s">
        <v>678</v>
      </c>
      <c r="L1106" t="s">
        <v>678</v>
      </c>
      <c r="M1106" t="s">
        <v>1772</v>
      </c>
      <c r="N1106" t="b">
        <v>0</v>
      </c>
    </row>
    <row r="1107" spans="1:14">
      <c r="A1107">
        <v>66</v>
      </c>
      <c r="B1107">
        <v>8</v>
      </c>
      <c r="C1107" t="s">
        <v>172</v>
      </c>
      <c r="D1107" t="s">
        <v>737</v>
      </c>
      <c r="E1107" t="s">
        <v>80</v>
      </c>
      <c r="F1107">
        <v>40</v>
      </c>
      <c r="G1107" t="s">
        <v>678</v>
      </c>
      <c r="H1107" t="s">
        <v>678</v>
      </c>
      <c r="I1107" t="s">
        <v>80</v>
      </c>
      <c r="J1107" t="s">
        <v>678</v>
      </c>
      <c r="K1107" t="s">
        <v>678</v>
      </c>
      <c r="L1107" t="s">
        <v>678</v>
      </c>
      <c r="M1107" t="s">
        <v>1773</v>
      </c>
      <c r="N1107" t="b">
        <v>0</v>
      </c>
    </row>
    <row r="1108" spans="1:14">
      <c r="A1108">
        <v>66</v>
      </c>
      <c r="B1108">
        <v>9</v>
      </c>
      <c r="C1108" t="s">
        <v>399</v>
      </c>
      <c r="D1108" t="s">
        <v>737</v>
      </c>
      <c r="E1108" t="s">
        <v>369</v>
      </c>
      <c r="F1108">
        <v>40</v>
      </c>
      <c r="G1108" t="s">
        <v>678</v>
      </c>
      <c r="H1108" t="s">
        <v>574</v>
      </c>
      <c r="I1108" t="s">
        <v>1636</v>
      </c>
      <c r="J1108" t="s">
        <v>678</v>
      </c>
      <c r="K1108" t="s">
        <v>1177</v>
      </c>
      <c r="L1108" t="s">
        <v>1178</v>
      </c>
      <c r="M1108" t="s">
        <v>1774</v>
      </c>
      <c r="N1108" t="b">
        <v>0</v>
      </c>
    </row>
    <row r="1109" spans="1:14">
      <c r="A1109">
        <v>66</v>
      </c>
      <c r="B1109">
        <v>10</v>
      </c>
      <c r="C1109" t="s">
        <v>232</v>
      </c>
      <c r="D1109" t="s">
        <v>737</v>
      </c>
      <c r="E1109" t="s">
        <v>106</v>
      </c>
      <c r="F1109">
        <v>50</v>
      </c>
      <c r="G1109" t="s">
        <v>678</v>
      </c>
      <c r="H1109" t="s">
        <v>678</v>
      </c>
      <c r="I1109" t="s">
        <v>106</v>
      </c>
      <c r="J1109" t="s">
        <v>678</v>
      </c>
      <c r="K1109" t="s">
        <v>678</v>
      </c>
      <c r="L1109" t="s">
        <v>678</v>
      </c>
      <c r="M1109" t="s">
        <v>1775</v>
      </c>
      <c r="N1109" t="b">
        <v>0</v>
      </c>
    </row>
    <row r="1110" spans="1:14">
      <c r="A1110">
        <v>66</v>
      </c>
      <c r="B1110">
        <v>11</v>
      </c>
      <c r="C1110" t="s">
        <v>179</v>
      </c>
      <c r="D1110" t="s">
        <v>737</v>
      </c>
      <c r="E1110" t="s">
        <v>110</v>
      </c>
      <c r="F1110">
        <v>50</v>
      </c>
      <c r="G1110" t="s">
        <v>678</v>
      </c>
      <c r="H1110" t="s">
        <v>678</v>
      </c>
      <c r="I1110" t="s">
        <v>110</v>
      </c>
      <c r="J1110" t="s">
        <v>678</v>
      </c>
      <c r="K1110" t="s">
        <v>678</v>
      </c>
      <c r="L1110" t="s">
        <v>678</v>
      </c>
      <c r="M1110" t="s">
        <v>1776</v>
      </c>
      <c r="N1110" t="b">
        <v>0</v>
      </c>
    </row>
    <row r="1111" spans="1:14">
      <c r="A1111">
        <v>66</v>
      </c>
      <c r="B1111">
        <v>12</v>
      </c>
      <c r="C1111" t="s">
        <v>233</v>
      </c>
      <c r="D1111" t="s">
        <v>737</v>
      </c>
      <c r="E1111" t="s">
        <v>111</v>
      </c>
      <c r="F1111">
        <v>50</v>
      </c>
      <c r="G1111" t="s">
        <v>678</v>
      </c>
      <c r="H1111" t="s">
        <v>678</v>
      </c>
      <c r="I1111" t="s">
        <v>111</v>
      </c>
      <c r="J1111" t="s">
        <v>678</v>
      </c>
      <c r="K1111" t="s">
        <v>678</v>
      </c>
      <c r="L1111" t="s">
        <v>678</v>
      </c>
      <c r="M1111" t="s">
        <v>1777</v>
      </c>
      <c r="N1111" t="b">
        <v>0</v>
      </c>
    </row>
    <row r="1112" spans="1:14">
      <c r="A1112">
        <v>66</v>
      </c>
      <c r="B1112">
        <v>13</v>
      </c>
      <c r="C1112" t="s">
        <v>204</v>
      </c>
      <c r="D1112" t="s">
        <v>737</v>
      </c>
      <c r="E1112" t="s">
        <v>112</v>
      </c>
      <c r="F1112">
        <v>60</v>
      </c>
      <c r="G1112" t="s">
        <v>678</v>
      </c>
      <c r="H1112" t="s">
        <v>678</v>
      </c>
      <c r="I1112" t="s">
        <v>112</v>
      </c>
      <c r="J1112" t="s">
        <v>678</v>
      </c>
      <c r="K1112" t="s">
        <v>678</v>
      </c>
      <c r="L1112" t="s">
        <v>678</v>
      </c>
      <c r="M1112" t="s">
        <v>1778</v>
      </c>
      <c r="N1112" t="b">
        <v>0</v>
      </c>
    </row>
    <row r="1113" spans="1:14">
      <c r="A1113">
        <v>66</v>
      </c>
      <c r="B1113">
        <v>14</v>
      </c>
      <c r="C1113" t="s">
        <v>678</v>
      </c>
      <c r="D1113" t="s">
        <v>737</v>
      </c>
      <c r="E1113" t="s">
        <v>678</v>
      </c>
      <c r="F1113">
        <v>0</v>
      </c>
      <c r="G1113" t="s">
        <v>678</v>
      </c>
      <c r="H1113" t="s">
        <v>678</v>
      </c>
      <c r="I1113" t="s">
        <v>678</v>
      </c>
      <c r="J1113" t="s">
        <v>678</v>
      </c>
      <c r="K1113" t="s">
        <v>678</v>
      </c>
      <c r="L1113" t="s">
        <v>678</v>
      </c>
      <c r="M1113" t="s">
        <v>1779</v>
      </c>
      <c r="N1113" t="b">
        <v>0</v>
      </c>
    </row>
    <row r="1114" spans="1:14">
      <c r="A1114">
        <v>66</v>
      </c>
      <c r="B1114">
        <v>15</v>
      </c>
      <c r="C1114" t="s">
        <v>678</v>
      </c>
      <c r="D1114" t="s">
        <v>737</v>
      </c>
      <c r="E1114" t="s">
        <v>678</v>
      </c>
      <c r="F1114">
        <v>0</v>
      </c>
      <c r="G1114" t="s">
        <v>678</v>
      </c>
      <c r="H1114" t="s">
        <v>678</v>
      </c>
      <c r="I1114" t="s">
        <v>678</v>
      </c>
      <c r="J1114" t="s">
        <v>678</v>
      </c>
      <c r="K1114" t="s">
        <v>678</v>
      </c>
      <c r="L1114" t="s">
        <v>678</v>
      </c>
      <c r="M1114" t="s">
        <v>1780</v>
      </c>
      <c r="N1114" t="b">
        <v>0</v>
      </c>
    </row>
    <row r="1115" spans="1:14">
      <c r="A1115">
        <v>66</v>
      </c>
      <c r="B1115">
        <v>16</v>
      </c>
      <c r="C1115" t="s">
        <v>678</v>
      </c>
      <c r="D1115" t="s">
        <v>754</v>
      </c>
      <c r="E1115" t="s">
        <v>678</v>
      </c>
      <c r="F1115">
        <v>0</v>
      </c>
      <c r="G1115" t="s">
        <v>678</v>
      </c>
      <c r="H1115" t="s">
        <v>678</v>
      </c>
      <c r="I1115" t="s">
        <v>678</v>
      </c>
      <c r="J1115" t="s">
        <v>678</v>
      </c>
      <c r="K1115" t="s">
        <v>678</v>
      </c>
      <c r="L1115" t="s">
        <v>678</v>
      </c>
      <c r="M1115" t="s">
        <v>1781</v>
      </c>
      <c r="N1115" t="b">
        <v>0</v>
      </c>
    </row>
    <row r="1116" spans="1:14">
      <c r="A1116">
        <v>66</v>
      </c>
      <c r="B1116">
        <v>17</v>
      </c>
      <c r="C1116" t="s">
        <v>678</v>
      </c>
      <c r="D1116" t="s">
        <v>754</v>
      </c>
      <c r="E1116" t="s">
        <v>678</v>
      </c>
      <c r="F1116">
        <v>0</v>
      </c>
      <c r="G1116" t="s">
        <v>678</v>
      </c>
      <c r="H1116" t="s">
        <v>678</v>
      </c>
      <c r="I1116" t="s">
        <v>678</v>
      </c>
      <c r="J1116" t="s">
        <v>678</v>
      </c>
      <c r="K1116" t="s">
        <v>678</v>
      </c>
      <c r="L1116" t="s">
        <v>678</v>
      </c>
      <c r="M1116" t="s">
        <v>1782</v>
      </c>
      <c r="N1116" t="b">
        <v>0</v>
      </c>
    </row>
    <row r="1117" spans="1:14">
      <c r="A1117">
        <v>66</v>
      </c>
      <c r="B1117">
        <v>18</v>
      </c>
      <c r="C1117" t="s">
        <v>678</v>
      </c>
      <c r="D1117" t="s">
        <v>754</v>
      </c>
      <c r="E1117" t="s">
        <v>678</v>
      </c>
      <c r="F1117">
        <v>0</v>
      </c>
      <c r="G1117" t="s">
        <v>678</v>
      </c>
      <c r="H1117" t="s">
        <v>678</v>
      </c>
      <c r="I1117" t="s">
        <v>678</v>
      </c>
      <c r="J1117" t="s">
        <v>678</v>
      </c>
      <c r="K1117" t="s">
        <v>678</v>
      </c>
      <c r="L1117" t="s">
        <v>678</v>
      </c>
      <c r="M1117" t="s">
        <v>1783</v>
      </c>
      <c r="N1117" t="b">
        <v>0</v>
      </c>
    </row>
    <row r="1118" spans="1:14">
      <c r="A1118">
        <v>66</v>
      </c>
      <c r="B1118">
        <v>19</v>
      </c>
      <c r="C1118" t="s">
        <v>678</v>
      </c>
      <c r="D1118" t="s">
        <v>754</v>
      </c>
      <c r="E1118" t="s">
        <v>678</v>
      </c>
      <c r="F1118">
        <v>0</v>
      </c>
      <c r="G1118" t="s">
        <v>678</v>
      </c>
      <c r="H1118" t="s">
        <v>678</v>
      </c>
      <c r="I1118" t="s">
        <v>678</v>
      </c>
      <c r="J1118" t="s">
        <v>678</v>
      </c>
      <c r="K1118" t="s">
        <v>678</v>
      </c>
      <c r="L1118" t="s">
        <v>678</v>
      </c>
      <c r="M1118" t="s">
        <v>1784</v>
      </c>
      <c r="N1118" t="b">
        <v>0</v>
      </c>
    </row>
    <row r="1119" spans="1:14">
      <c r="A1119">
        <v>66</v>
      </c>
      <c r="B1119">
        <v>20</v>
      </c>
      <c r="C1119" t="s">
        <v>678</v>
      </c>
      <c r="D1119" t="s">
        <v>754</v>
      </c>
      <c r="E1119" t="s">
        <v>678</v>
      </c>
      <c r="F1119">
        <v>0</v>
      </c>
      <c r="G1119" t="s">
        <v>678</v>
      </c>
      <c r="H1119" t="s">
        <v>678</v>
      </c>
      <c r="I1119" t="s">
        <v>678</v>
      </c>
      <c r="J1119" t="s">
        <v>678</v>
      </c>
      <c r="K1119" t="s">
        <v>678</v>
      </c>
      <c r="L1119" t="s">
        <v>678</v>
      </c>
      <c r="M1119" t="s">
        <v>1785</v>
      </c>
      <c r="N1119" t="b">
        <v>0</v>
      </c>
    </row>
    <row r="1120" spans="1:14">
      <c r="A1120">
        <v>66</v>
      </c>
      <c r="B1120">
        <v>21</v>
      </c>
      <c r="C1120" t="s">
        <v>678</v>
      </c>
      <c r="D1120" t="s">
        <v>754</v>
      </c>
      <c r="E1120" t="s">
        <v>678</v>
      </c>
      <c r="F1120">
        <v>0</v>
      </c>
      <c r="G1120" t="s">
        <v>678</v>
      </c>
      <c r="H1120" t="s">
        <v>678</v>
      </c>
      <c r="I1120" t="s">
        <v>678</v>
      </c>
      <c r="J1120" t="s">
        <v>678</v>
      </c>
      <c r="K1120" t="s">
        <v>678</v>
      </c>
      <c r="L1120" t="s">
        <v>678</v>
      </c>
      <c r="M1120" t="s">
        <v>1786</v>
      </c>
      <c r="N1120" t="b">
        <v>0</v>
      </c>
    </row>
    <row r="1121" spans="1:14">
      <c r="A1121">
        <v>66</v>
      </c>
      <c r="B1121">
        <v>22</v>
      </c>
      <c r="C1121" t="s">
        <v>678</v>
      </c>
      <c r="D1121" t="s">
        <v>754</v>
      </c>
      <c r="E1121" t="s">
        <v>678</v>
      </c>
      <c r="F1121">
        <v>0</v>
      </c>
      <c r="G1121" t="s">
        <v>678</v>
      </c>
      <c r="H1121" t="s">
        <v>678</v>
      </c>
      <c r="I1121" t="s">
        <v>678</v>
      </c>
      <c r="J1121" t="s">
        <v>678</v>
      </c>
      <c r="K1121" t="s">
        <v>678</v>
      </c>
      <c r="L1121" t="s">
        <v>678</v>
      </c>
      <c r="M1121" t="s">
        <v>1787</v>
      </c>
      <c r="N1121" t="b">
        <v>0</v>
      </c>
    </row>
    <row r="1122" spans="1:14">
      <c r="A1122">
        <v>66</v>
      </c>
      <c r="B1122">
        <v>23</v>
      </c>
      <c r="C1122" t="s">
        <v>678</v>
      </c>
      <c r="D1122" t="s">
        <v>754</v>
      </c>
      <c r="E1122" t="s">
        <v>678</v>
      </c>
      <c r="F1122">
        <v>0</v>
      </c>
      <c r="G1122" t="s">
        <v>678</v>
      </c>
      <c r="H1122" t="s">
        <v>678</v>
      </c>
      <c r="I1122" t="s">
        <v>678</v>
      </c>
      <c r="J1122" t="s">
        <v>678</v>
      </c>
      <c r="K1122" t="s">
        <v>678</v>
      </c>
      <c r="L1122" t="s">
        <v>678</v>
      </c>
      <c r="M1122" t="s">
        <v>1788</v>
      </c>
      <c r="N1122" t="b">
        <v>0</v>
      </c>
    </row>
    <row r="1123" spans="1:14">
      <c r="A1123">
        <v>66</v>
      </c>
      <c r="B1123">
        <v>24</v>
      </c>
      <c r="C1123" t="s">
        <v>678</v>
      </c>
      <c r="D1123" t="s">
        <v>754</v>
      </c>
      <c r="E1123" t="s">
        <v>678</v>
      </c>
      <c r="F1123">
        <v>0</v>
      </c>
      <c r="G1123" t="s">
        <v>678</v>
      </c>
      <c r="H1123" t="s">
        <v>678</v>
      </c>
      <c r="I1123" t="s">
        <v>678</v>
      </c>
      <c r="J1123" t="s">
        <v>678</v>
      </c>
      <c r="K1123" t="s">
        <v>678</v>
      </c>
      <c r="L1123" t="s">
        <v>678</v>
      </c>
      <c r="M1123" t="s">
        <v>1789</v>
      </c>
      <c r="N1123" t="b">
        <v>0</v>
      </c>
    </row>
    <row r="1124" spans="1:14">
      <c r="A1124">
        <v>66</v>
      </c>
      <c r="B1124">
        <v>25</v>
      </c>
      <c r="C1124" t="s">
        <v>678</v>
      </c>
      <c r="D1124" t="s">
        <v>754</v>
      </c>
      <c r="E1124" t="s">
        <v>678</v>
      </c>
      <c r="F1124">
        <v>0</v>
      </c>
      <c r="G1124" t="s">
        <v>678</v>
      </c>
      <c r="H1124" t="s">
        <v>678</v>
      </c>
      <c r="I1124" t="s">
        <v>678</v>
      </c>
      <c r="J1124" t="s">
        <v>678</v>
      </c>
      <c r="K1124" t="s">
        <v>678</v>
      </c>
      <c r="L1124" t="s">
        <v>678</v>
      </c>
      <c r="M1124" t="s">
        <v>1790</v>
      </c>
      <c r="N1124" t="b">
        <v>0</v>
      </c>
    </row>
    <row r="1125" spans="1:14">
      <c r="A1125">
        <v>66</v>
      </c>
      <c r="B1125">
        <v>26</v>
      </c>
      <c r="C1125" t="s">
        <v>678</v>
      </c>
      <c r="D1125" t="s">
        <v>754</v>
      </c>
      <c r="E1125" t="s">
        <v>678</v>
      </c>
      <c r="F1125">
        <v>0</v>
      </c>
      <c r="G1125" t="s">
        <v>678</v>
      </c>
      <c r="H1125" t="s">
        <v>678</v>
      </c>
      <c r="I1125" t="s">
        <v>678</v>
      </c>
      <c r="J1125" t="s">
        <v>678</v>
      </c>
      <c r="K1125" t="s">
        <v>678</v>
      </c>
      <c r="L1125" t="s">
        <v>678</v>
      </c>
      <c r="M1125" t="s">
        <v>1791</v>
      </c>
      <c r="N1125" t="b">
        <v>0</v>
      </c>
    </row>
    <row r="1126" spans="1:14">
      <c r="A1126">
        <v>68</v>
      </c>
      <c r="B1126">
        <v>0</v>
      </c>
      <c r="C1126" t="s">
        <v>226</v>
      </c>
      <c r="D1126" t="s">
        <v>737</v>
      </c>
      <c r="E1126" t="s">
        <v>67</v>
      </c>
      <c r="F1126">
        <v>60</v>
      </c>
      <c r="G1126" t="s">
        <v>678</v>
      </c>
      <c r="H1126" t="s">
        <v>678</v>
      </c>
      <c r="I1126" t="s">
        <v>67</v>
      </c>
      <c r="J1126" t="s">
        <v>678</v>
      </c>
      <c r="K1126" t="s">
        <v>678</v>
      </c>
      <c r="L1126" t="s">
        <v>678</v>
      </c>
      <c r="M1126" t="s">
        <v>1792</v>
      </c>
      <c r="N1126" t="b">
        <v>0</v>
      </c>
    </row>
    <row r="1127" spans="1:14">
      <c r="A1127">
        <v>68</v>
      </c>
      <c r="B1127">
        <v>1</v>
      </c>
      <c r="C1127" t="s">
        <v>236</v>
      </c>
      <c r="D1127" t="s">
        <v>737</v>
      </c>
      <c r="E1127" t="s">
        <v>79</v>
      </c>
      <c r="F1127">
        <v>50</v>
      </c>
      <c r="G1127" t="s">
        <v>678</v>
      </c>
      <c r="H1127" t="s">
        <v>678</v>
      </c>
      <c r="I1127" t="s">
        <v>79</v>
      </c>
      <c r="J1127" t="s">
        <v>678</v>
      </c>
      <c r="K1127" t="s">
        <v>678</v>
      </c>
      <c r="L1127" t="s">
        <v>678</v>
      </c>
      <c r="M1127" t="s">
        <v>1793</v>
      </c>
      <c r="N1127" t="b">
        <v>0</v>
      </c>
    </row>
    <row r="1128" spans="1:14">
      <c r="A1128">
        <v>68</v>
      </c>
      <c r="B1128">
        <v>2</v>
      </c>
      <c r="C1128" t="s">
        <v>228</v>
      </c>
      <c r="D1128" t="s">
        <v>737</v>
      </c>
      <c r="E1128" t="s">
        <v>99</v>
      </c>
      <c r="F1128">
        <v>40</v>
      </c>
      <c r="G1128" t="s">
        <v>678</v>
      </c>
      <c r="H1128" t="s">
        <v>678</v>
      </c>
      <c r="I1128" t="s">
        <v>99</v>
      </c>
      <c r="J1128" t="s">
        <v>678</v>
      </c>
      <c r="K1128" t="s">
        <v>678</v>
      </c>
      <c r="L1128" t="s">
        <v>678</v>
      </c>
      <c r="M1128" t="s">
        <v>1794</v>
      </c>
      <c r="N1128" t="b">
        <v>0</v>
      </c>
    </row>
    <row r="1129" spans="1:14">
      <c r="A1129">
        <v>68</v>
      </c>
      <c r="B1129">
        <v>3</v>
      </c>
      <c r="C1129" t="s">
        <v>229</v>
      </c>
      <c r="D1129" t="s">
        <v>737</v>
      </c>
      <c r="E1129" t="s">
        <v>105</v>
      </c>
      <c r="F1129">
        <v>60</v>
      </c>
      <c r="G1129" t="s">
        <v>678</v>
      </c>
      <c r="H1129" t="s">
        <v>678</v>
      </c>
      <c r="I1129" t="s">
        <v>105</v>
      </c>
      <c r="J1129" t="s">
        <v>678</v>
      </c>
      <c r="K1129" t="s">
        <v>678</v>
      </c>
      <c r="L1129" t="s">
        <v>678</v>
      </c>
      <c r="M1129" t="s">
        <v>1795</v>
      </c>
      <c r="N1129" t="b">
        <v>0</v>
      </c>
    </row>
    <row r="1130" spans="1:14">
      <c r="A1130">
        <v>68</v>
      </c>
      <c r="B1130">
        <v>4</v>
      </c>
      <c r="C1130" t="s">
        <v>169</v>
      </c>
      <c r="D1130" t="s">
        <v>766</v>
      </c>
      <c r="E1130" t="s">
        <v>308</v>
      </c>
      <c r="F1130">
        <v>40</v>
      </c>
      <c r="G1130" t="s">
        <v>773</v>
      </c>
      <c r="H1130" t="s">
        <v>678</v>
      </c>
      <c r="I1130" t="s">
        <v>678</v>
      </c>
      <c r="J1130" t="s">
        <v>774</v>
      </c>
      <c r="K1130" t="s">
        <v>775</v>
      </c>
      <c r="L1130" t="s">
        <v>776</v>
      </c>
      <c r="M1130" t="s">
        <v>1796</v>
      </c>
      <c r="N1130" t="b">
        <v>0</v>
      </c>
    </row>
    <row r="1131" spans="1:14">
      <c r="A1131">
        <v>68</v>
      </c>
      <c r="B1131">
        <v>5</v>
      </c>
      <c r="C1131" t="s">
        <v>207</v>
      </c>
      <c r="D1131" t="s">
        <v>737</v>
      </c>
      <c r="E1131" t="s">
        <v>117</v>
      </c>
      <c r="F1131">
        <v>50</v>
      </c>
      <c r="G1131" t="s">
        <v>678</v>
      </c>
      <c r="H1131" t="s">
        <v>678</v>
      </c>
      <c r="I1131" t="s">
        <v>117</v>
      </c>
      <c r="J1131" t="s">
        <v>678</v>
      </c>
      <c r="K1131" t="s">
        <v>678</v>
      </c>
      <c r="L1131" t="s">
        <v>678</v>
      </c>
      <c r="M1131" t="s">
        <v>1797</v>
      </c>
      <c r="N1131" t="b">
        <v>0</v>
      </c>
    </row>
    <row r="1132" spans="1:14">
      <c r="A1132">
        <v>68</v>
      </c>
      <c r="B1132">
        <v>6</v>
      </c>
      <c r="C1132" t="s">
        <v>328</v>
      </c>
      <c r="D1132" t="s">
        <v>737</v>
      </c>
      <c r="E1132" t="s">
        <v>119</v>
      </c>
      <c r="F1132">
        <v>30</v>
      </c>
      <c r="G1132" t="s">
        <v>678</v>
      </c>
      <c r="H1132" t="s">
        <v>678</v>
      </c>
      <c r="I1132" t="s">
        <v>119</v>
      </c>
      <c r="J1132" t="s">
        <v>678</v>
      </c>
      <c r="K1132" t="s">
        <v>678</v>
      </c>
      <c r="L1132" t="s">
        <v>678</v>
      </c>
      <c r="M1132" t="s">
        <v>1798</v>
      </c>
      <c r="N1132" t="b">
        <v>0</v>
      </c>
    </row>
    <row r="1133" spans="1:14">
      <c r="A1133">
        <v>68</v>
      </c>
      <c r="B1133">
        <v>7</v>
      </c>
      <c r="C1133" t="s">
        <v>230</v>
      </c>
      <c r="D1133" t="s">
        <v>737</v>
      </c>
      <c r="E1133" t="s">
        <v>70</v>
      </c>
      <c r="F1133">
        <v>50</v>
      </c>
      <c r="G1133" t="s">
        <v>678</v>
      </c>
      <c r="H1133" t="s">
        <v>678</v>
      </c>
      <c r="I1133" t="s">
        <v>70</v>
      </c>
      <c r="J1133" t="s">
        <v>678</v>
      </c>
      <c r="K1133" t="s">
        <v>678</v>
      </c>
      <c r="L1133" t="s">
        <v>678</v>
      </c>
      <c r="M1133" t="s">
        <v>1799</v>
      </c>
      <c r="N1133" t="b">
        <v>0</v>
      </c>
    </row>
    <row r="1134" spans="1:14">
      <c r="A1134">
        <v>68</v>
      </c>
      <c r="B1134">
        <v>8</v>
      </c>
      <c r="C1134" t="s">
        <v>417</v>
      </c>
      <c r="D1134" t="s">
        <v>737</v>
      </c>
      <c r="E1134" t="s">
        <v>342</v>
      </c>
      <c r="F1134">
        <v>50</v>
      </c>
      <c r="G1134" t="s">
        <v>678</v>
      </c>
      <c r="H1134" t="s">
        <v>559</v>
      </c>
      <c r="I1134" t="s">
        <v>456</v>
      </c>
      <c r="J1134" t="s">
        <v>678</v>
      </c>
      <c r="K1134" t="s">
        <v>934</v>
      </c>
      <c r="L1134" t="s">
        <v>935</v>
      </c>
      <c r="M1134" t="s">
        <v>1800</v>
      </c>
      <c r="N1134" t="b">
        <v>0</v>
      </c>
    </row>
    <row r="1135" spans="1:14">
      <c r="A1135">
        <v>68</v>
      </c>
      <c r="B1135">
        <v>9</v>
      </c>
      <c r="C1135" t="s">
        <v>176</v>
      </c>
      <c r="D1135" t="s">
        <v>737</v>
      </c>
      <c r="E1135" t="s">
        <v>76</v>
      </c>
      <c r="F1135">
        <v>50</v>
      </c>
      <c r="G1135" t="s">
        <v>678</v>
      </c>
      <c r="H1135" t="s">
        <v>678</v>
      </c>
      <c r="I1135" t="s">
        <v>76</v>
      </c>
      <c r="J1135" t="s">
        <v>678</v>
      </c>
      <c r="K1135" t="s">
        <v>678</v>
      </c>
      <c r="L1135" t="s">
        <v>678</v>
      </c>
      <c r="M1135" t="s">
        <v>1801</v>
      </c>
      <c r="N1135" t="b">
        <v>0</v>
      </c>
    </row>
    <row r="1136" spans="1:14">
      <c r="A1136">
        <v>68</v>
      </c>
      <c r="B1136">
        <v>10</v>
      </c>
      <c r="C1136" t="s">
        <v>172</v>
      </c>
      <c r="D1136" t="s">
        <v>737</v>
      </c>
      <c r="E1136" t="s">
        <v>80</v>
      </c>
      <c r="F1136">
        <v>40</v>
      </c>
      <c r="G1136" t="s">
        <v>678</v>
      </c>
      <c r="H1136" t="s">
        <v>678</v>
      </c>
      <c r="I1136" t="s">
        <v>80</v>
      </c>
      <c r="J1136" t="s">
        <v>678</v>
      </c>
      <c r="K1136" t="s">
        <v>678</v>
      </c>
      <c r="L1136" t="s">
        <v>678</v>
      </c>
      <c r="M1136" t="s">
        <v>1802</v>
      </c>
      <c r="N1136" t="b">
        <v>0</v>
      </c>
    </row>
    <row r="1137" spans="1:14">
      <c r="A1137">
        <v>68</v>
      </c>
      <c r="B1137">
        <v>11</v>
      </c>
      <c r="C1137" t="s">
        <v>232</v>
      </c>
      <c r="D1137" t="s">
        <v>737</v>
      </c>
      <c r="E1137" t="s">
        <v>106</v>
      </c>
      <c r="F1137">
        <v>50</v>
      </c>
      <c r="G1137" t="s">
        <v>678</v>
      </c>
      <c r="H1137" t="s">
        <v>678</v>
      </c>
      <c r="I1137" t="s">
        <v>106</v>
      </c>
      <c r="J1137" t="s">
        <v>678</v>
      </c>
      <c r="K1137" t="s">
        <v>678</v>
      </c>
      <c r="L1137" t="s">
        <v>678</v>
      </c>
      <c r="M1137" t="s">
        <v>1803</v>
      </c>
      <c r="N1137" t="b">
        <v>0</v>
      </c>
    </row>
    <row r="1138" spans="1:14">
      <c r="A1138">
        <v>68</v>
      </c>
      <c r="B1138">
        <v>12</v>
      </c>
      <c r="C1138" t="s">
        <v>179</v>
      </c>
      <c r="D1138" t="s">
        <v>737</v>
      </c>
      <c r="E1138" t="s">
        <v>110</v>
      </c>
      <c r="F1138">
        <v>50</v>
      </c>
      <c r="G1138" t="s">
        <v>678</v>
      </c>
      <c r="H1138" t="s">
        <v>678</v>
      </c>
      <c r="I1138" t="s">
        <v>110</v>
      </c>
      <c r="J1138" t="s">
        <v>678</v>
      </c>
      <c r="K1138" t="s">
        <v>678</v>
      </c>
      <c r="L1138" t="s">
        <v>678</v>
      </c>
      <c r="M1138" t="s">
        <v>1804</v>
      </c>
      <c r="N1138" t="b">
        <v>0</v>
      </c>
    </row>
    <row r="1139" spans="1:14">
      <c r="A1139">
        <v>68</v>
      </c>
      <c r="B1139">
        <v>13</v>
      </c>
      <c r="C1139" t="s">
        <v>281</v>
      </c>
      <c r="D1139" t="s">
        <v>737</v>
      </c>
      <c r="E1139" t="s">
        <v>111</v>
      </c>
      <c r="F1139">
        <v>40</v>
      </c>
      <c r="G1139" t="s">
        <v>678</v>
      </c>
      <c r="H1139" t="s">
        <v>678</v>
      </c>
      <c r="I1139" t="s">
        <v>111</v>
      </c>
      <c r="J1139" t="s">
        <v>678</v>
      </c>
      <c r="K1139" t="s">
        <v>678</v>
      </c>
      <c r="L1139" t="s">
        <v>678</v>
      </c>
      <c r="M1139" t="s">
        <v>1805</v>
      </c>
      <c r="N1139" t="b">
        <v>0</v>
      </c>
    </row>
    <row r="1140" spans="1:14">
      <c r="A1140">
        <v>68</v>
      </c>
      <c r="B1140">
        <v>14</v>
      </c>
      <c r="C1140" t="s">
        <v>204</v>
      </c>
      <c r="D1140" t="s">
        <v>737</v>
      </c>
      <c r="E1140" t="s">
        <v>112</v>
      </c>
      <c r="F1140">
        <v>60</v>
      </c>
      <c r="G1140" t="s">
        <v>678</v>
      </c>
      <c r="H1140" t="s">
        <v>678</v>
      </c>
      <c r="I1140" t="s">
        <v>112</v>
      </c>
      <c r="J1140" t="s">
        <v>678</v>
      </c>
      <c r="K1140" t="s">
        <v>678</v>
      </c>
      <c r="L1140" t="s">
        <v>678</v>
      </c>
      <c r="M1140" t="s">
        <v>1806</v>
      </c>
      <c r="N1140" t="b">
        <v>0</v>
      </c>
    </row>
    <row r="1141" spans="1:14">
      <c r="A1141">
        <v>68</v>
      </c>
      <c r="B1141">
        <v>15</v>
      </c>
      <c r="C1141" t="s">
        <v>678</v>
      </c>
      <c r="D1141" t="s">
        <v>737</v>
      </c>
      <c r="E1141" t="s">
        <v>678</v>
      </c>
      <c r="F1141">
        <v>0</v>
      </c>
      <c r="G1141" t="s">
        <v>678</v>
      </c>
      <c r="H1141" t="s">
        <v>678</v>
      </c>
      <c r="I1141" t="s">
        <v>678</v>
      </c>
      <c r="J1141" t="s">
        <v>678</v>
      </c>
      <c r="K1141" t="s">
        <v>678</v>
      </c>
      <c r="L1141" t="s">
        <v>678</v>
      </c>
      <c r="M1141" t="s">
        <v>1807</v>
      </c>
      <c r="N1141" t="b">
        <v>0</v>
      </c>
    </row>
    <row r="1142" spans="1:14">
      <c r="A1142">
        <v>68</v>
      </c>
      <c r="B1142">
        <v>16</v>
      </c>
      <c r="C1142" t="s">
        <v>678</v>
      </c>
      <c r="D1142" t="s">
        <v>754</v>
      </c>
      <c r="E1142" t="s">
        <v>678</v>
      </c>
      <c r="F1142">
        <v>0</v>
      </c>
      <c r="G1142" t="s">
        <v>678</v>
      </c>
      <c r="H1142" t="s">
        <v>678</v>
      </c>
      <c r="I1142" t="s">
        <v>678</v>
      </c>
      <c r="J1142" t="s">
        <v>678</v>
      </c>
      <c r="K1142" t="s">
        <v>678</v>
      </c>
      <c r="L1142" t="s">
        <v>678</v>
      </c>
      <c r="M1142" t="s">
        <v>1808</v>
      </c>
      <c r="N1142" t="b">
        <v>0</v>
      </c>
    </row>
    <row r="1143" spans="1:14">
      <c r="A1143">
        <v>68</v>
      </c>
      <c r="B1143">
        <v>17</v>
      </c>
      <c r="C1143" t="s">
        <v>678</v>
      </c>
      <c r="D1143" t="s">
        <v>754</v>
      </c>
      <c r="E1143" t="s">
        <v>678</v>
      </c>
      <c r="F1143">
        <v>0</v>
      </c>
      <c r="G1143" t="s">
        <v>678</v>
      </c>
      <c r="H1143" t="s">
        <v>678</v>
      </c>
      <c r="I1143" t="s">
        <v>678</v>
      </c>
      <c r="J1143" t="s">
        <v>678</v>
      </c>
      <c r="K1143" t="s">
        <v>678</v>
      </c>
      <c r="L1143" t="s">
        <v>678</v>
      </c>
      <c r="M1143" t="s">
        <v>1809</v>
      </c>
      <c r="N1143" t="b">
        <v>0</v>
      </c>
    </row>
    <row r="1144" spans="1:14">
      <c r="A1144">
        <v>68</v>
      </c>
      <c r="B1144">
        <v>18</v>
      </c>
      <c r="C1144" t="s">
        <v>678</v>
      </c>
      <c r="D1144" t="s">
        <v>754</v>
      </c>
      <c r="E1144" t="s">
        <v>678</v>
      </c>
      <c r="F1144">
        <v>0</v>
      </c>
      <c r="G1144" t="s">
        <v>678</v>
      </c>
      <c r="H1144" t="s">
        <v>678</v>
      </c>
      <c r="I1144" t="s">
        <v>678</v>
      </c>
      <c r="J1144" t="s">
        <v>678</v>
      </c>
      <c r="K1144" t="s">
        <v>678</v>
      </c>
      <c r="L1144" t="s">
        <v>678</v>
      </c>
      <c r="M1144" t="s">
        <v>1810</v>
      </c>
      <c r="N1144" t="b">
        <v>0</v>
      </c>
    </row>
    <row r="1145" spans="1:14">
      <c r="A1145">
        <v>68</v>
      </c>
      <c r="B1145">
        <v>19</v>
      </c>
      <c r="C1145" t="s">
        <v>678</v>
      </c>
      <c r="D1145" t="s">
        <v>754</v>
      </c>
      <c r="E1145" t="s">
        <v>678</v>
      </c>
      <c r="F1145">
        <v>0</v>
      </c>
      <c r="G1145" t="s">
        <v>678</v>
      </c>
      <c r="H1145" t="s">
        <v>678</v>
      </c>
      <c r="I1145" t="s">
        <v>678</v>
      </c>
      <c r="J1145" t="s">
        <v>678</v>
      </c>
      <c r="K1145" t="s">
        <v>678</v>
      </c>
      <c r="L1145" t="s">
        <v>678</v>
      </c>
      <c r="M1145" t="s">
        <v>1811</v>
      </c>
      <c r="N1145" t="b">
        <v>0</v>
      </c>
    </row>
    <row r="1146" spans="1:14">
      <c r="A1146">
        <v>68</v>
      </c>
      <c r="B1146">
        <v>20</v>
      </c>
      <c r="C1146" t="s">
        <v>678</v>
      </c>
      <c r="D1146" t="s">
        <v>754</v>
      </c>
      <c r="E1146" t="s">
        <v>678</v>
      </c>
      <c r="F1146">
        <v>0</v>
      </c>
      <c r="G1146" t="s">
        <v>678</v>
      </c>
      <c r="H1146" t="s">
        <v>678</v>
      </c>
      <c r="I1146" t="s">
        <v>678</v>
      </c>
      <c r="J1146" t="s">
        <v>678</v>
      </c>
      <c r="K1146" t="s">
        <v>678</v>
      </c>
      <c r="L1146" t="s">
        <v>678</v>
      </c>
      <c r="M1146" t="s">
        <v>1812</v>
      </c>
      <c r="N1146" t="b">
        <v>0</v>
      </c>
    </row>
    <row r="1147" spans="1:14">
      <c r="A1147">
        <v>68</v>
      </c>
      <c r="B1147">
        <v>21</v>
      </c>
      <c r="C1147" t="s">
        <v>678</v>
      </c>
      <c r="D1147" t="s">
        <v>754</v>
      </c>
      <c r="E1147" t="s">
        <v>678</v>
      </c>
      <c r="F1147">
        <v>0</v>
      </c>
      <c r="G1147" t="s">
        <v>678</v>
      </c>
      <c r="H1147" t="s">
        <v>678</v>
      </c>
      <c r="I1147" t="s">
        <v>678</v>
      </c>
      <c r="J1147" t="s">
        <v>678</v>
      </c>
      <c r="K1147" t="s">
        <v>678</v>
      </c>
      <c r="L1147" t="s">
        <v>678</v>
      </c>
      <c r="M1147" t="s">
        <v>1813</v>
      </c>
      <c r="N1147" t="b">
        <v>0</v>
      </c>
    </row>
    <row r="1148" spans="1:14">
      <c r="A1148">
        <v>68</v>
      </c>
      <c r="B1148">
        <v>22</v>
      </c>
      <c r="C1148" t="s">
        <v>678</v>
      </c>
      <c r="D1148" t="s">
        <v>754</v>
      </c>
      <c r="E1148" t="s">
        <v>678</v>
      </c>
      <c r="F1148">
        <v>0</v>
      </c>
      <c r="G1148" t="s">
        <v>678</v>
      </c>
      <c r="H1148" t="s">
        <v>678</v>
      </c>
      <c r="I1148" t="s">
        <v>678</v>
      </c>
      <c r="J1148" t="s">
        <v>678</v>
      </c>
      <c r="K1148" t="s">
        <v>678</v>
      </c>
      <c r="L1148" t="s">
        <v>678</v>
      </c>
      <c r="M1148" t="s">
        <v>1814</v>
      </c>
      <c r="N1148" t="b">
        <v>0</v>
      </c>
    </row>
    <row r="1149" spans="1:14">
      <c r="A1149">
        <v>68</v>
      </c>
      <c r="B1149">
        <v>23</v>
      </c>
      <c r="C1149" t="s">
        <v>678</v>
      </c>
      <c r="D1149" t="s">
        <v>754</v>
      </c>
      <c r="E1149" t="s">
        <v>678</v>
      </c>
      <c r="F1149">
        <v>0</v>
      </c>
      <c r="G1149" t="s">
        <v>678</v>
      </c>
      <c r="H1149" t="s">
        <v>678</v>
      </c>
      <c r="I1149" t="s">
        <v>678</v>
      </c>
      <c r="J1149" t="s">
        <v>678</v>
      </c>
      <c r="K1149" t="s">
        <v>678</v>
      </c>
      <c r="L1149" t="s">
        <v>678</v>
      </c>
      <c r="M1149" t="s">
        <v>1815</v>
      </c>
      <c r="N1149" t="b">
        <v>0</v>
      </c>
    </row>
    <row r="1150" spans="1:14">
      <c r="A1150">
        <v>68</v>
      </c>
      <c r="B1150">
        <v>24</v>
      </c>
      <c r="C1150" t="s">
        <v>678</v>
      </c>
      <c r="D1150" t="s">
        <v>754</v>
      </c>
      <c r="E1150" t="s">
        <v>678</v>
      </c>
      <c r="F1150">
        <v>0</v>
      </c>
      <c r="G1150" t="s">
        <v>678</v>
      </c>
      <c r="H1150" t="s">
        <v>678</v>
      </c>
      <c r="I1150" t="s">
        <v>678</v>
      </c>
      <c r="J1150" t="s">
        <v>678</v>
      </c>
      <c r="K1150" t="s">
        <v>678</v>
      </c>
      <c r="L1150" t="s">
        <v>678</v>
      </c>
      <c r="M1150" t="s">
        <v>1816</v>
      </c>
      <c r="N1150" t="b">
        <v>0</v>
      </c>
    </row>
    <row r="1151" spans="1:14">
      <c r="A1151">
        <v>68</v>
      </c>
      <c r="B1151">
        <v>25</v>
      </c>
      <c r="C1151" t="s">
        <v>678</v>
      </c>
      <c r="D1151" t="s">
        <v>754</v>
      </c>
      <c r="E1151" t="s">
        <v>678</v>
      </c>
      <c r="F1151">
        <v>0</v>
      </c>
      <c r="G1151" t="s">
        <v>678</v>
      </c>
      <c r="H1151" t="s">
        <v>678</v>
      </c>
      <c r="I1151" t="s">
        <v>678</v>
      </c>
      <c r="J1151" t="s">
        <v>678</v>
      </c>
      <c r="K1151" t="s">
        <v>678</v>
      </c>
      <c r="L1151" t="s">
        <v>678</v>
      </c>
      <c r="M1151" t="s">
        <v>1817</v>
      </c>
      <c r="N1151" t="b">
        <v>0</v>
      </c>
    </row>
    <row r="1152" spans="1:14">
      <c r="A1152">
        <v>68</v>
      </c>
      <c r="B1152">
        <v>26</v>
      </c>
      <c r="C1152" t="s">
        <v>678</v>
      </c>
      <c r="D1152" t="s">
        <v>754</v>
      </c>
      <c r="E1152" t="s">
        <v>678</v>
      </c>
      <c r="F1152">
        <v>0</v>
      </c>
      <c r="G1152" t="s">
        <v>678</v>
      </c>
      <c r="H1152" t="s">
        <v>678</v>
      </c>
      <c r="I1152" t="s">
        <v>678</v>
      </c>
      <c r="J1152" t="s">
        <v>678</v>
      </c>
      <c r="K1152" t="s">
        <v>678</v>
      </c>
      <c r="L1152" t="s">
        <v>678</v>
      </c>
      <c r="M1152" t="s">
        <v>1818</v>
      </c>
      <c r="N1152" t="b">
        <v>0</v>
      </c>
    </row>
    <row r="1153" spans="1:14">
      <c r="A1153">
        <v>69</v>
      </c>
      <c r="B1153">
        <v>0</v>
      </c>
      <c r="C1153" t="s">
        <v>254</v>
      </c>
      <c r="D1153" t="s">
        <v>737</v>
      </c>
      <c r="E1153" t="s">
        <v>63</v>
      </c>
      <c r="F1153">
        <v>40</v>
      </c>
      <c r="G1153" t="s">
        <v>678</v>
      </c>
      <c r="H1153" t="s">
        <v>678</v>
      </c>
      <c r="I1153" t="s">
        <v>63</v>
      </c>
      <c r="J1153" t="s">
        <v>678</v>
      </c>
      <c r="K1153" t="s">
        <v>678</v>
      </c>
      <c r="L1153" t="s">
        <v>678</v>
      </c>
      <c r="M1153" t="s">
        <v>1819</v>
      </c>
      <c r="N1153" t="b">
        <v>0</v>
      </c>
    </row>
    <row r="1154" spans="1:14">
      <c r="A1154">
        <v>69</v>
      </c>
      <c r="B1154">
        <v>1</v>
      </c>
      <c r="C1154" t="s">
        <v>173</v>
      </c>
      <c r="D1154" t="s">
        <v>737</v>
      </c>
      <c r="E1154" t="s">
        <v>69</v>
      </c>
      <c r="F1154">
        <v>40</v>
      </c>
      <c r="G1154" t="s">
        <v>678</v>
      </c>
      <c r="H1154" t="s">
        <v>678</v>
      </c>
      <c r="I1154" t="s">
        <v>69</v>
      </c>
      <c r="J1154" t="s">
        <v>678</v>
      </c>
      <c r="K1154" t="s">
        <v>678</v>
      </c>
      <c r="L1154" t="s">
        <v>678</v>
      </c>
      <c r="M1154" t="s">
        <v>1820</v>
      </c>
      <c r="N1154" t="b">
        <v>0</v>
      </c>
    </row>
    <row r="1155" spans="1:14">
      <c r="A1155">
        <v>69</v>
      </c>
      <c r="B1155">
        <v>2</v>
      </c>
      <c r="C1155" t="s">
        <v>340</v>
      </c>
      <c r="D1155" t="s">
        <v>737</v>
      </c>
      <c r="E1155" t="s">
        <v>79</v>
      </c>
      <c r="F1155">
        <v>40</v>
      </c>
      <c r="G1155" t="s">
        <v>678</v>
      </c>
      <c r="H1155" t="s">
        <v>678</v>
      </c>
      <c r="I1155" t="s">
        <v>79</v>
      </c>
      <c r="J1155" t="s">
        <v>678</v>
      </c>
      <c r="K1155" t="s">
        <v>678</v>
      </c>
      <c r="L1155" t="s">
        <v>678</v>
      </c>
      <c r="M1155" t="s">
        <v>1821</v>
      </c>
      <c r="N1155" t="b">
        <v>0</v>
      </c>
    </row>
    <row r="1156" spans="1:14">
      <c r="A1156">
        <v>69</v>
      </c>
      <c r="B1156">
        <v>3</v>
      </c>
      <c r="C1156" t="s">
        <v>255</v>
      </c>
      <c r="D1156" t="s">
        <v>737</v>
      </c>
      <c r="E1156" t="s">
        <v>85</v>
      </c>
      <c r="F1156">
        <v>60</v>
      </c>
      <c r="G1156" t="s">
        <v>678</v>
      </c>
      <c r="H1156" t="s">
        <v>678</v>
      </c>
      <c r="I1156" t="s">
        <v>85</v>
      </c>
      <c r="J1156" t="s">
        <v>678</v>
      </c>
      <c r="K1156" t="s">
        <v>678</v>
      </c>
      <c r="L1156" t="s">
        <v>678</v>
      </c>
      <c r="M1156" t="s">
        <v>1822</v>
      </c>
      <c r="N1156" t="b">
        <v>0</v>
      </c>
    </row>
    <row r="1157" spans="1:14">
      <c r="A1157">
        <v>69</v>
      </c>
      <c r="B1157">
        <v>4</v>
      </c>
      <c r="C1157" t="s">
        <v>419</v>
      </c>
      <c r="D1157" t="s">
        <v>737</v>
      </c>
      <c r="E1157" t="s">
        <v>100</v>
      </c>
      <c r="F1157">
        <v>40</v>
      </c>
      <c r="G1157" t="s">
        <v>678</v>
      </c>
      <c r="H1157" t="s">
        <v>678</v>
      </c>
      <c r="I1157" t="s">
        <v>100</v>
      </c>
      <c r="J1157" t="s">
        <v>678</v>
      </c>
      <c r="K1157" t="s">
        <v>678</v>
      </c>
      <c r="L1157" t="s">
        <v>678</v>
      </c>
      <c r="M1157" t="s">
        <v>1823</v>
      </c>
      <c r="N1157" t="b">
        <v>0</v>
      </c>
    </row>
    <row r="1158" spans="1:14">
      <c r="A1158">
        <v>69</v>
      </c>
      <c r="B1158">
        <v>5</v>
      </c>
      <c r="C1158" t="s">
        <v>239</v>
      </c>
      <c r="D1158" t="s">
        <v>737</v>
      </c>
      <c r="E1158" t="s">
        <v>105</v>
      </c>
      <c r="F1158">
        <v>40</v>
      </c>
      <c r="G1158" t="s">
        <v>678</v>
      </c>
      <c r="H1158" t="s">
        <v>678</v>
      </c>
      <c r="I1158" t="s">
        <v>105</v>
      </c>
      <c r="J1158" t="s">
        <v>678</v>
      </c>
      <c r="K1158" t="s">
        <v>678</v>
      </c>
      <c r="L1158" t="s">
        <v>678</v>
      </c>
      <c r="M1158" t="s">
        <v>1824</v>
      </c>
      <c r="N1158" t="b">
        <v>0</v>
      </c>
    </row>
    <row r="1159" spans="1:14">
      <c r="A1159">
        <v>69</v>
      </c>
      <c r="B1159">
        <v>6</v>
      </c>
      <c r="C1159" t="s">
        <v>168</v>
      </c>
      <c r="D1159" t="s">
        <v>766</v>
      </c>
      <c r="E1159" t="s">
        <v>308</v>
      </c>
      <c r="F1159">
        <v>50</v>
      </c>
      <c r="G1159" t="s">
        <v>773</v>
      </c>
      <c r="H1159" t="s">
        <v>678</v>
      </c>
      <c r="I1159" t="s">
        <v>678</v>
      </c>
      <c r="J1159" t="s">
        <v>774</v>
      </c>
      <c r="K1159" t="s">
        <v>775</v>
      </c>
      <c r="L1159" t="s">
        <v>776</v>
      </c>
      <c r="M1159" t="s">
        <v>1825</v>
      </c>
      <c r="N1159" t="b">
        <v>0</v>
      </c>
    </row>
    <row r="1160" spans="1:14">
      <c r="A1160">
        <v>69</v>
      </c>
      <c r="B1160">
        <v>7</v>
      </c>
      <c r="C1160" t="s">
        <v>168</v>
      </c>
      <c r="D1160" t="s">
        <v>766</v>
      </c>
      <c r="E1160" t="s">
        <v>308</v>
      </c>
      <c r="F1160">
        <v>50</v>
      </c>
      <c r="G1160" t="s">
        <v>773</v>
      </c>
      <c r="H1160" t="s">
        <v>678</v>
      </c>
      <c r="I1160" t="s">
        <v>678</v>
      </c>
      <c r="J1160" t="s">
        <v>774</v>
      </c>
      <c r="K1160" t="s">
        <v>778</v>
      </c>
      <c r="L1160" t="s">
        <v>779</v>
      </c>
      <c r="M1160" t="s">
        <v>1826</v>
      </c>
      <c r="N1160" t="b">
        <v>0</v>
      </c>
    </row>
    <row r="1161" spans="1:14">
      <c r="A1161">
        <v>69</v>
      </c>
      <c r="B1161">
        <v>8</v>
      </c>
      <c r="C1161" t="s">
        <v>169</v>
      </c>
      <c r="D1161" t="s">
        <v>766</v>
      </c>
      <c r="E1161" t="s">
        <v>308</v>
      </c>
      <c r="F1161">
        <v>40</v>
      </c>
      <c r="G1161" t="s">
        <v>773</v>
      </c>
      <c r="H1161" t="s">
        <v>678</v>
      </c>
      <c r="I1161" t="s">
        <v>678</v>
      </c>
      <c r="J1161" t="s">
        <v>774</v>
      </c>
      <c r="K1161" t="s">
        <v>1014</v>
      </c>
      <c r="L1161" t="s">
        <v>1015</v>
      </c>
      <c r="M1161" t="s">
        <v>1827</v>
      </c>
      <c r="N1161" t="b">
        <v>0</v>
      </c>
    </row>
    <row r="1162" spans="1:14">
      <c r="A1162">
        <v>69</v>
      </c>
      <c r="B1162">
        <v>9</v>
      </c>
      <c r="C1162" t="s">
        <v>256</v>
      </c>
      <c r="D1162" t="s">
        <v>737</v>
      </c>
      <c r="E1162" t="s">
        <v>118</v>
      </c>
      <c r="F1162">
        <v>40</v>
      </c>
      <c r="G1162" t="s">
        <v>678</v>
      </c>
      <c r="H1162" t="s">
        <v>678</v>
      </c>
      <c r="I1162" t="s">
        <v>118</v>
      </c>
      <c r="J1162" t="s">
        <v>678</v>
      </c>
      <c r="K1162" t="s">
        <v>678</v>
      </c>
      <c r="L1162" t="s">
        <v>678</v>
      </c>
      <c r="M1162" t="s">
        <v>1828</v>
      </c>
      <c r="N1162" t="b">
        <v>0</v>
      </c>
    </row>
    <row r="1163" spans="1:14">
      <c r="A1163">
        <v>69</v>
      </c>
      <c r="B1163">
        <v>10</v>
      </c>
      <c r="C1163" t="s">
        <v>175</v>
      </c>
      <c r="D1163" t="s">
        <v>737</v>
      </c>
      <c r="E1163" t="s">
        <v>119</v>
      </c>
      <c r="F1163">
        <v>50</v>
      </c>
      <c r="G1163" t="s">
        <v>678</v>
      </c>
      <c r="H1163" t="s">
        <v>678</v>
      </c>
      <c r="I1163" t="s">
        <v>119</v>
      </c>
      <c r="J1163" t="s">
        <v>678</v>
      </c>
      <c r="K1163" t="s">
        <v>678</v>
      </c>
      <c r="L1163" t="s">
        <v>678</v>
      </c>
      <c r="M1163" t="s">
        <v>1829</v>
      </c>
      <c r="N1163" t="b">
        <v>0</v>
      </c>
    </row>
    <row r="1164" spans="1:14">
      <c r="A1164">
        <v>69</v>
      </c>
      <c r="B1164">
        <v>11</v>
      </c>
      <c r="C1164" t="s">
        <v>191</v>
      </c>
      <c r="D1164" t="s">
        <v>737</v>
      </c>
      <c r="E1164" t="s">
        <v>64</v>
      </c>
      <c r="F1164">
        <v>40</v>
      </c>
      <c r="G1164" t="s">
        <v>678</v>
      </c>
      <c r="H1164" t="s">
        <v>678</v>
      </c>
      <c r="I1164" t="s">
        <v>64</v>
      </c>
      <c r="J1164" t="s">
        <v>678</v>
      </c>
      <c r="K1164" t="s">
        <v>678</v>
      </c>
      <c r="L1164" t="s">
        <v>678</v>
      </c>
      <c r="M1164" t="s">
        <v>1830</v>
      </c>
      <c r="N1164" t="b">
        <v>0</v>
      </c>
    </row>
    <row r="1165" spans="1:14">
      <c r="A1165">
        <v>69</v>
      </c>
      <c r="B1165">
        <v>12</v>
      </c>
      <c r="C1165" t="s">
        <v>202</v>
      </c>
      <c r="D1165" t="s">
        <v>737</v>
      </c>
      <c r="E1165" t="s">
        <v>80</v>
      </c>
      <c r="F1165">
        <v>50</v>
      </c>
      <c r="G1165" t="s">
        <v>678</v>
      </c>
      <c r="H1165" t="s">
        <v>678</v>
      </c>
      <c r="I1165" t="s">
        <v>80</v>
      </c>
      <c r="J1165" t="s">
        <v>678</v>
      </c>
      <c r="K1165" t="s">
        <v>678</v>
      </c>
      <c r="L1165" t="s">
        <v>678</v>
      </c>
      <c r="M1165" t="s">
        <v>1831</v>
      </c>
      <c r="N1165" t="b">
        <v>0</v>
      </c>
    </row>
    <row r="1166" spans="1:14">
      <c r="A1166">
        <v>69</v>
      </c>
      <c r="B1166">
        <v>13</v>
      </c>
      <c r="C1166" t="s">
        <v>232</v>
      </c>
      <c r="D1166" t="s">
        <v>737</v>
      </c>
      <c r="E1166" t="s">
        <v>106</v>
      </c>
      <c r="F1166">
        <v>50</v>
      </c>
      <c r="G1166" t="s">
        <v>678</v>
      </c>
      <c r="H1166" t="s">
        <v>678</v>
      </c>
      <c r="I1166" t="s">
        <v>106</v>
      </c>
      <c r="J1166" t="s">
        <v>678</v>
      </c>
      <c r="K1166" t="s">
        <v>678</v>
      </c>
      <c r="L1166" t="s">
        <v>678</v>
      </c>
      <c r="M1166" t="s">
        <v>1832</v>
      </c>
      <c r="N1166" t="b">
        <v>0</v>
      </c>
    </row>
    <row r="1167" spans="1:14">
      <c r="A1167">
        <v>69</v>
      </c>
      <c r="B1167">
        <v>14</v>
      </c>
      <c r="C1167" t="s">
        <v>204</v>
      </c>
      <c r="D1167" t="s">
        <v>737</v>
      </c>
      <c r="E1167" t="s">
        <v>112</v>
      </c>
      <c r="F1167">
        <v>60</v>
      </c>
      <c r="G1167" t="s">
        <v>678</v>
      </c>
      <c r="H1167" t="s">
        <v>678</v>
      </c>
      <c r="I1167" t="s">
        <v>112</v>
      </c>
      <c r="J1167" t="s">
        <v>678</v>
      </c>
      <c r="K1167" t="s">
        <v>678</v>
      </c>
      <c r="L1167" t="s">
        <v>678</v>
      </c>
      <c r="M1167" t="s">
        <v>1833</v>
      </c>
      <c r="N1167" t="b">
        <v>0</v>
      </c>
    </row>
    <row r="1168" spans="1:14">
      <c r="A1168">
        <v>69</v>
      </c>
      <c r="B1168">
        <v>15</v>
      </c>
      <c r="C1168" t="s">
        <v>678</v>
      </c>
      <c r="D1168" t="s">
        <v>737</v>
      </c>
      <c r="E1168" t="s">
        <v>678</v>
      </c>
      <c r="F1168">
        <v>0</v>
      </c>
      <c r="G1168" t="s">
        <v>678</v>
      </c>
      <c r="H1168" t="s">
        <v>678</v>
      </c>
      <c r="I1168" t="s">
        <v>678</v>
      </c>
      <c r="J1168" t="s">
        <v>678</v>
      </c>
      <c r="K1168" t="s">
        <v>678</v>
      </c>
      <c r="L1168" t="s">
        <v>678</v>
      </c>
      <c r="M1168" t="s">
        <v>1834</v>
      </c>
      <c r="N1168" t="b">
        <v>0</v>
      </c>
    </row>
    <row r="1169" spans="1:14">
      <c r="A1169">
        <v>69</v>
      </c>
      <c r="B1169">
        <v>16</v>
      </c>
      <c r="C1169" t="s">
        <v>678</v>
      </c>
      <c r="D1169" t="s">
        <v>754</v>
      </c>
      <c r="E1169" t="s">
        <v>678</v>
      </c>
      <c r="F1169">
        <v>0</v>
      </c>
      <c r="G1169" t="s">
        <v>678</v>
      </c>
      <c r="H1169" t="s">
        <v>678</v>
      </c>
      <c r="I1169" t="s">
        <v>678</v>
      </c>
      <c r="J1169" t="s">
        <v>678</v>
      </c>
      <c r="K1169" t="s">
        <v>678</v>
      </c>
      <c r="L1169" t="s">
        <v>678</v>
      </c>
      <c r="M1169" t="s">
        <v>1835</v>
      </c>
      <c r="N1169" t="b">
        <v>0</v>
      </c>
    </row>
    <row r="1170" spans="1:14">
      <c r="A1170">
        <v>69</v>
      </c>
      <c r="B1170">
        <v>17</v>
      </c>
      <c r="C1170" t="s">
        <v>678</v>
      </c>
      <c r="D1170" t="s">
        <v>754</v>
      </c>
      <c r="E1170" t="s">
        <v>678</v>
      </c>
      <c r="F1170">
        <v>0</v>
      </c>
      <c r="G1170" t="s">
        <v>678</v>
      </c>
      <c r="H1170" t="s">
        <v>678</v>
      </c>
      <c r="I1170" t="s">
        <v>678</v>
      </c>
      <c r="J1170" t="s">
        <v>678</v>
      </c>
      <c r="K1170" t="s">
        <v>678</v>
      </c>
      <c r="L1170" t="s">
        <v>678</v>
      </c>
      <c r="M1170" t="s">
        <v>1836</v>
      </c>
      <c r="N1170" t="b">
        <v>0</v>
      </c>
    </row>
    <row r="1171" spans="1:14">
      <c r="A1171">
        <v>69</v>
      </c>
      <c r="B1171">
        <v>18</v>
      </c>
      <c r="C1171" t="s">
        <v>678</v>
      </c>
      <c r="D1171" t="s">
        <v>754</v>
      </c>
      <c r="E1171" t="s">
        <v>678</v>
      </c>
      <c r="F1171">
        <v>0</v>
      </c>
      <c r="G1171" t="s">
        <v>678</v>
      </c>
      <c r="H1171" t="s">
        <v>678</v>
      </c>
      <c r="I1171" t="s">
        <v>678</v>
      </c>
      <c r="J1171" t="s">
        <v>678</v>
      </c>
      <c r="K1171" t="s">
        <v>678</v>
      </c>
      <c r="L1171" t="s">
        <v>678</v>
      </c>
      <c r="M1171" t="s">
        <v>1837</v>
      </c>
      <c r="N1171" t="b">
        <v>0</v>
      </c>
    </row>
    <row r="1172" spans="1:14">
      <c r="A1172">
        <v>69</v>
      </c>
      <c r="B1172">
        <v>19</v>
      </c>
      <c r="C1172" t="s">
        <v>678</v>
      </c>
      <c r="D1172" t="s">
        <v>754</v>
      </c>
      <c r="E1172" t="s">
        <v>678</v>
      </c>
      <c r="F1172">
        <v>0</v>
      </c>
      <c r="G1172" t="s">
        <v>678</v>
      </c>
      <c r="H1172" t="s">
        <v>678</v>
      </c>
      <c r="I1172" t="s">
        <v>678</v>
      </c>
      <c r="J1172" t="s">
        <v>678</v>
      </c>
      <c r="K1172" t="s">
        <v>678</v>
      </c>
      <c r="L1172" t="s">
        <v>678</v>
      </c>
      <c r="M1172" t="s">
        <v>1838</v>
      </c>
      <c r="N1172" t="b">
        <v>0</v>
      </c>
    </row>
    <row r="1173" spans="1:14">
      <c r="A1173">
        <v>69</v>
      </c>
      <c r="B1173">
        <v>20</v>
      </c>
      <c r="C1173" t="s">
        <v>678</v>
      </c>
      <c r="D1173" t="s">
        <v>754</v>
      </c>
      <c r="E1173" t="s">
        <v>678</v>
      </c>
      <c r="F1173">
        <v>0</v>
      </c>
      <c r="G1173" t="s">
        <v>678</v>
      </c>
      <c r="H1173" t="s">
        <v>678</v>
      </c>
      <c r="I1173" t="s">
        <v>678</v>
      </c>
      <c r="J1173" t="s">
        <v>678</v>
      </c>
      <c r="K1173" t="s">
        <v>678</v>
      </c>
      <c r="L1173" t="s">
        <v>678</v>
      </c>
      <c r="M1173" t="s">
        <v>1839</v>
      </c>
      <c r="N1173" t="b">
        <v>0</v>
      </c>
    </row>
    <row r="1174" spans="1:14">
      <c r="A1174">
        <v>69</v>
      </c>
      <c r="B1174">
        <v>21</v>
      </c>
      <c r="C1174" t="s">
        <v>678</v>
      </c>
      <c r="D1174" t="s">
        <v>754</v>
      </c>
      <c r="E1174" t="s">
        <v>678</v>
      </c>
      <c r="F1174">
        <v>0</v>
      </c>
      <c r="G1174" t="s">
        <v>678</v>
      </c>
      <c r="H1174" t="s">
        <v>678</v>
      </c>
      <c r="I1174" t="s">
        <v>678</v>
      </c>
      <c r="J1174" t="s">
        <v>678</v>
      </c>
      <c r="K1174" t="s">
        <v>678</v>
      </c>
      <c r="L1174" t="s">
        <v>678</v>
      </c>
      <c r="M1174" t="s">
        <v>1840</v>
      </c>
      <c r="N1174" t="b">
        <v>0</v>
      </c>
    </row>
    <row r="1175" spans="1:14">
      <c r="A1175">
        <v>69</v>
      </c>
      <c r="B1175">
        <v>22</v>
      </c>
      <c r="C1175" t="s">
        <v>678</v>
      </c>
      <c r="D1175" t="s">
        <v>754</v>
      </c>
      <c r="E1175" t="s">
        <v>678</v>
      </c>
      <c r="F1175">
        <v>0</v>
      </c>
      <c r="G1175" t="s">
        <v>678</v>
      </c>
      <c r="H1175" t="s">
        <v>678</v>
      </c>
      <c r="I1175" t="s">
        <v>678</v>
      </c>
      <c r="J1175" t="s">
        <v>678</v>
      </c>
      <c r="K1175" t="s">
        <v>678</v>
      </c>
      <c r="L1175" t="s">
        <v>678</v>
      </c>
      <c r="M1175" t="s">
        <v>1841</v>
      </c>
      <c r="N1175" t="b">
        <v>0</v>
      </c>
    </row>
    <row r="1176" spans="1:14">
      <c r="A1176">
        <v>69</v>
      </c>
      <c r="B1176">
        <v>23</v>
      </c>
      <c r="C1176" t="s">
        <v>678</v>
      </c>
      <c r="D1176" t="s">
        <v>754</v>
      </c>
      <c r="E1176" t="s">
        <v>678</v>
      </c>
      <c r="F1176">
        <v>0</v>
      </c>
      <c r="G1176" t="s">
        <v>678</v>
      </c>
      <c r="H1176" t="s">
        <v>678</v>
      </c>
      <c r="I1176" t="s">
        <v>678</v>
      </c>
      <c r="J1176" t="s">
        <v>678</v>
      </c>
      <c r="K1176" t="s">
        <v>678</v>
      </c>
      <c r="L1176" t="s">
        <v>678</v>
      </c>
      <c r="M1176" t="s">
        <v>1842</v>
      </c>
      <c r="N1176" t="b">
        <v>0</v>
      </c>
    </row>
    <row r="1177" spans="1:14">
      <c r="A1177">
        <v>69</v>
      </c>
      <c r="B1177">
        <v>24</v>
      </c>
      <c r="C1177" t="s">
        <v>678</v>
      </c>
      <c r="D1177" t="s">
        <v>754</v>
      </c>
      <c r="E1177" t="s">
        <v>678</v>
      </c>
      <c r="F1177">
        <v>0</v>
      </c>
      <c r="G1177" t="s">
        <v>678</v>
      </c>
      <c r="H1177" t="s">
        <v>678</v>
      </c>
      <c r="I1177" t="s">
        <v>678</v>
      </c>
      <c r="J1177" t="s">
        <v>678</v>
      </c>
      <c r="K1177" t="s">
        <v>678</v>
      </c>
      <c r="L1177" t="s">
        <v>678</v>
      </c>
      <c r="M1177" t="s">
        <v>1843</v>
      </c>
      <c r="N1177" t="b">
        <v>0</v>
      </c>
    </row>
    <row r="1178" spans="1:14">
      <c r="A1178">
        <v>69</v>
      </c>
      <c r="B1178">
        <v>25</v>
      </c>
      <c r="C1178" t="s">
        <v>678</v>
      </c>
      <c r="D1178" t="s">
        <v>754</v>
      </c>
      <c r="E1178" t="s">
        <v>678</v>
      </c>
      <c r="F1178">
        <v>0</v>
      </c>
      <c r="G1178" t="s">
        <v>678</v>
      </c>
      <c r="H1178" t="s">
        <v>678</v>
      </c>
      <c r="I1178" t="s">
        <v>678</v>
      </c>
      <c r="J1178" t="s">
        <v>678</v>
      </c>
      <c r="K1178" t="s">
        <v>678</v>
      </c>
      <c r="L1178" t="s">
        <v>678</v>
      </c>
      <c r="M1178" t="s">
        <v>1844</v>
      </c>
      <c r="N1178" t="b">
        <v>0</v>
      </c>
    </row>
    <row r="1179" spans="1:14">
      <c r="A1179">
        <v>69</v>
      </c>
      <c r="B1179">
        <v>26</v>
      </c>
      <c r="C1179" t="s">
        <v>678</v>
      </c>
      <c r="D1179" t="s">
        <v>754</v>
      </c>
      <c r="E1179" t="s">
        <v>678</v>
      </c>
      <c r="F1179">
        <v>0</v>
      </c>
      <c r="G1179" t="s">
        <v>678</v>
      </c>
      <c r="H1179" t="s">
        <v>678</v>
      </c>
      <c r="I1179" t="s">
        <v>678</v>
      </c>
      <c r="J1179" t="s">
        <v>678</v>
      </c>
      <c r="K1179" t="s">
        <v>678</v>
      </c>
      <c r="L1179" t="s">
        <v>678</v>
      </c>
      <c r="M1179" t="s">
        <v>1845</v>
      </c>
      <c r="N1179" t="b">
        <v>0</v>
      </c>
    </row>
    <row r="1180" spans="1:14">
      <c r="A1180">
        <v>80</v>
      </c>
      <c r="B1180">
        <v>0</v>
      </c>
      <c r="C1180" t="s">
        <v>195</v>
      </c>
      <c r="D1180" t="s">
        <v>737</v>
      </c>
      <c r="E1180" t="s">
        <v>67</v>
      </c>
      <c r="F1180">
        <v>50</v>
      </c>
      <c r="G1180" t="s">
        <v>678</v>
      </c>
      <c r="H1180" t="s">
        <v>678</v>
      </c>
      <c r="I1180" t="s">
        <v>67</v>
      </c>
      <c r="J1180" t="s">
        <v>678</v>
      </c>
      <c r="K1180" t="s">
        <v>678</v>
      </c>
      <c r="L1180" t="s">
        <v>678</v>
      </c>
      <c r="M1180" t="s">
        <v>1846</v>
      </c>
      <c r="N1180" t="b">
        <v>0</v>
      </c>
    </row>
    <row r="1181" spans="1:14">
      <c r="A1181">
        <v>80</v>
      </c>
      <c r="B1181">
        <v>1</v>
      </c>
      <c r="C1181" t="s">
        <v>167</v>
      </c>
      <c r="D1181" t="s">
        <v>737</v>
      </c>
      <c r="E1181" t="s">
        <v>85</v>
      </c>
      <c r="F1181">
        <v>40</v>
      </c>
      <c r="G1181" t="s">
        <v>678</v>
      </c>
      <c r="H1181" t="s">
        <v>678</v>
      </c>
      <c r="I1181" t="s">
        <v>85</v>
      </c>
      <c r="J1181" t="s">
        <v>678</v>
      </c>
      <c r="K1181" t="s">
        <v>678</v>
      </c>
      <c r="L1181" t="s">
        <v>678</v>
      </c>
      <c r="M1181" t="s">
        <v>1847</v>
      </c>
      <c r="N1181" t="b">
        <v>0</v>
      </c>
    </row>
    <row r="1182" spans="1:14">
      <c r="A1182">
        <v>80</v>
      </c>
      <c r="B1182">
        <v>2</v>
      </c>
      <c r="C1182" t="s">
        <v>196</v>
      </c>
      <c r="D1182" t="s">
        <v>737</v>
      </c>
      <c r="E1182" t="s">
        <v>97</v>
      </c>
      <c r="F1182">
        <v>50</v>
      </c>
      <c r="G1182" t="s">
        <v>678</v>
      </c>
      <c r="H1182" t="s">
        <v>678</v>
      </c>
      <c r="I1182" t="s">
        <v>97</v>
      </c>
      <c r="J1182" t="s">
        <v>678</v>
      </c>
      <c r="K1182" t="s">
        <v>678</v>
      </c>
      <c r="L1182" t="s">
        <v>678</v>
      </c>
      <c r="M1182" t="s">
        <v>1848</v>
      </c>
      <c r="N1182" t="b">
        <v>0</v>
      </c>
    </row>
    <row r="1183" spans="1:14">
      <c r="A1183">
        <v>80</v>
      </c>
      <c r="B1183">
        <v>3</v>
      </c>
      <c r="C1183" t="s">
        <v>261</v>
      </c>
      <c r="D1183" t="s">
        <v>737</v>
      </c>
      <c r="E1183" t="s">
        <v>103</v>
      </c>
      <c r="F1183">
        <v>40</v>
      </c>
      <c r="G1183" t="s">
        <v>678</v>
      </c>
      <c r="H1183" t="s">
        <v>678</v>
      </c>
      <c r="I1183" t="s">
        <v>103</v>
      </c>
      <c r="J1183" t="s">
        <v>678</v>
      </c>
      <c r="K1183" t="s">
        <v>678</v>
      </c>
      <c r="L1183" t="s">
        <v>678</v>
      </c>
      <c r="M1183" t="s">
        <v>1849</v>
      </c>
      <c r="N1183" t="b">
        <v>0</v>
      </c>
    </row>
    <row r="1184" spans="1:14">
      <c r="A1184">
        <v>80</v>
      </c>
      <c r="B1184">
        <v>4</v>
      </c>
      <c r="C1184" t="s">
        <v>239</v>
      </c>
      <c r="D1184" t="s">
        <v>737</v>
      </c>
      <c r="E1184" t="s">
        <v>105</v>
      </c>
      <c r="F1184">
        <v>40</v>
      </c>
      <c r="G1184" t="s">
        <v>678</v>
      </c>
      <c r="H1184" t="s">
        <v>678</v>
      </c>
      <c r="I1184" t="s">
        <v>105</v>
      </c>
      <c r="J1184" t="s">
        <v>678</v>
      </c>
      <c r="K1184" t="s">
        <v>678</v>
      </c>
      <c r="L1184" t="s">
        <v>678</v>
      </c>
      <c r="M1184" t="s">
        <v>1850</v>
      </c>
      <c r="N1184" t="b">
        <v>0</v>
      </c>
    </row>
    <row r="1185" spans="1:14">
      <c r="A1185">
        <v>80</v>
      </c>
      <c r="B1185">
        <v>5</v>
      </c>
      <c r="C1185" t="s">
        <v>222</v>
      </c>
      <c r="D1185" t="s">
        <v>737</v>
      </c>
      <c r="E1185" t="s">
        <v>113</v>
      </c>
      <c r="F1185">
        <v>40</v>
      </c>
      <c r="G1185" t="s">
        <v>678</v>
      </c>
      <c r="H1185" t="s">
        <v>678</v>
      </c>
      <c r="I1185" t="s">
        <v>113</v>
      </c>
      <c r="J1185" t="s">
        <v>678</v>
      </c>
      <c r="K1185" t="s">
        <v>678</v>
      </c>
      <c r="L1185" t="s">
        <v>678</v>
      </c>
      <c r="M1185" t="s">
        <v>1851</v>
      </c>
      <c r="N1185" t="b">
        <v>0</v>
      </c>
    </row>
    <row r="1186" spans="1:14">
      <c r="A1186">
        <v>80</v>
      </c>
      <c r="B1186">
        <v>6</v>
      </c>
      <c r="C1186" t="s">
        <v>175</v>
      </c>
      <c r="D1186" t="s">
        <v>737</v>
      </c>
      <c r="E1186" t="s">
        <v>119</v>
      </c>
      <c r="F1186">
        <v>50</v>
      </c>
      <c r="G1186" t="s">
        <v>678</v>
      </c>
      <c r="H1186" t="s">
        <v>678</v>
      </c>
      <c r="I1186" t="s">
        <v>119</v>
      </c>
      <c r="J1186" t="s">
        <v>678</v>
      </c>
      <c r="K1186" t="s">
        <v>678</v>
      </c>
      <c r="L1186" t="s">
        <v>678</v>
      </c>
      <c r="M1186" t="s">
        <v>1852</v>
      </c>
      <c r="N1186" t="b">
        <v>0</v>
      </c>
    </row>
    <row r="1187" spans="1:14">
      <c r="A1187">
        <v>80</v>
      </c>
      <c r="B1187">
        <v>7</v>
      </c>
      <c r="C1187" t="s">
        <v>201</v>
      </c>
      <c r="D1187" t="s">
        <v>737</v>
      </c>
      <c r="E1187" t="s">
        <v>64</v>
      </c>
      <c r="F1187">
        <v>30</v>
      </c>
      <c r="G1187" t="s">
        <v>678</v>
      </c>
      <c r="H1187" t="s">
        <v>678</v>
      </c>
      <c r="I1187" t="s">
        <v>64</v>
      </c>
      <c r="J1187" t="s">
        <v>678</v>
      </c>
      <c r="K1187" t="s">
        <v>678</v>
      </c>
      <c r="L1187" t="s">
        <v>678</v>
      </c>
      <c r="M1187" t="s">
        <v>1853</v>
      </c>
      <c r="N1187" t="b">
        <v>0</v>
      </c>
    </row>
    <row r="1188" spans="1:14">
      <c r="A1188">
        <v>80</v>
      </c>
      <c r="B1188">
        <v>8</v>
      </c>
      <c r="C1188" t="s">
        <v>202</v>
      </c>
      <c r="D1188" t="s">
        <v>737</v>
      </c>
      <c r="E1188" t="s">
        <v>80</v>
      </c>
      <c r="F1188">
        <v>50</v>
      </c>
      <c r="G1188" t="s">
        <v>678</v>
      </c>
      <c r="H1188" t="s">
        <v>678</v>
      </c>
      <c r="I1188" t="s">
        <v>80</v>
      </c>
      <c r="J1188" t="s">
        <v>678</v>
      </c>
      <c r="K1188" t="s">
        <v>678</v>
      </c>
      <c r="L1188" t="s">
        <v>678</v>
      </c>
      <c r="M1188" t="s">
        <v>1854</v>
      </c>
      <c r="N1188" t="b">
        <v>0</v>
      </c>
    </row>
    <row r="1189" spans="1:14">
      <c r="A1189">
        <v>80</v>
      </c>
      <c r="B1189">
        <v>9</v>
      </c>
      <c r="C1189" t="s">
        <v>439</v>
      </c>
      <c r="D1189" t="s">
        <v>766</v>
      </c>
      <c r="E1189" t="s">
        <v>556</v>
      </c>
      <c r="F1189">
        <v>40</v>
      </c>
      <c r="G1189" t="s">
        <v>1682</v>
      </c>
      <c r="H1189" t="s">
        <v>678</v>
      </c>
      <c r="I1189" t="s">
        <v>678</v>
      </c>
      <c r="J1189" t="s">
        <v>1855</v>
      </c>
      <c r="K1189" t="s">
        <v>814</v>
      </c>
      <c r="L1189" t="s">
        <v>815</v>
      </c>
      <c r="M1189" t="s">
        <v>1856</v>
      </c>
      <c r="N1189" t="b">
        <v>0</v>
      </c>
    </row>
    <row r="1190" spans="1:14">
      <c r="A1190">
        <v>80</v>
      </c>
      <c r="B1190">
        <v>10</v>
      </c>
      <c r="C1190" t="s">
        <v>203</v>
      </c>
      <c r="D1190" t="s">
        <v>737</v>
      </c>
      <c r="E1190" t="s">
        <v>102</v>
      </c>
      <c r="F1190">
        <v>50</v>
      </c>
      <c r="G1190" t="s">
        <v>678</v>
      </c>
      <c r="H1190" t="s">
        <v>678</v>
      </c>
      <c r="I1190" t="s">
        <v>102</v>
      </c>
      <c r="J1190" t="s">
        <v>678</v>
      </c>
      <c r="K1190" t="s">
        <v>678</v>
      </c>
      <c r="L1190" t="s">
        <v>678</v>
      </c>
      <c r="M1190" t="s">
        <v>1857</v>
      </c>
      <c r="N1190" t="b">
        <v>0</v>
      </c>
    </row>
    <row r="1191" spans="1:14">
      <c r="A1191">
        <v>80</v>
      </c>
      <c r="B1191">
        <v>11</v>
      </c>
      <c r="C1191" t="s">
        <v>678</v>
      </c>
      <c r="D1191" t="s">
        <v>737</v>
      </c>
      <c r="E1191" t="s">
        <v>678</v>
      </c>
      <c r="F1191">
        <v>0</v>
      </c>
      <c r="G1191" t="s">
        <v>678</v>
      </c>
      <c r="H1191" t="s">
        <v>678</v>
      </c>
      <c r="I1191" t="s">
        <v>678</v>
      </c>
      <c r="J1191" t="s">
        <v>678</v>
      </c>
      <c r="K1191" t="s">
        <v>678</v>
      </c>
      <c r="L1191" t="s">
        <v>678</v>
      </c>
      <c r="M1191" t="s">
        <v>1858</v>
      </c>
      <c r="N1191" t="b">
        <v>0</v>
      </c>
    </row>
    <row r="1192" spans="1:14">
      <c r="A1192">
        <v>80</v>
      </c>
      <c r="B1192">
        <v>12</v>
      </c>
      <c r="C1192" t="s">
        <v>678</v>
      </c>
      <c r="D1192" t="s">
        <v>737</v>
      </c>
      <c r="E1192" t="s">
        <v>678</v>
      </c>
      <c r="F1192">
        <v>0</v>
      </c>
      <c r="G1192" t="s">
        <v>678</v>
      </c>
      <c r="H1192" t="s">
        <v>678</v>
      </c>
      <c r="I1192" t="s">
        <v>678</v>
      </c>
      <c r="J1192" t="s">
        <v>678</v>
      </c>
      <c r="K1192" t="s">
        <v>678</v>
      </c>
      <c r="L1192" t="s">
        <v>678</v>
      </c>
      <c r="M1192" t="s">
        <v>1859</v>
      </c>
      <c r="N1192" t="b">
        <v>0</v>
      </c>
    </row>
    <row r="1193" spans="1:14">
      <c r="A1193">
        <v>80</v>
      </c>
      <c r="B1193">
        <v>13</v>
      </c>
      <c r="C1193" t="s">
        <v>678</v>
      </c>
      <c r="D1193" t="s">
        <v>737</v>
      </c>
      <c r="E1193" t="s">
        <v>678</v>
      </c>
      <c r="F1193">
        <v>0</v>
      </c>
      <c r="G1193" t="s">
        <v>678</v>
      </c>
      <c r="H1193" t="s">
        <v>678</v>
      </c>
      <c r="I1193" t="s">
        <v>678</v>
      </c>
      <c r="J1193" t="s">
        <v>678</v>
      </c>
      <c r="K1193" t="s">
        <v>678</v>
      </c>
      <c r="L1193" t="s">
        <v>678</v>
      </c>
      <c r="M1193" t="s">
        <v>1860</v>
      </c>
      <c r="N1193" t="b">
        <v>0</v>
      </c>
    </row>
    <row r="1194" spans="1:14">
      <c r="A1194">
        <v>80</v>
      </c>
      <c r="B1194">
        <v>14</v>
      </c>
      <c r="C1194" t="s">
        <v>678</v>
      </c>
      <c r="D1194" t="s">
        <v>737</v>
      </c>
      <c r="E1194" t="s">
        <v>678</v>
      </c>
      <c r="F1194">
        <v>0</v>
      </c>
      <c r="G1194" t="s">
        <v>678</v>
      </c>
      <c r="H1194" t="s">
        <v>678</v>
      </c>
      <c r="I1194" t="s">
        <v>678</v>
      </c>
      <c r="J1194" t="s">
        <v>678</v>
      </c>
      <c r="K1194" t="s">
        <v>678</v>
      </c>
      <c r="L1194" t="s">
        <v>678</v>
      </c>
      <c r="M1194" t="s">
        <v>1861</v>
      </c>
      <c r="N1194" t="b">
        <v>0</v>
      </c>
    </row>
    <row r="1195" spans="1:14">
      <c r="A1195">
        <v>80</v>
      </c>
      <c r="B1195">
        <v>15</v>
      </c>
      <c r="C1195" t="s">
        <v>678</v>
      </c>
      <c r="D1195" t="s">
        <v>737</v>
      </c>
      <c r="E1195" t="s">
        <v>678</v>
      </c>
      <c r="F1195">
        <v>0</v>
      </c>
      <c r="G1195" t="s">
        <v>678</v>
      </c>
      <c r="H1195" t="s">
        <v>678</v>
      </c>
      <c r="I1195" t="s">
        <v>678</v>
      </c>
      <c r="J1195" t="s">
        <v>678</v>
      </c>
      <c r="K1195" t="s">
        <v>678</v>
      </c>
      <c r="L1195" t="s">
        <v>678</v>
      </c>
      <c r="M1195" t="s">
        <v>1862</v>
      </c>
      <c r="N1195" t="b">
        <v>0</v>
      </c>
    </row>
    <row r="1196" spans="1:14">
      <c r="A1196">
        <v>80</v>
      </c>
      <c r="B1196">
        <v>16</v>
      </c>
      <c r="C1196" t="s">
        <v>678</v>
      </c>
      <c r="D1196" t="s">
        <v>754</v>
      </c>
      <c r="E1196" t="s">
        <v>678</v>
      </c>
      <c r="F1196">
        <v>0</v>
      </c>
      <c r="G1196" t="s">
        <v>678</v>
      </c>
      <c r="H1196" t="s">
        <v>678</v>
      </c>
      <c r="I1196" t="s">
        <v>678</v>
      </c>
      <c r="J1196" t="s">
        <v>678</v>
      </c>
      <c r="K1196" t="s">
        <v>678</v>
      </c>
      <c r="L1196" t="s">
        <v>678</v>
      </c>
      <c r="M1196" t="s">
        <v>1863</v>
      </c>
      <c r="N1196" t="b">
        <v>0</v>
      </c>
    </row>
    <row r="1197" spans="1:14">
      <c r="A1197">
        <v>80</v>
      </c>
      <c r="B1197">
        <v>17</v>
      </c>
      <c r="C1197" t="s">
        <v>678</v>
      </c>
      <c r="D1197" t="s">
        <v>754</v>
      </c>
      <c r="E1197" t="s">
        <v>678</v>
      </c>
      <c r="F1197">
        <v>0</v>
      </c>
      <c r="G1197" t="s">
        <v>678</v>
      </c>
      <c r="H1197" t="s">
        <v>678</v>
      </c>
      <c r="I1197" t="s">
        <v>678</v>
      </c>
      <c r="J1197" t="s">
        <v>678</v>
      </c>
      <c r="K1197" t="s">
        <v>678</v>
      </c>
      <c r="L1197" t="s">
        <v>678</v>
      </c>
      <c r="M1197" t="s">
        <v>1864</v>
      </c>
      <c r="N1197" t="b">
        <v>0</v>
      </c>
    </row>
    <row r="1198" spans="1:14">
      <c r="A1198">
        <v>80</v>
      </c>
      <c r="B1198">
        <v>18</v>
      </c>
      <c r="C1198" t="s">
        <v>678</v>
      </c>
      <c r="D1198" t="s">
        <v>754</v>
      </c>
      <c r="E1198" t="s">
        <v>678</v>
      </c>
      <c r="F1198">
        <v>0</v>
      </c>
      <c r="G1198" t="s">
        <v>678</v>
      </c>
      <c r="H1198" t="s">
        <v>678</v>
      </c>
      <c r="I1198" t="s">
        <v>678</v>
      </c>
      <c r="J1198" t="s">
        <v>678</v>
      </c>
      <c r="K1198" t="s">
        <v>678</v>
      </c>
      <c r="L1198" t="s">
        <v>678</v>
      </c>
      <c r="M1198" t="s">
        <v>1865</v>
      </c>
      <c r="N1198" t="b">
        <v>0</v>
      </c>
    </row>
    <row r="1199" spans="1:14">
      <c r="A1199">
        <v>80</v>
      </c>
      <c r="B1199">
        <v>19</v>
      </c>
      <c r="C1199" t="s">
        <v>678</v>
      </c>
      <c r="D1199" t="s">
        <v>754</v>
      </c>
      <c r="E1199" t="s">
        <v>678</v>
      </c>
      <c r="F1199">
        <v>0</v>
      </c>
      <c r="G1199" t="s">
        <v>678</v>
      </c>
      <c r="H1199" t="s">
        <v>678</v>
      </c>
      <c r="I1199" t="s">
        <v>678</v>
      </c>
      <c r="J1199" t="s">
        <v>678</v>
      </c>
      <c r="K1199" t="s">
        <v>678</v>
      </c>
      <c r="L1199" t="s">
        <v>678</v>
      </c>
      <c r="M1199" t="s">
        <v>1866</v>
      </c>
      <c r="N1199" t="b">
        <v>0</v>
      </c>
    </row>
    <row r="1200" spans="1:14">
      <c r="A1200">
        <v>80</v>
      </c>
      <c r="B1200">
        <v>20</v>
      </c>
      <c r="C1200" t="s">
        <v>678</v>
      </c>
      <c r="D1200" t="s">
        <v>754</v>
      </c>
      <c r="E1200" t="s">
        <v>678</v>
      </c>
      <c r="F1200">
        <v>0</v>
      </c>
      <c r="G1200" t="s">
        <v>678</v>
      </c>
      <c r="H1200" t="s">
        <v>678</v>
      </c>
      <c r="I1200" t="s">
        <v>678</v>
      </c>
      <c r="J1200" t="s">
        <v>678</v>
      </c>
      <c r="K1200" t="s">
        <v>678</v>
      </c>
      <c r="L1200" t="s">
        <v>678</v>
      </c>
      <c r="M1200" t="s">
        <v>1867</v>
      </c>
      <c r="N1200" t="b">
        <v>0</v>
      </c>
    </row>
    <row r="1201" spans="1:14">
      <c r="A1201">
        <v>80</v>
      </c>
      <c r="B1201">
        <v>21</v>
      </c>
      <c r="C1201" t="s">
        <v>678</v>
      </c>
      <c r="D1201" t="s">
        <v>754</v>
      </c>
      <c r="E1201" t="s">
        <v>678</v>
      </c>
      <c r="F1201">
        <v>0</v>
      </c>
      <c r="G1201" t="s">
        <v>678</v>
      </c>
      <c r="H1201" t="s">
        <v>678</v>
      </c>
      <c r="I1201" t="s">
        <v>678</v>
      </c>
      <c r="J1201" t="s">
        <v>678</v>
      </c>
      <c r="K1201" t="s">
        <v>678</v>
      </c>
      <c r="L1201" t="s">
        <v>678</v>
      </c>
      <c r="M1201" t="s">
        <v>1868</v>
      </c>
      <c r="N1201" t="b">
        <v>0</v>
      </c>
    </row>
    <row r="1202" spans="1:14">
      <c r="A1202">
        <v>80</v>
      </c>
      <c r="B1202">
        <v>22</v>
      </c>
      <c r="C1202" t="s">
        <v>678</v>
      </c>
      <c r="D1202" t="s">
        <v>754</v>
      </c>
      <c r="E1202" t="s">
        <v>678</v>
      </c>
      <c r="F1202">
        <v>0</v>
      </c>
      <c r="G1202" t="s">
        <v>678</v>
      </c>
      <c r="H1202" t="s">
        <v>678</v>
      </c>
      <c r="I1202" t="s">
        <v>678</v>
      </c>
      <c r="J1202" t="s">
        <v>678</v>
      </c>
      <c r="K1202" t="s">
        <v>678</v>
      </c>
      <c r="L1202" t="s">
        <v>678</v>
      </c>
      <c r="M1202" t="s">
        <v>1869</v>
      </c>
      <c r="N1202" t="b">
        <v>0</v>
      </c>
    </row>
    <row r="1203" spans="1:14">
      <c r="A1203">
        <v>80</v>
      </c>
      <c r="B1203">
        <v>23</v>
      </c>
      <c r="C1203" t="s">
        <v>678</v>
      </c>
      <c r="D1203" t="s">
        <v>754</v>
      </c>
      <c r="E1203" t="s">
        <v>678</v>
      </c>
      <c r="F1203">
        <v>0</v>
      </c>
      <c r="G1203" t="s">
        <v>678</v>
      </c>
      <c r="H1203" t="s">
        <v>678</v>
      </c>
      <c r="I1203" t="s">
        <v>678</v>
      </c>
      <c r="J1203" t="s">
        <v>678</v>
      </c>
      <c r="K1203" t="s">
        <v>678</v>
      </c>
      <c r="L1203" t="s">
        <v>678</v>
      </c>
      <c r="M1203" t="s">
        <v>1870</v>
      </c>
      <c r="N1203" t="b">
        <v>0</v>
      </c>
    </row>
    <row r="1204" spans="1:14">
      <c r="A1204">
        <v>80</v>
      </c>
      <c r="B1204">
        <v>24</v>
      </c>
      <c r="C1204" t="s">
        <v>678</v>
      </c>
      <c r="D1204" t="s">
        <v>754</v>
      </c>
      <c r="E1204" t="s">
        <v>678</v>
      </c>
      <c r="F1204">
        <v>0</v>
      </c>
      <c r="G1204" t="s">
        <v>678</v>
      </c>
      <c r="H1204" t="s">
        <v>678</v>
      </c>
      <c r="I1204" t="s">
        <v>678</v>
      </c>
      <c r="J1204" t="s">
        <v>678</v>
      </c>
      <c r="K1204" t="s">
        <v>678</v>
      </c>
      <c r="L1204" t="s">
        <v>678</v>
      </c>
      <c r="M1204" t="s">
        <v>1871</v>
      </c>
      <c r="N1204" t="b">
        <v>0</v>
      </c>
    </row>
    <row r="1205" spans="1:14">
      <c r="A1205">
        <v>80</v>
      </c>
      <c r="B1205">
        <v>25</v>
      </c>
      <c r="C1205" t="s">
        <v>678</v>
      </c>
      <c r="D1205" t="s">
        <v>754</v>
      </c>
      <c r="E1205" t="s">
        <v>678</v>
      </c>
      <c r="F1205">
        <v>0</v>
      </c>
      <c r="G1205" t="s">
        <v>678</v>
      </c>
      <c r="H1205" t="s">
        <v>678</v>
      </c>
      <c r="I1205" t="s">
        <v>678</v>
      </c>
      <c r="J1205" t="s">
        <v>678</v>
      </c>
      <c r="K1205" t="s">
        <v>678</v>
      </c>
      <c r="L1205" t="s">
        <v>678</v>
      </c>
      <c r="M1205" t="s">
        <v>1872</v>
      </c>
      <c r="N1205" t="b">
        <v>0</v>
      </c>
    </row>
    <row r="1206" spans="1:14">
      <c r="A1206">
        <v>80</v>
      </c>
      <c r="B1206">
        <v>26</v>
      </c>
      <c r="C1206" t="s">
        <v>678</v>
      </c>
      <c r="D1206" t="s">
        <v>754</v>
      </c>
      <c r="E1206" t="s">
        <v>678</v>
      </c>
      <c r="F1206">
        <v>0</v>
      </c>
      <c r="G1206" t="s">
        <v>678</v>
      </c>
      <c r="H1206" t="s">
        <v>678</v>
      </c>
      <c r="I1206" t="s">
        <v>678</v>
      </c>
      <c r="J1206" t="s">
        <v>678</v>
      </c>
      <c r="K1206" t="s">
        <v>678</v>
      </c>
      <c r="L1206" t="s">
        <v>678</v>
      </c>
      <c r="M1206" t="s">
        <v>1873</v>
      </c>
      <c r="N1206" t="b">
        <v>0</v>
      </c>
    </row>
    <row r="1207" spans="1:14">
      <c r="A1207">
        <v>81</v>
      </c>
      <c r="B1207">
        <v>0</v>
      </c>
      <c r="C1207" t="s">
        <v>226</v>
      </c>
      <c r="D1207" t="s">
        <v>737</v>
      </c>
      <c r="E1207" t="s">
        <v>67</v>
      </c>
      <c r="F1207">
        <v>60</v>
      </c>
      <c r="G1207" t="s">
        <v>678</v>
      </c>
      <c r="H1207" t="s">
        <v>678</v>
      </c>
      <c r="I1207" t="s">
        <v>67</v>
      </c>
      <c r="J1207" t="s">
        <v>678</v>
      </c>
      <c r="K1207" t="s">
        <v>678</v>
      </c>
      <c r="L1207" t="s">
        <v>678</v>
      </c>
      <c r="M1207" t="s">
        <v>1874</v>
      </c>
      <c r="N1207" t="b">
        <v>0</v>
      </c>
    </row>
    <row r="1208" spans="1:14">
      <c r="A1208">
        <v>81</v>
      </c>
      <c r="B1208">
        <v>1</v>
      </c>
      <c r="C1208" t="s">
        <v>167</v>
      </c>
      <c r="D1208" t="s">
        <v>737</v>
      </c>
      <c r="E1208" t="s">
        <v>85</v>
      </c>
      <c r="F1208">
        <v>40</v>
      </c>
      <c r="G1208" t="s">
        <v>678</v>
      </c>
      <c r="H1208" t="s">
        <v>678</v>
      </c>
      <c r="I1208" t="s">
        <v>85</v>
      </c>
      <c r="J1208" t="s">
        <v>678</v>
      </c>
      <c r="K1208" t="s">
        <v>678</v>
      </c>
      <c r="L1208" t="s">
        <v>678</v>
      </c>
      <c r="M1208" t="s">
        <v>1875</v>
      </c>
      <c r="N1208" t="b">
        <v>0</v>
      </c>
    </row>
    <row r="1209" spans="1:14">
      <c r="A1209">
        <v>81</v>
      </c>
      <c r="B1209">
        <v>2</v>
      </c>
      <c r="C1209" t="s">
        <v>222</v>
      </c>
      <c r="D1209" t="s">
        <v>737</v>
      </c>
      <c r="E1209" t="s">
        <v>113</v>
      </c>
      <c r="F1209">
        <v>40</v>
      </c>
      <c r="G1209" t="s">
        <v>678</v>
      </c>
      <c r="H1209" t="s">
        <v>678</v>
      </c>
      <c r="I1209" t="s">
        <v>113</v>
      </c>
      <c r="J1209" t="s">
        <v>678</v>
      </c>
      <c r="K1209" t="s">
        <v>678</v>
      </c>
      <c r="L1209" t="s">
        <v>678</v>
      </c>
      <c r="M1209" t="s">
        <v>1876</v>
      </c>
      <c r="N1209" t="b">
        <v>0</v>
      </c>
    </row>
    <row r="1210" spans="1:14">
      <c r="A1210">
        <v>81</v>
      </c>
      <c r="B1210">
        <v>3</v>
      </c>
      <c r="C1210" t="s">
        <v>191</v>
      </c>
      <c r="D1210" t="s">
        <v>737</v>
      </c>
      <c r="E1210" t="s">
        <v>64</v>
      </c>
      <c r="F1210">
        <v>40</v>
      </c>
      <c r="G1210" t="s">
        <v>678</v>
      </c>
      <c r="H1210" t="s">
        <v>678</v>
      </c>
      <c r="I1210" t="s">
        <v>64</v>
      </c>
      <c r="J1210" t="s">
        <v>678</v>
      </c>
      <c r="K1210" t="s">
        <v>678</v>
      </c>
      <c r="L1210" t="s">
        <v>678</v>
      </c>
      <c r="M1210" t="s">
        <v>1877</v>
      </c>
      <c r="N1210" t="b">
        <v>0</v>
      </c>
    </row>
    <row r="1211" spans="1:14">
      <c r="A1211">
        <v>81</v>
      </c>
      <c r="B1211">
        <v>4</v>
      </c>
      <c r="C1211" t="s">
        <v>442</v>
      </c>
      <c r="D1211" t="s">
        <v>766</v>
      </c>
      <c r="E1211" t="s">
        <v>556</v>
      </c>
      <c r="F1211">
        <v>60</v>
      </c>
      <c r="G1211" t="s">
        <v>1682</v>
      </c>
      <c r="H1211" t="s">
        <v>678</v>
      </c>
      <c r="I1211" t="s">
        <v>678</v>
      </c>
      <c r="J1211" t="s">
        <v>1878</v>
      </c>
      <c r="K1211" t="s">
        <v>814</v>
      </c>
      <c r="L1211" t="s">
        <v>815</v>
      </c>
      <c r="M1211" t="s">
        <v>1879</v>
      </c>
      <c r="N1211" t="b">
        <v>0</v>
      </c>
    </row>
    <row r="1212" spans="1:14">
      <c r="A1212">
        <v>81</v>
      </c>
      <c r="B1212">
        <v>5</v>
      </c>
      <c r="C1212" t="s">
        <v>443</v>
      </c>
      <c r="D1212" t="s">
        <v>766</v>
      </c>
      <c r="E1212" t="s">
        <v>556</v>
      </c>
      <c r="F1212">
        <v>50</v>
      </c>
      <c r="G1212" t="s">
        <v>1682</v>
      </c>
      <c r="H1212" t="s">
        <v>678</v>
      </c>
      <c r="I1212" t="s">
        <v>678</v>
      </c>
      <c r="J1212" t="s">
        <v>1880</v>
      </c>
      <c r="K1212" t="s">
        <v>838</v>
      </c>
      <c r="L1212" t="s">
        <v>839</v>
      </c>
      <c r="M1212" t="s">
        <v>1881</v>
      </c>
      <c r="N1212" t="b">
        <v>0</v>
      </c>
    </row>
    <row r="1213" spans="1:14">
      <c r="A1213">
        <v>81</v>
      </c>
      <c r="B1213">
        <v>6</v>
      </c>
      <c r="C1213" t="s">
        <v>217</v>
      </c>
      <c r="D1213" t="s">
        <v>766</v>
      </c>
      <c r="E1213" t="s">
        <v>556</v>
      </c>
      <c r="F1213">
        <v>50</v>
      </c>
      <c r="G1213" t="s">
        <v>773</v>
      </c>
      <c r="H1213" t="s">
        <v>678</v>
      </c>
      <c r="I1213" t="s">
        <v>678</v>
      </c>
      <c r="J1213" t="s">
        <v>837</v>
      </c>
      <c r="K1213" t="s">
        <v>903</v>
      </c>
      <c r="L1213" t="s">
        <v>904</v>
      </c>
      <c r="M1213" t="s">
        <v>1882</v>
      </c>
      <c r="N1213" t="b">
        <v>0</v>
      </c>
    </row>
    <row r="1214" spans="1:14">
      <c r="A1214">
        <v>81</v>
      </c>
      <c r="B1214">
        <v>7</v>
      </c>
      <c r="C1214" t="s">
        <v>178</v>
      </c>
      <c r="D1214" t="s">
        <v>737</v>
      </c>
      <c r="E1214" t="s">
        <v>102</v>
      </c>
      <c r="F1214">
        <v>60</v>
      </c>
      <c r="G1214" t="s">
        <v>678</v>
      </c>
      <c r="H1214" t="s">
        <v>678</v>
      </c>
      <c r="I1214" t="s">
        <v>102</v>
      </c>
      <c r="J1214" t="s">
        <v>678</v>
      </c>
      <c r="K1214" t="s">
        <v>678</v>
      </c>
      <c r="L1214" t="s">
        <v>678</v>
      </c>
      <c r="M1214" t="s">
        <v>1883</v>
      </c>
      <c r="N1214" t="b">
        <v>0</v>
      </c>
    </row>
    <row r="1215" spans="1:14">
      <c r="A1215">
        <v>81</v>
      </c>
      <c r="B1215">
        <v>8</v>
      </c>
      <c r="C1215" t="s">
        <v>678</v>
      </c>
      <c r="D1215" t="s">
        <v>737</v>
      </c>
      <c r="E1215" t="s">
        <v>678</v>
      </c>
      <c r="F1215">
        <v>0</v>
      </c>
      <c r="G1215" t="s">
        <v>678</v>
      </c>
      <c r="H1215" t="s">
        <v>678</v>
      </c>
      <c r="I1215" t="s">
        <v>678</v>
      </c>
      <c r="J1215" t="s">
        <v>678</v>
      </c>
      <c r="K1215" t="s">
        <v>678</v>
      </c>
      <c r="L1215" t="s">
        <v>678</v>
      </c>
      <c r="M1215" t="s">
        <v>1884</v>
      </c>
      <c r="N1215" t="b">
        <v>0</v>
      </c>
    </row>
    <row r="1216" spans="1:14">
      <c r="A1216">
        <v>81</v>
      </c>
      <c r="B1216">
        <v>9</v>
      </c>
      <c r="C1216" t="s">
        <v>678</v>
      </c>
      <c r="D1216" t="s">
        <v>737</v>
      </c>
      <c r="E1216" t="s">
        <v>678</v>
      </c>
      <c r="F1216">
        <v>0</v>
      </c>
      <c r="G1216" t="s">
        <v>678</v>
      </c>
      <c r="H1216" t="s">
        <v>678</v>
      </c>
      <c r="I1216" t="s">
        <v>678</v>
      </c>
      <c r="J1216" t="s">
        <v>678</v>
      </c>
      <c r="K1216" t="s">
        <v>678</v>
      </c>
      <c r="L1216" t="s">
        <v>678</v>
      </c>
      <c r="M1216" t="s">
        <v>1885</v>
      </c>
      <c r="N1216" t="b">
        <v>0</v>
      </c>
    </row>
    <row r="1217" spans="1:14">
      <c r="A1217">
        <v>81</v>
      </c>
      <c r="B1217">
        <v>10</v>
      </c>
      <c r="C1217" t="s">
        <v>678</v>
      </c>
      <c r="D1217" t="s">
        <v>737</v>
      </c>
      <c r="E1217" t="s">
        <v>678</v>
      </c>
      <c r="F1217">
        <v>0</v>
      </c>
      <c r="G1217" t="s">
        <v>678</v>
      </c>
      <c r="H1217" t="s">
        <v>678</v>
      </c>
      <c r="I1217" t="s">
        <v>678</v>
      </c>
      <c r="J1217" t="s">
        <v>678</v>
      </c>
      <c r="K1217" t="s">
        <v>678</v>
      </c>
      <c r="L1217" t="s">
        <v>678</v>
      </c>
      <c r="M1217" t="s">
        <v>1886</v>
      </c>
      <c r="N1217" t="b">
        <v>0</v>
      </c>
    </row>
    <row r="1218" spans="1:14">
      <c r="A1218">
        <v>81</v>
      </c>
      <c r="B1218">
        <v>11</v>
      </c>
      <c r="C1218" t="s">
        <v>678</v>
      </c>
      <c r="D1218" t="s">
        <v>737</v>
      </c>
      <c r="E1218" t="s">
        <v>678</v>
      </c>
      <c r="F1218">
        <v>0</v>
      </c>
      <c r="G1218" t="s">
        <v>678</v>
      </c>
      <c r="H1218" t="s">
        <v>678</v>
      </c>
      <c r="I1218" t="s">
        <v>678</v>
      </c>
      <c r="J1218" t="s">
        <v>678</v>
      </c>
      <c r="K1218" t="s">
        <v>678</v>
      </c>
      <c r="L1218" t="s">
        <v>678</v>
      </c>
      <c r="M1218" t="s">
        <v>1887</v>
      </c>
      <c r="N1218" t="b">
        <v>0</v>
      </c>
    </row>
    <row r="1219" spans="1:14">
      <c r="A1219">
        <v>81</v>
      </c>
      <c r="B1219">
        <v>12</v>
      </c>
      <c r="C1219" t="s">
        <v>678</v>
      </c>
      <c r="D1219" t="s">
        <v>737</v>
      </c>
      <c r="E1219" t="s">
        <v>678</v>
      </c>
      <c r="F1219">
        <v>0</v>
      </c>
      <c r="G1219" t="s">
        <v>678</v>
      </c>
      <c r="H1219" t="s">
        <v>678</v>
      </c>
      <c r="I1219" t="s">
        <v>678</v>
      </c>
      <c r="J1219" t="s">
        <v>678</v>
      </c>
      <c r="K1219" t="s">
        <v>678</v>
      </c>
      <c r="L1219" t="s">
        <v>678</v>
      </c>
      <c r="M1219" t="s">
        <v>1888</v>
      </c>
      <c r="N1219" t="b">
        <v>0</v>
      </c>
    </row>
    <row r="1220" spans="1:14">
      <c r="A1220">
        <v>81</v>
      </c>
      <c r="B1220">
        <v>13</v>
      </c>
      <c r="C1220" t="s">
        <v>678</v>
      </c>
      <c r="D1220" t="s">
        <v>737</v>
      </c>
      <c r="E1220" t="s">
        <v>678</v>
      </c>
      <c r="F1220">
        <v>0</v>
      </c>
      <c r="G1220" t="s">
        <v>678</v>
      </c>
      <c r="H1220" t="s">
        <v>678</v>
      </c>
      <c r="I1220" t="s">
        <v>678</v>
      </c>
      <c r="J1220" t="s">
        <v>678</v>
      </c>
      <c r="K1220" t="s">
        <v>678</v>
      </c>
      <c r="L1220" t="s">
        <v>678</v>
      </c>
      <c r="M1220" t="s">
        <v>1889</v>
      </c>
      <c r="N1220" t="b">
        <v>0</v>
      </c>
    </row>
    <row r="1221" spans="1:14">
      <c r="A1221">
        <v>81</v>
      </c>
      <c r="B1221">
        <v>14</v>
      </c>
      <c r="C1221" t="s">
        <v>678</v>
      </c>
      <c r="D1221" t="s">
        <v>737</v>
      </c>
      <c r="E1221" t="s">
        <v>678</v>
      </c>
      <c r="F1221">
        <v>0</v>
      </c>
      <c r="G1221" t="s">
        <v>678</v>
      </c>
      <c r="H1221" t="s">
        <v>678</v>
      </c>
      <c r="I1221" t="s">
        <v>678</v>
      </c>
      <c r="J1221" t="s">
        <v>678</v>
      </c>
      <c r="K1221" t="s">
        <v>678</v>
      </c>
      <c r="L1221" t="s">
        <v>678</v>
      </c>
      <c r="M1221" t="s">
        <v>1890</v>
      </c>
      <c r="N1221" t="b">
        <v>0</v>
      </c>
    </row>
    <row r="1222" spans="1:14">
      <c r="A1222">
        <v>81</v>
      </c>
      <c r="B1222">
        <v>15</v>
      </c>
      <c r="C1222" t="s">
        <v>678</v>
      </c>
      <c r="D1222" t="s">
        <v>737</v>
      </c>
      <c r="E1222" t="s">
        <v>678</v>
      </c>
      <c r="F1222">
        <v>0</v>
      </c>
      <c r="G1222" t="s">
        <v>678</v>
      </c>
      <c r="H1222" t="s">
        <v>678</v>
      </c>
      <c r="I1222" t="s">
        <v>678</v>
      </c>
      <c r="J1222" t="s">
        <v>678</v>
      </c>
      <c r="K1222" t="s">
        <v>678</v>
      </c>
      <c r="L1222" t="s">
        <v>678</v>
      </c>
      <c r="M1222" t="s">
        <v>1891</v>
      </c>
      <c r="N1222" t="b">
        <v>0</v>
      </c>
    </row>
    <row r="1223" spans="1:14">
      <c r="A1223">
        <v>81</v>
      </c>
      <c r="B1223">
        <v>16</v>
      </c>
      <c r="C1223" t="s">
        <v>678</v>
      </c>
      <c r="D1223" t="s">
        <v>754</v>
      </c>
      <c r="E1223" t="s">
        <v>678</v>
      </c>
      <c r="F1223">
        <v>0</v>
      </c>
      <c r="G1223" t="s">
        <v>678</v>
      </c>
      <c r="H1223" t="s">
        <v>678</v>
      </c>
      <c r="I1223" t="s">
        <v>678</v>
      </c>
      <c r="J1223" t="s">
        <v>678</v>
      </c>
      <c r="K1223" t="s">
        <v>678</v>
      </c>
      <c r="L1223" t="s">
        <v>678</v>
      </c>
      <c r="M1223" t="s">
        <v>1892</v>
      </c>
      <c r="N1223" t="b">
        <v>0</v>
      </c>
    </row>
    <row r="1224" spans="1:14">
      <c r="A1224">
        <v>81</v>
      </c>
      <c r="B1224">
        <v>17</v>
      </c>
      <c r="C1224" t="s">
        <v>678</v>
      </c>
      <c r="D1224" t="s">
        <v>754</v>
      </c>
      <c r="E1224" t="s">
        <v>678</v>
      </c>
      <c r="F1224">
        <v>0</v>
      </c>
      <c r="G1224" t="s">
        <v>678</v>
      </c>
      <c r="H1224" t="s">
        <v>678</v>
      </c>
      <c r="I1224" t="s">
        <v>678</v>
      </c>
      <c r="J1224" t="s">
        <v>678</v>
      </c>
      <c r="K1224" t="s">
        <v>678</v>
      </c>
      <c r="L1224" t="s">
        <v>678</v>
      </c>
      <c r="M1224" t="s">
        <v>1893</v>
      </c>
      <c r="N1224" t="b">
        <v>0</v>
      </c>
    </row>
    <row r="1225" spans="1:14">
      <c r="A1225">
        <v>81</v>
      </c>
      <c r="B1225">
        <v>18</v>
      </c>
      <c r="C1225" t="s">
        <v>678</v>
      </c>
      <c r="D1225" t="s">
        <v>754</v>
      </c>
      <c r="E1225" t="s">
        <v>678</v>
      </c>
      <c r="F1225">
        <v>0</v>
      </c>
      <c r="G1225" t="s">
        <v>678</v>
      </c>
      <c r="H1225" t="s">
        <v>678</v>
      </c>
      <c r="I1225" t="s">
        <v>678</v>
      </c>
      <c r="J1225" t="s">
        <v>678</v>
      </c>
      <c r="K1225" t="s">
        <v>678</v>
      </c>
      <c r="L1225" t="s">
        <v>678</v>
      </c>
      <c r="M1225" t="s">
        <v>1894</v>
      </c>
      <c r="N1225" t="b">
        <v>0</v>
      </c>
    </row>
    <row r="1226" spans="1:14">
      <c r="A1226">
        <v>81</v>
      </c>
      <c r="B1226">
        <v>19</v>
      </c>
      <c r="C1226" t="s">
        <v>678</v>
      </c>
      <c r="D1226" t="s">
        <v>754</v>
      </c>
      <c r="E1226" t="s">
        <v>678</v>
      </c>
      <c r="F1226">
        <v>0</v>
      </c>
      <c r="G1226" t="s">
        <v>678</v>
      </c>
      <c r="H1226" t="s">
        <v>678</v>
      </c>
      <c r="I1226" t="s">
        <v>678</v>
      </c>
      <c r="J1226" t="s">
        <v>678</v>
      </c>
      <c r="K1226" t="s">
        <v>678</v>
      </c>
      <c r="L1226" t="s">
        <v>678</v>
      </c>
      <c r="M1226" t="s">
        <v>1895</v>
      </c>
      <c r="N1226" t="b">
        <v>0</v>
      </c>
    </row>
    <row r="1227" spans="1:14">
      <c r="A1227">
        <v>81</v>
      </c>
      <c r="B1227">
        <v>20</v>
      </c>
      <c r="C1227" t="s">
        <v>678</v>
      </c>
      <c r="D1227" t="s">
        <v>754</v>
      </c>
      <c r="E1227" t="s">
        <v>678</v>
      </c>
      <c r="F1227">
        <v>0</v>
      </c>
      <c r="G1227" t="s">
        <v>678</v>
      </c>
      <c r="H1227" t="s">
        <v>678</v>
      </c>
      <c r="I1227" t="s">
        <v>678</v>
      </c>
      <c r="J1227" t="s">
        <v>678</v>
      </c>
      <c r="K1227" t="s">
        <v>678</v>
      </c>
      <c r="L1227" t="s">
        <v>678</v>
      </c>
      <c r="M1227" t="s">
        <v>1896</v>
      </c>
      <c r="N1227" t="b">
        <v>0</v>
      </c>
    </row>
    <row r="1228" spans="1:14">
      <c r="A1228">
        <v>81</v>
      </c>
      <c r="B1228">
        <v>21</v>
      </c>
      <c r="C1228" t="s">
        <v>678</v>
      </c>
      <c r="D1228" t="s">
        <v>754</v>
      </c>
      <c r="E1228" t="s">
        <v>678</v>
      </c>
      <c r="F1228">
        <v>0</v>
      </c>
      <c r="G1228" t="s">
        <v>678</v>
      </c>
      <c r="H1228" t="s">
        <v>678</v>
      </c>
      <c r="I1228" t="s">
        <v>678</v>
      </c>
      <c r="J1228" t="s">
        <v>678</v>
      </c>
      <c r="K1228" t="s">
        <v>678</v>
      </c>
      <c r="L1228" t="s">
        <v>678</v>
      </c>
      <c r="M1228" t="s">
        <v>1897</v>
      </c>
      <c r="N1228" t="b">
        <v>0</v>
      </c>
    </row>
    <row r="1229" spans="1:14">
      <c r="A1229">
        <v>81</v>
      </c>
      <c r="B1229">
        <v>22</v>
      </c>
      <c r="C1229" t="s">
        <v>678</v>
      </c>
      <c r="D1229" t="s">
        <v>754</v>
      </c>
      <c r="E1229" t="s">
        <v>678</v>
      </c>
      <c r="F1229">
        <v>0</v>
      </c>
      <c r="G1229" t="s">
        <v>678</v>
      </c>
      <c r="H1229" t="s">
        <v>678</v>
      </c>
      <c r="I1229" t="s">
        <v>678</v>
      </c>
      <c r="J1229" t="s">
        <v>678</v>
      </c>
      <c r="K1229" t="s">
        <v>678</v>
      </c>
      <c r="L1229" t="s">
        <v>678</v>
      </c>
      <c r="M1229" t="s">
        <v>1898</v>
      </c>
      <c r="N1229" t="b">
        <v>0</v>
      </c>
    </row>
    <row r="1230" spans="1:14">
      <c r="A1230">
        <v>81</v>
      </c>
      <c r="B1230">
        <v>23</v>
      </c>
      <c r="C1230" t="s">
        <v>678</v>
      </c>
      <c r="D1230" t="s">
        <v>754</v>
      </c>
      <c r="E1230" t="s">
        <v>678</v>
      </c>
      <c r="F1230">
        <v>0</v>
      </c>
      <c r="G1230" t="s">
        <v>678</v>
      </c>
      <c r="H1230" t="s">
        <v>678</v>
      </c>
      <c r="I1230" t="s">
        <v>678</v>
      </c>
      <c r="J1230" t="s">
        <v>678</v>
      </c>
      <c r="K1230" t="s">
        <v>678</v>
      </c>
      <c r="L1230" t="s">
        <v>678</v>
      </c>
      <c r="M1230" t="s">
        <v>1899</v>
      </c>
      <c r="N1230" t="b">
        <v>0</v>
      </c>
    </row>
    <row r="1231" spans="1:14">
      <c r="A1231">
        <v>81</v>
      </c>
      <c r="B1231">
        <v>24</v>
      </c>
      <c r="C1231" t="s">
        <v>678</v>
      </c>
      <c r="D1231" t="s">
        <v>754</v>
      </c>
      <c r="E1231" t="s">
        <v>678</v>
      </c>
      <c r="F1231">
        <v>0</v>
      </c>
      <c r="G1231" t="s">
        <v>678</v>
      </c>
      <c r="H1231" t="s">
        <v>678</v>
      </c>
      <c r="I1231" t="s">
        <v>678</v>
      </c>
      <c r="J1231" t="s">
        <v>678</v>
      </c>
      <c r="K1231" t="s">
        <v>678</v>
      </c>
      <c r="L1231" t="s">
        <v>678</v>
      </c>
      <c r="M1231" t="s">
        <v>1900</v>
      </c>
      <c r="N1231" t="b">
        <v>0</v>
      </c>
    </row>
    <row r="1232" spans="1:14">
      <c r="A1232">
        <v>81</v>
      </c>
      <c r="B1232">
        <v>25</v>
      </c>
      <c r="C1232" t="s">
        <v>678</v>
      </c>
      <c r="D1232" t="s">
        <v>754</v>
      </c>
      <c r="E1232" t="s">
        <v>678</v>
      </c>
      <c r="F1232">
        <v>0</v>
      </c>
      <c r="G1232" t="s">
        <v>678</v>
      </c>
      <c r="H1232" t="s">
        <v>678</v>
      </c>
      <c r="I1232" t="s">
        <v>678</v>
      </c>
      <c r="J1232" t="s">
        <v>678</v>
      </c>
      <c r="K1232" t="s">
        <v>678</v>
      </c>
      <c r="L1232" t="s">
        <v>678</v>
      </c>
      <c r="M1232" t="s">
        <v>1901</v>
      </c>
      <c r="N1232" t="b">
        <v>0</v>
      </c>
    </row>
    <row r="1233" spans="1:14">
      <c r="A1233">
        <v>81</v>
      </c>
      <c r="B1233">
        <v>26</v>
      </c>
      <c r="C1233" t="s">
        <v>678</v>
      </c>
      <c r="D1233" t="s">
        <v>754</v>
      </c>
      <c r="E1233" t="s">
        <v>678</v>
      </c>
      <c r="F1233">
        <v>0</v>
      </c>
      <c r="G1233" t="s">
        <v>678</v>
      </c>
      <c r="H1233" t="s">
        <v>678</v>
      </c>
      <c r="I1233" t="s">
        <v>678</v>
      </c>
      <c r="J1233" t="s">
        <v>678</v>
      </c>
      <c r="K1233" t="s">
        <v>678</v>
      </c>
      <c r="L1233" t="s">
        <v>678</v>
      </c>
      <c r="M1233" t="s">
        <v>1902</v>
      </c>
      <c r="N1233" t="b">
        <v>0</v>
      </c>
    </row>
    <row r="1234" spans="1:14">
      <c r="A1234">
        <v>83</v>
      </c>
      <c r="B1234">
        <v>0</v>
      </c>
      <c r="C1234" t="s">
        <v>195</v>
      </c>
      <c r="D1234" t="s">
        <v>737</v>
      </c>
      <c r="E1234" t="s">
        <v>67</v>
      </c>
      <c r="F1234">
        <v>50</v>
      </c>
      <c r="G1234" t="s">
        <v>678</v>
      </c>
      <c r="H1234" t="s">
        <v>678</v>
      </c>
      <c r="I1234" t="s">
        <v>67</v>
      </c>
      <c r="J1234" t="s">
        <v>678</v>
      </c>
      <c r="K1234" t="s">
        <v>678</v>
      </c>
      <c r="L1234" t="s">
        <v>678</v>
      </c>
      <c r="M1234" t="s">
        <v>1903</v>
      </c>
      <c r="N1234" t="b">
        <v>0</v>
      </c>
    </row>
    <row r="1235" spans="1:14">
      <c r="A1235">
        <v>83</v>
      </c>
      <c r="B1235">
        <v>1</v>
      </c>
      <c r="C1235" t="s">
        <v>278</v>
      </c>
      <c r="D1235" t="s">
        <v>737</v>
      </c>
      <c r="E1235" t="s">
        <v>85</v>
      </c>
      <c r="F1235">
        <v>30</v>
      </c>
      <c r="G1235" t="s">
        <v>678</v>
      </c>
      <c r="H1235" t="s">
        <v>678</v>
      </c>
      <c r="I1235" t="s">
        <v>85</v>
      </c>
      <c r="J1235" t="s">
        <v>678</v>
      </c>
      <c r="K1235" t="s">
        <v>678</v>
      </c>
      <c r="L1235" t="s">
        <v>678</v>
      </c>
      <c r="M1235" t="s">
        <v>1904</v>
      </c>
      <c r="N1235" t="b">
        <v>0</v>
      </c>
    </row>
    <row r="1236" spans="1:14">
      <c r="A1236">
        <v>83</v>
      </c>
      <c r="B1236">
        <v>2</v>
      </c>
      <c r="C1236" t="s">
        <v>196</v>
      </c>
      <c r="D1236" t="s">
        <v>737</v>
      </c>
      <c r="E1236" t="s">
        <v>97</v>
      </c>
      <c r="F1236">
        <v>50</v>
      </c>
      <c r="G1236" t="s">
        <v>678</v>
      </c>
      <c r="H1236" t="s">
        <v>678</v>
      </c>
      <c r="I1236" t="s">
        <v>97</v>
      </c>
      <c r="J1236" t="s">
        <v>678</v>
      </c>
      <c r="K1236" t="s">
        <v>678</v>
      </c>
      <c r="L1236" t="s">
        <v>678</v>
      </c>
      <c r="M1236" t="s">
        <v>1905</v>
      </c>
      <c r="N1236" t="b">
        <v>0</v>
      </c>
    </row>
    <row r="1237" spans="1:14">
      <c r="A1237">
        <v>83</v>
      </c>
      <c r="B1237">
        <v>3</v>
      </c>
      <c r="C1237" t="s">
        <v>197</v>
      </c>
      <c r="D1237" t="s">
        <v>737</v>
      </c>
      <c r="E1237" t="s">
        <v>103</v>
      </c>
      <c r="F1237">
        <v>50</v>
      </c>
      <c r="G1237" t="s">
        <v>678</v>
      </c>
      <c r="H1237" t="s">
        <v>678</v>
      </c>
      <c r="I1237" t="s">
        <v>103</v>
      </c>
      <c r="J1237" t="s">
        <v>678</v>
      </c>
      <c r="K1237" t="s">
        <v>678</v>
      </c>
      <c r="L1237" t="s">
        <v>678</v>
      </c>
      <c r="M1237" t="s">
        <v>1906</v>
      </c>
      <c r="N1237" t="b">
        <v>0</v>
      </c>
    </row>
    <row r="1238" spans="1:14">
      <c r="A1238">
        <v>83</v>
      </c>
      <c r="B1238">
        <v>4</v>
      </c>
      <c r="C1238" t="s">
        <v>198</v>
      </c>
      <c r="D1238" t="s">
        <v>737</v>
      </c>
      <c r="E1238" t="s">
        <v>105</v>
      </c>
      <c r="F1238">
        <v>50</v>
      </c>
      <c r="G1238" t="s">
        <v>678</v>
      </c>
      <c r="H1238" t="s">
        <v>678</v>
      </c>
      <c r="I1238" t="s">
        <v>105</v>
      </c>
      <c r="J1238" t="s">
        <v>678</v>
      </c>
      <c r="K1238" t="s">
        <v>678</v>
      </c>
      <c r="L1238" t="s">
        <v>678</v>
      </c>
      <c r="M1238" t="s">
        <v>1907</v>
      </c>
      <c r="N1238" t="b">
        <v>0</v>
      </c>
    </row>
    <row r="1239" spans="1:14">
      <c r="A1239">
        <v>83</v>
      </c>
      <c r="B1239">
        <v>5</v>
      </c>
      <c r="C1239" t="s">
        <v>199</v>
      </c>
      <c r="D1239" t="s">
        <v>737</v>
      </c>
      <c r="E1239" t="s">
        <v>113</v>
      </c>
      <c r="F1239">
        <v>30</v>
      </c>
      <c r="G1239" t="s">
        <v>678</v>
      </c>
      <c r="H1239" t="s">
        <v>678</v>
      </c>
      <c r="I1239" t="s">
        <v>113</v>
      </c>
      <c r="J1239" t="s">
        <v>678</v>
      </c>
      <c r="K1239" t="s">
        <v>678</v>
      </c>
      <c r="L1239" t="s">
        <v>678</v>
      </c>
      <c r="M1239" t="s">
        <v>1908</v>
      </c>
      <c r="N1239" t="b">
        <v>0</v>
      </c>
    </row>
    <row r="1240" spans="1:14">
      <c r="A1240">
        <v>83</v>
      </c>
      <c r="B1240">
        <v>6</v>
      </c>
      <c r="C1240" t="s">
        <v>447</v>
      </c>
      <c r="D1240" t="s">
        <v>737</v>
      </c>
      <c r="E1240" t="s">
        <v>308</v>
      </c>
      <c r="F1240">
        <v>50</v>
      </c>
      <c r="G1240" t="s">
        <v>678</v>
      </c>
      <c r="H1240" t="s">
        <v>1909</v>
      </c>
      <c r="I1240" t="s">
        <v>1910</v>
      </c>
      <c r="J1240" t="s">
        <v>678</v>
      </c>
      <c r="K1240" t="s">
        <v>775</v>
      </c>
      <c r="L1240" t="s">
        <v>776</v>
      </c>
      <c r="M1240" t="s">
        <v>1911</v>
      </c>
      <c r="N1240" t="b">
        <v>0</v>
      </c>
    </row>
    <row r="1241" spans="1:14">
      <c r="A1241">
        <v>83</v>
      </c>
      <c r="B1241">
        <v>7</v>
      </c>
      <c r="C1241" t="s">
        <v>327</v>
      </c>
      <c r="D1241" t="s">
        <v>737</v>
      </c>
      <c r="E1241" t="s">
        <v>117</v>
      </c>
      <c r="F1241">
        <v>30</v>
      </c>
      <c r="G1241" t="s">
        <v>678</v>
      </c>
      <c r="H1241" t="s">
        <v>678</v>
      </c>
      <c r="I1241" t="s">
        <v>117</v>
      </c>
      <c r="J1241" t="s">
        <v>678</v>
      </c>
      <c r="K1241" t="s">
        <v>678</v>
      </c>
      <c r="L1241" t="s">
        <v>678</v>
      </c>
      <c r="M1241" t="s">
        <v>1912</v>
      </c>
      <c r="N1241" t="b">
        <v>0</v>
      </c>
    </row>
    <row r="1242" spans="1:14">
      <c r="A1242">
        <v>83</v>
      </c>
      <c r="B1242">
        <v>8</v>
      </c>
      <c r="C1242" t="s">
        <v>200</v>
      </c>
      <c r="D1242" t="s">
        <v>737</v>
      </c>
      <c r="E1242" t="s">
        <v>119</v>
      </c>
      <c r="F1242">
        <v>60</v>
      </c>
      <c r="G1242" t="s">
        <v>678</v>
      </c>
      <c r="H1242" t="s">
        <v>678</v>
      </c>
      <c r="I1242" t="s">
        <v>119</v>
      </c>
      <c r="J1242" t="s">
        <v>678</v>
      </c>
      <c r="K1242" t="s">
        <v>678</v>
      </c>
      <c r="L1242" t="s">
        <v>678</v>
      </c>
      <c r="M1242" t="s">
        <v>1913</v>
      </c>
      <c r="N1242" t="b">
        <v>0</v>
      </c>
    </row>
    <row r="1243" spans="1:14">
      <c r="A1243">
        <v>83</v>
      </c>
      <c r="B1243">
        <v>9</v>
      </c>
      <c r="C1243" t="s">
        <v>201</v>
      </c>
      <c r="D1243" t="s">
        <v>737</v>
      </c>
      <c r="E1243" t="s">
        <v>64</v>
      </c>
      <c r="F1243">
        <v>30</v>
      </c>
      <c r="G1243" t="s">
        <v>678</v>
      </c>
      <c r="H1243" t="s">
        <v>678</v>
      </c>
      <c r="I1243" t="s">
        <v>64</v>
      </c>
      <c r="J1243" t="s">
        <v>678</v>
      </c>
      <c r="K1243" t="s">
        <v>678</v>
      </c>
      <c r="L1243" t="s">
        <v>678</v>
      </c>
      <c r="M1243" t="s">
        <v>1914</v>
      </c>
      <c r="N1243" t="b">
        <v>0</v>
      </c>
    </row>
    <row r="1244" spans="1:14">
      <c r="A1244">
        <v>83</v>
      </c>
      <c r="B1244">
        <v>10</v>
      </c>
      <c r="C1244" t="s">
        <v>172</v>
      </c>
      <c r="D1244" t="s">
        <v>737</v>
      </c>
      <c r="E1244" t="s">
        <v>80</v>
      </c>
      <c r="F1244">
        <v>40</v>
      </c>
      <c r="G1244" t="s">
        <v>678</v>
      </c>
      <c r="H1244" t="s">
        <v>678</v>
      </c>
      <c r="I1244" t="s">
        <v>80</v>
      </c>
      <c r="J1244" t="s">
        <v>678</v>
      </c>
      <c r="K1244" t="s">
        <v>678</v>
      </c>
      <c r="L1244" t="s">
        <v>678</v>
      </c>
      <c r="M1244" t="s">
        <v>1915</v>
      </c>
      <c r="N1244" t="b">
        <v>0</v>
      </c>
    </row>
    <row r="1245" spans="1:14">
      <c r="A1245">
        <v>83</v>
      </c>
      <c r="B1245">
        <v>11</v>
      </c>
      <c r="C1245" t="s">
        <v>448</v>
      </c>
      <c r="D1245" t="s">
        <v>737</v>
      </c>
      <c r="E1245" t="s">
        <v>369</v>
      </c>
      <c r="F1245">
        <v>60</v>
      </c>
      <c r="G1245" t="s">
        <v>678</v>
      </c>
      <c r="H1245" t="s">
        <v>1916</v>
      </c>
      <c r="I1245" t="s">
        <v>1917</v>
      </c>
      <c r="J1245" t="s">
        <v>678</v>
      </c>
      <c r="K1245" t="s">
        <v>1177</v>
      </c>
      <c r="L1245" t="s">
        <v>1178</v>
      </c>
      <c r="M1245" t="s">
        <v>1918</v>
      </c>
      <c r="N1245" t="b">
        <v>0</v>
      </c>
    </row>
    <row r="1246" spans="1:14">
      <c r="A1246">
        <v>83</v>
      </c>
      <c r="B1246">
        <v>12</v>
      </c>
      <c r="C1246" t="s">
        <v>203</v>
      </c>
      <c r="D1246" t="s">
        <v>737</v>
      </c>
      <c r="E1246" t="s">
        <v>102</v>
      </c>
      <c r="F1246">
        <v>50</v>
      </c>
      <c r="G1246" t="s">
        <v>678</v>
      </c>
      <c r="H1246" t="s">
        <v>678</v>
      </c>
      <c r="I1246" t="s">
        <v>102</v>
      </c>
      <c r="J1246" t="s">
        <v>678</v>
      </c>
      <c r="K1246" t="s">
        <v>678</v>
      </c>
      <c r="L1246" t="s">
        <v>678</v>
      </c>
      <c r="M1246" t="s">
        <v>1919</v>
      </c>
      <c r="N1246" t="b">
        <v>0</v>
      </c>
    </row>
    <row r="1247" spans="1:14">
      <c r="A1247">
        <v>83</v>
      </c>
      <c r="B1247">
        <v>13</v>
      </c>
      <c r="C1247" t="s">
        <v>233</v>
      </c>
      <c r="D1247" t="s">
        <v>737</v>
      </c>
      <c r="E1247" t="s">
        <v>111</v>
      </c>
      <c r="F1247">
        <v>50</v>
      </c>
      <c r="G1247" t="s">
        <v>678</v>
      </c>
      <c r="H1247" t="s">
        <v>678</v>
      </c>
      <c r="I1247" t="s">
        <v>111</v>
      </c>
      <c r="J1247" t="s">
        <v>678</v>
      </c>
      <c r="K1247" t="s">
        <v>678</v>
      </c>
      <c r="L1247" t="s">
        <v>678</v>
      </c>
      <c r="M1247" t="s">
        <v>1920</v>
      </c>
      <c r="N1247" t="b">
        <v>0</v>
      </c>
    </row>
    <row r="1248" spans="1:14">
      <c r="A1248">
        <v>83</v>
      </c>
      <c r="B1248">
        <v>14</v>
      </c>
      <c r="C1248" t="s">
        <v>204</v>
      </c>
      <c r="D1248" t="s">
        <v>737</v>
      </c>
      <c r="E1248" t="s">
        <v>112</v>
      </c>
      <c r="F1248">
        <v>60</v>
      </c>
      <c r="G1248" t="s">
        <v>678</v>
      </c>
      <c r="H1248" t="s">
        <v>678</v>
      </c>
      <c r="I1248" t="s">
        <v>112</v>
      </c>
      <c r="J1248" t="s">
        <v>678</v>
      </c>
      <c r="K1248" t="s">
        <v>678</v>
      </c>
      <c r="L1248" t="s">
        <v>678</v>
      </c>
      <c r="M1248" t="s">
        <v>1921</v>
      </c>
      <c r="N1248" t="b">
        <v>0</v>
      </c>
    </row>
    <row r="1249" spans="1:14">
      <c r="A1249">
        <v>83</v>
      </c>
      <c r="B1249">
        <v>15</v>
      </c>
      <c r="C1249" t="s">
        <v>678</v>
      </c>
      <c r="D1249" t="s">
        <v>737</v>
      </c>
      <c r="E1249" t="s">
        <v>678</v>
      </c>
      <c r="F1249">
        <v>0</v>
      </c>
      <c r="G1249" t="s">
        <v>678</v>
      </c>
      <c r="H1249" t="s">
        <v>678</v>
      </c>
      <c r="I1249" t="s">
        <v>678</v>
      </c>
      <c r="J1249" t="s">
        <v>678</v>
      </c>
      <c r="K1249" t="s">
        <v>678</v>
      </c>
      <c r="L1249" t="s">
        <v>678</v>
      </c>
      <c r="M1249" t="s">
        <v>1922</v>
      </c>
      <c r="N1249" t="b">
        <v>0</v>
      </c>
    </row>
    <row r="1250" spans="1:14">
      <c r="A1250">
        <v>83</v>
      </c>
      <c r="B1250">
        <v>16</v>
      </c>
      <c r="C1250" t="s">
        <v>678</v>
      </c>
      <c r="D1250" t="s">
        <v>754</v>
      </c>
      <c r="E1250" t="s">
        <v>678</v>
      </c>
      <c r="F1250">
        <v>0</v>
      </c>
      <c r="G1250" t="s">
        <v>678</v>
      </c>
      <c r="H1250" t="s">
        <v>678</v>
      </c>
      <c r="I1250" t="s">
        <v>678</v>
      </c>
      <c r="J1250" t="s">
        <v>678</v>
      </c>
      <c r="K1250" t="s">
        <v>678</v>
      </c>
      <c r="L1250" t="s">
        <v>678</v>
      </c>
      <c r="M1250" t="s">
        <v>1923</v>
      </c>
      <c r="N1250" t="b">
        <v>0</v>
      </c>
    </row>
    <row r="1251" spans="1:14">
      <c r="A1251">
        <v>83</v>
      </c>
      <c r="B1251">
        <v>17</v>
      </c>
      <c r="C1251" t="s">
        <v>678</v>
      </c>
      <c r="D1251" t="s">
        <v>754</v>
      </c>
      <c r="E1251" t="s">
        <v>678</v>
      </c>
      <c r="F1251">
        <v>0</v>
      </c>
      <c r="G1251" t="s">
        <v>678</v>
      </c>
      <c r="H1251" t="s">
        <v>678</v>
      </c>
      <c r="I1251" t="s">
        <v>678</v>
      </c>
      <c r="J1251" t="s">
        <v>678</v>
      </c>
      <c r="K1251" t="s">
        <v>678</v>
      </c>
      <c r="L1251" t="s">
        <v>678</v>
      </c>
      <c r="M1251" t="s">
        <v>1924</v>
      </c>
      <c r="N1251" t="b">
        <v>0</v>
      </c>
    </row>
    <row r="1252" spans="1:14">
      <c r="A1252">
        <v>83</v>
      </c>
      <c r="B1252">
        <v>18</v>
      </c>
      <c r="C1252" t="s">
        <v>678</v>
      </c>
      <c r="D1252" t="s">
        <v>754</v>
      </c>
      <c r="E1252" t="s">
        <v>678</v>
      </c>
      <c r="F1252">
        <v>0</v>
      </c>
      <c r="G1252" t="s">
        <v>678</v>
      </c>
      <c r="H1252" t="s">
        <v>678</v>
      </c>
      <c r="I1252" t="s">
        <v>678</v>
      </c>
      <c r="J1252" t="s">
        <v>678</v>
      </c>
      <c r="K1252" t="s">
        <v>678</v>
      </c>
      <c r="L1252" t="s">
        <v>678</v>
      </c>
      <c r="M1252" t="s">
        <v>1925</v>
      </c>
      <c r="N1252" t="b">
        <v>0</v>
      </c>
    </row>
    <row r="1253" spans="1:14">
      <c r="A1253">
        <v>83</v>
      </c>
      <c r="B1253">
        <v>19</v>
      </c>
      <c r="C1253" t="s">
        <v>678</v>
      </c>
      <c r="D1253" t="s">
        <v>754</v>
      </c>
      <c r="E1253" t="s">
        <v>678</v>
      </c>
      <c r="F1253">
        <v>0</v>
      </c>
      <c r="G1253" t="s">
        <v>678</v>
      </c>
      <c r="H1253" t="s">
        <v>678</v>
      </c>
      <c r="I1253" t="s">
        <v>678</v>
      </c>
      <c r="J1253" t="s">
        <v>678</v>
      </c>
      <c r="K1253" t="s">
        <v>678</v>
      </c>
      <c r="L1253" t="s">
        <v>678</v>
      </c>
      <c r="M1253" t="s">
        <v>1926</v>
      </c>
      <c r="N1253" t="b">
        <v>0</v>
      </c>
    </row>
    <row r="1254" spans="1:14">
      <c r="A1254">
        <v>83</v>
      </c>
      <c r="B1254">
        <v>20</v>
      </c>
      <c r="C1254" t="s">
        <v>678</v>
      </c>
      <c r="D1254" t="s">
        <v>754</v>
      </c>
      <c r="E1254" t="s">
        <v>678</v>
      </c>
      <c r="F1254">
        <v>0</v>
      </c>
      <c r="G1254" t="s">
        <v>678</v>
      </c>
      <c r="H1254" t="s">
        <v>678</v>
      </c>
      <c r="I1254" t="s">
        <v>678</v>
      </c>
      <c r="J1254" t="s">
        <v>678</v>
      </c>
      <c r="K1254" t="s">
        <v>678</v>
      </c>
      <c r="L1254" t="s">
        <v>678</v>
      </c>
      <c r="M1254" t="s">
        <v>1927</v>
      </c>
      <c r="N1254" t="b">
        <v>0</v>
      </c>
    </row>
    <row r="1255" spans="1:14">
      <c r="A1255">
        <v>83</v>
      </c>
      <c r="B1255">
        <v>21</v>
      </c>
      <c r="C1255" t="s">
        <v>678</v>
      </c>
      <c r="D1255" t="s">
        <v>754</v>
      </c>
      <c r="E1255" t="s">
        <v>678</v>
      </c>
      <c r="F1255">
        <v>0</v>
      </c>
      <c r="G1255" t="s">
        <v>678</v>
      </c>
      <c r="H1255" t="s">
        <v>678</v>
      </c>
      <c r="I1255" t="s">
        <v>678</v>
      </c>
      <c r="J1255" t="s">
        <v>678</v>
      </c>
      <c r="K1255" t="s">
        <v>678</v>
      </c>
      <c r="L1255" t="s">
        <v>678</v>
      </c>
      <c r="M1255" t="s">
        <v>1928</v>
      </c>
      <c r="N1255" t="b">
        <v>0</v>
      </c>
    </row>
    <row r="1256" spans="1:14">
      <c r="A1256">
        <v>83</v>
      </c>
      <c r="B1256">
        <v>22</v>
      </c>
      <c r="C1256" t="s">
        <v>678</v>
      </c>
      <c r="D1256" t="s">
        <v>754</v>
      </c>
      <c r="E1256" t="s">
        <v>678</v>
      </c>
      <c r="F1256">
        <v>0</v>
      </c>
      <c r="G1256" t="s">
        <v>678</v>
      </c>
      <c r="H1256" t="s">
        <v>678</v>
      </c>
      <c r="I1256" t="s">
        <v>678</v>
      </c>
      <c r="J1256" t="s">
        <v>678</v>
      </c>
      <c r="K1256" t="s">
        <v>678</v>
      </c>
      <c r="L1256" t="s">
        <v>678</v>
      </c>
      <c r="M1256" t="s">
        <v>1929</v>
      </c>
      <c r="N1256" t="b">
        <v>0</v>
      </c>
    </row>
    <row r="1257" spans="1:14">
      <c r="A1257">
        <v>83</v>
      </c>
      <c r="B1257">
        <v>23</v>
      </c>
      <c r="C1257" t="s">
        <v>678</v>
      </c>
      <c r="D1257" t="s">
        <v>754</v>
      </c>
      <c r="E1257" t="s">
        <v>678</v>
      </c>
      <c r="F1257">
        <v>0</v>
      </c>
      <c r="G1257" t="s">
        <v>678</v>
      </c>
      <c r="H1257" t="s">
        <v>678</v>
      </c>
      <c r="I1257" t="s">
        <v>678</v>
      </c>
      <c r="J1257" t="s">
        <v>678</v>
      </c>
      <c r="K1257" t="s">
        <v>678</v>
      </c>
      <c r="L1257" t="s">
        <v>678</v>
      </c>
      <c r="M1257" t="s">
        <v>1930</v>
      </c>
      <c r="N1257" t="b">
        <v>0</v>
      </c>
    </row>
    <row r="1258" spans="1:14">
      <c r="A1258">
        <v>83</v>
      </c>
      <c r="B1258">
        <v>24</v>
      </c>
      <c r="C1258" t="s">
        <v>678</v>
      </c>
      <c r="D1258" t="s">
        <v>754</v>
      </c>
      <c r="E1258" t="s">
        <v>678</v>
      </c>
      <c r="F1258">
        <v>0</v>
      </c>
      <c r="G1258" t="s">
        <v>678</v>
      </c>
      <c r="H1258" t="s">
        <v>678</v>
      </c>
      <c r="I1258" t="s">
        <v>678</v>
      </c>
      <c r="J1258" t="s">
        <v>678</v>
      </c>
      <c r="K1258" t="s">
        <v>678</v>
      </c>
      <c r="L1258" t="s">
        <v>678</v>
      </c>
      <c r="M1258" t="s">
        <v>1931</v>
      </c>
      <c r="N1258" t="b">
        <v>0</v>
      </c>
    </row>
    <row r="1259" spans="1:14">
      <c r="A1259">
        <v>83</v>
      </c>
      <c r="B1259">
        <v>25</v>
      </c>
      <c r="C1259" t="s">
        <v>678</v>
      </c>
      <c r="D1259" t="s">
        <v>754</v>
      </c>
      <c r="E1259" t="s">
        <v>678</v>
      </c>
      <c r="F1259">
        <v>0</v>
      </c>
      <c r="G1259" t="s">
        <v>678</v>
      </c>
      <c r="H1259" t="s">
        <v>678</v>
      </c>
      <c r="I1259" t="s">
        <v>678</v>
      </c>
      <c r="J1259" t="s">
        <v>678</v>
      </c>
      <c r="K1259" t="s">
        <v>678</v>
      </c>
      <c r="L1259" t="s">
        <v>678</v>
      </c>
      <c r="M1259" t="s">
        <v>1932</v>
      </c>
      <c r="N1259" t="b">
        <v>0</v>
      </c>
    </row>
    <row r="1260" spans="1:14">
      <c r="A1260">
        <v>83</v>
      </c>
      <c r="B1260">
        <v>26</v>
      </c>
      <c r="C1260" t="s">
        <v>678</v>
      </c>
      <c r="D1260" t="s">
        <v>754</v>
      </c>
      <c r="E1260" t="s">
        <v>678</v>
      </c>
      <c r="F1260">
        <v>0</v>
      </c>
      <c r="G1260" t="s">
        <v>678</v>
      </c>
      <c r="H1260" t="s">
        <v>678</v>
      </c>
      <c r="I1260" t="s">
        <v>678</v>
      </c>
      <c r="J1260" t="s">
        <v>678</v>
      </c>
      <c r="K1260" t="s">
        <v>678</v>
      </c>
      <c r="L1260" t="s">
        <v>678</v>
      </c>
      <c r="M1260" t="s">
        <v>1933</v>
      </c>
      <c r="N1260" t="b">
        <v>0</v>
      </c>
    </row>
    <row r="1261" spans="1:14">
      <c r="A1261">
        <v>86</v>
      </c>
      <c r="B1261">
        <v>0</v>
      </c>
      <c r="C1261" t="s">
        <v>195</v>
      </c>
      <c r="D1261" t="s">
        <v>737</v>
      </c>
      <c r="E1261" t="s">
        <v>67</v>
      </c>
      <c r="F1261">
        <v>50</v>
      </c>
      <c r="G1261" t="s">
        <v>678</v>
      </c>
      <c r="H1261" t="s">
        <v>678</v>
      </c>
      <c r="I1261" t="s">
        <v>67</v>
      </c>
      <c r="J1261" t="s">
        <v>678</v>
      </c>
      <c r="K1261" t="s">
        <v>678</v>
      </c>
      <c r="L1261" t="s">
        <v>678</v>
      </c>
      <c r="M1261" t="s">
        <v>1934</v>
      </c>
      <c r="N1261" t="b">
        <v>0</v>
      </c>
    </row>
    <row r="1262" spans="1:14">
      <c r="A1262">
        <v>86</v>
      </c>
      <c r="B1262">
        <v>1</v>
      </c>
      <c r="C1262" t="s">
        <v>454</v>
      </c>
      <c r="D1262" t="s">
        <v>737</v>
      </c>
      <c r="E1262" t="s">
        <v>85</v>
      </c>
      <c r="F1262">
        <v>20</v>
      </c>
      <c r="G1262" t="s">
        <v>678</v>
      </c>
      <c r="H1262" t="s">
        <v>678</v>
      </c>
      <c r="I1262" t="s">
        <v>85</v>
      </c>
      <c r="J1262" t="s">
        <v>678</v>
      </c>
      <c r="K1262" t="s">
        <v>678</v>
      </c>
      <c r="L1262" t="s">
        <v>678</v>
      </c>
      <c r="M1262" t="s">
        <v>1935</v>
      </c>
      <c r="N1262" t="b">
        <v>0</v>
      </c>
    </row>
    <row r="1263" spans="1:14">
      <c r="A1263">
        <v>86</v>
      </c>
      <c r="B1263">
        <v>2</v>
      </c>
      <c r="C1263" t="s">
        <v>196</v>
      </c>
      <c r="D1263" t="s">
        <v>737</v>
      </c>
      <c r="E1263" t="s">
        <v>97</v>
      </c>
      <c r="F1263">
        <v>50</v>
      </c>
      <c r="G1263" t="s">
        <v>678</v>
      </c>
      <c r="H1263" t="s">
        <v>678</v>
      </c>
      <c r="I1263" t="s">
        <v>97</v>
      </c>
      <c r="J1263" t="s">
        <v>678</v>
      </c>
      <c r="K1263" t="s">
        <v>678</v>
      </c>
      <c r="L1263" t="s">
        <v>678</v>
      </c>
      <c r="M1263" t="s">
        <v>1936</v>
      </c>
      <c r="N1263" t="b">
        <v>0</v>
      </c>
    </row>
    <row r="1264" spans="1:14">
      <c r="A1264">
        <v>86</v>
      </c>
      <c r="B1264">
        <v>3</v>
      </c>
      <c r="C1264" t="s">
        <v>197</v>
      </c>
      <c r="D1264" t="s">
        <v>737</v>
      </c>
      <c r="E1264" t="s">
        <v>103</v>
      </c>
      <c r="F1264">
        <v>50</v>
      </c>
      <c r="G1264" t="s">
        <v>678</v>
      </c>
      <c r="H1264" t="s">
        <v>678</v>
      </c>
      <c r="I1264" t="s">
        <v>103</v>
      </c>
      <c r="J1264" t="s">
        <v>678</v>
      </c>
      <c r="K1264" t="s">
        <v>678</v>
      </c>
      <c r="L1264" t="s">
        <v>678</v>
      </c>
      <c r="M1264" t="s">
        <v>1937</v>
      </c>
      <c r="N1264" t="b">
        <v>0</v>
      </c>
    </row>
    <row r="1265" spans="1:14">
      <c r="A1265">
        <v>86</v>
      </c>
      <c r="B1265">
        <v>4</v>
      </c>
      <c r="C1265" t="s">
        <v>198</v>
      </c>
      <c r="D1265" t="s">
        <v>737</v>
      </c>
      <c r="E1265" t="s">
        <v>105</v>
      </c>
      <c r="F1265">
        <v>50</v>
      </c>
      <c r="G1265" t="s">
        <v>678</v>
      </c>
      <c r="H1265" t="s">
        <v>678</v>
      </c>
      <c r="I1265" t="s">
        <v>105</v>
      </c>
      <c r="J1265" t="s">
        <v>678</v>
      </c>
      <c r="K1265" t="s">
        <v>678</v>
      </c>
      <c r="L1265" t="s">
        <v>678</v>
      </c>
      <c r="M1265" t="s">
        <v>1938</v>
      </c>
      <c r="N1265" t="b">
        <v>0</v>
      </c>
    </row>
    <row r="1266" spans="1:14">
      <c r="A1266">
        <v>86</v>
      </c>
      <c r="B1266">
        <v>5</v>
      </c>
      <c r="C1266" t="s">
        <v>199</v>
      </c>
      <c r="D1266" t="s">
        <v>737</v>
      </c>
      <c r="E1266" t="s">
        <v>113</v>
      </c>
      <c r="F1266">
        <v>30</v>
      </c>
      <c r="G1266" t="s">
        <v>678</v>
      </c>
      <c r="H1266" t="s">
        <v>678</v>
      </c>
      <c r="I1266" t="s">
        <v>113</v>
      </c>
      <c r="J1266" t="s">
        <v>678</v>
      </c>
      <c r="K1266" t="s">
        <v>678</v>
      </c>
      <c r="L1266" t="s">
        <v>678</v>
      </c>
      <c r="M1266" t="s">
        <v>1939</v>
      </c>
      <c r="N1266" t="b">
        <v>0</v>
      </c>
    </row>
    <row r="1267" spans="1:14">
      <c r="A1267">
        <v>86</v>
      </c>
      <c r="B1267">
        <v>6</v>
      </c>
      <c r="C1267" t="s">
        <v>455</v>
      </c>
      <c r="D1267" t="s">
        <v>737</v>
      </c>
      <c r="E1267" t="s">
        <v>308</v>
      </c>
      <c r="F1267">
        <v>40</v>
      </c>
      <c r="G1267" t="s">
        <v>678</v>
      </c>
      <c r="H1267" t="s">
        <v>1909</v>
      </c>
      <c r="I1267" t="s">
        <v>1910</v>
      </c>
      <c r="J1267" t="s">
        <v>678</v>
      </c>
      <c r="K1267" t="s">
        <v>775</v>
      </c>
      <c r="L1267" t="s">
        <v>776</v>
      </c>
      <c r="M1267" t="s">
        <v>1940</v>
      </c>
      <c r="N1267" t="b">
        <v>0</v>
      </c>
    </row>
    <row r="1268" spans="1:14">
      <c r="A1268">
        <v>86</v>
      </c>
      <c r="B1268">
        <v>7</v>
      </c>
      <c r="C1268" t="s">
        <v>264</v>
      </c>
      <c r="D1268" t="s">
        <v>737</v>
      </c>
      <c r="E1268" t="s">
        <v>119</v>
      </c>
      <c r="F1268">
        <v>40</v>
      </c>
      <c r="G1268" t="s">
        <v>678</v>
      </c>
      <c r="H1268" t="s">
        <v>678</v>
      </c>
      <c r="I1268" t="s">
        <v>119</v>
      </c>
      <c r="J1268" t="s">
        <v>678</v>
      </c>
      <c r="K1268" t="s">
        <v>678</v>
      </c>
      <c r="L1268" t="s">
        <v>678</v>
      </c>
      <c r="M1268" t="s">
        <v>1941</v>
      </c>
      <c r="N1268" t="b">
        <v>0</v>
      </c>
    </row>
    <row r="1269" spans="1:14">
      <c r="A1269">
        <v>86</v>
      </c>
      <c r="B1269">
        <v>8</v>
      </c>
      <c r="C1269" t="s">
        <v>201</v>
      </c>
      <c r="D1269" t="s">
        <v>737</v>
      </c>
      <c r="E1269" t="s">
        <v>64</v>
      </c>
      <c r="F1269">
        <v>30</v>
      </c>
      <c r="G1269" t="s">
        <v>678</v>
      </c>
      <c r="H1269" t="s">
        <v>678</v>
      </c>
      <c r="I1269" t="s">
        <v>64</v>
      </c>
      <c r="J1269" t="s">
        <v>678</v>
      </c>
      <c r="K1269" t="s">
        <v>678</v>
      </c>
      <c r="L1269" t="s">
        <v>678</v>
      </c>
      <c r="M1269" t="s">
        <v>1942</v>
      </c>
      <c r="N1269" t="b">
        <v>0</v>
      </c>
    </row>
    <row r="1270" spans="1:14">
      <c r="A1270">
        <v>86</v>
      </c>
      <c r="B1270">
        <v>9</v>
      </c>
      <c r="C1270" t="s">
        <v>366</v>
      </c>
      <c r="D1270" t="s">
        <v>737</v>
      </c>
      <c r="E1270" t="s">
        <v>76</v>
      </c>
      <c r="F1270">
        <v>60</v>
      </c>
      <c r="G1270" t="s">
        <v>678</v>
      </c>
      <c r="H1270" t="s">
        <v>678</v>
      </c>
      <c r="I1270" t="s">
        <v>76</v>
      </c>
      <c r="J1270" t="s">
        <v>678</v>
      </c>
      <c r="K1270" t="s">
        <v>678</v>
      </c>
      <c r="L1270" t="s">
        <v>678</v>
      </c>
      <c r="M1270" t="s">
        <v>1943</v>
      </c>
      <c r="N1270" t="b">
        <v>0</v>
      </c>
    </row>
    <row r="1271" spans="1:14">
      <c r="A1271">
        <v>86</v>
      </c>
      <c r="B1271">
        <v>10</v>
      </c>
      <c r="C1271" t="s">
        <v>202</v>
      </c>
      <c r="D1271" t="s">
        <v>737</v>
      </c>
      <c r="E1271" t="s">
        <v>80</v>
      </c>
      <c r="F1271">
        <v>50</v>
      </c>
      <c r="G1271" t="s">
        <v>678</v>
      </c>
      <c r="H1271" t="s">
        <v>678</v>
      </c>
      <c r="I1271" t="s">
        <v>80</v>
      </c>
      <c r="J1271" t="s">
        <v>678</v>
      </c>
      <c r="K1271" t="s">
        <v>678</v>
      </c>
      <c r="L1271" t="s">
        <v>678</v>
      </c>
      <c r="M1271" t="s">
        <v>1944</v>
      </c>
      <c r="N1271" t="b">
        <v>0</v>
      </c>
    </row>
    <row r="1272" spans="1:14">
      <c r="A1272">
        <v>86</v>
      </c>
      <c r="B1272">
        <v>11</v>
      </c>
      <c r="C1272" t="s">
        <v>208</v>
      </c>
      <c r="D1272" t="s">
        <v>737</v>
      </c>
      <c r="E1272" t="s">
        <v>86</v>
      </c>
      <c r="F1272">
        <v>50</v>
      </c>
      <c r="G1272" t="s">
        <v>678</v>
      </c>
      <c r="H1272" t="s">
        <v>678</v>
      </c>
      <c r="I1272" t="s">
        <v>86</v>
      </c>
      <c r="J1272" t="s">
        <v>678</v>
      </c>
      <c r="K1272" t="s">
        <v>678</v>
      </c>
      <c r="L1272" t="s">
        <v>678</v>
      </c>
      <c r="M1272" t="s">
        <v>1945</v>
      </c>
      <c r="N1272" t="b">
        <v>0</v>
      </c>
    </row>
    <row r="1273" spans="1:14">
      <c r="A1273">
        <v>86</v>
      </c>
      <c r="B1273">
        <v>12</v>
      </c>
      <c r="C1273" t="s">
        <v>203</v>
      </c>
      <c r="D1273" t="s">
        <v>737</v>
      </c>
      <c r="E1273" t="s">
        <v>102</v>
      </c>
      <c r="F1273">
        <v>50</v>
      </c>
      <c r="G1273" t="s">
        <v>678</v>
      </c>
      <c r="H1273" t="s">
        <v>678</v>
      </c>
      <c r="I1273" t="s">
        <v>102</v>
      </c>
      <c r="J1273" t="s">
        <v>678</v>
      </c>
      <c r="K1273" t="s">
        <v>678</v>
      </c>
      <c r="L1273" t="s">
        <v>678</v>
      </c>
      <c r="M1273" t="s">
        <v>1946</v>
      </c>
      <c r="N1273" t="b">
        <v>0</v>
      </c>
    </row>
    <row r="1274" spans="1:14">
      <c r="A1274">
        <v>86</v>
      </c>
      <c r="B1274">
        <v>13</v>
      </c>
      <c r="C1274" t="s">
        <v>400</v>
      </c>
      <c r="D1274" t="s">
        <v>737</v>
      </c>
      <c r="E1274" t="s">
        <v>110</v>
      </c>
      <c r="F1274">
        <v>60</v>
      </c>
      <c r="G1274" t="s">
        <v>678</v>
      </c>
      <c r="H1274" t="s">
        <v>678</v>
      </c>
      <c r="I1274" t="s">
        <v>110</v>
      </c>
      <c r="J1274" t="s">
        <v>678</v>
      </c>
      <c r="K1274" t="s">
        <v>678</v>
      </c>
      <c r="L1274" t="s">
        <v>678</v>
      </c>
      <c r="M1274" t="s">
        <v>1947</v>
      </c>
      <c r="N1274" t="b">
        <v>0</v>
      </c>
    </row>
    <row r="1275" spans="1:14">
      <c r="A1275">
        <v>86</v>
      </c>
      <c r="B1275">
        <v>14</v>
      </c>
      <c r="C1275" t="s">
        <v>204</v>
      </c>
      <c r="D1275" t="s">
        <v>737</v>
      </c>
      <c r="E1275" t="s">
        <v>112</v>
      </c>
      <c r="F1275">
        <v>60</v>
      </c>
      <c r="G1275" t="s">
        <v>678</v>
      </c>
      <c r="H1275" t="s">
        <v>678</v>
      </c>
      <c r="I1275" t="s">
        <v>112</v>
      </c>
      <c r="J1275" t="s">
        <v>678</v>
      </c>
      <c r="K1275" t="s">
        <v>678</v>
      </c>
      <c r="L1275" t="s">
        <v>678</v>
      </c>
      <c r="M1275" t="s">
        <v>1948</v>
      </c>
      <c r="N1275" t="b">
        <v>0</v>
      </c>
    </row>
    <row r="1276" spans="1:14">
      <c r="A1276">
        <v>86</v>
      </c>
      <c r="B1276">
        <v>15</v>
      </c>
      <c r="C1276" t="s">
        <v>678</v>
      </c>
      <c r="D1276" t="s">
        <v>737</v>
      </c>
      <c r="E1276" t="s">
        <v>678</v>
      </c>
      <c r="F1276">
        <v>0</v>
      </c>
      <c r="G1276" t="s">
        <v>678</v>
      </c>
      <c r="H1276" t="s">
        <v>678</v>
      </c>
      <c r="I1276" t="s">
        <v>678</v>
      </c>
      <c r="J1276" t="s">
        <v>678</v>
      </c>
      <c r="K1276" t="s">
        <v>678</v>
      </c>
      <c r="L1276" t="s">
        <v>678</v>
      </c>
      <c r="M1276" t="s">
        <v>1949</v>
      </c>
      <c r="N1276" t="b">
        <v>0</v>
      </c>
    </row>
    <row r="1277" spans="1:14">
      <c r="A1277">
        <v>86</v>
      </c>
      <c r="B1277">
        <v>16</v>
      </c>
      <c r="C1277" t="s">
        <v>678</v>
      </c>
      <c r="D1277" t="s">
        <v>754</v>
      </c>
      <c r="E1277" t="s">
        <v>678</v>
      </c>
      <c r="F1277">
        <v>0</v>
      </c>
      <c r="G1277" t="s">
        <v>678</v>
      </c>
      <c r="H1277" t="s">
        <v>678</v>
      </c>
      <c r="I1277" t="s">
        <v>678</v>
      </c>
      <c r="J1277" t="s">
        <v>678</v>
      </c>
      <c r="K1277" t="s">
        <v>678</v>
      </c>
      <c r="L1277" t="s">
        <v>678</v>
      </c>
      <c r="M1277" t="s">
        <v>1950</v>
      </c>
      <c r="N1277" t="b">
        <v>0</v>
      </c>
    </row>
    <row r="1278" spans="1:14">
      <c r="A1278">
        <v>86</v>
      </c>
      <c r="B1278">
        <v>17</v>
      </c>
      <c r="C1278" t="s">
        <v>678</v>
      </c>
      <c r="D1278" t="s">
        <v>754</v>
      </c>
      <c r="E1278" t="s">
        <v>678</v>
      </c>
      <c r="F1278">
        <v>0</v>
      </c>
      <c r="G1278" t="s">
        <v>678</v>
      </c>
      <c r="H1278" t="s">
        <v>678</v>
      </c>
      <c r="I1278" t="s">
        <v>678</v>
      </c>
      <c r="J1278" t="s">
        <v>678</v>
      </c>
      <c r="K1278" t="s">
        <v>678</v>
      </c>
      <c r="L1278" t="s">
        <v>678</v>
      </c>
      <c r="M1278" t="s">
        <v>1951</v>
      </c>
      <c r="N1278" t="b">
        <v>0</v>
      </c>
    </row>
    <row r="1279" spans="1:14">
      <c r="A1279">
        <v>86</v>
      </c>
      <c r="B1279">
        <v>18</v>
      </c>
      <c r="C1279" t="s">
        <v>678</v>
      </c>
      <c r="D1279" t="s">
        <v>754</v>
      </c>
      <c r="E1279" t="s">
        <v>678</v>
      </c>
      <c r="F1279">
        <v>0</v>
      </c>
      <c r="G1279" t="s">
        <v>678</v>
      </c>
      <c r="H1279" t="s">
        <v>678</v>
      </c>
      <c r="I1279" t="s">
        <v>678</v>
      </c>
      <c r="J1279" t="s">
        <v>678</v>
      </c>
      <c r="K1279" t="s">
        <v>678</v>
      </c>
      <c r="L1279" t="s">
        <v>678</v>
      </c>
      <c r="M1279" t="s">
        <v>1952</v>
      </c>
      <c r="N1279" t="b">
        <v>0</v>
      </c>
    </row>
    <row r="1280" spans="1:14">
      <c r="A1280">
        <v>86</v>
      </c>
      <c r="B1280">
        <v>19</v>
      </c>
      <c r="C1280" t="s">
        <v>678</v>
      </c>
      <c r="D1280" t="s">
        <v>754</v>
      </c>
      <c r="E1280" t="s">
        <v>678</v>
      </c>
      <c r="F1280">
        <v>0</v>
      </c>
      <c r="G1280" t="s">
        <v>678</v>
      </c>
      <c r="H1280" t="s">
        <v>678</v>
      </c>
      <c r="I1280" t="s">
        <v>678</v>
      </c>
      <c r="J1280" t="s">
        <v>678</v>
      </c>
      <c r="K1280" t="s">
        <v>678</v>
      </c>
      <c r="L1280" t="s">
        <v>678</v>
      </c>
      <c r="M1280" t="s">
        <v>1953</v>
      </c>
      <c r="N1280" t="b">
        <v>0</v>
      </c>
    </row>
    <row r="1281" spans="1:14">
      <c r="A1281">
        <v>86</v>
      </c>
      <c r="B1281">
        <v>20</v>
      </c>
      <c r="C1281" t="s">
        <v>678</v>
      </c>
      <c r="D1281" t="s">
        <v>754</v>
      </c>
      <c r="E1281" t="s">
        <v>678</v>
      </c>
      <c r="F1281">
        <v>0</v>
      </c>
      <c r="G1281" t="s">
        <v>678</v>
      </c>
      <c r="H1281" t="s">
        <v>678</v>
      </c>
      <c r="I1281" t="s">
        <v>678</v>
      </c>
      <c r="J1281" t="s">
        <v>678</v>
      </c>
      <c r="K1281" t="s">
        <v>678</v>
      </c>
      <c r="L1281" t="s">
        <v>678</v>
      </c>
      <c r="M1281" t="s">
        <v>1954</v>
      </c>
      <c r="N1281" t="b">
        <v>0</v>
      </c>
    </row>
    <row r="1282" spans="1:14">
      <c r="A1282">
        <v>86</v>
      </c>
      <c r="B1282">
        <v>21</v>
      </c>
      <c r="C1282" t="s">
        <v>678</v>
      </c>
      <c r="D1282" t="s">
        <v>754</v>
      </c>
      <c r="E1282" t="s">
        <v>678</v>
      </c>
      <c r="F1282">
        <v>0</v>
      </c>
      <c r="G1282" t="s">
        <v>678</v>
      </c>
      <c r="H1282" t="s">
        <v>678</v>
      </c>
      <c r="I1282" t="s">
        <v>678</v>
      </c>
      <c r="J1282" t="s">
        <v>678</v>
      </c>
      <c r="K1282" t="s">
        <v>678</v>
      </c>
      <c r="L1282" t="s">
        <v>678</v>
      </c>
      <c r="M1282" t="s">
        <v>1955</v>
      </c>
      <c r="N1282" t="b">
        <v>0</v>
      </c>
    </row>
    <row r="1283" spans="1:14">
      <c r="A1283">
        <v>86</v>
      </c>
      <c r="B1283">
        <v>22</v>
      </c>
      <c r="C1283" t="s">
        <v>678</v>
      </c>
      <c r="D1283" t="s">
        <v>754</v>
      </c>
      <c r="E1283" t="s">
        <v>678</v>
      </c>
      <c r="F1283">
        <v>0</v>
      </c>
      <c r="G1283" t="s">
        <v>678</v>
      </c>
      <c r="H1283" t="s">
        <v>678</v>
      </c>
      <c r="I1283" t="s">
        <v>678</v>
      </c>
      <c r="J1283" t="s">
        <v>678</v>
      </c>
      <c r="K1283" t="s">
        <v>678</v>
      </c>
      <c r="L1283" t="s">
        <v>678</v>
      </c>
      <c r="M1283" t="s">
        <v>1956</v>
      </c>
      <c r="N1283" t="b">
        <v>0</v>
      </c>
    </row>
    <row r="1284" spans="1:14">
      <c r="A1284">
        <v>86</v>
      </c>
      <c r="B1284">
        <v>23</v>
      </c>
      <c r="C1284" t="s">
        <v>678</v>
      </c>
      <c r="D1284" t="s">
        <v>754</v>
      </c>
      <c r="E1284" t="s">
        <v>678</v>
      </c>
      <c r="F1284">
        <v>0</v>
      </c>
      <c r="G1284" t="s">
        <v>678</v>
      </c>
      <c r="H1284" t="s">
        <v>678</v>
      </c>
      <c r="I1284" t="s">
        <v>678</v>
      </c>
      <c r="J1284" t="s">
        <v>678</v>
      </c>
      <c r="K1284" t="s">
        <v>678</v>
      </c>
      <c r="L1284" t="s">
        <v>678</v>
      </c>
      <c r="M1284" t="s">
        <v>1957</v>
      </c>
      <c r="N1284" t="b">
        <v>0</v>
      </c>
    </row>
    <row r="1285" spans="1:14">
      <c r="A1285">
        <v>86</v>
      </c>
      <c r="B1285">
        <v>24</v>
      </c>
      <c r="C1285" t="s">
        <v>678</v>
      </c>
      <c r="D1285" t="s">
        <v>754</v>
      </c>
      <c r="E1285" t="s">
        <v>678</v>
      </c>
      <c r="F1285">
        <v>0</v>
      </c>
      <c r="G1285" t="s">
        <v>678</v>
      </c>
      <c r="H1285" t="s">
        <v>678</v>
      </c>
      <c r="I1285" t="s">
        <v>678</v>
      </c>
      <c r="J1285" t="s">
        <v>678</v>
      </c>
      <c r="K1285" t="s">
        <v>678</v>
      </c>
      <c r="L1285" t="s">
        <v>678</v>
      </c>
      <c r="M1285" t="s">
        <v>1958</v>
      </c>
      <c r="N1285" t="b">
        <v>0</v>
      </c>
    </row>
    <row r="1286" spans="1:14">
      <c r="A1286">
        <v>86</v>
      </c>
      <c r="B1286">
        <v>25</v>
      </c>
      <c r="C1286" t="s">
        <v>678</v>
      </c>
      <c r="D1286" t="s">
        <v>754</v>
      </c>
      <c r="E1286" t="s">
        <v>678</v>
      </c>
      <c r="F1286">
        <v>0</v>
      </c>
      <c r="G1286" t="s">
        <v>678</v>
      </c>
      <c r="H1286" t="s">
        <v>678</v>
      </c>
      <c r="I1286" t="s">
        <v>678</v>
      </c>
      <c r="J1286" t="s">
        <v>678</v>
      </c>
      <c r="K1286" t="s">
        <v>678</v>
      </c>
      <c r="L1286" t="s">
        <v>678</v>
      </c>
      <c r="M1286" t="s">
        <v>1959</v>
      </c>
      <c r="N1286" t="b">
        <v>0</v>
      </c>
    </row>
    <row r="1287" spans="1:14">
      <c r="A1287">
        <v>86</v>
      </c>
      <c r="B1287">
        <v>26</v>
      </c>
      <c r="C1287" t="s">
        <v>678</v>
      </c>
      <c r="D1287" t="s">
        <v>754</v>
      </c>
      <c r="E1287" t="s">
        <v>678</v>
      </c>
      <c r="F1287">
        <v>0</v>
      </c>
      <c r="G1287" t="s">
        <v>678</v>
      </c>
      <c r="H1287" t="s">
        <v>678</v>
      </c>
      <c r="I1287" t="s">
        <v>678</v>
      </c>
      <c r="J1287" t="s">
        <v>678</v>
      </c>
      <c r="K1287" t="s">
        <v>678</v>
      </c>
      <c r="L1287" t="s">
        <v>678</v>
      </c>
      <c r="M1287" t="s">
        <v>1960</v>
      </c>
      <c r="N1287" t="b">
        <v>0</v>
      </c>
    </row>
    <row r="1288" spans="1:14">
      <c r="A1288">
        <v>87</v>
      </c>
      <c r="B1288">
        <v>0</v>
      </c>
      <c r="C1288" t="s">
        <v>188</v>
      </c>
      <c r="D1288" t="s">
        <v>737</v>
      </c>
      <c r="E1288" t="s">
        <v>85</v>
      </c>
      <c r="F1288">
        <v>50</v>
      </c>
      <c r="G1288" t="s">
        <v>678</v>
      </c>
      <c r="H1288" t="s">
        <v>678</v>
      </c>
      <c r="I1288" t="s">
        <v>85</v>
      </c>
      <c r="J1288" t="s">
        <v>678</v>
      </c>
      <c r="K1288" t="s">
        <v>678</v>
      </c>
      <c r="L1288" t="s">
        <v>678</v>
      </c>
      <c r="M1288" t="s">
        <v>1961</v>
      </c>
      <c r="N1288" t="b">
        <v>0</v>
      </c>
    </row>
    <row r="1289" spans="1:14">
      <c r="A1289">
        <v>87</v>
      </c>
      <c r="B1289">
        <v>1</v>
      </c>
      <c r="C1289" t="s">
        <v>211</v>
      </c>
      <c r="D1289" t="s">
        <v>737</v>
      </c>
      <c r="E1289" t="s">
        <v>107</v>
      </c>
      <c r="F1289">
        <v>60</v>
      </c>
      <c r="G1289" t="s">
        <v>678</v>
      </c>
      <c r="H1289" t="s">
        <v>678</v>
      </c>
      <c r="I1289" t="s">
        <v>107</v>
      </c>
      <c r="J1289" t="s">
        <v>678</v>
      </c>
      <c r="K1289" t="s">
        <v>678</v>
      </c>
      <c r="L1289" t="s">
        <v>678</v>
      </c>
      <c r="M1289" t="s">
        <v>1962</v>
      </c>
      <c r="N1289" t="b">
        <v>0</v>
      </c>
    </row>
    <row r="1290" spans="1:14">
      <c r="A1290">
        <v>87</v>
      </c>
      <c r="B1290">
        <v>2</v>
      </c>
      <c r="C1290" t="s">
        <v>215</v>
      </c>
      <c r="D1290" t="s">
        <v>737</v>
      </c>
      <c r="E1290" t="s">
        <v>113</v>
      </c>
      <c r="F1290">
        <v>50</v>
      </c>
      <c r="G1290" t="s">
        <v>678</v>
      </c>
      <c r="H1290" t="s">
        <v>678</v>
      </c>
      <c r="I1290" t="s">
        <v>113</v>
      </c>
      <c r="J1290" t="s">
        <v>678</v>
      </c>
      <c r="K1290" t="s">
        <v>678</v>
      </c>
      <c r="L1290" t="s">
        <v>678</v>
      </c>
      <c r="M1290" t="s">
        <v>1963</v>
      </c>
      <c r="N1290" t="b">
        <v>0</v>
      </c>
    </row>
    <row r="1291" spans="1:14">
      <c r="A1291">
        <v>87</v>
      </c>
      <c r="B1291">
        <v>3</v>
      </c>
      <c r="C1291" t="s">
        <v>212</v>
      </c>
      <c r="D1291" t="s">
        <v>737</v>
      </c>
      <c r="E1291" t="s">
        <v>68</v>
      </c>
      <c r="F1291">
        <v>60</v>
      </c>
      <c r="G1291" t="s">
        <v>678</v>
      </c>
      <c r="H1291" t="s">
        <v>678</v>
      </c>
      <c r="I1291" t="s">
        <v>68</v>
      </c>
      <c r="J1291" t="s">
        <v>678</v>
      </c>
      <c r="K1291" t="s">
        <v>678</v>
      </c>
      <c r="L1291" t="s">
        <v>678</v>
      </c>
      <c r="M1291" t="s">
        <v>1964</v>
      </c>
      <c r="N1291" t="b">
        <v>0</v>
      </c>
    </row>
    <row r="1292" spans="1:14">
      <c r="A1292">
        <v>87</v>
      </c>
      <c r="B1292">
        <v>4</v>
      </c>
      <c r="C1292" t="s">
        <v>286</v>
      </c>
      <c r="D1292" t="s">
        <v>737</v>
      </c>
      <c r="E1292" t="s">
        <v>76</v>
      </c>
      <c r="F1292">
        <v>40</v>
      </c>
      <c r="G1292" t="s">
        <v>678</v>
      </c>
      <c r="H1292" t="s">
        <v>678</v>
      </c>
      <c r="I1292" t="s">
        <v>76</v>
      </c>
      <c r="J1292" t="s">
        <v>678</v>
      </c>
      <c r="K1292" t="s">
        <v>678</v>
      </c>
      <c r="L1292" t="s">
        <v>678</v>
      </c>
      <c r="M1292" t="s">
        <v>1965</v>
      </c>
      <c r="N1292" t="b">
        <v>0</v>
      </c>
    </row>
    <row r="1293" spans="1:14">
      <c r="A1293">
        <v>87</v>
      </c>
      <c r="B1293">
        <v>5</v>
      </c>
      <c r="C1293" t="s">
        <v>172</v>
      </c>
      <c r="D1293" t="s">
        <v>737</v>
      </c>
      <c r="E1293" t="s">
        <v>80</v>
      </c>
      <c r="F1293">
        <v>40</v>
      </c>
      <c r="G1293" t="s">
        <v>678</v>
      </c>
      <c r="H1293" t="s">
        <v>678</v>
      </c>
      <c r="I1293" t="s">
        <v>80</v>
      </c>
      <c r="J1293" t="s">
        <v>678</v>
      </c>
      <c r="K1293" t="s">
        <v>678</v>
      </c>
      <c r="L1293" t="s">
        <v>678</v>
      </c>
      <c r="M1293" t="s">
        <v>1966</v>
      </c>
      <c r="N1293" t="b">
        <v>0</v>
      </c>
    </row>
    <row r="1294" spans="1:14">
      <c r="A1294">
        <v>87</v>
      </c>
      <c r="B1294">
        <v>6</v>
      </c>
      <c r="C1294" t="s">
        <v>208</v>
      </c>
      <c r="D1294" t="s">
        <v>737</v>
      </c>
      <c r="E1294" t="s">
        <v>86</v>
      </c>
      <c r="F1294">
        <v>50</v>
      </c>
      <c r="G1294" t="s">
        <v>678</v>
      </c>
      <c r="H1294" t="s">
        <v>678</v>
      </c>
      <c r="I1294" t="s">
        <v>86</v>
      </c>
      <c r="J1294" t="s">
        <v>678</v>
      </c>
      <c r="K1294" t="s">
        <v>678</v>
      </c>
      <c r="L1294" t="s">
        <v>678</v>
      </c>
      <c r="M1294" t="s">
        <v>1967</v>
      </c>
      <c r="N1294" t="b">
        <v>0</v>
      </c>
    </row>
    <row r="1295" spans="1:14">
      <c r="A1295">
        <v>87</v>
      </c>
      <c r="B1295">
        <v>7</v>
      </c>
      <c r="C1295" t="s">
        <v>458</v>
      </c>
      <c r="D1295" t="s">
        <v>737</v>
      </c>
      <c r="E1295" t="s">
        <v>556</v>
      </c>
      <c r="F1295">
        <v>50</v>
      </c>
      <c r="G1295" t="s">
        <v>678</v>
      </c>
      <c r="H1295" t="s">
        <v>566</v>
      </c>
      <c r="I1295" t="s">
        <v>343</v>
      </c>
      <c r="J1295" t="s">
        <v>678</v>
      </c>
      <c r="K1295" t="s">
        <v>814</v>
      </c>
      <c r="L1295" t="s">
        <v>815</v>
      </c>
      <c r="M1295" t="s">
        <v>1968</v>
      </c>
      <c r="N1295" t="b">
        <v>0</v>
      </c>
    </row>
    <row r="1296" spans="1:14">
      <c r="A1296">
        <v>87</v>
      </c>
      <c r="B1296">
        <v>8</v>
      </c>
      <c r="C1296" t="s">
        <v>203</v>
      </c>
      <c r="D1296" t="s">
        <v>737</v>
      </c>
      <c r="E1296" t="s">
        <v>102</v>
      </c>
      <c r="F1296">
        <v>50</v>
      </c>
      <c r="G1296" t="s">
        <v>678</v>
      </c>
      <c r="H1296" t="s">
        <v>678</v>
      </c>
      <c r="I1296" t="s">
        <v>102</v>
      </c>
      <c r="J1296" t="s">
        <v>678</v>
      </c>
      <c r="K1296" t="s">
        <v>678</v>
      </c>
      <c r="L1296" t="s">
        <v>678</v>
      </c>
      <c r="M1296" t="s">
        <v>1969</v>
      </c>
      <c r="N1296" t="b">
        <v>0</v>
      </c>
    </row>
    <row r="1297" spans="1:14">
      <c r="A1297">
        <v>87</v>
      </c>
      <c r="B1297">
        <v>9</v>
      </c>
      <c r="C1297" t="s">
        <v>218</v>
      </c>
      <c r="D1297" t="s">
        <v>737</v>
      </c>
      <c r="E1297" t="s">
        <v>108</v>
      </c>
      <c r="F1297">
        <v>50</v>
      </c>
      <c r="G1297" t="s">
        <v>678</v>
      </c>
      <c r="H1297" t="s">
        <v>678</v>
      </c>
      <c r="I1297" t="s">
        <v>108</v>
      </c>
      <c r="J1297" t="s">
        <v>678</v>
      </c>
      <c r="K1297" t="s">
        <v>678</v>
      </c>
      <c r="L1297" t="s">
        <v>678</v>
      </c>
      <c r="M1297" t="s">
        <v>1970</v>
      </c>
      <c r="N1297" t="b">
        <v>0</v>
      </c>
    </row>
    <row r="1298" spans="1:14">
      <c r="A1298">
        <v>87</v>
      </c>
      <c r="B1298">
        <v>10</v>
      </c>
      <c r="C1298" t="s">
        <v>331</v>
      </c>
      <c r="D1298" t="s">
        <v>737</v>
      </c>
      <c r="E1298" t="s">
        <v>110</v>
      </c>
      <c r="F1298">
        <v>30</v>
      </c>
      <c r="G1298" t="s">
        <v>678</v>
      </c>
      <c r="H1298" t="s">
        <v>678</v>
      </c>
      <c r="I1298" t="s">
        <v>110</v>
      </c>
      <c r="J1298" t="s">
        <v>678</v>
      </c>
      <c r="K1298" t="s">
        <v>678</v>
      </c>
      <c r="L1298" t="s">
        <v>678</v>
      </c>
      <c r="M1298" t="s">
        <v>1971</v>
      </c>
      <c r="N1298" t="b">
        <v>0</v>
      </c>
    </row>
    <row r="1299" spans="1:14">
      <c r="A1299">
        <v>87</v>
      </c>
      <c r="B1299">
        <v>11</v>
      </c>
      <c r="C1299" t="s">
        <v>678</v>
      </c>
      <c r="D1299" t="s">
        <v>737</v>
      </c>
      <c r="E1299" t="s">
        <v>678</v>
      </c>
      <c r="F1299">
        <v>0</v>
      </c>
      <c r="G1299" t="s">
        <v>678</v>
      </c>
      <c r="H1299" t="s">
        <v>678</v>
      </c>
      <c r="I1299" t="s">
        <v>678</v>
      </c>
      <c r="J1299" t="s">
        <v>678</v>
      </c>
      <c r="K1299" t="s">
        <v>678</v>
      </c>
      <c r="L1299" t="s">
        <v>678</v>
      </c>
      <c r="M1299" t="s">
        <v>1972</v>
      </c>
      <c r="N1299" t="b">
        <v>0</v>
      </c>
    </row>
    <row r="1300" spans="1:14">
      <c r="A1300">
        <v>87</v>
      </c>
      <c r="B1300">
        <v>12</v>
      </c>
      <c r="C1300" t="s">
        <v>678</v>
      </c>
      <c r="D1300" t="s">
        <v>737</v>
      </c>
      <c r="E1300" t="s">
        <v>678</v>
      </c>
      <c r="F1300">
        <v>0</v>
      </c>
      <c r="G1300" t="s">
        <v>678</v>
      </c>
      <c r="H1300" t="s">
        <v>678</v>
      </c>
      <c r="I1300" t="s">
        <v>678</v>
      </c>
      <c r="J1300" t="s">
        <v>678</v>
      </c>
      <c r="K1300" t="s">
        <v>678</v>
      </c>
      <c r="L1300" t="s">
        <v>678</v>
      </c>
      <c r="M1300" t="s">
        <v>1973</v>
      </c>
      <c r="N1300" t="b">
        <v>0</v>
      </c>
    </row>
    <row r="1301" spans="1:14">
      <c r="A1301">
        <v>87</v>
      </c>
      <c r="B1301">
        <v>13</v>
      </c>
      <c r="C1301" t="s">
        <v>678</v>
      </c>
      <c r="D1301" t="s">
        <v>737</v>
      </c>
      <c r="E1301" t="s">
        <v>678</v>
      </c>
      <c r="F1301">
        <v>0</v>
      </c>
      <c r="G1301" t="s">
        <v>678</v>
      </c>
      <c r="H1301" t="s">
        <v>678</v>
      </c>
      <c r="I1301" t="s">
        <v>678</v>
      </c>
      <c r="J1301" t="s">
        <v>678</v>
      </c>
      <c r="K1301" t="s">
        <v>678</v>
      </c>
      <c r="L1301" t="s">
        <v>678</v>
      </c>
      <c r="M1301" t="s">
        <v>1974</v>
      </c>
      <c r="N1301" t="b">
        <v>0</v>
      </c>
    </row>
    <row r="1302" spans="1:14">
      <c r="A1302">
        <v>87</v>
      </c>
      <c r="B1302">
        <v>14</v>
      </c>
      <c r="C1302" t="s">
        <v>678</v>
      </c>
      <c r="D1302" t="s">
        <v>737</v>
      </c>
      <c r="E1302" t="s">
        <v>678</v>
      </c>
      <c r="F1302">
        <v>0</v>
      </c>
      <c r="G1302" t="s">
        <v>678</v>
      </c>
      <c r="H1302" t="s">
        <v>678</v>
      </c>
      <c r="I1302" t="s">
        <v>678</v>
      </c>
      <c r="J1302" t="s">
        <v>678</v>
      </c>
      <c r="K1302" t="s">
        <v>678</v>
      </c>
      <c r="L1302" t="s">
        <v>678</v>
      </c>
      <c r="M1302" t="s">
        <v>1975</v>
      </c>
      <c r="N1302" t="b">
        <v>0</v>
      </c>
    </row>
    <row r="1303" spans="1:14">
      <c r="A1303">
        <v>87</v>
      </c>
      <c r="B1303">
        <v>15</v>
      </c>
      <c r="C1303" t="s">
        <v>678</v>
      </c>
      <c r="D1303" t="s">
        <v>737</v>
      </c>
      <c r="E1303" t="s">
        <v>678</v>
      </c>
      <c r="F1303">
        <v>0</v>
      </c>
      <c r="G1303" t="s">
        <v>678</v>
      </c>
      <c r="H1303" t="s">
        <v>678</v>
      </c>
      <c r="I1303" t="s">
        <v>678</v>
      </c>
      <c r="J1303" t="s">
        <v>678</v>
      </c>
      <c r="K1303" t="s">
        <v>678</v>
      </c>
      <c r="L1303" t="s">
        <v>678</v>
      </c>
      <c r="M1303" t="s">
        <v>1976</v>
      </c>
      <c r="N1303" t="b">
        <v>0</v>
      </c>
    </row>
    <row r="1304" spans="1:14">
      <c r="A1304">
        <v>87</v>
      </c>
      <c r="B1304">
        <v>16</v>
      </c>
      <c r="C1304" t="s">
        <v>678</v>
      </c>
      <c r="D1304" t="s">
        <v>754</v>
      </c>
      <c r="E1304" t="s">
        <v>678</v>
      </c>
      <c r="F1304">
        <v>0</v>
      </c>
      <c r="G1304" t="s">
        <v>678</v>
      </c>
      <c r="H1304" t="s">
        <v>678</v>
      </c>
      <c r="I1304" t="s">
        <v>678</v>
      </c>
      <c r="J1304" t="s">
        <v>678</v>
      </c>
      <c r="K1304" t="s">
        <v>678</v>
      </c>
      <c r="L1304" t="s">
        <v>678</v>
      </c>
      <c r="M1304" t="s">
        <v>1977</v>
      </c>
      <c r="N1304" t="b">
        <v>0</v>
      </c>
    </row>
    <row r="1305" spans="1:14">
      <c r="A1305">
        <v>87</v>
      </c>
      <c r="B1305">
        <v>17</v>
      </c>
      <c r="C1305" t="s">
        <v>678</v>
      </c>
      <c r="D1305" t="s">
        <v>754</v>
      </c>
      <c r="E1305" t="s">
        <v>678</v>
      </c>
      <c r="F1305">
        <v>0</v>
      </c>
      <c r="G1305" t="s">
        <v>678</v>
      </c>
      <c r="H1305" t="s">
        <v>678</v>
      </c>
      <c r="I1305" t="s">
        <v>678</v>
      </c>
      <c r="J1305" t="s">
        <v>678</v>
      </c>
      <c r="K1305" t="s">
        <v>678</v>
      </c>
      <c r="L1305" t="s">
        <v>678</v>
      </c>
      <c r="M1305" t="s">
        <v>1978</v>
      </c>
      <c r="N1305" t="b">
        <v>0</v>
      </c>
    </row>
    <row r="1306" spans="1:14">
      <c r="A1306">
        <v>87</v>
      </c>
      <c r="B1306">
        <v>18</v>
      </c>
      <c r="C1306" t="s">
        <v>678</v>
      </c>
      <c r="D1306" t="s">
        <v>754</v>
      </c>
      <c r="E1306" t="s">
        <v>678</v>
      </c>
      <c r="F1306">
        <v>0</v>
      </c>
      <c r="G1306" t="s">
        <v>678</v>
      </c>
      <c r="H1306" t="s">
        <v>678</v>
      </c>
      <c r="I1306" t="s">
        <v>678</v>
      </c>
      <c r="J1306" t="s">
        <v>678</v>
      </c>
      <c r="K1306" t="s">
        <v>678</v>
      </c>
      <c r="L1306" t="s">
        <v>678</v>
      </c>
      <c r="M1306" t="s">
        <v>1979</v>
      </c>
      <c r="N1306" t="b">
        <v>0</v>
      </c>
    </row>
    <row r="1307" spans="1:14">
      <c r="A1307">
        <v>87</v>
      </c>
      <c r="B1307">
        <v>19</v>
      </c>
      <c r="C1307" t="s">
        <v>678</v>
      </c>
      <c r="D1307" t="s">
        <v>754</v>
      </c>
      <c r="E1307" t="s">
        <v>678</v>
      </c>
      <c r="F1307">
        <v>0</v>
      </c>
      <c r="G1307" t="s">
        <v>678</v>
      </c>
      <c r="H1307" t="s">
        <v>678</v>
      </c>
      <c r="I1307" t="s">
        <v>678</v>
      </c>
      <c r="J1307" t="s">
        <v>678</v>
      </c>
      <c r="K1307" t="s">
        <v>678</v>
      </c>
      <c r="L1307" t="s">
        <v>678</v>
      </c>
      <c r="M1307" t="s">
        <v>1980</v>
      </c>
      <c r="N1307" t="b">
        <v>0</v>
      </c>
    </row>
    <row r="1308" spans="1:14">
      <c r="A1308">
        <v>87</v>
      </c>
      <c r="B1308">
        <v>20</v>
      </c>
      <c r="C1308" t="s">
        <v>678</v>
      </c>
      <c r="D1308" t="s">
        <v>754</v>
      </c>
      <c r="E1308" t="s">
        <v>678</v>
      </c>
      <c r="F1308">
        <v>0</v>
      </c>
      <c r="G1308" t="s">
        <v>678</v>
      </c>
      <c r="H1308" t="s">
        <v>678</v>
      </c>
      <c r="I1308" t="s">
        <v>678</v>
      </c>
      <c r="J1308" t="s">
        <v>678</v>
      </c>
      <c r="K1308" t="s">
        <v>678</v>
      </c>
      <c r="L1308" t="s">
        <v>678</v>
      </c>
      <c r="M1308" t="s">
        <v>1981</v>
      </c>
      <c r="N1308" t="b">
        <v>0</v>
      </c>
    </row>
    <row r="1309" spans="1:14">
      <c r="A1309">
        <v>87</v>
      </c>
      <c r="B1309">
        <v>21</v>
      </c>
      <c r="C1309" t="s">
        <v>678</v>
      </c>
      <c r="D1309" t="s">
        <v>754</v>
      </c>
      <c r="E1309" t="s">
        <v>678</v>
      </c>
      <c r="F1309">
        <v>0</v>
      </c>
      <c r="G1309" t="s">
        <v>678</v>
      </c>
      <c r="H1309" t="s">
        <v>678</v>
      </c>
      <c r="I1309" t="s">
        <v>678</v>
      </c>
      <c r="J1309" t="s">
        <v>678</v>
      </c>
      <c r="K1309" t="s">
        <v>678</v>
      </c>
      <c r="L1309" t="s">
        <v>678</v>
      </c>
      <c r="M1309" t="s">
        <v>1982</v>
      </c>
      <c r="N1309" t="b">
        <v>0</v>
      </c>
    </row>
    <row r="1310" spans="1:14">
      <c r="A1310">
        <v>87</v>
      </c>
      <c r="B1310">
        <v>22</v>
      </c>
      <c r="C1310" t="s">
        <v>678</v>
      </c>
      <c r="D1310" t="s">
        <v>754</v>
      </c>
      <c r="E1310" t="s">
        <v>678</v>
      </c>
      <c r="F1310">
        <v>0</v>
      </c>
      <c r="G1310" t="s">
        <v>678</v>
      </c>
      <c r="H1310" t="s">
        <v>678</v>
      </c>
      <c r="I1310" t="s">
        <v>678</v>
      </c>
      <c r="J1310" t="s">
        <v>678</v>
      </c>
      <c r="K1310" t="s">
        <v>678</v>
      </c>
      <c r="L1310" t="s">
        <v>678</v>
      </c>
      <c r="M1310" t="s">
        <v>1983</v>
      </c>
      <c r="N1310" t="b">
        <v>0</v>
      </c>
    </row>
    <row r="1311" spans="1:14">
      <c r="A1311">
        <v>87</v>
      </c>
      <c r="B1311">
        <v>23</v>
      </c>
      <c r="C1311" t="s">
        <v>678</v>
      </c>
      <c r="D1311" t="s">
        <v>754</v>
      </c>
      <c r="E1311" t="s">
        <v>678</v>
      </c>
      <c r="F1311">
        <v>0</v>
      </c>
      <c r="G1311" t="s">
        <v>678</v>
      </c>
      <c r="H1311" t="s">
        <v>678</v>
      </c>
      <c r="I1311" t="s">
        <v>678</v>
      </c>
      <c r="J1311" t="s">
        <v>678</v>
      </c>
      <c r="K1311" t="s">
        <v>678</v>
      </c>
      <c r="L1311" t="s">
        <v>678</v>
      </c>
      <c r="M1311" t="s">
        <v>1984</v>
      </c>
      <c r="N1311" t="b">
        <v>0</v>
      </c>
    </row>
    <row r="1312" spans="1:14">
      <c r="A1312">
        <v>87</v>
      </c>
      <c r="B1312">
        <v>24</v>
      </c>
      <c r="C1312" t="s">
        <v>678</v>
      </c>
      <c r="D1312" t="s">
        <v>754</v>
      </c>
      <c r="E1312" t="s">
        <v>678</v>
      </c>
      <c r="F1312">
        <v>0</v>
      </c>
      <c r="G1312" t="s">
        <v>678</v>
      </c>
      <c r="H1312" t="s">
        <v>678</v>
      </c>
      <c r="I1312" t="s">
        <v>678</v>
      </c>
      <c r="J1312" t="s">
        <v>678</v>
      </c>
      <c r="K1312" t="s">
        <v>678</v>
      </c>
      <c r="L1312" t="s">
        <v>678</v>
      </c>
      <c r="M1312" t="s">
        <v>1985</v>
      </c>
      <c r="N1312" t="b">
        <v>0</v>
      </c>
    </row>
    <row r="1313" spans="1:14">
      <c r="A1313">
        <v>87</v>
      </c>
      <c r="B1313">
        <v>25</v>
      </c>
      <c r="C1313" t="s">
        <v>678</v>
      </c>
      <c r="D1313" t="s">
        <v>754</v>
      </c>
      <c r="E1313" t="s">
        <v>678</v>
      </c>
      <c r="F1313">
        <v>0</v>
      </c>
      <c r="G1313" t="s">
        <v>678</v>
      </c>
      <c r="H1313" t="s">
        <v>678</v>
      </c>
      <c r="I1313" t="s">
        <v>678</v>
      </c>
      <c r="J1313" t="s">
        <v>678</v>
      </c>
      <c r="K1313" t="s">
        <v>678</v>
      </c>
      <c r="L1313" t="s">
        <v>678</v>
      </c>
      <c r="M1313" t="s">
        <v>1986</v>
      </c>
      <c r="N1313" t="b">
        <v>0</v>
      </c>
    </row>
    <row r="1314" spans="1:14">
      <c r="A1314">
        <v>87</v>
      </c>
      <c r="B1314">
        <v>26</v>
      </c>
      <c r="C1314" t="s">
        <v>678</v>
      </c>
      <c r="D1314" t="s">
        <v>754</v>
      </c>
      <c r="E1314" t="s">
        <v>678</v>
      </c>
      <c r="F1314">
        <v>0</v>
      </c>
      <c r="G1314" t="s">
        <v>678</v>
      </c>
      <c r="H1314" t="s">
        <v>678</v>
      </c>
      <c r="I1314" t="s">
        <v>678</v>
      </c>
      <c r="J1314" t="s">
        <v>678</v>
      </c>
      <c r="K1314" t="s">
        <v>678</v>
      </c>
      <c r="L1314" t="s">
        <v>678</v>
      </c>
      <c r="M1314" t="s">
        <v>1987</v>
      </c>
      <c r="N1314" t="b">
        <v>0</v>
      </c>
    </row>
    <row r="1315" spans="1:14">
      <c r="A1315">
        <v>90</v>
      </c>
      <c r="B1315">
        <v>0</v>
      </c>
      <c r="C1315" t="s">
        <v>195</v>
      </c>
      <c r="D1315" t="s">
        <v>737</v>
      </c>
      <c r="E1315" t="s">
        <v>67</v>
      </c>
      <c r="F1315">
        <v>50</v>
      </c>
      <c r="G1315" t="s">
        <v>678</v>
      </c>
      <c r="H1315" t="s">
        <v>678</v>
      </c>
      <c r="I1315" t="s">
        <v>67</v>
      </c>
      <c r="J1315" t="s">
        <v>678</v>
      </c>
      <c r="K1315" t="s">
        <v>678</v>
      </c>
      <c r="L1315" t="s">
        <v>678</v>
      </c>
      <c r="M1315" t="s">
        <v>1988</v>
      </c>
      <c r="N1315" t="b">
        <v>0</v>
      </c>
    </row>
    <row r="1316" spans="1:14">
      <c r="A1316">
        <v>90</v>
      </c>
      <c r="B1316">
        <v>1</v>
      </c>
      <c r="C1316" t="s">
        <v>167</v>
      </c>
      <c r="D1316" t="s">
        <v>737</v>
      </c>
      <c r="E1316" t="s">
        <v>85</v>
      </c>
      <c r="F1316">
        <v>40</v>
      </c>
      <c r="G1316" t="s">
        <v>678</v>
      </c>
      <c r="H1316" t="s">
        <v>678</v>
      </c>
      <c r="I1316" t="s">
        <v>85</v>
      </c>
      <c r="J1316" t="s">
        <v>678</v>
      </c>
      <c r="K1316" t="s">
        <v>678</v>
      </c>
      <c r="L1316" t="s">
        <v>678</v>
      </c>
      <c r="M1316" t="s">
        <v>1989</v>
      </c>
      <c r="N1316" t="b">
        <v>0</v>
      </c>
    </row>
    <row r="1317" spans="1:14">
      <c r="A1317">
        <v>90</v>
      </c>
      <c r="B1317">
        <v>2</v>
      </c>
      <c r="C1317" t="s">
        <v>196</v>
      </c>
      <c r="D1317" t="s">
        <v>737</v>
      </c>
      <c r="E1317" t="s">
        <v>97</v>
      </c>
      <c r="F1317">
        <v>50</v>
      </c>
      <c r="G1317" t="s">
        <v>678</v>
      </c>
      <c r="H1317" t="s">
        <v>678</v>
      </c>
      <c r="I1317" t="s">
        <v>97</v>
      </c>
      <c r="J1317" t="s">
        <v>678</v>
      </c>
      <c r="K1317" t="s">
        <v>678</v>
      </c>
      <c r="L1317" t="s">
        <v>678</v>
      </c>
      <c r="M1317" t="s">
        <v>1990</v>
      </c>
      <c r="N1317" t="b">
        <v>0</v>
      </c>
    </row>
    <row r="1318" spans="1:14">
      <c r="A1318">
        <v>90</v>
      </c>
      <c r="B1318">
        <v>3</v>
      </c>
      <c r="C1318" t="s">
        <v>197</v>
      </c>
      <c r="D1318" t="s">
        <v>737</v>
      </c>
      <c r="E1318" t="s">
        <v>103</v>
      </c>
      <c r="F1318">
        <v>50</v>
      </c>
      <c r="G1318" t="s">
        <v>678</v>
      </c>
      <c r="H1318" t="s">
        <v>678</v>
      </c>
      <c r="I1318" t="s">
        <v>103</v>
      </c>
      <c r="J1318" t="s">
        <v>678</v>
      </c>
      <c r="K1318" t="s">
        <v>678</v>
      </c>
      <c r="L1318" t="s">
        <v>678</v>
      </c>
      <c r="M1318" t="s">
        <v>1991</v>
      </c>
      <c r="N1318" t="b">
        <v>0</v>
      </c>
    </row>
    <row r="1319" spans="1:14">
      <c r="A1319">
        <v>90</v>
      </c>
      <c r="B1319">
        <v>4</v>
      </c>
      <c r="C1319" t="s">
        <v>198</v>
      </c>
      <c r="D1319" t="s">
        <v>737</v>
      </c>
      <c r="E1319" t="s">
        <v>105</v>
      </c>
      <c r="F1319">
        <v>50</v>
      </c>
      <c r="G1319" t="s">
        <v>678</v>
      </c>
      <c r="H1319" t="s">
        <v>678</v>
      </c>
      <c r="I1319" t="s">
        <v>105</v>
      </c>
      <c r="J1319" t="s">
        <v>678</v>
      </c>
      <c r="K1319" t="s">
        <v>678</v>
      </c>
      <c r="L1319" t="s">
        <v>678</v>
      </c>
      <c r="M1319" t="s">
        <v>1992</v>
      </c>
      <c r="N1319" t="b">
        <v>0</v>
      </c>
    </row>
    <row r="1320" spans="1:14">
      <c r="A1320">
        <v>90</v>
      </c>
      <c r="B1320">
        <v>5</v>
      </c>
      <c r="C1320" t="s">
        <v>251</v>
      </c>
      <c r="D1320" t="s">
        <v>737</v>
      </c>
      <c r="E1320" t="s">
        <v>107</v>
      </c>
      <c r="F1320">
        <v>50</v>
      </c>
      <c r="G1320" t="s">
        <v>678</v>
      </c>
      <c r="H1320" t="s">
        <v>678</v>
      </c>
      <c r="I1320" t="s">
        <v>107</v>
      </c>
      <c r="J1320" t="s">
        <v>678</v>
      </c>
      <c r="K1320" t="s">
        <v>678</v>
      </c>
      <c r="L1320" t="s">
        <v>678</v>
      </c>
      <c r="M1320" t="s">
        <v>1993</v>
      </c>
      <c r="N1320" t="b">
        <v>0</v>
      </c>
    </row>
    <row r="1321" spans="1:14">
      <c r="A1321">
        <v>90</v>
      </c>
      <c r="B1321">
        <v>6</v>
      </c>
      <c r="C1321" t="s">
        <v>199</v>
      </c>
      <c r="D1321" t="s">
        <v>737</v>
      </c>
      <c r="E1321" t="s">
        <v>113</v>
      </c>
      <c r="F1321">
        <v>30</v>
      </c>
      <c r="G1321" t="s">
        <v>678</v>
      </c>
      <c r="H1321" t="s">
        <v>678</v>
      </c>
      <c r="I1321" t="s">
        <v>113</v>
      </c>
      <c r="J1321" t="s">
        <v>678</v>
      </c>
      <c r="K1321" t="s">
        <v>678</v>
      </c>
      <c r="L1321" t="s">
        <v>678</v>
      </c>
      <c r="M1321" t="s">
        <v>1994</v>
      </c>
      <c r="N1321" t="b">
        <v>0</v>
      </c>
    </row>
    <row r="1322" spans="1:14">
      <c r="A1322">
        <v>90</v>
      </c>
      <c r="B1322">
        <v>7</v>
      </c>
      <c r="C1322" t="s">
        <v>200</v>
      </c>
      <c r="D1322" t="s">
        <v>737</v>
      </c>
      <c r="E1322" t="s">
        <v>119</v>
      </c>
      <c r="F1322">
        <v>60</v>
      </c>
      <c r="G1322" t="s">
        <v>678</v>
      </c>
      <c r="H1322" t="s">
        <v>678</v>
      </c>
      <c r="I1322" t="s">
        <v>119</v>
      </c>
      <c r="J1322" t="s">
        <v>678</v>
      </c>
      <c r="K1322" t="s">
        <v>678</v>
      </c>
      <c r="L1322" t="s">
        <v>678</v>
      </c>
      <c r="M1322" t="s">
        <v>1995</v>
      </c>
      <c r="N1322" t="b">
        <v>0</v>
      </c>
    </row>
    <row r="1323" spans="1:14">
      <c r="A1323">
        <v>90</v>
      </c>
      <c r="B1323">
        <v>8</v>
      </c>
      <c r="C1323" t="s">
        <v>201</v>
      </c>
      <c r="D1323" t="s">
        <v>737</v>
      </c>
      <c r="E1323" t="s">
        <v>64</v>
      </c>
      <c r="F1323">
        <v>30</v>
      </c>
      <c r="G1323" t="s">
        <v>678</v>
      </c>
      <c r="H1323" t="s">
        <v>678</v>
      </c>
      <c r="I1323" t="s">
        <v>64</v>
      </c>
      <c r="J1323" t="s">
        <v>678</v>
      </c>
      <c r="K1323" t="s">
        <v>678</v>
      </c>
      <c r="L1323" t="s">
        <v>678</v>
      </c>
      <c r="M1323" t="s">
        <v>1996</v>
      </c>
      <c r="N1323" t="b">
        <v>0</v>
      </c>
    </row>
    <row r="1324" spans="1:14">
      <c r="A1324">
        <v>90</v>
      </c>
      <c r="B1324">
        <v>9</v>
      </c>
      <c r="C1324" t="s">
        <v>464</v>
      </c>
      <c r="D1324" t="s">
        <v>737</v>
      </c>
      <c r="E1324" t="s">
        <v>68</v>
      </c>
      <c r="F1324">
        <v>30</v>
      </c>
      <c r="G1324" t="s">
        <v>678</v>
      </c>
      <c r="H1324" t="s">
        <v>678</v>
      </c>
      <c r="I1324" t="s">
        <v>68</v>
      </c>
      <c r="J1324" t="s">
        <v>678</v>
      </c>
      <c r="K1324" t="s">
        <v>678</v>
      </c>
      <c r="L1324" t="s">
        <v>678</v>
      </c>
      <c r="M1324" t="s">
        <v>1997</v>
      </c>
      <c r="N1324" t="b">
        <v>0</v>
      </c>
    </row>
    <row r="1325" spans="1:14">
      <c r="A1325">
        <v>90</v>
      </c>
      <c r="B1325">
        <v>10</v>
      </c>
      <c r="C1325" t="s">
        <v>329</v>
      </c>
      <c r="D1325" t="s">
        <v>737</v>
      </c>
      <c r="E1325" t="s">
        <v>342</v>
      </c>
      <c r="F1325">
        <v>30</v>
      </c>
      <c r="G1325" t="s">
        <v>678</v>
      </c>
      <c r="H1325" t="s">
        <v>559</v>
      </c>
      <c r="I1325" t="s">
        <v>456</v>
      </c>
      <c r="J1325" t="s">
        <v>678</v>
      </c>
      <c r="K1325" t="s">
        <v>934</v>
      </c>
      <c r="L1325" t="s">
        <v>935</v>
      </c>
      <c r="M1325" t="s">
        <v>1998</v>
      </c>
      <c r="N1325" t="b">
        <v>0</v>
      </c>
    </row>
    <row r="1326" spans="1:14">
      <c r="A1326">
        <v>90</v>
      </c>
      <c r="B1326">
        <v>11</v>
      </c>
      <c r="C1326" t="s">
        <v>202</v>
      </c>
      <c r="D1326" t="s">
        <v>737</v>
      </c>
      <c r="E1326" t="s">
        <v>80</v>
      </c>
      <c r="F1326">
        <v>50</v>
      </c>
      <c r="G1326" t="s">
        <v>678</v>
      </c>
      <c r="H1326" t="s">
        <v>678</v>
      </c>
      <c r="I1326" t="s">
        <v>80</v>
      </c>
      <c r="J1326" t="s">
        <v>678</v>
      </c>
      <c r="K1326" t="s">
        <v>678</v>
      </c>
      <c r="L1326" t="s">
        <v>678</v>
      </c>
      <c r="M1326" t="s">
        <v>1999</v>
      </c>
      <c r="N1326" t="b">
        <v>0</v>
      </c>
    </row>
    <row r="1327" spans="1:14">
      <c r="A1327">
        <v>90</v>
      </c>
      <c r="B1327">
        <v>12</v>
      </c>
      <c r="C1327" t="s">
        <v>208</v>
      </c>
      <c r="D1327" t="s">
        <v>737</v>
      </c>
      <c r="E1327" t="s">
        <v>86</v>
      </c>
      <c r="F1327">
        <v>50</v>
      </c>
      <c r="G1327" t="s">
        <v>678</v>
      </c>
      <c r="H1327" t="s">
        <v>678</v>
      </c>
      <c r="I1327" t="s">
        <v>86</v>
      </c>
      <c r="J1327" t="s">
        <v>678</v>
      </c>
      <c r="K1327" t="s">
        <v>678</v>
      </c>
      <c r="L1327" t="s">
        <v>678</v>
      </c>
      <c r="M1327" t="s">
        <v>2000</v>
      </c>
      <c r="N1327" t="b">
        <v>0</v>
      </c>
    </row>
    <row r="1328" spans="1:14">
      <c r="A1328">
        <v>90</v>
      </c>
      <c r="B1328">
        <v>13</v>
      </c>
      <c r="C1328" t="s">
        <v>203</v>
      </c>
      <c r="D1328" t="s">
        <v>737</v>
      </c>
      <c r="E1328" t="s">
        <v>102</v>
      </c>
      <c r="F1328">
        <v>50</v>
      </c>
      <c r="G1328" t="s">
        <v>678</v>
      </c>
      <c r="H1328" t="s">
        <v>678</v>
      </c>
      <c r="I1328" t="s">
        <v>102</v>
      </c>
      <c r="J1328" t="s">
        <v>678</v>
      </c>
      <c r="K1328" t="s">
        <v>678</v>
      </c>
      <c r="L1328" t="s">
        <v>678</v>
      </c>
      <c r="M1328" t="s">
        <v>2001</v>
      </c>
      <c r="N1328" t="b">
        <v>0</v>
      </c>
    </row>
    <row r="1329" spans="1:14">
      <c r="A1329">
        <v>90</v>
      </c>
      <c r="B1329">
        <v>14</v>
      </c>
      <c r="C1329" t="s">
        <v>204</v>
      </c>
      <c r="D1329" t="s">
        <v>737</v>
      </c>
      <c r="E1329" t="s">
        <v>112</v>
      </c>
      <c r="F1329">
        <v>60</v>
      </c>
      <c r="G1329" t="s">
        <v>678</v>
      </c>
      <c r="H1329" t="s">
        <v>678</v>
      </c>
      <c r="I1329" t="s">
        <v>112</v>
      </c>
      <c r="J1329" t="s">
        <v>678</v>
      </c>
      <c r="K1329" t="s">
        <v>678</v>
      </c>
      <c r="L1329" t="s">
        <v>678</v>
      </c>
      <c r="M1329" t="s">
        <v>2002</v>
      </c>
      <c r="N1329" t="b">
        <v>0</v>
      </c>
    </row>
    <row r="1330" spans="1:14">
      <c r="A1330">
        <v>90</v>
      </c>
      <c r="B1330">
        <v>15</v>
      </c>
      <c r="C1330" t="s">
        <v>678</v>
      </c>
      <c r="D1330" t="s">
        <v>737</v>
      </c>
      <c r="E1330" t="s">
        <v>678</v>
      </c>
      <c r="F1330">
        <v>0</v>
      </c>
      <c r="G1330" t="s">
        <v>678</v>
      </c>
      <c r="H1330" t="s">
        <v>678</v>
      </c>
      <c r="I1330" t="s">
        <v>678</v>
      </c>
      <c r="J1330" t="s">
        <v>678</v>
      </c>
      <c r="K1330" t="s">
        <v>678</v>
      </c>
      <c r="L1330" t="s">
        <v>678</v>
      </c>
      <c r="M1330" t="s">
        <v>2003</v>
      </c>
      <c r="N1330" t="b">
        <v>0</v>
      </c>
    </row>
    <row r="1331" spans="1:14">
      <c r="A1331">
        <v>90</v>
      </c>
      <c r="B1331">
        <v>16</v>
      </c>
      <c r="C1331" t="s">
        <v>678</v>
      </c>
      <c r="D1331" t="s">
        <v>754</v>
      </c>
      <c r="E1331" t="s">
        <v>678</v>
      </c>
      <c r="F1331">
        <v>0</v>
      </c>
      <c r="G1331" t="s">
        <v>678</v>
      </c>
      <c r="H1331" t="s">
        <v>678</v>
      </c>
      <c r="I1331" t="s">
        <v>678</v>
      </c>
      <c r="J1331" t="s">
        <v>678</v>
      </c>
      <c r="K1331" t="s">
        <v>678</v>
      </c>
      <c r="L1331" t="s">
        <v>678</v>
      </c>
      <c r="M1331" t="s">
        <v>2004</v>
      </c>
      <c r="N1331" t="b">
        <v>0</v>
      </c>
    </row>
    <row r="1332" spans="1:14">
      <c r="A1332">
        <v>90</v>
      </c>
      <c r="B1332">
        <v>17</v>
      </c>
      <c r="C1332" t="s">
        <v>678</v>
      </c>
      <c r="D1332" t="s">
        <v>754</v>
      </c>
      <c r="E1332" t="s">
        <v>678</v>
      </c>
      <c r="F1332">
        <v>0</v>
      </c>
      <c r="G1332" t="s">
        <v>678</v>
      </c>
      <c r="H1332" t="s">
        <v>678</v>
      </c>
      <c r="I1332" t="s">
        <v>678</v>
      </c>
      <c r="J1332" t="s">
        <v>678</v>
      </c>
      <c r="K1332" t="s">
        <v>678</v>
      </c>
      <c r="L1332" t="s">
        <v>678</v>
      </c>
      <c r="M1332" t="s">
        <v>2005</v>
      </c>
      <c r="N1332" t="b">
        <v>0</v>
      </c>
    </row>
    <row r="1333" spans="1:14">
      <c r="A1333">
        <v>90</v>
      </c>
      <c r="B1333">
        <v>18</v>
      </c>
      <c r="C1333" t="s">
        <v>678</v>
      </c>
      <c r="D1333" t="s">
        <v>754</v>
      </c>
      <c r="E1333" t="s">
        <v>678</v>
      </c>
      <c r="F1333">
        <v>0</v>
      </c>
      <c r="G1333" t="s">
        <v>678</v>
      </c>
      <c r="H1333" t="s">
        <v>678</v>
      </c>
      <c r="I1333" t="s">
        <v>678</v>
      </c>
      <c r="J1333" t="s">
        <v>678</v>
      </c>
      <c r="K1333" t="s">
        <v>678</v>
      </c>
      <c r="L1333" t="s">
        <v>678</v>
      </c>
      <c r="M1333" t="s">
        <v>2006</v>
      </c>
      <c r="N1333" t="b">
        <v>0</v>
      </c>
    </row>
    <row r="1334" spans="1:14">
      <c r="A1334">
        <v>90</v>
      </c>
      <c r="B1334">
        <v>19</v>
      </c>
      <c r="C1334" t="s">
        <v>678</v>
      </c>
      <c r="D1334" t="s">
        <v>754</v>
      </c>
      <c r="E1334" t="s">
        <v>678</v>
      </c>
      <c r="F1334">
        <v>0</v>
      </c>
      <c r="G1334" t="s">
        <v>678</v>
      </c>
      <c r="H1334" t="s">
        <v>678</v>
      </c>
      <c r="I1334" t="s">
        <v>678</v>
      </c>
      <c r="J1334" t="s">
        <v>678</v>
      </c>
      <c r="K1334" t="s">
        <v>678</v>
      </c>
      <c r="L1334" t="s">
        <v>678</v>
      </c>
      <c r="M1334" t="s">
        <v>2007</v>
      </c>
      <c r="N1334" t="b">
        <v>0</v>
      </c>
    </row>
    <row r="1335" spans="1:14">
      <c r="A1335">
        <v>90</v>
      </c>
      <c r="B1335">
        <v>20</v>
      </c>
      <c r="C1335" t="s">
        <v>678</v>
      </c>
      <c r="D1335" t="s">
        <v>754</v>
      </c>
      <c r="E1335" t="s">
        <v>678</v>
      </c>
      <c r="F1335">
        <v>0</v>
      </c>
      <c r="G1335" t="s">
        <v>678</v>
      </c>
      <c r="H1335" t="s">
        <v>678</v>
      </c>
      <c r="I1335" t="s">
        <v>678</v>
      </c>
      <c r="J1335" t="s">
        <v>678</v>
      </c>
      <c r="K1335" t="s">
        <v>678</v>
      </c>
      <c r="L1335" t="s">
        <v>678</v>
      </c>
      <c r="M1335" t="s">
        <v>2008</v>
      </c>
      <c r="N1335" t="b">
        <v>0</v>
      </c>
    </row>
    <row r="1336" spans="1:14">
      <c r="A1336">
        <v>90</v>
      </c>
      <c r="B1336">
        <v>21</v>
      </c>
      <c r="C1336" t="s">
        <v>678</v>
      </c>
      <c r="D1336" t="s">
        <v>754</v>
      </c>
      <c r="E1336" t="s">
        <v>678</v>
      </c>
      <c r="F1336">
        <v>0</v>
      </c>
      <c r="G1336" t="s">
        <v>678</v>
      </c>
      <c r="H1336" t="s">
        <v>678</v>
      </c>
      <c r="I1336" t="s">
        <v>678</v>
      </c>
      <c r="J1336" t="s">
        <v>678</v>
      </c>
      <c r="K1336" t="s">
        <v>678</v>
      </c>
      <c r="L1336" t="s">
        <v>678</v>
      </c>
      <c r="M1336" t="s">
        <v>2009</v>
      </c>
      <c r="N1336" t="b">
        <v>0</v>
      </c>
    </row>
    <row r="1337" spans="1:14">
      <c r="A1337">
        <v>90</v>
      </c>
      <c r="B1337">
        <v>22</v>
      </c>
      <c r="C1337" t="s">
        <v>678</v>
      </c>
      <c r="D1337" t="s">
        <v>754</v>
      </c>
      <c r="E1337" t="s">
        <v>678</v>
      </c>
      <c r="F1337">
        <v>0</v>
      </c>
      <c r="G1337" t="s">
        <v>678</v>
      </c>
      <c r="H1337" t="s">
        <v>678</v>
      </c>
      <c r="I1337" t="s">
        <v>678</v>
      </c>
      <c r="J1337" t="s">
        <v>678</v>
      </c>
      <c r="K1337" t="s">
        <v>678</v>
      </c>
      <c r="L1337" t="s">
        <v>678</v>
      </c>
      <c r="M1337" t="s">
        <v>2010</v>
      </c>
      <c r="N1337" t="b">
        <v>0</v>
      </c>
    </row>
    <row r="1338" spans="1:14">
      <c r="A1338">
        <v>90</v>
      </c>
      <c r="B1338">
        <v>23</v>
      </c>
      <c r="C1338" t="s">
        <v>678</v>
      </c>
      <c r="D1338" t="s">
        <v>754</v>
      </c>
      <c r="E1338" t="s">
        <v>678</v>
      </c>
      <c r="F1338">
        <v>0</v>
      </c>
      <c r="G1338" t="s">
        <v>678</v>
      </c>
      <c r="H1338" t="s">
        <v>678</v>
      </c>
      <c r="I1338" t="s">
        <v>678</v>
      </c>
      <c r="J1338" t="s">
        <v>678</v>
      </c>
      <c r="K1338" t="s">
        <v>678</v>
      </c>
      <c r="L1338" t="s">
        <v>678</v>
      </c>
      <c r="M1338" t="s">
        <v>2011</v>
      </c>
      <c r="N1338" t="b">
        <v>0</v>
      </c>
    </row>
    <row r="1339" spans="1:14">
      <c r="A1339">
        <v>90</v>
      </c>
      <c r="B1339">
        <v>24</v>
      </c>
      <c r="C1339" t="s">
        <v>678</v>
      </c>
      <c r="D1339" t="s">
        <v>754</v>
      </c>
      <c r="E1339" t="s">
        <v>678</v>
      </c>
      <c r="F1339">
        <v>0</v>
      </c>
      <c r="G1339" t="s">
        <v>678</v>
      </c>
      <c r="H1339" t="s">
        <v>678</v>
      </c>
      <c r="I1339" t="s">
        <v>678</v>
      </c>
      <c r="J1339" t="s">
        <v>678</v>
      </c>
      <c r="K1339" t="s">
        <v>678</v>
      </c>
      <c r="L1339" t="s">
        <v>678</v>
      </c>
      <c r="M1339" t="s">
        <v>2012</v>
      </c>
      <c r="N1339" t="b">
        <v>0</v>
      </c>
    </row>
    <row r="1340" spans="1:14">
      <c r="A1340">
        <v>90</v>
      </c>
      <c r="B1340">
        <v>25</v>
      </c>
      <c r="C1340" t="s">
        <v>678</v>
      </c>
      <c r="D1340" t="s">
        <v>754</v>
      </c>
      <c r="E1340" t="s">
        <v>678</v>
      </c>
      <c r="F1340">
        <v>0</v>
      </c>
      <c r="G1340" t="s">
        <v>678</v>
      </c>
      <c r="H1340" t="s">
        <v>678</v>
      </c>
      <c r="I1340" t="s">
        <v>678</v>
      </c>
      <c r="J1340" t="s">
        <v>678</v>
      </c>
      <c r="K1340" t="s">
        <v>678</v>
      </c>
      <c r="L1340" t="s">
        <v>678</v>
      </c>
      <c r="M1340" t="s">
        <v>2013</v>
      </c>
      <c r="N1340" t="b">
        <v>0</v>
      </c>
    </row>
    <row r="1341" spans="1:14">
      <c r="A1341">
        <v>90</v>
      </c>
      <c r="B1341">
        <v>26</v>
      </c>
      <c r="C1341" t="s">
        <v>678</v>
      </c>
      <c r="D1341" t="s">
        <v>754</v>
      </c>
      <c r="E1341" t="s">
        <v>678</v>
      </c>
      <c r="F1341">
        <v>0</v>
      </c>
      <c r="G1341" t="s">
        <v>678</v>
      </c>
      <c r="H1341" t="s">
        <v>678</v>
      </c>
      <c r="I1341" t="s">
        <v>678</v>
      </c>
      <c r="J1341" t="s">
        <v>678</v>
      </c>
      <c r="K1341" t="s">
        <v>678</v>
      </c>
      <c r="L1341" t="s">
        <v>678</v>
      </c>
      <c r="M1341" t="s">
        <v>2014</v>
      </c>
      <c r="N1341" t="b">
        <v>0</v>
      </c>
    </row>
    <row r="1342" spans="1:14">
      <c r="A1342">
        <v>91</v>
      </c>
      <c r="B1342">
        <v>0</v>
      </c>
      <c r="C1342" t="s">
        <v>226</v>
      </c>
      <c r="D1342" t="s">
        <v>737</v>
      </c>
      <c r="E1342" t="s">
        <v>67</v>
      </c>
      <c r="F1342">
        <v>60</v>
      </c>
      <c r="G1342" t="s">
        <v>678</v>
      </c>
      <c r="H1342" t="s">
        <v>678</v>
      </c>
      <c r="I1342" t="s">
        <v>67</v>
      </c>
      <c r="J1342" t="s">
        <v>678</v>
      </c>
      <c r="K1342" t="s">
        <v>678</v>
      </c>
      <c r="L1342" t="s">
        <v>678</v>
      </c>
      <c r="M1342" t="s">
        <v>2015</v>
      </c>
      <c r="N1342" t="b">
        <v>0</v>
      </c>
    </row>
    <row r="1343" spans="1:14">
      <c r="A1343">
        <v>91</v>
      </c>
      <c r="B1343">
        <v>1</v>
      </c>
      <c r="C1343" t="s">
        <v>227</v>
      </c>
      <c r="D1343" t="s">
        <v>737</v>
      </c>
      <c r="E1343" t="s">
        <v>79</v>
      </c>
      <c r="F1343">
        <v>60</v>
      </c>
      <c r="G1343" t="s">
        <v>678</v>
      </c>
      <c r="H1343" t="s">
        <v>678</v>
      </c>
      <c r="I1343" t="s">
        <v>79</v>
      </c>
      <c r="J1343" t="s">
        <v>678</v>
      </c>
      <c r="K1343" t="s">
        <v>678</v>
      </c>
      <c r="L1343" t="s">
        <v>678</v>
      </c>
      <c r="M1343" t="s">
        <v>2016</v>
      </c>
      <c r="N1343" t="b">
        <v>0</v>
      </c>
    </row>
    <row r="1344" spans="1:14">
      <c r="A1344">
        <v>91</v>
      </c>
      <c r="B1344">
        <v>2</v>
      </c>
      <c r="C1344" t="s">
        <v>250</v>
      </c>
      <c r="D1344" t="s">
        <v>737</v>
      </c>
      <c r="E1344" t="s">
        <v>99</v>
      </c>
      <c r="F1344">
        <v>50</v>
      </c>
      <c r="G1344" t="s">
        <v>678</v>
      </c>
      <c r="H1344" t="s">
        <v>678</v>
      </c>
      <c r="I1344" t="s">
        <v>99</v>
      </c>
      <c r="J1344" t="s">
        <v>678</v>
      </c>
      <c r="K1344" t="s">
        <v>678</v>
      </c>
      <c r="L1344" t="s">
        <v>678</v>
      </c>
      <c r="M1344" t="s">
        <v>2017</v>
      </c>
      <c r="N1344" t="b">
        <v>0</v>
      </c>
    </row>
    <row r="1345" spans="1:14">
      <c r="A1345">
        <v>91</v>
      </c>
      <c r="B1345">
        <v>3</v>
      </c>
      <c r="C1345" t="s">
        <v>467</v>
      </c>
      <c r="D1345" t="s">
        <v>737</v>
      </c>
      <c r="E1345" t="s">
        <v>101</v>
      </c>
      <c r="F1345">
        <v>60</v>
      </c>
      <c r="G1345" t="s">
        <v>678</v>
      </c>
      <c r="H1345" t="s">
        <v>678</v>
      </c>
      <c r="I1345" t="s">
        <v>101</v>
      </c>
      <c r="J1345" t="s">
        <v>678</v>
      </c>
      <c r="K1345" t="s">
        <v>678</v>
      </c>
      <c r="L1345" t="s">
        <v>678</v>
      </c>
      <c r="M1345" t="s">
        <v>2018</v>
      </c>
      <c r="N1345" t="b">
        <v>0</v>
      </c>
    </row>
    <row r="1346" spans="1:14">
      <c r="A1346">
        <v>91</v>
      </c>
      <c r="B1346">
        <v>4</v>
      </c>
      <c r="C1346" t="s">
        <v>229</v>
      </c>
      <c r="D1346" t="s">
        <v>737</v>
      </c>
      <c r="E1346" t="s">
        <v>105</v>
      </c>
      <c r="F1346">
        <v>60</v>
      </c>
      <c r="G1346" t="s">
        <v>678</v>
      </c>
      <c r="H1346" t="s">
        <v>678</v>
      </c>
      <c r="I1346" t="s">
        <v>105</v>
      </c>
      <c r="J1346" t="s">
        <v>678</v>
      </c>
      <c r="K1346" t="s">
        <v>678</v>
      </c>
      <c r="L1346" t="s">
        <v>678</v>
      </c>
      <c r="M1346" t="s">
        <v>2019</v>
      </c>
      <c r="N1346" t="b">
        <v>0</v>
      </c>
    </row>
    <row r="1347" spans="1:14">
      <c r="A1347">
        <v>91</v>
      </c>
      <c r="B1347">
        <v>5</v>
      </c>
      <c r="C1347" t="s">
        <v>297</v>
      </c>
      <c r="D1347" t="s">
        <v>737</v>
      </c>
      <c r="E1347" t="s">
        <v>107</v>
      </c>
      <c r="F1347">
        <v>40</v>
      </c>
      <c r="G1347" t="s">
        <v>678</v>
      </c>
      <c r="H1347" t="s">
        <v>678</v>
      </c>
      <c r="I1347" t="s">
        <v>107</v>
      </c>
      <c r="J1347" t="s">
        <v>678</v>
      </c>
      <c r="K1347" t="s">
        <v>678</v>
      </c>
      <c r="L1347" t="s">
        <v>678</v>
      </c>
      <c r="M1347" t="s">
        <v>2020</v>
      </c>
      <c r="N1347" t="b">
        <v>0</v>
      </c>
    </row>
    <row r="1348" spans="1:14">
      <c r="A1348">
        <v>91</v>
      </c>
      <c r="B1348">
        <v>6</v>
      </c>
      <c r="C1348" t="s">
        <v>207</v>
      </c>
      <c r="D1348" t="s">
        <v>737</v>
      </c>
      <c r="E1348" t="s">
        <v>117</v>
      </c>
      <c r="F1348">
        <v>50</v>
      </c>
      <c r="G1348" t="s">
        <v>678</v>
      </c>
      <c r="H1348" t="s">
        <v>678</v>
      </c>
      <c r="I1348" t="s">
        <v>117</v>
      </c>
      <c r="J1348" t="s">
        <v>678</v>
      </c>
      <c r="K1348" t="s">
        <v>678</v>
      </c>
      <c r="L1348" t="s">
        <v>678</v>
      </c>
      <c r="M1348" t="s">
        <v>2021</v>
      </c>
      <c r="N1348" t="b">
        <v>0</v>
      </c>
    </row>
    <row r="1349" spans="1:14">
      <c r="A1349">
        <v>91</v>
      </c>
      <c r="B1349">
        <v>7</v>
      </c>
      <c r="C1349" t="s">
        <v>230</v>
      </c>
      <c r="D1349" t="s">
        <v>737</v>
      </c>
      <c r="E1349" t="s">
        <v>70</v>
      </c>
      <c r="F1349">
        <v>50</v>
      </c>
      <c r="G1349" t="s">
        <v>678</v>
      </c>
      <c r="H1349" t="s">
        <v>678</v>
      </c>
      <c r="I1349" t="s">
        <v>70</v>
      </c>
      <c r="J1349" t="s">
        <v>678</v>
      </c>
      <c r="K1349" t="s">
        <v>678</v>
      </c>
      <c r="L1349" t="s">
        <v>678</v>
      </c>
      <c r="M1349" t="s">
        <v>2022</v>
      </c>
      <c r="N1349" t="b">
        <v>0</v>
      </c>
    </row>
    <row r="1350" spans="1:14">
      <c r="A1350">
        <v>91</v>
      </c>
      <c r="B1350">
        <v>8</v>
      </c>
      <c r="C1350" t="s">
        <v>329</v>
      </c>
      <c r="D1350" t="s">
        <v>737</v>
      </c>
      <c r="E1350" t="s">
        <v>342</v>
      </c>
      <c r="F1350">
        <v>30</v>
      </c>
      <c r="G1350" t="s">
        <v>678</v>
      </c>
      <c r="H1350" t="s">
        <v>559</v>
      </c>
      <c r="I1350" t="s">
        <v>456</v>
      </c>
      <c r="J1350" t="s">
        <v>678</v>
      </c>
      <c r="K1350" t="s">
        <v>934</v>
      </c>
      <c r="L1350" t="s">
        <v>935</v>
      </c>
      <c r="M1350" t="s">
        <v>2023</v>
      </c>
      <c r="N1350" t="b">
        <v>0</v>
      </c>
    </row>
    <row r="1351" spans="1:14">
      <c r="A1351">
        <v>91</v>
      </c>
      <c r="B1351">
        <v>9</v>
      </c>
      <c r="C1351" t="s">
        <v>176</v>
      </c>
      <c r="D1351" t="s">
        <v>737</v>
      </c>
      <c r="E1351" t="s">
        <v>76</v>
      </c>
      <c r="F1351">
        <v>50</v>
      </c>
      <c r="G1351" t="s">
        <v>678</v>
      </c>
      <c r="H1351" t="s">
        <v>678</v>
      </c>
      <c r="I1351" t="s">
        <v>76</v>
      </c>
      <c r="J1351" t="s">
        <v>678</v>
      </c>
      <c r="K1351" t="s">
        <v>678</v>
      </c>
      <c r="L1351" t="s">
        <v>678</v>
      </c>
      <c r="M1351" t="s">
        <v>2024</v>
      </c>
      <c r="N1351" t="b">
        <v>0</v>
      </c>
    </row>
    <row r="1352" spans="1:14">
      <c r="A1352">
        <v>91</v>
      </c>
      <c r="B1352">
        <v>10</v>
      </c>
      <c r="C1352" t="s">
        <v>402</v>
      </c>
      <c r="D1352" t="s">
        <v>737</v>
      </c>
      <c r="E1352" t="s">
        <v>106</v>
      </c>
      <c r="F1352">
        <v>60</v>
      </c>
      <c r="G1352" t="s">
        <v>678</v>
      </c>
      <c r="H1352" t="s">
        <v>678</v>
      </c>
      <c r="I1352" t="s">
        <v>106</v>
      </c>
      <c r="J1352" t="s">
        <v>678</v>
      </c>
      <c r="K1352" t="s">
        <v>678</v>
      </c>
      <c r="L1352" t="s">
        <v>678</v>
      </c>
      <c r="M1352" t="s">
        <v>2025</v>
      </c>
      <c r="N1352" t="b">
        <v>0</v>
      </c>
    </row>
    <row r="1353" spans="1:14">
      <c r="A1353">
        <v>91</v>
      </c>
      <c r="B1353">
        <v>11</v>
      </c>
      <c r="C1353" t="s">
        <v>179</v>
      </c>
      <c r="D1353" t="s">
        <v>737</v>
      </c>
      <c r="E1353" t="s">
        <v>110</v>
      </c>
      <c r="F1353">
        <v>50</v>
      </c>
      <c r="G1353" t="s">
        <v>678</v>
      </c>
      <c r="H1353" t="s">
        <v>678</v>
      </c>
      <c r="I1353" t="s">
        <v>110</v>
      </c>
      <c r="J1353" t="s">
        <v>678</v>
      </c>
      <c r="K1353" t="s">
        <v>678</v>
      </c>
      <c r="L1353" t="s">
        <v>678</v>
      </c>
      <c r="M1353" t="s">
        <v>2026</v>
      </c>
      <c r="N1353" t="b">
        <v>0</v>
      </c>
    </row>
    <row r="1354" spans="1:14">
      <c r="A1354">
        <v>91</v>
      </c>
      <c r="B1354">
        <v>12</v>
      </c>
      <c r="C1354" t="s">
        <v>233</v>
      </c>
      <c r="D1354" t="s">
        <v>737</v>
      </c>
      <c r="E1354" t="s">
        <v>111</v>
      </c>
      <c r="F1354">
        <v>50</v>
      </c>
      <c r="G1354" t="s">
        <v>678</v>
      </c>
      <c r="H1354" t="s">
        <v>678</v>
      </c>
      <c r="I1354" t="s">
        <v>111</v>
      </c>
      <c r="J1354" t="s">
        <v>678</v>
      </c>
      <c r="K1354" t="s">
        <v>678</v>
      </c>
      <c r="L1354" t="s">
        <v>678</v>
      </c>
      <c r="M1354" t="s">
        <v>2027</v>
      </c>
      <c r="N1354" t="b">
        <v>0</v>
      </c>
    </row>
    <row r="1355" spans="1:14">
      <c r="A1355">
        <v>91</v>
      </c>
      <c r="B1355">
        <v>13</v>
      </c>
      <c r="C1355" t="s">
        <v>204</v>
      </c>
      <c r="D1355" t="s">
        <v>737</v>
      </c>
      <c r="E1355" t="s">
        <v>112</v>
      </c>
      <c r="F1355">
        <v>60</v>
      </c>
      <c r="G1355" t="s">
        <v>678</v>
      </c>
      <c r="H1355" t="s">
        <v>678</v>
      </c>
      <c r="I1355" t="s">
        <v>112</v>
      </c>
      <c r="J1355" t="s">
        <v>678</v>
      </c>
      <c r="K1355" t="s">
        <v>678</v>
      </c>
      <c r="L1355" t="s">
        <v>678</v>
      </c>
      <c r="M1355" t="s">
        <v>2028</v>
      </c>
      <c r="N1355" t="b">
        <v>0</v>
      </c>
    </row>
    <row r="1356" spans="1:14">
      <c r="A1356">
        <v>91</v>
      </c>
      <c r="B1356">
        <v>14</v>
      </c>
      <c r="C1356" t="s">
        <v>678</v>
      </c>
      <c r="D1356" t="s">
        <v>737</v>
      </c>
      <c r="E1356" t="s">
        <v>678</v>
      </c>
      <c r="F1356">
        <v>0</v>
      </c>
      <c r="G1356" t="s">
        <v>678</v>
      </c>
      <c r="H1356" t="s">
        <v>678</v>
      </c>
      <c r="I1356" t="s">
        <v>678</v>
      </c>
      <c r="J1356" t="s">
        <v>678</v>
      </c>
      <c r="K1356" t="s">
        <v>678</v>
      </c>
      <c r="L1356" t="s">
        <v>678</v>
      </c>
      <c r="M1356" t="s">
        <v>2029</v>
      </c>
      <c r="N1356" t="b">
        <v>0</v>
      </c>
    </row>
    <row r="1357" spans="1:14">
      <c r="A1357">
        <v>91</v>
      </c>
      <c r="B1357">
        <v>15</v>
      </c>
      <c r="C1357" t="s">
        <v>678</v>
      </c>
      <c r="D1357" t="s">
        <v>737</v>
      </c>
      <c r="E1357" t="s">
        <v>678</v>
      </c>
      <c r="F1357">
        <v>0</v>
      </c>
      <c r="G1357" t="s">
        <v>678</v>
      </c>
      <c r="H1357" t="s">
        <v>678</v>
      </c>
      <c r="I1357" t="s">
        <v>678</v>
      </c>
      <c r="J1357" t="s">
        <v>678</v>
      </c>
      <c r="K1357" t="s">
        <v>678</v>
      </c>
      <c r="L1357" t="s">
        <v>678</v>
      </c>
      <c r="M1357" t="s">
        <v>2030</v>
      </c>
      <c r="N1357" t="b">
        <v>0</v>
      </c>
    </row>
    <row r="1358" spans="1:14">
      <c r="A1358">
        <v>91</v>
      </c>
      <c r="B1358">
        <v>16</v>
      </c>
      <c r="C1358" t="s">
        <v>678</v>
      </c>
      <c r="D1358" t="s">
        <v>754</v>
      </c>
      <c r="E1358" t="s">
        <v>678</v>
      </c>
      <c r="F1358">
        <v>0</v>
      </c>
      <c r="G1358" t="s">
        <v>678</v>
      </c>
      <c r="H1358" t="s">
        <v>678</v>
      </c>
      <c r="I1358" t="s">
        <v>678</v>
      </c>
      <c r="J1358" t="s">
        <v>678</v>
      </c>
      <c r="K1358" t="s">
        <v>678</v>
      </c>
      <c r="L1358" t="s">
        <v>678</v>
      </c>
      <c r="M1358" t="s">
        <v>2031</v>
      </c>
      <c r="N1358" t="b">
        <v>0</v>
      </c>
    </row>
    <row r="1359" spans="1:14">
      <c r="A1359">
        <v>91</v>
      </c>
      <c r="B1359">
        <v>17</v>
      </c>
      <c r="C1359" t="s">
        <v>678</v>
      </c>
      <c r="D1359" t="s">
        <v>754</v>
      </c>
      <c r="E1359" t="s">
        <v>678</v>
      </c>
      <c r="F1359">
        <v>0</v>
      </c>
      <c r="G1359" t="s">
        <v>678</v>
      </c>
      <c r="H1359" t="s">
        <v>678</v>
      </c>
      <c r="I1359" t="s">
        <v>678</v>
      </c>
      <c r="J1359" t="s">
        <v>678</v>
      </c>
      <c r="K1359" t="s">
        <v>678</v>
      </c>
      <c r="L1359" t="s">
        <v>678</v>
      </c>
      <c r="M1359" t="s">
        <v>2032</v>
      </c>
      <c r="N1359" t="b">
        <v>0</v>
      </c>
    </row>
    <row r="1360" spans="1:14">
      <c r="A1360">
        <v>91</v>
      </c>
      <c r="B1360">
        <v>18</v>
      </c>
      <c r="C1360" t="s">
        <v>678</v>
      </c>
      <c r="D1360" t="s">
        <v>754</v>
      </c>
      <c r="E1360" t="s">
        <v>678</v>
      </c>
      <c r="F1360">
        <v>0</v>
      </c>
      <c r="G1360" t="s">
        <v>678</v>
      </c>
      <c r="H1360" t="s">
        <v>678</v>
      </c>
      <c r="I1360" t="s">
        <v>678</v>
      </c>
      <c r="J1360" t="s">
        <v>678</v>
      </c>
      <c r="K1360" t="s">
        <v>678</v>
      </c>
      <c r="L1360" t="s">
        <v>678</v>
      </c>
      <c r="M1360" t="s">
        <v>2033</v>
      </c>
      <c r="N1360" t="b">
        <v>0</v>
      </c>
    </row>
    <row r="1361" spans="1:14">
      <c r="A1361">
        <v>91</v>
      </c>
      <c r="B1361">
        <v>19</v>
      </c>
      <c r="C1361" t="s">
        <v>678</v>
      </c>
      <c r="D1361" t="s">
        <v>754</v>
      </c>
      <c r="E1361" t="s">
        <v>678</v>
      </c>
      <c r="F1361">
        <v>0</v>
      </c>
      <c r="G1361" t="s">
        <v>678</v>
      </c>
      <c r="H1361" t="s">
        <v>678</v>
      </c>
      <c r="I1361" t="s">
        <v>678</v>
      </c>
      <c r="J1361" t="s">
        <v>678</v>
      </c>
      <c r="K1361" t="s">
        <v>678</v>
      </c>
      <c r="L1361" t="s">
        <v>678</v>
      </c>
      <c r="M1361" t="s">
        <v>2034</v>
      </c>
      <c r="N1361" t="b">
        <v>0</v>
      </c>
    </row>
    <row r="1362" spans="1:14">
      <c r="A1362">
        <v>91</v>
      </c>
      <c r="B1362">
        <v>20</v>
      </c>
      <c r="C1362" t="s">
        <v>678</v>
      </c>
      <c r="D1362" t="s">
        <v>754</v>
      </c>
      <c r="E1362" t="s">
        <v>678</v>
      </c>
      <c r="F1362">
        <v>0</v>
      </c>
      <c r="G1362" t="s">
        <v>678</v>
      </c>
      <c r="H1362" t="s">
        <v>678</v>
      </c>
      <c r="I1362" t="s">
        <v>678</v>
      </c>
      <c r="J1362" t="s">
        <v>678</v>
      </c>
      <c r="K1362" t="s">
        <v>678</v>
      </c>
      <c r="L1362" t="s">
        <v>678</v>
      </c>
      <c r="M1362" t="s">
        <v>2035</v>
      </c>
      <c r="N1362" t="b">
        <v>0</v>
      </c>
    </row>
    <row r="1363" spans="1:14">
      <c r="A1363">
        <v>91</v>
      </c>
      <c r="B1363">
        <v>21</v>
      </c>
      <c r="C1363" t="s">
        <v>678</v>
      </c>
      <c r="D1363" t="s">
        <v>754</v>
      </c>
      <c r="E1363" t="s">
        <v>678</v>
      </c>
      <c r="F1363">
        <v>0</v>
      </c>
      <c r="G1363" t="s">
        <v>678</v>
      </c>
      <c r="H1363" t="s">
        <v>678</v>
      </c>
      <c r="I1363" t="s">
        <v>678</v>
      </c>
      <c r="J1363" t="s">
        <v>678</v>
      </c>
      <c r="K1363" t="s">
        <v>678</v>
      </c>
      <c r="L1363" t="s">
        <v>678</v>
      </c>
      <c r="M1363" t="s">
        <v>2036</v>
      </c>
      <c r="N1363" t="b">
        <v>0</v>
      </c>
    </row>
    <row r="1364" spans="1:14">
      <c r="A1364">
        <v>91</v>
      </c>
      <c r="B1364">
        <v>22</v>
      </c>
      <c r="C1364" t="s">
        <v>678</v>
      </c>
      <c r="D1364" t="s">
        <v>754</v>
      </c>
      <c r="E1364" t="s">
        <v>678</v>
      </c>
      <c r="F1364">
        <v>0</v>
      </c>
      <c r="G1364" t="s">
        <v>678</v>
      </c>
      <c r="H1364" t="s">
        <v>678</v>
      </c>
      <c r="I1364" t="s">
        <v>678</v>
      </c>
      <c r="J1364" t="s">
        <v>678</v>
      </c>
      <c r="K1364" t="s">
        <v>678</v>
      </c>
      <c r="L1364" t="s">
        <v>678</v>
      </c>
      <c r="M1364" t="s">
        <v>2037</v>
      </c>
      <c r="N1364" t="b">
        <v>0</v>
      </c>
    </row>
    <row r="1365" spans="1:14">
      <c r="A1365">
        <v>91</v>
      </c>
      <c r="B1365">
        <v>23</v>
      </c>
      <c r="C1365" t="s">
        <v>678</v>
      </c>
      <c r="D1365" t="s">
        <v>754</v>
      </c>
      <c r="E1365" t="s">
        <v>678</v>
      </c>
      <c r="F1365">
        <v>0</v>
      </c>
      <c r="G1365" t="s">
        <v>678</v>
      </c>
      <c r="H1365" t="s">
        <v>678</v>
      </c>
      <c r="I1365" t="s">
        <v>678</v>
      </c>
      <c r="J1365" t="s">
        <v>678</v>
      </c>
      <c r="K1365" t="s">
        <v>678</v>
      </c>
      <c r="L1365" t="s">
        <v>678</v>
      </c>
      <c r="M1365" t="s">
        <v>2038</v>
      </c>
      <c r="N1365" t="b">
        <v>0</v>
      </c>
    </row>
    <row r="1366" spans="1:14">
      <c r="A1366">
        <v>91</v>
      </c>
      <c r="B1366">
        <v>24</v>
      </c>
      <c r="C1366" t="s">
        <v>678</v>
      </c>
      <c r="D1366" t="s">
        <v>754</v>
      </c>
      <c r="E1366" t="s">
        <v>678</v>
      </c>
      <c r="F1366">
        <v>0</v>
      </c>
      <c r="G1366" t="s">
        <v>678</v>
      </c>
      <c r="H1366" t="s">
        <v>678</v>
      </c>
      <c r="I1366" t="s">
        <v>678</v>
      </c>
      <c r="J1366" t="s">
        <v>678</v>
      </c>
      <c r="K1366" t="s">
        <v>678</v>
      </c>
      <c r="L1366" t="s">
        <v>678</v>
      </c>
      <c r="M1366" t="s">
        <v>2039</v>
      </c>
      <c r="N1366" t="b">
        <v>0</v>
      </c>
    </row>
    <row r="1367" spans="1:14">
      <c r="A1367">
        <v>91</v>
      </c>
      <c r="B1367">
        <v>25</v>
      </c>
      <c r="C1367" t="s">
        <v>678</v>
      </c>
      <c r="D1367" t="s">
        <v>754</v>
      </c>
      <c r="E1367" t="s">
        <v>678</v>
      </c>
      <c r="F1367">
        <v>0</v>
      </c>
      <c r="G1367" t="s">
        <v>678</v>
      </c>
      <c r="H1367" t="s">
        <v>678</v>
      </c>
      <c r="I1367" t="s">
        <v>678</v>
      </c>
      <c r="J1367" t="s">
        <v>678</v>
      </c>
      <c r="K1367" t="s">
        <v>678</v>
      </c>
      <c r="L1367" t="s">
        <v>678</v>
      </c>
      <c r="M1367" t="s">
        <v>2040</v>
      </c>
      <c r="N1367" t="b">
        <v>0</v>
      </c>
    </row>
    <row r="1368" spans="1:14">
      <c r="A1368">
        <v>91</v>
      </c>
      <c r="B1368">
        <v>26</v>
      </c>
      <c r="C1368" t="s">
        <v>678</v>
      </c>
      <c r="D1368" t="s">
        <v>754</v>
      </c>
      <c r="E1368" t="s">
        <v>678</v>
      </c>
      <c r="F1368">
        <v>0</v>
      </c>
      <c r="G1368" t="s">
        <v>678</v>
      </c>
      <c r="H1368" t="s">
        <v>678</v>
      </c>
      <c r="I1368" t="s">
        <v>678</v>
      </c>
      <c r="J1368" t="s">
        <v>678</v>
      </c>
      <c r="K1368" t="s">
        <v>678</v>
      </c>
      <c r="L1368" t="s">
        <v>678</v>
      </c>
      <c r="M1368" t="s">
        <v>2041</v>
      </c>
      <c r="N1368" t="b">
        <v>0</v>
      </c>
    </row>
    <row r="1369" spans="1:14">
      <c r="A1369">
        <v>93</v>
      </c>
      <c r="B1369">
        <v>0</v>
      </c>
      <c r="C1369" t="s">
        <v>167</v>
      </c>
      <c r="D1369" t="s">
        <v>737</v>
      </c>
      <c r="E1369" t="s">
        <v>85</v>
      </c>
      <c r="F1369">
        <v>40</v>
      </c>
      <c r="G1369" t="s">
        <v>678</v>
      </c>
      <c r="H1369" t="s">
        <v>678</v>
      </c>
      <c r="I1369" t="s">
        <v>85</v>
      </c>
      <c r="J1369" t="s">
        <v>678</v>
      </c>
      <c r="K1369" t="s">
        <v>678</v>
      </c>
      <c r="L1369" t="s">
        <v>678</v>
      </c>
      <c r="M1369" t="s">
        <v>2042</v>
      </c>
      <c r="N1369" t="b">
        <v>0</v>
      </c>
    </row>
    <row r="1370" spans="1:14">
      <c r="A1370">
        <v>93</v>
      </c>
      <c r="B1370">
        <v>1</v>
      </c>
      <c r="C1370" t="s">
        <v>220</v>
      </c>
      <c r="D1370" t="s">
        <v>737</v>
      </c>
      <c r="E1370" t="s">
        <v>90</v>
      </c>
      <c r="F1370">
        <v>40</v>
      </c>
      <c r="G1370" t="s">
        <v>678</v>
      </c>
      <c r="H1370" t="s">
        <v>678</v>
      </c>
      <c r="I1370" t="s">
        <v>90</v>
      </c>
      <c r="J1370" t="s">
        <v>678</v>
      </c>
      <c r="K1370" t="s">
        <v>678</v>
      </c>
      <c r="L1370" t="s">
        <v>678</v>
      </c>
      <c r="M1370" t="s">
        <v>2043</v>
      </c>
      <c r="N1370" t="b">
        <v>0</v>
      </c>
    </row>
    <row r="1371" spans="1:14">
      <c r="A1371">
        <v>93</v>
      </c>
      <c r="B1371">
        <v>2</v>
      </c>
      <c r="C1371" t="s">
        <v>196</v>
      </c>
      <c r="D1371" t="s">
        <v>737</v>
      </c>
      <c r="E1371" t="s">
        <v>97</v>
      </c>
      <c r="F1371">
        <v>50</v>
      </c>
      <c r="G1371" t="s">
        <v>678</v>
      </c>
      <c r="H1371" t="s">
        <v>678</v>
      </c>
      <c r="I1371" t="s">
        <v>97</v>
      </c>
      <c r="J1371" t="s">
        <v>678</v>
      </c>
      <c r="K1371" t="s">
        <v>678</v>
      </c>
      <c r="L1371" t="s">
        <v>678</v>
      </c>
      <c r="M1371" t="s">
        <v>2044</v>
      </c>
      <c r="N1371" t="b">
        <v>0</v>
      </c>
    </row>
    <row r="1372" spans="1:14">
      <c r="A1372">
        <v>93</v>
      </c>
      <c r="B1372">
        <v>3</v>
      </c>
      <c r="C1372" t="s">
        <v>455</v>
      </c>
      <c r="D1372" t="s">
        <v>737</v>
      </c>
      <c r="E1372" t="s">
        <v>308</v>
      </c>
      <c r="F1372">
        <v>40</v>
      </c>
      <c r="G1372" t="s">
        <v>678</v>
      </c>
      <c r="H1372" t="s">
        <v>1909</v>
      </c>
      <c r="I1372" t="s">
        <v>1910</v>
      </c>
      <c r="J1372" t="s">
        <v>678</v>
      </c>
      <c r="K1372" t="s">
        <v>775</v>
      </c>
      <c r="L1372" t="s">
        <v>776</v>
      </c>
      <c r="M1372" t="s">
        <v>2045</v>
      </c>
      <c r="N1372" t="b">
        <v>0</v>
      </c>
    </row>
    <row r="1373" spans="1:14">
      <c r="A1373">
        <v>93</v>
      </c>
      <c r="B1373">
        <v>4</v>
      </c>
      <c r="C1373" t="s">
        <v>200</v>
      </c>
      <c r="D1373" t="s">
        <v>737</v>
      </c>
      <c r="E1373" t="s">
        <v>119</v>
      </c>
      <c r="F1373">
        <v>60</v>
      </c>
      <c r="G1373" t="s">
        <v>678</v>
      </c>
      <c r="H1373" t="s">
        <v>678</v>
      </c>
      <c r="I1373" t="s">
        <v>119</v>
      </c>
      <c r="J1373" t="s">
        <v>678</v>
      </c>
      <c r="K1373" t="s">
        <v>678</v>
      </c>
      <c r="L1373" t="s">
        <v>678</v>
      </c>
      <c r="M1373" t="s">
        <v>2046</v>
      </c>
      <c r="N1373" t="b">
        <v>0</v>
      </c>
    </row>
    <row r="1374" spans="1:14">
      <c r="A1374">
        <v>93</v>
      </c>
      <c r="B1374">
        <v>5</v>
      </c>
      <c r="C1374" t="s">
        <v>222</v>
      </c>
      <c r="D1374" t="s">
        <v>737</v>
      </c>
      <c r="E1374" t="s">
        <v>113</v>
      </c>
      <c r="F1374">
        <v>40</v>
      </c>
      <c r="G1374" t="s">
        <v>678</v>
      </c>
      <c r="H1374" t="s">
        <v>678</v>
      </c>
      <c r="I1374" t="s">
        <v>113</v>
      </c>
      <c r="J1374" t="s">
        <v>678</v>
      </c>
      <c r="K1374" t="s">
        <v>678</v>
      </c>
      <c r="L1374" t="s">
        <v>678</v>
      </c>
      <c r="M1374" t="s">
        <v>2047</v>
      </c>
      <c r="N1374" t="b">
        <v>0</v>
      </c>
    </row>
    <row r="1375" spans="1:14">
      <c r="A1375">
        <v>93</v>
      </c>
      <c r="B1375">
        <v>6</v>
      </c>
      <c r="C1375" t="s">
        <v>191</v>
      </c>
      <c r="D1375" t="s">
        <v>737</v>
      </c>
      <c r="E1375" t="s">
        <v>64</v>
      </c>
      <c r="F1375">
        <v>40</v>
      </c>
      <c r="G1375" t="s">
        <v>678</v>
      </c>
      <c r="H1375" t="s">
        <v>678</v>
      </c>
      <c r="I1375" t="s">
        <v>64</v>
      </c>
      <c r="J1375" t="s">
        <v>678</v>
      </c>
      <c r="K1375" t="s">
        <v>678</v>
      </c>
      <c r="L1375" t="s">
        <v>678</v>
      </c>
      <c r="M1375" t="s">
        <v>2048</v>
      </c>
      <c r="N1375" t="b">
        <v>0</v>
      </c>
    </row>
    <row r="1376" spans="1:14">
      <c r="A1376">
        <v>93</v>
      </c>
      <c r="B1376">
        <v>7</v>
      </c>
      <c r="C1376" t="s">
        <v>470</v>
      </c>
      <c r="D1376" t="s">
        <v>737</v>
      </c>
      <c r="E1376" t="s">
        <v>95</v>
      </c>
      <c r="F1376">
        <v>30</v>
      </c>
      <c r="G1376" t="s">
        <v>678</v>
      </c>
      <c r="H1376" t="s">
        <v>678</v>
      </c>
      <c r="I1376" t="s">
        <v>95</v>
      </c>
      <c r="J1376" t="s">
        <v>678</v>
      </c>
      <c r="K1376" t="s">
        <v>678</v>
      </c>
      <c r="L1376" t="s">
        <v>678</v>
      </c>
      <c r="M1376" t="s">
        <v>2049</v>
      </c>
      <c r="N1376" t="b">
        <v>0</v>
      </c>
    </row>
    <row r="1377" spans="1:14">
      <c r="A1377">
        <v>93</v>
      </c>
      <c r="B1377">
        <v>8</v>
      </c>
      <c r="C1377" t="s">
        <v>471</v>
      </c>
      <c r="D1377" t="s">
        <v>737</v>
      </c>
      <c r="E1377" t="s">
        <v>556</v>
      </c>
      <c r="F1377">
        <v>50</v>
      </c>
      <c r="G1377" t="s">
        <v>678</v>
      </c>
      <c r="H1377" t="s">
        <v>591</v>
      </c>
      <c r="I1377" t="s">
        <v>384</v>
      </c>
      <c r="J1377" t="s">
        <v>678</v>
      </c>
      <c r="K1377" t="s">
        <v>814</v>
      </c>
      <c r="L1377" t="s">
        <v>815</v>
      </c>
      <c r="M1377" t="s">
        <v>2050</v>
      </c>
      <c r="N1377" t="b">
        <v>0</v>
      </c>
    </row>
    <row r="1378" spans="1:14">
      <c r="A1378">
        <v>93</v>
      </c>
      <c r="B1378">
        <v>9</v>
      </c>
      <c r="C1378" t="s">
        <v>458</v>
      </c>
      <c r="D1378" t="s">
        <v>737</v>
      </c>
      <c r="E1378" t="s">
        <v>556</v>
      </c>
      <c r="F1378">
        <v>50</v>
      </c>
      <c r="G1378" t="s">
        <v>678</v>
      </c>
      <c r="H1378" t="s">
        <v>566</v>
      </c>
      <c r="I1378" t="s">
        <v>343</v>
      </c>
      <c r="J1378" t="s">
        <v>678</v>
      </c>
      <c r="K1378" t="s">
        <v>838</v>
      </c>
      <c r="L1378" t="s">
        <v>839</v>
      </c>
      <c r="M1378" t="s">
        <v>2051</v>
      </c>
      <c r="N1378" t="b">
        <v>0</v>
      </c>
    </row>
    <row r="1379" spans="1:14">
      <c r="A1379">
        <v>93</v>
      </c>
      <c r="B1379">
        <v>10</v>
      </c>
      <c r="C1379" t="s">
        <v>678</v>
      </c>
      <c r="D1379" t="s">
        <v>737</v>
      </c>
      <c r="E1379" t="s">
        <v>678</v>
      </c>
      <c r="F1379">
        <v>0</v>
      </c>
      <c r="G1379" t="s">
        <v>678</v>
      </c>
      <c r="H1379" t="s">
        <v>678</v>
      </c>
      <c r="I1379" t="s">
        <v>678</v>
      </c>
      <c r="J1379" t="s">
        <v>678</v>
      </c>
      <c r="K1379" t="s">
        <v>678</v>
      </c>
      <c r="L1379" t="s">
        <v>678</v>
      </c>
      <c r="M1379" t="s">
        <v>2052</v>
      </c>
      <c r="N1379" t="b">
        <v>0</v>
      </c>
    </row>
    <row r="1380" spans="1:14">
      <c r="A1380">
        <v>93</v>
      </c>
      <c r="B1380">
        <v>11</v>
      </c>
      <c r="C1380" t="s">
        <v>678</v>
      </c>
      <c r="D1380" t="s">
        <v>737</v>
      </c>
      <c r="E1380" t="s">
        <v>678</v>
      </c>
      <c r="F1380">
        <v>0</v>
      </c>
      <c r="G1380" t="s">
        <v>678</v>
      </c>
      <c r="H1380" t="s">
        <v>678</v>
      </c>
      <c r="I1380" t="s">
        <v>678</v>
      </c>
      <c r="J1380" t="s">
        <v>678</v>
      </c>
      <c r="K1380" t="s">
        <v>678</v>
      </c>
      <c r="L1380" t="s">
        <v>678</v>
      </c>
      <c r="M1380" t="s">
        <v>2053</v>
      </c>
      <c r="N1380" t="b">
        <v>0</v>
      </c>
    </row>
    <row r="1381" spans="1:14">
      <c r="A1381">
        <v>93</v>
      </c>
      <c r="B1381">
        <v>12</v>
      </c>
      <c r="C1381" t="s">
        <v>678</v>
      </c>
      <c r="D1381" t="s">
        <v>737</v>
      </c>
      <c r="E1381" t="s">
        <v>678</v>
      </c>
      <c r="F1381">
        <v>0</v>
      </c>
      <c r="G1381" t="s">
        <v>678</v>
      </c>
      <c r="H1381" t="s">
        <v>678</v>
      </c>
      <c r="I1381" t="s">
        <v>678</v>
      </c>
      <c r="J1381" t="s">
        <v>678</v>
      </c>
      <c r="K1381" t="s">
        <v>678</v>
      </c>
      <c r="L1381" t="s">
        <v>678</v>
      </c>
      <c r="M1381" t="s">
        <v>2054</v>
      </c>
      <c r="N1381" t="b">
        <v>0</v>
      </c>
    </row>
    <row r="1382" spans="1:14">
      <c r="A1382">
        <v>93</v>
      </c>
      <c r="B1382">
        <v>13</v>
      </c>
      <c r="C1382" t="s">
        <v>678</v>
      </c>
      <c r="D1382" t="s">
        <v>737</v>
      </c>
      <c r="E1382" t="s">
        <v>678</v>
      </c>
      <c r="F1382">
        <v>0</v>
      </c>
      <c r="G1382" t="s">
        <v>678</v>
      </c>
      <c r="H1382" t="s">
        <v>678</v>
      </c>
      <c r="I1382" t="s">
        <v>678</v>
      </c>
      <c r="J1382" t="s">
        <v>678</v>
      </c>
      <c r="K1382" t="s">
        <v>678</v>
      </c>
      <c r="L1382" t="s">
        <v>678</v>
      </c>
      <c r="M1382" t="s">
        <v>2055</v>
      </c>
      <c r="N1382" t="b">
        <v>0</v>
      </c>
    </row>
    <row r="1383" spans="1:14">
      <c r="A1383">
        <v>93</v>
      </c>
      <c r="B1383">
        <v>14</v>
      </c>
      <c r="C1383" t="s">
        <v>678</v>
      </c>
      <c r="D1383" t="s">
        <v>737</v>
      </c>
      <c r="E1383" t="s">
        <v>678</v>
      </c>
      <c r="F1383">
        <v>0</v>
      </c>
      <c r="G1383" t="s">
        <v>678</v>
      </c>
      <c r="H1383" t="s">
        <v>678</v>
      </c>
      <c r="I1383" t="s">
        <v>678</v>
      </c>
      <c r="J1383" t="s">
        <v>678</v>
      </c>
      <c r="K1383" t="s">
        <v>678</v>
      </c>
      <c r="L1383" t="s">
        <v>678</v>
      </c>
      <c r="M1383" t="s">
        <v>2056</v>
      </c>
      <c r="N1383" t="b">
        <v>0</v>
      </c>
    </row>
    <row r="1384" spans="1:14">
      <c r="A1384">
        <v>93</v>
      </c>
      <c r="B1384">
        <v>15</v>
      </c>
      <c r="C1384" t="s">
        <v>678</v>
      </c>
      <c r="D1384" t="s">
        <v>737</v>
      </c>
      <c r="E1384" t="s">
        <v>678</v>
      </c>
      <c r="F1384">
        <v>0</v>
      </c>
      <c r="G1384" t="s">
        <v>678</v>
      </c>
      <c r="H1384" t="s">
        <v>678</v>
      </c>
      <c r="I1384" t="s">
        <v>678</v>
      </c>
      <c r="J1384" t="s">
        <v>678</v>
      </c>
      <c r="K1384" t="s">
        <v>678</v>
      </c>
      <c r="L1384" t="s">
        <v>678</v>
      </c>
      <c r="M1384" t="s">
        <v>2057</v>
      </c>
      <c r="N1384" t="b">
        <v>0</v>
      </c>
    </row>
    <row r="1385" spans="1:14">
      <c r="A1385">
        <v>93</v>
      </c>
      <c r="B1385">
        <v>16</v>
      </c>
      <c r="C1385" t="s">
        <v>678</v>
      </c>
      <c r="D1385" t="s">
        <v>754</v>
      </c>
      <c r="E1385" t="s">
        <v>678</v>
      </c>
      <c r="F1385">
        <v>0</v>
      </c>
      <c r="G1385" t="s">
        <v>678</v>
      </c>
      <c r="H1385" t="s">
        <v>678</v>
      </c>
      <c r="I1385" t="s">
        <v>678</v>
      </c>
      <c r="J1385" t="s">
        <v>678</v>
      </c>
      <c r="K1385" t="s">
        <v>678</v>
      </c>
      <c r="L1385" t="s">
        <v>678</v>
      </c>
      <c r="M1385" t="s">
        <v>2058</v>
      </c>
      <c r="N1385" t="b">
        <v>0</v>
      </c>
    </row>
    <row r="1386" spans="1:14">
      <c r="A1386">
        <v>93</v>
      </c>
      <c r="B1386">
        <v>17</v>
      </c>
      <c r="C1386" t="s">
        <v>678</v>
      </c>
      <c r="D1386" t="s">
        <v>754</v>
      </c>
      <c r="E1386" t="s">
        <v>678</v>
      </c>
      <c r="F1386">
        <v>0</v>
      </c>
      <c r="G1386" t="s">
        <v>678</v>
      </c>
      <c r="H1386" t="s">
        <v>678</v>
      </c>
      <c r="I1386" t="s">
        <v>678</v>
      </c>
      <c r="J1386" t="s">
        <v>678</v>
      </c>
      <c r="K1386" t="s">
        <v>678</v>
      </c>
      <c r="L1386" t="s">
        <v>678</v>
      </c>
      <c r="M1386" t="s">
        <v>2059</v>
      </c>
      <c r="N1386" t="b">
        <v>0</v>
      </c>
    </row>
    <row r="1387" spans="1:14">
      <c r="A1387">
        <v>93</v>
      </c>
      <c r="B1387">
        <v>18</v>
      </c>
      <c r="C1387" t="s">
        <v>678</v>
      </c>
      <c r="D1387" t="s">
        <v>754</v>
      </c>
      <c r="E1387" t="s">
        <v>678</v>
      </c>
      <c r="F1387">
        <v>0</v>
      </c>
      <c r="G1387" t="s">
        <v>678</v>
      </c>
      <c r="H1387" t="s">
        <v>678</v>
      </c>
      <c r="I1387" t="s">
        <v>678</v>
      </c>
      <c r="J1387" t="s">
        <v>678</v>
      </c>
      <c r="K1387" t="s">
        <v>678</v>
      </c>
      <c r="L1387" t="s">
        <v>678</v>
      </c>
      <c r="M1387" t="s">
        <v>2060</v>
      </c>
      <c r="N1387" t="b">
        <v>0</v>
      </c>
    </row>
    <row r="1388" spans="1:14">
      <c r="A1388">
        <v>93</v>
      </c>
      <c r="B1388">
        <v>19</v>
      </c>
      <c r="C1388" t="s">
        <v>678</v>
      </c>
      <c r="D1388" t="s">
        <v>754</v>
      </c>
      <c r="E1388" t="s">
        <v>678</v>
      </c>
      <c r="F1388">
        <v>0</v>
      </c>
      <c r="G1388" t="s">
        <v>678</v>
      </c>
      <c r="H1388" t="s">
        <v>678</v>
      </c>
      <c r="I1388" t="s">
        <v>678</v>
      </c>
      <c r="J1388" t="s">
        <v>678</v>
      </c>
      <c r="K1388" t="s">
        <v>678</v>
      </c>
      <c r="L1388" t="s">
        <v>678</v>
      </c>
      <c r="M1388" t="s">
        <v>2061</v>
      </c>
      <c r="N1388" t="b">
        <v>0</v>
      </c>
    </row>
    <row r="1389" spans="1:14">
      <c r="A1389">
        <v>93</v>
      </c>
      <c r="B1389">
        <v>20</v>
      </c>
      <c r="C1389" t="s">
        <v>678</v>
      </c>
      <c r="D1389" t="s">
        <v>754</v>
      </c>
      <c r="E1389" t="s">
        <v>678</v>
      </c>
      <c r="F1389">
        <v>0</v>
      </c>
      <c r="G1389" t="s">
        <v>678</v>
      </c>
      <c r="H1389" t="s">
        <v>678</v>
      </c>
      <c r="I1389" t="s">
        <v>678</v>
      </c>
      <c r="J1389" t="s">
        <v>678</v>
      </c>
      <c r="K1389" t="s">
        <v>678</v>
      </c>
      <c r="L1389" t="s">
        <v>678</v>
      </c>
      <c r="M1389" t="s">
        <v>2062</v>
      </c>
      <c r="N1389" t="b">
        <v>0</v>
      </c>
    </row>
    <row r="1390" spans="1:14">
      <c r="A1390">
        <v>93</v>
      </c>
      <c r="B1390">
        <v>21</v>
      </c>
      <c r="C1390" t="s">
        <v>678</v>
      </c>
      <c r="D1390" t="s">
        <v>754</v>
      </c>
      <c r="E1390" t="s">
        <v>678</v>
      </c>
      <c r="F1390">
        <v>0</v>
      </c>
      <c r="G1390" t="s">
        <v>678</v>
      </c>
      <c r="H1390" t="s">
        <v>678</v>
      </c>
      <c r="I1390" t="s">
        <v>678</v>
      </c>
      <c r="J1390" t="s">
        <v>678</v>
      </c>
      <c r="K1390" t="s">
        <v>678</v>
      </c>
      <c r="L1390" t="s">
        <v>678</v>
      </c>
      <c r="M1390" t="s">
        <v>2063</v>
      </c>
      <c r="N1390" t="b">
        <v>0</v>
      </c>
    </row>
    <row r="1391" spans="1:14">
      <c r="A1391">
        <v>93</v>
      </c>
      <c r="B1391">
        <v>22</v>
      </c>
      <c r="C1391" t="s">
        <v>678</v>
      </c>
      <c r="D1391" t="s">
        <v>754</v>
      </c>
      <c r="E1391" t="s">
        <v>678</v>
      </c>
      <c r="F1391">
        <v>0</v>
      </c>
      <c r="G1391" t="s">
        <v>678</v>
      </c>
      <c r="H1391" t="s">
        <v>678</v>
      </c>
      <c r="I1391" t="s">
        <v>678</v>
      </c>
      <c r="J1391" t="s">
        <v>678</v>
      </c>
      <c r="K1391" t="s">
        <v>678</v>
      </c>
      <c r="L1391" t="s">
        <v>678</v>
      </c>
      <c r="M1391" t="s">
        <v>2064</v>
      </c>
      <c r="N1391" t="b">
        <v>0</v>
      </c>
    </row>
    <row r="1392" spans="1:14">
      <c r="A1392">
        <v>93</v>
      </c>
      <c r="B1392">
        <v>23</v>
      </c>
      <c r="C1392" t="s">
        <v>678</v>
      </c>
      <c r="D1392" t="s">
        <v>754</v>
      </c>
      <c r="E1392" t="s">
        <v>678</v>
      </c>
      <c r="F1392">
        <v>0</v>
      </c>
      <c r="G1392" t="s">
        <v>678</v>
      </c>
      <c r="H1392" t="s">
        <v>678</v>
      </c>
      <c r="I1392" t="s">
        <v>678</v>
      </c>
      <c r="J1392" t="s">
        <v>678</v>
      </c>
      <c r="K1392" t="s">
        <v>678</v>
      </c>
      <c r="L1392" t="s">
        <v>678</v>
      </c>
      <c r="M1392" t="s">
        <v>2065</v>
      </c>
      <c r="N1392" t="b">
        <v>0</v>
      </c>
    </row>
    <row r="1393" spans="1:14">
      <c r="A1393">
        <v>93</v>
      </c>
      <c r="B1393">
        <v>24</v>
      </c>
      <c r="C1393" t="s">
        <v>678</v>
      </c>
      <c r="D1393" t="s">
        <v>754</v>
      </c>
      <c r="E1393" t="s">
        <v>678</v>
      </c>
      <c r="F1393">
        <v>0</v>
      </c>
      <c r="G1393" t="s">
        <v>678</v>
      </c>
      <c r="H1393" t="s">
        <v>678</v>
      </c>
      <c r="I1393" t="s">
        <v>678</v>
      </c>
      <c r="J1393" t="s">
        <v>678</v>
      </c>
      <c r="K1393" t="s">
        <v>678</v>
      </c>
      <c r="L1393" t="s">
        <v>678</v>
      </c>
      <c r="M1393" t="s">
        <v>2066</v>
      </c>
      <c r="N1393" t="b">
        <v>0</v>
      </c>
    </row>
    <row r="1394" spans="1:14">
      <c r="A1394">
        <v>93</v>
      </c>
      <c r="B1394">
        <v>25</v>
      </c>
      <c r="C1394" t="s">
        <v>678</v>
      </c>
      <c r="D1394" t="s">
        <v>754</v>
      </c>
      <c r="E1394" t="s">
        <v>678</v>
      </c>
      <c r="F1394">
        <v>0</v>
      </c>
      <c r="G1394" t="s">
        <v>678</v>
      </c>
      <c r="H1394" t="s">
        <v>678</v>
      </c>
      <c r="I1394" t="s">
        <v>678</v>
      </c>
      <c r="J1394" t="s">
        <v>678</v>
      </c>
      <c r="K1394" t="s">
        <v>678</v>
      </c>
      <c r="L1394" t="s">
        <v>678</v>
      </c>
      <c r="M1394" t="s">
        <v>2067</v>
      </c>
      <c r="N1394" t="b">
        <v>0</v>
      </c>
    </row>
    <row r="1395" spans="1:14">
      <c r="A1395">
        <v>93</v>
      </c>
      <c r="B1395">
        <v>26</v>
      </c>
      <c r="C1395" t="s">
        <v>678</v>
      </c>
      <c r="D1395" t="s">
        <v>754</v>
      </c>
      <c r="E1395" t="s">
        <v>678</v>
      </c>
      <c r="F1395">
        <v>0</v>
      </c>
      <c r="G1395" t="s">
        <v>678</v>
      </c>
      <c r="H1395" t="s">
        <v>678</v>
      </c>
      <c r="I1395" t="s">
        <v>678</v>
      </c>
      <c r="J1395" t="s">
        <v>678</v>
      </c>
      <c r="K1395" t="s">
        <v>678</v>
      </c>
      <c r="L1395" t="s">
        <v>678</v>
      </c>
      <c r="M1395" t="s">
        <v>2068</v>
      </c>
      <c r="N1395" t="b">
        <v>0</v>
      </c>
    </row>
    <row r="1396" spans="1:14">
      <c r="A1396">
        <v>94</v>
      </c>
      <c r="B1396">
        <v>0</v>
      </c>
      <c r="C1396" t="s">
        <v>226</v>
      </c>
      <c r="D1396" t="s">
        <v>737</v>
      </c>
      <c r="E1396" t="s">
        <v>67</v>
      </c>
      <c r="F1396">
        <v>60</v>
      </c>
      <c r="G1396" t="s">
        <v>678</v>
      </c>
      <c r="H1396" t="s">
        <v>678</v>
      </c>
      <c r="I1396" t="s">
        <v>67</v>
      </c>
      <c r="J1396" t="s">
        <v>678</v>
      </c>
      <c r="K1396" t="s">
        <v>678</v>
      </c>
      <c r="L1396" t="s">
        <v>678</v>
      </c>
      <c r="M1396" t="s">
        <v>2069</v>
      </c>
      <c r="N1396" t="b">
        <v>0</v>
      </c>
    </row>
    <row r="1397" spans="1:14">
      <c r="A1397">
        <v>94</v>
      </c>
      <c r="B1397">
        <v>1</v>
      </c>
      <c r="C1397" t="s">
        <v>227</v>
      </c>
      <c r="D1397" t="s">
        <v>737</v>
      </c>
      <c r="E1397" t="s">
        <v>79</v>
      </c>
      <c r="F1397">
        <v>60</v>
      </c>
      <c r="G1397" t="s">
        <v>678</v>
      </c>
      <c r="H1397" t="s">
        <v>678</v>
      </c>
      <c r="I1397" t="s">
        <v>79</v>
      </c>
      <c r="J1397" t="s">
        <v>678</v>
      </c>
      <c r="K1397" t="s">
        <v>678</v>
      </c>
      <c r="L1397" t="s">
        <v>678</v>
      </c>
      <c r="M1397" t="s">
        <v>2070</v>
      </c>
      <c r="N1397" t="b">
        <v>0</v>
      </c>
    </row>
    <row r="1398" spans="1:14">
      <c r="A1398">
        <v>94</v>
      </c>
      <c r="B1398">
        <v>2</v>
      </c>
      <c r="C1398" t="s">
        <v>300</v>
      </c>
      <c r="D1398" t="s">
        <v>737</v>
      </c>
      <c r="E1398" t="s">
        <v>77</v>
      </c>
      <c r="F1398">
        <v>40</v>
      </c>
      <c r="G1398" t="s">
        <v>678</v>
      </c>
      <c r="H1398" t="s">
        <v>678</v>
      </c>
      <c r="I1398" t="s">
        <v>77</v>
      </c>
      <c r="J1398" t="s">
        <v>678</v>
      </c>
      <c r="K1398" t="s">
        <v>678</v>
      </c>
      <c r="L1398" t="s">
        <v>678</v>
      </c>
      <c r="M1398" t="s">
        <v>2071</v>
      </c>
      <c r="N1398" t="b">
        <v>0</v>
      </c>
    </row>
    <row r="1399" spans="1:14">
      <c r="A1399">
        <v>94</v>
      </c>
      <c r="B1399">
        <v>3</v>
      </c>
      <c r="C1399" t="s">
        <v>392</v>
      </c>
      <c r="D1399" t="s">
        <v>737</v>
      </c>
      <c r="E1399" t="s">
        <v>99</v>
      </c>
      <c r="F1399">
        <v>60</v>
      </c>
      <c r="G1399" t="s">
        <v>678</v>
      </c>
      <c r="H1399" t="s">
        <v>678</v>
      </c>
      <c r="I1399" t="s">
        <v>99</v>
      </c>
      <c r="J1399" t="s">
        <v>678</v>
      </c>
      <c r="K1399" t="s">
        <v>678</v>
      </c>
      <c r="L1399" t="s">
        <v>678</v>
      </c>
      <c r="M1399" t="s">
        <v>2072</v>
      </c>
      <c r="N1399" t="b">
        <v>0</v>
      </c>
    </row>
    <row r="1400" spans="1:14">
      <c r="A1400">
        <v>94</v>
      </c>
      <c r="B1400">
        <v>4</v>
      </c>
      <c r="C1400" t="s">
        <v>467</v>
      </c>
      <c r="D1400" t="s">
        <v>737</v>
      </c>
      <c r="E1400" t="s">
        <v>101</v>
      </c>
      <c r="F1400">
        <v>60</v>
      </c>
      <c r="G1400" t="s">
        <v>678</v>
      </c>
      <c r="H1400" t="s">
        <v>678</v>
      </c>
      <c r="I1400" t="s">
        <v>101</v>
      </c>
      <c r="J1400" t="s">
        <v>678</v>
      </c>
      <c r="K1400" t="s">
        <v>678</v>
      </c>
      <c r="L1400" t="s">
        <v>678</v>
      </c>
      <c r="M1400" t="s">
        <v>2073</v>
      </c>
      <c r="N1400" t="b">
        <v>0</v>
      </c>
    </row>
    <row r="1401" spans="1:14">
      <c r="A1401">
        <v>94</v>
      </c>
      <c r="B1401">
        <v>5</v>
      </c>
      <c r="C1401" t="s">
        <v>198</v>
      </c>
      <c r="D1401" t="s">
        <v>737</v>
      </c>
      <c r="E1401" t="s">
        <v>105</v>
      </c>
      <c r="F1401">
        <v>50</v>
      </c>
      <c r="G1401" t="s">
        <v>678</v>
      </c>
      <c r="H1401" t="s">
        <v>678</v>
      </c>
      <c r="I1401" t="s">
        <v>105</v>
      </c>
      <c r="J1401" t="s">
        <v>678</v>
      </c>
      <c r="K1401" t="s">
        <v>678</v>
      </c>
      <c r="L1401" t="s">
        <v>678</v>
      </c>
      <c r="M1401" t="s">
        <v>2074</v>
      </c>
      <c r="N1401" t="b">
        <v>0</v>
      </c>
    </row>
    <row r="1402" spans="1:14">
      <c r="A1402">
        <v>94</v>
      </c>
      <c r="B1402">
        <v>6</v>
      </c>
      <c r="C1402" t="s">
        <v>297</v>
      </c>
      <c r="D1402" t="s">
        <v>737</v>
      </c>
      <c r="E1402" t="s">
        <v>107</v>
      </c>
      <c r="F1402">
        <v>40</v>
      </c>
      <c r="G1402" t="s">
        <v>678</v>
      </c>
      <c r="H1402" t="s">
        <v>678</v>
      </c>
      <c r="I1402" t="s">
        <v>107</v>
      </c>
      <c r="J1402" t="s">
        <v>678</v>
      </c>
      <c r="K1402" t="s">
        <v>678</v>
      </c>
      <c r="L1402" t="s">
        <v>678</v>
      </c>
      <c r="M1402" t="s">
        <v>2075</v>
      </c>
      <c r="N1402" t="b">
        <v>0</v>
      </c>
    </row>
    <row r="1403" spans="1:14">
      <c r="A1403">
        <v>94</v>
      </c>
      <c r="B1403">
        <v>7</v>
      </c>
      <c r="C1403" t="s">
        <v>287</v>
      </c>
      <c r="D1403" t="s">
        <v>737</v>
      </c>
      <c r="E1403" t="s">
        <v>116</v>
      </c>
      <c r="F1403">
        <v>60</v>
      </c>
      <c r="G1403" t="s">
        <v>678</v>
      </c>
      <c r="H1403" t="s">
        <v>678</v>
      </c>
      <c r="I1403" t="s">
        <v>116</v>
      </c>
      <c r="J1403" t="s">
        <v>678</v>
      </c>
      <c r="K1403" t="s">
        <v>678</v>
      </c>
      <c r="L1403" t="s">
        <v>678</v>
      </c>
      <c r="M1403" t="s">
        <v>2076</v>
      </c>
      <c r="N1403" t="b">
        <v>0</v>
      </c>
    </row>
    <row r="1404" spans="1:14">
      <c r="A1404">
        <v>94</v>
      </c>
      <c r="B1404">
        <v>8</v>
      </c>
      <c r="C1404" t="s">
        <v>207</v>
      </c>
      <c r="D1404" t="s">
        <v>737</v>
      </c>
      <c r="E1404" t="s">
        <v>117</v>
      </c>
      <c r="F1404">
        <v>50</v>
      </c>
      <c r="G1404" t="s">
        <v>678</v>
      </c>
      <c r="H1404" t="s">
        <v>678</v>
      </c>
      <c r="I1404" t="s">
        <v>117</v>
      </c>
      <c r="J1404" t="s">
        <v>678</v>
      </c>
      <c r="K1404" t="s">
        <v>678</v>
      </c>
      <c r="L1404" t="s">
        <v>678</v>
      </c>
      <c r="M1404" t="s">
        <v>2077</v>
      </c>
      <c r="N1404" t="b">
        <v>0</v>
      </c>
    </row>
    <row r="1405" spans="1:14">
      <c r="A1405">
        <v>94</v>
      </c>
      <c r="B1405">
        <v>9</v>
      </c>
      <c r="C1405" t="s">
        <v>365</v>
      </c>
      <c r="D1405" t="s">
        <v>737</v>
      </c>
      <c r="E1405" t="s">
        <v>342</v>
      </c>
      <c r="F1405">
        <v>20</v>
      </c>
      <c r="G1405" t="s">
        <v>678</v>
      </c>
      <c r="H1405" t="s">
        <v>559</v>
      </c>
      <c r="I1405" t="s">
        <v>456</v>
      </c>
      <c r="J1405" t="s">
        <v>678</v>
      </c>
      <c r="K1405" t="s">
        <v>934</v>
      </c>
      <c r="L1405" t="s">
        <v>935</v>
      </c>
      <c r="M1405" t="s">
        <v>2078</v>
      </c>
      <c r="N1405" t="b">
        <v>0</v>
      </c>
    </row>
    <row r="1406" spans="1:14">
      <c r="A1406">
        <v>94</v>
      </c>
      <c r="B1406">
        <v>10</v>
      </c>
      <c r="C1406" t="s">
        <v>232</v>
      </c>
      <c r="D1406" t="s">
        <v>737</v>
      </c>
      <c r="E1406" t="s">
        <v>106</v>
      </c>
      <c r="F1406">
        <v>50</v>
      </c>
      <c r="G1406" t="s">
        <v>678</v>
      </c>
      <c r="H1406" t="s">
        <v>678</v>
      </c>
      <c r="I1406" t="s">
        <v>106</v>
      </c>
      <c r="J1406" t="s">
        <v>678</v>
      </c>
      <c r="K1406" t="s">
        <v>678</v>
      </c>
      <c r="L1406" t="s">
        <v>678</v>
      </c>
      <c r="M1406" t="s">
        <v>2079</v>
      </c>
      <c r="N1406" t="b">
        <v>0</v>
      </c>
    </row>
    <row r="1407" spans="1:14">
      <c r="A1407">
        <v>94</v>
      </c>
      <c r="B1407">
        <v>11</v>
      </c>
      <c r="C1407" t="s">
        <v>179</v>
      </c>
      <c r="D1407" t="s">
        <v>737</v>
      </c>
      <c r="E1407" t="s">
        <v>110</v>
      </c>
      <c r="F1407">
        <v>50</v>
      </c>
      <c r="G1407" t="s">
        <v>678</v>
      </c>
      <c r="H1407" t="s">
        <v>678</v>
      </c>
      <c r="I1407" t="s">
        <v>110</v>
      </c>
      <c r="J1407" t="s">
        <v>678</v>
      </c>
      <c r="K1407" t="s">
        <v>678</v>
      </c>
      <c r="L1407" t="s">
        <v>678</v>
      </c>
      <c r="M1407" t="s">
        <v>2080</v>
      </c>
      <c r="N1407" t="b">
        <v>0</v>
      </c>
    </row>
    <row r="1408" spans="1:14">
      <c r="A1408">
        <v>94</v>
      </c>
      <c r="B1408">
        <v>12</v>
      </c>
      <c r="C1408" t="s">
        <v>233</v>
      </c>
      <c r="D1408" t="s">
        <v>737</v>
      </c>
      <c r="E1408" t="s">
        <v>111</v>
      </c>
      <c r="F1408">
        <v>50</v>
      </c>
      <c r="G1408" t="s">
        <v>678</v>
      </c>
      <c r="H1408" t="s">
        <v>678</v>
      </c>
      <c r="I1408" t="s">
        <v>111</v>
      </c>
      <c r="J1408" t="s">
        <v>678</v>
      </c>
      <c r="K1408" t="s">
        <v>678</v>
      </c>
      <c r="L1408" t="s">
        <v>678</v>
      </c>
      <c r="M1408" t="s">
        <v>2081</v>
      </c>
      <c r="N1408" t="b">
        <v>0</v>
      </c>
    </row>
    <row r="1409" spans="1:14">
      <c r="A1409">
        <v>94</v>
      </c>
      <c r="B1409">
        <v>13</v>
      </c>
      <c r="C1409" t="s">
        <v>242</v>
      </c>
      <c r="D1409" t="s">
        <v>737</v>
      </c>
      <c r="E1409" t="s">
        <v>112</v>
      </c>
      <c r="F1409">
        <v>50</v>
      </c>
      <c r="G1409" t="s">
        <v>678</v>
      </c>
      <c r="H1409" t="s">
        <v>678</v>
      </c>
      <c r="I1409" t="s">
        <v>112</v>
      </c>
      <c r="J1409" t="s">
        <v>678</v>
      </c>
      <c r="K1409" t="s">
        <v>678</v>
      </c>
      <c r="L1409" t="s">
        <v>678</v>
      </c>
      <c r="M1409" t="s">
        <v>2082</v>
      </c>
      <c r="N1409" t="b">
        <v>0</v>
      </c>
    </row>
    <row r="1410" spans="1:14">
      <c r="A1410">
        <v>94</v>
      </c>
      <c r="B1410">
        <v>14</v>
      </c>
      <c r="C1410" t="s">
        <v>678</v>
      </c>
      <c r="D1410" t="s">
        <v>737</v>
      </c>
      <c r="E1410" t="s">
        <v>678</v>
      </c>
      <c r="F1410">
        <v>0</v>
      </c>
      <c r="G1410" t="s">
        <v>678</v>
      </c>
      <c r="H1410" t="s">
        <v>678</v>
      </c>
      <c r="I1410" t="s">
        <v>678</v>
      </c>
      <c r="J1410" t="s">
        <v>678</v>
      </c>
      <c r="K1410" t="s">
        <v>678</v>
      </c>
      <c r="L1410" t="s">
        <v>678</v>
      </c>
      <c r="M1410" t="s">
        <v>2083</v>
      </c>
      <c r="N1410" t="b">
        <v>0</v>
      </c>
    </row>
    <row r="1411" spans="1:14">
      <c r="A1411">
        <v>94</v>
      </c>
      <c r="B1411">
        <v>15</v>
      </c>
      <c r="C1411" t="s">
        <v>678</v>
      </c>
      <c r="D1411" t="s">
        <v>737</v>
      </c>
      <c r="E1411" t="s">
        <v>678</v>
      </c>
      <c r="F1411">
        <v>0</v>
      </c>
      <c r="G1411" t="s">
        <v>678</v>
      </c>
      <c r="H1411" t="s">
        <v>678</v>
      </c>
      <c r="I1411" t="s">
        <v>678</v>
      </c>
      <c r="J1411" t="s">
        <v>678</v>
      </c>
      <c r="K1411" t="s">
        <v>678</v>
      </c>
      <c r="L1411" t="s">
        <v>678</v>
      </c>
      <c r="M1411" t="s">
        <v>2084</v>
      </c>
      <c r="N1411" t="b">
        <v>0</v>
      </c>
    </row>
    <row r="1412" spans="1:14">
      <c r="A1412">
        <v>94</v>
      </c>
      <c r="B1412">
        <v>16</v>
      </c>
      <c r="C1412" t="s">
        <v>678</v>
      </c>
      <c r="D1412" t="s">
        <v>754</v>
      </c>
      <c r="E1412" t="s">
        <v>678</v>
      </c>
      <c r="F1412">
        <v>0</v>
      </c>
      <c r="G1412" t="s">
        <v>678</v>
      </c>
      <c r="H1412" t="s">
        <v>678</v>
      </c>
      <c r="I1412" t="s">
        <v>678</v>
      </c>
      <c r="J1412" t="s">
        <v>678</v>
      </c>
      <c r="K1412" t="s">
        <v>678</v>
      </c>
      <c r="L1412" t="s">
        <v>678</v>
      </c>
      <c r="M1412" t="s">
        <v>2085</v>
      </c>
      <c r="N1412" t="b">
        <v>0</v>
      </c>
    </row>
    <row r="1413" spans="1:14">
      <c r="A1413">
        <v>94</v>
      </c>
      <c r="B1413">
        <v>17</v>
      </c>
      <c r="C1413" t="s">
        <v>678</v>
      </c>
      <c r="D1413" t="s">
        <v>754</v>
      </c>
      <c r="E1413" t="s">
        <v>678</v>
      </c>
      <c r="F1413">
        <v>0</v>
      </c>
      <c r="G1413" t="s">
        <v>678</v>
      </c>
      <c r="H1413" t="s">
        <v>678</v>
      </c>
      <c r="I1413" t="s">
        <v>678</v>
      </c>
      <c r="J1413" t="s">
        <v>678</v>
      </c>
      <c r="K1413" t="s">
        <v>678</v>
      </c>
      <c r="L1413" t="s">
        <v>678</v>
      </c>
      <c r="M1413" t="s">
        <v>2086</v>
      </c>
      <c r="N1413" t="b">
        <v>0</v>
      </c>
    </row>
    <row r="1414" spans="1:14">
      <c r="A1414">
        <v>94</v>
      </c>
      <c r="B1414">
        <v>18</v>
      </c>
      <c r="C1414" t="s">
        <v>678</v>
      </c>
      <c r="D1414" t="s">
        <v>754</v>
      </c>
      <c r="E1414" t="s">
        <v>678</v>
      </c>
      <c r="F1414">
        <v>0</v>
      </c>
      <c r="G1414" t="s">
        <v>678</v>
      </c>
      <c r="H1414" t="s">
        <v>678</v>
      </c>
      <c r="I1414" t="s">
        <v>678</v>
      </c>
      <c r="J1414" t="s">
        <v>678</v>
      </c>
      <c r="K1414" t="s">
        <v>678</v>
      </c>
      <c r="L1414" t="s">
        <v>678</v>
      </c>
      <c r="M1414" t="s">
        <v>2087</v>
      </c>
      <c r="N1414" t="b">
        <v>0</v>
      </c>
    </row>
    <row r="1415" spans="1:14">
      <c r="A1415">
        <v>94</v>
      </c>
      <c r="B1415">
        <v>19</v>
      </c>
      <c r="C1415" t="s">
        <v>678</v>
      </c>
      <c r="D1415" t="s">
        <v>754</v>
      </c>
      <c r="E1415" t="s">
        <v>678</v>
      </c>
      <c r="F1415">
        <v>0</v>
      </c>
      <c r="G1415" t="s">
        <v>678</v>
      </c>
      <c r="H1415" t="s">
        <v>678</v>
      </c>
      <c r="I1415" t="s">
        <v>678</v>
      </c>
      <c r="J1415" t="s">
        <v>678</v>
      </c>
      <c r="K1415" t="s">
        <v>678</v>
      </c>
      <c r="L1415" t="s">
        <v>678</v>
      </c>
      <c r="M1415" t="s">
        <v>2088</v>
      </c>
      <c r="N1415" t="b">
        <v>0</v>
      </c>
    </row>
    <row r="1416" spans="1:14">
      <c r="A1416">
        <v>94</v>
      </c>
      <c r="B1416">
        <v>20</v>
      </c>
      <c r="C1416" t="s">
        <v>678</v>
      </c>
      <c r="D1416" t="s">
        <v>754</v>
      </c>
      <c r="E1416" t="s">
        <v>678</v>
      </c>
      <c r="F1416">
        <v>0</v>
      </c>
      <c r="G1416" t="s">
        <v>678</v>
      </c>
      <c r="H1416" t="s">
        <v>678</v>
      </c>
      <c r="I1416" t="s">
        <v>678</v>
      </c>
      <c r="J1416" t="s">
        <v>678</v>
      </c>
      <c r="K1416" t="s">
        <v>678</v>
      </c>
      <c r="L1416" t="s">
        <v>678</v>
      </c>
      <c r="M1416" t="s">
        <v>2089</v>
      </c>
      <c r="N1416" t="b">
        <v>0</v>
      </c>
    </row>
    <row r="1417" spans="1:14">
      <c r="A1417">
        <v>94</v>
      </c>
      <c r="B1417">
        <v>21</v>
      </c>
      <c r="C1417" t="s">
        <v>678</v>
      </c>
      <c r="D1417" t="s">
        <v>754</v>
      </c>
      <c r="E1417" t="s">
        <v>678</v>
      </c>
      <c r="F1417">
        <v>0</v>
      </c>
      <c r="G1417" t="s">
        <v>678</v>
      </c>
      <c r="H1417" t="s">
        <v>678</v>
      </c>
      <c r="I1417" t="s">
        <v>678</v>
      </c>
      <c r="J1417" t="s">
        <v>678</v>
      </c>
      <c r="K1417" t="s">
        <v>678</v>
      </c>
      <c r="L1417" t="s">
        <v>678</v>
      </c>
      <c r="M1417" t="s">
        <v>2090</v>
      </c>
      <c r="N1417" t="b">
        <v>0</v>
      </c>
    </row>
    <row r="1418" spans="1:14">
      <c r="A1418">
        <v>94</v>
      </c>
      <c r="B1418">
        <v>22</v>
      </c>
      <c r="C1418" t="s">
        <v>678</v>
      </c>
      <c r="D1418" t="s">
        <v>754</v>
      </c>
      <c r="E1418" t="s">
        <v>678</v>
      </c>
      <c r="F1418">
        <v>0</v>
      </c>
      <c r="G1418" t="s">
        <v>678</v>
      </c>
      <c r="H1418" t="s">
        <v>678</v>
      </c>
      <c r="I1418" t="s">
        <v>678</v>
      </c>
      <c r="J1418" t="s">
        <v>678</v>
      </c>
      <c r="K1418" t="s">
        <v>678</v>
      </c>
      <c r="L1418" t="s">
        <v>678</v>
      </c>
      <c r="M1418" t="s">
        <v>2091</v>
      </c>
      <c r="N1418" t="b">
        <v>0</v>
      </c>
    </row>
    <row r="1419" spans="1:14">
      <c r="A1419">
        <v>94</v>
      </c>
      <c r="B1419">
        <v>23</v>
      </c>
      <c r="C1419" t="s">
        <v>678</v>
      </c>
      <c r="D1419" t="s">
        <v>754</v>
      </c>
      <c r="E1419" t="s">
        <v>678</v>
      </c>
      <c r="F1419">
        <v>0</v>
      </c>
      <c r="G1419" t="s">
        <v>678</v>
      </c>
      <c r="H1419" t="s">
        <v>678</v>
      </c>
      <c r="I1419" t="s">
        <v>678</v>
      </c>
      <c r="J1419" t="s">
        <v>678</v>
      </c>
      <c r="K1419" t="s">
        <v>678</v>
      </c>
      <c r="L1419" t="s">
        <v>678</v>
      </c>
      <c r="M1419" t="s">
        <v>2092</v>
      </c>
      <c r="N1419" t="b">
        <v>0</v>
      </c>
    </row>
    <row r="1420" spans="1:14">
      <c r="A1420">
        <v>94</v>
      </c>
      <c r="B1420">
        <v>24</v>
      </c>
      <c r="C1420" t="s">
        <v>678</v>
      </c>
      <c r="D1420" t="s">
        <v>754</v>
      </c>
      <c r="E1420" t="s">
        <v>678</v>
      </c>
      <c r="F1420">
        <v>0</v>
      </c>
      <c r="G1420" t="s">
        <v>678</v>
      </c>
      <c r="H1420" t="s">
        <v>678</v>
      </c>
      <c r="I1420" t="s">
        <v>678</v>
      </c>
      <c r="J1420" t="s">
        <v>678</v>
      </c>
      <c r="K1420" t="s">
        <v>678</v>
      </c>
      <c r="L1420" t="s">
        <v>678</v>
      </c>
      <c r="M1420" t="s">
        <v>2093</v>
      </c>
      <c r="N1420" t="b">
        <v>0</v>
      </c>
    </row>
    <row r="1421" spans="1:14">
      <c r="A1421">
        <v>94</v>
      </c>
      <c r="B1421">
        <v>25</v>
      </c>
      <c r="C1421" t="s">
        <v>678</v>
      </c>
      <c r="D1421" t="s">
        <v>754</v>
      </c>
      <c r="E1421" t="s">
        <v>678</v>
      </c>
      <c r="F1421">
        <v>0</v>
      </c>
      <c r="G1421" t="s">
        <v>678</v>
      </c>
      <c r="H1421" t="s">
        <v>678</v>
      </c>
      <c r="I1421" t="s">
        <v>678</v>
      </c>
      <c r="J1421" t="s">
        <v>678</v>
      </c>
      <c r="K1421" t="s">
        <v>678</v>
      </c>
      <c r="L1421" t="s">
        <v>678</v>
      </c>
      <c r="M1421" t="s">
        <v>2094</v>
      </c>
      <c r="N1421" t="b">
        <v>0</v>
      </c>
    </row>
    <row r="1422" spans="1:14">
      <c r="A1422">
        <v>94</v>
      </c>
      <c r="B1422">
        <v>26</v>
      </c>
      <c r="C1422" t="s">
        <v>678</v>
      </c>
      <c r="D1422" t="s">
        <v>754</v>
      </c>
      <c r="E1422" t="s">
        <v>678</v>
      </c>
      <c r="F1422">
        <v>0</v>
      </c>
      <c r="G1422" t="s">
        <v>678</v>
      </c>
      <c r="H1422" t="s">
        <v>678</v>
      </c>
      <c r="I1422" t="s">
        <v>678</v>
      </c>
      <c r="J1422" t="s">
        <v>678</v>
      </c>
      <c r="K1422" t="s">
        <v>678</v>
      </c>
      <c r="L1422" t="s">
        <v>678</v>
      </c>
      <c r="M1422" t="s">
        <v>2095</v>
      </c>
      <c r="N1422" t="b">
        <v>0</v>
      </c>
    </row>
    <row r="1423" spans="1:14">
      <c r="A1423">
        <v>96</v>
      </c>
      <c r="B1423">
        <v>0</v>
      </c>
      <c r="C1423" t="s">
        <v>226</v>
      </c>
      <c r="D1423" t="s">
        <v>737</v>
      </c>
      <c r="E1423" t="s">
        <v>67</v>
      </c>
      <c r="F1423">
        <v>60</v>
      </c>
      <c r="G1423" t="s">
        <v>678</v>
      </c>
      <c r="H1423" t="s">
        <v>678</v>
      </c>
      <c r="I1423" t="s">
        <v>67</v>
      </c>
      <c r="J1423" t="s">
        <v>678</v>
      </c>
      <c r="K1423" t="s">
        <v>678</v>
      </c>
      <c r="L1423" t="s">
        <v>678</v>
      </c>
      <c r="M1423" t="s">
        <v>2096</v>
      </c>
      <c r="N1423" t="b">
        <v>0</v>
      </c>
    </row>
    <row r="1424" spans="1:14">
      <c r="A1424">
        <v>96</v>
      </c>
      <c r="B1424">
        <v>1</v>
      </c>
      <c r="C1424" t="s">
        <v>236</v>
      </c>
      <c r="D1424" t="s">
        <v>737</v>
      </c>
      <c r="E1424" t="s">
        <v>79</v>
      </c>
      <c r="F1424">
        <v>50</v>
      </c>
      <c r="G1424" t="s">
        <v>678</v>
      </c>
      <c r="H1424" t="s">
        <v>678</v>
      </c>
      <c r="I1424" t="s">
        <v>79</v>
      </c>
      <c r="J1424" t="s">
        <v>678</v>
      </c>
      <c r="K1424" t="s">
        <v>678</v>
      </c>
      <c r="L1424" t="s">
        <v>678</v>
      </c>
      <c r="M1424" t="s">
        <v>2097</v>
      </c>
      <c r="N1424" t="b">
        <v>0</v>
      </c>
    </row>
    <row r="1425" spans="1:14">
      <c r="A1425">
        <v>96</v>
      </c>
      <c r="B1425">
        <v>2</v>
      </c>
      <c r="C1425" t="s">
        <v>290</v>
      </c>
      <c r="D1425" t="s">
        <v>737</v>
      </c>
      <c r="E1425" t="s">
        <v>97</v>
      </c>
      <c r="F1425">
        <v>30</v>
      </c>
      <c r="G1425" t="s">
        <v>678</v>
      </c>
      <c r="H1425" t="s">
        <v>678</v>
      </c>
      <c r="I1425" t="s">
        <v>97</v>
      </c>
      <c r="J1425" t="s">
        <v>678</v>
      </c>
      <c r="K1425" t="s">
        <v>678</v>
      </c>
      <c r="L1425" t="s">
        <v>678</v>
      </c>
      <c r="M1425" t="s">
        <v>2098</v>
      </c>
      <c r="N1425" t="b">
        <v>0</v>
      </c>
    </row>
    <row r="1426" spans="1:14">
      <c r="A1426">
        <v>96</v>
      </c>
      <c r="B1426">
        <v>3</v>
      </c>
      <c r="C1426" t="s">
        <v>228</v>
      </c>
      <c r="D1426" t="s">
        <v>737</v>
      </c>
      <c r="E1426" t="s">
        <v>99</v>
      </c>
      <c r="F1426">
        <v>40</v>
      </c>
      <c r="G1426" t="s">
        <v>678</v>
      </c>
      <c r="H1426" t="s">
        <v>678</v>
      </c>
      <c r="I1426" t="s">
        <v>99</v>
      </c>
      <c r="J1426" t="s">
        <v>678</v>
      </c>
      <c r="K1426" t="s">
        <v>678</v>
      </c>
      <c r="L1426" t="s">
        <v>678</v>
      </c>
      <c r="M1426" t="s">
        <v>2099</v>
      </c>
      <c r="N1426" t="b">
        <v>0</v>
      </c>
    </row>
    <row r="1427" spans="1:14">
      <c r="A1427">
        <v>96</v>
      </c>
      <c r="B1427">
        <v>4</v>
      </c>
      <c r="C1427" t="s">
        <v>197</v>
      </c>
      <c r="D1427" t="s">
        <v>737</v>
      </c>
      <c r="E1427" t="s">
        <v>103</v>
      </c>
      <c r="F1427">
        <v>50</v>
      </c>
      <c r="G1427" t="s">
        <v>678</v>
      </c>
      <c r="H1427" t="s">
        <v>678</v>
      </c>
      <c r="I1427" t="s">
        <v>103</v>
      </c>
      <c r="J1427" t="s">
        <v>678</v>
      </c>
      <c r="K1427" t="s">
        <v>678</v>
      </c>
      <c r="L1427" t="s">
        <v>678</v>
      </c>
      <c r="M1427" t="s">
        <v>2100</v>
      </c>
      <c r="N1427" t="b">
        <v>0</v>
      </c>
    </row>
    <row r="1428" spans="1:14">
      <c r="A1428">
        <v>96</v>
      </c>
      <c r="B1428">
        <v>5</v>
      </c>
      <c r="C1428" t="s">
        <v>229</v>
      </c>
      <c r="D1428" t="s">
        <v>737</v>
      </c>
      <c r="E1428" t="s">
        <v>105</v>
      </c>
      <c r="F1428">
        <v>60</v>
      </c>
      <c r="G1428" t="s">
        <v>678</v>
      </c>
      <c r="H1428" t="s">
        <v>678</v>
      </c>
      <c r="I1428" t="s">
        <v>105</v>
      </c>
      <c r="J1428" t="s">
        <v>678</v>
      </c>
      <c r="K1428" t="s">
        <v>678</v>
      </c>
      <c r="L1428" t="s">
        <v>678</v>
      </c>
      <c r="M1428" t="s">
        <v>2101</v>
      </c>
      <c r="N1428" t="b">
        <v>0</v>
      </c>
    </row>
    <row r="1429" spans="1:14">
      <c r="A1429">
        <v>96</v>
      </c>
      <c r="B1429">
        <v>6</v>
      </c>
      <c r="C1429" t="s">
        <v>207</v>
      </c>
      <c r="D1429" t="s">
        <v>737</v>
      </c>
      <c r="E1429" t="s">
        <v>117</v>
      </c>
      <c r="F1429">
        <v>50</v>
      </c>
      <c r="G1429" t="s">
        <v>678</v>
      </c>
      <c r="H1429" t="s">
        <v>678</v>
      </c>
      <c r="I1429" t="s">
        <v>117</v>
      </c>
      <c r="J1429" t="s">
        <v>678</v>
      </c>
      <c r="K1429" t="s">
        <v>678</v>
      </c>
      <c r="L1429" t="s">
        <v>678</v>
      </c>
      <c r="M1429" t="s">
        <v>2102</v>
      </c>
      <c r="N1429" t="b">
        <v>0</v>
      </c>
    </row>
    <row r="1430" spans="1:14">
      <c r="A1430">
        <v>96</v>
      </c>
      <c r="B1430">
        <v>7</v>
      </c>
      <c r="C1430" t="s">
        <v>200</v>
      </c>
      <c r="D1430" t="s">
        <v>737</v>
      </c>
      <c r="E1430" t="s">
        <v>119</v>
      </c>
      <c r="F1430">
        <v>60</v>
      </c>
      <c r="G1430" t="s">
        <v>678</v>
      </c>
      <c r="H1430" t="s">
        <v>678</v>
      </c>
      <c r="I1430" t="s">
        <v>119</v>
      </c>
      <c r="J1430" t="s">
        <v>678</v>
      </c>
      <c r="K1430" t="s">
        <v>678</v>
      </c>
      <c r="L1430" t="s">
        <v>678</v>
      </c>
      <c r="M1430" t="s">
        <v>2103</v>
      </c>
      <c r="N1430" t="b">
        <v>0</v>
      </c>
    </row>
    <row r="1431" spans="1:14">
      <c r="A1431">
        <v>96</v>
      </c>
      <c r="B1431">
        <v>8</v>
      </c>
      <c r="C1431" t="s">
        <v>240</v>
      </c>
      <c r="D1431" t="s">
        <v>737</v>
      </c>
      <c r="E1431" t="s">
        <v>64</v>
      </c>
      <c r="F1431">
        <v>20</v>
      </c>
      <c r="G1431" t="s">
        <v>678</v>
      </c>
      <c r="H1431" t="s">
        <v>678</v>
      </c>
      <c r="I1431" t="s">
        <v>64</v>
      </c>
      <c r="J1431" t="s">
        <v>678</v>
      </c>
      <c r="K1431" t="s">
        <v>678</v>
      </c>
      <c r="L1431" t="s">
        <v>678</v>
      </c>
      <c r="M1431" t="s">
        <v>2104</v>
      </c>
      <c r="N1431" t="b">
        <v>0</v>
      </c>
    </row>
    <row r="1432" spans="1:14">
      <c r="A1432">
        <v>96</v>
      </c>
      <c r="B1432">
        <v>9</v>
      </c>
      <c r="C1432" t="s">
        <v>230</v>
      </c>
      <c r="D1432" t="s">
        <v>737</v>
      </c>
      <c r="E1432" t="s">
        <v>70</v>
      </c>
      <c r="F1432">
        <v>50</v>
      </c>
      <c r="G1432" t="s">
        <v>678</v>
      </c>
      <c r="H1432" t="s">
        <v>678</v>
      </c>
      <c r="I1432" t="s">
        <v>70</v>
      </c>
      <c r="J1432" t="s">
        <v>678</v>
      </c>
      <c r="K1432" t="s">
        <v>678</v>
      </c>
      <c r="L1432" t="s">
        <v>678</v>
      </c>
      <c r="M1432" t="s">
        <v>2105</v>
      </c>
      <c r="N1432" t="b">
        <v>0</v>
      </c>
    </row>
    <row r="1433" spans="1:14">
      <c r="A1433">
        <v>96</v>
      </c>
      <c r="B1433">
        <v>10</v>
      </c>
      <c r="C1433" t="s">
        <v>176</v>
      </c>
      <c r="D1433" t="s">
        <v>737</v>
      </c>
      <c r="E1433" t="s">
        <v>76</v>
      </c>
      <c r="F1433">
        <v>50</v>
      </c>
      <c r="G1433" t="s">
        <v>678</v>
      </c>
      <c r="H1433" t="s">
        <v>678</v>
      </c>
      <c r="I1433" t="s">
        <v>76</v>
      </c>
      <c r="J1433" t="s">
        <v>678</v>
      </c>
      <c r="K1433" t="s">
        <v>678</v>
      </c>
      <c r="L1433" t="s">
        <v>678</v>
      </c>
      <c r="M1433" t="s">
        <v>2106</v>
      </c>
      <c r="N1433" t="b">
        <v>0</v>
      </c>
    </row>
    <row r="1434" spans="1:14">
      <c r="A1434">
        <v>96</v>
      </c>
      <c r="B1434">
        <v>11</v>
      </c>
      <c r="C1434" t="s">
        <v>232</v>
      </c>
      <c r="D1434" t="s">
        <v>737</v>
      </c>
      <c r="E1434" t="s">
        <v>106</v>
      </c>
      <c r="F1434">
        <v>50</v>
      </c>
      <c r="G1434" t="s">
        <v>678</v>
      </c>
      <c r="H1434" t="s">
        <v>678</v>
      </c>
      <c r="I1434" t="s">
        <v>106</v>
      </c>
      <c r="J1434" t="s">
        <v>678</v>
      </c>
      <c r="K1434" t="s">
        <v>678</v>
      </c>
      <c r="L1434" t="s">
        <v>678</v>
      </c>
      <c r="M1434" t="s">
        <v>2107</v>
      </c>
      <c r="N1434" t="b">
        <v>0</v>
      </c>
    </row>
    <row r="1435" spans="1:14">
      <c r="A1435">
        <v>96</v>
      </c>
      <c r="B1435">
        <v>12</v>
      </c>
      <c r="C1435" t="s">
        <v>179</v>
      </c>
      <c r="D1435" t="s">
        <v>737</v>
      </c>
      <c r="E1435" t="s">
        <v>110</v>
      </c>
      <c r="F1435">
        <v>50</v>
      </c>
      <c r="G1435" t="s">
        <v>678</v>
      </c>
      <c r="H1435" t="s">
        <v>678</v>
      </c>
      <c r="I1435" t="s">
        <v>110</v>
      </c>
      <c r="J1435" t="s">
        <v>678</v>
      </c>
      <c r="K1435" t="s">
        <v>678</v>
      </c>
      <c r="L1435" t="s">
        <v>678</v>
      </c>
      <c r="M1435" t="s">
        <v>2108</v>
      </c>
      <c r="N1435" t="b">
        <v>0</v>
      </c>
    </row>
    <row r="1436" spans="1:14">
      <c r="A1436">
        <v>96</v>
      </c>
      <c r="B1436">
        <v>13</v>
      </c>
      <c r="C1436" t="s">
        <v>233</v>
      </c>
      <c r="D1436" t="s">
        <v>737</v>
      </c>
      <c r="E1436" t="s">
        <v>111</v>
      </c>
      <c r="F1436">
        <v>50</v>
      </c>
      <c r="G1436" t="s">
        <v>678</v>
      </c>
      <c r="H1436" t="s">
        <v>678</v>
      </c>
      <c r="I1436" t="s">
        <v>111</v>
      </c>
      <c r="J1436" t="s">
        <v>678</v>
      </c>
      <c r="K1436" t="s">
        <v>678</v>
      </c>
      <c r="L1436" t="s">
        <v>678</v>
      </c>
      <c r="M1436" t="s">
        <v>2109</v>
      </c>
      <c r="N1436" t="b">
        <v>0</v>
      </c>
    </row>
    <row r="1437" spans="1:14">
      <c r="A1437">
        <v>96</v>
      </c>
      <c r="B1437">
        <v>14</v>
      </c>
      <c r="C1437" t="s">
        <v>204</v>
      </c>
      <c r="D1437" t="s">
        <v>737</v>
      </c>
      <c r="E1437" t="s">
        <v>112</v>
      </c>
      <c r="F1437">
        <v>60</v>
      </c>
      <c r="G1437" t="s">
        <v>678</v>
      </c>
      <c r="H1437" t="s">
        <v>678</v>
      </c>
      <c r="I1437" t="s">
        <v>112</v>
      </c>
      <c r="J1437" t="s">
        <v>678</v>
      </c>
      <c r="K1437" t="s">
        <v>678</v>
      </c>
      <c r="L1437" t="s">
        <v>678</v>
      </c>
      <c r="M1437" t="s">
        <v>2110</v>
      </c>
      <c r="N1437" t="b">
        <v>0</v>
      </c>
    </row>
    <row r="1438" spans="1:14">
      <c r="A1438">
        <v>96</v>
      </c>
      <c r="B1438">
        <v>15</v>
      </c>
      <c r="C1438" t="s">
        <v>678</v>
      </c>
      <c r="D1438" t="s">
        <v>737</v>
      </c>
      <c r="E1438" t="s">
        <v>678</v>
      </c>
      <c r="F1438">
        <v>0</v>
      </c>
      <c r="G1438" t="s">
        <v>678</v>
      </c>
      <c r="H1438" t="s">
        <v>678</v>
      </c>
      <c r="I1438" t="s">
        <v>678</v>
      </c>
      <c r="J1438" t="s">
        <v>678</v>
      </c>
      <c r="K1438" t="s">
        <v>678</v>
      </c>
      <c r="L1438" t="s">
        <v>678</v>
      </c>
      <c r="M1438" t="s">
        <v>2111</v>
      </c>
      <c r="N1438" t="b">
        <v>0</v>
      </c>
    </row>
    <row r="1439" spans="1:14">
      <c r="A1439">
        <v>96</v>
      </c>
      <c r="B1439">
        <v>16</v>
      </c>
      <c r="C1439" t="s">
        <v>678</v>
      </c>
      <c r="D1439" t="s">
        <v>754</v>
      </c>
      <c r="E1439" t="s">
        <v>678</v>
      </c>
      <c r="F1439">
        <v>0</v>
      </c>
      <c r="G1439" t="s">
        <v>678</v>
      </c>
      <c r="H1439" t="s">
        <v>678</v>
      </c>
      <c r="I1439" t="s">
        <v>678</v>
      </c>
      <c r="J1439" t="s">
        <v>678</v>
      </c>
      <c r="K1439" t="s">
        <v>678</v>
      </c>
      <c r="L1439" t="s">
        <v>678</v>
      </c>
      <c r="M1439" t="s">
        <v>2112</v>
      </c>
      <c r="N1439" t="b">
        <v>0</v>
      </c>
    </row>
    <row r="1440" spans="1:14">
      <c r="A1440">
        <v>96</v>
      </c>
      <c r="B1440">
        <v>17</v>
      </c>
      <c r="C1440" t="s">
        <v>678</v>
      </c>
      <c r="D1440" t="s">
        <v>754</v>
      </c>
      <c r="E1440" t="s">
        <v>678</v>
      </c>
      <c r="F1440">
        <v>0</v>
      </c>
      <c r="G1440" t="s">
        <v>678</v>
      </c>
      <c r="H1440" t="s">
        <v>678</v>
      </c>
      <c r="I1440" t="s">
        <v>678</v>
      </c>
      <c r="J1440" t="s">
        <v>678</v>
      </c>
      <c r="K1440" t="s">
        <v>678</v>
      </c>
      <c r="L1440" t="s">
        <v>678</v>
      </c>
      <c r="M1440" t="s">
        <v>2113</v>
      </c>
      <c r="N1440" t="b">
        <v>0</v>
      </c>
    </row>
    <row r="1441" spans="1:14">
      <c r="A1441">
        <v>96</v>
      </c>
      <c r="B1441">
        <v>18</v>
      </c>
      <c r="C1441" t="s">
        <v>678</v>
      </c>
      <c r="D1441" t="s">
        <v>754</v>
      </c>
      <c r="E1441" t="s">
        <v>678</v>
      </c>
      <c r="F1441">
        <v>0</v>
      </c>
      <c r="G1441" t="s">
        <v>678</v>
      </c>
      <c r="H1441" t="s">
        <v>678</v>
      </c>
      <c r="I1441" t="s">
        <v>678</v>
      </c>
      <c r="J1441" t="s">
        <v>678</v>
      </c>
      <c r="K1441" t="s">
        <v>678</v>
      </c>
      <c r="L1441" t="s">
        <v>678</v>
      </c>
      <c r="M1441" t="s">
        <v>2114</v>
      </c>
      <c r="N1441" t="b">
        <v>0</v>
      </c>
    </row>
    <row r="1442" spans="1:14">
      <c r="A1442">
        <v>96</v>
      </c>
      <c r="B1442">
        <v>19</v>
      </c>
      <c r="C1442" t="s">
        <v>678</v>
      </c>
      <c r="D1442" t="s">
        <v>754</v>
      </c>
      <c r="E1442" t="s">
        <v>678</v>
      </c>
      <c r="F1442">
        <v>0</v>
      </c>
      <c r="G1442" t="s">
        <v>678</v>
      </c>
      <c r="H1442" t="s">
        <v>678</v>
      </c>
      <c r="I1442" t="s">
        <v>678</v>
      </c>
      <c r="J1442" t="s">
        <v>678</v>
      </c>
      <c r="K1442" t="s">
        <v>678</v>
      </c>
      <c r="L1442" t="s">
        <v>678</v>
      </c>
      <c r="M1442" t="s">
        <v>2115</v>
      </c>
      <c r="N1442" t="b">
        <v>0</v>
      </c>
    </row>
    <row r="1443" spans="1:14">
      <c r="A1443">
        <v>96</v>
      </c>
      <c r="B1443">
        <v>20</v>
      </c>
      <c r="C1443" t="s">
        <v>678</v>
      </c>
      <c r="D1443" t="s">
        <v>754</v>
      </c>
      <c r="E1443" t="s">
        <v>678</v>
      </c>
      <c r="F1443">
        <v>0</v>
      </c>
      <c r="G1443" t="s">
        <v>678</v>
      </c>
      <c r="H1443" t="s">
        <v>678</v>
      </c>
      <c r="I1443" t="s">
        <v>678</v>
      </c>
      <c r="J1443" t="s">
        <v>678</v>
      </c>
      <c r="K1443" t="s">
        <v>678</v>
      </c>
      <c r="L1443" t="s">
        <v>678</v>
      </c>
      <c r="M1443" t="s">
        <v>2116</v>
      </c>
      <c r="N1443" t="b">
        <v>0</v>
      </c>
    </row>
    <row r="1444" spans="1:14">
      <c r="A1444">
        <v>96</v>
      </c>
      <c r="B1444">
        <v>21</v>
      </c>
      <c r="C1444" t="s">
        <v>678</v>
      </c>
      <c r="D1444" t="s">
        <v>754</v>
      </c>
      <c r="E1444" t="s">
        <v>678</v>
      </c>
      <c r="F1444">
        <v>0</v>
      </c>
      <c r="G1444" t="s">
        <v>678</v>
      </c>
      <c r="H1444" t="s">
        <v>678</v>
      </c>
      <c r="I1444" t="s">
        <v>678</v>
      </c>
      <c r="J1444" t="s">
        <v>678</v>
      </c>
      <c r="K1444" t="s">
        <v>678</v>
      </c>
      <c r="L1444" t="s">
        <v>678</v>
      </c>
      <c r="M1444" t="s">
        <v>2117</v>
      </c>
      <c r="N1444" t="b">
        <v>0</v>
      </c>
    </row>
    <row r="1445" spans="1:14">
      <c r="A1445">
        <v>96</v>
      </c>
      <c r="B1445">
        <v>22</v>
      </c>
      <c r="C1445" t="s">
        <v>678</v>
      </c>
      <c r="D1445" t="s">
        <v>754</v>
      </c>
      <c r="E1445" t="s">
        <v>678</v>
      </c>
      <c r="F1445">
        <v>0</v>
      </c>
      <c r="G1445" t="s">
        <v>678</v>
      </c>
      <c r="H1445" t="s">
        <v>678</v>
      </c>
      <c r="I1445" t="s">
        <v>678</v>
      </c>
      <c r="J1445" t="s">
        <v>678</v>
      </c>
      <c r="K1445" t="s">
        <v>678</v>
      </c>
      <c r="L1445" t="s">
        <v>678</v>
      </c>
      <c r="M1445" t="s">
        <v>2118</v>
      </c>
      <c r="N1445" t="b">
        <v>0</v>
      </c>
    </row>
    <row r="1446" spans="1:14">
      <c r="A1446">
        <v>96</v>
      </c>
      <c r="B1446">
        <v>23</v>
      </c>
      <c r="C1446" t="s">
        <v>678</v>
      </c>
      <c r="D1446" t="s">
        <v>754</v>
      </c>
      <c r="E1446" t="s">
        <v>678</v>
      </c>
      <c r="F1446">
        <v>0</v>
      </c>
      <c r="G1446" t="s">
        <v>678</v>
      </c>
      <c r="H1446" t="s">
        <v>678</v>
      </c>
      <c r="I1446" t="s">
        <v>678</v>
      </c>
      <c r="J1446" t="s">
        <v>678</v>
      </c>
      <c r="K1446" t="s">
        <v>678</v>
      </c>
      <c r="L1446" t="s">
        <v>678</v>
      </c>
      <c r="M1446" t="s">
        <v>2119</v>
      </c>
      <c r="N1446" t="b">
        <v>0</v>
      </c>
    </row>
    <row r="1447" spans="1:14">
      <c r="A1447">
        <v>96</v>
      </c>
      <c r="B1447">
        <v>24</v>
      </c>
      <c r="C1447" t="s">
        <v>678</v>
      </c>
      <c r="D1447" t="s">
        <v>754</v>
      </c>
      <c r="E1447" t="s">
        <v>678</v>
      </c>
      <c r="F1447">
        <v>0</v>
      </c>
      <c r="G1447" t="s">
        <v>678</v>
      </c>
      <c r="H1447" t="s">
        <v>678</v>
      </c>
      <c r="I1447" t="s">
        <v>678</v>
      </c>
      <c r="J1447" t="s">
        <v>678</v>
      </c>
      <c r="K1447" t="s">
        <v>678</v>
      </c>
      <c r="L1447" t="s">
        <v>678</v>
      </c>
      <c r="M1447" t="s">
        <v>2120</v>
      </c>
      <c r="N1447" t="b">
        <v>0</v>
      </c>
    </row>
    <row r="1448" spans="1:14">
      <c r="A1448">
        <v>96</v>
      </c>
      <c r="B1448">
        <v>25</v>
      </c>
      <c r="C1448" t="s">
        <v>678</v>
      </c>
      <c r="D1448" t="s">
        <v>754</v>
      </c>
      <c r="E1448" t="s">
        <v>678</v>
      </c>
      <c r="F1448">
        <v>0</v>
      </c>
      <c r="G1448" t="s">
        <v>678</v>
      </c>
      <c r="H1448" t="s">
        <v>678</v>
      </c>
      <c r="I1448" t="s">
        <v>678</v>
      </c>
      <c r="J1448" t="s">
        <v>678</v>
      </c>
      <c r="K1448" t="s">
        <v>678</v>
      </c>
      <c r="L1448" t="s">
        <v>678</v>
      </c>
      <c r="M1448" t="s">
        <v>2121</v>
      </c>
      <c r="N1448" t="b">
        <v>0</v>
      </c>
    </row>
    <row r="1449" spans="1:14">
      <c r="A1449">
        <v>96</v>
      </c>
      <c r="B1449">
        <v>26</v>
      </c>
      <c r="C1449" t="s">
        <v>678</v>
      </c>
      <c r="D1449" t="s">
        <v>754</v>
      </c>
      <c r="E1449" t="s">
        <v>678</v>
      </c>
      <c r="F1449">
        <v>0</v>
      </c>
      <c r="G1449" t="s">
        <v>678</v>
      </c>
      <c r="H1449" t="s">
        <v>678</v>
      </c>
      <c r="I1449" t="s">
        <v>678</v>
      </c>
      <c r="J1449" t="s">
        <v>678</v>
      </c>
      <c r="K1449" t="s">
        <v>678</v>
      </c>
      <c r="L1449" t="s">
        <v>678</v>
      </c>
      <c r="M1449" t="s">
        <v>2122</v>
      </c>
      <c r="N1449" t="b">
        <v>0</v>
      </c>
    </row>
    <row r="1450" spans="1:14">
      <c r="A1450">
        <v>97</v>
      </c>
      <c r="B1450">
        <v>0</v>
      </c>
      <c r="C1450" t="s">
        <v>226</v>
      </c>
      <c r="D1450" t="s">
        <v>737</v>
      </c>
      <c r="E1450" t="s">
        <v>67</v>
      </c>
      <c r="F1450">
        <v>60</v>
      </c>
      <c r="G1450" t="s">
        <v>678</v>
      </c>
      <c r="H1450" t="s">
        <v>678</v>
      </c>
      <c r="I1450" t="s">
        <v>67</v>
      </c>
      <c r="J1450" t="s">
        <v>678</v>
      </c>
      <c r="K1450" t="s">
        <v>678</v>
      </c>
      <c r="L1450" t="s">
        <v>678</v>
      </c>
      <c r="M1450" t="s">
        <v>2123</v>
      </c>
      <c r="N1450" t="b">
        <v>0</v>
      </c>
    </row>
    <row r="1451" spans="1:14">
      <c r="A1451">
        <v>97</v>
      </c>
      <c r="B1451">
        <v>1</v>
      </c>
      <c r="C1451" t="s">
        <v>227</v>
      </c>
      <c r="D1451" t="s">
        <v>737</v>
      </c>
      <c r="E1451" t="s">
        <v>79</v>
      </c>
      <c r="F1451">
        <v>60</v>
      </c>
      <c r="G1451" t="s">
        <v>678</v>
      </c>
      <c r="H1451" t="s">
        <v>678</v>
      </c>
      <c r="I1451" t="s">
        <v>79</v>
      </c>
      <c r="J1451" t="s">
        <v>678</v>
      </c>
      <c r="K1451" t="s">
        <v>678</v>
      </c>
      <c r="L1451" t="s">
        <v>678</v>
      </c>
      <c r="M1451" t="s">
        <v>2124</v>
      </c>
      <c r="N1451" t="b">
        <v>0</v>
      </c>
    </row>
    <row r="1452" spans="1:14">
      <c r="A1452">
        <v>97</v>
      </c>
      <c r="B1452">
        <v>2</v>
      </c>
      <c r="C1452" t="s">
        <v>228</v>
      </c>
      <c r="D1452" t="s">
        <v>737</v>
      </c>
      <c r="E1452" t="s">
        <v>99</v>
      </c>
      <c r="F1452">
        <v>40</v>
      </c>
      <c r="G1452" t="s">
        <v>678</v>
      </c>
      <c r="H1452" t="s">
        <v>678</v>
      </c>
      <c r="I1452" t="s">
        <v>99</v>
      </c>
      <c r="J1452" t="s">
        <v>678</v>
      </c>
      <c r="K1452" t="s">
        <v>678</v>
      </c>
      <c r="L1452" t="s">
        <v>678</v>
      </c>
      <c r="M1452" t="s">
        <v>2125</v>
      </c>
      <c r="N1452" t="b">
        <v>0</v>
      </c>
    </row>
    <row r="1453" spans="1:14">
      <c r="A1453">
        <v>97</v>
      </c>
      <c r="B1453">
        <v>3</v>
      </c>
      <c r="C1453" t="s">
        <v>197</v>
      </c>
      <c r="D1453" t="s">
        <v>737</v>
      </c>
      <c r="E1453" t="s">
        <v>103</v>
      </c>
      <c r="F1453">
        <v>50</v>
      </c>
      <c r="G1453" t="s">
        <v>678</v>
      </c>
      <c r="H1453" t="s">
        <v>678</v>
      </c>
      <c r="I1453" t="s">
        <v>103</v>
      </c>
      <c r="J1453" t="s">
        <v>678</v>
      </c>
      <c r="K1453" t="s">
        <v>678</v>
      </c>
      <c r="L1453" t="s">
        <v>678</v>
      </c>
      <c r="M1453" t="s">
        <v>2126</v>
      </c>
      <c r="N1453" t="b">
        <v>0</v>
      </c>
    </row>
    <row r="1454" spans="1:14">
      <c r="A1454">
        <v>97</v>
      </c>
      <c r="B1454">
        <v>4</v>
      </c>
      <c r="C1454" t="s">
        <v>229</v>
      </c>
      <c r="D1454" t="s">
        <v>737</v>
      </c>
      <c r="E1454" t="s">
        <v>105</v>
      </c>
      <c r="F1454">
        <v>60</v>
      </c>
      <c r="G1454" t="s">
        <v>678</v>
      </c>
      <c r="H1454" t="s">
        <v>678</v>
      </c>
      <c r="I1454" t="s">
        <v>105</v>
      </c>
      <c r="J1454" t="s">
        <v>678</v>
      </c>
      <c r="K1454" t="s">
        <v>678</v>
      </c>
      <c r="L1454" t="s">
        <v>678</v>
      </c>
      <c r="M1454" t="s">
        <v>2127</v>
      </c>
      <c r="N1454" t="b">
        <v>0</v>
      </c>
    </row>
    <row r="1455" spans="1:14">
      <c r="A1455">
        <v>97</v>
      </c>
      <c r="B1455">
        <v>5</v>
      </c>
      <c r="C1455" t="s">
        <v>297</v>
      </c>
      <c r="D1455" t="s">
        <v>737</v>
      </c>
      <c r="E1455" t="s">
        <v>107</v>
      </c>
      <c r="F1455">
        <v>40</v>
      </c>
      <c r="G1455" t="s">
        <v>678</v>
      </c>
      <c r="H1455" t="s">
        <v>678</v>
      </c>
      <c r="I1455" t="s">
        <v>107</v>
      </c>
      <c r="J1455" t="s">
        <v>678</v>
      </c>
      <c r="K1455" t="s">
        <v>678</v>
      </c>
      <c r="L1455" t="s">
        <v>678</v>
      </c>
      <c r="M1455" t="s">
        <v>2128</v>
      </c>
      <c r="N1455" t="b">
        <v>0</v>
      </c>
    </row>
    <row r="1456" spans="1:14">
      <c r="A1456">
        <v>97</v>
      </c>
      <c r="B1456">
        <v>6</v>
      </c>
      <c r="C1456" t="s">
        <v>207</v>
      </c>
      <c r="D1456" t="s">
        <v>737</v>
      </c>
      <c r="E1456" t="s">
        <v>117</v>
      </c>
      <c r="F1456">
        <v>50</v>
      </c>
      <c r="G1456" t="s">
        <v>678</v>
      </c>
      <c r="H1456" t="s">
        <v>678</v>
      </c>
      <c r="I1456" t="s">
        <v>117</v>
      </c>
      <c r="J1456" t="s">
        <v>678</v>
      </c>
      <c r="K1456" t="s">
        <v>678</v>
      </c>
      <c r="L1456" t="s">
        <v>678</v>
      </c>
      <c r="M1456" t="s">
        <v>2129</v>
      </c>
      <c r="N1456" t="b">
        <v>0</v>
      </c>
    </row>
    <row r="1457" spans="1:14">
      <c r="A1457">
        <v>97</v>
      </c>
      <c r="B1457">
        <v>7</v>
      </c>
      <c r="C1457" t="s">
        <v>230</v>
      </c>
      <c r="D1457" t="s">
        <v>737</v>
      </c>
      <c r="E1457" t="s">
        <v>70</v>
      </c>
      <c r="F1457">
        <v>50</v>
      </c>
      <c r="G1457" t="s">
        <v>678</v>
      </c>
      <c r="H1457" t="s">
        <v>678</v>
      </c>
      <c r="I1457" t="s">
        <v>70</v>
      </c>
      <c r="J1457" t="s">
        <v>678</v>
      </c>
      <c r="K1457" t="s">
        <v>678</v>
      </c>
      <c r="L1457" t="s">
        <v>678</v>
      </c>
      <c r="M1457" t="s">
        <v>2130</v>
      </c>
      <c r="N1457" t="b">
        <v>0</v>
      </c>
    </row>
    <row r="1458" spans="1:14">
      <c r="A1458">
        <v>97</v>
      </c>
      <c r="B1458">
        <v>8</v>
      </c>
      <c r="C1458" t="s">
        <v>231</v>
      </c>
      <c r="D1458" t="s">
        <v>737</v>
      </c>
      <c r="E1458" t="s">
        <v>342</v>
      </c>
      <c r="F1458">
        <v>60</v>
      </c>
      <c r="G1458" t="s">
        <v>678</v>
      </c>
      <c r="H1458" t="s">
        <v>559</v>
      </c>
      <c r="I1458" t="s">
        <v>456</v>
      </c>
      <c r="J1458" t="s">
        <v>678</v>
      </c>
      <c r="K1458" t="s">
        <v>934</v>
      </c>
      <c r="L1458" t="s">
        <v>935</v>
      </c>
      <c r="M1458" t="s">
        <v>2131</v>
      </c>
      <c r="N1458" t="b">
        <v>0</v>
      </c>
    </row>
    <row r="1459" spans="1:14">
      <c r="A1459">
        <v>97</v>
      </c>
      <c r="B1459">
        <v>9</v>
      </c>
      <c r="C1459" t="s">
        <v>176</v>
      </c>
      <c r="D1459" t="s">
        <v>737</v>
      </c>
      <c r="E1459" t="s">
        <v>76</v>
      </c>
      <c r="F1459">
        <v>50</v>
      </c>
      <c r="G1459" t="s">
        <v>678</v>
      </c>
      <c r="H1459" t="s">
        <v>678</v>
      </c>
      <c r="I1459" t="s">
        <v>76</v>
      </c>
      <c r="J1459" t="s">
        <v>678</v>
      </c>
      <c r="K1459" t="s">
        <v>678</v>
      </c>
      <c r="L1459" t="s">
        <v>678</v>
      </c>
      <c r="M1459" t="s">
        <v>2132</v>
      </c>
      <c r="N1459" t="b">
        <v>0</v>
      </c>
    </row>
    <row r="1460" spans="1:14">
      <c r="A1460">
        <v>97</v>
      </c>
      <c r="B1460">
        <v>10</v>
      </c>
      <c r="C1460" t="s">
        <v>232</v>
      </c>
      <c r="D1460" t="s">
        <v>737</v>
      </c>
      <c r="E1460" t="s">
        <v>106</v>
      </c>
      <c r="F1460">
        <v>50</v>
      </c>
      <c r="G1460" t="s">
        <v>678</v>
      </c>
      <c r="H1460" t="s">
        <v>678</v>
      </c>
      <c r="I1460" t="s">
        <v>106</v>
      </c>
      <c r="J1460" t="s">
        <v>678</v>
      </c>
      <c r="K1460" t="s">
        <v>678</v>
      </c>
      <c r="L1460" t="s">
        <v>678</v>
      </c>
      <c r="M1460" t="s">
        <v>2133</v>
      </c>
      <c r="N1460" t="b">
        <v>0</v>
      </c>
    </row>
    <row r="1461" spans="1:14">
      <c r="A1461">
        <v>97</v>
      </c>
      <c r="B1461">
        <v>11</v>
      </c>
      <c r="C1461" t="s">
        <v>179</v>
      </c>
      <c r="D1461" t="s">
        <v>737</v>
      </c>
      <c r="E1461" t="s">
        <v>110</v>
      </c>
      <c r="F1461">
        <v>50</v>
      </c>
      <c r="G1461" t="s">
        <v>678</v>
      </c>
      <c r="H1461" t="s">
        <v>678</v>
      </c>
      <c r="I1461" t="s">
        <v>110</v>
      </c>
      <c r="J1461" t="s">
        <v>678</v>
      </c>
      <c r="K1461" t="s">
        <v>678</v>
      </c>
      <c r="L1461" t="s">
        <v>678</v>
      </c>
      <c r="M1461" t="s">
        <v>2134</v>
      </c>
      <c r="N1461" t="b">
        <v>0</v>
      </c>
    </row>
    <row r="1462" spans="1:14">
      <c r="A1462">
        <v>97</v>
      </c>
      <c r="B1462">
        <v>12</v>
      </c>
      <c r="C1462" t="s">
        <v>233</v>
      </c>
      <c r="D1462" t="s">
        <v>737</v>
      </c>
      <c r="E1462" t="s">
        <v>111</v>
      </c>
      <c r="F1462">
        <v>50</v>
      </c>
      <c r="G1462" t="s">
        <v>678</v>
      </c>
      <c r="H1462" t="s">
        <v>678</v>
      </c>
      <c r="I1462" t="s">
        <v>111</v>
      </c>
      <c r="J1462" t="s">
        <v>678</v>
      </c>
      <c r="K1462" t="s">
        <v>678</v>
      </c>
      <c r="L1462" t="s">
        <v>678</v>
      </c>
      <c r="M1462" t="s">
        <v>2135</v>
      </c>
      <c r="N1462" t="b">
        <v>0</v>
      </c>
    </row>
    <row r="1463" spans="1:14">
      <c r="A1463">
        <v>97</v>
      </c>
      <c r="B1463">
        <v>13</v>
      </c>
      <c r="C1463" t="s">
        <v>204</v>
      </c>
      <c r="D1463" t="s">
        <v>737</v>
      </c>
      <c r="E1463" t="s">
        <v>112</v>
      </c>
      <c r="F1463">
        <v>60</v>
      </c>
      <c r="G1463" t="s">
        <v>678</v>
      </c>
      <c r="H1463" t="s">
        <v>678</v>
      </c>
      <c r="I1463" t="s">
        <v>112</v>
      </c>
      <c r="J1463" t="s">
        <v>678</v>
      </c>
      <c r="K1463" t="s">
        <v>678</v>
      </c>
      <c r="L1463" t="s">
        <v>678</v>
      </c>
      <c r="M1463" t="s">
        <v>2136</v>
      </c>
      <c r="N1463" t="b">
        <v>0</v>
      </c>
    </row>
    <row r="1464" spans="1:14">
      <c r="A1464">
        <v>97</v>
      </c>
      <c r="B1464">
        <v>14</v>
      </c>
      <c r="C1464" t="s">
        <v>678</v>
      </c>
      <c r="D1464" t="s">
        <v>737</v>
      </c>
      <c r="E1464" t="s">
        <v>678</v>
      </c>
      <c r="F1464">
        <v>0</v>
      </c>
      <c r="G1464" t="s">
        <v>678</v>
      </c>
      <c r="H1464" t="s">
        <v>678</v>
      </c>
      <c r="I1464" t="s">
        <v>678</v>
      </c>
      <c r="J1464" t="s">
        <v>678</v>
      </c>
      <c r="K1464" t="s">
        <v>678</v>
      </c>
      <c r="L1464" t="s">
        <v>678</v>
      </c>
      <c r="M1464" t="s">
        <v>2137</v>
      </c>
      <c r="N1464" t="b">
        <v>0</v>
      </c>
    </row>
    <row r="1465" spans="1:14">
      <c r="A1465">
        <v>97</v>
      </c>
      <c r="B1465">
        <v>15</v>
      </c>
      <c r="C1465" t="s">
        <v>678</v>
      </c>
      <c r="D1465" t="s">
        <v>737</v>
      </c>
      <c r="E1465" t="s">
        <v>678</v>
      </c>
      <c r="F1465">
        <v>0</v>
      </c>
      <c r="G1465" t="s">
        <v>678</v>
      </c>
      <c r="H1465" t="s">
        <v>678</v>
      </c>
      <c r="I1465" t="s">
        <v>678</v>
      </c>
      <c r="J1465" t="s">
        <v>678</v>
      </c>
      <c r="K1465" t="s">
        <v>678</v>
      </c>
      <c r="L1465" t="s">
        <v>678</v>
      </c>
      <c r="M1465" t="s">
        <v>2138</v>
      </c>
      <c r="N1465" t="b">
        <v>0</v>
      </c>
    </row>
    <row r="1466" spans="1:14">
      <c r="A1466">
        <v>97</v>
      </c>
      <c r="B1466">
        <v>16</v>
      </c>
      <c r="C1466" t="s">
        <v>678</v>
      </c>
      <c r="D1466" t="s">
        <v>754</v>
      </c>
      <c r="E1466" t="s">
        <v>678</v>
      </c>
      <c r="F1466">
        <v>0</v>
      </c>
      <c r="G1466" t="s">
        <v>678</v>
      </c>
      <c r="H1466" t="s">
        <v>678</v>
      </c>
      <c r="I1466" t="s">
        <v>678</v>
      </c>
      <c r="J1466" t="s">
        <v>678</v>
      </c>
      <c r="K1466" t="s">
        <v>678</v>
      </c>
      <c r="L1466" t="s">
        <v>678</v>
      </c>
      <c r="M1466" t="s">
        <v>2139</v>
      </c>
      <c r="N1466" t="b">
        <v>0</v>
      </c>
    </row>
    <row r="1467" spans="1:14">
      <c r="A1467">
        <v>97</v>
      </c>
      <c r="B1467">
        <v>17</v>
      </c>
      <c r="C1467" t="s">
        <v>678</v>
      </c>
      <c r="D1467" t="s">
        <v>754</v>
      </c>
      <c r="E1467" t="s">
        <v>678</v>
      </c>
      <c r="F1467">
        <v>0</v>
      </c>
      <c r="G1467" t="s">
        <v>678</v>
      </c>
      <c r="H1467" t="s">
        <v>678</v>
      </c>
      <c r="I1467" t="s">
        <v>678</v>
      </c>
      <c r="J1467" t="s">
        <v>678</v>
      </c>
      <c r="K1467" t="s">
        <v>678</v>
      </c>
      <c r="L1467" t="s">
        <v>678</v>
      </c>
      <c r="M1467" t="s">
        <v>2140</v>
      </c>
      <c r="N1467" t="b">
        <v>0</v>
      </c>
    </row>
    <row r="1468" spans="1:14">
      <c r="A1468">
        <v>97</v>
      </c>
      <c r="B1468">
        <v>18</v>
      </c>
      <c r="C1468" t="s">
        <v>678</v>
      </c>
      <c r="D1468" t="s">
        <v>754</v>
      </c>
      <c r="E1468" t="s">
        <v>678</v>
      </c>
      <c r="F1468">
        <v>0</v>
      </c>
      <c r="G1468" t="s">
        <v>678</v>
      </c>
      <c r="H1468" t="s">
        <v>678</v>
      </c>
      <c r="I1468" t="s">
        <v>678</v>
      </c>
      <c r="J1468" t="s">
        <v>678</v>
      </c>
      <c r="K1468" t="s">
        <v>678</v>
      </c>
      <c r="L1468" t="s">
        <v>678</v>
      </c>
      <c r="M1468" t="s">
        <v>2141</v>
      </c>
      <c r="N1468" t="b">
        <v>0</v>
      </c>
    </row>
    <row r="1469" spans="1:14">
      <c r="A1469">
        <v>97</v>
      </c>
      <c r="B1469">
        <v>19</v>
      </c>
      <c r="C1469" t="s">
        <v>678</v>
      </c>
      <c r="D1469" t="s">
        <v>754</v>
      </c>
      <c r="E1469" t="s">
        <v>678</v>
      </c>
      <c r="F1469">
        <v>0</v>
      </c>
      <c r="G1469" t="s">
        <v>678</v>
      </c>
      <c r="H1469" t="s">
        <v>678</v>
      </c>
      <c r="I1469" t="s">
        <v>678</v>
      </c>
      <c r="J1469" t="s">
        <v>678</v>
      </c>
      <c r="K1469" t="s">
        <v>678</v>
      </c>
      <c r="L1469" t="s">
        <v>678</v>
      </c>
      <c r="M1469" t="s">
        <v>2142</v>
      </c>
      <c r="N1469" t="b">
        <v>0</v>
      </c>
    </row>
    <row r="1470" spans="1:14">
      <c r="A1470">
        <v>97</v>
      </c>
      <c r="B1470">
        <v>20</v>
      </c>
      <c r="C1470" t="s">
        <v>678</v>
      </c>
      <c r="D1470" t="s">
        <v>754</v>
      </c>
      <c r="E1470" t="s">
        <v>678</v>
      </c>
      <c r="F1470">
        <v>0</v>
      </c>
      <c r="G1470" t="s">
        <v>678</v>
      </c>
      <c r="H1470" t="s">
        <v>678</v>
      </c>
      <c r="I1470" t="s">
        <v>678</v>
      </c>
      <c r="J1470" t="s">
        <v>678</v>
      </c>
      <c r="K1470" t="s">
        <v>678</v>
      </c>
      <c r="L1470" t="s">
        <v>678</v>
      </c>
      <c r="M1470" t="s">
        <v>2143</v>
      </c>
      <c r="N1470" t="b">
        <v>0</v>
      </c>
    </row>
    <row r="1471" spans="1:14">
      <c r="A1471">
        <v>97</v>
      </c>
      <c r="B1471">
        <v>21</v>
      </c>
      <c r="C1471" t="s">
        <v>678</v>
      </c>
      <c r="D1471" t="s">
        <v>754</v>
      </c>
      <c r="E1471" t="s">
        <v>678</v>
      </c>
      <c r="F1471">
        <v>0</v>
      </c>
      <c r="G1471" t="s">
        <v>678</v>
      </c>
      <c r="H1471" t="s">
        <v>678</v>
      </c>
      <c r="I1471" t="s">
        <v>678</v>
      </c>
      <c r="J1471" t="s">
        <v>678</v>
      </c>
      <c r="K1471" t="s">
        <v>678</v>
      </c>
      <c r="L1471" t="s">
        <v>678</v>
      </c>
      <c r="M1471" t="s">
        <v>2144</v>
      </c>
      <c r="N1471" t="b">
        <v>0</v>
      </c>
    </row>
    <row r="1472" spans="1:14">
      <c r="A1472">
        <v>97</v>
      </c>
      <c r="B1472">
        <v>22</v>
      </c>
      <c r="C1472" t="s">
        <v>678</v>
      </c>
      <c r="D1472" t="s">
        <v>754</v>
      </c>
      <c r="E1472" t="s">
        <v>678</v>
      </c>
      <c r="F1472">
        <v>0</v>
      </c>
      <c r="G1472" t="s">
        <v>678</v>
      </c>
      <c r="H1472" t="s">
        <v>678</v>
      </c>
      <c r="I1472" t="s">
        <v>678</v>
      </c>
      <c r="J1472" t="s">
        <v>678</v>
      </c>
      <c r="K1472" t="s">
        <v>678</v>
      </c>
      <c r="L1472" t="s">
        <v>678</v>
      </c>
      <c r="M1472" t="s">
        <v>2145</v>
      </c>
      <c r="N1472" t="b">
        <v>0</v>
      </c>
    </row>
    <row r="1473" spans="1:14">
      <c r="A1473">
        <v>97</v>
      </c>
      <c r="B1473">
        <v>23</v>
      </c>
      <c r="C1473" t="s">
        <v>678</v>
      </c>
      <c r="D1473" t="s">
        <v>754</v>
      </c>
      <c r="E1473" t="s">
        <v>678</v>
      </c>
      <c r="F1473">
        <v>0</v>
      </c>
      <c r="G1473" t="s">
        <v>678</v>
      </c>
      <c r="H1473" t="s">
        <v>678</v>
      </c>
      <c r="I1473" t="s">
        <v>678</v>
      </c>
      <c r="J1473" t="s">
        <v>678</v>
      </c>
      <c r="K1473" t="s">
        <v>678</v>
      </c>
      <c r="L1473" t="s">
        <v>678</v>
      </c>
      <c r="M1473" t="s">
        <v>2146</v>
      </c>
      <c r="N1473" t="b">
        <v>0</v>
      </c>
    </row>
    <row r="1474" spans="1:14">
      <c r="A1474">
        <v>97</v>
      </c>
      <c r="B1474">
        <v>24</v>
      </c>
      <c r="C1474" t="s">
        <v>678</v>
      </c>
      <c r="D1474" t="s">
        <v>754</v>
      </c>
      <c r="E1474" t="s">
        <v>678</v>
      </c>
      <c r="F1474">
        <v>0</v>
      </c>
      <c r="G1474" t="s">
        <v>678</v>
      </c>
      <c r="H1474" t="s">
        <v>678</v>
      </c>
      <c r="I1474" t="s">
        <v>678</v>
      </c>
      <c r="J1474" t="s">
        <v>678</v>
      </c>
      <c r="K1474" t="s">
        <v>678</v>
      </c>
      <c r="L1474" t="s">
        <v>678</v>
      </c>
      <c r="M1474" t="s">
        <v>2147</v>
      </c>
      <c r="N1474" t="b">
        <v>0</v>
      </c>
    </row>
    <row r="1475" spans="1:14">
      <c r="A1475">
        <v>97</v>
      </c>
      <c r="B1475">
        <v>25</v>
      </c>
      <c r="C1475" t="s">
        <v>678</v>
      </c>
      <c r="D1475" t="s">
        <v>754</v>
      </c>
      <c r="E1475" t="s">
        <v>678</v>
      </c>
      <c r="F1475">
        <v>0</v>
      </c>
      <c r="G1475" t="s">
        <v>678</v>
      </c>
      <c r="H1475" t="s">
        <v>678</v>
      </c>
      <c r="I1475" t="s">
        <v>678</v>
      </c>
      <c r="J1475" t="s">
        <v>678</v>
      </c>
      <c r="K1475" t="s">
        <v>678</v>
      </c>
      <c r="L1475" t="s">
        <v>678</v>
      </c>
      <c r="M1475" t="s">
        <v>2148</v>
      </c>
      <c r="N1475" t="b">
        <v>0</v>
      </c>
    </row>
    <row r="1476" spans="1:14">
      <c r="A1476">
        <v>97</v>
      </c>
      <c r="B1476">
        <v>26</v>
      </c>
      <c r="C1476" t="s">
        <v>678</v>
      </c>
      <c r="D1476" t="s">
        <v>754</v>
      </c>
      <c r="E1476" t="s">
        <v>678</v>
      </c>
      <c r="F1476">
        <v>0</v>
      </c>
      <c r="G1476" t="s">
        <v>678</v>
      </c>
      <c r="H1476" t="s">
        <v>678</v>
      </c>
      <c r="I1476" t="s">
        <v>678</v>
      </c>
      <c r="J1476" t="s">
        <v>678</v>
      </c>
      <c r="K1476" t="s">
        <v>678</v>
      </c>
      <c r="L1476" t="s">
        <v>678</v>
      </c>
      <c r="M1476" t="s">
        <v>2149</v>
      </c>
      <c r="N1476" t="b">
        <v>0</v>
      </c>
    </row>
    <row r="1477" spans="1:14">
      <c r="A1477">
        <v>99</v>
      </c>
      <c r="B1477">
        <v>0</v>
      </c>
      <c r="C1477" t="s">
        <v>226</v>
      </c>
      <c r="D1477" t="s">
        <v>737</v>
      </c>
      <c r="E1477" t="s">
        <v>67</v>
      </c>
      <c r="F1477">
        <v>60</v>
      </c>
      <c r="G1477" t="s">
        <v>678</v>
      </c>
      <c r="H1477" t="s">
        <v>678</v>
      </c>
      <c r="I1477" t="s">
        <v>67</v>
      </c>
      <c r="J1477" t="s">
        <v>678</v>
      </c>
      <c r="K1477" t="s">
        <v>678</v>
      </c>
      <c r="L1477" t="s">
        <v>678</v>
      </c>
      <c r="M1477" t="s">
        <v>2150</v>
      </c>
      <c r="N1477" t="b">
        <v>0</v>
      </c>
    </row>
    <row r="1478" spans="1:14">
      <c r="A1478">
        <v>99</v>
      </c>
      <c r="B1478">
        <v>1</v>
      </c>
      <c r="C1478" t="s">
        <v>227</v>
      </c>
      <c r="D1478" t="s">
        <v>737</v>
      </c>
      <c r="E1478" t="s">
        <v>79</v>
      </c>
      <c r="F1478">
        <v>60</v>
      </c>
      <c r="G1478" t="s">
        <v>678</v>
      </c>
      <c r="H1478" t="s">
        <v>678</v>
      </c>
      <c r="I1478" t="s">
        <v>79</v>
      </c>
      <c r="J1478" t="s">
        <v>678</v>
      </c>
      <c r="K1478" t="s">
        <v>678</v>
      </c>
      <c r="L1478" t="s">
        <v>678</v>
      </c>
      <c r="M1478" t="s">
        <v>2151</v>
      </c>
      <c r="N1478" t="b">
        <v>0</v>
      </c>
    </row>
    <row r="1479" spans="1:14">
      <c r="A1479">
        <v>99</v>
      </c>
      <c r="B1479">
        <v>2</v>
      </c>
      <c r="C1479" t="s">
        <v>248</v>
      </c>
      <c r="D1479" t="s">
        <v>737</v>
      </c>
      <c r="E1479" t="s">
        <v>555</v>
      </c>
      <c r="F1479">
        <v>40</v>
      </c>
      <c r="G1479" t="s">
        <v>678</v>
      </c>
      <c r="H1479" t="s">
        <v>558</v>
      </c>
      <c r="I1479" t="s">
        <v>519</v>
      </c>
      <c r="J1479" t="s">
        <v>678</v>
      </c>
      <c r="K1479" t="s">
        <v>805</v>
      </c>
      <c r="L1479" t="s">
        <v>806</v>
      </c>
      <c r="M1479" t="s">
        <v>2152</v>
      </c>
      <c r="N1479" t="b">
        <v>0</v>
      </c>
    </row>
    <row r="1480" spans="1:14">
      <c r="A1480">
        <v>99</v>
      </c>
      <c r="B1480">
        <v>3</v>
      </c>
      <c r="C1480" t="s">
        <v>249</v>
      </c>
      <c r="D1480" t="s">
        <v>737</v>
      </c>
      <c r="E1480" t="s">
        <v>555</v>
      </c>
      <c r="F1480">
        <v>40</v>
      </c>
      <c r="G1480" t="s">
        <v>678</v>
      </c>
      <c r="H1480" t="s">
        <v>568</v>
      </c>
      <c r="I1480" t="s">
        <v>497</v>
      </c>
      <c r="J1480" t="s">
        <v>678</v>
      </c>
      <c r="K1480" t="s">
        <v>808</v>
      </c>
      <c r="L1480" t="s">
        <v>809</v>
      </c>
      <c r="M1480" t="s">
        <v>2153</v>
      </c>
      <c r="N1480" t="b">
        <v>0</v>
      </c>
    </row>
    <row r="1481" spans="1:14">
      <c r="A1481">
        <v>99</v>
      </c>
      <c r="B1481">
        <v>4</v>
      </c>
      <c r="C1481" t="s">
        <v>251</v>
      </c>
      <c r="D1481" t="s">
        <v>737</v>
      </c>
      <c r="E1481" t="s">
        <v>107</v>
      </c>
      <c r="F1481">
        <v>50</v>
      </c>
      <c r="G1481" t="s">
        <v>678</v>
      </c>
      <c r="H1481" t="s">
        <v>678</v>
      </c>
      <c r="I1481" t="s">
        <v>107</v>
      </c>
      <c r="J1481" t="s">
        <v>678</v>
      </c>
      <c r="K1481" t="s">
        <v>678</v>
      </c>
      <c r="L1481" t="s">
        <v>678</v>
      </c>
      <c r="M1481" t="s">
        <v>2154</v>
      </c>
      <c r="N1481" t="b">
        <v>0</v>
      </c>
    </row>
    <row r="1482" spans="1:14">
      <c r="A1482">
        <v>99</v>
      </c>
      <c r="B1482">
        <v>5</v>
      </c>
      <c r="C1482" t="s">
        <v>483</v>
      </c>
      <c r="D1482" t="s">
        <v>737</v>
      </c>
      <c r="E1482" t="s">
        <v>308</v>
      </c>
      <c r="F1482">
        <v>20</v>
      </c>
      <c r="G1482" t="s">
        <v>678</v>
      </c>
      <c r="H1482" t="s">
        <v>1909</v>
      </c>
      <c r="I1482" t="s">
        <v>1910</v>
      </c>
      <c r="J1482" t="s">
        <v>678</v>
      </c>
      <c r="K1482" t="s">
        <v>775</v>
      </c>
      <c r="L1482" t="s">
        <v>776</v>
      </c>
      <c r="M1482" t="s">
        <v>2155</v>
      </c>
      <c r="N1482" t="b">
        <v>0</v>
      </c>
    </row>
    <row r="1483" spans="1:14">
      <c r="A1483">
        <v>99</v>
      </c>
      <c r="B1483">
        <v>6</v>
      </c>
      <c r="C1483" t="s">
        <v>264</v>
      </c>
      <c r="D1483" t="s">
        <v>737</v>
      </c>
      <c r="E1483" t="s">
        <v>119</v>
      </c>
      <c r="F1483">
        <v>40</v>
      </c>
      <c r="G1483" t="s">
        <v>678</v>
      </c>
      <c r="H1483" t="s">
        <v>678</v>
      </c>
      <c r="I1483" t="s">
        <v>119</v>
      </c>
      <c r="J1483" t="s">
        <v>678</v>
      </c>
      <c r="K1483" t="s">
        <v>678</v>
      </c>
      <c r="L1483" t="s">
        <v>678</v>
      </c>
      <c r="M1483" t="s">
        <v>2156</v>
      </c>
      <c r="N1483" t="b">
        <v>0</v>
      </c>
    </row>
    <row r="1484" spans="1:14">
      <c r="A1484">
        <v>99</v>
      </c>
      <c r="B1484">
        <v>7</v>
      </c>
      <c r="C1484" t="s">
        <v>176</v>
      </c>
      <c r="D1484" t="s">
        <v>737</v>
      </c>
      <c r="E1484" t="s">
        <v>76</v>
      </c>
      <c r="F1484">
        <v>50</v>
      </c>
      <c r="G1484" t="s">
        <v>678</v>
      </c>
      <c r="H1484" t="s">
        <v>678</v>
      </c>
      <c r="I1484" t="s">
        <v>76</v>
      </c>
      <c r="J1484" t="s">
        <v>678</v>
      </c>
      <c r="K1484" t="s">
        <v>678</v>
      </c>
      <c r="L1484" t="s">
        <v>678</v>
      </c>
      <c r="M1484" t="s">
        <v>2157</v>
      </c>
      <c r="N1484" t="b">
        <v>0</v>
      </c>
    </row>
    <row r="1485" spans="1:14">
      <c r="A1485">
        <v>99</v>
      </c>
      <c r="B1485">
        <v>8</v>
      </c>
      <c r="C1485" t="s">
        <v>484</v>
      </c>
      <c r="D1485" t="s">
        <v>737</v>
      </c>
      <c r="E1485" t="s">
        <v>369</v>
      </c>
      <c r="F1485">
        <v>50</v>
      </c>
      <c r="G1485" t="s">
        <v>678</v>
      </c>
      <c r="H1485" t="s">
        <v>574</v>
      </c>
      <c r="I1485" t="s">
        <v>1636</v>
      </c>
      <c r="J1485" t="s">
        <v>678</v>
      </c>
      <c r="K1485" t="s">
        <v>1177</v>
      </c>
      <c r="L1485" t="s">
        <v>1178</v>
      </c>
      <c r="M1485" t="s">
        <v>2158</v>
      </c>
      <c r="N1485" t="b">
        <v>0</v>
      </c>
    </row>
    <row r="1486" spans="1:14">
      <c r="A1486">
        <v>99</v>
      </c>
      <c r="B1486">
        <v>9</v>
      </c>
      <c r="C1486" t="s">
        <v>485</v>
      </c>
      <c r="D1486" t="s">
        <v>737</v>
      </c>
      <c r="E1486" t="s">
        <v>369</v>
      </c>
      <c r="F1486">
        <v>30</v>
      </c>
      <c r="G1486" t="s">
        <v>678</v>
      </c>
      <c r="H1486" t="s">
        <v>570</v>
      </c>
      <c r="I1486" t="s">
        <v>374</v>
      </c>
      <c r="J1486" t="s">
        <v>678</v>
      </c>
      <c r="K1486" t="s">
        <v>1191</v>
      </c>
      <c r="L1486" t="s">
        <v>1192</v>
      </c>
      <c r="M1486" t="s">
        <v>2159</v>
      </c>
      <c r="N1486" t="b">
        <v>0</v>
      </c>
    </row>
    <row r="1487" spans="1:14">
      <c r="A1487">
        <v>99</v>
      </c>
      <c r="B1487">
        <v>10</v>
      </c>
      <c r="C1487" t="s">
        <v>368</v>
      </c>
      <c r="D1487" t="s">
        <v>737</v>
      </c>
      <c r="E1487" t="s">
        <v>556</v>
      </c>
      <c r="F1487">
        <v>50</v>
      </c>
      <c r="G1487" t="s">
        <v>678</v>
      </c>
      <c r="H1487" t="s">
        <v>594</v>
      </c>
      <c r="I1487" t="s">
        <v>507</v>
      </c>
      <c r="J1487" t="s">
        <v>678</v>
      </c>
      <c r="K1487" t="s">
        <v>814</v>
      </c>
      <c r="L1487" t="s">
        <v>815</v>
      </c>
      <c r="M1487" t="s">
        <v>2160</v>
      </c>
      <c r="N1487" t="b">
        <v>0</v>
      </c>
    </row>
    <row r="1488" spans="1:14">
      <c r="A1488">
        <v>99</v>
      </c>
      <c r="B1488">
        <v>11</v>
      </c>
      <c r="C1488" t="s">
        <v>302</v>
      </c>
      <c r="D1488" t="s">
        <v>737</v>
      </c>
      <c r="E1488" t="s">
        <v>111</v>
      </c>
      <c r="F1488">
        <v>60</v>
      </c>
      <c r="G1488" t="s">
        <v>678</v>
      </c>
      <c r="H1488" t="s">
        <v>678</v>
      </c>
      <c r="I1488" t="s">
        <v>111</v>
      </c>
      <c r="J1488" t="s">
        <v>678</v>
      </c>
      <c r="K1488" t="s">
        <v>678</v>
      </c>
      <c r="L1488" t="s">
        <v>678</v>
      </c>
      <c r="M1488" t="s">
        <v>2161</v>
      </c>
      <c r="N1488" t="b">
        <v>0</v>
      </c>
    </row>
    <row r="1489" spans="1:14">
      <c r="A1489">
        <v>99</v>
      </c>
      <c r="B1489">
        <v>12</v>
      </c>
      <c r="C1489" t="s">
        <v>678</v>
      </c>
      <c r="D1489" t="s">
        <v>737</v>
      </c>
      <c r="E1489" t="s">
        <v>678</v>
      </c>
      <c r="F1489">
        <v>0</v>
      </c>
      <c r="G1489" t="s">
        <v>678</v>
      </c>
      <c r="H1489" t="s">
        <v>678</v>
      </c>
      <c r="I1489" t="s">
        <v>678</v>
      </c>
      <c r="J1489" t="s">
        <v>678</v>
      </c>
      <c r="K1489" t="s">
        <v>678</v>
      </c>
      <c r="L1489" t="s">
        <v>678</v>
      </c>
      <c r="M1489" t="s">
        <v>2162</v>
      </c>
      <c r="N1489" t="b">
        <v>0</v>
      </c>
    </row>
    <row r="1490" spans="1:14">
      <c r="A1490">
        <v>99</v>
      </c>
      <c r="B1490">
        <v>13</v>
      </c>
      <c r="C1490" t="s">
        <v>678</v>
      </c>
      <c r="D1490" t="s">
        <v>737</v>
      </c>
      <c r="E1490" t="s">
        <v>678</v>
      </c>
      <c r="F1490">
        <v>0</v>
      </c>
      <c r="G1490" t="s">
        <v>678</v>
      </c>
      <c r="H1490" t="s">
        <v>678</v>
      </c>
      <c r="I1490" t="s">
        <v>678</v>
      </c>
      <c r="J1490" t="s">
        <v>678</v>
      </c>
      <c r="K1490" t="s">
        <v>678</v>
      </c>
      <c r="L1490" t="s">
        <v>678</v>
      </c>
      <c r="M1490" t="s">
        <v>2163</v>
      </c>
      <c r="N1490" t="b">
        <v>0</v>
      </c>
    </row>
    <row r="1491" spans="1:14">
      <c r="A1491">
        <v>99</v>
      </c>
      <c r="B1491">
        <v>14</v>
      </c>
      <c r="C1491" t="s">
        <v>678</v>
      </c>
      <c r="D1491" t="s">
        <v>737</v>
      </c>
      <c r="E1491" t="s">
        <v>678</v>
      </c>
      <c r="F1491">
        <v>0</v>
      </c>
      <c r="G1491" t="s">
        <v>678</v>
      </c>
      <c r="H1491" t="s">
        <v>678</v>
      </c>
      <c r="I1491" t="s">
        <v>678</v>
      </c>
      <c r="J1491" t="s">
        <v>678</v>
      </c>
      <c r="K1491" t="s">
        <v>678</v>
      </c>
      <c r="L1491" t="s">
        <v>678</v>
      </c>
      <c r="M1491" t="s">
        <v>2164</v>
      </c>
      <c r="N1491" t="b">
        <v>0</v>
      </c>
    </row>
    <row r="1492" spans="1:14">
      <c r="A1492">
        <v>99</v>
      </c>
      <c r="B1492">
        <v>15</v>
      </c>
      <c r="C1492" t="s">
        <v>678</v>
      </c>
      <c r="D1492" t="s">
        <v>737</v>
      </c>
      <c r="E1492" t="s">
        <v>678</v>
      </c>
      <c r="F1492">
        <v>0</v>
      </c>
      <c r="G1492" t="s">
        <v>678</v>
      </c>
      <c r="H1492" t="s">
        <v>678</v>
      </c>
      <c r="I1492" t="s">
        <v>678</v>
      </c>
      <c r="J1492" t="s">
        <v>678</v>
      </c>
      <c r="K1492" t="s">
        <v>678</v>
      </c>
      <c r="L1492" t="s">
        <v>678</v>
      </c>
      <c r="M1492" t="s">
        <v>2165</v>
      </c>
      <c r="N1492" t="b">
        <v>0</v>
      </c>
    </row>
    <row r="1493" spans="1:14">
      <c r="A1493">
        <v>99</v>
      </c>
      <c r="B1493">
        <v>16</v>
      </c>
      <c r="C1493" t="s">
        <v>678</v>
      </c>
      <c r="D1493" t="s">
        <v>754</v>
      </c>
      <c r="E1493" t="s">
        <v>678</v>
      </c>
      <c r="F1493">
        <v>0</v>
      </c>
      <c r="G1493" t="s">
        <v>678</v>
      </c>
      <c r="H1493" t="s">
        <v>678</v>
      </c>
      <c r="I1493" t="s">
        <v>678</v>
      </c>
      <c r="J1493" t="s">
        <v>678</v>
      </c>
      <c r="K1493" t="s">
        <v>678</v>
      </c>
      <c r="L1493" t="s">
        <v>678</v>
      </c>
      <c r="M1493" t="s">
        <v>2166</v>
      </c>
      <c r="N1493" t="b">
        <v>0</v>
      </c>
    </row>
    <row r="1494" spans="1:14">
      <c r="A1494">
        <v>99</v>
      </c>
      <c r="B1494">
        <v>17</v>
      </c>
      <c r="C1494" t="s">
        <v>678</v>
      </c>
      <c r="D1494" t="s">
        <v>754</v>
      </c>
      <c r="E1494" t="s">
        <v>678</v>
      </c>
      <c r="F1494">
        <v>0</v>
      </c>
      <c r="G1494" t="s">
        <v>678</v>
      </c>
      <c r="H1494" t="s">
        <v>678</v>
      </c>
      <c r="I1494" t="s">
        <v>678</v>
      </c>
      <c r="J1494" t="s">
        <v>678</v>
      </c>
      <c r="K1494" t="s">
        <v>678</v>
      </c>
      <c r="L1494" t="s">
        <v>678</v>
      </c>
      <c r="M1494" t="s">
        <v>2167</v>
      </c>
      <c r="N1494" t="b">
        <v>0</v>
      </c>
    </row>
    <row r="1495" spans="1:14">
      <c r="A1495">
        <v>99</v>
      </c>
      <c r="B1495">
        <v>18</v>
      </c>
      <c r="C1495" t="s">
        <v>678</v>
      </c>
      <c r="D1495" t="s">
        <v>754</v>
      </c>
      <c r="E1495" t="s">
        <v>678</v>
      </c>
      <c r="F1495">
        <v>0</v>
      </c>
      <c r="G1495" t="s">
        <v>678</v>
      </c>
      <c r="H1495" t="s">
        <v>678</v>
      </c>
      <c r="I1495" t="s">
        <v>678</v>
      </c>
      <c r="J1495" t="s">
        <v>678</v>
      </c>
      <c r="K1495" t="s">
        <v>678</v>
      </c>
      <c r="L1495" t="s">
        <v>678</v>
      </c>
      <c r="M1495" t="s">
        <v>2168</v>
      </c>
      <c r="N1495" t="b">
        <v>0</v>
      </c>
    </row>
    <row r="1496" spans="1:14">
      <c r="A1496">
        <v>99</v>
      </c>
      <c r="B1496">
        <v>19</v>
      </c>
      <c r="C1496" t="s">
        <v>678</v>
      </c>
      <c r="D1496" t="s">
        <v>754</v>
      </c>
      <c r="E1496" t="s">
        <v>678</v>
      </c>
      <c r="F1496">
        <v>0</v>
      </c>
      <c r="G1496" t="s">
        <v>678</v>
      </c>
      <c r="H1496" t="s">
        <v>678</v>
      </c>
      <c r="I1496" t="s">
        <v>678</v>
      </c>
      <c r="J1496" t="s">
        <v>678</v>
      </c>
      <c r="K1496" t="s">
        <v>678</v>
      </c>
      <c r="L1496" t="s">
        <v>678</v>
      </c>
      <c r="M1496" t="s">
        <v>2169</v>
      </c>
      <c r="N1496" t="b">
        <v>0</v>
      </c>
    </row>
    <row r="1497" spans="1:14">
      <c r="A1497">
        <v>99</v>
      </c>
      <c r="B1497">
        <v>20</v>
      </c>
      <c r="C1497" t="s">
        <v>678</v>
      </c>
      <c r="D1497" t="s">
        <v>754</v>
      </c>
      <c r="E1497" t="s">
        <v>678</v>
      </c>
      <c r="F1497">
        <v>0</v>
      </c>
      <c r="G1497" t="s">
        <v>678</v>
      </c>
      <c r="H1497" t="s">
        <v>678</v>
      </c>
      <c r="I1497" t="s">
        <v>678</v>
      </c>
      <c r="J1497" t="s">
        <v>678</v>
      </c>
      <c r="K1497" t="s">
        <v>678</v>
      </c>
      <c r="L1497" t="s">
        <v>678</v>
      </c>
      <c r="M1497" t="s">
        <v>2170</v>
      </c>
      <c r="N1497" t="b">
        <v>0</v>
      </c>
    </row>
    <row r="1498" spans="1:14">
      <c r="A1498">
        <v>99</v>
      </c>
      <c r="B1498">
        <v>21</v>
      </c>
      <c r="C1498" t="s">
        <v>678</v>
      </c>
      <c r="D1498" t="s">
        <v>754</v>
      </c>
      <c r="E1498" t="s">
        <v>678</v>
      </c>
      <c r="F1498">
        <v>0</v>
      </c>
      <c r="G1498" t="s">
        <v>678</v>
      </c>
      <c r="H1498" t="s">
        <v>678</v>
      </c>
      <c r="I1498" t="s">
        <v>678</v>
      </c>
      <c r="J1498" t="s">
        <v>678</v>
      </c>
      <c r="K1498" t="s">
        <v>678</v>
      </c>
      <c r="L1498" t="s">
        <v>678</v>
      </c>
      <c r="M1498" t="s">
        <v>2171</v>
      </c>
      <c r="N1498" t="b">
        <v>0</v>
      </c>
    </row>
    <row r="1499" spans="1:14">
      <c r="A1499">
        <v>99</v>
      </c>
      <c r="B1499">
        <v>22</v>
      </c>
      <c r="C1499" t="s">
        <v>678</v>
      </c>
      <c r="D1499" t="s">
        <v>754</v>
      </c>
      <c r="E1499" t="s">
        <v>678</v>
      </c>
      <c r="F1499">
        <v>0</v>
      </c>
      <c r="G1499" t="s">
        <v>678</v>
      </c>
      <c r="H1499" t="s">
        <v>678</v>
      </c>
      <c r="I1499" t="s">
        <v>678</v>
      </c>
      <c r="J1499" t="s">
        <v>678</v>
      </c>
      <c r="K1499" t="s">
        <v>678</v>
      </c>
      <c r="L1499" t="s">
        <v>678</v>
      </c>
      <c r="M1499" t="s">
        <v>2172</v>
      </c>
      <c r="N1499" t="b">
        <v>0</v>
      </c>
    </row>
    <row r="1500" spans="1:14">
      <c r="A1500">
        <v>99</v>
      </c>
      <c r="B1500">
        <v>23</v>
      </c>
      <c r="C1500" t="s">
        <v>678</v>
      </c>
      <c r="D1500" t="s">
        <v>754</v>
      </c>
      <c r="E1500" t="s">
        <v>678</v>
      </c>
      <c r="F1500">
        <v>0</v>
      </c>
      <c r="G1500" t="s">
        <v>678</v>
      </c>
      <c r="H1500" t="s">
        <v>678</v>
      </c>
      <c r="I1500" t="s">
        <v>678</v>
      </c>
      <c r="J1500" t="s">
        <v>678</v>
      </c>
      <c r="K1500" t="s">
        <v>678</v>
      </c>
      <c r="L1500" t="s">
        <v>678</v>
      </c>
      <c r="M1500" t="s">
        <v>2173</v>
      </c>
      <c r="N1500" t="b">
        <v>0</v>
      </c>
    </row>
    <row r="1501" spans="1:14">
      <c r="A1501">
        <v>99</v>
      </c>
      <c r="B1501">
        <v>24</v>
      </c>
      <c r="C1501" t="s">
        <v>678</v>
      </c>
      <c r="D1501" t="s">
        <v>754</v>
      </c>
      <c r="E1501" t="s">
        <v>678</v>
      </c>
      <c r="F1501">
        <v>0</v>
      </c>
      <c r="G1501" t="s">
        <v>678</v>
      </c>
      <c r="H1501" t="s">
        <v>678</v>
      </c>
      <c r="I1501" t="s">
        <v>678</v>
      </c>
      <c r="J1501" t="s">
        <v>678</v>
      </c>
      <c r="K1501" t="s">
        <v>678</v>
      </c>
      <c r="L1501" t="s">
        <v>678</v>
      </c>
      <c r="M1501" t="s">
        <v>2174</v>
      </c>
      <c r="N1501" t="b">
        <v>0</v>
      </c>
    </row>
    <row r="1502" spans="1:14">
      <c r="A1502">
        <v>99</v>
      </c>
      <c r="B1502">
        <v>25</v>
      </c>
      <c r="C1502" t="s">
        <v>678</v>
      </c>
      <c r="D1502" t="s">
        <v>754</v>
      </c>
      <c r="E1502" t="s">
        <v>678</v>
      </c>
      <c r="F1502">
        <v>0</v>
      </c>
      <c r="G1502" t="s">
        <v>678</v>
      </c>
      <c r="H1502" t="s">
        <v>678</v>
      </c>
      <c r="I1502" t="s">
        <v>678</v>
      </c>
      <c r="J1502" t="s">
        <v>678</v>
      </c>
      <c r="K1502" t="s">
        <v>678</v>
      </c>
      <c r="L1502" t="s">
        <v>678</v>
      </c>
      <c r="M1502" t="s">
        <v>2175</v>
      </c>
      <c r="N1502" t="b">
        <v>0</v>
      </c>
    </row>
    <row r="1503" spans="1:14">
      <c r="A1503">
        <v>99</v>
      </c>
      <c r="B1503">
        <v>26</v>
      </c>
      <c r="C1503" t="s">
        <v>678</v>
      </c>
      <c r="D1503" t="s">
        <v>754</v>
      </c>
      <c r="E1503" t="s">
        <v>678</v>
      </c>
      <c r="F1503">
        <v>0</v>
      </c>
      <c r="G1503" t="s">
        <v>678</v>
      </c>
      <c r="H1503" t="s">
        <v>678</v>
      </c>
      <c r="I1503" t="s">
        <v>678</v>
      </c>
      <c r="J1503" t="s">
        <v>678</v>
      </c>
      <c r="K1503" t="s">
        <v>678</v>
      </c>
      <c r="L1503" t="s">
        <v>678</v>
      </c>
      <c r="M1503" t="s">
        <v>2176</v>
      </c>
      <c r="N1503" t="b">
        <v>0</v>
      </c>
    </row>
    <row r="1504" spans="1:14">
      <c r="A1504">
        <v>102</v>
      </c>
      <c r="B1504">
        <v>0</v>
      </c>
      <c r="C1504" t="s">
        <v>226</v>
      </c>
      <c r="D1504" t="s">
        <v>737</v>
      </c>
      <c r="E1504" t="s">
        <v>67</v>
      </c>
      <c r="F1504">
        <v>60</v>
      </c>
      <c r="G1504" t="s">
        <v>678</v>
      </c>
      <c r="H1504" t="s">
        <v>678</v>
      </c>
      <c r="I1504" t="s">
        <v>67</v>
      </c>
      <c r="J1504" t="s">
        <v>678</v>
      </c>
      <c r="K1504" t="s">
        <v>678</v>
      </c>
      <c r="L1504" t="s">
        <v>678</v>
      </c>
      <c r="M1504" t="s">
        <v>2177</v>
      </c>
      <c r="N1504" t="b">
        <v>0</v>
      </c>
    </row>
    <row r="1505" spans="1:14">
      <c r="A1505">
        <v>102</v>
      </c>
      <c r="B1505">
        <v>1</v>
      </c>
      <c r="C1505" t="s">
        <v>340</v>
      </c>
      <c r="D1505" t="s">
        <v>737</v>
      </c>
      <c r="E1505" t="s">
        <v>79</v>
      </c>
      <c r="F1505">
        <v>40</v>
      </c>
      <c r="G1505" t="s">
        <v>678</v>
      </c>
      <c r="H1505" t="s">
        <v>678</v>
      </c>
      <c r="I1505" t="s">
        <v>79</v>
      </c>
      <c r="J1505" t="s">
        <v>678</v>
      </c>
      <c r="K1505" t="s">
        <v>678</v>
      </c>
      <c r="L1505" t="s">
        <v>678</v>
      </c>
      <c r="M1505" t="s">
        <v>2178</v>
      </c>
      <c r="N1505" t="b">
        <v>0</v>
      </c>
    </row>
    <row r="1506" spans="1:14">
      <c r="A1506">
        <v>102</v>
      </c>
      <c r="B1506">
        <v>2</v>
      </c>
      <c r="C1506" t="s">
        <v>278</v>
      </c>
      <c r="D1506" t="s">
        <v>737</v>
      </c>
      <c r="E1506" t="s">
        <v>85</v>
      </c>
      <c r="F1506">
        <v>30</v>
      </c>
      <c r="G1506" t="s">
        <v>678</v>
      </c>
      <c r="H1506" t="s">
        <v>678</v>
      </c>
      <c r="I1506" t="s">
        <v>85</v>
      </c>
      <c r="J1506" t="s">
        <v>678</v>
      </c>
      <c r="K1506" t="s">
        <v>678</v>
      </c>
      <c r="L1506" t="s">
        <v>678</v>
      </c>
      <c r="M1506" t="s">
        <v>2179</v>
      </c>
      <c r="N1506" t="b">
        <v>0</v>
      </c>
    </row>
    <row r="1507" spans="1:14">
      <c r="A1507">
        <v>102</v>
      </c>
      <c r="B1507">
        <v>3</v>
      </c>
      <c r="C1507" t="s">
        <v>494</v>
      </c>
      <c r="D1507" t="s">
        <v>737</v>
      </c>
      <c r="E1507" t="s">
        <v>555</v>
      </c>
      <c r="F1507">
        <v>50</v>
      </c>
      <c r="G1507" t="s">
        <v>678</v>
      </c>
      <c r="H1507" t="s">
        <v>558</v>
      </c>
      <c r="I1507" t="s">
        <v>519</v>
      </c>
      <c r="J1507" t="s">
        <v>678</v>
      </c>
      <c r="K1507" t="s">
        <v>805</v>
      </c>
      <c r="L1507" t="s">
        <v>806</v>
      </c>
      <c r="M1507" t="s">
        <v>2180</v>
      </c>
      <c r="N1507" t="b">
        <v>0</v>
      </c>
    </row>
    <row r="1508" spans="1:14">
      <c r="A1508">
        <v>102</v>
      </c>
      <c r="B1508">
        <v>4</v>
      </c>
      <c r="C1508" t="s">
        <v>495</v>
      </c>
      <c r="D1508" t="s">
        <v>737</v>
      </c>
      <c r="E1508" t="s">
        <v>555</v>
      </c>
      <c r="F1508">
        <v>50</v>
      </c>
      <c r="G1508" t="s">
        <v>678</v>
      </c>
      <c r="H1508" t="s">
        <v>568</v>
      </c>
      <c r="I1508" t="s">
        <v>497</v>
      </c>
      <c r="J1508" t="s">
        <v>678</v>
      </c>
      <c r="K1508" t="s">
        <v>808</v>
      </c>
      <c r="L1508" t="s">
        <v>809</v>
      </c>
      <c r="M1508" t="s">
        <v>2181</v>
      </c>
      <c r="N1508" t="b">
        <v>0</v>
      </c>
    </row>
    <row r="1509" spans="1:14">
      <c r="A1509">
        <v>102</v>
      </c>
      <c r="B1509">
        <v>5</v>
      </c>
      <c r="C1509" t="s">
        <v>229</v>
      </c>
      <c r="D1509" t="s">
        <v>737</v>
      </c>
      <c r="E1509" t="s">
        <v>105</v>
      </c>
      <c r="F1509">
        <v>60</v>
      </c>
      <c r="G1509" t="s">
        <v>678</v>
      </c>
      <c r="H1509" t="s">
        <v>678</v>
      </c>
      <c r="I1509" t="s">
        <v>105</v>
      </c>
      <c r="J1509" t="s">
        <v>678</v>
      </c>
      <c r="K1509" t="s">
        <v>678</v>
      </c>
      <c r="L1509" t="s">
        <v>678</v>
      </c>
      <c r="M1509" t="s">
        <v>2182</v>
      </c>
      <c r="N1509" t="b">
        <v>0</v>
      </c>
    </row>
    <row r="1510" spans="1:14">
      <c r="A1510">
        <v>102</v>
      </c>
      <c r="B1510">
        <v>6</v>
      </c>
      <c r="C1510" t="s">
        <v>350</v>
      </c>
      <c r="D1510" t="s">
        <v>737</v>
      </c>
      <c r="E1510" t="s">
        <v>116</v>
      </c>
      <c r="F1510">
        <v>40</v>
      </c>
      <c r="G1510" t="s">
        <v>678</v>
      </c>
      <c r="H1510" t="s">
        <v>678</v>
      </c>
      <c r="I1510" t="s">
        <v>116</v>
      </c>
      <c r="J1510" t="s">
        <v>678</v>
      </c>
      <c r="K1510" t="s">
        <v>678</v>
      </c>
      <c r="L1510" t="s">
        <v>678</v>
      </c>
      <c r="M1510" t="s">
        <v>2183</v>
      </c>
      <c r="N1510" t="b">
        <v>0</v>
      </c>
    </row>
    <row r="1511" spans="1:14">
      <c r="A1511">
        <v>102</v>
      </c>
      <c r="B1511">
        <v>7</v>
      </c>
      <c r="C1511" t="s">
        <v>393</v>
      </c>
      <c r="D1511" t="s">
        <v>737</v>
      </c>
      <c r="E1511" t="s">
        <v>342</v>
      </c>
      <c r="F1511">
        <v>50</v>
      </c>
      <c r="G1511" t="s">
        <v>678</v>
      </c>
      <c r="H1511" t="s">
        <v>569</v>
      </c>
      <c r="I1511" t="s">
        <v>488</v>
      </c>
      <c r="J1511" t="s">
        <v>678</v>
      </c>
      <c r="K1511" t="s">
        <v>934</v>
      </c>
      <c r="L1511" t="s">
        <v>935</v>
      </c>
      <c r="M1511" t="s">
        <v>2184</v>
      </c>
      <c r="N1511" t="b">
        <v>0</v>
      </c>
    </row>
    <row r="1512" spans="1:14">
      <c r="A1512">
        <v>102</v>
      </c>
      <c r="B1512">
        <v>8</v>
      </c>
      <c r="C1512" t="s">
        <v>176</v>
      </c>
      <c r="D1512" t="s">
        <v>737</v>
      </c>
      <c r="E1512" t="s">
        <v>76</v>
      </c>
      <c r="F1512">
        <v>50</v>
      </c>
      <c r="G1512" t="s">
        <v>678</v>
      </c>
      <c r="H1512" t="s">
        <v>678</v>
      </c>
      <c r="I1512" t="s">
        <v>76</v>
      </c>
      <c r="J1512" t="s">
        <v>678</v>
      </c>
      <c r="K1512" t="s">
        <v>678</v>
      </c>
      <c r="L1512" t="s">
        <v>678</v>
      </c>
      <c r="M1512" t="s">
        <v>2185</v>
      </c>
      <c r="N1512" t="b">
        <v>0</v>
      </c>
    </row>
    <row r="1513" spans="1:14">
      <c r="A1513">
        <v>102</v>
      </c>
      <c r="B1513">
        <v>9</v>
      </c>
      <c r="C1513" t="s">
        <v>496</v>
      </c>
      <c r="D1513" t="s">
        <v>737</v>
      </c>
      <c r="E1513" t="s">
        <v>369</v>
      </c>
      <c r="F1513">
        <v>50</v>
      </c>
      <c r="G1513" t="s">
        <v>678</v>
      </c>
      <c r="H1513" t="s">
        <v>570</v>
      </c>
      <c r="I1513" t="s">
        <v>374</v>
      </c>
      <c r="J1513" t="s">
        <v>678</v>
      </c>
      <c r="K1513" t="s">
        <v>1177</v>
      </c>
      <c r="L1513" t="s">
        <v>1178</v>
      </c>
      <c r="M1513" t="s">
        <v>2186</v>
      </c>
      <c r="N1513" t="b">
        <v>0</v>
      </c>
    </row>
    <row r="1514" spans="1:14">
      <c r="A1514">
        <v>102</v>
      </c>
      <c r="B1514">
        <v>10</v>
      </c>
      <c r="C1514" t="s">
        <v>280</v>
      </c>
      <c r="D1514" t="s">
        <v>737</v>
      </c>
      <c r="E1514" t="s">
        <v>556</v>
      </c>
      <c r="F1514">
        <v>40</v>
      </c>
      <c r="G1514" t="s">
        <v>678</v>
      </c>
      <c r="H1514" t="s">
        <v>594</v>
      </c>
      <c r="I1514" t="s">
        <v>507</v>
      </c>
      <c r="J1514" t="s">
        <v>678</v>
      </c>
      <c r="K1514" t="s">
        <v>814</v>
      </c>
      <c r="L1514" t="s">
        <v>815</v>
      </c>
      <c r="M1514" t="s">
        <v>2187</v>
      </c>
      <c r="N1514" t="b">
        <v>0</v>
      </c>
    </row>
    <row r="1515" spans="1:14">
      <c r="A1515">
        <v>102</v>
      </c>
      <c r="B1515">
        <v>11</v>
      </c>
      <c r="C1515" t="s">
        <v>233</v>
      </c>
      <c r="D1515" t="s">
        <v>737</v>
      </c>
      <c r="E1515" t="s">
        <v>111</v>
      </c>
      <c r="F1515">
        <v>50</v>
      </c>
      <c r="G1515" t="s">
        <v>678</v>
      </c>
      <c r="H1515" t="s">
        <v>678</v>
      </c>
      <c r="I1515" t="s">
        <v>111</v>
      </c>
      <c r="J1515" t="s">
        <v>678</v>
      </c>
      <c r="K1515" t="s">
        <v>678</v>
      </c>
      <c r="L1515" t="s">
        <v>678</v>
      </c>
      <c r="M1515" t="s">
        <v>2188</v>
      </c>
      <c r="N1515" t="b">
        <v>0</v>
      </c>
    </row>
    <row r="1516" spans="1:14">
      <c r="A1516">
        <v>102</v>
      </c>
      <c r="B1516">
        <v>12</v>
      </c>
      <c r="C1516" t="s">
        <v>678</v>
      </c>
      <c r="D1516" t="s">
        <v>737</v>
      </c>
      <c r="E1516" t="s">
        <v>678</v>
      </c>
      <c r="F1516">
        <v>0</v>
      </c>
      <c r="G1516" t="s">
        <v>678</v>
      </c>
      <c r="H1516" t="s">
        <v>678</v>
      </c>
      <c r="I1516" t="s">
        <v>678</v>
      </c>
      <c r="J1516" t="s">
        <v>678</v>
      </c>
      <c r="K1516" t="s">
        <v>678</v>
      </c>
      <c r="L1516" t="s">
        <v>678</v>
      </c>
      <c r="M1516" t="s">
        <v>2189</v>
      </c>
      <c r="N1516" t="b">
        <v>0</v>
      </c>
    </row>
    <row r="1517" spans="1:14">
      <c r="A1517">
        <v>102</v>
      </c>
      <c r="B1517">
        <v>13</v>
      </c>
      <c r="C1517" t="s">
        <v>678</v>
      </c>
      <c r="D1517" t="s">
        <v>737</v>
      </c>
      <c r="E1517" t="s">
        <v>678</v>
      </c>
      <c r="F1517">
        <v>0</v>
      </c>
      <c r="G1517" t="s">
        <v>678</v>
      </c>
      <c r="H1517" t="s">
        <v>678</v>
      </c>
      <c r="I1517" t="s">
        <v>678</v>
      </c>
      <c r="J1517" t="s">
        <v>678</v>
      </c>
      <c r="K1517" t="s">
        <v>678</v>
      </c>
      <c r="L1517" t="s">
        <v>678</v>
      </c>
      <c r="M1517" t="s">
        <v>2190</v>
      </c>
      <c r="N1517" t="b">
        <v>0</v>
      </c>
    </row>
    <row r="1518" spans="1:14">
      <c r="A1518">
        <v>102</v>
      </c>
      <c r="B1518">
        <v>14</v>
      </c>
      <c r="C1518" t="s">
        <v>678</v>
      </c>
      <c r="D1518" t="s">
        <v>737</v>
      </c>
      <c r="E1518" t="s">
        <v>678</v>
      </c>
      <c r="F1518">
        <v>0</v>
      </c>
      <c r="G1518" t="s">
        <v>678</v>
      </c>
      <c r="H1518" t="s">
        <v>678</v>
      </c>
      <c r="I1518" t="s">
        <v>678</v>
      </c>
      <c r="J1518" t="s">
        <v>678</v>
      </c>
      <c r="K1518" t="s">
        <v>678</v>
      </c>
      <c r="L1518" t="s">
        <v>678</v>
      </c>
      <c r="M1518" t="s">
        <v>2191</v>
      </c>
      <c r="N1518" t="b">
        <v>0</v>
      </c>
    </row>
    <row r="1519" spans="1:14">
      <c r="A1519">
        <v>102</v>
      </c>
      <c r="B1519">
        <v>15</v>
      </c>
      <c r="C1519" t="s">
        <v>678</v>
      </c>
      <c r="D1519" t="s">
        <v>737</v>
      </c>
      <c r="E1519" t="s">
        <v>678</v>
      </c>
      <c r="F1519">
        <v>0</v>
      </c>
      <c r="G1519" t="s">
        <v>678</v>
      </c>
      <c r="H1519" t="s">
        <v>678</v>
      </c>
      <c r="I1519" t="s">
        <v>678</v>
      </c>
      <c r="J1519" t="s">
        <v>678</v>
      </c>
      <c r="K1519" t="s">
        <v>678</v>
      </c>
      <c r="L1519" t="s">
        <v>678</v>
      </c>
      <c r="M1519" t="s">
        <v>2192</v>
      </c>
      <c r="N1519" t="b">
        <v>0</v>
      </c>
    </row>
    <row r="1520" spans="1:14">
      <c r="A1520">
        <v>102</v>
      </c>
      <c r="B1520">
        <v>16</v>
      </c>
      <c r="C1520" t="s">
        <v>678</v>
      </c>
      <c r="D1520" t="s">
        <v>754</v>
      </c>
      <c r="E1520" t="s">
        <v>678</v>
      </c>
      <c r="F1520">
        <v>0</v>
      </c>
      <c r="G1520" t="s">
        <v>678</v>
      </c>
      <c r="H1520" t="s">
        <v>678</v>
      </c>
      <c r="I1520" t="s">
        <v>678</v>
      </c>
      <c r="J1520" t="s">
        <v>678</v>
      </c>
      <c r="K1520" t="s">
        <v>678</v>
      </c>
      <c r="L1520" t="s">
        <v>678</v>
      </c>
      <c r="M1520" t="s">
        <v>2193</v>
      </c>
      <c r="N1520" t="b">
        <v>0</v>
      </c>
    </row>
    <row r="1521" spans="1:14">
      <c r="A1521">
        <v>102</v>
      </c>
      <c r="B1521">
        <v>17</v>
      </c>
      <c r="C1521" t="s">
        <v>678</v>
      </c>
      <c r="D1521" t="s">
        <v>754</v>
      </c>
      <c r="E1521" t="s">
        <v>678</v>
      </c>
      <c r="F1521">
        <v>0</v>
      </c>
      <c r="G1521" t="s">
        <v>678</v>
      </c>
      <c r="H1521" t="s">
        <v>678</v>
      </c>
      <c r="I1521" t="s">
        <v>678</v>
      </c>
      <c r="J1521" t="s">
        <v>678</v>
      </c>
      <c r="K1521" t="s">
        <v>678</v>
      </c>
      <c r="L1521" t="s">
        <v>678</v>
      </c>
      <c r="M1521" t="s">
        <v>2194</v>
      </c>
      <c r="N1521" t="b">
        <v>0</v>
      </c>
    </row>
    <row r="1522" spans="1:14">
      <c r="A1522">
        <v>102</v>
      </c>
      <c r="B1522">
        <v>18</v>
      </c>
      <c r="C1522" t="s">
        <v>678</v>
      </c>
      <c r="D1522" t="s">
        <v>754</v>
      </c>
      <c r="E1522" t="s">
        <v>678</v>
      </c>
      <c r="F1522">
        <v>0</v>
      </c>
      <c r="G1522" t="s">
        <v>678</v>
      </c>
      <c r="H1522" t="s">
        <v>678</v>
      </c>
      <c r="I1522" t="s">
        <v>678</v>
      </c>
      <c r="J1522" t="s">
        <v>678</v>
      </c>
      <c r="K1522" t="s">
        <v>678</v>
      </c>
      <c r="L1522" t="s">
        <v>678</v>
      </c>
      <c r="M1522" t="s">
        <v>2195</v>
      </c>
      <c r="N1522" t="b">
        <v>0</v>
      </c>
    </row>
    <row r="1523" spans="1:14">
      <c r="A1523">
        <v>102</v>
      </c>
      <c r="B1523">
        <v>19</v>
      </c>
      <c r="C1523" t="s">
        <v>678</v>
      </c>
      <c r="D1523" t="s">
        <v>754</v>
      </c>
      <c r="E1523" t="s">
        <v>678</v>
      </c>
      <c r="F1523">
        <v>0</v>
      </c>
      <c r="G1523" t="s">
        <v>678</v>
      </c>
      <c r="H1523" t="s">
        <v>678</v>
      </c>
      <c r="I1523" t="s">
        <v>678</v>
      </c>
      <c r="J1523" t="s">
        <v>678</v>
      </c>
      <c r="K1523" t="s">
        <v>678</v>
      </c>
      <c r="L1523" t="s">
        <v>678</v>
      </c>
      <c r="M1523" t="s">
        <v>2196</v>
      </c>
      <c r="N1523" t="b">
        <v>0</v>
      </c>
    </row>
    <row r="1524" spans="1:14">
      <c r="A1524">
        <v>102</v>
      </c>
      <c r="B1524">
        <v>20</v>
      </c>
      <c r="C1524" t="s">
        <v>678</v>
      </c>
      <c r="D1524" t="s">
        <v>754</v>
      </c>
      <c r="E1524" t="s">
        <v>678</v>
      </c>
      <c r="F1524">
        <v>0</v>
      </c>
      <c r="G1524" t="s">
        <v>678</v>
      </c>
      <c r="H1524" t="s">
        <v>678</v>
      </c>
      <c r="I1524" t="s">
        <v>678</v>
      </c>
      <c r="J1524" t="s">
        <v>678</v>
      </c>
      <c r="K1524" t="s">
        <v>678</v>
      </c>
      <c r="L1524" t="s">
        <v>678</v>
      </c>
      <c r="M1524" t="s">
        <v>2197</v>
      </c>
      <c r="N1524" t="b">
        <v>0</v>
      </c>
    </row>
    <row r="1525" spans="1:14">
      <c r="A1525">
        <v>102</v>
      </c>
      <c r="B1525">
        <v>21</v>
      </c>
      <c r="C1525" t="s">
        <v>678</v>
      </c>
      <c r="D1525" t="s">
        <v>754</v>
      </c>
      <c r="E1525" t="s">
        <v>678</v>
      </c>
      <c r="F1525">
        <v>0</v>
      </c>
      <c r="G1525" t="s">
        <v>678</v>
      </c>
      <c r="H1525" t="s">
        <v>678</v>
      </c>
      <c r="I1525" t="s">
        <v>678</v>
      </c>
      <c r="J1525" t="s">
        <v>678</v>
      </c>
      <c r="K1525" t="s">
        <v>678</v>
      </c>
      <c r="L1525" t="s">
        <v>678</v>
      </c>
      <c r="M1525" t="s">
        <v>2198</v>
      </c>
      <c r="N1525" t="b">
        <v>0</v>
      </c>
    </row>
    <row r="1526" spans="1:14">
      <c r="A1526">
        <v>102</v>
      </c>
      <c r="B1526">
        <v>22</v>
      </c>
      <c r="C1526" t="s">
        <v>678</v>
      </c>
      <c r="D1526" t="s">
        <v>754</v>
      </c>
      <c r="E1526" t="s">
        <v>678</v>
      </c>
      <c r="F1526">
        <v>0</v>
      </c>
      <c r="G1526" t="s">
        <v>678</v>
      </c>
      <c r="H1526" t="s">
        <v>678</v>
      </c>
      <c r="I1526" t="s">
        <v>678</v>
      </c>
      <c r="J1526" t="s">
        <v>678</v>
      </c>
      <c r="K1526" t="s">
        <v>678</v>
      </c>
      <c r="L1526" t="s">
        <v>678</v>
      </c>
      <c r="M1526" t="s">
        <v>2199</v>
      </c>
      <c r="N1526" t="b">
        <v>0</v>
      </c>
    </row>
    <row r="1527" spans="1:14">
      <c r="A1527">
        <v>102</v>
      </c>
      <c r="B1527">
        <v>23</v>
      </c>
      <c r="C1527" t="s">
        <v>678</v>
      </c>
      <c r="D1527" t="s">
        <v>754</v>
      </c>
      <c r="E1527" t="s">
        <v>678</v>
      </c>
      <c r="F1527">
        <v>0</v>
      </c>
      <c r="G1527" t="s">
        <v>678</v>
      </c>
      <c r="H1527" t="s">
        <v>678</v>
      </c>
      <c r="I1527" t="s">
        <v>678</v>
      </c>
      <c r="J1527" t="s">
        <v>678</v>
      </c>
      <c r="K1527" t="s">
        <v>678</v>
      </c>
      <c r="L1527" t="s">
        <v>678</v>
      </c>
      <c r="M1527" t="s">
        <v>2200</v>
      </c>
      <c r="N1527" t="b">
        <v>0</v>
      </c>
    </row>
    <row r="1528" spans="1:14">
      <c r="A1528">
        <v>102</v>
      </c>
      <c r="B1528">
        <v>24</v>
      </c>
      <c r="C1528" t="s">
        <v>678</v>
      </c>
      <c r="D1528" t="s">
        <v>754</v>
      </c>
      <c r="E1528" t="s">
        <v>678</v>
      </c>
      <c r="F1528">
        <v>0</v>
      </c>
      <c r="G1528" t="s">
        <v>678</v>
      </c>
      <c r="H1528" t="s">
        <v>678</v>
      </c>
      <c r="I1528" t="s">
        <v>678</v>
      </c>
      <c r="J1528" t="s">
        <v>678</v>
      </c>
      <c r="K1528" t="s">
        <v>678</v>
      </c>
      <c r="L1528" t="s">
        <v>678</v>
      </c>
      <c r="M1528" t="s">
        <v>2201</v>
      </c>
      <c r="N1528" t="b">
        <v>0</v>
      </c>
    </row>
    <row r="1529" spans="1:14">
      <c r="A1529">
        <v>102</v>
      </c>
      <c r="B1529">
        <v>25</v>
      </c>
      <c r="C1529" t="s">
        <v>678</v>
      </c>
      <c r="D1529" t="s">
        <v>754</v>
      </c>
      <c r="E1529" t="s">
        <v>678</v>
      </c>
      <c r="F1529">
        <v>0</v>
      </c>
      <c r="G1529" t="s">
        <v>678</v>
      </c>
      <c r="H1529" t="s">
        <v>678</v>
      </c>
      <c r="I1529" t="s">
        <v>678</v>
      </c>
      <c r="J1529" t="s">
        <v>678</v>
      </c>
      <c r="K1529" t="s">
        <v>678</v>
      </c>
      <c r="L1529" t="s">
        <v>678</v>
      </c>
      <c r="M1529" t="s">
        <v>2202</v>
      </c>
      <c r="N1529" t="b">
        <v>0</v>
      </c>
    </row>
    <row r="1530" spans="1:14">
      <c r="A1530">
        <v>102</v>
      </c>
      <c r="B1530">
        <v>26</v>
      </c>
      <c r="C1530" t="s">
        <v>678</v>
      </c>
      <c r="D1530" t="s">
        <v>754</v>
      </c>
      <c r="E1530" t="s">
        <v>678</v>
      </c>
      <c r="F1530">
        <v>0</v>
      </c>
      <c r="G1530" t="s">
        <v>678</v>
      </c>
      <c r="H1530" t="s">
        <v>678</v>
      </c>
      <c r="I1530" t="s">
        <v>678</v>
      </c>
      <c r="J1530" t="s">
        <v>678</v>
      </c>
      <c r="K1530" t="s">
        <v>678</v>
      </c>
      <c r="L1530" t="s">
        <v>678</v>
      </c>
      <c r="M1530" t="s">
        <v>2203</v>
      </c>
      <c r="N1530" t="b">
        <v>0</v>
      </c>
    </row>
    <row r="1531" spans="1:14">
      <c r="A1531">
        <v>103</v>
      </c>
      <c r="B1531">
        <v>0</v>
      </c>
      <c r="C1531" t="s">
        <v>195</v>
      </c>
      <c r="D1531" t="s">
        <v>737</v>
      </c>
      <c r="E1531" t="s">
        <v>67</v>
      </c>
      <c r="F1531">
        <v>50</v>
      </c>
      <c r="G1531" t="s">
        <v>678</v>
      </c>
      <c r="H1531" t="s">
        <v>678</v>
      </c>
      <c r="I1531" t="s">
        <v>67</v>
      </c>
      <c r="J1531" t="s">
        <v>678</v>
      </c>
      <c r="K1531" t="s">
        <v>678</v>
      </c>
      <c r="L1531" t="s">
        <v>678</v>
      </c>
      <c r="M1531" t="s">
        <v>2204</v>
      </c>
      <c r="N1531" t="b">
        <v>0</v>
      </c>
    </row>
    <row r="1532" spans="1:14">
      <c r="A1532">
        <v>103</v>
      </c>
      <c r="B1532">
        <v>1</v>
      </c>
      <c r="C1532" t="s">
        <v>340</v>
      </c>
      <c r="D1532" t="s">
        <v>737</v>
      </c>
      <c r="E1532" t="s">
        <v>79</v>
      </c>
      <c r="F1532">
        <v>40</v>
      </c>
      <c r="G1532" t="s">
        <v>678</v>
      </c>
      <c r="H1532" t="s">
        <v>678</v>
      </c>
      <c r="I1532" t="s">
        <v>79</v>
      </c>
      <c r="J1532" t="s">
        <v>678</v>
      </c>
      <c r="K1532" t="s">
        <v>678</v>
      </c>
      <c r="L1532" t="s">
        <v>678</v>
      </c>
      <c r="M1532" t="s">
        <v>2205</v>
      </c>
      <c r="N1532" t="b">
        <v>0</v>
      </c>
    </row>
    <row r="1533" spans="1:14">
      <c r="A1533">
        <v>103</v>
      </c>
      <c r="B1533">
        <v>2</v>
      </c>
      <c r="C1533" t="s">
        <v>167</v>
      </c>
      <c r="D1533" t="s">
        <v>737</v>
      </c>
      <c r="E1533" t="s">
        <v>85</v>
      </c>
      <c r="F1533">
        <v>40</v>
      </c>
      <c r="G1533" t="s">
        <v>678</v>
      </c>
      <c r="H1533" t="s">
        <v>678</v>
      </c>
      <c r="I1533" t="s">
        <v>85</v>
      </c>
      <c r="J1533" t="s">
        <v>678</v>
      </c>
      <c r="K1533" t="s">
        <v>678</v>
      </c>
      <c r="L1533" t="s">
        <v>678</v>
      </c>
      <c r="M1533" t="s">
        <v>2206</v>
      </c>
      <c r="N1533" t="b">
        <v>0</v>
      </c>
    </row>
    <row r="1534" spans="1:14">
      <c r="A1534">
        <v>103</v>
      </c>
      <c r="B1534">
        <v>3</v>
      </c>
      <c r="C1534" t="s">
        <v>196</v>
      </c>
      <c r="D1534" t="s">
        <v>737</v>
      </c>
      <c r="E1534" t="s">
        <v>97</v>
      </c>
      <c r="F1534">
        <v>50</v>
      </c>
      <c r="G1534" t="s">
        <v>678</v>
      </c>
      <c r="H1534" t="s">
        <v>678</v>
      </c>
      <c r="I1534" t="s">
        <v>97</v>
      </c>
      <c r="J1534" t="s">
        <v>678</v>
      </c>
      <c r="K1534" t="s">
        <v>678</v>
      </c>
      <c r="L1534" t="s">
        <v>678</v>
      </c>
      <c r="M1534" t="s">
        <v>2207</v>
      </c>
      <c r="N1534" t="b">
        <v>0</v>
      </c>
    </row>
    <row r="1535" spans="1:14">
      <c r="A1535">
        <v>103</v>
      </c>
      <c r="B1535">
        <v>4</v>
      </c>
      <c r="C1535" t="s">
        <v>197</v>
      </c>
      <c r="D1535" t="s">
        <v>737</v>
      </c>
      <c r="E1535" t="s">
        <v>103</v>
      </c>
      <c r="F1535">
        <v>50</v>
      </c>
      <c r="G1535" t="s">
        <v>678</v>
      </c>
      <c r="H1535" t="s">
        <v>678</v>
      </c>
      <c r="I1535" t="s">
        <v>103</v>
      </c>
      <c r="J1535" t="s">
        <v>678</v>
      </c>
      <c r="K1535" t="s">
        <v>678</v>
      </c>
      <c r="L1535" t="s">
        <v>678</v>
      </c>
      <c r="M1535" t="s">
        <v>2208</v>
      </c>
      <c r="N1535" t="b">
        <v>0</v>
      </c>
    </row>
    <row r="1536" spans="1:14">
      <c r="A1536">
        <v>103</v>
      </c>
      <c r="B1536">
        <v>5</v>
      </c>
      <c r="C1536" t="s">
        <v>198</v>
      </c>
      <c r="D1536" t="s">
        <v>737</v>
      </c>
      <c r="E1536" t="s">
        <v>105</v>
      </c>
      <c r="F1536">
        <v>50</v>
      </c>
      <c r="G1536" t="s">
        <v>678</v>
      </c>
      <c r="H1536" t="s">
        <v>678</v>
      </c>
      <c r="I1536" t="s">
        <v>105</v>
      </c>
      <c r="J1536" t="s">
        <v>678</v>
      </c>
      <c r="K1536" t="s">
        <v>678</v>
      </c>
      <c r="L1536" t="s">
        <v>678</v>
      </c>
      <c r="M1536" t="s">
        <v>2209</v>
      </c>
      <c r="N1536" t="b">
        <v>0</v>
      </c>
    </row>
    <row r="1537" spans="1:14">
      <c r="A1537">
        <v>103</v>
      </c>
      <c r="B1537">
        <v>6</v>
      </c>
      <c r="C1537" t="s">
        <v>447</v>
      </c>
      <c r="D1537" t="s">
        <v>737</v>
      </c>
      <c r="E1537" t="s">
        <v>308</v>
      </c>
      <c r="F1537">
        <v>50</v>
      </c>
      <c r="G1537" t="s">
        <v>678</v>
      </c>
      <c r="H1537" t="s">
        <v>1909</v>
      </c>
      <c r="I1537" t="s">
        <v>1910</v>
      </c>
      <c r="J1537" t="s">
        <v>678</v>
      </c>
      <c r="K1537" t="s">
        <v>775</v>
      </c>
      <c r="L1537" t="s">
        <v>776</v>
      </c>
      <c r="M1537" t="s">
        <v>2210</v>
      </c>
      <c r="N1537" t="b">
        <v>0</v>
      </c>
    </row>
    <row r="1538" spans="1:14">
      <c r="A1538">
        <v>103</v>
      </c>
      <c r="B1538">
        <v>7</v>
      </c>
      <c r="C1538" t="s">
        <v>199</v>
      </c>
      <c r="D1538" t="s">
        <v>737</v>
      </c>
      <c r="E1538" t="s">
        <v>113</v>
      </c>
      <c r="F1538">
        <v>30</v>
      </c>
      <c r="G1538" t="s">
        <v>678</v>
      </c>
      <c r="H1538" t="s">
        <v>678</v>
      </c>
      <c r="I1538" t="s">
        <v>113</v>
      </c>
      <c r="J1538" t="s">
        <v>678</v>
      </c>
      <c r="K1538" t="s">
        <v>678</v>
      </c>
      <c r="L1538" t="s">
        <v>678</v>
      </c>
      <c r="M1538" t="s">
        <v>2211</v>
      </c>
      <c r="N1538" t="b">
        <v>0</v>
      </c>
    </row>
    <row r="1539" spans="1:14">
      <c r="A1539">
        <v>103</v>
      </c>
      <c r="B1539">
        <v>8</v>
      </c>
      <c r="C1539" t="s">
        <v>207</v>
      </c>
      <c r="D1539" t="s">
        <v>737</v>
      </c>
      <c r="E1539" t="s">
        <v>117</v>
      </c>
      <c r="F1539">
        <v>50</v>
      </c>
      <c r="G1539" t="s">
        <v>678</v>
      </c>
      <c r="H1539" t="s">
        <v>678</v>
      </c>
      <c r="I1539" t="s">
        <v>117</v>
      </c>
      <c r="J1539" t="s">
        <v>678</v>
      </c>
      <c r="K1539" t="s">
        <v>678</v>
      </c>
      <c r="L1539" t="s">
        <v>678</v>
      </c>
      <c r="M1539" t="s">
        <v>2212</v>
      </c>
      <c r="N1539" t="b">
        <v>0</v>
      </c>
    </row>
    <row r="1540" spans="1:14">
      <c r="A1540">
        <v>103</v>
      </c>
      <c r="B1540">
        <v>9</v>
      </c>
      <c r="C1540" t="s">
        <v>200</v>
      </c>
      <c r="D1540" t="s">
        <v>737</v>
      </c>
      <c r="E1540" t="s">
        <v>119</v>
      </c>
      <c r="F1540">
        <v>60</v>
      </c>
      <c r="G1540" t="s">
        <v>678</v>
      </c>
      <c r="H1540" t="s">
        <v>678</v>
      </c>
      <c r="I1540" t="s">
        <v>119</v>
      </c>
      <c r="J1540" t="s">
        <v>678</v>
      </c>
      <c r="K1540" t="s">
        <v>678</v>
      </c>
      <c r="L1540" t="s">
        <v>678</v>
      </c>
      <c r="M1540" t="s">
        <v>2213</v>
      </c>
      <c r="N1540" t="b">
        <v>0</v>
      </c>
    </row>
    <row r="1541" spans="1:14">
      <c r="A1541">
        <v>103</v>
      </c>
      <c r="B1541">
        <v>10</v>
      </c>
      <c r="C1541" t="s">
        <v>201</v>
      </c>
      <c r="D1541" t="s">
        <v>737</v>
      </c>
      <c r="E1541" t="s">
        <v>64</v>
      </c>
      <c r="F1541">
        <v>30</v>
      </c>
      <c r="G1541" t="s">
        <v>678</v>
      </c>
      <c r="H1541" t="s">
        <v>678</v>
      </c>
      <c r="I1541" t="s">
        <v>64</v>
      </c>
      <c r="J1541" t="s">
        <v>678</v>
      </c>
      <c r="K1541" t="s">
        <v>678</v>
      </c>
      <c r="L1541" t="s">
        <v>678</v>
      </c>
      <c r="M1541" t="s">
        <v>2214</v>
      </c>
      <c r="N1541" t="b">
        <v>0</v>
      </c>
    </row>
    <row r="1542" spans="1:14">
      <c r="A1542">
        <v>103</v>
      </c>
      <c r="B1542">
        <v>11</v>
      </c>
      <c r="C1542" t="s">
        <v>202</v>
      </c>
      <c r="D1542" t="s">
        <v>737</v>
      </c>
      <c r="E1542" t="s">
        <v>80</v>
      </c>
      <c r="F1542">
        <v>50</v>
      </c>
      <c r="G1542" t="s">
        <v>678</v>
      </c>
      <c r="H1542" t="s">
        <v>678</v>
      </c>
      <c r="I1542" t="s">
        <v>80</v>
      </c>
      <c r="J1542" t="s">
        <v>678</v>
      </c>
      <c r="K1542" t="s">
        <v>678</v>
      </c>
      <c r="L1542" t="s">
        <v>678</v>
      </c>
      <c r="M1542" t="s">
        <v>2215</v>
      </c>
      <c r="N1542" t="b">
        <v>0</v>
      </c>
    </row>
    <row r="1543" spans="1:14">
      <c r="A1543">
        <v>103</v>
      </c>
      <c r="B1543">
        <v>12</v>
      </c>
      <c r="C1543" t="s">
        <v>203</v>
      </c>
      <c r="D1543" t="s">
        <v>737</v>
      </c>
      <c r="E1543" t="s">
        <v>102</v>
      </c>
      <c r="F1543">
        <v>50</v>
      </c>
      <c r="G1543" t="s">
        <v>678</v>
      </c>
      <c r="H1543" t="s">
        <v>678</v>
      </c>
      <c r="I1543" t="s">
        <v>102</v>
      </c>
      <c r="J1543" t="s">
        <v>678</v>
      </c>
      <c r="K1543" t="s">
        <v>678</v>
      </c>
      <c r="L1543" t="s">
        <v>678</v>
      </c>
      <c r="M1543" t="s">
        <v>2216</v>
      </c>
      <c r="N1543" t="b">
        <v>0</v>
      </c>
    </row>
    <row r="1544" spans="1:14">
      <c r="A1544">
        <v>103</v>
      </c>
      <c r="B1544">
        <v>13</v>
      </c>
      <c r="C1544" t="s">
        <v>302</v>
      </c>
      <c r="D1544" t="s">
        <v>737</v>
      </c>
      <c r="E1544" t="s">
        <v>111</v>
      </c>
      <c r="F1544">
        <v>60</v>
      </c>
      <c r="G1544" t="s">
        <v>678</v>
      </c>
      <c r="H1544" t="s">
        <v>678</v>
      </c>
      <c r="I1544" t="s">
        <v>111</v>
      </c>
      <c r="J1544" t="s">
        <v>678</v>
      </c>
      <c r="K1544" t="s">
        <v>678</v>
      </c>
      <c r="L1544" t="s">
        <v>678</v>
      </c>
      <c r="M1544" t="s">
        <v>2217</v>
      </c>
      <c r="N1544" t="b">
        <v>0</v>
      </c>
    </row>
    <row r="1545" spans="1:14">
      <c r="A1545">
        <v>103</v>
      </c>
      <c r="B1545">
        <v>14</v>
      </c>
      <c r="C1545" t="s">
        <v>204</v>
      </c>
      <c r="D1545" t="s">
        <v>737</v>
      </c>
      <c r="E1545" t="s">
        <v>112</v>
      </c>
      <c r="F1545">
        <v>60</v>
      </c>
      <c r="G1545" t="s">
        <v>678</v>
      </c>
      <c r="H1545" t="s">
        <v>678</v>
      </c>
      <c r="I1545" t="s">
        <v>112</v>
      </c>
      <c r="J1545" t="s">
        <v>678</v>
      </c>
      <c r="K1545" t="s">
        <v>678</v>
      </c>
      <c r="L1545" t="s">
        <v>678</v>
      </c>
      <c r="M1545" t="s">
        <v>2218</v>
      </c>
      <c r="N1545" t="b">
        <v>0</v>
      </c>
    </row>
    <row r="1546" spans="1:14">
      <c r="A1546">
        <v>103</v>
      </c>
      <c r="B1546">
        <v>15</v>
      </c>
      <c r="C1546" t="s">
        <v>678</v>
      </c>
      <c r="D1546" t="s">
        <v>737</v>
      </c>
      <c r="E1546" t="s">
        <v>678</v>
      </c>
      <c r="F1546">
        <v>0</v>
      </c>
      <c r="G1546" t="s">
        <v>678</v>
      </c>
      <c r="H1546" t="s">
        <v>678</v>
      </c>
      <c r="I1546" t="s">
        <v>678</v>
      </c>
      <c r="J1546" t="s">
        <v>678</v>
      </c>
      <c r="K1546" t="s">
        <v>678</v>
      </c>
      <c r="L1546" t="s">
        <v>678</v>
      </c>
      <c r="M1546" t="s">
        <v>2219</v>
      </c>
      <c r="N1546" t="b">
        <v>0</v>
      </c>
    </row>
    <row r="1547" spans="1:14">
      <c r="A1547">
        <v>103</v>
      </c>
      <c r="B1547">
        <v>16</v>
      </c>
      <c r="C1547" t="s">
        <v>678</v>
      </c>
      <c r="D1547" t="s">
        <v>754</v>
      </c>
      <c r="E1547" t="s">
        <v>678</v>
      </c>
      <c r="F1547">
        <v>0</v>
      </c>
      <c r="G1547" t="s">
        <v>678</v>
      </c>
      <c r="H1547" t="s">
        <v>678</v>
      </c>
      <c r="I1547" t="s">
        <v>678</v>
      </c>
      <c r="J1547" t="s">
        <v>678</v>
      </c>
      <c r="K1547" t="s">
        <v>678</v>
      </c>
      <c r="L1547" t="s">
        <v>678</v>
      </c>
      <c r="M1547" t="s">
        <v>2220</v>
      </c>
      <c r="N1547" t="b">
        <v>0</v>
      </c>
    </row>
    <row r="1548" spans="1:14">
      <c r="A1548">
        <v>103</v>
      </c>
      <c r="B1548">
        <v>17</v>
      </c>
      <c r="C1548" t="s">
        <v>678</v>
      </c>
      <c r="D1548" t="s">
        <v>754</v>
      </c>
      <c r="E1548" t="s">
        <v>678</v>
      </c>
      <c r="F1548">
        <v>0</v>
      </c>
      <c r="G1548" t="s">
        <v>678</v>
      </c>
      <c r="H1548" t="s">
        <v>678</v>
      </c>
      <c r="I1548" t="s">
        <v>678</v>
      </c>
      <c r="J1548" t="s">
        <v>678</v>
      </c>
      <c r="K1548" t="s">
        <v>678</v>
      </c>
      <c r="L1548" t="s">
        <v>678</v>
      </c>
      <c r="M1548" t="s">
        <v>2221</v>
      </c>
      <c r="N1548" t="b">
        <v>0</v>
      </c>
    </row>
    <row r="1549" spans="1:14">
      <c r="A1549">
        <v>103</v>
      </c>
      <c r="B1549">
        <v>18</v>
      </c>
      <c r="C1549" t="s">
        <v>678</v>
      </c>
      <c r="D1549" t="s">
        <v>754</v>
      </c>
      <c r="E1549" t="s">
        <v>678</v>
      </c>
      <c r="F1549">
        <v>0</v>
      </c>
      <c r="G1549" t="s">
        <v>678</v>
      </c>
      <c r="H1549" t="s">
        <v>678</v>
      </c>
      <c r="I1549" t="s">
        <v>678</v>
      </c>
      <c r="J1549" t="s">
        <v>678</v>
      </c>
      <c r="K1549" t="s">
        <v>678</v>
      </c>
      <c r="L1549" t="s">
        <v>678</v>
      </c>
      <c r="M1549" t="s">
        <v>2222</v>
      </c>
      <c r="N1549" t="b">
        <v>0</v>
      </c>
    </row>
    <row r="1550" spans="1:14">
      <c r="A1550">
        <v>103</v>
      </c>
      <c r="B1550">
        <v>19</v>
      </c>
      <c r="C1550" t="s">
        <v>678</v>
      </c>
      <c r="D1550" t="s">
        <v>754</v>
      </c>
      <c r="E1550" t="s">
        <v>678</v>
      </c>
      <c r="F1550">
        <v>0</v>
      </c>
      <c r="G1550" t="s">
        <v>678</v>
      </c>
      <c r="H1550" t="s">
        <v>678</v>
      </c>
      <c r="I1550" t="s">
        <v>678</v>
      </c>
      <c r="J1550" t="s">
        <v>678</v>
      </c>
      <c r="K1550" t="s">
        <v>678</v>
      </c>
      <c r="L1550" t="s">
        <v>678</v>
      </c>
      <c r="M1550" t="s">
        <v>2223</v>
      </c>
      <c r="N1550" t="b">
        <v>0</v>
      </c>
    </row>
    <row r="1551" spans="1:14">
      <c r="A1551">
        <v>103</v>
      </c>
      <c r="B1551">
        <v>20</v>
      </c>
      <c r="C1551" t="s">
        <v>678</v>
      </c>
      <c r="D1551" t="s">
        <v>754</v>
      </c>
      <c r="E1551" t="s">
        <v>678</v>
      </c>
      <c r="F1551">
        <v>0</v>
      </c>
      <c r="G1551" t="s">
        <v>678</v>
      </c>
      <c r="H1551" t="s">
        <v>678</v>
      </c>
      <c r="I1551" t="s">
        <v>678</v>
      </c>
      <c r="J1551" t="s">
        <v>678</v>
      </c>
      <c r="K1551" t="s">
        <v>678</v>
      </c>
      <c r="L1551" t="s">
        <v>678</v>
      </c>
      <c r="M1551" t="s">
        <v>2224</v>
      </c>
      <c r="N1551" t="b">
        <v>0</v>
      </c>
    </row>
    <row r="1552" spans="1:14">
      <c r="A1552">
        <v>103</v>
      </c>
      <c r="B1552">
        <v>21</v>
      </c>
      <c r="C1552" t="s">
        <v>678</v>
      </c>
      <c r="D1552" t="s">
        <v>754</v>
      </c>
      <c r="E1552" t="s">
        <v>678</v>
      </c>
      <c r="F1552">
        <v>0</v>
      </c>
      <c r="G1552" t="s">
        <v>678</v>
      </c>
      <c r="H1552" t="s">
        <v>678</v>
      </c>
      <c r="I1552" t="s">
        <v>678</v>
      </c>
      <c r="J1552" t="s">
        <v>678</v>
      </c>
      <c r="K1552" t="s">
        <v>678</v>
      </c>
      <c r="L1552" t="s">
        <v>678</v>
      </c>
      <c r="M1552" t="s">
        <v>2225</v>
      </c>
      <c r="N1552" t="b">
        <v>0</v>
      </c>
    </row>
    <row r="1553" spans="1:14">
      <c r="A1553">
        <v>103</v>
      </c>
      <c r="B1553">
        <v>22</v>
      </c>
      <c r="C1553" t="s">
        <v>678</v>
      </c>
      <c r="D1553" t="s">
        <v>754</v>
      </c>
      <c r="E1553" t="s">
        <v>678</v>
      </c>
      <c r="F1553">
        <v>0</v>
      </c>
      <c r="G1553" t="s">
        <v>678</v>
      </c>
      <c r="H1553" t="s">
        <v>678</v>
      </c>
      <c r="I1553" t="s">
        <v>678</v>
      </c>
      <c r="J1553" t="s">
        <v>678</v>
      </c>
      <c r="K1553" t="s">
        <v>678</v>
      </c>
      <c r="L1553" t="s">
        <v>678</v>
      </c>
      <c r="M1553" t="s">
        <v>2226</v>
      </c>
      <c r="N1553" t="b">
        <v>0</v>
      </c>
    </row>
    <row r="1554" spans="1:14">
      <c r="A1554">
        <v>103</v>
      </c>
      <c r="B1554">
        <v>23</v>
      </c>
      <c r="C1554" t="s">
        <v>678</v>
      </c>
      <c r="D1554" t="s">
        <v>754</v>
      </c>
      <c r="E1554" t="s">
        <v>678</v>
      </c>
      <c r="F1554">
        <v>0</v>
      </c>
      <c r="G1554" t="s">
        <v>678</v>
      </c>
      <c r="H1554" t="s">
        <v>678</v>
      </c>
      <c r="I1554" t="s">
        <v>678</v>
      </c>
      <c r="J1554" t="s">
        <v>678</v>
      </c>
      <c r="K1554" t="s">
        <v>678</v>
      </c>
      <c r="L1554" t="s">
        <v>678</v>
      </c>
      <c r="M1554" t="s">
        <v>2227</v>
      </c>
      <c r="N1554" t="b">
        <v>0</v>
      </c>
    </row>
    <row r="1555" spans="1:14">
      <c r="A1555">
        <v>103</v>
      </c>
      <c r="B1555">
        <v>24</v>
      </c>
      <c r="C1555" t="s">
        <v>678</v>
      </c>
      <c r="D1555" t="s">
        <v>754</v>
      </c>
      <c r="E1555" t="s">
        <v>678</v>
      </c>
      <c r="F1555">
        <v>0</v>
      </c>
      <c r="G1555" t="s">
        <v>678</v>
      </c>
      <c r="H1555" t="s">
        <v>678</v>
      </c>
      <c r="I1555" t="s">
        <v>678</v>
      </c>
      <c r="J1555" t="s">
        <v>678</v>
      </c>
      <c r="K1555" t="s">
        <v>678</v>
      </c>
      <c r="L1555" t="s">
        <v>678</v>
      </c>
      <c r="M1555" t="s">
        <v>2228</v>
      </c>
      <c r="N1555" t="b">
        <v>0</v>
      </c>
    </row>
    <row r="1556" spans="1:14">
      <c r="A1556">
        <v>103</v>
      </c>
      <c r="B1556">
        <v>25</v>
      </c>
      <c r="C1556" t="s">
        <v>678</v>
      </c>
      <c r="D1556" t="s">
        <v>754</v>
      </c>
      <c r="E1556" t="s">
        <v>678</v>
      </c>
      <c r="F1556">
        <v>0</v>
      </c>
      <c r="G1556" t="s">
        <v>678</v>
      </c>
      <c r="H1556" t="s">
        <v>678</v>
      </c>
      <c r="I1556" t="s">
        <v>678</v>
      </c>
      <c r="J1556" t="s">
        <v>678</v>
      </c>
      <c r="K1556" t="s">
        <v>678</v>
      </c>
      <c r="L1556" t="s">
        <v>678</v>
      </c>
      <c r="M1556" t="s">
        <v>2229</v>
      </c>
      <c r="N1556" t="b">
        <v>0</v>
      </c>
    </row>
    <row r="1557" spans="1:14">
      <c r="A1557">
        <v>103</v>
      </c>
      <c r="B1557">
        <v>26</v>
      </c>
      <c r="C1557" t="s">
        <v>678</v>
      </c>
      <c r="D1557" t="s">
        <v>754</v>
      </c>
      <c r="E1557" t="s">
        <v>678</v>
      </c>
      <c r="F1557">
        <v>0</v>
      </c>
      <c r="G1557" t="s">
        <v>678</v>
      </c>
      <c r="H1557" t="s">
        <v>678</v>
      </c>
      <c r="I1557" t="s">
        <v>678</v>
      </c>
      <c r="J1557" t="s">
        <v>678</v>
      </c>
      <c r="K1557" t="s">
        <v>678</v>
      </c>
      <c r="L1557" t="s">
        <v>678</v>
      </c>
      <c r="M1557" t="s">
        <v>2230</v>
      </c>
      <c r="N1557" t="b">
        <v>0</v>
      </c>
    </row>
    <row r="1558" spans="1:14">
      <c r="A1558">
        <v>104</v>
      </c>
      <c r="B1558">
        <v>0</v>
      </c>
      <c r="C1558" t="s">
        <v>226</v>
      </c>
      <c r="D1558" t="s">
        <v>737</v>
      </c>
      <c r="E1558" t="s">
        <v>67</v>
      </c>
      <c r="F1558">
        <v>60</v>
      </c>
      <c r="G1558" t="s">
        <v>678</v>
      </c>
      <c r="H1558" t="s">
        <v>678</v>
      </c>
      <c r="I1558" t="s">
        <v>67</v>
      </c>
      <c r="J1558" t="s">
        <v>678</v>
      </c>
      <c r="K1558" t="s">
        <v>678</v>
      </c>
      <c r="L1558" t="s">
        <v>678</v>
      </c>
      <c r="M1558" t="s">
        <v>2231</v>
      </c>
      <c r="N1558" t="b">
        <v>0</v>
      </c>
    </row>
    <row r="1559" spans="1:14">
      <c r="A1559">
        <v>104</v>
      </c>
      <c r="B1559">
        <v>1</v>
      </c>
      <c r="C1559" t="s">
        <v>236</v>
      </c>
      <c r="D1559" t="s">
        <v>737</v>
      </c>
      <c r="E1559" t="s">
        <v>79</v>
      </c>
      <c r="F1559">
        <v>50</v>
      </c>
      <c r="G1559" t="s">
        <v>678</v>
      </c>
      <c r="H1559" t="s">
        <v>678</v>
      </c>
      <c r="I1559" t="s">
        <v>79</v>
      </c>
      <c r="J1559" t="s">
        <v>678</v>
      </c>
      <c r="K1559" t="s">
        <v>678</v>
      </c>
      <c r="L1559" t="s">
        <v>678</v>
      </c>
      <c r="M1559" t="s">
        <v>2232</v>
      </c>
      <c r="N1559" t="b">
        <v>0</v>
      </c>
    </row>
    <row r="1560" spans="1:14">
      <c r="A1560">
        <v>104</v>
      </c>
      <c r="B1560">
        <v>2</v>
      </c>
      <c r="C1560" t="s">
        <v>278</v>
      </c>
      <c r="D1560" t="s">
        <v>737</v>
      </c>
      <c r="E1560" t="s">
        <v>85</v>
      </c>
      <c r="F1560">
        <v>30</v>
      </c>
      <c r="G1560" t="s">
        <v>678</v>
      </c>
      <c r="H1560" t="s">
        <v>678</v>
      </c>
      <c r="I1560" t="s">
        <v>85</v>
      </c>
      <c r="J1560" t="s">
        <v>678</v>
      </c>
      <c r="K1560" t="s">
        <v>678</v>
      </c>
      <c r="L1560" t="s">
        <v>678</v>
      </c>
      <c r="M1560" t="s">
        <v>2233</v>
      </c>
      <c r="N1560" t="b">
        <v>0</v>
      </c>
    </row>
    <row r="1561" spans="1:14">
      <c r="A1561">
        <v>104</v>
      </c>
      <c r="B1561">
        <v>3</v>
      </c>
      <c r="C1561" t="s">
        <v>249</v>
      </c>
      <c r="D1561" t="s">
        <v>737</v>
      </c>
      <c r="E1561" t="s">
        <v>555</v>
      </c>
      <c r="F1561">
        <v>40</v>
      </c>
      <c r="G1561" t="s">
        <v>678</v>
      </c>
      <c r="H1561" t="s">
        <v>568</v>
      </c>
      <c r="I1561" t="s">
        <v>497</v>
      </c>
      <c r="J1561" t="s">
        <v>678</v>
      </c>
      <c r="K1561" t="s">
        <v>805</v>
      </c>
      <c r="L1561" t="s">
        <v>806</v>
      </c>
      <c r="M1561" t="s">
        <v>2234</v>
      </c>
      <c r="N1561" t="b">
        <v>0</v>
      </c>
    </row>
    <row r="1562" spans="1:14">
      <c r="A1562">
        <v>104</v>
      </c>
      <c r="B1562">
        <v>4</v>
      </c>
      <c r="C1562" t="s">
        <v>258</v>
      </c>
      <c r="D1562" t="s">
        <v>737</v>
      </c>
      <c r="E1562" t="s">
        <v>97</v>
      </c>
      <c r="F1562">
        <v>40</v>
      </c>
      <c r="G1562" t="s">
        <v>678</v>
      </c>
      <c r="H1562" t="s">
        <v>678</v>
      </c>
      <c r="I1562" t="s">
        <v>97</v>
      </c>
      <c r="J1562" t="s">
        <v>678</v>
      </c>
      <c r="K1562" t="s">
        <v>678</v>
      </c>
      <c r="L1562" t="s">
        <v>678</v>
      </c>
      <c r="M1562" t="s">
        <v>2235</v>
      </c>
      <c r="N1562" t="b">
        <v>0</v>
      </c>
    </row>
    <row r="1563" spans="1:14">
      <c r="A1563">
        <v>104</v>
      </c>
      <c r="B1563">
        <v>5</v>
      </c>
      <c r="C1563" t="s">
        <v>239</v>
      </c>
      <c r="D1563" t="s">
        <v>737</v>
      </c>
      <c r="E1563" t="s">
        <v>105</v>
      </c>
      <c r="F1563">
        <v>40</v>
      </c>
      <c r="G1563" t="s">
        <v>678</v>
      </c>
      <c r="H1563" t="s">
        <v>678</v>
      </c>
      <c r="I1563" t="s">
        <v>105</v>
      </c>
      <c r="J1563" t="s">
        <v>678</v>
      </c>
      <c r="K1563" t="s">
        <v>678</v>
      </c>
      <c r="L1563" t="s">
        <v>678</v>
      </c>
      <c r="M1563" t="s">
        <v>2236</v>
      </c>
      <c r="N1563" t="b">
        <v>0</v>
      </c>
    </row>
    <row r="1564" spans="1:14">
      <c r="A1564">
        <v>104</v>
      </c>
      <c r="B1564">
        <v>6</v>
      </c>
      <c r="C1564" t="s">
        <v>207</v>
      </c>
      <c r="D1564" t="s">
        <v>737</v>
      </c>
      <c r="E1564" t="s">
        <v>117</v>
      </c>
      <c r="F1564">
        <v>50</v>
      </c>
      <c r="G1564" t="s">
        <v>678</v>
      </c>
      <c r="H1564" t="s">
        <v>678</v>
      </c>
      <c r="I1564" t="s">
        <v>117</v>
      </c>
      <c r="J1564" t="s">
        <v>678</v>
      </c>
      <c r="K1564" t="s">
        <v>678</v>
      </c>
      <c r="L1564" t="s">
        <v>678</v>
      </c>
      <c r="M1564" t="s">
        <v>2237</v>
      </c>
      <c r="N1564" t="b">
        <v>0</v>
      </c>
    </row>
    <row r="1565" spans="1:14">
      <c r="A1565">
        <v>104</v>
      </c>
      <c r="B1565">
        <v>7</v>
      </c>
      <c r="C1565" t="s">
        <v>191</v>
      </c>
      <c r="D1565" t="s">
        <v>737</v>
      </c>
      <c r="E1565" t="s">
        <v>64</v>
      </c>
      <c r="F1565">
        <v>40</v>
      </c>
      <c r="G1565" t="s">
        <v>678</v>
      </c>
      <c r="H1565" t="s">
        <v>678</v>
      </c>
      <c r="I1565" t="s">
        <v>64</v>
      </c>
      <c r="J1565" t="s">
        <v>678</v>
      </c>
      <c r="K1565" t="s">
        <v>678</v>
      </c>
      <c r="L1565" t="s">
        <v>678</v>
      </c>
      <c r="M1565" t="s">
        <v>2238</v>
      </c>
      <c r="N1565" t="b">
        <v>0</v>
      </c>
    </row>
    <row r="1566" spans="1:14">
      <c r="A1566">
        <v>104</v>
      </c>
      <c r="B1566">
        <v>8</v>
      </c>
      <c r="C1566" t="s">
        <v>393</v>
      </c>
      <c r="D1566" t="s">
        <v>737</v>
      </c>
      <c r="E1566" t="s">
        <v>342</v>
      </c>
      <c r="F1566">
        <v>50</v>
      </c>
      <c r="G1566" t="s">
        <v>678</v>
      </c>
      <c r="H1566" t="s">
        <v>569</v>
      </c>
      <c r="I1566" t="s">
        <v>488</v>
      </c>
      <c r="J1566" t="s">
        <v>678</v>
      </c>
      <c r="K1566" t="s">
        <v>934</v>
      </c>
      <c r="L1566" t="s">
        <v>935</v>
      </c>
      <c r="M1566" t="s">
        <v>2239</v>
      </c>
      <c r="N1566" t="b">
        <v>0</v>
      </c>
    </row>
    <row r="1567" spans="1:14">
      <c r="A1567">
        <v>104</v>
      </c>
      <c r="B1567">
        <v>9</v>
      </c>
      <c r="C1567" t="s">
        <v>176</v>
      </c>
      <c r="D1567" t="s">
        <v>737</v>
      </c>
      <c r="E1567" t="s">
        <v>76</v>
      </c>
      <c r="F1567">
        <v>50</v>
      </c>
      <c r="G1567" t="s">
        <v>678</v>
      </c>
      <c r="H1567" t="s">
        <v>678</v>
      </c>
      <c r="I1567" t="s">
        <v>76</v>
      </c>
      <c r="J1567" t="s">
        <v>678</v>
      </c>
      <c r="K1567" t="s">
        <v>678</v>
      </c>
      <c r="L1567" t="s">
        <v>678</v>
      </c>
      <c r="M1567" t="s">
        <v>2240</v>
      </c>
      <c r="N1567" t="b">
        <v>0</v>
      </c>
    </row>
    <row r="1568" spans="1:14">
      <c r="A1568">
        <v>104</v>
      </c>
      <c r="B1568">
        <v>10</v>
      </c>
      <c r="C1568" t="s">
        <v>501</v>
      </c>
      <c r="D1568" t="s">
        <v>737</v>
      </c>
      <c r="E1568" t="s">
        <v>369</v>
      </c>
      <c r="F1568">
        <v>60</v>
      </c>
      <c r="G1568" t="s">
        <v>678</v>
      </c>
      <c r="H1568" t="s">
        <v>574</v>
      </c>
      <c r="I1568" t="s">
        <v>1636</v>
      </c>
      <c r="J1568" t="s">
        <v>678</v>
      </c>
      <c r="K1568" t="s">
        <v>1177</v>
      </c>
      <c r="L1568" t="s">
        <v>1178</v>
      </c>
      <c r="M1568" t="s">
        <v>2241</v>
      </c>
      <c r="N1568" t="b">
        <v>0</v>
      </c>
    </row>
    <row r="1569" spans="1:14">
      <c r="A1569">
        <v>104</v>
      </c>
      <c r="B1569">
        <v>11</v>
      </c>
      <c r="C1569" t="s">
        <v>280</v>
      </c>
      <c r="D1569" t="s">
        <v>737</v>
      </c>
      <c r="E1569" t="s">
        <v>556</v>
      </c>
      <c r="F1569">
        <v>40</v>
      </c>
      <c r="G1569" t="s">
        <v>678</v>
      </c>
      <c r="H1569" t="s">
        <v>594</v>
      </c>
      <c r="I1569" t="s">
        <v>507</v>
      </c>
      <c r="J1569" t="s">
        <v>678</v>
      </c>
      <c r="K1569" t="s">
        <v>814</v>
      </c>
      <c r="L1569" t="s">
        <v>815</v>
      </c>
      <c r="M1569" t="s">
        <v>2242</v>
      </c>
      <c r="N1569" t="b">
        <v>0</v>
      </c>
    </row>
    <row r="1570" spans="1:14">
      <c r="A1570">
        <v>104</v>
      </c>
      <c r="B1570">
        <v>12</v>
      </c>
      <c r="C1570" t="s">
        <v>502</v>
      </c>
      <c r="D1570" t="s">
        <v>737</v>
      </c>
      <c r="E1570" t="s">
        <v>102</v>
      </c>
      <c r="F1570">
        <v>30</v>
      </c>
      <c r="G1570" t="s">
        <v>678</v>
      </c>
      <c r="H1570" t="s">
        <v>678</v>
      </c>
      <c r="I1570" t="s">
        <v>102</v>
      </c>
      <c r="J1570" t="s">
        <v>678</v>
      </c>
      <c r="K1570" t="s">
        <v>678</v>
      </c>
      <c r="L1570" t="s">
        <v>678</v>
      </c>
      <c r="M1570" t="s">
        <v>2243</v>
      </c>
      <c r="N1570" t="b">
        <v>0</v>
      </c>
    </row>
    <row r="1571" spans="1:14">
      <c r="A1571">
        <v>104</v>
      </c>
      <c r="B1571">
        <v>13</v>
      </c>
      <c r="C1571" t="s">
        <v>302</v>
      </c>
      <c r="D1571" t="s">
        <v>737</v>
      </c>
      <c r="E1571" t="s">
        <v>111</v>
      </c>
      <c r="F1571">
        <v>60</v>
      </c>
      <c r="G1571" t="s">
        <v>678</v>
      </c>
      <c r="H1571" t="s">
        <v>678</v>
      </c>
      <c r="I1571" t="s">
        <v>111</v>
      </c>
      <c r="J1571" t="s">
        <v>678</v>
      </c>
      <c r="K1571" t="s">
        <v>678</v>
      </c>
      <c r="L1571" t="s">
        <v>678</v>
      </c>
      <c r="M1571" t="s">
        <v>2244</v>
      </c>
      <c r="N1571" t="b">
        <v>0</v>
      </c>
    </row>
    <row r="1572" spans="1:14">
      <c r="A1572">
        <v>104</v>
      </c>
      <c r="B1572">
        <v>14</v>
      </c>
      <c r="C1572" t="s">
        <v>678</v>
      </c>
      <c r="D1572" t="s">
        <v>737</v>
      </c>
      <c r="E1572" t="s">
        <v>678</v>
      </c>
      <c r="F1572">
        <v>0</v>
      </c>
      <c r="G1572" t="s">
        <v>678</v>
      </c>
      <c r="H1572" t="s">
        <v>678</v>
      </c>
      <c r="I1572" t="s">
        <v>678</v>
      </c>
      <c r="J1572" t="s">
        <v>678</v>
      </c>
      <c r="K1572" t="s">
        <v>678</v>
      </c>
      <c r="L1572" t="s">
        <v>678</v>
      </c>
      <c r="M1572" t="s">
        <v>2245</v>
      </c>
      <c r="N1572" t="b">
        <v>0</v>
      </c>
    </row>
    <row r="1573" spans="1:14">
      <c r="A1573">
        <v>104</v>
      </c>
      <c r="B1573">
        <v>15</v>
      </c>
      <c r="C1573" t="s">
        <v>678</v>
      </c>
      <c r="D1573" t="s">
        <v>737</v>
      </c>
      <c r="E1573" t="s">
        <v>678</v>
      </c>
      <c r="F1573">
        <v>0</v>
      </c>
      <c r="G1573" t="s">
        <v>678</v>
      </c>
      <c r="H1573" t="s">
        <v>678</v>
      </c>
      <c r="I1573" t="s">
        <v>678</v>
      </c>
      <c r="J1573" t="s">
        <v>678</v>
      </c>
      <c r="K1573" t="s">
        <v>678</v>
      </c>
      <c r="L1573" t="s">
        <v>678</v>
      </c>
      <c r="M1573" t="s">
        <v>2246</v>
      </c>
      <c r="N1573" t="b">
        <v>0</v>
      </c>
    </row>
    <row r="1574" spans="1:14">
      <c r="A1574">
        <v>104</v>
      </c>
      <c r="B1574">
        <v>16</v>
      </c>
      <c r="C1574" t="s">
        <v>678</v>
      </c>
      <c r="D1574" t="s">
        <v>754</v>
      </c>
      <c r="E1574" t="s">
        <v>678</v>
      </c>
      <c r="F1574">
        <v>0</v>
      </c>
      <c r="G1574" t="s">
        <v>678</v>
      </c>
      <c r="H1574" t="s">
        <v>678</v>
      </c>
      <c r="I1574" t="s">
        <v>678</v>
      </c>
      <c r="J1574" t="s">
        <v>678</v>
      </c>
      <c r="K1574" t="s">
        <v>678</v>
      </c>
      <c r="L1574" t="s">
        <v>678</v>
      </c>
      <c r="M1574" t="s">
        <v>2247</v>
      </c>
      <c r="N1574" t="b">
        <v>0</v>
      </c>
    </row>
    <row r="1575" spans="1:14">
      <c r="A1575">
        <v>104</v>
      </c>
      <c r="B1575">
        <v>17</v>
      </c>
      <c r="C1575" t="s">
        <v>678</v>
      </c>
      <c r="D1575" t="s">
        <v>754</v>
      </c>
      <c r="E1575" t="s">
        <v>678</v>
      </c>
      <c r="F1575">
        <v>0</v>
      </c>
      <c r="G1575" t="s">
        <v>678</v>
      </c>
      <c r="H1575" t="s">
        <v>678</v>
      </c>
      <c r="I1575" t="s">
        <v>678</v>
      </c>
      <c r="J1575" t="s">
        <v>678</v>
      </c>
      <c r="K1575" t="s">
        <v>678</v>
      </c>
      <c r="L1575" t="s">
        <v>678</v>
      </c>
      <c r="M1575" t="s">
        <v>2248</v>
      </c>
      <c r="N1575" t="b">
        <v>0</v>
      </c>
    </row>
    <row r="1576" spans="1:14">
      <c r="A1576">
        <v>104</v>
      </c>
      <c r="B1576">
        <v>18</v>
      </c>
      <c r="C1576" t="s">
        <v>678</v>
      </c>
      <c r="D1576" t="s">
        <v>754</v>
      </c>
      <c r="E1576" t="s">
        <v>678</v>
      </c>
      <c r="F1576">
        <v>0</v>
      </c>
      <c r="G1576" t="s">
        <v>678</v>
      </c>
      <c r="H1576" t="s">
        <v>678</v>
      </c>
      <c r="I1576" t="s">
        <v>678</v>
      </c>
      <c r="J1576" t="s">
        <v>678</v>
      </c>
      <c r="K1576" t="s">
        <v>678</v>
      </c>
      <c r="L1576" t="s">
        <v>678</v>
      </c>
      <c r="M1576" t="s">
        <v>2249</v>
      </c>
      <c r="N1576" t="b">
        <v>0</v>
      </c>
    </row>
    <row r="1577" spans="1:14">
      <c r="A1577">
        <v>104</v>
      </c>
      <c r="B1577">
        <v>19</v>
      </c>
      <c r="C1577" t="s">
        <v>678</v>
      </c>
      <c r="D1577" t="s">
        <v>754</v>
      </c>
      <c r="E1577" t="s">
        <v>678</v>
      </c>
      <c r="F1577">
        <v>0</v>
      </c>
      <c r="G1577" t="s">
        <v>678</v>
      </c>
      <c r="H1577" t="s">
        <v>678</v>
      </c>
      <c r="I1577" t="s">
        <v>678</v>
      </c>
      <c r="J1577" t="s">
        <v>678</v>
      </c>
      <c r="K1577" t="s">
        <v>678</v>
      </c>
      <c r="L1577" t="s">
        <v>678</v>
      </c>
      <c r="M1577" t="s">
        <v>2250</v>
      </c>
      <c r="N1577" t="b">
        <v>0</v>
      </c>
    </row>
    <row r="1578" spans="1:14">
      <c r="A1578">
        <v>104</v>
      </c>
      <c r="B1578">
        <v>20</v>
      </c>
      <c r="C1578" t="s">
        <v>678</v>
      </c>
      <c r="D1578" t="s">
        <v>754</v>
      </c>
      <c r="E1578" t="s">
        <v>678</v>
      </c>
      <c r="F1578">
        <v>0</v>
      </c>
      <c r="G1578" t="s">
        <v>678</v>
      </c>
      <c r="H1578" t="s">
        <v>678</v>
      </c>
      <c r="I1578" t="s">
        <v>678</v>
      </c>
      <c r="J1578" t="s">
        <v>678</v>
      </c>
      <c r="K1578" t="s">
        <v>678</v>
      </c>
      <c r="L1578" t="s">
        <v>678</v>
      </c>
      <c r="M1578" t="s">
        <v>2251</v>
      </c>
      <c r="N1578" t="b">
        <v>0</v>
      </c>
    </row>
    <row r="1579" spans="1:14">
      <c r="A1579">
        <v>104</v>
      </c>
      <c r="B1579">
        <v>21</v>
      </c>
      <c r="C1579" t="s">
        <v>678</v>
      </c>
      <c r="D1579" t="s">
        <v>754</v>
      </c>
      <c r="E1579" t="s">
        <v>678</v>
      </c>
      <c r="F1579">
        <v>0</v>
      </c>
      <c r="G1579" t="s">
        <v>678</v>
      </c>
      <c r="H1579" t="s">
        <v>678</v>
      </c>
      <c r="I1579" t="s">
        <v>678</v>
      </c>
      <c r="J1579" t="s">
        <v>678</v>
      </c>
      <c r="K1579" t="s">
        <v>678</v>
      </c>
      <c r="L1579" t="s">
        <v>678</v>
      </c>
      <c r="M1579" t="s">
        <v>2252</v>
      </c>
      <c r="N1579" t="b">
        <v>0</v>
      </c>
    </row>
    <row r="1580" spans="1:14">
      <c r="A1580">
        <v>104</v>
      </c>
      <c r="B1580">
        <v>22</v>
      </c>
      <c r="C1580" t="s">
        <v>678</v>
      </c>
      <c r="D1580" t="s">
        <v>754</v>
      </c>
      <c r="E1580" t="s">
        <v>678</v>
      </c>
      <c r="F1580">
        <v>0</v>
      </c>
      <c r="G1580" t="s">
        <v>678</v>
      </c>
      <c r="H1580" t="s">
        <v>678</v>
      </c>
      <c r="I1580" t="s">
        <v>678</v>
      </c>
      <c r="J1580" t="s">
        <v>678</v>
      </c>
      <c r="K1580" t="s">
        <v>678</v>
      </c>
      <c r="L1580" t="s">
        <v>678</v>
      </c>
      <c r="M1580" t="s">
        <v>2253</v>
      </c>
      <c r="N1580" t="b">
        <v>0</v>
      </c>
    </row>
    <row r="1581" spans="1:14">
      <c r="A1581">
        <v>104</v>
      </c>
      <c r="B1581">
        <v>23</v>
      </c>
      <c r="C1581" t="s">
        <v>678</v>
      </c>
      <c r="D1581" t="s">
        <v>754</v>
      </c>
      <c r="E1581" t="s">
        <v>678</v>
      </c>
      <c r="F1581">
        <v>0</v>
      </c>
      <c r="G1581" t="s">
        <v>678</v>
      </c>
      <c r="H1581" t="s">
        <v>678</v>
      </c>
      <c r="I1581" t="s">
        <v>678</v>
      </c>
      <c r="J1581" t="s">
        <v>678</v>
      </c>
      <c r="K1581" t="s">
        <v>678</v>
      </c>
      <c r="L1581" t="s">
        <v>678</v>
      </c>
      <c r="M1581" t="s">
        <v>2254</v>
      </c>
      <c r="N1581" t="b">
        <v>0</v>
      </c>
    </row>
    <row r="1582" spans="1:14">
      <c r="A1582">
        <v>104</v>
      </c>
      <c r="B1582">
        <v>24</v>
      </c>
      <c r="C1582" t="s">
        <v>678</v>
      </c>
      <c r="D1582" t="s">
        <v>754</v>
      </c>
      <c r="E1582" t="s">
        <v>678</v>
      </c>
      <c r="F1582">
        <v>0</v>
      </c>
      <c r="G1582" t="s">
        <v>678</v>
      </c>
      <c r="H1582" t="s">
        <v>678</v>
      </c>
      <c r="I1582" t="s">
        <v>678</v>
      </c>
      <c r="J1582" t="s">
        <v>678</v>
      </c>
      <c r="K1582" t="s">
        <v>678</v>
      </c>
      <c r="L1582" t="s">
        <v>678</v>
      </c>
      <c r="M1582" t="s">
        <v>2255</v>
      </c>
      <c r="N1582" t="b">
        <v>0</v>
      </c>
    </row>
    <row r="1583" spans="1:14">
      <c r="A1583">
        <v>104</v>
      </c>
      <c r="B1583">
        <v>25</v>
      </c>
      <c r="C1583" t="s">
        <v>678</v>
      </c>
      <c r="D1583" t="s">
        <v>754</v>
      </c>
      <c r="E1583" t="s">
        <v>678</v>
      </c>
      <c r="F1583">
        <v>0</v>
      </c>
      <c r="G1583" t="s">
        <v>678</v>
      </c>
      <c r="H1583" t="s">
        <v>678</v>
      </c>
      <c r="I1583" t="s">
        <v>678</v>
      </c>
      <c r="J1583" t="s">
        <v>678</v>
      </c>
      <c r="K1583" t="s">
        <v>678</v>
      </c>
      <c r="L1583" t="s">
        <v>678</v>
      </c>
      <c r="M1583" t="s">
        <v>2256</v>
      </c>
      <c r="N1583" t="b">
        <v>0</v>
      </c>
    </row>
    <row r="1584" spans="1:14">
      <c r="A1584">
        <v>104</v>
      </c>
      <c r="B1584">
        <v>26</v>
      </c>
      <c r="C1584" t="s">
        <v>678</v>
      </c>
      <c r="D1584" t="s">
        <v>754</v>
      </c>
      <c r="E1584" t="s">
        <v>678</v>
      </c>
      <c r="F1584">
        <v>0</v>
      </c>
      <c r="G1584" t="s">
        <v>678</v>
      </c>
      <c r="H1584" t="s">
        <v>678</v>
      </c>
      <c r="I1584" t="s">
        <v>678</v>
      </c>
      <c r="J1584" t="s">
        <v>678</v>
      </c>
      <c r="K1584" t="s">
        <v>678</v>
      </c>
      <c r="L1584" t="s">
        <v>678</v>
      </c>
      <c r="M1584" t="s">
        <v>2257</v>
      </c>
      <c r="N1584" t="b">
        <v>0</v>
      </c>
    </row>
    <row r="1585" spans="1:14">
      <c r="A1585">
        <v>105</v>
      </c>
      <c r="B1585">
        <v>0</v>
      </c>
      <c r="C1585" t="s">
        <v>226</v>
      </c>
      <c r="D1585" t="s">
        <v>737</v>
      </c>
      <c r="E1585" t="s">
        <v>67</v>
      </c>
      <c r="F1585">
        <v>60</v>
      </c>
      <c r="G1585" t="s">
        <v>678</v>
      </c>
      <c r="H1585" t="s">
        <v>678</v>
      </c>
      <c r="I1585" t="s">
        <v>67</v>
      </c>
      <c r="J1585" t="s">
        <v>678</v>
      </c>
      <c r="K1585" t="s">
        <v>678</v>
      </c>
      <c r="L1585" t="s">
        <v>678</v>
      </c>
      <c r="M1585" t="s">
        <v>2258</v>
      </c>
      <c r="N1585" t="b">
        <v>0</v>
      </c>
    </row>
    <row r="1586" spans="1:14">
      <c r="A1586">
        <v>105</v>
      </c>
      <c r="B1586">
        <v>1</v>
      </c>
      <c r="C1586" t="s">
        <v>227</v>
      </c>
      <c r="D1586" t="s">
        <v>737</v>
      </c>
      <c r="E1586" t="s">
        <v>79</v>
      </c>
      <c r="F1586">
        <v>60</v>
      </c>
      <c r="G1586" t="s">
        <v>678</v>
      </c>
      <c r="H1586" t="s">
        <v>678</v>
      </c>
      <c r="I1586" t="s">
        <v>79</v>
      </c>
      <c r="J1586" t="s">
        <v>678</v>
      </c>
      <c r="K1586" t="s">
        <v>678</v>
      </c>
      <c r="L1586" t="s">
        <v>678</v>
      </c>
      <c r="M1586" t="s">
        <v>2259</v>
      </c>
      <c r="N1586" t="b">
        <v>0</v>
      </c>
    </row>
    <row r="1587" spans="1:14">
      <c r="A1587">
        <v>105</v>
      </c>
      <c r="B1587">
        <v>2</v>
      </c>
      <c r="C1587" t="s">
        <v>228</v>
      </c>
      <c r="D1587" t="s">
        <v>737</v>
      </c>
      <c r="E1587" t="s">
        <v>99</v>
      </c>
      <c r="F1587">
        <v>40</v>
      </c>
      <c r="G1587" t="s">
        <v>678</v>
      </c>
      <c r="H1587" t="s">
        <v>678</v>
      </c>
      <c r="I1587" t="s">
        <v>99</v>
      </c>
      <c r="J1587" t="s">
        <v>678</v>
      </c>
      <c r="K1587" t="s">
        <v>678</v>
      </c>
      <c r="L1587" t="s">
        <v>678</v>
      </c>
      <c r="M1587" t="s">
        <v>2260</v>
      </c>
      <c r="N1587" t="b">
        <v>0</v>
      </c>
    </row>
    <row r="1588" spans="1:14">
      <c r="A1588">
        <v>105</v>
      </c>
      <c r="B1588">
        <v>3</v>
      </c>
      <c r="C1588" t="s">
        <v>467</v>
      </c>
      <c r="D1588" t="s">
        <v>737</v>
      </c>
      <c r="E1588" t="s">
        <v>101</v>
      </c>
      <c r="F1588">
        <v>60</v>
      </c>
      <c r="G1588" t="s">
        <v>678</v>
      </c>
      <c r="H1588" t="s">
        <v>678</v>
      </c>
      <c r="I1588" t="s">
        <v>101</v>
      </c>
      <c r="J1588" t="s">
        <v>678</v>
      </c>
      <c r="K1588" t="s">
        <v>678</v>
      </c>
      <c r="L1588" t="s">
        <v>678</v>
      </c>
      <c r="M1588" t="s">
        <v>2261</v>
      </c>
      <c r="N1588" t="b">
        <v>0</v>
      </c>
    </row>
    <row r="1589" spans="1:14">
      <c r="A1589">
        <v>105</v>
      </c>
      <c r="B1589">
        <v>4</v>
      </c>
      <c r="C1589" t="s">
        <v>229</v>
      </c>
      <c r="D1589" t="s">
        <v>737</v>
      </c>
      <c r="E1589" t="s">
        <v>105</v>
      </c>
      <c r="F1589">
        <v>60</v>
      </c>
      <c r="G1589" t="s">
        <v>678</v>
      </c>
      <c r="H1589" t="s">
        <v>678</v>
      </c>
      <c r="I1589" t="s">
        <v>105</v>
      </c>
      <c r="J1589" t="s">
        <v>678</v>
      </c>
      <c r="K1589" t="s">
        <v>678</v>
      </c>
      <c r="L1589" t="s">
        <v>678</v>
      </c>
      <c r="M1589" t="s">
        <v>2262</v>
      </c>
      <c r="N1589" t="b">
        <v>0</v>
      </c>
    </row>
    <row r="1590" spans="1:14">
      <c r="A1590">
        <v>105</v>
      </c>
      <c r="B1590">
        <v>5</v>
      </c>
      <c r="C1590" t="s">
        <v>207</v>
      </c>
      <c r="D1590" t="s">
        <v>737</v>
      </c>
      <c r="E1590" t="s">
        <v>117</v>
      </c>
      <c r="F1590">
        <v>50</v>
      </c>
      <c r="G1590" t="s">
        <v>678</v>
      </c>
      <c r="H1590" t="s">
        <v>678</v>
      </c>
      <c r="I1590" t="s">
        <v>117</v>
      </c>
      <c r="J1590" t="s">
        <v>678</v>
      </c>
      <c r="K1590" t="s">
        <v>678</v>
      </c>
      <c r="L1590" t="s">
        <v>678</v>
      </c>
      <c r="M1590" t="s">
        <v>2263</v>
      </c>
      <c r="N1590" t="b">
        <v>0</v>
      </c>
    </row>
    <row r="1591" spans="1:14">
      <c r="A1591">
        <v>105</v>
      </c>
      <c r="B1591">
        <v>6</v>
      </c>
      <c r="C1591" t="s">
        <v>230</v>
      </c>
      <c r="D1591" t="s">
        <v>737</v>
      </c>
      <c r="E1591" t="s">
        <v>70</v>
      </c>
      <c r="F1591">
        <v>50</v>
      </c>
      <c r="G1591" t="s">
        <v>678</v>
      </c>
      <c r="H1591" t="s">
        <v>678</v>
      </c>
      <c r="I1591" t="s">
        <v>70</v>
      </c>
      <c r="J1591" t="s">
        <v>678</v>
      </c>
      <c r="K1591" t="s">
        <v>678</v>
      </c>
      <c r="L1591" t="s">
        <v>678</v>
      </c>
      <c r="M1591" t="s">
        <v>2264</v>
      </c>
      <c r="N1591" t="b">
        <v>0</v>
      </c>
    </row>
    <row r="1592" spans="1:14">
      <c r="A1592">
        <v>105</v>
      </c>
      <c r="B1592">
        <v>7</v>
      </c>
      <c r="C1592" t="s">
        <v>504</v>
      </c>
      <c r="D1592" t="s">
        <v>737</v>
      </c>
      <c r="E1592" t="s">
        <v>342</v>
      </c>
      <c r="F1592">
        <v>60</v>
      </c>
      <c r="G1592" t="s">
        <v>678</v>
      </c>
      <c r="H1592" t="s">
        <v>569</v>
      </c>
      <c r="I1592" t="s">
        <v>488</v>
      </c>
      <c r="J1592" t="s">
        <v>678</v>
      </c>
      <c r="K1592" t="s">
        <v>934</v>
      </c>
      <c r="L1592" t="s">
        <v>935</v>
      </c>
      <c r="M1592" t="s">
        <v>2265</v>
      </c>
      <c r="N1592" t="b">
        <v>0</v>
      </c>
    </row>
    <row r="1593" spans="1:14">
      <c r="A1593">
        <v>105</v>
      </c>
      <c r="B1593">
        <v>8</v>
      </c>
      <c r="C1593" t="s">
        <v>176</v>
      </c>
      <c r="D1593" t="s">
        <v>737</v>
      </c>
      <c r="E1593" t="s">
        <v>76</v>
      </c>
      <c r="F1593">
        <v>50</v>
      </c>
      <c r="G1593" t="s">
        <v>678</v>
      </c>
      <c r="H1593" t="s">
        <v>678</v>
      </c>
      <c r="I1593" t="s">
        <v>76</v>
      </c>
      <c r="J1593" t="s">
        <v>678</v>
      </c>
      <c r="K1593" t="s">
        <v>678</v>
      </c>
      <c r="L1593" t="s">
        <v>678</v>
      </c>
      <c r="M1593" t="s">
        <v>2266</v>
      </c>
      <c r="N1593" t="b">
        <v>0</v>
      </c>
    </row>
    <row r="1594" spans="1:14">
      <c r="A1594">
        <v>105</v>
      </c>
      <c r="B1594">
        <v>9</v>
      </c>
      <c r="C1594" t="s">
        <v>214</v>
      </c>
      <c r="D1594" t="s">
        <v>737</v>
      </c>
      <c r="E1594" t="s">
        <v>102</v>
      </c>
      <c r="F1594">
        <v>40</v>
      </c>
      <c r="G1594" t="s">
        <v>678</v>
      </c>
      <c r="H1594" t="s">
        <v>678</v>
      </c>
      <c r="I1594" t="s">
        <v>102</v>
      </c>
      <c r="J1594" t="s">
        <v>678</v>
      </c>
      <c r="K1594" t="s">
        <v>678</v>
      </c>
      <c r="L1594" t="s">
        <v>678</v>
      </c>
      <c r="M1594" t="s">
        <v>2267</v>
      </c>
      <c r="N1594" t="b">
        <v>0</v>
      </c>
    </row>
    <row r="1595" spans="1:14">
      <c r="A1595">
        <v>105</v>
      </c>
      <c r="B1595">
        <v>10</v>
      </c>
      <c r="C1595" t="s">
        <v>232</v>
      </c>
      <c r="D1595" t="s">
        <v>737</v>
      </c>
      <c r="E1595" t="s">
        <v>106</v>
      </c>
      <c r="F1595">
        <v>50</v>
      </c>
      <c r="G1595" t="s">
        <v>678</v>
      </c>
      <c r="H1595" t="s">
        <v>678</v>
      </c>
      <c r="I1595" t="s">
        <v>106</v>
      </c>
      <c r="J1595" t="s">
        <v>678</v>
      </c>
      <c r="K1595" t="s">
        <v>678</v>
      </c>
      <c r="L1595" t="s">
        <v>678</v>
      </c>
      <c r="M1595" t="s">
        <v>2268</v>
      </c>
      <c r="N1595" t="b">
        <v>0</v>
      </c>
    </row>
    <row r="1596" spans="1:14">
      <c r="A1596">
        <v>105</v>
      </c>
      <c r="B1596">
        <v>11</v>
      </c>
      <c r="C1596" t="s">
        <v>179</v>
      </c>
      <c r="D1596" t="s">
        <v>737</v>
      </c>
      <c r="E1596" t="s">
        <v>110</v>
      </c>
      <c r="F1596">
        <v>50</v>
      </c>
      <c r="G1596" t="s">
        <v>678</v>
      </c>
      <c r="H1596" t="s">
        <v>678</v>
      </c>
      <c r="I1596" t="s">
        <v>110</v>
      </c>
      <c r="J1596" t="s">
        <v>678</v>
      </c>
      <c r="K1596" t="s">
        <v>678</v>
      </c>
      <c r="L1596" t="s">
        <v>678</v>
      </c>
      <c r="M1596" t="s">
        <v>2269</v>
      </c>
      <c r="N1596" t="b">
        <v>0</v>
      </c>
    </row>
    <row r="1597" spans="1:14">
      <c r="A1597">
        <v>105</v>
      </c>
      <c r="B1597">
        <v>12</v>
      </c>
      <c r="C1597" t="s">
        <v>233</v>
      </c>
      <c r="D1597" t="s">
        <v>737</v>
      </c>
      <c r="E1597" t="s">
        <v>111</v>
      </c>
      <c r="F1597">
        <v>50</v>
      </c>
      <c r="G1597" t="s">
        <v>678</v>
      </c>
      <c r="H1597" t="s">
        <v>678</v>
      </c>
      <c r="I1597" t="s">
        <v>111</v>
      </c>
      <c r="J1597" t="s">
        <v>678</v>
      </c>
      <c r="K1597" t="s">
        <v>678</v>
      </c>
      <c r="L1597" t="s">
        <v>678</v>
      </c>
      <c r="M1597" t="s">
        <v>2270</v>
      </c>
      <c r="N1597" t="b">
        <v>0</v>
      </c>
    </row>
    <row r="1598" spans="1:14">
      <c r="A1598">
        <v>105</v>
      </c>
      <c r="B1598">
        <v>13</v>
      </c>
      <c r="C1598" t="s">
        <v>204</v>
      </c>
      <c r="D1598" t="s">
        <v>737</v>
      </c>
      <c r="E1598" t="s">
        <v>112</v>
      </c>
      <c r="F1598">
        <v>60</v>
      </c>
      <c r="G1598" t="s">
        <v>678</v>
      </c>
      <c r="H1598" t="s">
        <v>678</v>
      </c>
      <c r="I1598" t="s">
        <v>112</v>
      </c>
      <c r="J1598" t="s">
        <v>678</v>
      </c>
      <c r="K1598" t="s">
        <v>678</v>
      </c>
      <c r="L1598" t="s">
        <v>678</v>
      </c>
      <c r="M1598" t="s">
        <v>2271</v>
      </c>
      <c r="N1598" t="b">
        <v>0</v>
      </c>
    </row>
    <row r="1599" spans="1:14">
      <c r="A1599">
        <v>105</v>
      </c>
      <c r="B1599">
        <v>14</v>
      </c>
      <c r="C1599" t="s">
        <v>678</v>
      </c>
      <c r="D1599" t="s">
        <v>737</v>
      </c>
      <c r="E1599" t="s">
        <v>678</v>
      </c>
      <c r="F1599">
        <v>0</v>
      </c>
      <c r="G1599" t="s">
        <v>678</v>
      </c>
      <c r="H1599" t="s">
        <v>678</v>
      </c>
      <c r="I1599" t="s">
        <v>678</v>
      </c>
      <c r="J1599" t="s">
        <v>678</v>
      </c>
      <c r="K1599" t="s">
        <v>678</v>
      </c>
      <c r="L1599" t="s">
        <v>678</v>
      </c>
      <c r="M1599" t="s">
        <v>2272</v>
      </c>
      <c r="N1599" t="b">
        <v>0</v>
      </c>
    </row>
    <row r="1600" spans="1:14">
      <c r="A1600">
        <v>105</v>
      </c>
      <c r="B1600">
        <v>15</v>
      </c>
      <c r="C1600" t="s">
        <v>678</v>
      </c>
      <c r="D1600" t="s">
        <v>737</v>
      </c>
      <c r="E1600" t="s">
        <v>678</v>
      </c>
      <c r="F1600">
        <v>0</v>
      </c>
      <c r="G1600" t="s">
        <v>678</v>
      </c>
      <c r="H1600" t="s">
        <v>678</v>
      </c>
      <c r="I1600" t="s">
        <v>678</v>
      </c>
      <c r="J1600" t="s">
        <v>678</v>
      </c>
      <c r="K1600" t="s">
        <v>678</v>
      </c>
      <c r="L1600" t="s">
        <v>678</v>
      </c>
      <c r="M1600" t="s">
        <v>2273</v>
      </c>
      <c r="N1600" t="b">
        <v>0</v>
      </c>
    </row>
    <row r="1601" spans="1:14">
      <c r="A1601">
        <v>105</v>
      </c>
      <c r="B1601">
        <v>16</v>
      </c>
      <c r="C1601" t="s">
        <v>678</v>
      </c>
      <c r="D1601" t="s">
        <v>754</v>
      </c>
      <c r="E1601" t="s">
        <v>678</v>
      </c>
      <c r="F1601">
        <v>0</v>
      </c>
      <c r="G1601" t="s">
        <v>678</v>
      </c>
      <c r="H1601" t="s">
        <v>678</v>
      </c>
      <c r="I1601" t="s">
        <v>678</v>
      </c>
      <c r="J1601" t="s">
        <v>678</v>
      </c>
      <c r="K1601" t="s">
        <v>678</v>
      </c>
      <c r="L1601" t="s">
        <v>678</v>
      </c>
      <c r="M1601" t="s">
        <v>2274</v>
      </c>
      <c r="N1601" t="b">
        <v>0</v>
      </c>
    </row>
    <row r="1602" spans="1:14">
      <c r="A1602">
        <v>105</v>
      </c>
      <c r="B1602">
        <v>17</v>
      </c>
      <c r="C1602" t="s">
        <v>678</v>
      </c>
      <c r="D1602" t="s">
        <v>754</v>
      </c>
      <c r="E1602" t="s">
        <v>678</v>
      </c>
      <c r="F1602">
        <v>0</v>
      </c>
      <c r="G1602" t="s">
        <v>678</v>
      </c>
      <c r="H1602" t="s">
        <v>678</v>
      </c>
      <c r="I1602" t="s">
        <v>678</v>
      </c>
      <c r="J1602" t="s">
        <v>678</v>
      </c>
      <c r="K1602" t="s">
        <v>678</v>
      </c>
      <c r="L1602" t="s">
        <v>678</v>
      </c>
      <c r="M1602" t="s">
        <v>2275</v>
      </c>
      <c r="N1602" t="b">
        <v>0</v>
      </c>
    </row>
    <row r="1603" spans="1:14">
      <c r="A1603">
        <v>105</v>
      </c>
      <c r="B1603">
        <v>18</v>
      </c>
      <c r="C1603" t="s">
        <v>678</v>
      </c>
      <c r="D1603" t="s">
        <v>754</v>
      </c>
      <c r="E1603" t="s">
        <v>678</v>
      </c>
      <c r="F1603">
        <v>0</v>
      </c>
      <c r="G1603" t="s">
        <v>678</v>
      </c>
      <c r="H1603" t="s">
        <v>678</v>
      </c>
      <c r="I1603" t="s">
        <v>678</v>
      </c>
      <c r="J1603" t="s">
        <v>678</v>
      </c>
      <c r="K1603" t="s">
        <v>678</v>
      </c>
      <c r="L1603" t="s">
        <v>678</v>
      </c>
      <c r="M1603" t="s">
        <v>2276</v>
      </c>
      <c r="N1603" t="b">
        <v>0</v>
      </c>
    </row>
    <row r="1604" spans="1:14">
      <c r="A1604">
        <v>105</v>
      </c>
      <c r="B1604">
        <v>19</v>
      </c>
      <c r="C1604" t="s">
        <v>678</v>
      </c>
      <c r="D1604" t="s">
        <v>754</v>
      </c>
      <c r="E1604" t="s">
        <v>678</v>
      </c>
      <c r="F1604">
        <v>0</v>
      </c>
      <c r="G1604" t="s">
        <v>678</v>
      </c>
      <c r="H1604" t="s">
        <v>678</v>
      </c>
      <c r="I1604" t="s">
        <v>678</v>
      </c>
      <c r="J1604" t="s">
        <v>678</v>
      </c>
      <c r="K1604" t="s">
        <v>678</v>
      </c>
      <c r="L1604" t="s">
        <v>678</v>
      </c>
      <c r="M1604" t="s">
        <v>2277</v>
      </c>
      <c r="N1604" t="b">
        <v>0</v>
      </c>
    </row>
    <row r="1605" spans="1:14">
      <c r="A1605">
        <v>105</v>
      </c>
      <c r="B1605">
        <v>20</v>
      </c>
      <c r="C1605" t="s">
        <v>678</v>
      </c>
      <c r="D1605" t="s">
        <v>754</v>
      </c>
      <c r="E1605" t="s">
        <v>678</v>
      </c>
      <c r="F1605">
        <v>0</v>
      </c>
      <c r="G1605" t="s">
        <v>678</v>
      </c>
      <c r="H1605" t="s">
        <v>678</v>
      </c>
      <c r="I1605" t="s">
        <v>678</v>
      </c>
      <c r="J1605" t="s">
        <v>678</v>
      </c>
      <c r="K1605" t="s">
        <v>678</v>
      </c>
      <c r="L1605" t="s">
        <v>678</v>
      </c>
      <c r="M1605" t="s">
        <v>2278</v>
      </c>
      <c r="N1605" t="b">
        <v>0</v>
      </c>
    </row>
    <row r="1606" spans="1:14">
      <c r="A1606">
        <v>105</v>
      </c>
      <c r="B1606">
        <v>21</v>
      </c>
      <c r="C1606" t="s">
        <v>678</v>
      </c>
      <c r="D1606" t="s">
        <v>754</v>
      </c>
      <c r="E1606" t="s">
        <v>678</v>
      </c>
      <c r="F1606">
        <v>0</v>
      </c>
      <c r="G1606" t="s">
        <v>678</v>
      </c>
      <c r="H1606" t="s">
        <v>678</v>
      </c>
      <c r="I1606" t="s">
        <v>678</v>
      </c>
      <c r="J1606" t="s">
        <v>678</v>
      </c>
      <c r="K1606" t="s">
        <v>678</v>
      </c>
      <c r="L1606" t="s">
        <v>678</v>
      </c>
      <c r="M1606" t="s">
        <v>2279</v>
      </c>
      <c r="N1606" t="b">
        <v>0</v>
      </c>
    </row>
    <row r="1607" spans="1:14">
      <c r="A1607">
        <v>105</v>
      </c>
      <c r="B1607">
        <v>22</v>
      </c>
      <c r="C1607" t="s">
        <v>678</v>
      </c>
      <c r="D1607" t="s">
        <v>754</v>
      </c>
      <c r="E1607" t="s">
        <v>678</v>
      </c>
      <c r="F1607">
        <v>0</v>
      </c>
      <c r="G1607" t="s">
        <v>678</v>
      </c>
      <c r="H1607" t="s">
        <v>678</v>
      </c>
      <c r="I1607" t="s">
        <v>678</v>
      </c>
      <c r="J1607" t="s">
        <v>678</v>
      </c>
      <c r="K1607" t="s">
        <v>678</v>
      </c>
      <c r="L1607" t="s">
        <v>678</v>
      </c>
      <c r="M1607" t="s">
        <v>2280</v>
      </c>
      <c r="N1607" t="b">
        <v>0</v>
      </c>
    </row>
    <row r="1608" spans="1:14">
      <c r="A1608">
        <v>105</v>
      </c>
      <c r="B1608">
        <v>23</v>
      </c>
      <c r="C1608" t="s">
        <v>678</v>
      </c>
      <c r="D1608" t="s">
        <v>754</v>
      </c>
      <c r="E1608" t="s">
        <v>678</v>
      </c>
      <c r="F1608">
        <v>0</v>
      </c>
      <c r="G1608" t="s">
        <v>678</v>
      </c>
      <c r="H1608" t="s">
        <v>678</v>
      </c>
      <c r="I1608" t="s">
        <v>678</v>
      </c>
      <c r="J1608" t="s">
        <v>678</v>
      </c>
      <c r="K1608" t="s">
        <v>678</v>
      </c>
      <c r="L1608" t="s">
        <v>678</v>
      </c>
      <c r="M1608" t="s">
        <v>2281</v>
      </c>
      <c r="N1608" t="b">
        <v>0</v>
      </c>
    </row>
    <row r="1609" spans="1:14">
      <c r="A1609">
        <v>105</v>
      </c>
      <c r="B1609">
        <v>24</v>
      </c>
      <c r="C1609" t="s">
        <v>678</v>
      </c>
      <c r="D1609" t="s">
        <v>754</v>
      </c>
      <c r="E1609" t="s">
        <v>678</v>
      </c>
      <c r="F1609">
        <v>0</v>
      </c>
      <c r="G1609" t="s">
        <v>678</v>
      </c>
      <c r="H1609" t="s">
        <v>678</v>
      </c>
      <c r="I1609" t="s">
        <v>678</v>
      </c>
      <c r="J1609" t="s">
        <v>678</v>
      </c>
      <c r="K1609" t="s">
        <v>678</v>
      </c>
      <c r="L1609" t="s">
        <v>678</v>
      </c>
      <c r="M1609" t="s">
        <v>2282</v>
      </c>
      <c r="N1609" t="b">
        <v>0</v>
      </c>
    </row>
    <row r="1610" spans="1:14">
      <c r="A1610">
        <v>105</v>
      </c>
      <c r="B1610">
        <v>25</v>
      </c>
      <c r="C1610" t="s">
        <v>678</v>
      </c>
      <c r="D1610" t="s">
        <v>754</v>
      </c>
      <c r="E1610" t="s">
        <v>678</v>
      </c>
      <c r="F1610">
        <v>0</v>
      </c>
      <c r="G1610" t="s">
        <v>678</v>
      </c>
      <c r="H1610" t="s">
        <v>678</v>
      </c>
      <c r="I1610" t="s">
        <v>678</v>
      </c>
      <c r="J1610" t="s">
        <v>678</v>
      </c>
      <c r="K1610" t="s">
        <v>678</v>
      </c>
      <c r="L1610" t="s">
        <v>678</v>
      </c>
      <c r="M1610" t="s">
        <v>2283</v>
      </c>
      <c r="N1610" t="b">
        <v>0</v>
      </c>
    </row>
    <row r="1611" spans="1:14">
      <c r="A1611">
        <v>105</v>
      </c>
      <c r="B1611">
        <v>26</v>
      </c>
      <c r="C1611" t="s">
        <v>678</v>
      </c>
      <c r="D1611" t="s">
        <v>754</v>
      </c>
      <c r="E1611" t="s">
        <v>678</v>
      </c>
      <c r="F1611">
        <v>0</v>
      </c>
      <c r="G1611" t="s">
        <v>678</v>
      </c>
      <c r="H1611" t="s">
        <v>678</v>
      </c>
      <c r="I1611" t="s">
        <v>678</v>
      </c>
      <c r="J1611" t="s">
        <v>678</v>
      </c>
      <c r="K1611" t="s">
        <v>678</v>
      </c>
      <c r="L1611" t="s">
        <v>678</v>
      </c>
      <c r="M1611" t="s">
        <v>2284</v>
      </c>
      <c r="N1611" t="b">
        <v>0</v>
      </c>
    </row>
  </sheetData>
  <sheetProtection password="CC25" sheet="1" autoFilter="0" objects="1" scenarios="1"/>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969</v>
      </c>
      <c r="K20" t="s">
        <v>976</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995</v>
      </c>
      <c r="K21" t="s">
        <v>1002</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1023</v>
      </c>
      <c r="K22" t="s">
        <v>1030</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1049</v>
      </c>
      <c r="K23" t="s">
        <v>1056</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1075</v>
      </c>
      <c r="K24" t="s">
        <v>1082</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1101</v>
      </c>
      <c r="K25" t="s">
        <v>1108</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1129</v>
      </c>
      <c r="K26" t="s">
        <v>1137</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1157</v>
      </c>
      <c r="K27" t="s">
        <v>1164</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1186</v>
      </c>
      <c r="K28" t="s">
        <v>1195</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1214</v>
      </c>
      <c r="K29" t="s">
        <v>1221</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1240</v>
      </c>
      <c r="K30" t="s">
        <v>1247</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1265</v>
      </c>
      <c r="K31" t="s">
        <v>1272</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2285</v>
      </c>
      <c r="K32" t="s">
        <v>2286</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2287</v>
      </c>
      <c r="K33" t="s">
        <v>2288</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2289</v>
      </c>
      <c r="K34" t="s">
        <v>2290</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2291</v>
      </c>
      <c r="K35" t="s">
        <v>2292</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1291</v>
      </c>
      <c r="K36" t="s">
        <v>1298</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2293</v>
      </c>
      <c r="K37" t="s">
        <v>2294</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2295</v>
      </c>
      <c r="K38" t="s">
        <v>2296</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2297</v>
      </c>
      <c r="K39" t="s">
        <v>2298</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1317</v>
      </c>
      <c r="K40" t="s">
        <v>1324</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2299</v>
      </c>
      <c r="K41" t="s">
        <v>2300</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 ca="1">IF(TRIM(人物卡!J36)="","","外语（"&amp;TRIM(人物卡!J36)&amp;"）")</f>
        <v/>
      </c>
      <c r="B42" t="str">
        <f ca="1"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2301</v>
      </c>
      <c r="K42" t="s">
        <v>2302</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 ca="1">IF(TRIM(人物卡!J37)="","","外语（"&amp;TRIM(人物卡!J37)&amp;"）")</f>
        <v/>
      </c>
      <c r="B43" t="str">
        <f ca="1"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1342</v>
      </c>
      <c r="K43" t="s">
        <v>1349</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2303</v>
      </c>
      <c r="K44" t="s">
        <v>2304</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2305</v>
      </c>
      <c r="K45" t="s">
        <v>2306</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1368</v>
      </c>
      <c r="K46" t="s">
        <v>1375</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2307</v>
      </c>
      <c r="K47" t="s">
        <v>2308</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2309</v>
      </c>
      <c r="K48" t="s">
        <v>2310</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1394</v>
      </c>
      <c r="K49" t="s">
        <v>1401</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2311</v>
      </c>
      <c r="K50" t="s">
        <v>2312</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2313</v>
      </c>
      <c r="K51" t="s">
        <v>2314</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2315</v>
      </c>
      <c r="K52" t="s">
        <v>2316</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2317</v>
      </c>
      <c r="K53" t="s">
        <v>2318</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2319</v>
      </c>
      <c r="K54" t="s">
        <v>2320</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2321</v>
      </c>
      <c r="K55" t="s">
        <v>2322</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2323</v>
      </c>
      <c r="K56" t="s">
        <v>2324</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2325</v>
      </c>
      <c r="K57" t="s">
        <v>2326</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2327</v>
      </c>
      <c r="K58" t="s">
        <v>2328</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2329</v>
      </c>
      <c r="K59" t="s">
        <v>2330</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2331</v>
      </c>
      <c r="K60" t="s">
        <v>2332</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2333</v>
      </c>
      <c r="K61" t="s">
        <v>2334</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2335</v>
      </c>
      <c r="K62" t="s">
        <v>2336</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2337</v>
      </c>
      <c r="K63" t="s">
        <v>2338</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2339</v>
      </c>
      <c r="K64" t="s">
        <v>2340</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2341</v>
      </c>
      <c r="K65" t="s">
        <v>2342</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2343</v>
      </c>
      <c r="K66" t="s">
        <v>2344</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2345</v>
      </c>
      <c r="K67" t="s">
        <v>2346</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2347</v>
      </c>
      <c r="K68" t="s">
        <v>2348</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2349</v>
      </c>
      <c r="K69" t="s">
        <v>2350</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2351</v>
      </c>
      <c r="K70" t="s">
        <v>2352</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2353</v>
      </c>
      <c r="K71" t="s">
        <v>2354</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2355</v>
      </c>
      <c r="K72" t="s">
        <v>2356</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2357</v>
      </c>
      <c r="K73" t="s">
        <v>2358</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2359</v>
      </c>
      <c r="K74" t="s">
        <v>2360</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2361</v>
      </c>
      <c r="K75" t="s">
        <v>2362</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2363</v>
      </c>
      <c r="K76" t="s">
        <v>2364</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2365</v>
      </c>
      <c r="K77" t="s">
        <v>2366</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2367</v>
      </c>
      <c r="K78" t="s">
        <v>2368</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123</v>
      </c>
      <c r="B100">
        <v>1</v>
      </c>
      <c r="C100" t="s">
        <v>2369</v>
      </c>
      <c r="D100" t="s">
        <v>773</v>
      </c>
      <c r="E100" t="s">
        <v>678</v>
      </c>
      <c r="F100" t="s">
        <v>678</v>
      </c>
      <c r="G100" t="s">
        <v>678</v>
      </c>
    </row>
    <row r="101" spans="1:7">
      <c r="A101" t="s">
        <v>123</v>
      </c>
      <c r="B101">
        <v>2</v>
      </c>
      <c r="C101" t="s">
        <v>2370</v>
      </c>
      <c r="D101" t="s">
        <v>773</v>
      </c>
      <c r="E101" t="s">
        <v>678</v>
      </c>
      <c r="F101" t="s">
        <v>678</v>
      </c>
      <c r="G101" t="s">
        <v>678</v>
      </c>
    </row>
    <row r="102" spans="1:7">
      <c r="A102" t="s">
        <v>123</v>
      </c>
      <c r="B102">
        <v>3</v>
      </c>
      <c r="C102" t="s">
        <v>2371</v>
      </c>
      <c r="D102" t="s">
        <v>773</v>
      </c>
      <c r="E102" t="s">
        <v>678</v>
      </c>
      <c r="F102" t="s">
        <v>678</v>
      </c>
      <c r="G102" t="s">
        <v>678</v>
      </c>
    </row>
    <row r="103" spans="1:7">
      <c r="A103" t="s">
        <v>123</v>
      </c>
      <c r="B103">
        <v>4</v>
      </c>
      <c r="C103" t="s">
        <v>2372</v>
      </c>
      <c r="D103" t="s">
        <v>773</v>
      </c>
      <c r="E103" t="s">
        <v>678</v>
      </c>
      <c r="F103" t="s">
        <v>678</v>
      </c>
      <c r="G103" t="s">
        <v>678</v>
      </c>
    </row>
    <row r="104" spans="1:7">
      <c r="A104" t="s">
        <v>123</v>
      </c>
      <c r="B104">
        <v>5</v>
      </c>
      <c r="C104" t="s">
        <v>2373</v>
      </c>
      <c r="D104" t="s">
        <v>773</v>
      </c>
      <c r="E104" t="s">
        <v>678</v>
      </c>
      <c r="F104" t="s">
        <v>678</v>
      </c>
      <c r="G104" t="s">
        <v>678</v>
      </c>
    </row>
    <row r="105" spans="1:7">
      <c r="A105" t="s">
        <v>123</v>
      </c>
      <c r="B105">
        <v>6</v>
      </c>
      <c r="C105" t="s">
        <v>2374</v>
      </c>
      <c r="D105" t="s">
        <v>773</v>
      </c>
      <c r="E105" t="s">
        <v>678</v>
      </c>
      <c r="F105" t="s">
        <v>678</v>
      </c>
      <c r="G105" t="s">
        <v>678</v>
      </c>
    </row>
    <row r="106" spans="1:7">
      <c r="A106" t="s">
        <v>123</v>
      </c>
      <c r="B106">
        <v>7</v>
      </c>
      <c r="C106" t="s">
        <v>2375</v>
      </c>
      <c r="D106" t="s">
        <v>773</v>
      </c>
      <c r="E106" t="s">
        <v>678</v>
      </c>
      <c r="F106" t="s">
        <v>678</v>
      </c>
      <c r="G106" t="s">
        <v>678</v>
      </c>
    </row>
    <row r="107" spans="1:7">
      <c r="A107" t="s">
        <v>123</v>
      </c>
      <c r="B107">
        <v>8</v>
      </c>
      <c r="C107" t="s">
        <v>2376</v>
      </c>
      <c r="D107" t="s">
        <v>773</v>
      </c>
      <c r="E107" t="s">
        <v>678</v>
      </c>
      <c r="F107" t="s">
        <v>678</v>
      </c>
      <c r="G107" t="s">
        <v>678</v>
      </c>
    </row>
    <row r="108" spans="1:7">
      <c r="A108" t="s">
        <v>513</v>
      </c>
      <c r="B108">
        <v>1</v>
      </c>
      <c r="C108" t="s">
        <v>67</v>
      </c>
      <c r="D108" t="s">
        <v>737</v>
      </c>
      <c r="E108" t="s">
        <v>67</v>
      </c>
      <c r="F108" t="s">
        <v>678</v>
      </c>
      <c r="G108" t="s">
        <v>678</v>
      </c>
    </row>
    <row r="109" spans="1:7">
      <c r="A109" t="s">
        <v>513</v>
      </c>
      <c r="B109">
        <v>2</v>
      </c>
      <c r="C109" t="s">
        <v>514</v>
      </c>
      <c r="D109" t="s">
        <v>2377</v>
      </c>
      <c r="E109" t="s">
        <v>678</v>
      </c>
      <c r="F109" t="s">
        <v>2378</v>
      </c>
      <c r="G109" t="s">
        <v>555</v>
      </c>
    </row>
    <row r="110" spans="1:7">
      <c r="A110" t="s">
        <v>513</v>
      </c>
      <c r="B110">
        <v>3</v>
      </c>
      <c r="C110" t="s">
        <v>100</v>
      </c>
      <c r="D110" t="s">
        <v>737</v>
      </c>
      <c r="E110" t="s">
        <v>100</v>
      </c>
      <c r="F110" t="s">
        <v>678</v>
      </c>
      <c r="G110" t="s">
        <v>678</v>
      </c>
    </row>
    <row r="111" spans="1:7">
      <c r="A111" t="s">
        <v>513</v>
      </c>
      <c r="B111">
        <v>4</v>
      </c>
      <c r="C111" t="s">
        <v>80</v>
      </c>
      <c r="D111" t="s">
        <v>737</v>
      </c>
      <c r="E111" t="s">
        <v>80</v>
      </c>
      <c r="F111" t="s">
        <v>678</v>
      </c>
      <c r="G111" t="s">
        <v>678</v>
      </c>
    </row>
    <row r="112" spans="1:7">
      <c r="A112" t="s">
        <v>513</v>
      </c>
      <c r="B112">
        <v>5</v>
      </c>
      <c r="C112" t="s">
        <v>515</v>
      </c>
      <c r="D112" t="s">
        <v>2377</v>
      </c>
      <c r="E112" t="s">
        <v>678</v>
      </c>
      <c r="F112" t="s">
        <v>2379</v>
      </c>
      <c r="G112" t="s">
        <v>554</v>
      </c>
    </row>
    <row r="113" spans="1:7">
      <c r="A113" t="s">
        <v>513</v>
      </c>
      <c r="B113">
        <v>6</v>
      </c>
      <c r="C113" t="s">
        <v>515</v>
      </c>
      <c r="D113" t="s">
        <v>2377</v>
      </c>
      <c r="E113" t="s">
        <v>678</v>
      </c>
      <c r="F113" t="s">
        <v>2379</v>
      </c>
      <c r="G113" t="s">
        <v>554</v>
      </c>
    </row>
    <row r="114" spans="1:7">
      <c r="A114" t="s">
        <v>513</v>
      </c>
      <c r="B114">
        <v>7</v>
      </c>
      <c r="C114" t="s">
        <v>515</v>
      </c>
      <c r="D114" t="s">
        <v>2377</v>
      </c>
      <c r="E114" t="s">
        <v>678</v>
      </c>
      <c r="F114" t="s">
        <v>2379</v>
      </c>
      <c r="G114" t="s">
        <v>554</v>
      </c>
    </row>
    <row r="115" spans="1:7">
      <c r="A115" t="s">
        <v>513</v>
      </c>
      <c r="B115">
        <v>8</v>
      </c>
      <c r="C115" t="s">
        <v>119</v>
      </c>
      <c r="D115" t="s">
        <v>737</v>
      </c>
      <c r="E115" t="s">
        <v>119</v>
      </c>
      <c r="F115" t="s">
        <v>678</v>
      </c>
      <c r="G115" t="s">
        <v>678</v>
      </c>
    </row>
    <row r="116" spans="1:7">
      <c r="A116" t="s">
        <v>516</v>
      </c>
      <c r="B116">
        <v>1</v>
      </c>
      <c r="C116" t="s">
        <v>67</v>
      </c>
      <c r="D116" t="s">
        <v>737</v>
      </c>
      <c r="E116" t="s">
        <v>67</v>
      </c>
      <c r="F116" t="s">
        <v>678</v>
      </c>
      <c r="G116" t="s">
        <v>678</v>
      </c>
    </row>
    <row r="117" spans="1:7">
      <c r="A117" t="s">
        <v>516</v>
      </c>
      <c r="B117">
        <v>2</v>
      </c>
      <c r="C117" t="s">
        <v>79</v>
      </c>
      <c r="D117" t="s">
        <v>737</v>
      </c>
      <c r="E117" t="s">
        <v>79</v>
      </c>
      <c r="F117" t="s">
        <v>678</v>
      </c>
      <c r="G117" t="s">
        <v>678</v>
      </c>
    </row>
    <row r="118" spans="1:7">
      <c r="A118" t="s">
        <v>516</v>
      </c>
      <c r="B118">
        <v>3</v>
      </c>
      <c r="C118" t="s">
        <v>101</v>
      </c>
      <c r="D118" t="s">
        <v>737</v>
      </c>
      <c r="E118" t="s">
        <v>101</v>
      </c>
      <c r="F118" t="s">
        <v>678</v>
      </c>
      <c r="G118" t="s">
        <v>678</v>
      </c>
    </row>
    <row r="119" spans="1:7">
      <c r="A119" t="s">
        <v>516</v>
      </c>
      <c r="B119">
        <v>4</v>
      </c>
      <c r="C119" t="s">
        <v>107</v>
      </c>
      <c r="D119" t="s">
        <v>737</v>
      </c>
      <c r="E119" t="s">
        <v>107</v>
      </c>
      <c r="F119" t="s">
        <v>678</v>
      </c>
      <c r="G119" t="s">
        <v>678</v>
      </c>
    </row>
    <row r="120" spans="1:7">
      <c r="A120" t="s">
        <v>516</v>
      </c>
      <c r="B120">
        <v>5</v>
      </c>
      <c r="C120" t="s">
        <v>119</v>
      </c>
      <c r="D120" t="s">
        <v>737</v>
      </c>
      <c r="E120" t="s">
        <v>119</v>
      </c>
      <c r="F120" t="s">
        <v>678</v>
      </c>
      <c r="G120" t="s">
        <v>678</v>
      </c>
    </row>
    <row r="121" spans="1:7">
      <c r="A121" t="s">
        <v>516</v>
      </c>
      <c r="B121">
        <v>6</v>
      </c>
      <c r="C121" t="s">
        <v>80</v>
      </c>
      <c r="D121" t="s">
        <v>737</v>
      </c>
      <c r="E121" t="s">
        <v>80</v>
      </c>
      <c r="F121" t="s">
        <v>678</v>
      </c>
      <c r="G121" t="s">
        <v>678</v>
      </c>
    </row>
    <row r="122" spans="1:7">
      <c r="A122" t="s">
        <v>516</v>
      </c>
      <c r="B122">
        <v>7</v>
      </c>
      <c r="C122" t="s">
        <v>111</v>
      </c>
      <c r="D122" t="s">
        <v>737</v>
      </c>
      <c r="E122" t="s">
        <v>111</v>
      </c>
      <c r="F122" t="s">
        <v>678</v>
      </c>
      <c r="G122" t="s">
        <v>678</v>
      </c>
    </row>
    <row r="123" spans="1:7">
      <c r="A123" t="s">
        <v>516</v>
      </c>
      <c r="B123">
        <v>8</v>
      </c>
      <c r="C123" t="s">
        <v>112</v>
      </c>
      <c r="D123" t="s">
        <v>737</v>
      </c>
      <c r="E123" t="s">
        <v>112</v>
      </c>
      <c r="F123" t="s">
        <v>678</v>
      </c>
      <c r="G123" t="s">
        <v>678</v>
      </c>
    </row>
    <row r="124" spans="1:7">
      <c r="A124" t="s">
        <v>517</v>
      </c>
      <c r="B124">
        <v>1</v>
      </c>
      <c r="C124" t="s">
        <v>515</v>
      </c>
      <c r="D124" t="s">
        <v>2377</v>
      </c>
      <c r="E124" t="s">
        <v>678</v>
      </c>
      <c r="F124" t="s">
        <v>2379</v>
      </c>
      <c r="G124" t="s">
        <v>554</v>
      </c>
    </row>
    <row r="125" spans="1:7">
      <c r="A125" t="s">
        <v>517</v>
      </c>
      <c r="B125">
        <v>2</v>
      </c>
      <c r="C125" t="s">
        <v>69</v>
      </c>
      <c r="D125" t="s">
        <v>737</v>
      </c>
      <c r="E125" t="s">
        <v>69</v>
      </c>
      <c r="F125" t="s">
        <v>678</v>
      </c>
      <c r="G125" t="s">
        <v>678</v>
      </c>
    </row>
    <row r="126" spans="1:7">
      <c r="A126" t="s">
        <v>517</v>
      </c>
      <c r="B126">
        <v>3</v>
      </c>
      <c r="C126" t="s">
        <v>85</v>
      </c>
      <c r="D126" t="s">
        <v>737</v>
      </c>
      <c r="E126" t="s">
        <v>85</v>
      </c>
      <c r="F126" t="s">
        <v>678</v>
      </c>
      <c r="G126" t="s">
        <v>678</v>
      </c>
    </row>
    <row r="127" spans="1:7">
      <c r="A127" t="s">
        <v>517</v>
      </c>
      <c r="B127">
        <v>4</v>
      </c>
      <c r="C127" t="s">
        <v>118</v>
      </c>
      <c r="D127" t="s">
        <v>737</v>
      </c>
      <c r="E127" t="s">
        <v>118</v>
      </c>
      <c r="F127" t="s">
        <v>678</v>
      </c>
      <c r="G127" t="s">
        <v>678</v>
      </c>
    </row>
    <row r="128" spans="1:7">
      <c r="A128" t="s">
        <v>517</v>
      </c>
      <c r="B128">
        <v>5</v>
      </c>
      <c r="C128" t="s">
        <v>64</v>
      </c>
      <c r="D128" t="s">
        <v>737</v>
      </c>
      <c r="E128" t="s">
        <v>64</v>
      </c>
      <c r="F128" t="s">
        <v>678</v>
      </c>
      <c r="G128" t="s">
        <v>678</v>
      </c>
    </row>
    <row r="129" spans="1:7">
      <c r="A129" t="s">
        <v>517</v>
      </c>
      <c r="B129">
        <v>6</v>
      </c>
      <c r="C129" t="s">
        <v>78</v>
      </c>
      <c r="D129" t="s">
        <v>737</v>
      </c>
      <c r="E129" t="s">
        <v>78</v>
      </c>
      <c r="F129" t="s">
        <v>678</v>
      </c>
      <c r="G129" t="s">
        <v>678</v>
      </c>
    </row>
    <row r="130" spans="1:7">
      <c r="A130" t="s">
        <v>517</v>
      </c>
      <c r="B130">
        <v>7</v>
      </c>
      <c r="C130" t="s">
        <v>80</v>
      </c>
      <c r="D130" t="s">
        <v>737</v>
      </c>
      <c r="E130" t="s">
        <v>80</v>
      </c>
      <c r="F130" t="s">
        <v>678</v>
      </c>
      <c r="G130" t="s">
        <v>678</v>
      </c>
    </row>
    <row r="131" spans="1:7">
      <c r="A131" t="s">
        <v>517</v>
      </c>
      <c r="B131">
        <v>8</v>
      </c>
      <c r="C131" t="s">
        <v>119</v>
      </c>
      <c r="D131" t="s">
        <v>737</v>
      </c>
      <c r="E131" t="s">
        <v>119</v>
      </c>
      <c r="F131" t="s">
        <v>678</v>
      </c>
      <c r="G131" t="s">
        <v>678</v>
      </c>
    </row>
    <row r="132" spans="1:7">
      <c r="A132" t="s">
        <v>518</v>
      </c>
      <c r="B132">
        <v>1</v>
      </c>
      <c r="C132" t="s">
        <v>67</v>
      </c>
      <c r="D132" t="s">
        <v>737</v>
      </c>
      <c r="E132" t="s">
        <v>67</v>
      </c>
      <c r="F132" t="s">
        <v>678</v>
      </c>
      <c r="G132" t="s">
        <v>678</v>
      </c>
    </row>
    <row r="133" spans="1:7">
      <c r="A133" t="s">
        <v>518</v>
      </c>
      <c r="B133">
        <v>2</v>
      </c>
      <c r="C133" t="s">
        <v>79</v>
      </c>
      <c r="D133" t="s">
        <v>737</v>
      </c>
      <c r="E133" t="s">
        <v>79</v>
      </c>
      <c r="F133" t="s">
        <v>678</v>
      </c>
      <c r="G133" t="s">
        <v>678</v>
      </c>
    </row>
    <row r="134" spans="1:7">
      <c r="A134" t="s">
        <v>518</v>
      </c>
      <c r="B134">
        <v>3</v>
      </c>
      <c r="C134" t="s">
        <v>519</v>
      </c>
      <c r="D134" t="s">
        <v>737</v>
      </c>
      <c r="E134" t="s">
        <v>519</v>
      </c>
      <c r="F134" t="s">
        <v>678</v>
      </c>
      <c r="G134" t="s">
        <v>555</v>
      </c>
    </row>
    <row r="135" spans="1:7">
      <c r="A135" t="s">
        <v>518</v>
      </c>
      <c r="B135">
        <v>4</v>
      </c>
      <c r="C135" t="s">
        <v>520</v>
      </c>
      <c r="D135" t="s">
        <v>737</v>
      </c>
      <c r="E135" t="s">
        <v>520</v>
      </c>
      <c r="F135" t="s">
        <v>678</v>
      </c>
      <c r="G135" t="s">
        <v>555</v>
      </c>
    </row>
    <row r="136" spans="1:7">
      <c r="A136" t="s">
        <v>518</v>
      </c>
      <c r="B136">
        <v>5</v>
      </c>
      <c r="C136" t="s">
        <v>97</v>
      </c>
      <c r="D136" t="s">
        <v>737</v>
      </c>
      <c r="E136" t="s">
        <v>97</v>
      </c>
      <c r="F136" t="s">
        <v>678</v>
      </c>
      <c r="G136" t="s">
        <v>678</v>
      </c>
    </row>
    <row r="137" spans="1:7">
      <c r="A137" t="s">
        <v>518</v>
      </c>
      <c r="B137">
        <v>6</v>
      </c>
      <c r="C137" t="s">
        <v>100</v>
      </c>
      <c r="D137" t="s">
        <v>737</v>
      </c>
      <c r="E137" t="s">
        <v>100</v>
      </c>
      <c r="F137" t="s">
        <v>678</v>
      </c>
      <c r="G137" t="s">
        <v>678</v>
      </c>
    </row>
    <row r="138" spans="1:7">
      <c r="A138" t="s">
        <v>518</v>
      </c>
      <c r="B138">
        <v>7</v>
      </c>
      <c r="C138" t="s">
        <v>102</v>
      </c>
      <c r="D138" t="s">
        <v>737</v>
      </c>
      <c r="E138" t="s">
        <v>102</v>
      </c>
      <c r="F138" t="s">
        <v>678</v>
      </c>
      <c r="G138" t="s">
        <v>678</v>
      </c>
    </row>
    <row r="139" spans="1:7">
      <c r="A139" t="s">
        <v>518</v>
      </c>
      <c r="B139">
        <v>8</v>
      </c>
      <c r="C139" t="s">
        <v>106</v>
      </c>
      <c r="D139" t="s">
        <v>737</v>
      </c>
      <c r="E139" t="s">
        <v>106</v>
      </c>
      <c r="F139" t="s">
        <v>678</v>
      </c>
      <c r="G139" t="s">
        <v>678</v>
      </c>
    </row>
    <row r="140" spans="1:7">
      <c r="A140" t="s">
        <v>521</v>
      </c>
      <c r="B140">
        <v>1</v>
      </c>
      <c r="C140" t="s">
        <v>67</v>
      </c>
      <c r="D140" t="s">
        <v>737</v>
      </c>
      <c r="E140" t="s">
        <v>67</v>
      </c>
      <c r="F140" t="s">
        <v>678</v>
      </c>
      <c r="G140" t="s">
        <v>678</v>
      </c>
    </row>
    <row r="141" spans="1:7">
      <c r="A141" t="s">
        <v>521</v>
      </c>
      <c r="B141">
        <v>2</v>
      </c>
      <c r="C141" t="s">
        <v>514</v>
      </c>
      <c r="D141" t="s">
        <v>2377</v>
      </c>
      <c r="E141" t="s">
        <v>678</v>
      </c>
      <c r="F141" t="s">
        <v>2378</v>
      </c>
      <c r="G141" t="s">
        <v>555</v>
      </c>
    </row>
    <row r="142" spans="1:7">
      <c r="A142" t="s">
        <v>521</v>
      </c>
      <c r="B142">
        <v>3</v>
      </c>
      <c r="C142" t="s">
        <v>514</v>
      </c>
      <c r="D142" t="s">
        <v>2377</v>
      </c>
      <c r="E142" t="s">
        <v>678</v>
      </c>
      <c r="F142" t="s">
        <v>2378</v>
      </c>
      <c r="G142" t="s">
        <v>555</v>
      </c>
    </row>
    <row r="143" spans="1:7">
      <c r="A143" t="s">
        <v>521</v>
      </c>
      <c r="B143">
        <v>4</v>
      </c>
      <c r="C143" t="s">
        <v>103</v>
      </c>
      <c r="D143" t="s">
        <v>737</v>
      </c>
      <c r="E143" t="s">
        <v>103</v>
      </c>
      <c r="F143" t="s">
        <v>678</v>
      </c>
      <c r="G143" t="s">
        <v>678</v>
      </c>
    </row>
    <row r="144" spans="1:7">
      <c r="A144" t="s">
        <v>521</v>
      </c>
      <c r="B144">
        <v>5</v>
      </c>
      <c r="C144" t="s">
        <v>107</v>
      </c>
      <c r="D144" t="s">
        <v>737</v>
      </c>
      <c r="E144" t="s">
        <v>107</v>
      </c>
      <c r="F144" t="s">
        <v>678</v>
      </c>
      <c r="G144" t="s">
        <v>678</v>
      </c>
    </row>
    <row r="145" spans="1:7">
      <c r="A145" t="s">
        <v>521</v>
      </c>
      <c r="B145">
        <v>6</v>
      </c>
      <c r="C145" t="s">
        <v>116</v>
      </c>
      <c r="D145" t="s">
        <v>737</v>
      </c>
      <c r="E145" t="s">
        <v>116</v>
      </c>
      <c r="F145" t="s">
        <v>678</v>
      </c>
      <c r="G145" t="s">
        <v>678</v>
      </c>
    </row>
    <row r="146" spans="1:7">
      <c r="A146" t="s">
        <v>521</v>
      </c>
      <c r="B146">
        <v>7</v>
      </c>
      <c r="C146" t="s">
        <v>76</v>
      </c>
      <c r="D146" t="s">
        <v>737</v>
      </c>
      <c r="E146" t="s">
        <v>76</v>
      </c>
      <c r="F146" t="s">
        <v>678</v>
      </c>
      <c r="G146" t="s">
        <v>678</v>
      </c>
    </row>
    <row r="147" spans="1:7">
      <c r="A147" t="s">
        <v>521</v>
      </c>
      <c r="B147">
        <v>8</v>
      </c>
      <c r="C147" t="s">
        <v>102</v>
      </c>
      <c r="D147" t="s">
        <v>737</v>
      </c>
      <c r="E147" t="s">
        <v>102</v>
      </c>
      <c r="F147" t="s">
        <v>678</v>
      </c>
      <c r="G147" t="s">
        <v>678</v>
      </c>
    </row>
    <row r="148" spans="1:7">
      <c r="A148" t="s">
        <v>522</v>
      </c>
      <c r="B148">
        <v>1</v>
      </c>
      <c r="C148" t="s">
        <v>63</v>
      </c>
      <c r="D148" t="s">
        <v>737</v>
      </c>
      <c r="E148" t="s">
        <v>63</v>
      </c>
      <c r="F148" t="s">
        <v>678</v>
      </c>
      <c r="G148" t="s">
        <v>678</v>
      </c>
    </row>
    <row r="149" spans="1:7">
      <c r="A149" t="s">
        <v>522</v>
      </c>
      <c r="B149">
        <v>2</v>
      </c>
      <c r="C149" t="s">
        <v>85</v>
      </c>
      <c r="D149" t="s">
        <v>737</v>
      </c>
      <c r="E149" t="s">
        <v>85</v>
      </c>
      <c r="F149" t="s">
        <v>678</v>
      </c>
      <c r="G149" t="s">
        <v>678</v>
      </c>
    </row>
    <row r="150" spans="1:7">
      <c r="A150" t="s">
        <v>522</v>
      </c>
      <c r="B150">
        <v>3</v>
      </c>
      <c r="C150" t="s">
        <v>90</v>
      </c>
      <c r="D150" t="s">
        <v>737</v>
      </c>
      <c r="E150" t="s">
        <v>90</v>
      </c>
      <c r="F150" t="s">
        <v>678</v>
      </c>
      <c r="G150" t="s">
        <v>678</v>
      </c>
    </row>
    <row r="151" spans="1:7">
      <c r="A151" t="s">
        <v>522</v>
      </c>
      <c r="B151">
        <v>4</v>
      </c>
      <c r="C151" t="s">
        <v>97</v>
      </c>
      <c r="D151" t="s">
        <v>737</v>
      </c>
      <c r="E151" t="s">
        <v>97</v>
      </c>
      <c r="F151" t="s">
        <v>678</v>
      </c>
      <c r="G151" t="s">
        <v>678</v>
      </c>
    </row>
    <row r="152" spans="1:7">
      <c r="A152" t="s">
        <v>522</v>
      </c>
      <c r="B152">
        <v>5</v>
      </c>
      <c r="C152" t="s">
        <v>119</v>
      </c>
      <c r="D152" t="s">
        <v>737</v>
      </c>
      <c r="E152" t="s">
        <v>119</v>
      </c>
      <c r="F152" t="s">
        <v>678</v>
      </c>
      <c r="G152" t="s">
        <v>678</v>
      </c>
    </row>
    <row r="153" spans="1:7">
      <c r="A153" t="s">
        <v>522</v>
      </c>
      <c r="B153">
        <v>6</v>
      </c>
      <c r="C153" t="s">
        <v>64</v>
      </c>
      <c r="D153" t="s">
        <v>737</v>
      </c>
      <c r="E153" t="s">
        <v>64</v>
      </c>
      <c r="F153" t="s">
        <v>678</v>
      </c>
      <c r="G153" t="s">
        <v>678</v>
      </c>
    </row>
    <row r="154" spans="1:7">
      <c r="A154" t="s">
        <v>522</v>
      </c>
      <c r="B154">
        <v>7</v>
      </c>
      <c r="C154" t="s">
        <v>80</v>
      </c>
      <c r="D154" t="s">
        <v>737</v>
      </c>
      <c r="E154" t="s">
        <v>80</v>
      </c>
      <c r="F154" t="s">
        <v>678</v>
      </c>
      <c r="G154" t="s">
        <v>678</v>
      </c>
    </row>
    <row r="155" spans="1:7">
      <c r="A155" t="s">
        <v>522</v>
      </c>
      <c r="B155">
        <v>8</v>
      </c>
      <c r="C155" t="s">
        <v>2380</v>
      </c>
      <c r="D155" t="s">
        <v>773</v>
      </c>
      <c r="E155" t="s">
        <v>678</v>
      </c>
      <c r="F155" t="s">
        <v>678</v>
      </c>
      <c r="G155" t="s">
        <v>678</v>
      </c>
    </row>
    <row r="156" spans="1:7">
      <c r="A156" t="s">
        <v>524</v>
      </c>
      <c r="B156">
        <v>1</v>
      </c>
      <c r="C156" t="s">
        <v>347</v>
      </c>
      <c r="D156" t="s">
        <v>2377</v>
      </c>
      <c r="E156" t="s">
        <v>678</v>
      </c>
      <c r="F156" t="s">
        <v>2381</v>
      </c>
      <c r="G156" t="s">
        <v>308</v>
      </c>
    </row>
    <row r="157" spans="1:7">
      <c r="A157" t="s">
        <v>524</v>
      </c>
      <c r="B157">
        <v>2</v>
      </c>
      <c r="C157" t="s">
        <v>347</v>
      </c>
      <c r="D157" t="s">
        <v>2377</v>
      </c>
      <c r="E157" t="s">
        <v>678</v>
      </c>
      <c r="F157" t="s">
        <v>2381</v>
      </c>
      <c r="G157" t="s">
        <v>308</v>
      </c>
    </row>
    <row r="158" spans="1:7">
      <c r="A158" t="s">
        <v>524</v>
      </c>
      <c r="B158">
        <v>3</v>
      </c>
      <c r="C158" t="s">
        <v>347</v>
      </c>
      <c r="D158" t="s">
        <v>2377</v>
      </c>
      <c r="E158" t="s">
        <v>678</v>
      </c>
      <c r="F158" t="s">
        <v>2381</v>
      </c>
      <c r="G158" t="s">
        <v>308</v>
      </c>
    </row>
    <row r="159" spans="1:7">
      <c r="A159" t="s">
        <v>524</v>
      </c>
      <c r="B159">
        <v>4</v>
      </c>
      <c r="C159" t="s">
        <v>118</v>
      </c>
      <c r="D159" t="s">
        <v>737</v>
      </c>
      <c r="E159" t="s">
        <v>118</v>
      </c>
      <c r="F159" t="s">
        <v>678</v>
      </c>
      <c r="G159" t="s">
        <v>678</v>
      </c>
    </row>
    <row r="160" spans="1:7">
      <c r="A160" t="s">
        <v>524</v>
      </c>
      <c r="B160">
        <v>5</v>
      </c>
      <c r="C160" t="s">
        <v>119</v>
      </c>
      <c r="D160" t="s">
        <v>737</v>
      </c>
      <c r="E160" t="s">
        <v>119</v>
      </c>
      <c r="F160" t="s">
        <v>678</v>
      </c>
      <c r="G160" t="s">
        <v>678</v>
      </c>
    </row>
    <row r="161" spans="1:7">
      <c r="A161" t="s">
        <v>524</v>
      </c>
      <c r="B161">
        <v>6</v>
      </c>
      <c r="C161" t="s">
        <v>78</v>
      </c>
      <c r="D161" t="s">
        <v>737</v>
      </c>
      <c r="E161" t="s">
        <v>78</v>
      </c>
      <c r="F161" t="s">
        <v>678</v>
      </c>
      <c r="G161" t="s">
        <v>678</v>
      </c>
    </row>
    <row r="162" spans="1:7">
      <c r="A162" t="s">
        <v>524</v>
      </c>
      <c r="B162">
        <v>7</v>
      </c>
      <c r="C162" t="s">
        <v>80</v>
      </c>
      <c r="D162" t="s">
        <v>737</v>
      </c>
      <c r="E162" t="s">
        <v>80</v>
      </c>
      <c r="F162" t="s">
        <v>678</v>
      </c>
      <c r="G162" t="s">
        <v>678</v>
      </c>
    </row>
    <row r="163" spans="1:7">
      <c r="A163" t="s">
        <v>524</v>
      </c>
      <c r="B163">
        <v>8</v>
      </c>
      <c r="C163" t="s">
        <v>95</v>
      </c>
      <c r="D163" t="s">
        <v>737</v>
      </c>
      <c r="E163" t="s">
        <v>95</v>
      </c>
      <c r="F163" t="s">
        <v>678</v>
      </c>
      <c r="G163" t="s">
        <v>678</v>
      </c>
    </row>
    <row r="164" spans="1:7">
      <c r="A164" t="s">
        <v>526</v>
      </c>
      <c r="B164">
        <v>1</v>
      </c>
      <c r="C164" t="s">
        <v>67</v>
      </c>
      <c r="D164" t="s">
        <v>737</v>
      </c>
      <c r="E164" t="s">
        <v>67</v>
      </c>
      <c r="F164" t="s">
        <v>678</v>
      </c>
      <c r="G164" t="s">
        <v>678</v>
      </c>
    </row>
    <row r="165" spans="1:7">
      <c r="A165" t="s">
        <v>526</v>
      </c>
      <c r="B165">
        <v>2</v>
      </c>
      <c r="C165" t="s">
        <v>101</v>
      </c>
      <c r="D165" t="s">
        <v>737</v>
      </c>
      <c r="E165" t="s">
        <v>101</v>
      </c>
      <c r="F165" t="s">
        <v>678</v>
      </c>
      <c r="G165" t="s">
        <v>678</v>
      </c>
    </row>
    <row r="166" spans="1:7">
      <c r="A166" t="s">
        <v>526</v>
      </c>
      <c r="B166">
        <v>3</v>
      </c>
      <c r="C166" t="s">
        <v>105</v>
      </c>
      <c r="D166" t="s">
        <v>737</v>
      </c>
      <c r="E166" t="s">
        <v>105</v>
      </c>
      <c r="F166" t="s">
        <v>678</v>
      </c>
      <c r="G166" t="s">
        <v>678</v>
      </c>
    </row>
    <row r="167" spans="1:7">
      <c r="A167" t="s">
        <v>526</v>
      </c>
      <c r="B167">
        <v>4</v>
      </c>
      <c r="C167" t="s">
        <v>107</v>
      </c>
      <c r="D167" t="s">
        <v>737</v>
      </c>
      <c r="E167" t="s">
        <v>107</v>
      </c>
      <c r="F167" t="s">
        <v>678</v>
      </c>
      <c r="G167" t="s">
        <v>678</v>
      </c>
    </row>
    <row r="168" spans="1:7">
      <c r="A168" t="s">
        <v>526</v>
      </c>
      <c r="B168">
        <v>5</v>
      </c>
      <c r="C168" t="s">
        <v>117</v>
      </c>
      <c r="D168" t="s">
        <v>737</v>
      </c>
      <c r="E168" t="s">
        <v>117</v>
      </c>
      <c r="F168" t="s">
        <v>678</v>
      </c>
      <c r="G168" t="s">
        <v>678</v>
      </c>
    </row>
    <row r="169" spans="1:7">
      <c r="A169" t="s">
        <v>526</v>
      </c>
      <c r="B169">
        <v>6</v>
      </c>
      <c r="C169" t="s">
        <v>70</v>
      </c>
      <c r="D169" t="s">
        <v>737</v>
      </c>
      <c r="E169" t="s">
        <v>70</v>
      </c>
      <c r="F169" t="s">
        <v>678</v>
      </c>
      <c r="G169" t="s">
        <v>678</v>
      </c>
    </row>
    <row r="170" spans="1:7">
      <c r="A170" t="s">
        <v>526</v>
      </c>
      <c r="B170">
        <v>7</v>
      </c>
      <c r="C170" t="s">
        <v>106</v>
      </c>
      <c r="D170" t="s">
        <v>737</v>
      </c>
      <c r="E170" t="s">
        <v>106</v>
      </c>
      <c r="F170" t="s">
        <v>678</v>
      </c>
      <c r="G170" t="s">
        <v>678</v>
      </c>
    </row>
    <row r="171" spans="1:7">
      <c r="A171" t="s">
        <v>526</v>
      </c>
      <c r="B171">
        <v>8</v>
      </c>
      <c r="C171" t="s">
        <v>112</v>
      </c>
      <c r="D171" t="s">
        <v>737</v>
      </c>
      <c r="E171" t="s">
        <v>112</v>
      </c>
      <c r="F171" t="s">
        <v>678</v>
      </c>
      <c r="G171" t="s">
        <v>678</v>
      </c>
    </row>
    <row r="172" spans="1:7">
      <c r="A172" t="s">
        <v>527</v>
      </c>
      <c r="B172">
        <v>1</v>
      </c>
      <c r="C172" t="s">
        <v>90</v>
      </c>
      <c r="D172" t="s">
        <v>737</v>
      </c>
      <c r="E172" t="s">
        <v>90</v>
      </c>
      <c r="F172" t="s">
        <v>678</v>
      </c>
      <c r="G172" t="s">
        <v>678</v>
      </c>
    </row>
    <row r="173" spans="1:7">
      <c r="A173" t="s">
        <v>527</v>
      </c>
      <c r="B173">
        <v>2</v>
      </c>
      <c r="C173" t="s">
        <v>377</v>
      </c>
      <c r="D173" t="s">
        <v>737</v>
      </c>
      <c r="E173" t="s">
        <v>377</v>
      </c>
      <c r="F173" t="s">
        <v>678</v>
      </c>
      <c r="G173" t="s">
        <v>555</v>
      </c>
    </row>
    <row r="174" spans="1:7">
      <c r="A174" t="s">
        <v>527</v>
      </c>
      <c r="B174">
        <v>3</v>
      </c>
      <c r="C174" t="s">
        <v>384</v>
      </c>
      <c r="D174" t="s">
        <v>737</v>
      </c>
      <c r="E174" t="s">
        <v>384</v>
      </c>
      <c r="F174" t="s">
        <v>678</v>
      </c>
      <c r="G174" t="s">
        <v>556</v>
      </c>
    </row>
    <row r="175" spans="1:7">
      <c r="A175" t="s">
        <v>527</v>
      </c>
      <c r="B175">
        <v>4</v>
      </c>
      <c r="C175" t="s">
        <v>104</v>
      </c>
      <c r="D175" t="s">
        <v>737</v>
      </c>
      <c r="E175" t="s">
        <v>104</v>
      </c>
      <c r="F175" t="s">
        <v>678</v>
      </c>
      <c r="G175" t="s">
        <v>678</v>
      </c>
    </row>
    <row r="176" spans="1:7">
      <c r="A176" t="s">
        <v>527</v>
      </c>
      <c r="B176">
        <v>5</v>
      </c>
      <c r="C176" t="s">
        <v>2380</v>
      </c>
      <c r="D176" t="s">
        <v>773</v>
      </c>
      <c r="E176" t="s">
        <v>678</v>
      </c>
      <c r="F176" t="s">
        <v>678</v>
      </c>
      <c r="G176" t="s">
        <v>678</v>
      </c>
    </row>
    <row r="177" spans="1:7">
      <c r="A177" t="s">
        <v>527</v>
      </c>
      <c r="B177">
        <v>6</v>
      </c>
      <c r="C177" t="s">
        <v>2380</v>
      </c>
      <c r="D177" t="s">
        <v>773</v>
      </c>
      <c r="E177" t="s">
        <v>678</v>
      </c>
      <c r="F177" t="s">
        <v>678</v>
      </c>
      <c r="G177" t="s">
        <v>678</v>
      </c>
    </row>
    <row r="178" spans="1:7">
      <c r="A178" t="s">
        <v>527</v>
      </c>
      <c r="B178">
        <v>7</v>
      </c>
      <c r="C178" t="s">
        <v>2380</v>
      </c>
      <c r="D178" t="s">
        <v>773</v>
      </c>
      <c r="E178" t="s">
        <v>678</v>
      </c>
      <c r="F178" t="s">
        <v>678</v>
      </c>
      <c r="G178" t="s">
        <v>678</v>
      </c>
    </row>
    <row r="179" spans="1:7">
      <c r="A179" t="s">
        <v>527</v>
      </c>
      <c r="B179">
        <v>8</v>
      </c>
      <c r="C179" t="s">
        <v>2380</v>
      </c>
      <c r="D179" t="s">
        <v>773</v>
      </c>
      <c r="E179" t="s">
        <v>678</v>
      </c>
      <c r="F179" t="s">
        <v>678</v>
      </c>
      <c r="G179" t="s">
        <v>678</v>
      </c>
    </row>
    <row r="180" spans="1:7">
      <c r="A180" t="s">
        <v>529</v>
      </c>
      <c r="B180">
        <v>1</v>
      </c>
      <c r="C180" t="s">
        <v>85</v>
      </c>
      <c r="D180" t="s">
        <v>737</v>
      </c>
      <c r="E180" t="s">
        <v>85</v>
      </c>
      <c r="F180" t="s">
        <v>678</v>
      </c>
      <c r="G180" t="s">
        <v>678</v>
      </c>
    </row>
    <row r="181" spans="1:7">
      <c r="A181" t="s">
        <v>529</v>
      </c>
      <c r="B181">
        <v>2</v>
      </c>
      <c r="C181" t="s">
        <v>107</v>
      </c>
      <c r="D181" t="s">
        <v>737</v>
      </c>
      <c r="E181" t="s">
        <v>107</v>
      </c>
      <c r="F181" t="s">
        <v>678</v>
      </c>
      <c r="G181" t="s">
        <v>678</v>
      </c>
    </row>
    <row r="182" spans="1:7">
      <c r="A182" t="s">
        <v>529</v>
      </c>
      <c r="B182">
        <v>3</v>
      </c>
      <c r="C182" t="s">
        <v>347</v>
      </c>
      <c r="D182" t="s">
        <v>2377</v>
      </c>
      <c r="E182" t="s">
        <v>678</v>
      </c>
      <c r="F182" t="s">
        <v>2381</v>
      </c>
      <c r="G182" t="s">
        <v>308</v>
      </c>
    </row>
    <row r="183" spans="1:7">
      <c r="A183" t="s">
        <v>529</v>
      </c>
      <c r="B183">
        <v>4</v>
      </c>
      <c r="C183" t="s">
        <v>119</v>
      </c>
      <c r="D183" t="s">
        <v>737</v>
      </c>
      <c r="E183" t="s">
        <v>119</v>
      </c>
      <c r="F183" t="s">
        <v>678</v>
      </c>
      <c r="G183" t="s">
        <v>678</v>
      </c>
    </row>
    <row r="184" spans="1:7">
      <c r="A184" t="s">
        <v>529</v>
      </c>
      <c r="B184">
        <v>5</v>
      </c>
      <c r="C184" t="s">
        <v>64</v>
      </c>
      <c r="D184" t="s">
        <v>737</v>
      </c>
      <c r="E184" t="s">
        <v>64</v>
      </c>
      <c r="F184" t="s">
        <v>678</v>
      </c>
      <c r="G184" t="s">
        <v>678</v>
      </c>
    </row>
    <row r="185" spans="1:7">
      <c r="A185" t="s">
        <v>529</v>
      </c>
      <c r="B185">
        <v>6</v>
      </c>
      <c r="C185" t="s">
        <v>80</v>
      </c>
      <c r="D185" t="s">
        <v>737</v>
      </c>
      <c r="E185" t="s">
        <v>80</v>
      </c>
      <c r="F185" t="s">
        <v>678</v>
      </c>
      <c r="G185" t="s">
        <v>678</v>
      </c>
    </row>
    <row r="186" spans="1:7">
      <c r="A186" t="s">
        <v>529</v>
      </c>
      <c r="B186">
        <v>7</v>
      </c>
      <c r="C186" t="s">
        <v>95</v>
      </c>
      <c r="D186" t="s">
        <v>737</v>
      </c>
      <c r="E186" t="s">
        <v>95</v>
      </c>
      <c r="F186" t="s">
        <v>678</v>
      </c>
      <c r="G186" t="s">
        <v>678</v>
      </c>
    </row>
    <row r="187" spans="1:7">
      <c r="A187" t="s">
        <v>529</v>
      </c>
      <c r="B187">
        <v>8</v>
      </c>
      <c r="C187" t="s">
        <v>102</v>
      </c>
      <c r="D187" t="s">
        <v>737</v>
      </c>
      <c r="E187" t="s">
        <v>102</v>
      </c>
      <c r="F187" t="s">
        <v>678</v>
      </c>
      <c r="G187" t="s">
        <v>678</v>
      </c>
    </row>
    <row r="188" spans="1:7">
      <c r="A188" t="s">
        <v>530</v>
      </c>
      <c r="B188">
        <v>1</v>
      </c>
      <c r="C188" t="s">
        <v>63</v>
      </c>
      <c r="D188" t="s">
        <v>737</v>
      </c>
      <c r="E188" t="s">
        <v>63</v>
      </c>
      <c r="F188" t="s">
        <v>678</v>
      </c>
      <c r="G188" t="s">
        <v>678</v>
      </c>
    </row>
    <row r="189" spans="1:7">
      <c r="A189" t="s">
        <v>530</v>
      </c>
      <c r="B189">
        <v>2</v>
      </c>
      <c r="C189" t="s">
        <v>85</v>
      </c>
      <c r="D189" t="s">
        <v>737</v>
      </c>
      <c r="E189" t="s">
        <v>85</v>
      </c>
      <c r="F189" t="s">
        <v>678</v>
      </c>
      <c r="G189" t="s">
        <v>678</v>
      </c>
    </row>
    <row r="190" spans="1:7">
      <c r="A190" t="s">
        <v>530</v>
      </c>
      <c r="B190">
        <v>3</v>
      </c>
      <c r="C190" t="s">
        <v>90</v>
      </c>
      <c r="D190" t="s">
        <v>737</v>
      </c>
      <c r="E190" t="s">
        <v>90</v>
      </c>
      <c r="F190" t="s">
        <v>678</v>
      </c>
      <c r="G190" t="s">
        <v>678</v>
      </c>
    </row>
    <row r="191" spans="1:7">
      <c r="A191" t="s">
        <v>530</v>
      </c>
      <c r="B191">
        <v>4</v>
      </c>
      <c r="C191" t="s">
        <v>97</v>
      </c>
      <c r="D191" t="s">
        <v>737</v>
      </c>
      <c r="E191" t="s">
        <v>97</v>
      </c>
      <c r="F191" t="s">
        <v>678</v>
      </c>
      <c r="G191" t="s">
        <v>678</v>
      </c>
    </row>
    <row r="192" spans="1:7">
      <c r="A192" t="s">
        <v>530</v>
      </c>
      <c r="B192">
        <v>5</v>
      </c>
      <c r="C192" t="s">
        <v>113</v>
      </c>
      <c r="D192" t="s">
        <v>737</v>
      </c>
      <c r="E192" t="s">
        <v>113</v>
      </c>
      <c r="F192" t="s">
        <v>678</v>
      </c>
      <c r="G192" t="s">
        <v>678</v>
      </c>
    </row>
    <row r="193" spans="1:7">
      <c r="A193" t="s">
        <v>530</v>
      </c>
      <c r="B193">
        <v>6</v>
      </c>
      <c r="C193" t="s">
        <v>64</v>
      </c>
      <c r="D193" t="s">
        <v>737</v>
      </c>
      <c r="E193" t="s">
        <v>64</v>
      </c>
      <c r="F193" t="s">
        <v>678</v>
      </c>
      <c r="G193" t="s">
        <v>678</v>
      </c>
    </row>
    <row r="194" spans="1:7">
      <c r="A194" t="s">
        <v>530</v>
      </c>
      <c r="B194">
        <v>7</v>
      </c>
      <c r="C194" t="s">
        <v>86</v>
      </c>
      <c r="D194" t="s">
        <v>737</v>
      </c>
      <c r="E194" t="s">
        <v>86</v>
      </c>
      <c r="F194" t="s">
        <v>678</v>
      </c>
      <c r="G194" t="s">
        <v>678</v>
      </c>
    </row>
    <row r="195" spans="1:7">
      <c r="A195" t="s">
        <v>530</v>
      </c>
      <c r="B195">
        <v>8</v>
      </c>
      <c r="C195" t="s">
        <v>102</v>
      </c>
      <c r="D195" t="s">
        <v>737</v>
      </c>
      <c r="E195" t="s">
        <v>102</v>
      </c>
      <c r="F195" t="s">
        <v>678</v>
      </c>
      <c r="G195" t="s">
        <v>678</v>
      </c>
    </row>
    <row r="196" spans="1:7">
      <c r="A196" t="s">
        <v>531</v>
      </c>
      <c r="B196">
        <v>1</v>
      </c>
      <c r="C196" t="s">
        <v>67</v>
      </c>
      <c r="D196" t="s">
        <v>737</v>
      </c>
      <c r="E196" t="s">
        <v>67</v>
      </c>
      <c r="F196" t="s">
        <v>678</v>
      </c>
      <c r="G196" t="s">
        <v>678</v>
      </c>
    </row>
    <row r="197" spans="1:7">
      <c r="A197" t="s">
        <v>531</v>
      </c>
      <c r="B197">
        <v>2</v>
      </c>
      <c r="C197" t="s">
        <v>99</v>
      </c>
      <c r="D197" t="s">
        <v>737</v>
      </c>
      <c r="E197" t="s">
        <v>99</v>
      </c>
      <c r="F197" t="s">
        <v>678</v>
      </c>
      <c r="G197" t="s">
        <v>678</v>
      </c>
    </row>
    <row r="198" spans="1:7">
      <c r="A198" t="s">
        <v>531</v>
      </c>
      <c r="B198">
        <v>3</v>
      </c>
      <c r="C198" t="s">
        <v>103</v>
      </c>
      <c r="D198" t="s">
        <v>737</v>
      </c>
      <c r="E198" t="s">
        <v>103</v>
      </c>
      <c r="F198" t="s">
        <v>678</v>
      </c>
      <c r="G198" t="s">
        <v>678</v>
      </c>
    </row>
    <row r="199" spans="1:7">
      <c r="A199" t="s">
        <v>531</v>
      </c>
      <c r="B199">
        <v>4</v>
      </c>
      <c r="C199" t="s">
        <v>107</v>
      </c>
      <c r="D199" t="s">
        <v>737</v>
      </c>
      <c r="E199" t="s">
        <v>107</v>
      </c>
      <c r="F199" t="s">
        <v>678</v>
      </c>
      <c r="G199" t="s">
        <v>678</v>
      </c>
    </row>
    <row r="200" spans="1:7">
      <c r="A200" t="s">
        <v>531</v>
      </c>
      <c r="B200">
        <v>5</v>
      </c>
      <c r="C200" t="s">
        <v>113</v>
      </c>
      <c r="D200" t="s">
        <v>737</v>
      </c>
      <c r="E200" t="s">
        <v>113</v>
      </c>
      <c r="F200" t="s">
        <v>678</v>
      </c>
      <c r="G200" t="s">
        <v>678</v>
      </c>
    </row>
    <row r="201" spans="1:7">
      <c r="A201" t="s">
        <v>531</v>
      </c>
      <c r="B201">
        <v>6</v>
      </c>
      <c r="C201" t="s">
        <v>116</v>
      </c>
      <c r="D201" t="s">
        <v>737</v>
      </c>
      <c r="E201" t="s">
        <v>116</v>
      </c>
      <c r="F201" t="s">
        <v>678</v>
      </c>
      <c r="G201" t="s">
        <v>678</v>
      </c>
    </row>
    <row r="202" spans="1:7">
      <c r="A202" t="s">
        <v>531</v>
      </c>
      <c r="B202">
        <v>7</v>
      </c>
      <c r="C202" t="s">
        <v>76</v>
      </c>
      <c r="D202" t="s">
        <v>737</v>
      </c>
      <c r="E202" t="s">
        <v>76</v>
      </c>
      <c r="F202" t="s">
        <v>678</v>
      </c>
      <c r="G202" t="s">
        <v>678</v>
      </c>
    </row>
    <row r="203" spans="1:7">
      <c r="A203" t="s">
        <v>531</v>
      </c>
      <c r="B203">
        <v>8</v>
      </c>
      <c r="C203" t="s">
        <v>102</v>
      </c>
      <c r="D203" t="s">
        <v>737</v>
      </c>
      <c r="E203" t="s">
        <v>102</v>
      </c>
      <c r="F203" t="s">
        <v>678</v>
      </c>
      <c r="G203" t="s">
        <v>678</v>
      </c>
    </row>
    <row r="204" spans="1:7">
      <c r="A204" t="s">
        <v>532</v>
      </c>
      <c r="B204">
        <v>1</v>
      </c>
      <c r="C204" t="s">
        <v>67</v>
      </c>
      <c r="D204" t="s">
        <v>737</v>
      </c>
      <c r="E204" t="s">
        <v>67</v>
      </c>
      <c r="F204" t="s">
        <v>678</v>
      </c>
      <c r="G204" t="s">
        <v>678</v>
      </c>
    </row>
    <row r="205" spans="1:7">
      <c r="A205" t="s">
        <v>532</v>
      </c>
      <c r="B205">
        <v>2</v>
      </c>
      <c r="C205" t="s">
        <v>97</v>
      </c>
      <c r="D205" t="s">
        <v>737</v>
      </c>
      <c r="E205" t="s">
        <v>97</v>
      </c>
      <c r="F205" t="s">
        <v>678</v>
      </c>
      <c r="G205" t="s">
        <v>678</v>
      </c>
    </row>
    <row r="206" spans="1:7">
      <c r="A206" t="s">
        <v>532</v>
      </c>
      <c r="B206">
        <v>3</v>
      </c>
      <c r="C206" t="s">
        <v>101</v>
      </c>
      <c r="D206" t="s">
        <v>737</v>
      </c>
      <c r="E206" t="s">
        <v>101</v>
      </c>
      <c r="F206" t="s">
        <v>678</v>
      </c>
      <c r="G206" t="s">
        <v>678</v>
      </c>
    </row>
    <row r="207" spans="1:7">
      <c r="A207" t="s">
        <v>532</v>
      </c>
      <c r="B207">
        <v>4</v>
      </c>
      <c r="C207" t="s">
        <v>103</v>
      </c>
      <c r="D207" t="s">
        <v>737</v>
      </c>
      <c r="E207" t="s">
        <v>103</v>
      </c>
      <c r="F207" t="s">
        <v>678</v>
      </c>
      <c r="G207" t="s">
        <v>678</v>
      </c>
    </row>
    <row r="208" spans="1:7">
      <c r="A208" t="s">
        <v>532</v>
      </c>
      <c r="B208">
        <v>5</v>
      </c>
      <c r="C208" t="s">
        <v>80</v>
      </c>
      <c r="D208" t="s">
        <v>737</v>
      </c>
      <c r="E208" t="s">
        <v>80</v>
      </c>
      <c r="F208" t="s">
        <v>678</v>
      </c>
      <c r="G208" t="s">
        <v>678</v>
      </c>
    </row>
    <row r="209" spans="1:7">
      <c r="A209" t="s">
        <v>532</v>
      </c>
      <c r="B209">
        <v>6</v>
      </c>
      <c r="C209" t="s">
        <v>106</v>
      </c>
      <c r="D209" t="s">
        <v>737</v>
      </c>
      <c r="E209" t="s">
        <v>106</v>
      </c>
      <c r="F209" t="s">
        <v>678</v>
      </c>
      <c r="G209" t="s">
        <v>678</v>
      </c>
    </row>
    <row r="210" spans="1:7">
      <c r="A210" t="s">
        <v>532</v>
      </c>
      <c r="B210">
        <v>7</v>
      </c>
      <c r="C210" t="s">
        <v>2382</v>
      </c>
      <c r="D210" t="s">
        <v>1682</v>
      </c>
      <c r="E210" t="s">
        <v>678</v>
      </c>
      <c r="F210" t="s">
        <v>2383</v>
      </c>
      <c r="G210" t="s">
        <v>678</v>
      </c>
    </row>
    <row r="211" spans="1:7">
      <c r="A211" t="s">
        <v>532</v>
      </c>
      <c r="B211">
        <v>8</v>
      </c>
      <c r="C211" t="s">
        <v>2384</v>
      </c>
      <c r="D211" t="s">
        <v>1682</v>
      </c>
      <c r="E211" t="s">
        <v>678</v>
      </c>
      <c r="F211" t="s">
        <v>2383</v>
      </c>
      <c r="G211" t="s">
        <v>678</v>
      </c>
    </row>
    <row r="212" spans="1:7">
      <c r="A212" t="s">
        <v>533</v>
      </c>
      <c r="B212">
        <v>1</v>
      </c>
      <c r="C212" t="s">
        <v>97</v>
      </c>
      <c r="D212" t="s">
        <v>737</v>
      </c>
      <c r="E212" t="s">
        <v>97</v>
      </c>
      <c r="F212" t="s">
        <v>678</v>
      </c>
      <c r="G212" t="s">
        <v>678</v>
      </c>
    </row>
    <row r="213" spans="1:7">
      <c r="A213" t="s">
        <v>533</v>
      </c>
      <c r="B213">
        <v>2</v>
      </c>
      <c r="C213" t="s">
        <v>347</v>
      </c>
      <c r="D213" t="s">
        <v>2377</v>
      </c>
      <c r="E213" t="s">
        <v>678</v>
      </c>
      <c r="F213" t="s">
        <v>2381</v>
      </c>
      <c r="G213" t="s">
        <v>308</v>
      </c>
    </row>
    <row r="214" spans="1:7">
      <c r="A214" t="s">
        <v>533</v>
      </c>
      <c r="B214">
        <v>3</v>
      </c>
      <c r="C214" t="s">
        <v>347</v>
      </c>
      <c r="D214" t="s">
        <v>2377</v>
      </c>
      <c r="E214" t="s">
        <v>678</v>
      </c>
      <c r="F214" t="s">
        <v>2381</v>
      </c>
      <c r="G214" t="s">
        <v>308</v>
      </c>
    </row>
    <row r="215" spans="1:7">
      <c r="A215" t="s">
        <v>533</v>
      </c>
      <c r="B215">
        <v>4</v>
      </c>
      <c r="C215" t="s">
        <v>119</v>
      </c>
      <c r="D215" t="s">
        <v>737</v>
      </c>
      <c r="E215" t="s">
        <v>119</v>
      </c>
      <c r="F215" t="s">
        <v>678</v>
      </c>
      <c r="G215" t="s">
        <v>678</v>
      </c>
    </row>
    <row r="216" spans="1:7">
      <c r="A216" t="s">
        <v>533</v>
      </c>
      <c r="B216">
        <v>5</v>
      </c>
      <c r="C216" t="s">
        <v>64</v>
      </c>
      <c r="D216" t="s">
        <v>737</v>
      </c>
      <c r="E216" t="s">
        <v>64</v>
      </c>
      <c r="F216" t="s">
        <v>678</v>
      </c>
      <c r="G216" t="s">
        <v>678</v>
      </c>
    </row>
    <row r="217" spans="1:7">
      <c r="A217" t="s">
        <v>533</v>
      </c>
      <c r="B217">
        <v>6</v>
      </c>
      <c r="C217" t="s">
        <v>80</v>
      </c>
      <c r="D217" t="s">
        <v>737</v>
      </c>
      <c r="E217" t="s">
        <v>80</v>
      </c>
      <c r="F217" t="s">
        <v>678</v>
      </c>
      <c r="G217" t="s">
        <v>678</v>
      </c>
    </row>
    <row r="218" spans="1:7">
      <c r="A218" t="s">
        <v>533</v>
      </c>
      <c r="B218">
        <v>7</v>
      </c>
      <c r="C218" t="s">
        <v>86</v>
      </c>
      <c r="D218" t="s">
        <v>737</v>
      </c>
      <c r="E218" t="s">
        <v>86</v>
      </c>
      <c r="F218" t="s">
        <v>678</v>
      </c>
      <c r="G218" t="s">
        <v>678</v>
      </c>
    </row>
    <row r="219" spans="1:7">
      <c r="A219" t="s">
        <v>533</v>
      </c>
      <c r="B219">
        <v>8</v>
      </c>
      <c r="C219" t="s">
        <v>102</v>
      </c>
      <c r="D219" t="s">
        <v>737</v>
      </c>
      <c r="E219" t="s">
        <v>102</v>
      </c>
      <c r="F219" t="s">
        <v>678</v>
      </c>
      <c r="G219" t="s">
        <v>678</v>
      </c>
    </row>
    <row r="220" spans="1:7">
      <c r="A220" t="s">
        <v>534</v>
      </c>
      <c r="B220">
        <v>1</v>
      </c>
      <c r="C220" t="s">
        <v>535</v>
      </c>
      <c r="D220" t="s">
        <v>1682</v>
      </c>
      <c r="E220" t="s">
        <v>678</v>
      </c>
      <c r="F220" t="s">
        <v>2385</v>
      </c>
      <c r="G220" t="s">
        <v>678</v>
      </c>
    </row>
    <row r="221" spans="1:7">
      <c r="A221" t="s">
        <v>534</v>
      </c>
      <c r="B221">
        <v>2</v>
      </c>
      <c r="C221" t="s">
        <v>515</v>
      </c>
      <c r="D221" t="s">
        <v>2377</v>
      </c>
      <c r="E221" t="s">
        <v>678</v>
      </c>
      <c r="F221" t="s">
        <v>2379</v>
      </c>
      <c r="G221" t="s">
        <v>554</v>
      </c>
    </row>
    <row r="222" spans="1:7">
      <c r="A222" t="s">
        <v>534</v>
      </c>
      <c r="B222">
        <v>3</v>
      </c>
      <c r="C222" t="s">
        <v>347</v>
      </c>
      <c r="D222" t="s">
        <v>2377</v>
      </c>
      <c r="E222" t="s">
        <v>678</v>
      </c>
      <c r="F222" t="s">
        <v>2381</v>
      </c>
      <c r="G222" t="s">
        <v>308</v>
      </c>
    </row>
    <row r="223" spans="1:7">
      <c r="A223" t="s">
        <v>534</v>
      </c>
      <c r="B223">
        <v>4</v>
      </c>
      <c r="C223" t="s">
        <v>118</v>
      </c>
      <c r="D223" t="s">
        <v>737</v>
      </c>
      <c r="E223" t="s">
        <v>118</v>
      </c>
      <c r="F223" t="s">
        <v>678</v>
      </c>
      <c r="G223" t="s">
        <v>678</v>
      </c>
    </row>
    <row r="224" spans="1:7">
      <c r="A224" t="s">
        <v>534</v>
      </c>
      <c r="B224">
        <v>5</v>
      </c>
      <c r="C224" t="s">
        <v>80</v>
      </c>
      <c r="D224" t="s">
        <v>737</v>
      </c>
      <c r="E224" t="s">
        <v>80</v>
      </c>
      <c r="F224" t="s">
        <v>678</v>
      </c>
      <c r="G224" t="s">
        <v>678</v>
      </c>
    </row>
    <row r="225" spans="1:7">
      <c r="A225" t="s">
        <v>534</v>
      </c>
      <c r="B225">
        <v>6</v>
      </c>
      <c r="C225" t="s">
        <v>2380</v>
      </c>
      <c r="D225" t="s">
        <v>773</v>
      </c>
      <c r="E225" t="s">
        <v>678</v>
      </c>
      <c r="F225" t="s">
        <v>678</v>
      </c>
      <c r="G225" t="s">
        <v>678</v>
      </c>
    </row>
    <row r="226" spans="1:7">
      <c r="A226" t="s">
        <v>534</v>
      </c>
      <c r="B226">
        <v>7</v>
      </c>
      <c r="C226" t="s">
        <v>2380</v>
      </c>
      <c r="D226" t="s">
        <v>773</v>
      </c>
      <c r="E226" t="s">
        <v>678</v>
      </c>
      <c r="F226" t="s">
        <v>678</v>
      </c>
      <c r="G226" t="s">
        <v>678</v>
      </c>
    </row>
    <row r="227" spans="1:7">
      <c r="A227" t="s">
        <v>534</v>
      </c>
      <c r="B227">
        <v>8</v>
      </c>
      <c r="C227" t="s">
        <v>2380</v>
      </c>
      <c r="D227" t="s">
        <v>773</v>
      </c>
      <c r="E227" t="s">
        <v>678</v>
      </c>
      <c r="F227" t="s">
        <v>678</v>
      </c>
      <c r="G227" t="s">
        <v>678</v>
      </c>
    </row>
    <row r="228" spans="1:7">
      <c r="A228" t="s">
        <v>537</v>
      </c>
      <c r="B228">
        <v>1</v>
      </c>
      <c r="C228" t="s">
        <v>85</v>
      </c>
      <c r="D228" t="s">
        <v>737</v>
      </c>
      <c r="E228" t="s">
        <v>85</v>
      </c>
      <c r="F228" t="s">
        <v>678</v>
      </c>
      <c r="G228" t="s">
        <v>678</v>
      </c>
    </row>
    <row r="229" spans="1:7">
      <c r="A229" t="s">
        <v>537</v>
      </c>
      <c r="B229">
        <v>2</v>
      </c>
      <c r="C229" t="s">
        <v>105</v>
      </c>
      <c r="D229" t="s">
        <v>737</v>
      </c>
      <c r="E229" t="s">
        <v>105</v>
      </c>
      <c r="F229" t="s">
        <v>678</v>
      </c>
      <c r="G229" t="s">
        <v>678</v>
      </c>
    </row>
    <row r="230" spans="1:7">
      <c r="A230" t="s">
        <v>537</v>
      </c>
      <c r="B230">
        <v>3</v>
      </c>
      <c r="C230" t="s">
        <v>118</v>
      </c>
      <c r="D230" t="s">
        <v>737</v>
      </c>
      <c r="E230" t="s">
        <v>118</v>
      </c>
      <c r="F230" t="s">
        <v>678</v>
      </c>
      <c r="G230" t="s">
        <v>678</v>
      </c>
    </row>
    <row r="231" spans="1:7">
      <c r="A231" t="s">
        <v>537</v>
      </c>
      <c r="B231">
        <v>4</v>
      </c>
      <c r="C231" t="s">
        <v>538</v>
      </c>
      <c r="D231" t="s">
        <v>2377</v>
      </c>
      <c r="E231" t="s">
        <v>678</v>
      </c>
      <c r="F231" t="s">
        <v>2386</v>
      </c>
      <c r="G231" t="s">
        <v>342</v>
      </c>
    </row>
    <row r="232" spans="1:7">
      <c r="A232" t="s">
        <v>537</v>
      </c>
      <c r="B232">
        <v>5</v>
      </c>
      <c r="C232" t="s">
        <v>76</v>
      </c>
      <c r="D232" t="s">
        <v>737</v>
      </c>
      <c r="E232" t="s">
        <v>76</v>
      </c>
      <c r="F232" t="s">
        <v>678</v>
      </c>
      <c r="G232" t="s">
        <v>678</v>
      </c>
    </row>
    <row r="233" spans="1:7">
      <c r="A233" t="s">
        <v>537</v>
      </c>
      <c r="B233">
        <v>6</v>
      </c>
      <c r="C233" t="s">
        <v>80</v>
      </c>
      <c r="D233" t="s">
        <v>737</v>
      </c>
      <c r="E233" t="s">
        <v>80</v>
      </c>
      <c r="F233" t="s">
        <v>678</v>
      </c>
      <c r="G233" t="s">
        <v>678</v>
      </c>
    </row>
    <row r="234" spans="1:7">
      <c r="A234" t="s">
        <v>537</v>
      </c>
      <c r="B234">
        <v>7</v>
      </c>
      <c r="C234" t="s">
        <v>112</v>
      </c>
      <c r="D234" t="s">
        <v>737</v>
      </c>
      <c r="E234" t="s">
        <v>112</v>
      </c>
      <c r="F234" t="s">
        <v>678</v>
      </c>
      <c r="G234" t="s">
        <v>678</v>
      </c>
    </row>
    <row r="235" spans="1:7">
      <c r="A235" t="s">
        <v>537</v>
      </c>
      <c r="B235">
        <v>8</v>
      </c>
      <c r="C235" t="s">
        <v>2382</v>
      </c>
      <c r="D235" t="s">
        <v>1682</v>
      </c>
      <c r="E235" t="s">
        <v>678</v>
      </c>
      <c r="F235" t="s">
        <v>2387</v>
      </c>
      <c r="G235" t="s">
        <v>678</v>
      </c>
    </row>
    <row r="236" spans="1:7">
      <c r="A236" t="s">
        <v>540</v>
      </c>
      <c r="B236">
        <v>1</v>
      </c>
      <c r="C236" t="s">
        <v>63</v>
      </c>
      <c r="D236" t="s">
        <v>737</v>
      </c>
      <c r="E236" t="s">
        <v>63</v>
      </c>
      <c r="F236" t="s">
        <v>678</v>
      </c>
      <c r="G236" t="s">
        <v>678</v>
      </c>
    </row>
    <row r="237" spans="1:7">
      <c r="A237" t="s">
        <v>540</v>
      </c>
      <c r="B237">
        <v>2</v>
      </c>
      <c r="C237" t="s">
        <v>85</v>
      </c>
      <c r="D237" t="s">
        <v>737</v>
      </c>
      <c r="E237" t="s">
        <v>85</v>
      </c>
      <c r="F237" t="s">
        <v>678</v>
      </c>
      <c r="G237" t="s">
        <v>678</v>
      </c>
    </row>
    <row r="238" spans="1:7">
      <c r="A238" t="s">
        <v>540</v>
      </c>
      <c r="B238">
        <v>3</v>
      </c>
      <c r="C238" t="s">
        <v>119</v>
      </c>
      <c r="D238" t="s">
        <v>737</v>
      </c>
      <c r="E238" t="s">
        <v>119</v>
      </c>
      <c r="F238" t="s">
        <v>678</v>
      </c>
      <c r="G238" t="s">
        <v>678</v>
      </c>
    </row>
    <row r="239" spans="1:7">
      <c r="A239" t="s">
        <v>540</v>
      </c>
      <c r="B239">
        <v>4</v>
      </c>
      <c r="C239" t="s">
        <v>64</v>
      </c>
      <c r="D239" t="s">
        <v>737</v>
      </c>
      <c r="E239" t="s">
        <v>64</v>
      </c>
      <c r="F239" t="s">
        <v>678</v>
      </c>
      <c r="G239" t="s">
        <v>678</v>
      </c>
    </row>
    <row r="240" spans="1:7">
      <c r="A240" t="s">
        <v>540</v>
      </c>
      <c r="B240">
        <v>5</v>
      </c>
      <c r="C240" t="s">
        <v>80</v>
      </c>
      <c r="D240" t="s">
        <v>737</v>
      </c>
      <c r="E240" t="s">
        <v>80</v>
      </c>
      <c r="F240" t="s">
        <v>678</v>
      </c>
      <c r="G240" t="s">
        <v>678</v>
      </c>
    </row>
    <row r="241" spans="1:7">
      <c r="A241" t="s">
        <v>540</v>
      </c>
      <c r="B241">
        <v>6</v>
      </c>
      <c r="C241" t="s">
        <v>2380</v>
      </c>
      <c r="D241" t="s">
        <v>773</v>
      </c>
      <c r="E241" t="s">
        <v>678</v>
      </c>
      <c r="F241" t="s">
        <v>678</v>
      </c>
      <c r="G241" t="s">
        <v>678</v>
      </c>
    </row>
    <row r="242" spans="1:7">
      <c r="A242" t="s">
        <v>540</v>
      </c>
      <c r="B242">
        <v>7</v>
      </c>
      <c r="C242" t="s">
        <v>2380</v>
      </c>
      <c r="D242" t="s">
        <v>773</v>
      </c>
      <c r="E242" t="s">
        <v>678</v>
      </c>
      <c r="F242" t="s">
        <v>678</v>
      </c>
      <c r="G242" t="s">
        <v>678</v>
      </c>
    </row>
    <row r="243" spans="1:7">
      <c r="A243" t="s">
        <v>540</v>
      </c>
      <c r="B243">
        <v>8</v>
      </c>
      <c r="C243" t="s">
        <v>2380</v>
      </c>
      <c r="D243" t="s">
        <v>773</v>
      </c>
      <c r="E243" t="s">
        <v>678</v>
      </c>
      <c r="F243" t="s">
        <v>678</v>
      </c>
      <c r="G243" t="s">
        <v>678</v>
      </c>
    </row>
    <row r="244" spans="1:7">
      <c r="A244" t="s">
        <v>541</v>
      </c>
      <c r="B244">
        <v>1</v>
      </c>
      <c r="C244" t="s">
        <v>67</v>
      </c>
      <c r="D244" t="s">
        <v>737</v>
      </c>
      <c r="E244" t="s">
        <v>67</v>
      </c>
      <c r="F244" t="s">
        <v>678</v>
      </c>
      <c r="G244" t="s">
        <v>678</v>
      </c>
    </row>
    <row r="245" spans="1:7">
      <c r="A245" t="s">
        <v>541</v>
      </c>
      <c r="B245">
        <v>2</v>
      </c>
      <c r="C245" t="s">
        <v>107</v>
      </c>
      <c r="D245" t="s">
        <v>737</v>
      </c>
      <c r="E245" t="s">
        <v>107</v>
      </c>
      <c r="F245" t="s">
        <v>678</v>
      </c>
      <c r="G245" t="s">
        <v>678</v>
      </c>
    </row>
    <row r="246" spans="1:7">
      <c r="A246" t="s">
        <v>541</v>
      </c>
      <c r="B246">
        <v>3</v>
      </c>
      <c r="C246" t="s">
        <v>68</v>
      </c>
      <c r="D246" t="s">
        <v>737</v>
      </c>
      <c r="E246" t="s">
        <v>68</v>
      </c>
      <c r="F246" t="s">
        <v>678</v>
      </c>
      <c r="G246" t="s">
        <v>678</v>
      </c>
    </row>
    <row r="247" spans="1:7">
      <c r="A247" t="s">
        <v>541</v>
      </c>
      <c r="B247">
        <v>4</v>
      </c>
      <c r="C247" t="s">
        <v>80</v>
      </c>
      <c r="D247" t="s">
        <v>737</v>
      </c>
      <c r="E247" t="s">
        <v>80</v>
      </c>
      <c r="F247" t="s">
        <v>678</v>
      </c>
      <c r="G247" t="s">
        <v>678</v>
      </c>
    </row>
    <row r="248" spans="1:7">
      <c r="A248" t="s">
        <v>541</v>
      </c>
      <c r="B248">
        <v>5</v>
      </c>
      <c r="C248" t="s">
        <v>86</v>
      </c>
      <c r="D248" t="s">
        <v>737</v>
      </c>
      <c r="E248" t="s">
        <v>86</v>
      </c>
      <c r="F248" t="s">
        <v>678</v>
      </c>
      <c r="G248" t="s">
        <v>678</v>
      </c>
    </row>
    <row r="249" spans="1:7">
      <c r="A249" t="s">
        <v>541</v>
      </c>
      <c r="B249">
        <v>6</v>
      </c>
      <c r="C249" t="s">
        <v>95</v>
      </c>
      <c r="D249" t="s">
        <v>737</v>
      </c>
      <c r="E249" t="s">
        <v>95</v>
      </c>
      <c r="F249" t="s">
        <v>678</v>
      </c>
      <c r="G249" t="s">
        <v>678</v>
      </c>
    </row>
    <row r="250" spans="1:7">
      <c r="A250" t="s">
        <v>541</v>
      </c>
      <c r="B250">
        <v>7</v>
      </c>
      <c r="C250" t="s">
        <v>343</v>
      </c>
      <c r="D250" t="s">
        <v>737</v>
      </c>
      <c r="E250" t="s">
        <v>343</v>
      </c>
      <c r="F250" t="s">
        <v>678</v>
      </c>
      <c r="G250" t="s">
        <v>556</v>
      </c>
    </row>
    <row r="251" spans="1:7">
      <c r="A251" t="s">
        <v>541</v>
      </c>
      <c r="B251">
        <v>8</v>
      </c>
      <c r="C251" t="s">
        <v>102</v>
      </c>
      <c r="D251" t="s">
        <v>737</v>
      </c>
      <c r="E251" t="s">
        <v>102</v>
      </c>
      <c r="F251" t="s">
        <v>678</v>
      </c>
      <c r="G251" t="s">
        <v>678</v>
      </c>
    </row>
    <row r="252" spans="1:7">
      <c r="A252" t="s">
        <v>542</v>
      </c>
      <c r="B252">
        <v>1</v>
      </c>
      <c r="C252" t="s">
        <v>69</v>
      </c>
      <c r="D252" t="s">
        <v>737</v>
      </c>
      <c r="E252" t="s">
        <v>69</v>
      </c>
      <c r="F252" t="s">
        <v>678</v>
      </c>
      <c r="G252" t="s">
        <v>678</v>
      </c>
    </row>
    <row r="253" spans="1:7">
      <c r="A253" t="s">
        <v>542</v>
      </c>
      <c r="B253">
        <v>2</v>
      </c>
      <c r="C253" t="s">
        <v>72</v>
      </c>
      <c r="D253" t="s">
        <v>737</v>
      </c>
      <c r="E253" t="s">
        <v>72</v>
      </c>
      <c r="F253" t="s">
        <v>678</v>
      </c>
      <c r="G253" t="s">
        <v>678</v>
      </c>
    </row>
    <row r="254" spans="1:7">
      <c r="A254" t="s">
        <v>542</v>
      </c>
      <c r="B254">
        <v>3</v>
      </c>
      <c r="C254" t="s">
        <v>90</v>
      </c>
      <c r="D254" t="s">
        <v>737</v>
      </c>
      <c r="E254" t="s">
        <v>90</v>
      </c>
      <c r="F254" t="s">
        <v>678</v>
      </c>
      <c r="G254" t="s">
        <v>678</v>
      </c>
    </row>
    <row r="255" spans="1:7">
      <c r="A255" t="s">
        <v>542</v>
      </c>
      <c r="B255">
        <v>4</v>
      </c>
      <c r="C255" t="s">
        <v>97</v>
      </c>
      <c r="D255" t="s">
        <v>737</v>
      </c>
      <c r="E255" t="s">
        <v>97</v>
      </c>
      <c r="F255" t="s">
        <v>678</v>
      </c>
      <c r="G255" t="s">
        <v>678</v>
      </c>
    </row>
    <row r="256" spans="1:7">
      <c r="A256" t="s">
        <v>542</v>
      </c>
      <c r="B256">
        <v>5</v>
      </c>
      <c r="C256" t="s">
        <v>118</v>
      </c>
      <c r="D256" t="s">
        <v>737</v>
      </c>
      <c r="E256" t="s">
        <v>118</v>
      </c>
      <c r="F256" t="s">
        <v>678</v>
      </c>
      <c r="G256" t="s">
        <v>678</v>
      </c>
    </row>
    <row r="257" spans="1:7">
      <c r="A257" t="s">
        <v>542</v>
      </c>
      <c r="B257">
        <v>6</v>
      </c>
      <c r="C257" t="s">
        <v>78</v>
      </c>
      <c r="D257" t="s">
        <v>737</v>
      </c>
      <c r="E257" t="s">
        <v>78</v>
      </c>
      <c r="F257" t="s">
        <v>678</v>
      </c>
      <c r="G257" t="s">
        <v>678</v>
      </c>
    </row>
    <row r="258" spans="1:7">
      <c r="A258" t="s">
        <v>542</v>
      </c>
      <c r="B258">
        <v>7</v>
      </c>
      <c r="C258" t="s">
        <v>80</v>
      </c>
      <c r="D258" t="s">
        <v>737</v>
      </c>
      <c r="E258" t="s">
        <v>80</v>
      </c>
      <c r="F258" t="s">
        <v>678</v>
      </c>
      <c r="G258" t="s">
        <v>678</v>
      </c>
    </row>
    <row r="259" spans="1:7">
      <c r="A259" t="s">
        <v>542</v>
      </c>
      <c r="B259">
        <v>8</v>
      </c>
      <c r="C259" t="s">
        <v>102</v>
      </c>
      <c r="D259" t="s">
        <v>737</v>
      </c>
      <c r="E259" t="s">
        <v>102</v>
      </c>
      <c r="F259" t="s">
        <v>678</v>
      </c>
      <c r="G259" t="s">
        <v>678</v>
      </c>
    </row>
    <row r="260" spans="1:7">
      <c r="A260" t="s">
        <v>543</v>
      </c>
      <c r="B260">
        <v>1</v>
      </c>
      <c r="C260" t="s">
        <v>67</v>
      </c>
      <c r="D260" t="s">
        <v>737</v>
      </c>
      <c r="E260" t="s">
        <v>67</v>
      </c>
      <c r="F260" t="s">
        <v>678</v>
      </c>
      <c r="G260" t="s">
        <v>678</v>
      </c>
    </row>
    <row r="261" spans="1:7">
      <c r="A261" t="s">
        <v>543</v>
      </c>
      <c r="B261">
        <v>2</v>
      </c>
      <c r="C261" t="s">
        <v>79</v>
      </c>
      <c r="D261" t="s">
        <v>737</v>
      </c>
      <c r="E261" t="s">
        <v>79</v>
      </c>
      <c r="F261" t="s">
        <v>678</v>
      </c>
      <c r="G261" t="s">
        <v>678</v>
      </c>
    </row>
    <row r="262" spans="1:7">
      <c r="A262" t="s">
        <v>543</v>
      </c>
      <c r="B262">
        <v>3</v>
      </c>
      <c r="C262" t="s">
        <v>105</v>
      </c>
      <c r="D262" t="s">
        <v>737</v>
      </c>
      <c r="E262" t="s">
        <v>105</v>
      </c>
      <c r="F262" t="s">
        <v>678</v>
      </c>
      <c r="G262" t="s">
        <v>678</v>
      </c>
    </row>
    <row r="263" spans="1:7">
      <c r="A263" t="s">
        <v>543</v>
      </c>
      <c r="B263">
        <v>4</v>
      </c>
      <c r="C263" t="s">
        <v>76</v>
      </c>
      <c r="D263" t="s">
        <v>737</v>
      </c>
      <c r="E263" t="s">
        <v>76</v>
      </c>
      <c r="F263" t="s">
        <v>678</v>
      </c>
      <c r="G263" t="s">
        <v>678</v>
      </c>
    </row>
    <row r="264" spans="1:7">
      <c r="A264" t="s">
        <v>543</v>
      </c>
      <c r="B264">
        <v>5</v>
      </c>
      <c r="C264" t="s">
        <v>96</v>
      </c>
      <c r="D264" t="s">
        <v>737</v>
      </c>
      <c r="E264" t="s">
        <v>96</v>
      </c>
      <c r="F264" t="s">
        <v>678</v>
      </c>
      <c r="G264" t="s">
        <v>678</v>
      </c>
    </row>
    <row r="265" spans="1:7">
      <c r="A265" t="s">
        <v>543</v>
      </c>
      <c r="B265">
        <v>6</v>
      </c>
      <c r="C265" t="s">
        <v>102</v>
      </c>
      <c r="D265" t="s">
        <v>737</v>
      </c>
      <c r="E265" t="s">
        <v>102</v>
      </c>
      <c r="F265" t="s">
        <v>678</v>
      </c>
      <c r="G265" t="s">
        <v>678</v>
      </c>
    </row>
    <row r="266" spans="1:7">
      <c r="A266" t="s">
        <v>543</v>
      </c>
      <c r="B266">
        <v>7</v>
      </c>
      <c r="C266" t="s">
        <v>106</v>
      </c>
      <c r="D266" t="s">
        <v>737</v>
      </c>
      <c r="E266" t="s">
        <v>106</v>
      </c>
      <c r="F266" t="s">
        <v>678</v>
      </c>
      <c r="G266" t="s">
        <v>678</v>
      </c>
    </row>
    <row r="267" spans="1:7">
      <c r="A267" t="s">
        <v>543</v>
      </c>
      <c r="B267">
        <v>8</v>
      </c>
      <c r="C267" t="s">
        <v>110</v>
      </c>
      <c r="D267" t="s">
        <v>737</v>
      </c>
      <c r="E267" t="s">
        <v>110</v>
      </c>
      <c r="F267" t="s">
        <v>678</v>
      </c>
      <c r="G267" t="s">
        <v>678</v>
      </c>
    </row>
    <row r="268" spans="1:7">
      <c r="A268" t="s">
        <v>544</v>
      </c>
      <c r="B268">
        <v>1</v>
      </c>
      <c r="C268" t="s">
        <v>67</v>
      </c>
      <c r="D268" t="s">
        <v>737</v>
      </c>
      <c r="E268" t="s">
        <v>67</v>
      </c>
      <c r="F268" t="s">
        <v>678</v>
      </c>
      <c r="G268" t="s">
        <v>678</v>
      </c>
    </row>
    <row r="269" spans="1:7">
      <c r="A269" t="s">
        <v>544</v>
      </c>
      <c r="B269">
        <v>2</v>
      </c>
      <c r="C269" t="s">
        <v>545</v>
      </c>
      <c r="D269" t="s">
        <v>737</v>
      </c>
      <c r="E269" t="s">
        <v>545</v>
      </c>
      <c r="F269" t="s">
        <v>678</v>
      </c>
      <c r="G269" t="s">
        <v>554</v>
      </c>
    </row>
    <row r="270" spans="1:7">
      <c r="A270" t="s">
        <v>544</v>
      </c>
      <c r="B270">
        <v>3</v>
      </c>
      <c r="C270" t="s">
        <v>90</v>
      </c>
      <c r="D270" t="s">
        <v>737</v>
      </c>
      <c r="E270" t="s">
        <v>90</v>
      </c>
      <c r="F270" t="s">
        <v>678</v>
      </c>
      <c r="G270" t="s">
        <v>678</v>
      </c>
    </row>
    <row r="271" spans="1:7">
      <c r="A271" t="s">
        <v>544</v>
      </c>
      <c r="B271">
        <v>4</v>
      </c>
      <c r="C271" t="s">
        <v>80</v>
      </c>
      <c r="D271" t="s">
        <v>737</v>
      </c>
      <c r="E271" t="s">
        <v>80</v>
      </c>
      <c r="F271" t="s">
        <v>678</v>
      </c>
      <c r="G271" t="s">
        <v>678</v>
      </c>
    </row>
    <row r="272" spans="1:7">
      <c r="A272" t="s">
        <v>544</v>
      </c>
      <c r="B272">
        <v>5</v>
      </c>
      <c r="C272" t="s">
        <v>102</v>
      </c>
      <c r="D272" t="s">
        <v>737</v>
      </c>
      <c r="E272" t="s">
        <v>102</v>
      </c>
      <c r="F272" t="s">
        <v>678</v>
      </c>
      <c r="G272" t="s">
        <v>678</v>
      </c>
    </row>
    <row r="273" spans="1:7">
      <c r="A273" t="s">
        <v>544</v>
      </c>
      <c r="B273">
        <v>6</v>
      </c>
      <c r="C273" t="s">
        <v>106</v>
      </c>
      <c r="D273" t="s">
        <v>737</v>
      </c>
      <c r="E273" t="s">
        <v>106</v>
      </c>
      <c r="F273" t="s">
        <v>678</v>
      </c>
      <c r="G273" t="s">
        <v>678</v>
      </c>
    </row>
    <row r="274" spans="1:7">
      <c r="A274" t="s">
        <v>544</v>
      </c>
      <c r="B274">
        <v>7</v>
      </c>
      <c r="C274" t="s">
        <v>2380</v>
      </c>
      <c r="D274" t="s">
        <v>773</v>
      </c>
      <c r="E274" t="s">
        <v>678</v>
      </c>
      <c r="F274" t="s">
        <v>678</v>
      </c>
      <c r="G274" t="s">
        <v>678</v>
      </c>
    </row>
    <row r="275" spans="1:7">
      <c r="A275" t="s">
        <v>544</v>
      </c>
      <c r="B275">
        <v>8</v>
      </c>
      <c r="C275" t="s">
        <v>2380</v>
      </c>
      <c r="D275" t="s">
        <v>773</v>
      </c>
      <c r="E275" t="s">
        <v>678</v>
      </c>
      <c r="F275" t="s">
        <v>678</v>
      </c>
      <c r="G275" t="s">
        <v>678</v>
      </c>
    </row>
    <row r="276" spans="1:7">
      <c r="A276" t="s">
        <v>547</v>
      </c>
      <c r="B276">
        <v>1</v>
      </c>
      <c r="C276" t="s">
        <v>67</v>
      </c>
      <c r="D276" t="s">
        <v>737</v>
      </c>
      <c r="E276" t="s">
        <v>67</v>
      </c>
      <c r="F276" t="s">
        <v>678</v>
      </c>
      <c r="G276" t="s">
        <v>678</v>
      </c>
    </row>
    <row r="277" spans="1:7">
      <c r="A277" t="s">
        <v>547</v>
      </c>
      <c r="B277">
        <v>2</v>
      </c>
      <c r="C277" t="s">
        <v>497</v>
      </c>
      <c r="D277" t="s">
        <v>737</v>
      </c>
      <c r="E277" t="s">
        <v>497</v>
      </c>
      <c r="F277" t="s">
        <v>678</v>
      </c>
      <c r="G277" t="s">
        <v>555</v>
      </c>
    </row>
    <row r="278" spans="1:7">
      <c r="A278" t="s">
        <v>547</v>
      </c>
      <c r="B278">
        <v>3</v>
      </c>
      <c r="C278" t="s">
        <v>107</v>
      </c>
      <c r="D278" t="s">
        <v>737</v>
      </c>
      <c r="E278" t="s">
        <v>107</v>
      </c>
      <c r="F278" t="s">
        <v>678</v>
      </c>
      <c r="G278" t="s">
        <v>678</v>
      </c>
    </row>
    <row r="279" spans="1:7">
      <c r="A279" t="s">
        <v>547</v>
      </c>
      <c r="B279">
        <v>4</v>
      </c>
      <c r="C279" t="s">
        <v>347</v>
      </c>
      <c r="D279" t="s">
        <v>2377</v>
      </c>
      <c r="E279" t="s">
        <v>678</v>
      </c>
      <c r="F279" t="s">
        <v>2381</v>
      </c>
      <c r="G279" t="s">
        <v>308</v>
      </c>
    </row>
    <row r="280" spans="1:7">
      <c r="A280" t="s">
        <v>547</v>
      </c>
      <c r="B280">
        <v>5</v>
      </c>
      <c r="C280" t="s">
        <v>76</v>
      </c>
      <c r="D280" t="s">
        <v>737</v>
      </c>
      <c r="E280" t="s">
        <v>76</v>
      </c>
      <c r="F280" t="s">
        <v>678</v>
      </c>
      <c r="G280" t="s">
        <v>678</v>
      </c>
    </row>
    <row r="281" spans="1:7">
      <c r="A281" t="s">
        <v>547</v>
      </c>
      <c r="B281">
        <v>6</v>
      </c>
      <c r="C281" t="s">
        <v>539</v>
      </c>
      <c r="D281" t="s">
        <v>2377</v>
      </c>
      <c r="E281" t="s">
        <v>678</v>
      </c>
      <c r="F281" t="s">
        <v>2388</v>
      </c>
      <c r="G281" t="s">
        <v>369</v>
      </c>
    </row>
    <row r="282" spans="1:7">
      <c r="A282" t="s">
        <v>547</v>
      </c>
      <c r="B282">
        <v>7</v>
      </c>
      <c r="C282" t="s">
        <v>110</v>
      </c>
      <c r="D282" t="s">
        <v>737</v>
      </c>
      <c r="E282" t="s">
        <v>110</v>
      </c>
      <c r="F282" t="s">
        <v>678</v>
      </c>
      <c r="G282" t="s">
        <v>678</v>
      </c>
    </row>
    <row r="283" spans="1:7">
      <c r="A283" t="s">
        <v>547</v>
      </c>
      <c r="B283">
        <v>8</v>
      </c>
      <c r="C283" t="s">
        <v>111</v>
      </c>
      <c r="D283" t="s">
        <v>737</v>
      </c>
      <c r="E283" t="s">
        <v>111</v>
      </c>
      <c r="F283" t="s">
        <v>678</v>
      </c>
      <c r="G283" t="s">
        <v>678</v>
      </c>
    </row>
    <row r="284" spans="1:7">
      <c r="A284" t="s">
        <v>548</v>
      </c>
      <c r="B284">
        <v>1</v>
      </c>
      <c r="C284" t="s">
        <v>67</v>
      </c>
      <c r="D284" t="s">
        <v>737</v>
      </c>
      <c r="E284" t="s">
        <v>67</v>
      </c>
      <c r="F284" t="s">
        <v>678</v>
      </c>
      <c r="G284" t="s">
        <v>678</v>
      </c>
    </row>
    <row r="285" spans="1:7">
      <c r="A285" t="s">
        <v>548</v>
      </c>
      <c r="B285">
        <v>2</v>
      </c>
      <c r="C285" t="s">
        <v>97</v>
      </c>
      <c r="D285" t="s">
        <v>737</v>
      </c>
      <c r="E285" t="s">
        <v>97</v>
      </c>
      <c r="F285" t="s">
        <v>678</v>
      </c>
      <c r="G285" t="s">
        <v>678</v>
      </c>
    </row>
    <row r="286" spans="1:7">
      <c r="A286" t="s">
        <v>548</v>
      </c>
      <c r="B286">
        <v>3</v>
      </c>
      <c r="C286" t="s">
        <v>103</v>
      </c>
      <c r="D286" t="s">
        <v>737</v>
      </c>
      <c r="E286" t="s">
        <v>103</v>
      </c>
      <c r="F286" t="s">
        <v>678</v>
      </c>
      <c r="G286" t="s">
        <v>678</v>
      </c>
    </row>
    <row r="287" spans="1:7">
      <c r="A287" t="s">
        <v>548</v>
      </c>
      <c r="B287">
        <v>4</v>
      </c>
      <c r="C287" t="s">
        <v>105</v>
      </c>
      <c r="D287" t="s">
        <v>737</v>
      </c>
      <c r="E287" t="s">
        <v>105</v>
      </c>
      <c r="F287" t="s">
        <v>678</v>
      </c>
      <c r="G287" t="s">
        <v>678</v>
      </c>
    </row>
    <row r="288" spans="1:7">
      <c r="A288" t="s">
        <v>548</v>
      </c>
      <c r="B288">
        <v>5</v>
      </c>
      <c r="C288" t="s">
        <v>119</v>
      </c>
      <c r="D288" t="s">
        <v>737</v>
      </c>
      <c r="E288" t="s">
        <v>119</v>
      </c>
      <c r="F288" t="s">
        <v>678</v>
      </c>
      <c r="G288" t="s">
        <v>678</v>
      </c>
    </row>
    <row r="289" spans="1:7">
      <c r="A289" t="s">
        <v>548</v>
      </c>
      <c r="B289">
        <v>6</v>
      </c>
      <c r="C289" t="s">
        <v>64</v>
      </c>
      <c r="D289" t="s">
        <v>737</v>
      </c>
      <c r="E289" t="s">
        <v>64</v>
      </c>
      <c r="F289" t="s">
        <v>678</v>
      </c>
      <c r="G289" t="s">
        <v>678</v>
      </c>
    </row>
    <row r="290" spans="1:7">
      <c r="A290" t="s">
        <v>548</v>
      </c>
      <c r="B290">
        <v>7</v>
      </c>
      <c r="C290" t="s">
        <v>70</v>
      </c>
      <c r="D290" t="s">
        <v>737</v>
      </c>
      <c r="E290" t="s">
        <v>70</v>
      </c>
      <c r="F290" t="s">
        <v>678</v>
      </c>
      <c r="G290" t="s">
        <v>678</v>
      </c>
    </row>
    <row r="291" spans="1:7">
      <c r="A291" t="s">
        <v>548</v>
      </c>
      <c r="B291">
        <v>8</v>
      </c>
      <c r="C291" t="s">
        <v>112</v>
      </c>
      <c r="D291" t="s">
        <v>737</v>
      </c>
      <c r="E291" t="s">
        <v>112</v>
      </c>
      <c r="F291" t="s">
        <v>678</v>
      </c>
      <c r="G291" t="s">
        <v>678</v>
      </c>
    </row>
    <row r="292" spans="1:7">
      <c r="A292" t="s">
        <v>549</v>
      </c>
      <c r="B292">
        <v>1</v>
      </c>
      <c r="C292" t="s">
        <v>85</v>
      </c>
      <c r="D292" t="s">
        <v>737</v>
      </c>
      <c r="E292" t="s">
        <v>85</v>
      </c>
      <c r="F292" t="s">
        <v>678</v>
      </c>
      <c r="G292" t="s">
        <v>678</v>
      </c>
    </row>
    <row r="293" spans="1:7">
      <c r="A293" t="s">
        <v>549</v>
      </c>
      <c r="B293">
        <v>2</v>
      </c>
      <c r="C293" t="s">
        <v>90</v>
      </c>
      <c r="D293" t="s">
        <v>737</v>
      </c>
      <c r="E293" t="s">
        <v>90</v>
      </c>
      <c r="F293" t="s">
        <v>678</v>
      </c>
      <c r="G293" t="s">
        <v>678</v>
      </c>
    </row>
    <row r="294" spans="1:7">
      <c r="A294" t="s">
        <v>549</v>
      </c>
      <c r="B294">
        <v>3</v>
      </c>
      <c r="C294" t="s">
        <v>514</v>
      </c>
      <c r="D294" t="s">
        <v>2377</v>
      </c>
      <c r="E294" t="s">
        <v>678</v>
      </c>
      <c r="F294" t="s">
        <v>2378</v>
      </c>
      <c r="G294" t="s">
        <v>555</v>
      </c>
    </row>
    <row r="295" spans="1:7">
      <c r="A295" t="s">
        <v>549</v>
      </c>
      <c r="B295">
        <v>4</v>
      </c>
      <c r="C295" t="s">
        <v>347</v>
      </c>
      <c r="D295" t="s">
        <v>2377</v>
      </c>
      <c r="E295" t="s">
        <v>678</v>
      </c>
      <c r="F295" t="s">
        <v>2381</v>
      </c>
      <c r="G295" t="s">
        <v>308</v>
      </c>
    </row>
    <row r="296" spans="1:7">
      <c r="A296" t="s">
        <v>549</v>
      </c>
      <c r="B296">
        <v>5</v>
      </c>
      <c r="C296" t="s">
        <v>311</v>
      </c>
      <c r="D296" t="s">
        <v>2377</v>
      </c>
      <c r="E296" t="s">
        <v>678</v>
      </c>
      <c r="F296" t="s">
        <v>2389</v>
      </c>
      <c r="G296" t="s">
        <v>556</v>
      </c>
    </row>
    <row r="297" spans="1:7">
      <c r="A297" t="s">
        <v>549</v>
      </c>
      <c r="B297">
        <v>6</v>
      </c>
      <c r="C297" t="s">
        <v>311</v>
      </c>
      <c r="D297" t="s">
        <v>2377</v>
      </c>
      <c r="E297" t="s">
        <v>678</v>
      </c>
      <c r="F297" t="s">
        <v>2389</v>
      </c>
      <c r="G297" t="s">
        <v>556</v>
      </c>
    </row>
    <row r="298" spans="1:7">
      <c r="A298" t="s">
        <v>549</v>
      </c>
      <c r="B298">
        <v>7</v>
      </c>
      <c r="C298" t="s">
        <v>311</v>
      </c>
      <c r="D298" t="s">
        <v>2377</v>
      </c>
      <c r="E298" t="s">
        <v>678</v>
      </c>
      <c r="F298" t="s">
        <v>2389</v>
      </c>
      <c r="G298" t="s">
        <v>556</v>
      </c>
    </row>
    <row r="299" spans="1:7">
      <c r="A299" t="s">
        <v>549</v>
      </c>
      <c r="B299">
        <v>8</v>
      </c>
      <c r="C299" t="s">
        <v>2382</v>
      </c>
      <c r="D299" t="s">
        <v>1682</v>
      </c>
      <c r="E299" t="s">
        <v>678</v>
      </c>
      <c r="F299" t="s">
        <v>2390</v>
      </c>
      <c r="G299" t="s">
        <v>678</v>
      </c>
    </row>
    <row r="300" spans="1:7">
      <c r="A300" t="s">
        <v>550</v>
      </c>
      <c r="B300">
        <v>1</v>
      </c>
      <c r="C300" t="s">
        <v>85</v>
      </c>
      <c r="D300" t="s">
        <v>737</v>
      </c>
      <c r="E300" t="s">
        <v>85</v>
      </c>
      <c r="F300" t="s">
        <v>678</v>
      </c>
      <c r="G300" t="s">
        <v>678</v>
      </c>
    </row>
    <row r="301" spans="1:7">
      <c r="A301" t="s">
        <v>550</v>
      </c>
      <c r="B301">
        <v>2</v>
      </c>
      <c r="C301" t="s">
        <v>97</v>
      </c>
      <c r="D301" t="s">
        <v>737</v>
      </c>
      <c r="E301" t="s">
        <v>97</v>
      </c>
      <c r="F301" t="s">
        <v>678</v>
      </c>
      <c r="G301" t="s">
        <v>678</v>
      </c>
    </row>
    <row r="302" spans="1:7">
      <c r="A302" t="s">
        <v>550</v>
      </c>
      <c r="B302">
        <v>3</v>
      </c>
      <c r="C302" t="s">
        <v>113</v>
      </c>
      <c r="D302" t="s">
        <v>737</v>
      </c>
      <c r="E302" t="s">
        <v>113</v>
      </c>
      <c r="F302" t="s">
        <v>678</v>
      </c>
      <c r="G302" t="s">
        <v>678</v>
      </c>
    </row>
    <row r="303" spans="1:7">
      <c r="A303" t="s">
        <v>550</v>
      </c>
      <c r="B303">
        <v>4</v>
      </c>
      <c r="C303" t="s">
        <v>347</v>
      </c>
      <c r="D303" t="s">
        <v>2377</v>
      </c>
      <c r="E303" t="s">
        <v>678</v>
      </c>
      <c r="F303" t="s">
        <v>2381</v>
      </c>
      <c r="G303" t="s">
        <v>308</v>
      </c>
    </row>
    <row r="304" spans="1:7">
      <c r="A304" t="s">
        <v>550</v>
      </c>
      <c r="B304">
        <v>5</v>
      </c>
      <c r="C304" t="s">
        <v>119</v>
      </c>
      <c r="D304" t="s">
        <v>737</v>
      </c>
      <c r="E304" t="s">
        <v>119</v>
      </c>
      <c r="F304" t="s">
        <v>678</v>
      </c>
      <c r="G304" t="s">
        <v>678</v>
      </c>
    </row>
    <row r="305" spans="1:7">
      <c r="A305" t="s">
        <v>550</v>
      </c>
      <c r="B305">
        <v>6</v>
      </c>
      <c r="C305" t="s">
        <v>64</v>
      </c>
      <c r="D305" t="s">
        <v>737</v>
      </c>
      <c r="E305" t="s">
        <v>64</v>
      </c>
      <c r="F305" t="s">
        <v>678</v>
      </c>
      <c r="G305" t="s">
        <v>678</v>
      </c>
    </row>
    <row r="306" spans="1:7">
      <c r="A306" t="s">
        <v>550</v>
      </c>
      <c r="B306">
        <v>7</v>
      </c>
      <c r="C306" t="s">
        <v>80</v>
      </c>
      <c r="D306" t="s">
        <v>737</v>
      </c>
      <c r="E306" t="s">
        <v>80</v>
      </c>
      <c r="F306" t="s">
        <v>678</v>
      </c>
      <c r="G306" t="s">
        <v>678</v>
      </c>
    </row>
    <row r="307" spans="1:7">
      <c r="A307" t="s">
        <v>550</v>
      </c>
      <c r="B307">
        <v>8</v>
      </c>
      <c r="C307" t="s">
        <v>102</v>
      </c>
      <c r="D307" t="s">
        <v>737</v>
      </c>
      <c r="E307" t="s">
        <v>102</v>
      </c>
      <c r="F307" t="s">
        <v>678</v>
      </c>
      <c r="G307" t="s">
        <v>678</v>
      </c>
    </row>
    <row r="308" spans="1:7">
      <c r="A308" t="s">
        <v>551</v>
      </c>
      <c r="B308">
        <v>1</v>
      </c>
      <c r="C308" t="s">
        <v>67</v>
      </c>
      <c r="D308" t="s">
        <v>737</v>
      </c>
      <c r="E308" t="s">
        <v>67</v>
      </c>
      <c r="F308" t="s">
        <v>678</v>
      </c>
      <c r="G308" t="s">
        <v>678</v>
      </c>
    </row>
    <row r="309" spans="1:7">
      <c r="A309" t="s">
        <v>551</v>
      </c>
      <c r="B309">
        <v>2</v>
      </c>
      <c r="C309" t="s">
        <v>77</v>
      </c>
      <c r="D309" t="s">
        <v>737</v>
      </c>
      <c r="E309" t="s">
        <v>77</v>
      </c>
      <c r="F309" t="s">
        <v>678</v>
      </c>
      <c r="G309" t="s">
        <v>678</v>
      </c>
    </row>
    <row r="310" spans="1:7">
      <c r="A310" t="s">
        <v>551</v>
      </c>
      <c r="B310">
        <v>3</v>
      </c>
      <c r="C310" t="s">
        <v>79</v>
      </c>
      <c r="D310" t="s">
        <v>737</v>
      </c>
      <c r="E310" t="s">
        <v>79</v>
      </c>
      <c r="F310" t="s">
        <v>678</v>
      </c>
      <c r="G310" t="s">
        <v>678</v>
      </c>
    </row>
    <row r="311" spans="1:7">
      <c r="A311" t="s">
        <v>551</v>
      </c>
      <c r="B311">
        <v>4</v>
      </c>
      <c r="C311" t="s">
        <v>103</v>
      </c>
      <c r="D311" t="s">
        <v>737</v>
      </c>
      <c r="E311" t="s">
        <v>103</v>
      </c>
      <c r="F311" t="s">
        <v>678</v>
      </c>
      <c r="G311" t="s">
        <v>678</v>
      </c>
    </row>
    <row r="312" spans="1:7">
      <c r="A312" t="s">
        <v>551</v>
      </c>
      <c r="B312">
        <v>5</v>
      </c>
      <c r="C312" t="s">
        <v>105</v>
      </c>
      <c r="D312" t="s">
        <v>737</v>
      </c>
      <c r="E312" t="s">
        <v>105</v>
      </c>
      <c r="F312" t="s">
        <v>678</v>
      </c>
      <c r="G312" t="s">
        <v>678</v>
      </c>
    </row>
    <row r="313" spans="1:7">
      <c r="A313" t="s">
        <v>551</v>
      </c>
      <c r="B313">
        <v>6</v>
      </c>
      <c r="C313" t="s">
        <v>117</v>
      </c>
      <c r="D313" t="s">
        <v>737</v>
      </c>
      <c r="E313" t="s">
        <v>117</v>
      </c>
      <c r="F313" t="s">
        <v>678</v>
      </c>
      <c r="G313" t="s">
        <v>678</v>
      </c>
    </row>
    <row r="314" spans="1:7">
      <c r="A314" t="s">
        <v>551</v>
      </c>
      <c r="B314">
        <v>7</v>
      </c>
      <c r="C314" t="s">
        <v>456</v>
      </c>
      <c r="D314" t="s">
        <v>737</v>
      </c>
      <c r="E314" t="s">
        <v>456</v>
      </c>
      <c r="F314" t="s">
        <v>678</v>
      </c>
      <c r="G314" t="s">
        <v>342</v>
      </c>
    </row>
    <row r="315" spans="1:7">
      <c r="A315" t="s">
        <v>551</v>
      </c>
      <c r="B315">
        <v>8</v>
      </c>
      <c r="C315" t="s">
        <v>112</v>
      </c>
      <c r="D315" t="s">
        <v>737</v>
      </c>
      <c r="E315" t="s">
        <v>112</v>
      </c>
      <c r="F315" t="s">
        <v>678</v>
      </c>
      <c r="G315" t="s">
        <v>678</v>
      </c>
    </row>
    <row r="316" spans="1:7">
      <c r="A316" t="s">
        <v>552</v>
      </c>
      <c r="B316">
        <v>1</v>
      </c>
      <c r="C316" t="s">
        <v>69</v>
      </c>
      <c r="D316" t="s">
        <v>737</v>
      </c>
      <c r="E316" t="s">
        <v>69</v>
      </c>
      <c r="F316" t="s">
        <v>678</v>
      </c>
      <c r="G316" t="s">
        <v>678</v>
      </c>
    </row>
    <row r="317" spans="1:7">
      <c r="A317" t="s">
        <v>552</v>
      </c>
      <c r="B317">
        <v>2</v>
      </c>
      <c r="C317" t="s">
        <v>347</v>
      </c>
      <c r="D317" t="s">
        <v>2377</v>
      </c>
      <c r="E317" t="s">
        <v>678</v>
      </c>
      <c r="F317" t="s">
        <v>2381</v>
      </c>
      <c r="G317" t="s">
        <v>308</v>
      </c>
    </row>
    <row r="318" spans="1:7">
      <c r="A318" t="s">
        <v>552</v>
      </c>
      <c r="B318">
        <v>3</v>
      </c>
      <c r="C318" t="s">
        <v>347</v>
      </c>
      <c r="D318" t="s">
        <v>2377</v>
      </c>
      <c r="E318" t="s">
        <v>678</v>
      </c>
      <c r="F318" t="s">
        <v>2381</v>
      </c>
      <c r="G318" t="s">
        <v>308</v>
      </c>
    </row>
    <row r="319" spans="1:7">
      <c r="A319" t="s">
        <v>552</v>
      </c>
      <c r="B319">
        <v>4</v>
      </c>
      <c r="C319" t="s">
        <v>347</v>
      </c>
      <c r="D319" t="s">
        <v>2377</v>
      </c>
      <c r="E319" t="s">
        <v>678</v>
      </c>
      <c r="F319" t="s">
        <v>2381</v>
      </c>
      <c r="G319" t="s">
        <v>308</v>
      </c>
    </row>
    <row r="320" spans="1:7">
      <c r="A320" t="s">
        <v>552</v>
      </c>
      <c r="B320">
        <v>5</v>
      </c>
      <c r="C320" t="s">
        <v>118</v>
      </c>
      <c r="D320" t="s">
        <v>737</v>
      </c>
      <c r="E320" t="s">
        <v>118</v>
      </c>
      <c r="F320" t="s">
        <v>678</v>
      </c>
      <c r="G320" t="s">
        <v>678</v>
      </c>
    </row>
    <row r="321" spans="1:7">
      <c r="A321" t="s">
        <v>552</v>
      </c>
      <c r="B321">
        <v>6</v>
      </c>
      <c r="C321" t="s">
        <v>119</v>
      </c>
      <c r="D321" t="s">
        <v>737</v>
      </c>
      <c r="E321" t="s">
        <v>119</v>
      </c>
      <c r="F321" t="s">
        <v>678</v>
      </c>
      <c r="G321" t="s">
        <v>678</v>
      </c>
    </row>
    <row r="322" spans="1:7">
      <c r="A322" t="s">
        <v>552</v>
      </c>
      <c r="B322">
        <v>7</v>
      </c>
      <c r="C322" t="s">
        <v>80</v>
      </c>
      <c r="D322" t="s">
        <v>737</v>
      </c>
      <c r="E322" t="s">
        <v>80</v>
      </c>
      <c r="F322" t="s">
        <v>678</v>
      </c>
      <c r="G322" t="s">
        <v>678</v>
      </c>
    </row>
    <row r="323" spans="1:7">
      <c r="A323" t="s">
        <v>552</v>
      </c>
      <c r="B323">
        <v>8</v>
      </c>
      <c r="C323" t="s">
        <v>2380</v>
      </c>
      <c r="D323" t="s">
        <v>773</v>
      </c>
      <c r="E323" t="s">
        <v>678</v>
      </c>
      <c r="F323" t="s">
        <v>678</v>
      </c>
      <c r="G323" t="s">
        <v>678</v>
      </c>
    </row>
    <row r="324" spans="1:7">
      <c r="A324" t="s">
        <v>553</v>
      </c>
      <c r="B324">
        <v>1</v>
      </c>
      <c r="C324" t="s">
        <v>67</v>
      </c>
      <c r="D324" t="s">
        <v>737</v>
      </c>
      <c r="E324" t="s">
        <v>67</v>
      </c>
      <c r="F324" t="s">
        <v>678</v>
      </c>
      <c r="G324" t="s">
        <v>678</v>
      </c>
    </row>
    <row r="325" spans="1:7">
      <c r="A325" t="s">
        <v>553</v>
      </c>
      <c r="B325">
        <v>2</v>
      </c>
      <c r="C325" t="s">
        <v>79</v>
      </c>
      <c r="D325" t="s">
        <v>737</v>
      </c>
      <c r="E325" t="s">
        <v>79</v>
      </c>
      <c r="F325" t="s">
        <v>678</v>
      </c>
      <c r="G325" t="s">
        <v>678</v>
      </c>
    </row>
    <row r="326" spans="1:7">
      <c r="A326" t="s">
        <v>553</v>
      </c>
      <c r="B326">
        <v>3</v>
      </c>
      <c r="C326" t="s">
        <v>514</v>
      </c>
      <c r="D326" t="s">
        <v>2377</v>
      </c>
      <c r="E326" t="s">
        <v>678</v>
      </c>
      <c r="F326" t="s">
        <v>2378</v>
      </c>
      <c r="G326" t="s">
        <v>555</v>
      </c>
    </row>
    <row r="327" spans="1:7">
      <c r="A327" t="s">
        <v>553</v>
      </c>
      <c r="B327">
        <v>4</v>
      </c>
      <c r="C327" t="s">
        <v>64</v>
      </c>
      <c r="D327" t="s">
        <v>737</v>
      </c>
      <c r="E327" t="s">
        <v>64</v>
      </c>
      <c r="F327" t="s">
        <v>678</v>
      </c>
      <c r="G327" t="s">
        <v>678</v>
      </c>
    </row>
    <row r="328" spans="1:7">
      <c r="A328" t="s">
        <v>553</v>
      </c>
      <c r="B328">
        <v>5</v>
      </c>
      <c r="C328" t="s">
        <v>76</v>
      </c>
      <c r="D328" t="s">
        <v>737</v>
      </c>
      <c r="E328" t="s">
        <v>76</v>
      </c>
      <c r="F328" t="s">
        <v>678</v>
      </c>
      <c r="G328" t="s">
        <v>678</v>
      </c>
    </row>
    <row r="329" spans="1:7">
      <c r="A329" t="s">
        <v>553</v>
      </c>
      <c r="B329">
        <v>6</v>
      </c>
      <c r="C329" t="s">
        <v>80</v>
      </c>
      <c r="D329" t="s">
        <v>737</v>
      </c>
      <c r="E329" t="s">
        <v>80</v>
      </c>
      <c r="F329" t="s">
        <v>678</v>
      </c>
      <c r="G329" t="s">
        <v>678</v>
      </c>
    </row>
    <row r="330" spans="1:7">
      <c r="A330" t="s">
        <v>553</v>
      </c>
      <c r="B330">
        <v>7</v>
      </c>
      <c r="C330" t="s">
        <v>102</v>
      </c>
      <c r="D330" t="s">
        <v>737</v>
      </c>
      <c r="E330" t="s">
        <v>102</v>
      </c>
      <c r="F330" t="s">
        <v>678</v>
      </c>
      <c r="G330" t="s">
        <v>678</v>
      </c>
    </row>
    <row r="331" spans="1:7">
      <c r="A331" t="s">
        <v>553</v>
      </c>
      <c r="B331">
        <v>8</v>
      </c>
      <c r="C331" t="s">
        <v>106</v>
      </c>
      <c r="D331" t="s">
        <v>737</v>
      </c>
      <c r="E331" t="s">
        <v>106</v>
      </c>
      <c r="F331" t="s">
        <v>678</v>
      </c>
      <c r="G331" t="s">
        <v>678</v>
      </c>
    </row>
    <row r="400" spans="1:1">
      <c r="A400" t="s">
        <v>2391</v>
      </c>
    </row>
    <row r="401" spans="1:1">
      <c r="A401" t="s">
        <v>2392</v>
      </c>
    </row>
    <row r="402" spans="1:1">
      <c r="A402" t="s">
        <v>2393</v>
      </c>
    </row>
    <row r="403" spans="1:1">
      <c r="A403" t="s">
        <v>2394</v>
      </c>
    </row>
    <row r="404" spans="1:1">
      <c r="A404" t="s">
        <v>2395</v>
      </c>
    </row>
    <row r="405" spans="1:1">
      <c r="A405" t="s">
        <v>2396</v>
      </c>
    </row>
    <row r="406" spans="1:1">
      <c r="A406" t="s">
        <v>2397</v>
      </c>
    </row>
    <row r="407" spans="1:1">
      <c r="A407" t="s">
        <v>2398</v>
      </c>
    </row>
    <row r="500" spans="1:9">
      <c r="A500" t="s">
        <v>2399</v>
      </c>
      <c r="B500" t="s">
        <v>112</v>
      </c>
      <c r="C500" t="s">
        <v>2359</v>
      </c>
      <c r="D500" t="s">
        <v>2400</v>
      </c>
      <c r="E500" t="s">
        <v>2401</v>
      </c>
      <c r="F500" t="s">
        <v>2402</v>
      </c>
      <c r="G500" t="s">
        <v>678</v>
      </c>
      <c r="H500" t="s">
        <v>678</v>
      </c>
      <c r="I500" t="s">
        <v>2403</v>
      </c>
    </row>
    <row r="501" spans="1:9">
      <c r="A501" t="s">
        <v>2404</v>
      </c>
      <c r="B501" t="s">
        <v>112</v>
      </c>
      <c r="C501" t="s">
        <v>2359</v>
      </c>
      <c r="D501" t="s">
        <v>2405</v>
      </c>
      <c r="E501" t="s">
        <v>2401</v>
      </c>
      <c r="F501" t="s">
        <v>2402</v>
      </c>
      <c r="G501" t="s">
        <v>678</v>
      </c>
      <c r="H501" t="s">
        <v>678</v>
      </c>
      <c r="I501" t="s">
        <v>2406</v>
      </c>
    </row>
    <row r="502" spans="1:9">
      <c r="A502" t="s">
        <v>2407</v>
      </c>
      <c r="B502" t="s">
        <v>112</v>
      </c>
      <c r="C502" t="s">
        <v>2359</v>
      </c>
      <c r="D502" t="s">
        <v>629</v>
      </c>
      <c r="E502" t="s">
        <v>2401</v>
      </c>
      <c r="F502" t="s">
        <v>2402</v>
      </c>
      <c r="G502" t="s">
        <v>678</v>
      </c>
      <c r="H502" t="s">
        <v>2408</v>
      </c>
      <c r="I502" t="s">
        <v>2406</v>
      </c>
    </row>
    <row r="503" spans="1:9">
      <c r="A503" t="s">
        <v>2409</v>
      </c>
      <c r="B503" t="s">
        <v>70</v>
      </c>
      <c r="C503" t="s">
        <v>2315</v>
      </c>
      <c r="D503" t="s">
        <v>2405</v>
      </c>
      <c r="E503" t="s">
        <v>2410</v>
      </c>
      <c r="F503" t="s">
        <v>2402</v>
      </c>
      <c r="G503" t="s">
        <v>678</v>
      </c>
      <c r="H503" t="s">
        <v>678</v>
      </c>
      <c r="I503" t="s">
        <v>2406</v>
      </c>
    </row>
    <row r="504" spans="1:9">
      <c r="A504" t="s">
        <v>2411</v>
      </c>
      <c r="B504" t="s">
        <v>70</v>
      </c>
      <c r="C504" t="s">
        <v>2315</v>
      </c>
      <c r="D504" t="s">
        <v>2405</v>
      </c>
      <c r="E504" t="s">
        <v>2401</v>
      </c>
      <c r="F504" t="s">
        <v>2402</v>
      </c>
      <c r="G504" t="s">
        <v>678</v>
      </c>
      <c r="H504" t="s">
        <v>678</v>
      </c>
      <c r="I504" t="s">
        <v>2406</v>
      </c>
    </row>
    <row r="505" spans="1:9">
      <c r="A505" t="s">
        <v>2412</v>
      </c>
      <c r="B505" t="s">
        <v>70</v>
      </c>
      <c r="C505" t="s">
        <v>2315</v>
      </c>
      <c r="D505" t="s">
        <v>2413</v>
      </c>
      <c r="E505" t="s">
        <v>2410</v>
      </c>
      <c r="F505" t="s">
        <v>2402</v>
      </c>
      <c r="G505" t="s">
        <v>678</v>
      </c>
      <c r="H505" t="s">
        <v>678</v>
      </c>
      <c r="I505" t="s">
        <v>2406</v>
      </c>
    </row>
    <row r="506" spans="1:9">
      <c r="A506" t="s">
        <v>2414</v>
      </c>
      <c r="B506" t="s">
        <v>70</v>
      </c>
      <c r="C506" t="s">
        <v>2315</v>
      </c>
      <c r="D506" t="s">
        <v>2413</v>
      </c>
      <c r="E506" t="s">
        <v>2401</v>
      </c>
      <c r="F506" t="s">
        <v>2402</v>
      </c>
      <c r="G506" t="s">
        <v>678</v>
      </c>
      <c r="H506" t="s">
        <v>678</v>
      </c>
      <c r="I506" t="s">
        <v>2406</v>
      </c>
    </row>
    <row r="507" spans="1:9">
      <c r="A507" t="s">
        <v>2415</v>
      </c>
      <c r="B507" t="s">
        <v>70</v>
      </c>
      <c r="C507" t="s">
        <v>2315</v>
      </c>
      <c r="D507" t="s">
        <v>2416</v>
      </c>
      <c r="E507" t="s">
        <v>2401</v>
      </c>
      <c r="F507" t="s">
        <v>2402</v>
      </c>
      <c r="G507" t="s">
        <v>678</v>
      </c>
      <c r="H507" t="s">
        <v>678</v>
      </c>
      <c r="I507" t="s">
        <v>2406</v>
      </c>
    </row>
    <row r="508" spans="1:9">
      <c r="A508" t="s">
        <v>2417</v>
      </c>
      <c r="B508" t="s">
        <v>70</v>
      </c>
      <c r="C508" t="s">
        <v>2315</v>
      </c>
      <c r="D508" t="s">
        <v>2416</v>
      </c>
      <c r="E508" t="s">
        <v>2401</v>
      </c>
      <c r="F508" t="s">
        <v>2402</v>
      </c>
      <c r="G508" t="s">
        <v>678</v>
      </c>
      <c r="H508" t="s">
        <v>678</v>
      </c>
      <c r="I508" t="s">
        <v>2406</v>
      </c>
    </row>
    <row r="509" spans="1:9">
      <c r="A509" t="s">
        <v>2418</v>
      </c>
      <c r="B509" t="s">
        <v>70</v>
      </c>
      <c r="C509" t="s">
        <v>2315</v>
      </c>
      <c r="D509" t="s">
        <v>2416</v>
      </c>
      <c r="E509" t="s">
        <v>2410</v>
      </c>
      <c r="F509" t="s">
        <v>2402</v>
      </c>
      <c r="G509" t="s">
        <v>678</v>
      </c>
      <c r="H509" t="s">
        <v>678</v>
      </c>
      <c r="I509" t="s">
        <v>2406</v>
      </c>
    </row>
    <row r="510" spans="1:9">
      <c r="A510" t="s">
        <v>2419</v>
      </c>
      <c r="B510" t="s">
        <v>70</v>
      </c>
      <c r="C510" t="s">
        <v>2315</v>
      </c>
      <c r="D510" t="s">
        <v>2420</v>
      </c>
      <c r="E510" t="s">
        <v>2401</v>
      </c>
      <c r="F510" t="s">
        <v>2402</v>
      </c>
      <c r="G510" t="s">
        <v>678</v>
      </c>
      <c r="H510" t="s">
        <v>678</v>
      </c>
      <c r="I510" t="s">
        <v>2406</v>
      </c>
    </row>
    <row r="511" spans="1:9">
      <c r="A511" t="s">
        <v>2421</v>
      </c>
      <c r="B511" t="s">
        <v>70</v>
      </c>
      <c r="C511" t="s">
        <v>2315</v>
      </c>
      <c r="D511" t="s">
        <v>2420</v>
      </c>
      <c r="E511" t="s">
        <v>2401</v>
      </c>
      <c r="F511" t="s">
        <v>2402</v>
      </c>
      <c r="G511" t="s">
        <v>678</v>
      </c>
      <c r="H511" t="s">
        <v>678</v>
      </c>
      <c r="I511" t="s">
        <v>2422</v>
      </c>
    </row>
    <row r="512" spans="1:9">
      <c r="A512" t="s">
        <v>2423</v>
      </c>
      <c r="B512" t="s">
        <v>70</v>
      </c>
      <c r="C512" t="s">
        <v>2315</v>
      </c>
      <c r="D512" t="s">
        <v>2424</v>
      </c>
      <c r="E512" t="s">
        <v>2401</v>
      </c>
      <c r="F512" t="s">
        <v>2402</v>
      </c>
      <c r="G512" t="s">
        <v>678</v>
      </c>
      <c r="H512" t="s">
        <v>2425</v>
      </c>
      <c r="I512" t="s">
        <v>2422</v>
      </c>
    </row>
    <row r="513" spans="1:9">
      <c r="A513" t="s">
        <v>2426</v>
      </c>
      <c r="B513" t="s">
        <v>2427</v>
      </c>
      <c r="C513" t="s">
        <v>2428</v>
      </c>
      <c r="D513" t="s">
        <v>2429</v>
      </c>
      <c r="E513" t="s">
        <v>678</v>
      </c>
      <c r="F513" t="s">
        <v>2430</v>
      </c>
      <c r="G513" t="s">
        <v>2431</v>
      </c>
      <c r="H513" t="s">
        <v>2432</v>
      </c>
      <c r="I513" t="s">
        <v>2406</v>
      </c>
    </row>
    <row r="514" spans="1:9">
      <c r="A514" t="s">
        <v>2433</v>
      </c>
      <c r="B514" t="s">
        <v>2427</v>
      </c>
      <c r="C514" t="s">
        <v>2428</v>
      </c>
      <c r="D514" t="s">
        <v>2429</v>
      </c>
      <c r="E514" t="s">
        <v>678</v>
      </c>
      <c r="F514" t="s">
        <v>2434</v>
      </c>
      <c r="G514" t="s">
        <v>2435</v>
      </c>
      <c r="H514" t="s">
        <v>2432</v>
      </c>
      <c r="I514" t="s">
        <v>2406</v>
      </c>
    </row>
    <row r="515" spans="1:9">
      <c r="A515" t="s">
        <v>2436</v>
      </c>
      <c r="B515" t="s">
        <v>79</v>
      </c>
      <c r="C515" t="s">
        <v>1186</v>
      </c>
      <c r="D515" t="s">
        <v>2429</v>
      </c>
      <c r="E515" t="s">
        <v>678</v>
      </c>
      <c r="F515" t="s">
        <v>2437</v>
      </c>
      <c r="G515" t="s">
        <v>2438</v>
      </c>
      <c r="H515" t="s">
        <v>2439</v>
      </c>
      <c r="I515" t="s">
        <v>2406</v>
      </c>
    </row>
    <row r="516" spans="1:9">
      <c r="A516" t="s">
        <v>2440</v>
      </c>
      <c r="B516" t="s">
        <v>117</v>
      </c>
      <c r="C516" t="s">
        <v>2307</v>
      </c>
      <c r="D516" t="s">
        <v>2429</v>
      </c>
      <c r="E516" t="s">
        <v>678</v>
      </c>
      <c r="F516" t="s">
        <v>2441</v>
      </c>
      <c r="G516" t="s">
        <v>2438</v>
      </c>
      <c r="H516" t="s">
        <v>2442</v>
      </c>
      <c r="I516" t="s">
        <v>2406</v>
      </c>
    </row>
    <row r="517" spans="1:9">
      <c r="A517" t="s">
        <v>2443</v>
      </c>
      <c r="B517" t="s">
        <v>79</v>
      </c>
      <c r="C517" t="s">
        <v>1186</v>
      </c>
      <c r="D517" t="s">
        <v>2429</v>
      </c>
      <c r="E517" t="s">
        <v>678</v>
      </c>
      <c r="F517" t="s">
        <v>2437</v>
      </c>
      <c r="G517" t="s">
        <v>2438</v>
      </c>
      <c r="H517" t="s">
        <v>2444</v>
      </c>
      <c r="I517" t="s">
        <v>2406</v>
      </c>
    </row>
    <row r="518" spans="1:9">
      <c r="A518" t="s">
        <v>2445</v>
      </c>
      <c r="B518" t="s">
        <v>117</v>
      </c>
      <c r="C518" t="s">
        <v>2307</v>
      </c>
      <c r="D518" t="s">
        <v>2429</v>
      </c>
      <c r="E518" t="s">
        <v>678</v>
      </c>
      <c r="F518" t="s">
        <v>2441</v>
      </c>
      <c r="G518" t="s">
        <v>2438</v>
      </c>
      <c r="H518" t="s">
        <v>2446</v>
      </c>
      <c r="I518" t="s">
        <v>2406</v>
      </c>
    </row>
    <row r="519" spans="1:9">
      <c r="A519" t="s">
        <v>2447</v>
      </c>
      <c r="B519" t="s">
        <v>2427</v>
      </c>
      <c r="C519" t="s">
        <v>2428</v>
      </c>
      <c r="D519" t="s">
        <v>2429</v>
      </c>
      <c r="E519" t="s">
        <v>678</v>
      </c>
      <c r="F519" t="s">
        <v>2430</v>
      </c>
      <c r="G519" t="s">
        <v>678</v>
      </c>
      <c r="H519" t="s">
        <v>2448</v>
      </c>
      <c r="I519" t="s">
        <v>2406</v>
      </c>
    </row>
    <row r="520" spans="1:9">
      <c r="A520" t="s">
        <v>2449</v>
      </c>
      <c r="B520" t="s">
        <v>2427</v>
      </c>
      <c r="C520" t="s">
        <v>2428</v>
      </c>
      <c r="D520" t="s">
        <v>2429</v>
      </c>
      <c r="E520" t="s">
        <v>678</v>
      </c>
      <c r="F520" t="s">
        <v>2430</v>
      </c>
      <c r="G520" t="s">
        <v>678</v>
      </c>
      <c r="H520" t="s">
        <v>2448</v>
      </c>
      <c r="I520" t="s">
        <v>2406</v>
      </c>
    </row>
    <row r="521" spans="1:9">
      <c r="A521" t="s">
        <v>2450</v>
      </c>
      <c r="B521" t="s">
        <v>105</v>
      </c>
      <c r="C521" t="s">
        <v>1317</v>
      </c>
      <c r="D521" t="s">
        <v>2429</v>
      </c>
      <c r="E521" t="s">
        <v>678</v>
      </c>
      <c r="F521" t="s">
        <v>2451</v>
      </c>
      <c r="G521" t="s">
        <v>678</v>
      </c>
      <c r="H521" t="s">
        <v>2452</v>
      </c>
      <c r="I521" t="s">
        <v>2422</v>
      </c>
    </row>
    <row r="522" spans="1:9">
      <c r="A522" t="s">
        <v>2453</v>
      </c>
      <c r="B522" t="s">
        <v>105</v>
      </c>
      <c r="C522" t="s">
        <v>1317</v>
      </c>
      <c r="D522" t="s">
        <v>2416</v>
      </c>
      <c r="E522" t="s">
        <v>2401</v>
      </c>
      <c r="F522" t="s">
        <v>2438</v>
      </c>
      <c r="G522" t="s">
        <v>678</v>
      </c>
      <c r="H522" t="s">
        <v>2454</v>
      </c>
      <c r="I522" t="s">
        <v>2422</v>
      </c>
    </row>
    <row r="523" spans="1:9">
      <c r="A523" t="s">
        <v>2455</v>
      </c>
      <c r="B523" t="s">
        <v>105</v>
      </c>
      <c r="C523" t="s">
        <v>1317</v>
      </c>
      <c r="D523" t="s">
        <v>2420</v>
      </c>
      <c r="E523" t="s">
        <v>2401</v>
      </c>
      <c r="F523" t="s">
        <v>2456</v>
      </c>
      <c r="G523" t="s">
        <v>678</v>
      </c>
      <c r="H523" t="s">
        <v>2454</v>
      </c>
      <c r="I523" t="s">
        <v>2422</v>
      </c>
    </row>
    <row r="524" spans="1:9">
      <c r="A524" t="s">
        <v>2457</v>
      </c>
      <c r="B524" t="s">
        <v>105</v>
      </c>
      <c r="C524" t="s">
        <v>1317</v>
      </c>
      <c r="D524" t="s">
        <v>2424</v>
      </c>
      <c r="E524" t="s">
        <v>2401</v>
      </c>
      <c r="F524" t="s">
        <v>2437</v>
      </c>
      <c r="G524" t="s">
        <v>678</v>
      </c>
      <c r="H524" t="s">
        <v>2454</v>
      </c>
      <c r="I524" t="s">
        <v>2422</v>
      </c>
    </row>
    <row r="525" spans="1:9">
      <c r="A525" t="s">
        <v>2458</v>
      </c>
      <c r="B525" t="s">
        <v>105</v>
      </c>
      <c r="C525" t="s">
        <v>1317</v>
      </c>
      <c r="D525" t="s">
        <v>2459</v>
      </c>
      <c r="E525" t="s">
        <v>2401</v>
      </c>
      <c r="F525" t="s">
        <v>2460</v>
      </c>
      <c r="G525" t="s">
        <v>678</v>
      </c>
      <c r="H525" t="s">
        <v>2461</v>
      </c>
      <c r="I525" t="s">
        <v>2422</v>
      </c>
    </row>
    <row r="526" spans="1:9">
      <c r="A526" t="s">
        <v>2462</v>
      </c>
      <c r="B526" t="s">
        <v>105</v>
      </c>
      <c r="C526" t="s">
        <v>1317</v>
      </c>
      <c r="D526" t="s">
        <v>2459</v>
      </c>
      <c r="E526" t="s">
        <v>2401</v>
      </c>
      <c r="F526" t="s">
        <v>2460</v>
      </c>
      <c r="G526" t="s">
        <v>678</v>
      </c>
      <c r="H526" t="s">
        <v>2463</v>
      </c>
      <c r="I526" t="s">
        <v>2422</v>
      </c>
    </row>
    <row r="527" spans="1:9">
      <c r="A527" t="s">
        <v>2464</v>
      </c>
      <c r="B527" t="s">
        <v>105</v>
      </c>
      <c r="C527" t="s">
        <v>1317</v>
      </c>
      <c r="D527" t="s">
        <v>2465</v>
      </c>
      <c r="E527" t="s">
        <v>2401</v>
      </c>
      <c r="F527" t="s">
        <v>2438</v>
      </c>
      <c r="G527" t="s">
        <v>678</v>
      </c>
      <c r="H527" t="s">
        <v>2466</v>
      </c>
      <c r="I527" t="s">
        <v>2422</v>
      </c>
    </row>
    <row r="528" spans="1:9">
      <c r="A528" t="s">
        <v>2467</v>
      </c>
      <c r="B528" t="s">
        <v>105</v>
      </c>
      <c r="C528" t="s">
        <v>1317</v>
      </c>
      <c r="D528" t="s">
        <v>2468</v>
      </c>
      <c r="E528" t="s">
        <v>2410</v>
      </c>
      <c r="F528" t="s">
        <v>2469</v>
      </c>
      <c r="G528" t="s">
        <v>678</v>
      </c>
      <c r="H528" t="s">
        <v>2470</v>
      </c>
      <c r="I528" t="s">
        <v>2422</v>
      </c>
    </row>
    <row r="529" spans="1:9">
      <c r="A529" t="s">
        <v>2471</v>
      </c>
      <c r="B529" t="s">
        <v>105</v>
      </c>
      <c r="C529" t="s">
        <v>1317</v>
      </c>
      <c r="D529" t="s">
        <v>2472</v>
      </c>
      <c r="E529" t="s">
        <v>2401</v>
      </c>
      <c r="F529" t="s">
        <v>2441</v>
      </c>
      <c r="G529" t="s">
        <v>678</v>
      </c>
      <c r="H529" t="s">
        <v>2473</v>
      </c>
      <c r="I529" t="s">
        <v>2474</v>
      </c>
    </row>
    <row r="530" spans="1:9">
      <c r="A530" t="s">
        <v>2475</v>
      </c>
      <c r="B530" t="s">
        <v>105</v>
      </c>
      <c r="C530" t="s">
        <v>1317</v>
      </c>
      <c r="D530" t="s">
        <v>2476</v>
      </c>
      <c r="E530" t="s">
        <v>2477</v>
      </c>
      <c r="F530" t="s">
        <v>2478</v>
      </c>
      <c r="G530" t="s">
        <v>678</v>
      </c>
      <c r="H530" t="s">
        <v>2479</v>
      </c>
      <c r="I530" t="s">
        <v>2474</v>
      </c>
    </row>
    <row r="531" spans="1:9">
      <c r="A531" t="s">
        <v>2480</v>
      </c>
      <c r="B531" t="s">
        <v>105</v>
      </c>
      <c r="C531" t="s">
        <v>1317</v>
      </c>
      <c r="D531" t="s">
        <v>2481</v>
      </c>
      <c r="E531" t="s">
        <v>2477</v>
      </c>
      <c r="F531" t="s">
        <v>2482</v>
      </c>
      <c r="G531" t="s">
        <v>678</v>
      </c>
      <c r="H531" t="s">
        <v>678</v>
      </c>
      <c r="I531" t="s">
        <v>2483</v>
      </c>
    </row>
    <row r="532" spans="1:9">
      <c r="A532" t="s">
        <v>2484</v>
      </c>
      <c r="B532" t="s">
        <v>79</v>
      </c>
      <c r="C532" t="s">
        <v>1186</v>
      </c>
      <c r="D532" t="s">
        <v>2485</v>
      </c>
      <c r="E532" t="s">
        <v>2401</v>
      </c>
      <c r="F532" t="s">
        <v>2437</v>
      </c>
      <c r="G532" t="s">
        <v>2438</v>
      </c>
      <c r="H532" t="s">
        <v>678</v>
      </c>
      <c r="I532" t="s">
        <v>2406</v>
      </c>
    </row>
    <row r="533" spans="1:9">
      <c r="A533" t="s">
        <v>2486</v>
      </c>
      <c r="B533" t="s">
        <v>117</v>
      </c>
      <c r="C533" t="s">
        <v>2307</v>
      </c>
      <c r="D533" t="s">
        <v>2487</v>
      </c>
      <c r="E533" t="s">
        <v>2488</v>
      </c>
      <c r="F533" t="s">
        <v>2489</v>
      </c>
      <c r="G533" t="s">
        <v>2438</v>
      </c>
      <c r="H533" t="s">
        <v>678</v>
      </c>
      <c r="I533" t="s">
        <v>2422</v>
      </c>
    </row>
    <row r="534" spans="1:9">
      <c r="A534" t="s">
        <v>2490</v>
      </c>
      <c r="B534" t="s">
        <v>117</v>
      </c>
      <c r="C534" t="s">
        <v>2307</v>
      </c>
      <c r="D534" t="s">
        <v>2491</v>
      </c>
      <c r="E534" t="s">
        <v>2401</v>
      </c>
      <c r="F534" t="s">
        <v>2492</v>
      </c>
      <c r="G534" t="s">
        <v>2430</v>
      </c>
      <c r="H534" t="s">
        <v>678</v>
      </c>
      <c r="I534" t="s">
        <v>2474</v>
      </c>
    </row>
    <row r="535" spans="1:9">
      <c r="A535" t="s">
        <v>2493</v>
      </c>
      <c r="B535" t="s">
        <v>117</v>
      </c>
      <c r="C535" t="s">
        <v>2307</v>
      </c>
      <c r="D535" t="s">
        <v>2491</v>
      </c>
      <c r="E535" t="s">
        <v>2401</v>
      </c>
      <c r="F535" t="s">
        <v>2438</v>
      </c>
      <c r="G535" t="s">
        <v>2494</v>
      </c>
      <c r="H535" t="s">
        <v>678</v>
      </c>
      <c r="I535" t="s">
        <v>2474</v>
      </c>
    </row>
    <row r="536" spans="1:9">
      <c r="A536" t="s">
        <v>2495</v>
      </c>
      <c r="B536" t="s">
        <v>117</v>
      </c>
      <c r="C536" t="s">
        <v>2307</v>
      </c>
      <c r="D536" t="s">
        <v>2485</v>
      </c>
      <c r="E536" t="s">
        <v>2410</v>
      </c>
      <c r="F536" t="s">
        <v>2496</v>
      </c>
      <c r="G536" t="s">
        <v>2497</v>
      </c>
      <c r="H536" t="s">
        <v>2498</v>
      </c>
      <c r="I536" t="s">
        <v>2483</v>
      </c>
    </row>
    <row r="537" spans="1:9">
      <c r="A537" t="s">
        <v>2499</v>
      </c>
      <c r="B537" t="s">
        <v>117</v>
      </c>
      <c r="C537" t="s">
        <v>2307</v>
      </c>
      <c r="D537" t="s">
        <v>2485</v>
      </c>
      <c r="E537" t="s">
        <v>2401</v>
      </c>
      <c r="F537" t="s">
        <v>2478</v>
      </c>
      <c r="G537" t="s">
        <v>2438</v>
      </c>
      <c r="H537" t="s">
        <v>2500</v>
      </c>
      <c r="I537" t="s">
        <v>2483</v>
      </c>
    </row>
    <row r="538" spans="1:9">
      <c r="A538" t="s">
        <v>2501</v>
      </c>
      <c r="B538" t="s">
        <v>117</v>
      </c>
      <c r="C538" t="s">
        <v>2307</v>
      </c>
      <c r="D538" t="s">
        <v>2502</v>
      </c>
      <c r="E538" t="s">
        <v>2401</v>
      </c>
      <c r="F538" t="s">
        <v>2496</v>
      </c>
      <c r="G538" t="s">
        <v>2438</v>
      </c>
      <c r="H538" t="s">
        <v>2503</v>
      </c>
      <c r="I538" t="s">
        <v>2483</v>
      </c>
    </row>
    <row r="539" spans="1:9">
      <c r="A539" t="s">
        <v>2504</v>
      </c>
      <c r="B539" t="s">
        <v>117</v>
      </c>
      <c r="C539" t="s">
        <v>2307</v>
      </c>
      <c r="D539" t="s">
        <v>2481</v>
      </c>
      <c r="E539" t="s">
        <v>2477</v>
      </c>
      <c r="F539" t="s">
        <v>2505</v>
      </c>
      <c r="G539" t="s">
        <v>2497</v>
      </c>
      <c r="H539" t="s">
        <v>2506</v>
      </c>
      <c r="I539" t="s">
        <v>2483</v>
      </c>
    </row>
    <row r="540" spans="1:9">
      <c r="A540" t="s">
        <v>2507</v>
      </c>
      <c r="B540" t="s">
        <v>117</v>
      </c>
      <c r="C540" t="s">
        <v>2307</v>
      </c>
      <c r="D540" t="s">
        <v>2491</v>
      </c>
      <c r="E540" t="s">
        <v>2410</v>
      </c>
      <c r="F540" t="s">
        <v>2489</v>
      </c>
      <c r="G540" t="s">
        <v>2497</v>
      </c>
      <c r="H540" t="s">
        <v>2506</v>
      </c>
      <c r="I540" t="s">
        <v>2483</v>
      </c>
    </row>
    <row r="541" spans="1:9">
      <c r="A541" t="s">
        <v>2508</v>
      </c>
      <c r="B541" t="s">
        <v>117</v>
      </c>
      <c r="C541" t="s">
        <v>2307</v>
      </c>
      <c r="D541" t="s">
        <v>2487</v>
      </c>
      <c r="E541" t="s">
        <v>2477</v>
      </c>
      <c r="F541" t="s">
        <v>2505</v>
      </c>
      <c r="G541" t="s">
        <v>2434</v>
      </c>
      <c r="H541" t="s">
        <v>678</v>
      </c>
      <c r="I541" t="s">
        <v>2509</v>
      </c>
    </row>
    <row r="542" spans="1:9">
      <c r="A542" t="s">
        <v>2510</v>
      </c>
      <c r="B542" t="s">
        <v>117</v>
      </c>
      <c r="C542" t="s">
        <v>2307</v>
      </c>
      <c r="D542" t="s">
        <v>2481</v>
      </c>
      <c r="E542" t="s">
        <v>2477</v>
      </c>
      <c r="F542" t="s">
        <v>2496</v>
      </c>
      <c r="G542" t="s">
        <v>2511</v>
      </c>
      <c r="H542" t="s">
        <v>2512</v>
      </c>
      <c r="I542" t="s">
        <v>2509</v>
      </c>
    </row>
    <row r="543" spans="1:9">
      <c r="A543" t="s">
        <v>2513</v>
      </c>
      <c r="B543" t="s">
        <v>99</v>
      </c>
      <c r="C543" t="s">
        <v>1291</v>
      </c>
      <c r="D543" t="s">
        <v>2487</v>
      </c>
      <c r="E543" t="s">
        <v>2401</v>
      </c>
      <c r="F543" t="s">
        <v>2401</v>
      </c>
      <c r="G543" t="s">
        <v>2437</v>
      </c>
      <c r="H543" t="s">
        <v>678</v>
      </c>
      <c r="I543" t="s">
        <v>2406</v>
      </c>
    </row>
    <row r="544" spans="1:9">
      <c r="A544" t="s">
        <v>2514</v>
      </c>
      <c r="B544" t="s">
        <v>99</v>
      </c>
      <c r="C544" t="s">
        <v>1291</v>
      </c>
      <c r="D544" t="s">
        <v>2487</v>
      </c>
      <c r="E544" t="s">
        <v>2401</v>
      </c>
      <c r="F544" t="s">
        <v>2401</v>
      </c>
      <c r="G544" t="s">
        <v>2494</v>
      </c>
      <c r="H544" t="s">
        <v>678</v>
      </c>
      <c r="I544" t="s">
        <v>2406</v>
      </c>
    </row>
    <row r="545" spans="1:9">
      <c r="A545" t="s">
        <v>2515</v>
      </c>
      <c r="B545" t="s">
        <v>99</v>
      </c>
      <c r="C545" t="s">
        <v>1291</v>
      </c>
      <c r="D545" t="s">
        <v>2485</v>
      </c>
      <c r="E545" t="s">
        <v>2401</v>
      </c>
      <c r="F545" t="s">
        <v>2401</v>
      </c>
      <c r="G545" t="s">
        <v>2438</v>
      </c>
      <c r="H545" t="s">
        <v>2516</v>
      </c>
      <c r="I545" t="s">
        <v>2406</v>
      </c>
    </row>
    <row r="546" spans="1:9">
      <c r="A546" t="s">
        <v>2517</v>
      </c>
      <c r="B546" t="s">
        <v>99</v>
      </c>
      <c r="C546" t="s">
        <v>1291</v>
      </c>
      <c r="D546" t="s">
        <v>2518</v>
      </c>
      <c r="E546" t="s">
        <v>2401</v>
      </c>
      <c r="F546" t="s">
        <v>2401</v>
      </c>
      <c r="G546" t="s">
        <v>2460</v>
      </c>
      <c r="H546" t="s">
        <v>678</v>
      </c>
      <c r="I546" t="s">
        <v>2422</v>
      </c>
    </row>
    <row r="547" spans="1:9">
      <c r="A547" t="s">
        <v>2519</v>
      </c>
      <c r="B547" t="s">
        <v>99</v>
      </c>
      <c r="C547" t="s">
        <v>1291</v>
      </c>
      <c r="D547" t="s">
        <v>2520</v>
      </c>
      <c r="E547" t="s">
        <v>2488</v>
      </c>
      <c r="F547" t="s">
        <v>2401</v>
      </c>
      <c r="G547" t="s">
        <v>2438</v>
      </c>
      <c r="H547" t="s">
        <v>678</v>
      </c>
      <c r="I547" t="s">
        <v>2422</v>
      </c>
    </row>
    <row r="548" spans="1:9">
      <c r="A548" t="s">
        <v>2521</v>
      </c>
      <c r="B548" t="s">
        <v>77</v>
      </c>
      <c r="C548" t="s">
        <v>1157</v>
      </c>
      <c r="D548" t="s">
        <v>2522</v>
      </c>
      <c r="E548" t="s">
        <v>2523</v>
      </c>
      <c r="F548" t="s">
        <v>2524</v>
      </c>
      <c r="G548" t="s">
        <v>2469</v>
      </c>
      <c r="H548" t="s">
        <v>2525</v>
      </c>
      <c r="I548" t="s">
        <v>2474</v>
      </c>
    </row>
    <row r="549" spans="1:9">
      <c r="A549" t="s">
        <v>2526</v>
      </c>
      <c r="B549" t="s">
        <v>77</v>
      </c>
      <c r="C549" t="s">
        <v>1157</v>
      </c>
      <c r="D549" t="s">
        <v>2527</v>
      </c>
      <c r="E549" t="s">
        <v>2477</v>
      </c>
      <c r="F549" t="s">
        <v>2528</v>
      </c>
      <c r="G549" t="s">
        <v>2441</v>
      </c>
      <c r="H549" t="s">
        <v>678</v>
      </c>
      <c r="I549" t="s">
        <v>2483</v>
      </c>
    </row>
    <row r="550" spans="1:9">
      <c r="A550" t="s">
        <v>2529</v>
      </c>
      <c r="B550" t="s">
        <v>77</v>
      </c>
      <c r="C550" t="s">
        <v>1157</v>
      </c>
      <c r="D550" t="s">
        <v>2481</v>
      </c>
      <c r="E550" t="s">
        <v>2401</v>
      </c>
      <c r="F550" t="s">
        <v>2530</v>
      </c>
      <c r="G550" t="s">
        <v>2531</v>
      </c>
      <c r="H550" t="s">
        <v>678</v>
      </c>
      <c r="I550" t="s">
        <v>2483</v>
      </c>
    </row>
    <row r="551" spans="1:9">
      <c r="A551" t="s">
        <v>2532</v>
      </c>
      <c r="B551" t="s">
        <v>77</v>
      </c>
      <c r="C551" t="s">
        <v>1157</v>
      </c>
      <c r="D551" t="s">
        <v>2533</v>
      </c>
      <c r="E551" t="s">
        <v>2534</v>
      </c>
      <c r="F551" t="s">
        <v>2528</v>
      </c>
      <c r="G551" t="s">
        <v>2441</v>
      </c>
      <c r="H551" t="s">
        <v>678</v>
      </c>
      <c r="I551" t="s">
        <v>2509</v>
      </c>
    </row>
    <row r="552" spans="1:9">
      <c r="A552" t="s">
        <v>2535</v>
      </c>
      <c r="B552" t="s">
        <v>77</v>
      </c>
      <c r="C552" t="s">
        <v>1157</v>
      </c>
      <c r="D552" t="s">
        <v>2536</v>
      </c>
      <c r="E552" t="s">
        <v>2523</v>
      </c>
      <c r="F552" t="s">
        <v>2537</v>
      </c>
      <c r="G552" t="s">
        <v>2469</v>
      </c>
      <c r="H552" t="s">
        <v>678</v>
      </c>
      <c r="I552" t="s">
        <v>2509</v>
      </c>
    </row>
    <row r="553" spans="1:9">
      <c r="A553" t="s">
        <v>2538</v>
      </c>
      <c r="B553" t="s">
        <v>77</v>
      </c>
      <c r="C553" t="s">
        <v>1157</v>
      </c>
      <c r="D553" t="s">
        <v>2539</v>
      </c>
      <c r="E553" t="s">
        <v>2540</v>
      </c>
      <c r="F553" t="s">
        <v>2541</v>
      </c>
      <c r="G553" t="s">
        <v>2478</v>
      </c>
      <c r="H553" t="s">
        <v>2425</v>
      </c>
      <c r="I553" t="s">
        <v>2509</v>
      </c>
    </row>
    <row r="560" spans="1:9">
      <c r="A560" t="s">
        <v>2542</v>
      </c>
    </row>
    <row r="561" spans="1:1">
      <c r="A561" t="s">
        <v>2543</v>
      </c>
    </row>
    <row r="562" spans="1:1">
      <c r="A562" t="s">
        <v>2544</v>
      </c>
    </row>
    <row r="563" spans="1:1">
      <c r="A563" t="s">
        <v>2545</v>
      </c>
    </row>
    <row r="564" spans="1:1">
      <c r="A564" t="s">
        <v>2546</v>
      </c>
    </row>
    <row r="565" spans="1:1">
      <c r="A565" t="s">
        <v>2547</v>
      </c>
    </row>
    <row r="580" spans="1:1">
      <c r="A580" t="s">
        <v>13</v>
      </c>
    </row>
    <row r="581" spans="1:1">
      <c r="A581" t="s">
        <v>17</v>
      </c>
    </row>
    <row r="582" spans="1:1">
      <c r="A582" t="s">
        <v>21</v>
      </c>
    </row>
    <row r="583" spans="1:1">
      <c r="A583" t="s">
        <v>25</v>
      </c>
    </row>
    <row r="584" spans="1:1">
      <c r="A584" t="s">
        <v>28</v>
      </c>
    </row>
    <row r="585" spans="1:1">
      <c r="A585" t="s">
        <v>31</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ca="1" t="shared" si="6"/>
        <v/>
      </c>
    </row>
    <row r="609" spans="1:1">
      <c r="A609" t="str">
        <f ca="1"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sheetProtection password="CC25" sheet="1" autoFilter="0" objects="1" scenarios="1"/>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H27"/>
  <sheetViews>
    <sheetView showGridLines="0" workbookViewId="0">
      <pane xSplit="2" ySplit="7" topLeftCell="C8" activePane="bottomRight" state="frozen"/>
      <selection/>
      <selection pane="topRight"/>
      <selection pane="bottomLeft"/>
      <selection pane="bottomRight" activeCell="C40" sqref="C40"/>
    </sheetView>
  </sheetViews>
  <sheetFormatPr defaultColWidth="9" defaultRowHeight="14" outlineLevelCol="7"/>
  <cols>
    <col min="1" max="1" width="7" customWidth="1"/>
    <col min="2" max="2" width="13" customWidth="1"/>
    <col min="3" max="3" width="25" customWidth="1"/>
    <col min="4" max="4" width="19" customWidth="1"/>
    <col min="5" max="5" width="19.0833333333333" customWidth="1"/>
    <col min="6" max="6" width="42" customWidth="1"/>
    <col min="7" max="7" width="28.3333333333333" customWidth="1"/>
    <col min="8" max="8" width="35.4166666666667" customWidth="1"/>
  </cols>
  <sheetData>
    <row r="1" ht="21.5" spans="1:8">
      <c r="A1" s="144" t="s">
        <v>2548</v>
      </c>
      <c r="B1" s="144" t="s">
        <v>2549</v>
      </c>
      <c r="C1" s="144" t="s">
        <v>2549</v>
      </c>
      <c r="D1" s="144" t="s">
        <v>2549</v>
      </c>
      <c r="E1" s="144" t="s">
        <v>2549</v>
      </c>
      <c r="F1" s="144" t="s">
        <v>2549</v>
      </c>
      <c r="G1" s="144" t="s">
        <v>2549</v>
      </c>
      <c r="H1" s="144" t="s">
        <v>2549</v>
      </c>
    </row>
    <row r="2" ht="14.5" spans="1:8">
      <c r="A2" s="145" t="s">
        <v>2550</v>
      </c>
      <c r="B2" s="145" t="s">
        <v>2551</v>
      </c>
      <c r="C2" s="145" t="s">
        <v>2551</v>
      </c>
      <c r="D2" s="145" t="s">
        <v>2551</v>
      </c>
      <c r="E2" s="145" t="s">
        <v>2551</v>
      </c>
      <c r="F2" s="145" t="s">
        <v>2551</v>
      </c>
      <c r="G2" s="145" t="s">
        <v>2551</v>
      </c>
      <c r="H2" s="145" t="s">
        <v>2551</v>
      </c>
    </row>
    <row r="3" ht="14.5" spans="1:8">
      <c r="A3" s="145"/>
      <c r="B3" s="145" t="s">
        <v>2552</v>
      </c>
      <c r="C3" s="145" t="s">
        <v>2552</v>
      </c>
      <c r="D3" s="145" t="s">
        <v>2552</v>
      </c>
      <c r="E3" s="145" t="s">
        <v>2552</v>
      </c>
      <c r="F3" s="145" t="s">
        <v>2552</v>
      </c>
      <c r="G3" s="145" t="s">
        <v>2552</v>
      </c>
      <c r="H3" s="145" t="s">
        <v>2552</v>
      </c>
    </row>
    <row r="4" ht="14.5" spans="1:8">
      <c r="A4" s="145"/>
      <c r="B4" s="145"/>
      <c r="C4" s="145"/>
      <c r="D4" s="145"/>
      <c r="E4" s="145"/>
      <c r="F4" s="145"/>
      <c r="G4" s="145"/>
      <c r="H4" s="145"/>
    </row>
    <row r="5" spans="1:8">
      <c r="A5" s="22" t="s">
        <v>2553</v>
      </c>
      <c r="B5" s="145" t="s">
        <v>2553</v>
      </c>
      <c r="C5" s="22" t="s">
        <v>143</v>
      </c>
      <c r="D5" s="145" t="s">
        <v>143</v>
      </c>
      <c r="E5" s="22" t="s">
        <v>142</v>
      </c>
      <c r="F5" s="145" t="s">
        <v>142</v>
      </c>
      <c r="G5" s="22" t="s">
        <v>2554</v>
      </c>
      <c r="H5" s="22" t="s">
        <v>2555</v>
      </c>
    </row>
    <row r="6" ht="14.5" spans="1:8">
      <c r="A6" s="145"/>
      <c r="B6" s="145"/>
      <c r="C6" s="145"/>
      <c r="D6" s="145"/>
      <c r="E6" s="145"/>
      <c r="F6" s="145"/>
      <c r="G6" s="145"/>
      <c r="H6" s="145"/>
    </row>
    <row r="7" ht="14.5" spans="1:8">
      <c r="A7" s="146" t="s">
        <v>2556</v>
      </c>
      <c r="B7" s="146" t="s">
        <v>2557</v>
      </c>
      <c r="C7" s="146" t="s">
        <v>2558</v>
      </c>
      <c r="D7" s="146" t="s">
        <v>2559</v>
      </c>
      <c r="E7" s="146" t="s">
        <v>2560</v>
      </c>
      <c r="F7" s="146" t="s">
        <v>2561</v>
      </c>
      <c r="G7" s="146" t="s">
        <v>2562</v>
      </c>
      <c r="H7" s="146" t="s">
        <v>2563</v>
      </c>
    </row>
    <row r="8" ht="14.5" spans="1:8">
      <c r="A8" s="18">
        <v>1</v>
      </c>
      <c r="B8" s="147"/>
      <c r="C8" s="148"/>
      <c r="D8" s="148"/>
      <c r="E8" s="148"/>
      <c r="F8" s="148"/>
      <c r="G8" s="148"/>
      <c r="H8" s="148"/>
    </row>
    <row r="9" ht="14.5" spans="1:8">
      <c r="A9" s="16">
        <v>2</v>
      </c>
      <c r="B9" s="149"/>
      <c r="C9" s="150"/>
      <c r="D9" s="150"/>
      <c r="E9" s="150"/>
      <c r="F9" s="150"/>
      <c r="G9" s="150"/>
      <c r="H9" s="150"/>
    </row>
    <row r="10" ht="14.5" spans="1:8">
      <c r="A10" s="18">
        <v>3</v>
      </c>
      <c r="B10" s="147"/>
      <c r="C10" s="148"/>
      <c r="D10" s="148"/>
      <c r="E10" s="148"/>
      <c r="F10" s="148"/>
      <c r="G10" s="148"/>
      <c r="H10" s="148"/>
    </row>
    <row r="11" ht="14.5" spans="1:8">
      <c r="A11" s="16">
        <v>4</v>
      </c>
      <c r="B11" s="149"/>
      <c r="C11" s="150"/>
      <c r="D11" s="150"/>
      <c r="E11" s="150"/>
      <c r="F11" s="150"/>
      <c r="G11" s="150"/>
      <c r="H11" s="150"/>
    </row>
    <row r="12" ht="14.5" spans="1:8">
      <c r="A12" s="18">
        <v>5</v>
      </c>
      <c r="B12" s="147"/>
      <c r="C12" s="148"/>
      <c r="D12" s="148"/>
      <c r="E12" s="148"/>
      <c r="F12" s="148"/>
      <c r="G12" s="148"/>
      <c r="H12" s="148"/>
    </row>
    <row r="13" ht="14.5" spans="1:8">
      <c r="A13" s="16">
        <v>6</v>
      </c>
      <c r="B13" s="149"/>
      <c r="C13" s="150"/>
      <c r="D13" s="150"/>
      <c r="E13" s="150"/>
      <c r="F13" s="150"/>
      <c r="G13" s="150"/>
      <c r="H13" s="150"/>
    </row>
    <row r="14" ht="14.5" spans="1:8">
      <c r="A14" s="18">
        <v>7</v>
      </c>
      <c r="B14" s="147"/>
      <c r="C14" s="148"/>
      <c r="D14" s="148"/>
      <c r="E14" s="148"/>
      <c r="F14" s="148"/>
      <c r="G14" s="148"/>
      <c r="H14" s="148"/>
    </row>
    <row r="15" ht="14.5" spans="1:8">
      <c r="A15" s="16">
        <v>8</v>
      </c>
      <c r="B15" s="149"/>
      <c r="C15" s="150"/>
      <c r="D15" s="150"/>
      <c r="E15" s="150"/>
      <c r="F15" s="150"/>
      <c r="G15" s="150"/>
      <c r="H15" s="150"/>
    </row>
    <row r="16" ht="14.5" spans="1:8">
      <c r="A16" s="18">
        <v>9</v>
      </c>
      <c r="B16" s="147"/>
      <c r="C16" s="148"/>
      <c r="D16" s="148"/>
      <c r="E16" s="148"/>
      <c r="F16" s="148"/>
      <c r="G16" s="148"/>
      <c r="H16" s="148"/>
    </row>
    <row r="17" ht="14.5" spans="1:8">
      <c r="A17" s="16">
        <v>10</v>
      </c>
      <c r="B17" s="149"/>
      <c r="C17" s="150"/>
      <c r="D17" s="150"/>
      <c r="E17" s="150"/>
      <c r="F17" s="150"/>
      <c r="G17" s="150"/>
      <c r="H17" s="150"/>
    </row>
    <row r="18" ht="14.5" spans="1:8">
      <c r="A18" s="18">
        <v>11</v>
      </c>
      <c r="B18" s="147"/>
      <c r="C18" s="148"/>
      <c r="D18" s="148"/>
      <c r="E18" s="148"/>
      <c r="F18" s="148"/>
      <c r="G18" s="148"/>
      <c r="H18" s="148"/>
    </row>
    <row r="19" ht="14.5" spans="1:8">
      <c r="A19" s="16">
        <v>12</v>
      </c>
      <c r="B19" s="149"/>
      <c r="C19" s="150"/>
      <c r="D19" s="150"/>
      <c r="E19" s="150"/>
      <c r="F19" s="150"/>
      <c r="G19" s="150"/>
      <c r="H19" s="150"/>
    </row>
    <row r="20" ht="14.5" spans="1:8">
      <c r="A20" s="18">
        <v>13</v>
      </c>
      <c r="B20" s="147"/>
      <c r="C20" s="148"/>
      <c r="D20" s="148"/>
      <c r="E20" s="148"/>
      <c r="F20" s="148"/>
      <c r="G20" s="148"/>
      <c r="H20" s="148"/>
    </row>
    <row r="21" ht="14.5" spans="1:8">
      <c r="A21" s="16">
        <v>14</v>
      </c>
      <c r="B21" s="149"/>
      <c r="C21" s="150"/>
      <c r="D21" s="150"/>
      <c r="E21" s="150"/>
      <c r="F21" s="150"/>
      <c r="G21" s="150"/>
      <c r="H21" s="150"/>
    </row>
    <row r="22" ht="14.5" spans="1:8">
      <c r="A22" s="18">
        <v>15</v>
      </c>
      <c r="B22" s="147"/>
      <c r="C22" s="148"/>
      <c r="D22" s="148"/>
      <c r="E22" s="148"/>
      <c r="F22" s="148"/>
      <c r="G22" s="148"/>
      <c r="H22" s="148"/>
    </row>
    <row r="23" ht="14.5" spans="1:8">
      <c r="A23" s="16">
        <v>16</v>
      </c>
      <c r="B23" s="149"/>
      <c r="C23" s="150"/>
      <c r="D23" s="150"/>
      <c r="E23" s="150"/>
      <c r="F23" s="150"/>
      <c r="G23" s="150"/>
      <c r="H23" s="150"/>
    </row>
    <row r="24" ht="14.5" spans="1:8">
      <c r="A24" s="18">
        <v>17</v>
      </c>
      <c r="B24" s="147"/>
      <c r="C24" s="148"/>
      <c r="D24" s="148"/>
      <c r="E24" s="148"/>
      <c r="F24" s="148"/>
      <c r="G24" s="148"/>
      <c r="H24" s="148"/>
    </row>
    <row r="25" ht="14.5" spans="1:8">
      <c r="A25" s="16">
        <v>18</v>
      </c>
      <c r="B25" s="149"/>
      <c r="C25" s="150"/>
      <c r="D25" s="150"/>
      <c r="E25" s="150"/>
      <c r="F25" s="150"/>
      <c r="G25" s="150"/>
      <c r="H25" s="150"/>
    </row>
    <row r="26" ht="14.5" spans="1:8">
      <c r="A26" s="18">
        <v>19</v>
      </c>
      <c r="B26" s="147"/>
      <c r="C26" s="148"/>
      <c r="D26" s="148"/>
      <c r="E26" s="148"/>
      <c r="F26" s="148"/>
      <c r="G26" s="148"/>
      <c r="H26" s="148"/>
    </row>
    <row r="27" ht="14.5" spans="1:8">
      <c r="A27" s="16">
        <v>20</v>
      </c>
      <c r="B27" s="149"/>
      <c r="C27" s="150"/>
      <c r="D27" s="150"/>
      <c r="E27" s="150"/>
      <c r="F27" s="150"/>
      <c r="G27" s="150"/>
      <c r="H27" s="150"/>
    </row>
  </sheetData>
  <sheetProtection password="CC25" sheet="1" autoFilter="0" objects="1" scenarios="1"/>
  <autoFilter xmlns:etc="http://www.wps.cn/officeDocument/2017/etCustomData" ref="A7:H27" etc:filterBottomFollowUsedRange="0">
    <extLst/>
  </autoFilter>
  <mergeCells count="7">
    <mergeCell ref="A1:H1"/>
    <mergeCell ref="A2:H2"/>
    <mergeCell ref="A3:H3"/>
    <mergeCell ref="A5:B5"/>
    <mergeCell ref="C5:D5"/>
    <mergeCell ref="E5:F5"/>
    <mergeCell ref="G5:H5"/>
  </mergeCells>
  <hyperlinks>
    <hyperlink ref="A5" location="'人物卡'!B2" display="返回人物卡"/>
    <hyperlink ref="C5" location="'规则速查'!A1" display="规则速查"/>
    <hyperlink ref="E5" r:id="rId1" display="绿箱生成器"/>
    <hyperlink ref="G5" location="'更新记录'!A1" display="版本与更新"/>
    <hyperlink ref="H5" location="'幕间与结算'!A1" display="幕间与结算"/>
  </hyperlinks>
  <pageMargins left="0.25" right="0.25" top="0.35" bottom="0.35" header="0.15" footer="0.15"/>
  <pageSetup paperSize="9"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D3A"/>
    <pageSetUpPr fitToPage="1"/>
  </sheetPr>
  <dimension ref="A1:K159"/>
  <sheetViews>
    <sheetView showGridLines="0" workbookViewId="0">
      <pane ySplit="5" topLeftCell="A6" activePane="bottomLeft" state="frozen"/>
      <selection/>
      <selection pane="bottomLeft" activeCell="E9" sqref="E9:G9"/>
    </sheetView>
  </sheetViews>
  <sheetFormatPr defaultColWidth="9" defaultRowHeight="14"/>
  <cols>
    <col min="1" max="2" width="17" style="102" customWidth="1"/>
    <col min="3" max="3" width="15" style="102" customWidth="1"/>
    <col min="4" max="4" width="16" style="102" customWidth="1"/>
    <col min="5" max="5" width="19" style="102" customWidth="1"/>
    <col min="6" max="6" width="17" style="102" customWidth="1"/>
    <col min="7" max="7" width="14" style="102" customWidth="1"/>
    <col min="8" max="9" width="18" style="102" customWidth="1"/>
    <col min="10" max="10" width="14" style="102" customWidth="1"/>
    <col min="11" max="11" width="27" style="102" customWidth="1"/>
    <col min="12" max="16384" width="9" style="102"/>
  </cols>
  <sheetData>
    <row r="1" ht="28" customHeight="1" spans="1:11">
      <c r="A1" s="127" t="s">
        <v>145</v>
      </c>
      <c r="B1" s="127"/>
      <c r="C1" s="127"/>
      <c r="D1" s="127"/>
      <c r="E1" s="127"/>
      <c r="F1" s="127"/>
      <c r="G1" s="127"/>
      <c r="H1" s="127"/>
      <c r="I1" s="127"/>
      <c r="J1" s="127"/>
      <c r="K1" s="127"/>
    </row>
    <row r="2" ht="28" customHeight="1" spans="1:11">
      <c r="A2" s="128" t="s">
        <v>2553</v>
      </c>
      <c r="B2" s="128"/>
      <c r="C2" s="128" t="s">
        <v>2564</v>
      </c>
      <c r="D2" s="128"/>
      <c r="E2" s="128" t="s">
        <v>2565</v>
      </c>
      <c r="F2" s="128"/>
      <c r="G2" s="128"/>
      <c r="H2" s="128" t="s">
        <v>2566</v>
      </c>
      <c r="I2" s="128"/>
      <c r="J2" s="128"/>
      <c r="K2" s="128"/>
    </row>
    <row r="3" ht="28" customHeight="1" spans="1:11">
      <c r="A3" s="129"/>
      <c r="B3" s="129"/>
      <c r="C3" s="129"/>
      <c r="D3" s="129"/>
      <c r="E3" s="129"/>
      <c r="F3" s="129"/>
      <c r="G3" s="129"/>
      <c r="H3" s="129"/>
      <c r="I3" s="129"/>
      <c r="J3" s="129"/>
      <c r="K3" s="129"/>
    </row>
    <row r="4" ht="28" customHeight="1" spans="1:11">
      <c r="A4" s="130" t="s">
        <v>2567</v>
      </c>
      <c r="B4" s="130" t="s">
        <v>2568</v>
      </c>
      <c r="C4" s="130" t="s">
        <v>41</v>
      </c>
      <c r="D4" s="130" t="s">
        <v>2569</v>
      </c>
      <c r="E4" s="130" t="s">
        <v>2570</v>
      </c>
      <c r="F4" s="130" t="s">
        <v>2571</v>
      </c>
      <c r="G4" s="130" t="s">
        <v>2572</v>
      </c>
      <c r="H4" s="130" t="s">
        <v>2573</v>
      </c>
      <c r="I4" s="130" t="s">
        <v>2574</v>
      </c>
      <c r="J4" s="130" t="s">
        <v>2575</v>
      </c>
      <c r="K4" s="130" t="s">
        <v>2576</v>
      </c>
    </row>
    <row r="5" ht="28" customHeight="1" spans="1:11">
      <c r="A5" s="131">
        <f>幕间计算!GA2</f>
        <v>0</v>
      </c>
      <c r="B5" s="131">
        <f>幕间计算!GA3</f>
        <v>0</v>
      </c>
      <c r="C5" s="131">
        <f>幕间计算!GA4</f>
        <v>0</v>
      </c>
      <c r="D5" s="131">
        <f>幕间计算!GA5</f>
        <v>0</v>
      </c>
      <c r="E5" s="131">
        <f>幕间计算!GA6</f>
        <v>0</v>
      </c>
      <c r="F5" s="131">
        <f>幕间计算!GA7</f>
        <v>0</v>
      </c>
      <c r="G5" s="131">
        <f>幕间计算!GA8</f>
        <v>0</v>
      </c>
      <c r="H5" s="131">
        <f>幕间计算!Z2</f>
        <v>0</v>
      </c>
      <c r="I5" s="131">
        <f>幕间计算!Z3</f>
        <v>0</v>
      </c>
      <c r="J5" s="131">
        <f>幕间计算!Z4</f>
        <v>0</v>
      </c>
      <c r="K5" s="131">
        <f>COUNTIF(幕间计算!$GC$200:$GC$1199,"&gt;0")</f>
        <v>0</v>
      </c>
    </row>
    <row r="6" ht="28" customHeight="1" spans="1:11">
      <c r="A6" s="129" t="s">
        <v>2577</v>
      </c>
      <c r="B6" s="129"/>
      <c r="C6" s="129"/>
      <c r="D6" s="129"/>
      <c r="E6" s="129"/>
      <c r="F6" s="129"/>
      <c r="G6" s="129"/>
      <c r="H6" s="129"/>
      <c r="I6" s="129"/>
      <c r="J6" s="129"/>
      <c r="K6" s="129"/>
    </row>
    <row r="7" ht="28" customHeight="1" spans="1:11">
      <c r="A7" s="127" t="s">
        <v>2578</v>
      </c>
      <c r="B7" s="127"/>
      <c r="C7" s="127"/>
      <c r="D7" s="127"/>
      <c r="E7" s="127"/>
      <c r="F7" s="127"/>
      <c r="G7" s="127"/>
      <c r="H7" s="127"/>
      <c r="I7" s="127"/>
      <c r="J7" s="127"/>
      <c r="K7" s="127"/>
    </row>
    <row r="8" ht="28" customHeight="1" spans="1:11">
      <c r="A8" s="131" t="s">
        <v>2579</v>
      </c>
      <c r="B8" s="132">
        <v>1</v>
      </c>
      <c r="C8" s="131"/>
      <c r="D8" s="131" t="s">
        <v>2580</v>
      </c>
      <c r="E8" s="132" t="s">
        <v>2581</v>
      </c>
      <c r="F8" s="131" t="str">
        <f>IFERROR(INDEX(幕间计算!$T$2:$T$21,MATCH(幕间计算!GA10,幕间计算!$W$2:$W$21,0)),"")</f>
        <v/>
      </c>
      <c r="G8" s="131"/>
      <c r="H8" s="131"/>
      <c r="I8" s="131"/>
      <c r="J8" s="131"/>
      <c r="K8" s="131"/>
    </row>
    <row r="9" ht="28" customHeight="1" spans="1:11">
      <c r="A9" s="131" t="s">
        <v>2582</v>
      </c>
      <c r="B9" s="133"/>
      <c r="C9" s="133"/>
      <c r="D9" s="131" t="s">
        <v>2583</v>
      </c>
      <c r="E9" s="132"/>
      <c r="F9" s="132"/>
      <c r="G9" s="132"/>
      <c r="H9" s="131" t="str">
        <f>"下一笔："&amp;幕间计算!GA13</f>
        <v>下一笔：1</v>
      </c>
      <c r="I9" s="131"/>
      <c r="J9" s="131"/>
      <c r="K9" s="131"/>
    </row>
    <row r="10" ht="28" customHeight="1" spans="1:11">
      <c r="A10" s="131" t="s">
        <v>2584</v>
      </c>
      <c r="B10" s="132"/>
      <c r="C10" s="132"/>
      <c r="D10" s="131" t="s">
        <v>2585</v>
      </c>
      <c r="E10" s="132"/>
      <c r="F10" s="132"/>
      <c r="G10" s="132"/>
      <c r="H10" s="131" t="str">
        <f>IF($E$9="理智损失",IF(OR(AND($B$10="暴力",幕间计算!GA7=3),AND($B$10="无力",幕间计算!GA8=3)),"已适应：采用成功分支","按当前SAN检定"),"")</f>
        <v/>
      </c>
      <c r="I10" s="131"/>
      <c r="J10" s="131"/>
      <c r="K10" s="131"/>
    </row>
    <row r="11" ht="28" customHeight="1" spans="1:11">
      <c r="A11" s="131" t="s">
        <v>2586</v>
      </c>
      <c r="B11" s="132"/>
      <c r="C11" s="132"/>
      <c r="D11" s="131" t="s">
        <v>2587</v>
      </c>
      <c r="E11" s="132"/>
      <c r="F11" s="132"/>
      <c r="G11" s="132"/>
      <c r="H11" s="131" t="str">
        <f>IF($E$9="理智损失","预计实扣SAN："&amp;幕间计算!GA19,"")</f>
        <v/>
      </c>
      <c r="I11" s="131"/>
      <c r="J11" s="131"/>
      <c r="K11" s="131"/>
    </row>
    <row r="12" ht="28" customHeight="1" spans="1:11">
      <c r="A12" s="131" t="s">
        <v>2588</v>
      </c>
      <c r="B12" s="132"/>
      <c r="C12" s="132"/>
      <c r="D12" s="131" t="s">
        <v>2589</v>
      </c>
      <c r="E12" s="132"/>
      <c r="F12" s="132"/>
      <c r="G12" s="132"/>
      <c r="H12" s="131" t="str">
        <f>IF(幕间计算!GA15=0,"不投射可留空",IF(幕间计算!GA16=1,"抵减SAN "&amp;幕间计算!GA18&amp;"；毅力和关系各付 "&amp;幕间计算!GA15,"毅力不足：照扣毅力，投射不生效"))</f>
        <v>不投射可留空</v>
      </c>
      <c r="I12" s="131"/>
      <c r="J12" s="131"/>
      <c r="K12" s="131"/>
    </row>
    <row r="13" ht="28" customHeight="1" spans="1:11">
      <c r="A13" s="131" t="s">
        <v>2590</v>
      </c>
      <c r="B13" s="132"/>
      <c r="C13" s="132"/>
      <c r="D13" s="131" t="s">
        <v>2591</v>
      </c>
      <c r="E13" s="132"/>
      <c r="F13" s="132"/>
      <c r="G13" s="132"/>
      <c r="H13" s="131" t="str">
        <f ca="1">IF(幕间计算!GA24=0,"无抑制时留空",IF(幕间计算!GA25=1,"支付后以SAN "&amp;幕间计算!GA20&amp;" 作抑制检定","毅力不足：抑制不生效"))</f>
        <v>无抑制时留空</v>
      </c>
      <c r="I13" s="131"/>
      <c r="J13" s="131"/>
      <c r="K13" s="131"/>
    </row>
    <row r="14" ht="28" customHeight="1" spans="1:11">
      <c r="A14" s="131" t="s">
        <v>2592</v>
      </c>
      <c r="B14" s="132"/>
      <c r="C14" s="132"/>
      <c r="D14" s="131" t="s">
        <v>2593</v>
      </c>
      <c r="E14" s="132"/>
      <c r="F14" s="132"/>
      <c r="G14" s="132"/>
      <c r="H14" s="131" t="str">
        <f ca="1">IF(幕间计算!GA22=1,"触及BP：新增疾病并记录去除动力",IF(幕间计算!GA21=1,"本次实际损失≥5：临时疯狂",""))</f>
        <v/>
      </c>
      <c r="I14" s="131"/>
      <c r="J14" s="131"/>
      <c r="K14" s="131"/>
    </row>
    <row r="15" ht="28" customHeight="1" spans="1:11">
      <c r="A15" s="131" t="s">
        <v>2594</v>
      </c>
      <c r="B15" s="132"/>
      <c r="C15" s="132"/>
      <c r="D15" s="131" t="s">
        <v>2595</v>
      </c>
      <c r="E15" s="132"/>
      <c r="F15" s="132"/>
      <c r="G15" s="132"/>
      <c r="H15" s="131" t="str">
        <f>IF(OR($E$9="关系受损",$E$9="加深DG关系"),"骰点与确认增减择一填写","")</f>
        <v/>
      </c>
      <c r="I15" s="131"/>
      <c r="J15" s="131"/>
      <c r="K15" s="131"/>
    </row>
    <row r="16" ht="28" customHeight="1" spans="1:11">
      <c r="A16" s="131" t="s">
        <v>2596</v>
      </c>
      <c r="B16" s="132"/>
      <c r="C16" s="132"/>
      <c r="D16" s="131" t="s">
        <v>2597</v>
      </c>
      <c r="E16" s="132"/>
      <c r="F16" s="132"/>
      <c r="G16" s="132"/>
      <c r="H16" s="131" t="str">
        <f ca="1">IF(幕间计算!GA30=0,"",IF(幕间计算!GA30=1,"完成暴力适应：魅力及所有关系−1D6","完成无力适应：意志−1D6"))</f>
        <v/>
      </c>
      <c r="I16" s="131"/>
      <c r="J16" s="131"/>
      <c r="K16" s="131"/>
    </row>
    <row r="17" ht="28" customHeight="1" spans="1:11">
      <c r="A17" s="131" t="s">
        <v>2598</v>
      </c>
      <c r="B17" s="132"/>
      <c r="C17" s="132"/>
      <c r="D17" s="131" t="s">
        <v>2599</v>
      </c>
      <c r="E17" s="132"/>
      <c r="F17" s="132"/>
      <c r="G17" s="132"/>
      <c r="H17" s="131" t="str">
        <f>IF(OR($E$9="理智恢复",$E$9="毅力恢复",$E$9="体力变化",$E$9="毅力消耗",$E$9="属性减值"),"恢复填正数，消耗／减值填负数","")</f>
        <v/>
      </c>
      <c r="I17" s="131"/>
      <c r="J17" s="131"/>
      <c r="K17" s="131"/>
    </row>
    <row r="18" ht="28" customHeight="1" spans="1:11">
      <c r="A18" s="131" t="s">
        <v>2600</v>
      </c>
      <c r="B18" s="132"/>
      <c r="C18" s="132"/>
      <c r="D18" s="131" t="s">
        <v>2601</v>
      </c>
      <c r="E18" s="132"/>
      <c r="F18" s="132"/>
      <c r="G18" s="132"/>
      <c r="H18" s="131" t="str">
        <f>IF(OR($E$9="建立DG关系",$E$9="加深DG关系"),"每名队友单独记录；新建需先填名称并勾DG","")</f>
        <v/>
      </c>
      <c r="I18" s="131"/>
      <c r="J18" s="131"/>
      <c r="K18" s="131"/>
    </row>
    <row r="19" ht="28" customHeight="1" spans="1:11">
      <c r="A19" s="131" t="s">
        <v>2602</v>
      </c>
      <c r="B19" s="132"/>
      <c r="C19" s="132"/>
      <c r="D19" s="131" t="s">
        <v>2603</v>
      </c>
      <c r="E19" s="132"/>
      <c r="F19" s="132"/>
      <c r="G19" s="132"/>
      <c r="H19" s="131" t="str">
        <f>IF($E$19="是","仅非自然临时疯狂且掌局者允许时计入","")</f>
        <v/>
      </c>
      <c r="I19" s="131"/>
      <c r="J19" s="131"/>
      <c r="K19" s="131"/>
    </row>
    <row r="20" ht="28" customHeight="1" spans="1:11">
      <c r="A20" s="131" t="s">
        <v>2604</v>
      </c>
      <c r="B20" s="134"/>
      <c r="C20" s="134"/>
      <c r="D20" s="134"/>
      <c r="E20" s="134"/>
      <c r="F20" s="134"/>
      <c r="G20" s="134"/>
      <c r="H20" s="134"/>
      <c r="I20" s="134"/>
      <c r="J20" s="134"/>
      <c r="K20" s="134"/>
    </row>
    <row r="21" ht="28" customHeight="1" spans="1:11">
      <c r="A21" s="131"/>
      <c r="B21" s="134"/>
      <c r="C21" s="134"/>
      <c r="D21" s="134"/>
      <c r="E21" s="134"/>
      <c r="F21" s="134"/>
      <c r="G21" s="134"/>
      <c r="H21" s="134"/>
      <c r="I21" s="134"/>
      <c r="J21" s="134"/>
      <c r="K21" s="134"/>
    </row>
    <row r="22" ht="28" customHeight="1" spans="1:11">
      <c r="A22" s="131"/>
      <c r="B22" s="134"/>
      <c r="C22" s="134"/>
      <c r="D22" s="134"/>
      <c r="E22" s="134"/>
      <c r="F22" s="134"/>
      <c r="G22" s="134"/>
      <c r="H22" s="134"/>
      <c r="I22" s="134"/>
      <c r="J22" s="134"/>
      <c r="K22" s="134"/>
    </row>
    <row r="23" ht="28" customHeight="1" spans="1:11">
      <c r="A23" s="135" t="str">
        <f ca="1">幕间计算!GA42</f>
        <v>选择事项</v>
      </c>
      <c r="B23" s="135"/>
      <c r="C23" s="135"/>
      <c r="D23" s="135"/>
      <c r="E23" s="135"/>
      <c r="F23" s="135"/>
      <c r="G23" s="135"/>
      <c r="H23" s="135"/>
      <c r="I23" s="135"/>
      <c r="J23" s="135"/>
      <c r="K23" s="135"/>
    </row>
    <row r="24" ht="28" customHeight="1" spans="1:11">
      <c r="A24" s="129" t="s">
        <v>2605</v>
      </c>
      <c r="B24" s="129"/>
      <c r="C24" s="129"/>
      <c r="D24" s="129"/>
      <c r="E24" s="129"/>
      <c r="F24" s="129"/>
      <c r="G24" s="129"/>
      <c r="H24" s="129"/>
      <c r="I24" s="129"/>
      <c r="J24" s="129"/>
      <c r="K24" s="129"/>
    </row>
    <row r="25" ht="28" customHeight="1" spans="1:11">
      <c r="A25" s="129"/>
      <c r="B25" s="129"/>
      <c r="C25" s="129"/>
      <c r="D25" s="129"/>
      <c r="E25" s="129"/>
      <c r="F25" s="129"/>
      <c r="G25" s="129"/>
      <c r="H25" s="129"/>
      <c r="I25" s="129"/>
      <c r="J25" s="129"/>
      <c r="K25" s="129"/>
    </row>
    <row r="26" ht="28" customHeight="1" spans="1:11">
      <c r="A26" s="136" t="s">
        <v>2606</v>
      </c>
      <c r="B26" s="136" t="s">
        <v>2607</v>
      </c>
      <c r="C26" s="136" t="s">
        <v>2557</v>
      </c>
      <c r="D26" s="136" t="s">
        <v>2608</v>
      </c>
      <c r="E26" s="136" t="s">
        <v>2609</v>
      </c>
      <c r="F26" s="136" t="s">
        <v>2610</v>
      </c>
      <c r="G26" s="136" t="s">
        <v>2611</v>
      </c>
      <c r="H26" s="136" t="s">
        <v>2612</v>
      </c>
      <c r="I26" s="136" t="s">
        <v>2613</v>
      </c>
      <c r="J26" s="136" t="s">
        <v>2614</v>
      </c>
      <c r="K26" s="136" t="s">
        <v>678</v>
      </c>
    </row>
    <row r="27" ht="28" customHeight="1" spans="1:11">
      <c r="A27" s="137" t="str">
        <f ca="1">IF(幕间计算!GA12&gt;0,IF(幕间计算!GG120=0,"",INDEX(DGArchive[模组],幕间计算!GG120)),IF(幕间计算!GF120=0,"",幕间计算!GA10))</f>
        <v>01</v>
      </c>
      <c r="B27" s="137" t="str">
        <f ca="1">IF(幕间计算!GA12&gt;0,IF(幕间计算!GG120=0,"",INDEX(DGArchive[阶段],幕间计算!GG120)),IF(幕间计算!GF120=0,"",幕间计算!GA11))</f>
        <v>事件1</v>
      </c>
      <c r="C27" s="138" t="str">
        <f ca="1">IF((IF(幕间计算!GA12&gt;0,IF(幕间计算!GG120=0,"",INDEX(DGArchive[游戏内日期],幕间计算!GG120)),IF(幕间计算!GF120=0,"",IF($B$9="","",$B$9))))=0,"",IF(幕间计算!GA12&gt;0,IF(幕间计算!GG120=0,"",INDEX(DGArchive[游戏内日期],幕间计算!GG120)),IF(幕间计算!GF120=0,"",IF($B$9="","",$B$9))))</f>
        <v/>
      </c>
      <c r="D27" s="137" t="str">
        <f ca="1">IF(幕间计算!GA12&gt;0,IF(幕间计算!GG120=0,"",INDEX(DGArchive[目标],幕间计算!GG120)),IF(幕间计算!GF120=0,"",INDEX(幕间计算!$GA$120:$GA$133,幕间计算!GF120)))</f>
        <v>事件记录</v>
      </c>
      <c r="E27" s="137">
        <f ca="1">IF(幕间计算!GA12&gt;0,IF(幕间计算!GG120=0,"",INDEX(DGArchive[变更前],幕间计算!GG120)),IF(幕间计算!GF120=0,"",INDEX(幕间计算!$GB$120:$GB$133,幕间计算!GF120)))</f>
        <v>0</v>
      </c>
      <c r="F27" s="137">
        <f ca="1">IF(幕间计算!GA12&gt;0,IF(幕间计算!GG120=0,"",INDEX(DGArchive[增减],幕间计算!GG120)),IF(幕间计算!GF120=0,"",INDEX(幕间计算!$GD$120:$GD$133,幕间计算!GF120)))</f>
        <v>0</v>
      </c>
      <c r="G27" s="137">
        <f ca="1">IF(幕间计算!GA12&gt;0,IF(幕间计算!GG120=0,"",INDEX(DGArchive[变更后],幕间计算!GG120)),IF(幕间计算!GF120=0,"",E27+F27))</f>
        <v>0</v>
      </c>
      <c r="H27" s="137" t="str">
        <f ca="1">IF(幕间计算!GA12&gt;0,IF(幕间计算!GG120=0,"",INDEX(DGArchive[事件／活动],幕间计算!GG120)),IF(幕间计算!GF120=0,"",IF(AND($E$9="建立DG关系",D27=$B$15),"建立新的重要关系（DG）。","")&amp;幕间计算!GA41))</f>
        <v>0。</v>
      </c>
      <c r="I27" s="139" t="str">
        <f ca="1">IF(幕间计算!GA12&gt;0,IF(幕间计算!GG120=0,"",INDEX(DGArchive[记录编号],幕间计算!GG120)),IF(幕间计算!GF120=0,"",IF(幕间计算!GA42="可归档",幕间计算!GA10&amp;"-"&amp;幕间计算!GA11&amp;"-"&amp;幕间计算!GF120,"")))</f>
        <v/>
      </c>
      <c r="J27" s="137" t="str">
        <f ca="1">IF(D27="","",幕间计算!GA42)</f>
        <v>选择事项</v>
      </c>
      <c r="K27" s="137"/>
    </row>
    <row r="28" ht="28" customHeight="1" spans="1:11">
      <c r="A28" s="137" t="str">
        <f ca="1">IF(幕间计算!GA12&gt;0,IF(幕间计算!GG121=0,"",INDEX(DGArchive[模组],幕间计算!GG121)),IF(幕间计算!GF121=0,"",幕间计算!GA10))</f>
        <v/>
      </c>
      <c r="B28" s="137" t="str">
        <f ca="1">IF(幕间计算!GA12&gt;0,IF(幕间计算!GG121=0,"",INDEX(DGArchive[阶段],幕间计算!GG121)),IF(幕间计算!GF121=0,"",幕间计算!GA11))</f>
        <v/>
      </c>
      <c r="C28" s="138" t="str">
        <f ca="1">IF((IF(幕间计算!GA12&gt;0,IF(幕间计算!GG121=0,"",INDEX(DGArchive[游戏内日期],幕间计算!GG121)),IF(幕间计算!GF121=0,"",IF($B$9="","",$B$9))))=0,"",IF(幕间计算!GA12&gt;0,IF(幕间计算!GG121=0,"",INDEX(DGArchive[游戏内日期],幕间计算!GG121)),IF(幕间计算!GF121=0,"",IF($B$9="","",$B$9))))</f>
        <v/>
      </c>
      <c r="D28" s="137" t="str">
        <f ca="1">IF(幕间计算!GA12&gt;0,IF(幕间计算!GG121=0,"",INDEX(DGArchive[目标],幕间计算!GG121)),IF(幕间计算!GF121=0,"",INDEX(幕间计算!$GA$120:$GA$133,幕间计算!GF121)))</f>
        <v/>
      </c>
      <c r="E28" s="137" t="str">
        <f ca="1">IF(幕间计算!GA12&gt;0,IF(幕间计算!GG121=0,"",INDEX(DGArchive[变更前],幕间计算!GG121)),IF(幕间计算!GF121=0,"",INDEX(幕间计算!$GB$120:$GB$133,幕间计算!GF121)))</f>
        <v/>
      </c>
      <c r="F28" s="137" t="str">
        <f ca="1">IF(幕间计算!GA12&gt;0,IF(幕间计算!GG121=0,"",INDEX(DGArchive[增减],幕间计算!GG121)),IF(幕间计算!GF121=0,"",INDEX(幕间计算!$GD$120:$GD$133,幕间计算!GF121)))</f>
        <v/>
      </c>
      <c r="G28" s="137" t="str">
        <f ca="1">IF(幕间计算!GA12&gt;0,IF(幕间计算!GG121=0,"",INDEX(DGArchive[变更后],幕间计算!GG121)),IF(幕间计算!GF121=0,"",E28+F28))</f>
        <v/>
      </c>
      <c r="H28" s="137" t="str">
        <f ca="1">IF(幕间计算!GA12&gt;0,IF(幕间计算!GG121=0,"",INDEX(DGArchive[事件／活动],幕间计算!GG121)),IF(幕间计算!GF121=0,"",IF(AND($E$9="建立DG关系",D28=$B$15),"建立新的重要关系（DG）。","")&amp;幕间计算!GA41))</f>
        <v/>
      </c>
      <c r="I28" s="139" t="str">
        <f ca="1">IF(幕间计算!GA12&gt;0,IF(幕间计算!GG121=0,"",INDEX(DGArchive[记录编号],幕间计算!GG121)),IF(幕间计算!GF121=0,"",IF(幕间计算!GA42="可归档",幕间计算!GA10&amp;"-"&amp;幕间计算!GA11&amp;"-"&amp;幕间计算!GF121,"")))</f>
        <v/>
      </c>
      <c r="J28" s="137" t="str">
        <f ca="1">IF(D28="","",幕间计算!GA42)</f>
        <v/>
      </c>
      <c r="K28" s="137"/>
    </row>
    <row r="29" ht="28" customHeight="1" spans="1:11">
      <c r="A29" s="137" t="str">
        <f ca="1">IF(幕间计算!GA12&gt;0,IF(幕间计算!GG122=0,"",INDEX(DGArchive[模组],幕间计算!GG122)),IF(幕间计算!GF122=0,"",幕间计算!GA10))</f>
        <v/>
      </c>
      <c r="B29" s="137" t="str">
        <f ca="1">IF(幕间计算!GA12&gt;0,IF(幕间计算!GG122=0,"",INDEX(DGArchive[阶段],幕间计算!GG122)),IF(幕间计算!GF122=0,"",幕间计算!GA11))</f>
        <v/>
      </c>
      <c r="C29" s="138" t="str">
        <f ca="1">IF((IF(幕间计算!GA12&gt;0,IF(幕间计算!GG122=0,"",INDEX(DGArchive[游戏内日期],幕间计算!GG122)),IF(幕间计算!GF122=0,"",IF($B$9="","",$B$9))))=0,"",IF(幕间计算!GA12&gt;0,IF(幕间计算!GG122=0,"",INDEX(DGArchive[游戏内日期],幕间计算!GG122)),IF(幕间计算!GF122=0,"",IF($B$9="","",$B$9))))</f>
        <v/>
      </c>
      <c r="D29" s="137" t="str">
        <f ca="1">IF(幕间计算!GA12&gt;0,IF(幕间计算!GG122=0,"",INDEX(DGArchive[目标],幕间计算!GG122)),IF(幕间计算!GF122=0,"",INDEX(幕间计算!$GA$120:$GA$133,幕间计算!GF122)))</f>
        <v/>
      </c>
      <c r="E29" s="137" t="str">
        <f ca="1">IF(幕间计算!GA12&gt;0,IF(幕间计算!GG122=0,"",INDEX(DGArchive[变更前],幕间计算!GG122)),IF(幕间计算!GF122=0,"",INDEX(幕间计算!$GB$120:$GB$133,幕间计算!GF122)))</f>
        <v/>
      </c>
      <c r="F29" s="137" t="str">
        <f ca="1">IF(幕间计算!GA12&gt;0,IF(幕间计算!GG122=0,"",INDEX(DGArchive[增减],幕间计算!GG122)),IF(幕间计算!GF122=0,"",INDEX(幕间计算!$GD$120:$GD$133,幕间计算!GF122)))</f>
        <v/>
      </c>
      <c r="G29" s="137" t="str">
        <f ca="1">IF(幕间计算!GA12&gt;0,IF(幕间计算!GG122=0,"",INDEX(DGArchive[变更后],幕间计算!GG122)),IF(幕间计算!GF122=0,"",E29+F29))</f>
        <v/>
      </c>
      <c r="H29" s="139" t="str">
        <f ca="1">IF(幕间计算!GA12&gt;0,IF(幕间计算!GG122=0,"",INDEX(DGArchive[事件／活动],幕间计算!GG122)),IF(幕间计算!GF122=0,"",IF(AND($E$9="建立DG关系",D29=$B$15),"建立新的重要关系（DG）。","")&amp;幕间计算!GA41))</f>
        <v/>
      </c>
      <c r="I29" s="139" t="str">
        <f ca="1">IF(幕间计算!GA12&gt;0,IF(幕间计算!GG122=0,"",INDEX(DGArchive[记录编号],幕间计算!GG122)),IF(幕间计算!GF122=0,"",IF(幕间计算!GA42="可归档",幕间计算!GA10&amp;"-"&amp;幕间计算!GA11&amp;"-"&amp;幕间计算!GF122,"")))</f>
        <v/>
      </c>
      <c r="J29" s="137" t="str">
        <f ca="1">IF(D29="","",幕间计算!GA42)</f>
        <v/>
      </c>
      <c r="K29" s="137"/>
    </row>
    <row r="30" ht="28" customHeight="1" spans="1:11">
      <c r="A30" s="137" t="str">
        <f ca="1">IF(幕间计算!GA12&gt;0,IF(幕间计算!GG123=0,"",INDEX(DGArchive[模组],幕间计算!GG123)),IF(幕间计算!GF123=0,"",幕间计算!GA10))</f>
        <v/>
      </c>
      <c r="B30" s="137" t="str">
        <f ca="1">IF(幕间计算!GA12&gt;0,IF(幕间计算!GG123=0,"",INDEX(DGArchive[阶段],幕间计算!GG123)),IF(幕间计算!GF123=0,"",幕间计算!GA11))</f>
        <v/>
      </c>
      <c r="C30" s="138" t="str">
        <f ca="1">IF((IF(幕间计算!GA12&gt;0,IF(幕间计算!GG123=0,"",INDEX(DGArchive[游戏内日期],幕间计算!GG123)),IF(幕间计算!GF123=0,"",IF($B$9="","",$B$9))))=0,"",IF(幕间计算!GA12&gt;0,IF(幕间计算!GG123=0,"",INDEX(DGArchive[游戏内日期],幕间计算!GG123)),IF(幕间计算!GF123=0,"",IF($B$9="","",$B$9))))</f>
        <v/>
      </c>
      <c r="D30" s="137" t="str">
        <f ca="1">IF(幕间计算!GA12&gt;0,IF(幕间计算!GG123=0,"",INDEX(DGArchive[目标],幕间计算!GG123)),IF(幕间计算!GF123=0,"",INDEX(幕间计算!$GA$120:$GA$133,幕间计算!GF123)))</f>
        <v/>
      </c>
      <c r="E30" s="137" t="str">
        <f ca="1">IF(幕间计算!GA12&gt;0,IF(幕间计算!GG123=0,"",INDEX(DGArchive[变更前],幕间计算!GG123)),IF(幕间计算!GF123=0,"",INDEX(幕间计算!$GB$120:$GB$133,幕间计算!GF123)))</f>
        <v/>
      </c>
      <c r="F30" s="137" t="str">
        <f ca="1">IF(幕间计算!GA12&gt;0,IF(幕间计算!GG123=0,"",INDEX(DGArchive[增减],幕间计算!GG123)),IF(幕间计算!GF123=0,"",INDEX(幕间计算!$GD$120:$GD$133,幕间计算!GF123)))</f>
        <v/>
      </c>
      <c r="G30" s="137" t="str">
        <f ca="1">IF(幕间计算!GA12&gt;0,IF(幕间计算!GG123=0,"",INDEX(DGArchive[变更后],幕间计算!GG123)),IF(幕间计算!GF123=0,"",E30+F30))</f>
        <v/>
      </c>
      <c r="H30" s="139" t="str">
        <f ca="1">IF(幕间计算!GA12&gt;0,IF(幕间计算!GG123=0,"",INDEX(DGArchive[事件／活动],幕间计算!GG123)),IF(幕间计算!GF123=0,"",IF(AND($E$9="建立DG关系",D30=$B$15),"建立新的重要关系（DG）。","")&amp;幕间计算!GA41))</f>
        <v/>
      </c>
      <c r="I30" s="139" t="str">
        <f ca="1">IF(幕间计算!GA12&gt;0,IF(幕间计算!GG123=0,"",INDEX(DGArchive[记录编号],幕间计算!GG123)),IF(幕间计算!GF123=0,"",IF(幕间计算!GA42="可归档",幕间计算!GA10&amp;"-"&amp;幕间计算!GA11&amp;"-"&amp;幕间计算!GF123,"")))</f>
        <v/>
      </c>
      <c r="J30" s="137" t="str">
        <f ca="1">IF(D30="","",幕间计算!GA42)</f>
        <v/>
      </c>
      <c r="K30" s="137"/>
    </row>
    <row r="31" ht="28" customHeight="1" spans="1:11">
      <c r="A31" s="137" t="str">
        <f ca="1">IF(幕间计算!GA12&gt;0,IF(幕间计算!GG124=0,"",INDEX(DGArchive[模组],幕间计算!GG124)),IF(幕间计算!GF124=0,"",幕间计算!GA10))</f>
        <v/>
      </c>
      <c r="B31" s="137" t="str">
        <f ca="1">IF(幕间计算!GA12&gt;0,IF(幕间计算!GG124=0,"",INDEX(DGArchive[阶段],幕间计算!GG124)),IF(幕间计算!GF124=0,"",幕间计算!GA11))</f>
        <v/>
      </c>
      <c r="C31" s="138" t="str">
        <f ca="1">IF((IF(幕间计算!GA12&gt;0,IF(幕间计算!GG124=0,"",INDEX(DGArchive[游戏内日期],幕间计算!GG124)),IF(幕间计算!GF124=0,"",IF($B$9="","",$B$9))))=0,"",IF(幕间计算!GA12&gt;0,IF(幕间计算!GG124=0,"",INDEX(DGArchive[游戏内日期],幕间计算!GG124)),IF(幕间计算!GF124=0,"",IF($B$9="","",$B$9))))</f>
        <v/>
      </c>
      <c r="D31" s="137" t="str">
        <f ca="1">IF(幕间计算!GA12&gt;0,IF(幕间计算!GG124=0,"",INDEX(DGArchive[目标],幕间计算!GG124)),IF(幕间计算!GF124=0,"",INDEX(幕间计算!$GA$120:$GA$133,幕间计算!GF124)))</f>
        <v/>
      </c>
      <c r="E31" s="137" t="str">
        <f ca="1">IF(幕间计算!GA12&gt;0,IF(幕间计算!GG124=0,"",INDEX(DGArchive[变更前],幕间计算!GG124)),IF(幕间计算!GF124=0,"",INDEX(幕间计算!$GB$120:$GB$133,幕间计算!GF124)))</f>
        <v/>
      </c>
      <c r="F31" s="137" t="str">
        <f ca="1">IF(幕间计算!GA12&gt;0,IF(幕间计算!GG124=0,"",INDEX(DGArchive[增减],幕间计算!GG124)),IF(幕间计算!GF124=0,"",INDEX(幕间计算!$GD$120:$GD$133,幕间计算!GF124)))</f>
        <v/>
      </c>
      <c r="G31" s="137" t="str">
        <f ca="1">IF(幕间计算!GA12&gt;0,IF(幕间计算!GG124=0,"",INDEX(DGArchive[变更后],幕间计算!GG124)),IF(幕间计算!GF124=0,"",E31+F31))</f>
        <v/>
      </c>
      <c r="H31" s="139" t="str">
        <f ca="1">IF(幕间计算!GA12&gt;0,IF(幕间计算!GG124=0,"",INDEX(DGArchive[事件／活动],幕间计算!GG124)),IF(幕间计算!GF124=0,"",IF(AND($E$9="建立DG关系",D31=$B$15),"建立新的重要关系（DG）。","")&amp;幕间计算!GA41))</f>
        <v/>
      </c>
      <c r="I31" s="139" t="str">
        <f ca="1">IF(幕间计算!GA12&gt;0,IF(幕间计算!GG124=0,"",INDEX(DGArchive[记录编号],幕间计算!GG124)),IF(幕间计算!GF124=0,"",IF(幕间计算!GA42="可归档",幕间计算!GA10&amp;"-"&amp;幕间计算!GA11&amp;"-"&amp;幕间计算!GF124,"")))</f>
        <v/>
      </c>
      <c r="J31" s="137" t="str">
        <f ca="1">IF(D31="","",幕间计算!GA42)</f>
        <v/>
      </c>
      <c r="K31" s="137"/>
    </row>
    <row r="32" ht="28" customHeight="1" spans="1:11">
      <c r="A32" s="137" t="str">
        <f ca="1">IF(幕间计算!GA12&gt;0,IF(幕间计算!GG125=0,"",INDEX(DGArchive[模组],幕间计算!GG125)),IF(幕间计算!GF125=0,"",幕间计算!GA10))</f>
        <v/>
      </c>
      <c r="B32" s="137" t="str">
        <f ca="1">IF(幕间计算!GA12&gt;0,IF(幕间计算!GG125=0,"",INDEX(DGArchive[阶段],幕间计算!GG125)),IF(幕间计算!GF125=0,"",幕间计算!GA11))</f>
        <v/>
      </c>
      <c r="C32" s="138" t="str">
        <f ca="1">IF((IF(幕间计算!GA12&gt;0,IF(幕间计算!GG125=0,"",INDEX(DGArchive[游戏内日期],幕间计算!GG125)),IF(幕间计算!GF125=0,"",IF($B$9="","",$B$9))))=0,"",IF(幕间计算!GA12&gt;0,IF(幕间计算!GG125=0,"",INDEX(DGArchive[游戏内日期],幕间计算!GG125)),IF(幕间计算!GF125=0,"",IF($B$9="","",$B$9))))</f>
        <v/>
      </c>
      <c r="D32" s="137" t="str">
        <f ca="1">IF(幕间计算!GA12&gt;0,IF(幕间计算!GG125=0,"",INDEX(DGArchive[目标],幕间计算!GG125)),IF(幕间计算!GF125=0,"",INDEX(幕间计算!$GA$120:$GA$133,幕间计算!GF125)))</f>
        <v/>
      </c>
      <c r="E32" s="137" t="str">
        <f ca="1">IF(幕间计算!GA12&gt;0,IF(幕间计算!GG125=0,"",INDEX(DGArchive[变更前],幕间计算!GG125)),IF(幕间计算!GF125=0,"",INDEX(幕间计算!$GB$120:$GB$133,幕间计算!GF125)))</f>
        <v/>
      </c>
      <c r="F32" s="137" t="str">
        <f ca="1">IF(幕间计算!GA12&gt;0,IF(幕间计算!GG125=0,"",INDEX(DGArchive[增减],幕间计算!GG125)),IF(幕间计算!GF125=0,"",INDEX(幕间计算!$GD$120:$GD$133,幕间计算!GF125)))</f>
        <v/>
      </c>
      <c r="G32" s="137" t="str">
        <f ca="1">IF(幕间计算!GA12&gt;0,IF(幕间计算!GG125=0,"",INDEX(DGArchive[变更后],幕间计算!GG125)),IF(幕间计算!GF125=0,"",E32+F32))</f>
        <v/>
      </c>
      <c r="H32" s="139" t="str">
        <f ca="1">IF(幕间计算!GA12&gt;0,IF(幕间计算!GG125=0,"",INDEX(DGArchive[事件／活动],幕间计算!GG125)),IF(幕间计算!GF125=0,"",IF(AND($E$9="建立DG关系",D32=$B$15),"建立新的重要关系（DG）。","")&amp;幕间计算!GA41))</f>
        <v/>
      </c>
      <c r="I32" s="139" t="str">
        <f ca="1">IF(幕间计算!GA12&gt;0,IF(幕间计算!GG125=0,"",INDEX(DGArchive[记录编号],幕间计算!GG125)),IF(幕间计算!GF125=0,"",IF(幕间计算!GA42="可归档",幕间计算!GA10&amp;"-"&amp;幕间计算!GA11&amp;"-"&amp;幕间计算!GF125,"")))</f>
        <v/>
      </c>
      <c r="J32" s="137" t="str">
        <f ca="1">IF(D32="","",幕间计算!GA42)</f>
        <v/>
      </c>
      <c r="K32" s="137"/>
    </row>
    <row r="33" ht="28" customHeight="1" spans="1:11">
      <c r="A33" s="137" t="str">
        <f ca="1">IF(幕间计算!GA12&gt;0,IF(幕间计算!GG126=0,"",INDEX(DGArchive[模组],幕间计算!GG126)),IF(幕间计算!GF126=0,"",幕间计算!GA10))</f>
        <v/>
      </c>
      <c r="B33" s="137" t="str">
        <f ca="1">IF(幕间计算!GA12&gt;0,IF(幕间计算!GG126=0,"",INDEX(DGArchive[阶段],幕间计算!GG126)),IF(幕间计算!GF126=0,"",幕间计算!GA11))</f>
        <v/>
      </c>
      <c r="C33" s="138" t="str">
        <f ca="1">IF((IF(幕间计算!GA12&gt;0,IF(幕间计算!GG126=0,"",INDEX(DGArchive[游戏内日期],幕间计算!GG126)),IF(幕间计算!GF126=0,"",IF($B$9="","",$B$9))))=0,"",IF(幕间计算!GA12&gt;0,IF(幕间计算!GG126=0,"",INDEX(DGArchive[游戏内日期],幕间计算!GG126)),IF(幕间计算!GF126=0,"",IF($B$9="","",$B$9))))</f>
        <v/>
      </c>
      <c r="D33" s="137" t="str">
        <f ca="1">IF(幕间计算!GA12&gt;0,IF(幕间计算!GG126=0,"",INDEX(DGArchive[目标],幕间计算!GG126)),IF(幕间计算!GF126=0,"",INDEX(幕间计算!$GA$120:$GA$133,幕间计算!GF126)))</f>
        <v/>
      </c>
      <c r="E33" s="137" t="str">
        <f ca="1">IF(幕间计算!GA12&gt;0,IF(幕间计算!GG126=0,"",INDEX(DGArchive[变更前],幕间计算!GG126)),IF(幕间计算!GF126=0,"",INDEX(幕间计算!$GB$120:$GB$133,幕间计算!GF126)))</f>
        <v/>
      </c>
      <c r="F33" s="137" t="str">
        <f ca="1">IF(幕间计算!GA12&gt;0,IF(幕间计算!GG126=0,"",INDEX(DGArchive[增减],幕间计算!GG126)),IF(幕间计算!GF126=0,"",INDEX(幕间计算!$GD$120:$GD$133,幕间计算!GF126)))</f>
        <v/>
      </c>
      <c r="G33" s="137" t="str">
        <f ca="1">IF(幕间计算!GA12&gt;0,IF(幕间计算!GG126=0,"",INDEX(DGArchive[变更后],幕间计算!GG126)),IF(幕间计算!GF126=0,"",E33+F33))</f>
        <v/>
      </c>
      <c r="H33" s="139" t="str">
        <f ca="1">IF(幕间计算!GA12&gt;0,IF(幕间计算!GG126=0,"",INDEX(DGArchive[事件／活动],幕间计算!GG126)),IF(幕间计算!GF126=0,"",IF(AND($E$9="建立DG关系",D33=$B$15),"建立新的重要关系（DG）。","")&amp;幕间计算!GA41))</f>
        <v/>
      </c>
      <c r="I33" s="139" t="str">
        <f ca="1">IF(幕间计算!GA12&gt;0,IF(幕间计算!GG126=0,"",INDEX(DGArchive[记录编号],幕间计算!GG126)),IF(幕间计算!GF126=0,"",IF(幕间计算!GA42="可归档",幕间计算!GA10&amp;"-"&amp;幕间计算!GA11&amp;"-"&amp;幕间计算!GF126,"")))</f>
        <v/>
      </c>
      <c r="J33" s="137" t="str">
        <f ca="1">IF(D33="","",幕间计算!GA42)</f>
        <v/>
      </c>
      <c r="K33" s="137"/>
    </row>
    <row r="34" ht="28" customHeight="1" spans="1:11">
      <c r="A34" s="137" t="str">
        <f ca="1">IF(幕间计算!GA12&gt;0,IF(幕间计算!GG127=0,"",INDEX(DGArchive[模组],幕间计算!GG127)),IF(幕间计算!GF127=0,"",幕间计算!GA10))</f>
        <v/>
      </c>
      <c r="B34" s="137" t="str">
        <f ca="1">IF(幕间计算!GA12&gt;0,IF(幕间计算!GG127=0,"",INDEX(DGArchive[阶段],幕间计算!GG127)),IF(幕间计算!GF127=0,"",幕间计算!GA11))</f>
        <v/>
      </c>
      <c r="C34" s="138" t="str">
        <f ca="1">IF((IF(幕间计算!GA12&gt;0,IF(幕间计算!GG127=0,"",INDEX(DGArchive[游戏内日期],幕间计算!GG127)),IF(幕间计算!GF127=0,"",IF($B$9="","",$B$9))))=0,"",IF(幕间计算!GA12&gt;0,IF(幕间计算!GG127=0,"",INDEX(DGArchive[游戏内日期],幕间计算!GG127)),IF(幕间计算!GF127=0,"",IF($B$9="","",$B$9))))</f>
        <v/>
      </c>
      <c r="D34" s="137" t="str">
        <f ca="1">IF(幕间计算!GA12&gt;0,IF(幕间计算!GG127=0,"",INDEX(DGArchive[目标],幕间计算!GG127)),IF(幕间计算!GF127=0,"",INDEX(幕间计算!$GA$120:$GA$133,幕间计算!GF127)))</f>
        <v/>
      </c>
      <c r="E34" s="137" t="str">
        <f ca="1">IF(幕间计算!GA12&gt;0,IF(幕间计算!GG127=0,"",INDEX(DGArchive[变更前],幕间计算!GG127)),IF(幕间计算!GF127=0,"",INDEX(幕间计算!$GB$120:$GB$133,幕间计算!GF127)))</f>
        <v/>
      </c>
      <c r="F34" s="137" t="str">
        <f ca="1">IF(幕间计算!GA12&gt;0,IF(幕间计算!GG127=0,"",INDEX(DGArchive[增减],幕间计算!GG127)),IF(幕间计算!GF127=0,"",INDEX(幕间计算!$GD$120:$GD$133,幕间计算!GF127)))</f>
        <v/>
      </c>
      <c r="G34" s="137" t="str">
        <f ca="1">IF(幕间计算!GA12&gt;0,IF(幕间计算!GG127=0,"",INDEX(DGArchive[变更后],幕间计算!GG127)),IF(幕间计算!GF127=0,"",E34+F34))</f>
        <v/>
      </c>
      <c r="H34" s="139" t="str">
        <f ca="1">IF(幕间计算!GA12&gt;0,IF(幕间计算!GG127=0,"",INDEX(DGArchive[事件／活动],幕间计算!GG127)),IF(幕间计算!GF127=0,"",IF(AND($E$9="建立DG关系",D34=$B$15),"建立新的重要关系（DG）。","")&amp;幕间计算!GA41))</f>
        <v/>
      </c>
      <c r="I34" s="139" t="str">
        <f ca="1">IF(幕间计算!GA12&gt;0,IF(幕间计算!GG127=0,"",INDEX(DGArchive[记录编号],幕间计算!GG127)),IF(幕间计算!GF127=0,"",IF(幕间计算!GA42="可归档",幕间计算!GA10&amp;"-"&amp;幕间计算!GA11&amp;"-"&amp;幕间计算!GF127,"")))</f>
        <v/>
      </c>
      <c r="J34" s="137" t="str">
        <f ca="1">IF(D34="","",幕间计算!GA42)</f>
        <v/>
      </c>
      <c r="K34" s="137"/>
    </row>
    <row r="35" ht="28" customHeight="1" spans="1:11">
      <c r="A35" s="137" t="str">
        <f ca="1">IF(幕间计算!GA12&gt;0,IF(幕间计算!GG128=0,"",INDEX(DGArchive[模组],幕间计算!GG128)),IF(幕间计算!GF128=0,"",幕间计算!GA10))</f>
        <v/>
      </c>
      <c r="B35" s="137" t="str">
        <f ca="1">IF(幕间计算!GA12&gt;0,IF(幕间计算!GG128=0,"",INDEX(DGArchive[阶段],幕间计算!GG128)),IF(幕间计算!GF128=0,"",幕间计算!GA11))</f>
        <v/>
      </c>
      <c r="C35" s="138" t="str">
        <f ca="1">IF((IF(幕间计算!GA12&gt;0,IF(幕间计算!GG128=0,"",INDEX(DGArchive[游戏内日期],幕间计算!GG128)),IF(幕间计算!GF128=0,"",IF($B$9="","",$B$9))))=0,"",IF(幕间计算!GA12&gt;0,IF(幕间计算!GG128=0,"",INDEX(DGArchive[游戏内日期],幕间计算!GG128)),IF(幕间计算!GF128=0,"",IF($B$9="","",$B$9))))</f>
        <v/>
      </c>
      <c r="D35" s="137" t="str">
        <f ca="1">IF(幕间计算!GA12&gt;0,IF(幕间计算!GG128=0,"",INDEX(DGArchive[目标],幕间计算!GG128)),IF(幕间计算!GF128=0,"",INDEX(幕间计算!$GA$120:$GA$133,幕间计算!GF128)))</f>
        <v/>
      </c>
      <c r="E35" s="137" t="str">
        <f ca="1">IF(幕间计算!GA12&gt;0,IF(幕间计算!GG128=0,"",INDEX(DGArchive[变更前],幕间计算!GG128)),IF(幕间计算!GF128=0,"",INDEX(幕间计算!$GB$120:$GB$133,幕间计算!GF128)))</f>
        <v/>
      </c>
      <c r="F35" s="137" t="str">
        <f ca="1">IF(幕间计算!GA12&gt;0,IF(幕间计算!GG128=0,"",INDEX(DGArchive[增减],幕间计算!GG128)),IF(幕间计算!GF128=0,"",INDEX(幕间计算!$GD$120:$GD$133,幕间计算!GF128)))</f>
        <v/>
      </c>
      <c r="G35" s="137" t="str">
        <f ca="1">IF(幕间计算!GA12&gt;0,IF(幕间计算!GG128=0,"",INDEX(DGArchive[变更后],幕间计算!GG128)),IF(幕间计算!GF128=0,"",E35+F35))</f>
        <v/>
      </c>
      <c r="H35" s="139" t="str">
        <f ca="1">IF(幕间计算!GA12&gt;0,IF(幕间计算!GG128=0,"",INDEX(DGArchive[事件／活动],幕间计算!GG128)),IF(幕间计算!GF128=0,"",IF(AND($E$9="建立DG关系",D35=$B$15),"建立新的重要关系（DG）。","")&amp;幕间计算!GA41))</f>
        <v/>
      </c>
      <c r="I35" s="139" t="str">
        <f ca="1">IF(幕间计算!GA12&gt;0,IF(幕间计算!GG128=0,"",INDEX(DGArchive[记录编号],幕间计算!GG128)),IF(幕间计算!GF128=0,"",IF(幕间计算!GA42="可归档",幕间计算!GA10&amp;"-"&amp;幕间计算!GA11&amp;"-"&amp;幕间计算!GF128,"")))</f>
        <v/>
      </c>
      <c r="J35" s="137" t="str">
        <f ca="1">IF(D35="","",幕间计算!GA42)</f>
        <v/>
      </c>
      <c r="K35" s="137"/>
    </row>
    <row r="36" ht="28" customHeight="1" spans="1:11">
      <c r="A36" s="137" t="str">
        <f ca="1">IF(幕间计算!GA12&gt;0,IF(幕间计算!GG129=0,"",INDEX(DGArchive[模组],幕间计算!GG129)),IF(幕间计算!GF129=0,"",幕间计算!GA10))</f>
        <v/>
      </c>
      <c r="B36" s="137" t="str">
        <f ca="1">IF(幕间计算!GA12&gt;0,IF(幕间计算!GG129=0,"",INDEX(DGArchive[阶段],幕间计算!GG129)),IF(幕间计算!GF129=0,"",幕间计算!GA11))</f>
        <v/>
      </c>
      <c r="C36" s="138" t="str">
        <f ca="1">IF((IF(幕间计算!GA12&gt;0,IF(幕间计算!GG129=0,"",INDEX(DGArchive[游戏内日期],幕间计算!GG129)),IF(幕间计算!GF129=0,"",IF($B$9="","",$B$9))))=0,"",IF(幕间计算!GA12&gt;0,IF(幕间计算!GG129=0,"",INDEX(DGArchive[游戏内日期],幕间计算!GG129)),IF(幕间计算!GF129=0,"",IF($B$9="","",$B$9))))</f>
        <v/>
      </c>
      <c r="D36" s="137" t="str">
        <f ca="1">IF(幕间计算!GA12&gt;0,IF(幕间计算!GG129=0,"",INDEX(DGArchive[目标],幕间计算!GG129)),IF(幕间计算!GF129=0,"",INDEX(幕间计算!$GA$120:$GA$133,幕间计算!GF129)))</f>
        <v/>
      </c>
      <c r="E36" s="137" t="str">
        <f ca="1">IF(幕间计算!GA12&gt;0,IF(幕间计算!GG129=0,"",INDEX(DGArchive[变更前],幕间计算!GG129)),IF(幕间计算!GF129=0,"",INDEX(幕间计算!$GB$120:$GB$133,幕间计算!GF129)))</f>
        <v/>
      </c>
      <c r="F36" s="137" t="str">
        <f ca="1">IF(幕间计算!GA12&gt;0,IF(幕间计算!GG129=0,"",INDEX(DGArchive[增减],幕间计算!GG129)),IF(幕间计算!GF129=0,"",INDEX(幕间计算!$GD$120:$GD$133,幕间计算!GF129)))</f>
        <v/>
      </c>
      <c r="G36" s="137" t="str">
        <f ca="1">IF(幕间计算!GA12&gt;0,IF(幕间计算!GG129=0,"",INDEX(DGArchive[变更后],幕间计算!GG129)),IF(幕间计算!GF129=0,"",E36+F36))</f>
        <v/>
      </c>
      <c r="H36" s="139" t="str">
        <f ca="1">IF(幕间计算!GA12&gt;0,IF(幕间计算!GG129=0,"",INDEX(DGArchive[事件／活动],幕间计算!GG129)),IF(幕间计算!GF129=0,"",IF(AND($E$9="建立DG关系",D36=$B$15),"建立新的重要关系（DG）。","")&amp;幕间计算!GA41))</f>
        <v/>
      </c>
      <c r="I36" s="139" t="str">
        <f ca="1">IF(幕间计算!GA12&gt;0,IF(幕间计算!GG129=0,"",INDEX(DGArchive[记录编号],幕间计算!GG129)),IF(幕间计算!GF129=0,"",IF(幕间计算!GA42="可归档",幕间计算!GA10&amp;"-"&amp;幕间计算!GA11&amp;"-"&amp;幕间计算!GF129,"")))</f>
        <v/>
      </c>
      <c r="J36" s="137" t="str">
        <f ca="1">IF(D36="","",幕间计算!GA42)</f>
        <v/>
      </c>
      <c r="K36" s="137"/>
    </row>
    <row r="37" ht="28" customHeight="1" spans="1:11">
      <c r="A37" s="137" t="str">
        <f ca="1">IF(幕间计算!GA12&gt;0,IF(幕间计算!GG130=0,"",INDEX(DGArchive[模组],幕间计算!GG130)),IF(幕间计算!GF130=0,"",幕间计算!GA10))</f>
        <v/>
      </c>
      <c r="B37" s="137" t="str">
        <f ca="1">IF(幕间计算!GA12&gt;0,IF(幕间计算!GG130=0,"",INDEX(DGArchive[阶段],幕间计算!GG130)),IF(幕间计算!GF130=0,"",幕间计算!GA11))</f>
        <v/>
      </c>
      <c r="C37" s="138" t="str">
        <f ca="1">IF((IF(幕间计算!GA12&gt;0,IF(幕间计算!GG130=0,"",INDEX(DGArchive[游戏内日期],幕间计算!GG130)),IF(幕间计算!GF130=0,"",IF($B$9="","",$B$9))))=0,"",IF(幕间计算!GA12&gt;0,IF(幕间计算!GG130=0,"",INDEX(DGArchive[游戏内日期],幕间计算!GG130)),IF(幕间计算!GF130=0,"",IF($B$9="","",$B$9))))</f>
        <v/>
      </c>
      <c r="D37" s="137" t="str">
        <f ca="1">IF(幕间计算!GA12&gt;0,IF(幕间计算!GG130=0,"",INDEX(DGArchive[目标],幕间计算!GG130)),IF(幕间计算!GF130=0,"",INDEX(幕间计算!$GA$120:$GA$133,幕间计算!GF130)))</f>
        <v/>
      </c>
      <c r="E37" s="137" t="str">
        <f ca="1">IF(幕间计算!GA12&gt;0,IF(幕间计算!GG130=0,"",INDEX(DGArchive[变更前],幕间计算!GG130)),IF(幕间计算!GF130=0,"",INDEX(幕间计算!$GB$120:$GB$133,幕间计算!GF130)))</f>
        <v/>
      </c>
      <c r="F37" s="137" t="str">
        <f ca="1">IF(幕间计算!GA12&gt;0,IF(幕间计算!GG130=0,"",INDEX(DGArchive[增减],幕间计算!GG130)),IF(幕间计算!GF130=0,"",INDEX(幕间计算!$GD$120:$GD$133,幕间计算!GF130)))</f>
        <v/>
      </c>
      <c r="G37" s="137" t="str">
        <f ca="1">IF(幕间计算!GA12&gt;0,IF(幕间计算!GG130=0,"",INDEX(DGArchive[变更后],幕间计算!GG130)),IF(幕间计算!GF130=0,"",E37+F37))</f>
        <v/>
      </c>
      <c r="H37" s="139" t="str">
        <f ca="1">IF(幕间计算!GA12&gt;0,IF(幕间计算!GG130=0,"",INDEX(DGArchive[事件／活动],幕间计算!GG130)),IF(幕间计算!GF130=0,"",IF(AND($E$9="建立DG关系",D37=$B$15),"建立新的重要关系（DG）。","")&amp;幕间计算!GA41))</f>
        <v/>
      </c>
      <c r="I37" s="139" t="str">
        <f ca="1">IF(幕间计算!GA12&gt;0,IF(幕间计算!GG130=0,"",INDEX(DGArchive[记录编号],幕间计算!GG130)),IF(幕间计算!GF130=0,"",IF(幕间计算!GA42="可归档",幕间计算!GA10&amp;"-"&amp;幕间计算!GA11&amp;"-"&amp;幕间计算!GF130,"")))</f>
        <v/>
      </c>
      <c r="J37" s="137" t="str">
        <f ca="1">IF(D37="","",幕间计算!GA42)</f>
        <v/>
      </c>
      <c r="K37" s="137"/>
    </row>
    <row r="38" ht="28" customHeight="1" spans="1:11">
      <c r="A38" s="137" t="str">
        <f ca="1">IF(幕间计算!GA12&gt;0,IF(幕间计算!GG131=0,"",INDEX(DGArchive[模组],幕间计算!GG131)),IF(幕间计算!GF131=0,"",幕间计算!GA10))</f>
        <v/>
      </c>
      <c r="B38" s="137" t="str">
        <f ca="1">IF(幕间计算!GA12&gt;0,IF(幕间计算!GG131=0,"",INDEX(DGArchive[阶段],幕间计算!GG131)),IF(幕间计算!GF131=0,"",幕间计算!GA11))</f>
        <v/>
      </c>
      <c r="C38" s="138" t="str">
        <f ca="1">IF((IF(幕间计算!GA12&gt;0,IF(幕间计算!GG131=0,"",INDEX(DGArchive[游戏内日期],幕间计算!GG131)),IF(幕间计算!GF131=0,"",IF($B$9="","",$B$9))))=0,"",IF(幕间计算!GA12&gt;0,IF(幕间计算!GG131=0,"",INDEX(DGArchive[游戏内日期],幕间计算!GG131)),IF(幕间计算!GF131=0,"",IF($B$9="","",$B$9))))</f>
        <v/>
      </c>
      <c r="D38" s="137" t="str">
        <f ca="1">IF(幕间计算!GA12&gt;0,IF(幕间计算!GG131=0,"",INDEX(DGArchive[目标],幕间计算!GG131)),IF(幕间计算!GF131=0,"",INDEX(幕间计算!$GA$120:$GA$133,幕间计算!GF131)))</f>
        <v/>
      </c>
      <c r="E38" s="137" t="str">
        <f ca="1">IF(幕间计算!GA12&gt;0,IF(幕间计算!GG131=0,"",INDEX(DGArchive[变更前],幕间计算!GG131)),IF(幕间计算!GF131=0,"",INDEX(幕间计算!$GB$120:$GB$133,幕间计算!GF131)))</f>
        <v/>
      </c>
      <c r="F38" s="137" t="str">
        <f ca="1">IF(幕间计算!GA12&gt;0,IF(幕间计算!GG131=0,"",INDEX(DGArchive[增减],幕间计算!GG131)),IF(幕间计算!GF131=0,"",INDEX(幕间计算!$GD$120:$GD$133,幕间计算!GF131)))</f>
        <v/>
      </c>
      <c r="G38" s="137" t="str">
        <f ca="1">IF(幕间计算!GA12&gt;0,IF(幕间计算!GG131=0,"",INDEX(DGArchive[变更后],幕间计算!GG131)),IF(幕间计算!GF131=0,"",E38+F38))</f>
        <v/>
      </c>
      <c r="H38" s="139" t="str">
        <f ca="1">IF(幕间计算!GA12&gt;0,IF(幕间计算!GG131=0,"",INDEX(DGArchive[事件／活动],幕间计算!GG131)),IF(幕间计算!GF131=0,"",IF(AND($E$9="建立DG关系",D38=$B$15),"建立新的重要关系（DG）。","")&amp;幕间计算!GA41))</f>
        <v/>
      </c>
      <c r="I38" s="139" t="str">
        <f ca="1">IF(幕间计算!GA12&gt;0,IF(幕间计算!GG131=0,"",INDEX(DGArchive[记录编号],幕间计算!GG131)),IF(幕间计算!GF131=0,"",IF(幕间计算!GA42="可归档",幕间计算!GA10&amp;"-"&amp;幕间计算!GA11&amp;"-"&amp;幕间计算!GF131,"")))</f>
        <v/>
      </c>
      <c r="J38" s="137" t="str">
        <f ca="1">IF(D38="","",幕间计算!GA42)</f>
        <v/>
      </c>
      <c r="K38" s="137"/>
    </row>
    <row r="39" ht="28" customHeight="1" spans="1:11">
      <c r="A39" s="137" t="str">
        <f ca="1">IF(幕间计算!GA12&gt;0,IF(幕间计算!GG132=0,"",INDEX(DGArchive[模组],幕间计算!GG132)),IF(幕间计算!GF132=0,"",幕间计算!GA10))</f>
        <v/>
      </c>
      <c r="B39" s="137" t="str">
        <f ca="1">IF(幕间计算!GA12&gt;0,IF(幕间计算!GG132=0,"",INDEX(DGArchive[阶段],幕间计算!GG132)),IF(幕间计算!GF132=0,"",幕间计算!GA11))</f>
        <v/>
      </c>
      <c r="C39" s="138" t="str">
        <f ca="1">IF((IF(幕间计算!GA12&gt;0,IF(幕间计算!GG132=0,"",INDEX(DGArchive[游戏内日期],幕间计算!GG132)),IF(幕间计算!GF132=0,"",IF($B$9="","",$B$9))))=0,"",IF(幕间计算!GA12&gt;0,IF(幕间计算!GG132=0,"",INDEX(DGArchive[游戏内日期],幕间计算!GG132)),IF(幕间计算!GF132=0,"",IF($B$9="","",$B$9))))</f>
        <v/>
      </c>
      <c r="D39" s="137" t="str">
        <f ca="1">IF(幕间计算!GA12&gt;0,IF(幕间计算!GG132=0,"",INDEX(DGArchive[目标],幕间计算!GG132)),IF(幕间计算!GF132=0,"",INDEX(幕间计算!$GA$120:$GA$133,幕间计算!GF132)))</f>
        <v/>
      </c>
      <c r="E39" s="137" t="str">
        <f ca="1">IF(幕间计算!GA12&gt;0,IF(幕间计算!GG132=0,"",INDEX(DGArchive[变更前],幕间计算!GG132)),IF(幕间计算!GF132=0,"",INDEX(幕间计算!$GB$120:$GB$133,幕间计算!GF132)))</f>
        <v/>
      </c>
      <c r="F39" s="137" t="str">
        <f ca="1">IF(幕间计算!GA12&gt;0,IF(幕间计算!GG132=0,"",INDEX(DGArchive[增减],幕间计算!GG132)),IF(幕间计算!GF132=0,"",INDEX(幕间计算!$GD$120:$GD$133,幕间计算!GF132)))</f>
        <v/>
      </c>
      <c r="G39" s="137" t="str">
        <f ca="1">IF(幕间计算!GA12&gt;0,IF(幕间计算!GG132=0,"",INDEX(DGArchive[变更后],幕间计算!GG132)),IF(幕间计算!GF132=0,"",E39+F39))</f>
        <v/>
      </c>
      <c r="H39" s="139" t="str">
        <f ca="1">IF(幕间计算!GA12&gt;0,IF(幕间计算!GG132=0,"",INDEX(DGArchive[事件／活动],幕间计算!GG132)),IF(幕间计算!GF132=0,"",IF(AND($E$9="建立DG关系",D39=$B$15),"建立新的重要关系（DG）。","")&amp;幕间计算!GA41))</f>
        <v/>
      </c>
      <c r="I39" s="139" t="str">
        <f ca="1">IF(幕间计算!GA12&gt;0,IF(幕间计算!GG132=0,"",INDEX(DGArchive[记录编号],幕间计算!GG132)),IF(幕间计算!GF132=0,"",IF(幕间计算!GA42="可归档",幕间计算!GA10&amp;"-"&amp;幕间计算!GA11&amp;"-"&amp;幕间计算!GF132,"")))</f>
        <v/>
      </c>
      <c r="J39" s="137" t="str">
        <f ca="1">IF(D39="","",幕间计算!GA42)</f>
        <v/>
      </c>
      <c r="K39" s="137"/>
    </row>
    <row r="40" ht="28" customHeight="1" spans="1:11">
      <c r="A40" s="137" t="str">
        <f ca="1">IF(幕间计算!GA12&gt;0,IF(幕间计算!GG133=0,"",INDEX(DGArchive[模组],幕间计算!GG133)),IF(幕间计算!GF133=0,"",幕间计算!GA10))</f>
        <v/>
      </c>
      <c r="B40" s="137" t="str">
        <f ca="1">IF(幕间计算!GA12&gt;0,IF(幕间计算!GG133=0,"",INDEX(DGArchive[阶段],幕间计算!GG133)),IF(幕间计算!GF133=0,"",幕间计算!GA11))</f>
        <v/>
      </c>
      <c r="C40" s="138" t="str">
        <f ca="1">IF((IF(幕间计算!GA12&gt;0,IF(幕间计算!GG133=0,"",INDEX(DGArchive[游戏内日期],幕间计算!GG133)),IF(幕间计算!GF133=0,"",IF($B$9="","",$B$9))))=0,"",IF(幕间计算!GA12&gt;0,IF(幕间计算!GG133=0,"",INDEX(DGArchive[游戏内日期],幕间计算!GG133)),IF(幕间计算!GF133=0,"",IF($B$9="","",$B$9))))</f>
        <v/>
      </c>
      <c r="D40" s="137" t="str">
        <f ca="1">IF(幕间计算!GA12&gt;0,IF(幕间计算!GG133=0,"",INDEX(DGArchive[目标],幕间计算!GG133)),IF(幕间计算!GF133=0,"",INDEX(幕间计算!$GA$120:$GA$133,幕间计算!GF133)))</f>
        <v/>
      </c>
      <c r="E40" s="137" t="str">
        <f ca="1">IF(幕间计算!GA12&gt;0,IF(幕间计算!GG133=0,"",INDEX(DGArchive[变更前],幕间计算!GG133)),IF(幕间计算!GF133=0,"",INDEX(幕间计算!$GB$120:$GB$133,幕间计算!GF133)))</f>
        <v/>
      </c>
      <c r="F40" s="137" t="str">
        <f ca="1">IF(幕间计算!GA12&gt;0,IF(幕间计算!GG133=0,"",INDEX(DGArchive[增减],幕间计算!GG133)),IF(幕间计算!GF133=0,"",INDEX(幕间计算!$GD$120:$GD$133,幕间计算!GF133)))</f>
        <v/>
      </c>
      <c r="G40" s="137" t="str">
        <f ca="1">IF(幕间计算!GA12&gt;0,IF(幕间计算!GG133=0,"",INDEX(DGArchive[变更后],幕间计算!GG133)),IF(幕间计算!GF133=0,"",E40+F40))</f>
        <v/>
      </c>
      <c r="H40" s="139" t="str">
        <f ca="1">IF(幕间计算!GA12&gt;0,IF(幕间计算!GG133=0,"",INDEX(DGArchive[事件／活动],幕间计算!GG133)),IF(幕间计算!GF133=0,"",IF(AND($E$9="建立DG关系",D40=$B$15),"建立新的重要关系（DG）。","")&amp;幕间计算!GA41))</f>
        <v/>
      </c>
      <c r="I40" s="139" t="str">
        <f ca="1">IF(幕间计算!GA12&gt;0,IF(幕间计算!GG133=0,"",INDEX(DGArchive[记录编号],幕间计算!GG133)),IF(幕间计算!GF133=0,"",IF(幕间计算!GA42="可归档",幕间计算!GA10&amp;"-"&amp;幕间计算!GA11&amp;"-"&amp;幕间计算!GF133,"")))</f>
        <v/>
      </c>
      <c r="J40" s="137" t="str">
        <f ca="1">IF(D40="","",幕间计算!GA42)</f>
        <v/>
      </c>
      <c r="K40" s="137"/>
    </row>
    <row r="41" ht="28" customHeight="1" spans="1:11">
      <c r="A41" s="140" t="s">
        <v>2615</v>
      </c>
      <c r="B41" s="140"/>
      <c r="C41" s="140"/>
      <c r="D41" s="140" t="s">
        <v>2616</v>
      </c>
      <c r="E41" s="140"/>
      <c r="F41" s="140"/>
      <c r="G41" s="140" t="s">
        <v>2617</v>
      </c>
      <c r="H41" s="140"/>
      <c r="I41" s="140"/>
      <c r="J41" s="140"/>
      <c r="K41" s="140"/>
    </row>
    <row r="42" ht="28" customHeight="1" spans="1:11">
      <c r="A42" s="141" t="str">
        <f ca="1">IF(幕间计算!GA12&gt;0,IF(幕间计算!GA40=0,"",INDEX(DGArchive[事件／活动],幕间计算!GA40)),IF($E$9="","",幕间计算!GA41))</f>
        <v/>
      </c>
      <c r="B42" s="141"/>
      <c r="C42" s="141"/>
      <c r="D42" s="141"/>
      <c r="E42" s="141"/>
      <c r="F42" s="141"/>
      <c r="G42" s="141"/>
      <c r="H42" s="141"/>
      <c r="I42" s="141"/>
      <c r="J42" s="141"/>
      <c r="K42" s="141"/>
    </row>
    <row r="43" ht="28" customHeight="1" spans="1:11">
      <c r="A43" s="127" t="s">
        <v>2618</v>
      </c>
      <c r="B43" s="127"/>
      <c r="C43" s="127"/>
      <c r="D43" s="127"/>
      <c r="E43" s="127"/>
      <c r="F43" s="127"/>
      <c r="G43" s="127"/>
      <c r="H43" s="127"/>
      <c r="I43" s="127"/>
      <c r="J43" s="127"/>
      <c r="K43" s="127"/>
    </row>
    <row r="44" ht="28" customHeight="1" spans="1:11">
      <c r="A44" s="130" t="s">
        <v>2619</v>
      </c>
      <c r="B44" s="130"/>
      <c r="C44" s="130"/>
      <c r="D44" s="131" t="s">
        <v>2620</v>
      </c>
      <c r="E44" s="131"/>
      <c r="F44" s="131"/>
      <c r="G44" s="131"/>
      <c r="H44" s="131"/>
      <c r="I44" s="131"/>
      <c r="J44" s="131"/>
      <c r="K44" s="131"/>
    </row>
    <row r="45" ht="28" customHeight="1" spans="1:11">
      <c r="A45" s="130" t="s">
        <v>2621</v>
      </c>
      <c r="B45" s="130"/>
      <c r="C45" s="130"/>
      <c r="D45" s="131" t="s">
        <v>2622</v>
      </c>
      <c r="E45" s="131"/>
      <c r="F45" s="131"/>
      <c r="G45" s="131"/>
      <c r="H45" s="131"/>
      <c r="I45" s="131"/>
      <c r="J45" s="131"/>
      <c r="K45" s="131"/>
    </row>
    <row r="46" ht="28" customHeight="1" spans="1:11">
      <c r="A46" s="130" t="s">
        <v>2623</v>
      </c>
      <c r="B46" s="130"/>
      <c r="C46" s="130"/>
      <c r="D46" s="131" t="s">
        <v>2624</v>
      </c>
      <c r="E46" s="131"/>
      <c r="F46" s="131"/>
      <c r="G46" s="131"/>
      <c r="H46" s="131"/>
      <c r="I46" s="131"/>
      <c r="J46" s="131"/>
      <c r="K46" s="131"/>
    </row>
    <row r="47" ht="28" customHeight="1" spans="1:11">
      <c r="A47" s="130" t="s">
        <v>2625</v>
      </c>
      <c r="B47" s="130"/>
      <c r="C47" s="130"/>
      <c r="D47" s="131" t="s">
        <v>2626</v>
      </c>
      <c r="E47" s="131"/>
      <c r="F47" s="131"/>
      <c r="G47" s="131"/>
      <c r="H47" s="131"/>
      <c r="I47" s="131"/>
      <c r="J47" s="131"/>
      <c r="K47" s="131"/>
    </row>
    <row r="48" ht="28" customHeight="1" spans="1:11">
      <c r="A48" s="130" t="s">
        <v>2627</v>
      </c>
      <c r="B48" s="130"/>
      <c r="C48" s="130"/>
      <c r="D48" s="131" t="s">
        <v>2628</v>
      </c>
      <c r="E48" s="131"/>
      <c r="F48" s="131"/>
      <c r="G48" s="131"/>
      <c r="H48" s="131"/>
      <c r="I48" s="131"/>
      <c r="J48" s="131"/>
      <c r="K48" s="131"/>
    </row>
    <row r="49" ht="28" customHeight="1" spans="1:11">
      <c r="A49" s="130" t="s">
        <v>2629</v>
      </c>
      <c r="B49" s="130"/>
      <c r="C49" s="130"/>
      <c r="D49" s="131" t="s">
        <v>2630</v>
      </c>
      <c r="E49" s="131"/>
      <c r="F49" s="131"/>
      <c r="G49" s="131"/>
      <c r="H49" s="131"/>
      <c r="I49" s="131"/>
      <c r="J49" s="131"/>
      <c r="K49" s="131"/>
    </row>
    <row r="50" ht="28" customHeight="1" spans="1:11">
      <c r="A50" s="130" t="s">
        <v>2631</v>
      </c>
      <c r="B50" s="130"/>
      <c r="C50" s="130"/>
      <c r="D50" s="131" t="s">
        <v>2632</v>
      </c>
      <c r="E50" s="131"/>
      <c r="F50" s="131"/>
      <c r="G50" s="131"/>
      <c r="H50" s="131"/>
      <c r="I50" s="131"/>
      <c r="J50" s="131"/>
      <c r="K50" s="131"/>
    </row>
    <row r="51" ht="28" customHeight="1" spans="1:11">
      <c r="A51" s="130" t="s">
        <v>2633</v>
      </c>
      <c r="B51" s="130"/>
      <c r="C51" s="130"/>
      <c r="D51" s="131" t="s">
        <v>2634</v>
      </c>
      <c r="E51" s="131"/>
      <c r="F51" s="131"/>
      <c r="G51" s="131"/>
      <c r="H51" s="131"/>
      <c r="I51" s="131"/>
      <c r="J51" s="131"/>
      <c r="K51" s="131"/>
    </row>
    <row r="52" ht="28" customHeight="1" spans="1:11">
      <c r="A52" s="130" t="s">
        <v>2635</v>
      </c>
      <c r="B52" s="130"/>
      <c r="C52" s="130"/>
      <c r="D52" s="131" t="s">
        <v>2636</v>
      </c>
      <c r="E52" s="131"/>
      <c r="F52" s="131"/>
      <c r="G52" s="131"/>
      <c r="H52" s="131"/>
      <c r="I52" s="131"/>
      <c r="J52" s="131"/>
      <c r="K52" s="131"/>
    </row>
    <row r="53" ht="28" customHeight="1" spans="1:11">
      <c r="A53" s="130" t="s">
        <v>2637</v>
      </c>
      <c r="B53" s="130"/>
      <c r="C53" s="130"/>
      <c r="D53" s="131" t="s">
        <v>2638</v>
      </c>
      <c r="E53" s="131"/>
      <c r="F53" s="131"/>
      <c r="G53" s="131"/>
      <c r="H53" s="131"/>
      <c r="I53" s="131"/>
      <c r="J53" s="131"/>
      <c r="K53" s="131"/>
    </row>
    <row r="54" ht="28" customHeight="1" spans="1:11">
      <c r="A54" s="130" t="s">
        <v>2639</v>
      </c>
      <c r="B54" s="130"/>
      <c r="C54" s="130"/>
      <c r="D54" s="131" t="s">
        <v>2640</v>
      </c>
      <c r="E54" s="131"/>
      <c r="F54" s="131"/>
      <c r="G54" s="131"/>
      <c r="H54" s="131"/>
      <c r="I54" s="131"/>
      <c r="J54" s="131"/>
      <c r="K54" s="131"/>
    </row>
    <row r="55" ht="28" customHeight="1" spans="1:11">
      <c r="A55" s="129"/>
      <c r="B55" s="129"/>
      <c r="C55" s="129"/>
      <c r="D55" s="129"/>
      <c r="E55" s="129"/>
      <c r="F55" s="129"/>
      <c r="G55" s="129"/>
      <c r="H55" s="129"/>
      <c r="I55" s="129"/>
      <c r="J55" s="129"/>
      <c r="K55" s="129"/>
    </row>
    <row r="56" ht="28" customHeight="1" spans="1:11">
      <c r="A56" s="142" t="s">
        <v>2641</v>
      </c>
      <c r="B56" s="142"/>
      <c r="C56" s="142"/>
      <c r="D56" s="142"/>
      <c r="E56" s="142"/>
      <c r="F56" s="142"/>
      <c r="G56" s="142"/>
      <c r="H56" s="142"/>
      <c r="I56" s="142"/>
      <c r="J56" s="142"/>
      <c r="K56" s="142"/>
    </row>
    <row r="57" ht="28" customHeight="1" spans="1:11">
      <c r="A57" s="131" t="s">
        <v>2642</v>
      </c>
      <c r="B57" s="131"/>
      <c r="C57" s="131"/>
      <c r="D57" s="131"/>
      <c r="E57" s="131"/>
      <c r="F57" s="131"/>
      <c r="G57" s="131"/>
      <c r="H57" s="131"/>
      <c r="I57" s="131"/>
      <c r="J57" s="131"/>
      <c r="K57" s="131"/>
    </row>
    <row r="58" ht="28" customHeight="1" spans="1:11">
      <c r="A58" s="129"/>
      <c r="B58" s="129"/>
      <c r="C58" s="129"/>
      <c r="D58" s="129"/>
      <c r="E58" s="129"/>
      <c r="F58" s="129"/>
      <c r="G58" s="129"/>
      <c r="H58" s="129"/>
      <c r="I58" s="129"/>
      <c r="J58" s="129"/>
      <c r="K58" s="129"/>
    </row>
    <row r="59" ht="28" customHeight="1" spans="1:11">
      <c r="A59" s="136" t="s">
        <v>2579</v>
      </c>
      <c r="B59" s="136" t="s">
        <v>2606</v>
      </c>
      <c r="C59" s="136" t="s">
        <v>2557</v>
      </c>
      <c r="D59" s="136" t="s">
        <v>2643</v>
      </c>
      <c r="E59" s="136" t="s">
        <v>2644</v>
      </c>
      <c r="F59" s="136" t="s">
        <v>2645</v>
      </c>
      <c r="G59" s="136" t="s">
        <v>2646</v>
      </c>
      <c r="H59" s="136" t="s">
        <v>2647</v>
      </c>
      <c r="I59" s="136" t="s">
        <v>2648</v>
      </c>
      <c r="J59" s="136" t="s">
        <v>2649</v>
      </c>
      <c r="K59" s="136"/>
    </row>
    <row r="60" ht="36" customHeight="1" spans="1:11">
      <c r="A60" s="131" t="str">
        <f>IF(幕间计算!GI60=0,"",INDEX(DGArchive[阶段],幕间计算!GI60))</f>
        <v/>
      </c>
      <c r="B60" s="131" t="str">
        <f>IF(幕间计算!GI60=0,"",INDEX(DGArchive[模组],幕间计算!GI60))</f>
        <v/>
      </c>
      <c r="C60" s="143" t="str">
        <f>IF((IF(幕间计算!GI60=0,"",INDEX(DGArchive[游戏内日期],幕间计算!GI60)))=0,"",IF(幕间计算!GI60=0,"",INDEX(DGArchive[游戏内日期],幕间计算!GI60)))</f>
        <v/>
      </c>
      <c r="D60" s="131" t="str">
        <f>IF(幕间计算!GI60=0,"",SUMIFS(幕间计算!$E$200:$E$1199,幕间计算!$A$200:$A$1199,B60,幕间计算!$B$200:$B$1199,A60,幕间计算!$C$200:$C$1199,"理智"))</f>
        <v/>
      </c>
      <c r="E60" s="131" t="str">
        <f>IF(幕间计算!GI60=0,"",SUMIFS(幕间计算!$E$200:$E$1199,幕间计算!$A$200:$A$1199,B60,幕间计算!$B$200:$B$1199,A60,幕间计算!$C$200:$C$1199,"毅力"))</f>
        <v/>
      </c>
      <c r="F60" s="131" t="str">
        <f>IF(幕间计算!GI60=0,"",SUMIFS(幕间计算!$E$200:$E$1199,幕间计算!$A$200:$A$1199,B60,幕间计算!$B$200:$B$1199,A60,幕间计算!$C$200:$C$1199,"重要关系*"))</f>
        <v/>
      </c>
      <c r="G60" s="131" t="str">
        <f>IF(幕间计算!GI60=0,"",SUMIFS(幕间计算!$E$200:$E$1199,幕间计算!$A$200:$A$1199,B60,幕间计算!$B$200:$B$1199,A60,幕间计算!$C$200:$C$1199,"魅力"))</f>
        <v/>
      </c>
      <c r="H60" s="131" t="str">
        <f>IF(幕间计算!GI60=0,"",SUMIFS(幕间计算!$E$200:$E$1199,幕间计算!$A$200:$A$1199,B60,幕间计算!$B$200:$B$1199,A60,幕间计算!$C$200:$C$1199,"崩溃点"))</f>
        <v/>
      </c>
      <c r="I60" s="131" t="str">
        <f>IF(幕间计算!GI60=0,"","暴力 "&amp;SUMIFS(幕间计算!$E$200:$E$1199,幕间计算!$A$200:$A$1199,B60,幕间计算!$B$200:$B$1199,A60,幕间计算!$C$200:$C$1199,"暴力进度")&amp;"／无力 "&amp;SUMIFS(幕间计算!$E$200:$E$1199,幕间计算!$A$200:$A$1199,B60,幕间计算!$B$200:$B$1199,A60,幕间计算!$C$200:$C$1199,"无力进度"))</f>
        <v/>
      </c>
      <c r="J60" s="131" t="str">
        <f>IF(幕间计算!GI60=0,"",INDEX(DGArchive[事件／活动],幕间计算!GI60))</f>
        <v/>
      </c>
      <c r="K60" s="131"/>
    </row>
    <row r="61" ht="36" customHeight="1" spans="1:11">
      <c r="A61" s="131" t="str">
        <f>IF(幕间计算!GI61=0,"",INDEX(DGArchive[阶段],幕间计算!GI61))</f>
        <v/>
      </c>
      <c r="B61" s="131" t="str">
        <f>IF(幕间计算!GI61=0,"",INDEX(DGArchive[模组],幕间计算!GI61))</f>
        <v/>
      </c>
      <c r="C61" s="143" t="str">
        <f>IF((IF(幕间计算!GI61=0,"",INDEX(DGArchive[游戏内日期],幕间计算!GI61)))=0,"",IF(幕间计算!GI61=0,"",INDEX(DGArchive[游戏内日期],幕间计算!GI61)))</f>
        <v/>
      </c>
      <c r="D61" s="131" t="str">
        <f>IF(幕间计算!GI61=0,"",SUMIFS(幕间计算!$E$200:$E$1199,幕间计算!$A$200:$A$1199,B61,幕间计算!$B$200:$B$1199,A61,幕间计算!$C$200:$C$1199,"理智"))</f>
        <v/>
      </c>
      <c r="E61" s="131" t="str">
        <f>IF(幕间计算!GI61=0,"",SUMIFS(幕间计算!$E$200:$E$1199,幕间计算!$A$200:$A$1199,B61,幕间计算!$B$200:$B$1199,A61,幕间计算!$C$200:$C$1199,"毅力"))</f>
        <v/>
      </c>
      <c r="F61" s="131" t="str">
        <f>IF(幕间计算!GI61=0,"",SUMIFS(幕间计算!$E$200:$E$1199,幕间计算!$A$200:$A$1199,B61,幕间计算!$B$200:$B$1199,A61,幕间计算!$C$200:$C$1199,"重要关系*"))</f>
        <v/>
      </c>
      <c r="G61" s="131" t="str">
        <f>IF(幕间计算!GI61=0,"",SUMIFS(幕间计算!$E$200:$E$1199,幕间计算!$A$200:$A$1199,B61,幕间计算!$B$200:$B$1199,A61,幕间计算!$C$200:$C$1199,"魅力"))</f>
        <v/>
      </c>
      <c r="H61" s="131" t="str">
        <f>IF(幕间计算!GI61=0,"",SUMIFS(幕间计算!$E$200:$E$1199,幕间计算!$A$200:$A$1199,B61,幕间计算!$B$200:$B$1199,A61,幕间计算!$C$200:$C$1199,"崩溃点"))</f>
        <v/>
      </c>
      <c r="I61" s="131" t="str">
        <f>IF(幕间计算!GI61=0,"","暴力 "&amp;SUMIFS(幕间计算!$E$200:$E$1199,幕间计算!$A$200:$A$1199,B61,幕间计算!$B$200:$B$1199,A61,幕间计算!$C$200:$C$1199,"暴力进度")&amp;"／无力 "&amp;SUMIFS(幕间计算!$E$200:$E$1199,幕间计算!$A$200:$A$1199,B61,幕间计算!$B$200:$B$1199,A61,幕间计算!$C$200:$C$1199,"无力进度"))</f>
        <v/>
      </c>
      <c r="J61" s="131" t="str">
        <f>IF(幕间计算!GI61=0,"",INDEX(DGArchive[事件／活动],幕间计算!GI61))</f>
        <v/>
      </c>
      <c r="K61" s="131"/>
    </row>
    <row r="62" ht="36" customHeight="1" spans="1:11">
      <c r="A62" s="131" t="str">
        <f>IF(幕间计算!GI62=0,"",INDEX(DGArchive[阶段],幕间计算!GI62))</f>
        <v/>
      </c>
      <c r="B62" s="131" t="str">
        <f>IF(幕间计算!GI62=0,"",INDEX(DGArchive[模组],幕间计算!GI62))</f>
        <v/>
      </c>
      <c r="C62" s="143" t="str">
        <f>IF((IF(幕间计算!GI62=0,"",INDEX(DGArchive[游戏内日期],幕间计算!GI62)))=0,"",IF(幕间计算!GI62=0,"",INDEX(DGArchive[游戏内日期],幕间计算!GI62)))</f>
        <v/>
      </c>
      <c r="D62" s="131" t="str">
        <f>IF(幕间计算!GI62=0,"",SUMIFS(幕间计算!$E$200:$E$1199,幕间计算!$A$200:$A$1199,B62,幕间计算!$B$200:$B$1199,A62,幕间计算!$C$200:$C$1199,"理智"))</f>
        <v/>
      </c>
      <c r="E62" s="131" t="str">
        <f>IF(幕间计算!GI62=0,"",SUMIFS(幕间计算!$E$200:$E$1199,幕间计算!$A$200:$A$1199,B62,幕间计算!$B$200:$B$1199,A62,幕间计算!$C$200:$C$1199,"毅力"))</f>
        <v/>
      </c>
      <c r="F62" s="131" t="str">
        <f>IF(幕间计算!GI62=0,"",SUMIFS(幕间计算!$E$200:$E$1199,幕间计算!$A$200:$A$1199,B62,幕间计算!$B$200:$B$1199,A62,幕间计算!$C$200:$C$1199,"重要关系*"))</f>
        <v/>
      </c>
      <c r="G62" s="131" t="str">
        <f>IF(幕间计算!GI62=0,"",SUMIFS(幕间计算!$E$200:$E$1199,幕间计算!$A$200:$A$1199,B62,幕间计算!$B$200:$B$1199,A62,幕间计算!$C$200:$C$1199,"魅力"))</f>
        <v/>
      </c>
      <c r="H62" s="131" t="str">
        <f>IF(幕间计算!GI62=0,"",SUMIFS(幕间计算!$E$200:$E$1199,幕间计算!$A$200:$A$1199,B62,幕间计算!$B$200:$B$1199,A62,幕间计算!$C$200:$C$1199,"崩溃点"))</f>
        <v/>
      </c>
      <c r="I62" s="131" t="str">
        <f>IF(幕间计算!GI62=0,"","暴力 "&amp;SUMIFS(幕间计算!$E$200:$E$1199,幕间计算!$A$200:$A$1199,B62,幕间计算!$B$200:$B$1199,A62,幕间计算!$C$200:$C$1199,"暴力进度")&amp;"／无力 "&amp;SUMIFS(幕间计算!$E$200:$E$1199,幕间计算!$A$200:$A$1199,B62,幕间计算!$B$200:$B$1199,A62,幕间计算!$C$200:$C$1199,"无力进度"))</f>
        <v/>
      </c>
      <c r="J62" s="131" t="str">
        <f>IF(幕间计算!GI62=0,"",INDEX(DGArchive[事件／活动],幕间计算!GI62))</f>
        <v/>
      </c>
      <c r="K62" s="131"/>
    </row>
    <row r="63" ht="36" customHeight="1" spans="1:11">
      <c r="A63" s="131" t="str">
        <f>IF(幕间计算!GI63=0,"",INDEX(DGArchive[阶段],幕间计算!GI63))</f>
        <v/>
      </c>
      <c r="B63" s="131" t="str">
        <f>IF(幕间计算!GI63=0,"",INDEX(DGArchive[模组],幕间计算!GI63))</f>
        <v/>
      </c>
      <c r="C63" s="143" t="str">
        <f>IF((IF(幕间计算!GI63=0,"",INDEX(DGArchive[游戏内日期],幕间计算!GI63)))=0,"",IF(幕间计算!GI63=0,"",INDEX(DGArchive[游戏内日期],幕间计算!GI63)))</f>
        <v/>
      </c>
      <c r="D63" s="131" t="str">
        <f>IF(幕间计算!GI63=0,"",SUMIFS(幕间计算!$E$200:$E$1199,幕间计算!$A$200:$A$1199,B63,幕间计算!$B$200:$B$1199,A63,幕间计算!$C$200:$C$1199,"理智"))</f>
        <v/>
      </c>
      <c r="E63" s="131" t="str">
        <f>IF(幕间计算!GI63=0,"",SUMIFS(幕间计算!$E$200:$E$1199,幕间计算!$A$200:$A$1199,B63,幕间计算!$B$200:$B$1199,A63,幕间计算!$C$200:$C$1199,"毅力"))</f>
        <v/>
      </c>
      <c r="F63" s="131" t="str">
        <f>IF(幕间计算!GI63=0,"",SUMIFS(幕间计算!$E$200:$E$1199,幕间计算!$A$200:$A$1199,B63,幕间计算!$B$200:$B$1199,A63,幕间计算!$C$200:$C$1199,"重要关系*"))</f>
        <v/>
      </c>
      <c r="G63" s="131" t="str">
        <f>IF(幕间计算!GI63=0,"",SUMIFS(幕间计算!$E$200:$E$1199,幕间计算!$A$200:$A$1199,B63,幕间计算!$B$200:$B$1199,A63,幕间计算!$C$200:$C$1199,"魅力"))</f>
        <v/>
      </c>
      <c r="H63" s="131" t="str">
        <f>IF(幕间计算!GI63=0,"",SUMIFS(幕间计算!$E$200:$E$1199,幕间计算!$A$200:$A$1199,B63,幕间计算!$B$200:$B$1199,A63,幕间计算!$C$200:$C$1199,"崩溃点"))</f>
        <v/>
      </c>
      <c r="I63" s="131" t="str">
        <f>IF(幕间计算!GI63=0,"","暴力 "&amp;SUMIFS(幕间计算!$E$200:$E$1199,幕间计算!$A$200:$A$1199,B63,幕间计算!$B$200:$B$1199,A63,幕间计算!$C$200:$C$1199,"暴力进度")&amp;"／无力 "&amp;SUMIFS(幕间计算!$E$200:$E$1199,幕间计算!$A$200:$A$1199,B63,幕间计算!$B$200:$B$1199,A63,幕间计算!$C$200:$C$1199,"无力进度"))</f>
        <v/>
      </c>
      <c r="J63" s="131" t="str">
        <f>IF(幕间计算!GI63=0,"",INDEX(DGArchive[事件／活动],幕间计算!GI63))</f>
        <v/>
      </c>
      <c r="K63" s="131"/>
    </row>
    <row r="64" ht="36" customHeight="1" spans="1:11">
      <c r="A64" s="131" t="str">
        <f>IF(幕间计算!GI64=0,"",INDEX(DGArchive[阶段],幕间计算!GI64))</f>
        <v/>
      </c>
      <c r="B64" s="131" t="str">
        <f>IF(幕间计算!GI64=0,"",INDEX(DGArchive[模组],幕间计算!GI64))</f>
        <v/>
      </c>
      <c r="C64" s="143" t="str">
        <f>IF((IF(幕间计算!GI64=0,"",INDEX(DGArchive[游戏内日期],幕间计算!GI64)))=0,"",IF(幕间计算!GI64=0,"",INDEX(DGArchive[游戏内日期],幕间计算!GI64)))</f>
        <v/>
      </c>
      <c r="D64" s="131" t="str">
        <f>IF(幕间计算!GI64=0,"",SUMIFS(幕间计算!$E$200:$E$1199,幕间计算!$A$200:$A$1199,B64,幕间计算!$B$200:$B$1199,A64,幕间计算!$C$200:$C$1199,"理智"))</f>
        <v/>
      </c>
      <c r="E64" s="131" t="str">
        <f>IF(幕间计算!GI64=0,"",SUMIFS(幕间计算!$E$200:$E$1199,幕间计算!$A$200:$A$1199,B64,幕间计算!$B$200:$B$1199,A64,幕间计算!$C$200:$C$1199,"毅力"))</f>
        <v/>
      </c>
      <c r="F64" s="131" t="str">
        <f>IF(幕间计算!GI64=0,"",SUMIFS(幕间计算!$E$200:$E$1199,幕间计算!$A$200:$A$1199,B64,幕间计算!$B$200:$B$1199,A64,幕间计算!$C$200:$C$1199,"重要关系*"))</f>
        <v/>
      </c>
      <c r="G64" s="131" t="str">
        <f>IF(幕间计算!GI64=0,"",SUMIFS(幕间计算!$E$200:$E$1199,幕间计算!$A$200:$A$1199,B64,幕间计算!$B$200:$B$1199,A64,幕间计算!$C$200:$C$1199,"魅力"))</f>
        <v/>
      </c>
      <c r="H64" s="131" t="str">
        <f>IF(幕间计算!GI64=0,"",SUMIFS(幕间计算!$E$200:$E$1199,幕间计算!$A$200:$A$1199,B64,幕间计算!$B$200:$B$1199,A64,幕间计算!$C$200:$C$1199,"崩溃点"))</f>
        <v/>
      </c>
      <c r="I64" s="131" t="str">
        <f>IF(幕间计算!GI64=0,"","暴力 "&amp;SUMIFS(幕间计算!$E$200:$E$1199,幕间计算!$A$200:$A$1199,B64,幕间计算!$B$200:$B$1199,A64,幕间计算!$C$200:$C$1199,"暴力进度")&amp;"／无力 "&amp;SUMIFS(幕间计算!$E$200:$E$1199,幕间计算!$A$200:$A$1199,B64,幕间计算!$B$200:$B$1199,A64,幕间计算!$C$200:$C$1199,"无力进度"))</f>
        <v/>
      </c>
      <c r="J64" s="131" t="str">
        <f>IF(幕间计算!GI64=0,"",INDEX(DGArchive[事件／活动],幕间计算!GI64))</f>
        <v/>
      </c>
      <c r="K64" s="131"/>
    </row>
    <row r="65" ht="36" customHeight="1" spans="1:11">
      <c r="A65" s="131" t="str">
        <f>IF(幕间计算!GI65=0,"",INDEX(DGArchive[阶段],幕间计算!GI65))</f>
        <v/>
      </c>
      <c r="B65" s="131" t="str">
        <f>IF(幕间计算!GI65=0,"",INDEX(DGArchive[模组],幕间计算!GI65))</f>
        <v/>
      </c>
      <c r="C65" s="143" t="str">
        <f>IF((IF(幕间计算!GI65=0,"",INDEX(DGArchive[游戏内日期],幕间计算!GI65)))=0,"",IF(幕间计算!GI65=0,"",INDEX(DGArchive[游戏内日期],幕间计算!GI65)))</f>
        <v/>
      </c>
      <c r="D65" s="131" t="str">
        <f>IF(幕间计算!GI65=0,"",SUMIFS(幕间计算!$E$200:$E$1199,幕间计算!$A$200:$A$1199,B65,幕间计算!$B$200:$B$1199,A65,幕间计算!$C$200:$C$1199,"理智"))</f>
        <v/>
      </c>
      <c r="E65" s="131" t="str">
        <f>IF(幕间计算!GI65=0,"",SUMIFS(幕间计算!$E$200:$E$1199,幕间计算!$A$200:$A$1199,B65,幕间计算!$B$200:$B$1199,A65,幕间计算!$C$200:$C$1199,"毅力"))</f>
        <v/>
      </c>
      <c r="F65" s="131" t="str">
        <f>IF(幕间计算!GI65=0,"",SUMIFS(幕间计算!$E$200:$E$1199,幕间计算!$A$200:$A$1199,B65,幕间计算!$B$200:$B$1199,A65,幕间计算!$C$200:$C$1199,"重要关系*"))</f>
        <v/>
      </c>
      <c r="G65" s="131" t="str">
        <f>IF(幕间计算!GI65=0,"",SUMIFS(幕间计算!$E$200:$E$1199,幕间计算!$A$200:$A$1199,B65,幕间计算!$B$200:$B$1199,A65,幕间计算!$C$200:$C$1199,"魅力"))</f>
        <v/>
      </c>
      <c r="H65" s="131" t="str">
        <f>IF(幕间计算!GI65=0,"",SUMIFS(幕间计算!$E$200:$E$1199,幕间计算!$A$200:$A$1199,B65,幕间计算!$B$200:$B$1199,A65,幕间计算!$C$200:$C$1199,"崩溃点"))</f>
        <v/>
      </c>
      <c r="I65" s="131" t="str">
        <f>IF(幕间计算!GI65=0,"","暴力 "&amp;SUMIFS(幕间计算!$E$200:$E$1199,幕间计算!$A$200:$A$1199,B65,幕间计算!$B$200:$B$1199,A65,幕间计算!$C$200:$C$1199,"暴力进度")&amp;"／无力 "&amp;SUMIFS(幕间计算!$E$200:$E$1199,幕间计算!$A$200:$A$1199,B65,幕间计算!$B$200:$B$1199,A65,幕间计算!$C$200:$C$1199,"无力进度"))</f>
        <v/>
      </c>
      <c r="J65" s="131" t="str">
        <f>IF(幕间计算!GI65=0,"",INDEX(DGArchive[事件／活动],幕间计算!GI65))</f>
        <v/>
      </c>
      <c r="K65" s="131"/>
    </row>
    <row r="66" ht="36" customHeight="1" spans="1:11">
      <c r="A66" s="131" t="str">
        <f>IF(幕间计算!GI66=0,"",INDEX(DGArchive[阶段],幕间计算!GI66))</f>
        <v/>
      </c>
      <c r="B66" s="131" t="str">
        <f>IF(幕间计算!GI66=0,"",INDEX(DGArchive[模组],幕间计算!GI66))</f>
        <v/>
      </c>
      <c r="C66" s="143" t="str">
        <f>IF((IF(幕间计算!GI66=0,"",INDEX(DGArchive[游戏内日期],幕间计算!GI66)))=0,"",IF(幕间计算!GI66=0,"",INDEX(DGArchive[游戏内日期],幕间计算!GI66)))</f>
        <v/>
      </c>
      <c r="D66" s="131" t="str">
        <f>IF(幕间计算!GI66=0,"",SUMIFS(幕间计算!$E$200:$E$1199,幕间计算!$A$200:$A$1199,B66,幕间计算!$B$200:$B$1199,A66,幕间计算!$C$200:$C$1199,"理智"))</f>
        <v/>
      </c>
      <c r="E66" s="131" t="str">
        <f>IF(幕间计算!GI66=0,"",SUMIFS(幕间计算!$E$200:$E$1199,幕间计算!$A$200:$A$1199,B66,幕间计算!$B$200:$B$1199,A66,幕间计算!$C$200:$C$1199,"毅力"))</f>
        <v/>
      </c>
      <c r="F66" s="131" t="str">
        <f>IF(幕间计算!GI66=0,"",SUMIFS(幕间计算!$E$200:$E$1199,幕间计算!$A$200:$A$1199,B66,幕间计算!$B$200:$B$1199,A66,幕间计算!$C$200:$C$1199,"重要关系*"))</f>
        <v/>
      </c>
      <c r="G66" s="131" t="str">
        <f>IF(幕间计算!GI66=0,"",SUMIFS(幕间计算!$E$200:$E$1199,幕间计算!$A$200:$A$1199,B66,幕间计算!$B$200:$B$1199,A66,幕间计算!$C$200:$C$1199,"魅力"))</f>
        <v/>
      </c>
      <c r="H66" s="131" t="str">
        <f>IF(幕间计算!GI66=0,"",SUMIFS(幕间计算!$E$200:$E$1199,幕间计算!$A$200:$A$1199,B66,幕间计算!$B$200:$B$1199,A66,幕间计算!$C$200:$C$1199,"崩溃点"))</f>
        <v/>
      </c>
      <c r="I66" s="131" t="str">
        <f>IF(幕间计算!GI66=0,"","暴力 "&amp;SUMIFS(幕间计算!$E$200:$E$1199,幕间计算!$A$200:$A$1199,B66,幕间计算!$B$200:$B$1199,A66,幕间计算!$C$200:$C$1199,"暴力进度")&amp;"／无力 "&amp;SUMIFS(幕间计算!$E$200:$E$1199,幕间计算!$A$200:$A$1199,B66,幕间计算!$B$200:$B$1199,A66,幕间计算!$C$200:$C$1199,"无力进度"))</f>
        <v/>
      </c>
      <c r="J66" s="131" t="str">
        <f>IF(幕间计算!GI66=0,"",INDEX(DGArchive[事件／活动],幕间计算!GI66))</f>
        <v/>
      </c>
      <c r="K66" s="131"/>
    </row>
    <row r="67" ht="36" customHeight="1" spans="1:11">
      <c r="A67" s="131" t="str">
        <f>IF(幕间计算!GI67=0,"",INDEX(DGArchive[阶段],幕间计算!GI67))</f>
        <v/>
      </c>
      <c r="B67" s="131" t="str">
        <f>IF(幕间计算!GI67=0,"",INDEX(DGArchive[模组],幕间计算!GI67))</f>
        <v/>
      </c>
      <c r="C67" s="143" t="str">
        <f>IF((IF(幕间计算!GI67=0,"",INDEX(DGArchive[游戏内日期],幕间计算!GI67)))=0,"",IF(幕间计算!GI67=0,"",INDEX(DGArchive[游戏内日期],幕间计算!GI67)))</f>
        <v/>
      </c>
      <c r="D67" s="131" t="str">
        <f>IF(幕间计算!GI67=0,"",SUMIFS(幕间计算!$E$200:$E$1199,幕间计算!$A$200:$A$1199,B67,幕间计算!$B$200:$B$1199,A67,幕间计算!$C$200:$C$1199,"理智"))</f>
        <v/>
      </c>
      <c r="E67" s="131" t="str">
        <f>IF(幕间计算!GI67=0,"",SUMIFS(幕间计算!$E$200:$E$1199,幕间计算!$A$200:$A$1199,B67,幕间计算!$B$200:$B$1199,A67,幕间计算!$C$200:$C$1199,"毅力"))</f>
        <v/>
      </c>
      <c r="F67" s="131" t="str">
        <f>IF(幕间计算!GI67=0,"",SUMIFS(幕间计算!$E$200:$E$1199,幕间计算!$A$200:$A$1199,B67,幕间计算!$B$200:$B$1199,A67,幕间计算!$C$200:$C$1199,"重要关系*"))</f>
        <v/>
      </c>
      <c r="G67" s="131" t="str">
        <f>IF(幕间计算!GI67=0,"",SUMIFS(幕间计算!$E$200:$E$1199,幕间计算!$A$200:$A$1199,B67,幕间计算!$B$200:$B$1199,A67,幕间计算!$C$200:$C$1199,"魅力"))</f>
        <v/>
      </c>
      <c r="H67" s="131" t="str">
        <f>IF(幕间计算!GI67=0,"",SUMIFS(幕间计算!$E$200:$E$1199,幕间计算!$A$200:$A$1199,B67,幕间计算!$B$200:$B$1199,A67,幕间计算!$C$200:$C$1199,"崩溃点"))</f>
        <v/>
      </c>
      <c r="I67" s="131" t="str">
        <f>IF(幕间计算!GI67=0,"","暴力 "&amp;SUMIFS(幕间计算!$E$200:$E$1199,幕间计算!$A$200:$A$1199,B67,幕间计算!$B$200:$B$1199,A67,幕间计算!$C$200:$C$1199,"暴力进度")&amp;"／无力 "&amp;SUMIFS(幕间计算!$E$200:$E$1199,幕间计算!$A$200:$A$1199,B67,幕间计算!$B$200:$B$1199,A67,幕间计算!$C$200:$C$1199,"无力进度"))</f>
        <v/>
      </c>
      <c r="J67" s="131" t="str">
        <f>IF(幕间计算!GI67=0,"",INDEX(DGArchive[事件／活动],幕间计算!GI67))</f>
        <v/>
      </c>
      <c r="K67" s="131"/>
    </row>
    <row r="68" ht="36" customHeight="1" spans="1:11">
      <c r="A68" s="131" t="str">
        <f>IF(幕间计算!GI68=0,"",INDEX(DGArchive[阶段],幕间计算!GI68))</f>
        <v/>
      </c>
      <c r="B68" s="131" t="str">
        <f>IF(幕间计算!GI68=0,"",INDEX(DGArchive[模组],幕间计算!GI68))</f>
        <v/>
      </c>
      <c r="C68" s="143" t="str">
        <f>IF((IF(幕间计算!GI68=0,"",INDEX(DGArchive[游戏内日期],幕间计算!GI68)))=0,"",IF(幕间计算!GI68=0,"",INDEX(DGArchive[游戏内日期],幕间计算!GI68)))</f>
        <v/>
      </c>
      <c r="D68" s="131" t="str">
        <f>IF(幕间计算!GI68=0,"",SUMIFS(幕间计算!$E$200:$E$1199,幕间计算!$A$200:$A$1199,B68,幕间计算!$B$200:$B$1199,A68,幕间计算!$C$200:$C$1199,"理智"))</f>
        <v/>
      </c>
      <c r="E68" s="131" t="str">
        <f>IF(幕间计算!GI68=0,"",SUMIFS(幕间计算!$E$200:$E$1199,幕间计算!$A$200:$A$1199,B68,幕间计算!$B$200:$B$1199,A68,幕间计算!$C$200:$C$1199,"毅力"))</f>
        <v/>
      </c>
      <c r="F68" s="131" t="str">
        <f>IF(幕间计算!GI68=0,"",SUMIFS(幕间计算!$E$200:$E$1199,幕间计算!$A$200:$A$1199,B68,幕间计算!$B$200:$B$1199,A68,幕间计算!$C$200:$C$1199,"重要关系*"))</f>
        <v/>
      </c>
      <c r="G68" s="131" t="str">
        <f>IF(幕间计算!GI68=0,"",SUMIFS(幕间计算!$E$200:$E$1199,幕间计算!$A$200:$A$1199,B68,幕间计算!$B$200:$B$1199,A68,幕间计算!$C$200:$C$1199,"魅力"))</f>
        <v/>
      </c>
      <c r="H68" s="131" t="str">
        <f>IF(幕间计算!GI68=0,"",SUMIFS(幕间计算!$E$200:$E$1199,幕间计算!$A$200:$A$1199,B68,幕间计算!$B$200:$B$1199,A68,幕间计算!$C$200:$C$1199,"崩溃点"))</f>
        <v/>
      </c>
      <c r="I68" s="131" t="str">
        <f>IF(幕间计算!GI68=0,"","暴力 "&amp;SUMIFS(幕间计算!$E$200:$E$1199,幕间计算!$A$200:$A$1199,B68,幕间计算!$B$200:$B$1199,A68,幕间计算!$C$200:$C$1199,"暴力进度")&amp;"／无力 "&amp;SUMIFS(幕间计算!$E$200:$E$1199,幕间计算!$A$200:$A$1199,B68,幕间计算!$B$200:$B$1199,A68,幕间计算!$C$200:$C$1199,"无力进度"))</f>
        <v/>
      </c>
      <c r="J68" s="131" t="str">
        <f>IF(幕间计算!GI68=0,"",INDEX(DGArchive[事件／活动],幕间计算!GI68))</f>
        <v/>
      </c>
      <c r="K68" s="131"/>
    </row>
    <row r="69" ht="36" customHeight="1" spans="1:11">
      <c r="A69" s="131" t="str">
        <f>IF(幕间计算!GI69=0,"",INDEX(DGArchive[阶段],幕间计算!GI69))</f>
        <v/>
      </c>
      <c r="B69" s="131" t="str">
        <f>IF(幕间计算!GI69=0,"",INDEX(DGArchive[模组],幕间计算!GI69))</f>
        <v/>
      </c>
      <c r="C69" s="143" t="str">
        <f>IF((IF(幕间计算!GI69=0,"",INDEX(DGArchive[游戏内日期],幕间计算!GI69)))=0,"",IF(幕间计算!GI69=0,"",INDEX(DGArchive[游戏内日期],幕间计算!GI69)))</f>
        <v/>
      </c>
      <c r="D69" s="131" t="str">
        <f>IF(幕间计算!GI69=0,"",SUMIFS(幕间计算!$E$200:$E$1199,幕间计算!$A$200:$A$1199,B69,幕间计算!$B$200:$B$1199,A69,幕间计算!$C$200:$C$1199,"理智"))</f>
        <v/>
      </c>
      <c r="E69" s="131" t="str">
        <f>IF(幕间计算!GI69=0,"",SUMIFS(幕间计算!$E$200:$E$1199,幕间计算!$A$200:$A$1199,B69,幕间计算!$B$200:$B$1199,A69,幕间计算!$C$200:$C$1199,"毅力"))</f>
        <v/>
      </c>
      <c r="F69" s="131" t="str">
        <f>IF(幕间计算!GI69=0,"",SUMIFS(幕间计算!$E$200:$E$1199,幕间计算!$A$200:$A$1199,B69,幕间计算!$B$200:$B$1199,A69,幕间计算!$C$200:$C$1199,"重要关系*"))</f>
        <v/>
      </c>
      <c r="G69" s="131" t="str">
        <f>IF(幕间计算!GI69=0,"",SUMIFS(幕间计算!$E$200:$E$1199,幕间计算!$A$200:$A$1199,B69,幕间计算!$B$200:$B$1199,A69,幕间计算!$C$200:$C$1199,"魅力"))</f>
        <v/>
      </c>
      <c r="H69" s="131" t="str">
        <f>IF(幕间计算!GI69=0,"",SUMIFS(幕间计算!$E$200:$E$1199,幕间计算!$A$200:$A$1199,B69,幕间计算!$B$200:$B$1199,A69,幕间计算!$C$200:$C$1199,"崩溃点"))</f>
        <v/>
      </c>
      <c r="I69" s="131" t="str">
        <f>IF(幕间计算!GI69=0,"","暴力 "&amp;SUMIFS(幕间计算!$E$200:$E$1199,幕间计算!$A$200:$A$1199,B69,幕间计算!$B$200:$B$1199,A69,幕间计算!$C$200:$C$1199,"暴力进度")&amp;"／无力 "&amp;SUMIFS(幕间计算!$E$200:$E$1199,幕间计算!$A$200:$A$1199,B69,幕间计算!$B$200:$B$1199,A69,幕间计算!$C$200:$C$1199,"无力进度"))</f>
        <v/>
      </c>
      <c r="J69" s="131" t="str">
        <f>IF(幕间计算!GI69=0,"",INDEX(DGArchive[事件／活动],幕间计算!GI69))</f>
        <v/>
      </c>
      <c r="K69" s="131"/>
    </row>
    <row r="70" ht="36" customHeight="1" spans="1:11">
      <c r="A70" s="131" t="str">
        <f>IF(幕间计算!GI70=0,"",INDEX(DGArchive[阶段],幕间计算!GI70))</f>
        <v/>
      </c>
      <c r="B70" s="131" t="str">
        <f>IF(幕间计算!GI70=0,"",INDEX(DGArchive[模组],幕间计算!GI70))</f>
        <v/>
      </c>
      <c r="C70" s="143" t="str">
        <f>IF((IF(幕间计算!GI70=0,"",INDEX(DGArchive[游戏内日期],幕间计算!GI70)))=0,"",IF(幕间计算!GI70=0,"",INDEX(DGArchive[游戏内日期],幕间计算!GI70)))</f>
        <v/>
      </c>
      <c r="D70" s="131" t="str">
        <f>IF(幕间计算!GI70=0,"",SUMIFS(幕间计算!$E$200:$E$1199,幕间计算!$A$200:$A$1199,B70,幕间计算!$B$200:$B$1199,A70,幕间计算!$C$200:$C$1199,"理智"))</f>
        <v/>
      </c>
      <c r="E70" s="131" t="str">
        <f>IF(幕间计算!GI70=0,"",SUMIFS(幕间计算!$E$200:$E$1199,幕间计算!$A$200:$A$1199,B70,幕间计算!$B$200:$B$1199,A70,幕间计算!$C$200:$C$1199,"毅力"))</f>
        <v/>
      </c>
      <c r="F70" s="131" t="str">
        <f>IF(幕间计算!GI70=0,"",SUMIFS(幕间计算!$E$200:$E$1199,幕间计算!$A$200:$A$1199,B70,幕间计算!$B$200:$B$1199,A70,幕间计算!$C$200:$C$1199,"重要关系*"))</f>
        <v/>
      </c>
      <c r="G70" s="131" t="str">
        <f>IF(幕间计算!GI70=0,"",SUMIFS(幕间计算!$E$200:$E$1199,幕间计算!$A$200:$A$1199,B70,幕间计算!$B$200:$B$1199,A70,幕间计算!$C$200:$C$1199,"魅力"))</f>
        <v/>
      </c>
      <c r="H70" s="131" t="str">
        <f>IF(幕间计算!GI70=0,"",SUMIFS(幕间计算!$E$200:$E$1199,幕间计算!$A$200:$A$1199,B70,幕间计算!$B$200:$B$1199,A70,幕间计算!$C$200:$C$1199,"崩溃点"))</f>
        <v/>
      </c>
      <c r="I70" s="131" t="str">
        <f>IF(幕间计算!GI70=0,"","暴力 "&amp;SUMIFS(幕间计算!$E$200:$E$1199,幕间计算!$A$200:$A$1199,B70,幕间计算!$B$200:$B$1199,A70,幕间计算!$C$200:$C$1199,"暴力进度")&amp;"／无力 "&amp;SUMIFS(幕间计算!$E$200:$E$1199,幕间计算!$A$200:$A$1199,B70,幕间计算!$B$200:$B$1199,A70,幕间计算!$C$200:$C$1199,"无力进度"))</f>
        <v/>
      </c>
      <c r="J70" s="131" t="str">
        <f>IF(幕间计算!GI70=0,"",INDEX(DGArchive[事件／活动],幕间计算!GI70))</f>
        <v/>
      </c>
      <c r="K70" s="131"/>
    </row>
    <row r="71" ht="36" customHeight="1" spans="1:11">
      <c r="A71" s="131" t="str">
        <f>IF(幕间计算!GI71=0,"",INDEX(DGArchive[阶段],幕间计算!GI71))</f>
        <v/>
      </c>
      <c r="B71" s="131" t="str">
        <f>IF(幕间计算!GI71=0,"",INDEX(DGArchive[模组],幕间计算!GI71))</f>
        <v/>
      </c>
      <c r="C71" s="143" t="str">
        <f>IF((IF(幕间计算!GI71=0,"",INDEX(DGArchive[游戏内日期],幕间计算!GI71)))=0,"",IF(幕间计算!GI71=0,"",INDEX(DGArchive[游戏内日期],幕间计算!GI71)))</f>
        <v/>
      </c>
      <c r="D71" s="131" t="str">
        <f>IF(幕间计算!GI71=0,"",SUMIFS(幕间计算!$E$200:$E$1199,幕间计算!$A$200:$A$1199,B71,幕间计算!$B$200:$B$1199,A71,幕间计算!$C$200:$C$1199,"理智"))</f>
        <v/>
      </c>
      <c r="E71" s="131" t="str">
        <f>IF(幕间计算!GI71=0,"",SUMIFS(幕间计算!$E$200:$E$1199,幕间计算!$A$200:$A$1199,B71,幕间计算!$B$200:$B$1199,A71,幕间计算!$C$200:$C$1199,"毅力"))</f>
        <v/>
      </c>
      <c r="F71" s="131" t="str">
        <f>IF(幕间计算!GI71=0,"",SUMIFS(幕间计算!$E$200:$E$1199,幕间计算!$A$200:$A$1199,B71,幕间计算!$B$200:$B$1199,A71,幕间计算!$C$200:$C$1199,"重要关系*"))</f>
        <v/>
      </c>
      <c r="G71" s="131" t="str">
        <f>IF(幕间计算!GI71=0,"",SUMIFS(幕间计算!$E$200:$E$1199,幕间计算!$A$200:$A$1199,B71,幕间计算!$B$200:$B$1199,A71,幕间计算!$C$200:$C$1199,"魅力"))</f>
        <v/>
      </c>
      <c r="H71" s="131" t="str">
        <f>IF(幕间计算!GI71=0,"",SUMIFS(幕间计算!$E$200:$E$1199,幕间计算!$A$200:$A$1199,B71,幕间计算!$B$200:$B$1199,A71,幕间计算!$C$200:$C$1199,"崩溃点"))</f>
        <v/>
      </c>
      <c r="I71" s="131" t="str">
        <f>IF(幕间计算!GI71=0,"","暴力 "&amp;SUMIFS(幕间计算!$E$200:$E$1199,幕间计算!$A$200:$A$1199,B71,幕间计算!$B$200:$B$1199,A71,幕间计算!$C$200:$C$1199,"暴力进度")&amp;"／无力 "&amp;SUMIFS(幕间计算!$E$200:$E$1199,幕间计算!$A$200:$A$1199,B71,幕间计算!$B$200:$B$1199,A71,幕间计算!$C$200:$C$1199,"无力进度"))</f>
        <v/>
      </c>
      <c r="J71" s="131" t="str">
        <f>IF(幕间计算!GI71=0,"",INDEX(DGArchive[事件／活动],幕间计算!GI71))</f>
        <v/>
      </c>
      <c r="K71" s="131"/>
    </row>
    <row r="72" ht="36" customHeight="1" spans="1:11">
      <c r="A72" s="131" t="str">
        <f>IF(幕间计算!GI72=0,"",INDEX(DGArchive[阶段],幕间计算!GI72))</f>
        <v/>
      </c>
      <c r="B72" s="131" t="str">
        <f>IF(幕间计算!GI72=0,"",INDEX(DGArchive[模组],幕间计算!GI72))</f>
        <v/>
      </c>
      <c r="C72" s="143" t="str">
        <f>IF((IF(幕间计算!GI72=0,"",INDEX(DGArchive[游戏内日期],幕间计算!GI72)))=0,"",IF(幕间计算!GI72=0,"",INDEX(DGArchive[游戏内日期],幕间计算!GI72)))</f>
        <v/>
      </c>
      <c r="D72" s="131" t="str">
        <f>IF(幕间计算!GI72=0,"",SUMIFS(幕间计算!$E$200:$E$1199,幕间计算!$A$200:$A$1199,B72,幕间计算!$B$200:$B$1199,A72,幕间计算!$C$200:$C$1199,"理智"))</f>
        <v/>
      </c>
      <c r="E72" s="131" t="str">
        <f>IF(幕间计算!GI72=0,"",SUMIFS(幕间计算!$E$200:$E$1199,幕间计算!$A$200:$A$1199,B72,幕间计算!$B$200:$B$1199,A72,幕间计算!$C$200:$C$1199,"毅力"))</f>
        <v/>
      </c>
      <c r="F72" s="131" t="str">
        <f>IF(幕间计算!GI72=0,"",SUMIFS(幕间计算!$E$200:$E$1199,幕间计算!$A$200:$A$1199,B72,幕间计算!$B$200:$B$1199,A72,幕间计算!$C$200:$C$1199,"重要关系*"))</f>
        <v/>
      </c>
      <c r="G72" s="131" t="str">
        <f>IF(幕间计算!GI72=0,"",SUMIFS(幕间计算!$E$200:$E$1199,幕间计算!$A$200:$A$1199,B72,幕间计算!$B$200:$B$1199,A72,幕间计算!$C$200:$C$1199,"魅力"))</f>
        <v/>
      </c>
      <c r="H72" s="131" t="str">
        <f>IF(幕间计算!GI72=0,"",SUMIFS(幕间计算!$E$200:$E$1199,幕间计算!$A$200:$A$1199,B72,幕间计算!$B$200:$B$1199,A72,幕间计算!$C$200:$C$1199,"崩溃点"))</f>
        <v/>
      </c>
      <c r="I72" s="131" t="str">
        <f>IF(幕间计算!GI72=0,"","暴力 "&amp;SUMIFS(幕间计算!$E$200:$E$1199,幕间计算!$A$200:$A$1199,B72,幕间计算!$B$200:$B$1199,A72,幕间计算!$C$200:$C$1199,"暴力进度")&amp;"／无力 "&amp;SUMIFS(幕间计算!$E$200:$E$1199,幕间计算!$A$200:$A$1199,B72,幕间计算!$B$200:$B$1199,A72,幕间计算!$C$200:$C$1199,"无力进度"))</f>
        <v/>
      </c>
      <c r="J72" s="131" t="str">
        <f>IF(幕间计算!GI72=0,"",INDEX(DGArchive[事件／活动],幕间计算!GI72))</f>
        <v/>
      </c>
      <c r="K72" s="131"/>
    </row>
    <row r="73" ht="36" customHeight="1" spans="1:11">
      <c r="A73" s="131" t="str">
        <f>IF(幕间计算!GI73=0,"",INDEX(DGArchive[阶段],幕间计算!GI73))</f>
        <v/>
      </c>
      <c r="B73" s="131" t="str">
        <f>IF(幕间计算!GI73=0,"",INDEX(DGArchive[模组],幕间计算!GI73))</f>
        <v/>
      </c>
      <c r="C73" s="143" t="str">
        <f>IF((IF(幕间计算!GI73=0,"",INDEX(DGArchive[游戏内日期],幕间计算!GI73)))=0,"",IF(幕间计算!GI73=0,"",INDEX(DGArchive[游戏内日期],幕间计算!GI73)))</f>
        <v/>
      </c>
      <c r="D73" s="131" t="str">
        <f>IF(幕间计算!GI73=0,"",SUMIFS(幕间计算!$E$200:$E$1199,幕间计算!$A$200:$A$1199,B73,幕间计算!$B$200:$B$1199,A73,幕间计算!$C$200:$C$1199,"理智"))</f>
        <v/>
      </c>
      <c r="E73" s="131" t="str">
        <f>IF(幕间计算!GI73=0,"",SUMIFS(幕间计算!$E$200:$E$1199,幕间计算!$A$200:$A$1199,B73,幕间计算!$B$200:$B$1199,A73,幕间计算!$C$200:$C$1199,"毅力"))</f>
        <v/>
      </c>
      <c r="F73" s="131" t="str">
        <f>IF(幕间计算!GI73=0,"",SUMIFS(幕间计算!$E$200:$E$1199,幕间计算!$A$200:$A$1199,B73,幕间计算!$B$200:$B$1199,A73,幕间计算!$C$200:$C$1199,"重要关系*"))</f>
        <v/>
      </c>
      <c r="G73" s="131" t="str">
        <f>IF(幕间计算!GI73=0,"",SUMIFS(幕间计算!$E$200:$E$1199,幕间计算!$A$200:$A$1199,B73,幕间计算!$B$200:$B$1199,A73,幕间计算!$C$200:$C$1199,"魅力"))</f>
        <v/>
      </c>
      <c r="H73" s="131" t="str">
        <f>IF(幕间计算!GI73=0,"",SUMIFS(幕间计算!$E$200:$E$1199,幕间计算!$A$200:$A$1199,B73,幕间计算!$B$200:$B$1199,A73,幕间计算!$C$200:$C$1199,"崩溃点"))</f>
        <v/>
      </c>
      <c r="I73" s="131" t="str">
        <f>IF(幕间计算!GI73=0,"","暴力 "&amp;SUMIFS(幕间计算!$E$200:$E$1199,幕间计算!$A$200:$A$1199,B73,幕间计算!$B$200:$B$1199,A73,幕间计算!$C$200:$C$1199,"暴力进度")&amp;"／无力 "&amp;SUMIFS(幕间计算!$E$200:$E$1199,幕间计算!$A$200:$A$1199,B73,幕间计算!$B$200:$B$1199,A73,幕间计算!$C$200:$C$1199,"无力进度"))</f>
        <v/>
      </c>
      <c r="J73" s="131" t="str">
        <f>IF(幕间计算!GI73=0,"",INDEX(DGArchive[事件／活动],幕间计算!GI73))</f>
        <v/>
      </c>
      <c r="K73" s="131"/>
    </row>
    <row r="74" ht="36" customHeight="1" spans="1:11">
      <c r="A74" s="131" t="str">
        <f>IF(幕间计算!GI74=0,"",INDEX(DGArchive[阶段],幕间计算!GI74))</f>
        <v/>
      </c>
      <c r="B74" s="131" t="str">
        <f>IF(幕间计算!GI74=0,"",INDEX(DGArchive[模组],幕间计算!GI74))</f>
        <v/>
      </c>
      <c r="C74" s="143" t="str">
        <f>IF((IF(幕间计算!GI74=0,"",INDEX(DGArchive[游戏内日期],幕间计算!GI74)))=0,"",IF(幕间计算!GI74=0,"",INDEX(DGArchive[游戏内日期],幕间计算!GI74)))</f>
        <v/>
      </c>
      <c r="D74" s="131" t="str">
        <f>IF(幕间计算!GI74=0,"",SUMIFS(幕间计算!$E$200:$E$1199,幕间计算!$A$200:$A$1199,B74,幕间计算!$B$200:$B$1199,A74,幕间计算!$C$200:$C$1199,"理智"))</f>
        <v/>
      </c>
      <c r="E74" s="131" t="str">
        <f>IF(幕间计算!GI74=0,"",SUMIFS(幕间计算!$E$200:$E$1199,幕间计算!$A$200:$A$1199,B74,幕间计算!$B$200:$B$1199,A74,幕间计算!$C$200:$C$1199,"毅力"))</f>
        <v/>
      </c>
      <c r="F74" s="131" t="str">
        <f>IF(幕间计算!GI74=0,"",SUMIFS(幕间计算!$E$200:$E$1199,幕间计算!$A$200:$A$1199,B74,幕间计算!$B$200:$B$1199,A74,幕间计算!$C$200:$C$1199,"重要关系*"))</f>
        <v/>
      </c>
      <c r="G74" s="131" t="str">
        <f>IF(幕间计算!GI74=0,"",SUMIFS(幕间计算!$E$200:$E$1199,幕间计算!$A$200:$A$1199,B74,幕间计算!$B$200:$B$1199,A74,幕间计算!$C$200:$C$1199,"魅力"))</f>
        <v/>
      </c>
      <c r="H74" s="131" t="str">
        <f>IF(幕间计算!GI74=0,"",SUMIFS(幕间计算!$E$200:$E$1199,幕间计算!$A$200:$A$1199,B74,幕间计算!$B$200:$B$1199,A74,幕间计算!$C$200:$C$1199,"崩溃点"))</f>
        <v/>
      </c>
      <c r="I74" s="131" t="str">
        <f>IF(幕间计算!GI74=0,"","暴力 "&amp;SUMIFS(幕间计算!$E$200:$E$1199,幕间计算!$A$200:$A$1199,B74,幕间计算!$B$200:$B$1199,A74,幕间计算!$C$200:$C$1199,"暴力进度")&amp;"／无力 "&amp;SUMIFS(幕间计算!$E$200:$E$1199,幕间计算!$A$200:$A$1199,B74,幕间计算!$B$200:$B$1199,A74,幕间计算!$C$200:$C$1199,"无力进度"))</f>
        <v/>
      </c>
      <c r="J74" s="131" t="str">
        <f>IF(幕间计算!GI74=0,"",INDEX(DGArchive[事件／活动],幕间计算!GI74))</f>
        <v/>
      </c>
      <c r="K74" s="131"/>
    </row>
    <row r="75" ht="36" customHeight="1" spans="1:11">
      <c r="A75" s="131" t="str">
        <f>IF(幕间计算!GI75=0,"",INDEX(DGArchive[阶段],幕间计算!GI75))</f>
        <v/>
      </c>
      <c r="B75" s="131" t="str">
        <f>IF(幕间计算!GI75=0,"",INDEX(DGArchive[模组],幕间计算!GI75))</f>
        <v/>
      </c>
      <c r="C75" s="143" t="str">
        <f>IF((IF(幕间计算!GI75=0,"",INDEX(DGArchive[游戏内日期],幕间计算!GI75)))=0,"",IF(幕间计算!GI75=0,"",INDEX(DGArchive[游戏内日期],幕间计算!GI75)))</f>
        <v/>
      </c>
      <c r="D75" s="131" t="str">
        <f>IF(幕间计算!GI75=0,"",SUMIFS(幕间计算!$E$200:$E$1199,幕间计算!$A$200:$A$1199,B75,幕间计算!$B$200:$B$1199,A75,幕间计算!$C$200:$C$1199,"理智"))</f>
        <v/>
      </c>
      <c r="E75" s="131" t="str">
        <f>IF(幕间计算!GI75=0,"",SUMIFS(幕间计算!$E$200:$E$1199,幕间计算!$A$200:$A$1199,B75,幕间计算!$B$200:$B$1199,A75,幕间计算!$C$200:$C$1199,"毅力"))</f>
        <v/>
      </c>
      <c r="F75" s="131" t="str">
        <f>IF(幕间计算!GI75=0,"",SUMIFS(幕间计算!$E$200:$E$1199,幕间计算!$A$200:$A$1199,B75,幕间计算!$B$200:$B$1199,A75,幕间计算!$C$200:$C$1199,"重要关系*"))</f>
        <v/>
      </c>
      <c r="G75" s="131" t="str">
        <f>IF(幕间计算!GI75=0,"",SUMIFS(幕间计算!$E$200:$E$1199,幕间计算!$A$200:$A$1199,B75,幕间计算!$B$200:$B$1199,A75,幕间计算!$C$200:$C$1199,"魅力"))</f>
        <v/>
      </c>
      <c r="H75" s="131" t="str">
        <f>IF(幕间计算!GI75=0,"",SUMIFS(幕间计算!$E$200:$E$1199,幕间计算!$A$200:$A$1199,B75,幕间计算!$B$200:$B$1199,A75,幕间计算!$C$200:$C$1199,"崩溃点"))</f>
        <v/>
      </c>
      <c r="I75" s="131" t="str">
        <f>IF(幕间计算!GI75=0,"","暴力 "&amp;SUMIFS(幕间计算!$E$200:$E$1199,幕间计算!$A$200:$A$1199,B75,幕间计算!$B$200:$B$1199,A75,幕间计算!$C$200:$C$1199,"暴力进度")&amp;"／无力 "&amp;SUMIFS(幕间计算!$E$200:$E$1199,幕间计算!$A$200:$A$1199,B75,幕间计算!$B$200:$B$1199,A75,幕间计算!$C$200:$C$1199,"无力进度"))</f>
        <v/>
      </c>
      <c r="J75" s="131" t="str">
        <f>IF(幕间计算!GI75=0,"",INDEX(DGArchive[事件／活动],幕间计算!GI75))</f>
        <v/>
      </c>
      <c r="K75" s="131"/>
    </row>
    <row r="76" ht="36" customHeight="1" spans="1:11">
      <c r="A76" s="131" t="str">
        <f>IF(幕间计算!GI76=0,"",INDEX(DGArchive[阶段],幕间计算!GI76))</f>
        <v/>
      </c>
      <c r="B76" s="131" t="str">
        <f>IF(幕间计算!GI76=0,"",INDEX(DGArchive[模组],幕间计算!GI76))</f>
        <v/>
      </c>
      <c r="C76" s="143" t="str">
        <f>IF((IF(幕间计算!GI76=0,"",INDEX(DGArchive[游戏内日期],幕间计算!GI76)))=0,"",IF(幕间计算!GI76=0,"",INDEX(DGArchive[游戏内日期],幕间计算!GI76)))</f>
        <v/>
      </c>
      <c r="D76" s="131" t="str">
        <f>IF(幕间计算!GI76=0,"",SUMIFS(幕间计算!$E$200:$E$1199,幕间计算!$A$200:$A$1199,B76,幕间计算!$B$200:$B$1199,A76,幕间计算!$C$200:$C$1199,"理智"))</f>
        <v/>
      </c>
      <c r="E76" s="131" t="str">
        <f>IF(幕间计算!GI76=0,"",SUMIFS(幕间计算!$E$200:$E$1199,幕间计算!$A$200:$A$1199,B76,幕间计算!$B$200:$B$1199,A76,幕间计算!$C$200:$C$1199,"毅力"))</f>
        <v/>
      </c>
      <c r="F76" s="131" t="str">
        <f>IF(幕间计算!GI76=0,"",SUMIFS(幕间计算!$E$200:$E$1199,幕间计算!$A$200:$A$1199,B76,幕间计算!$B$200:$B$1199,A76,幕间计算!$C$200:$C$1199,"重要关系*"))</f>
        <v/>
      </c>
      <c r="G76" s="131" t="str">
        <f>IF(幕间计算!GI76=0,"",SUMIFS(幕间计算!$E$200:$E$1199,幕间计算!$A$200:$A$1199,B76,幕间计算!$B$200:$B$1199,A76,幕间计算!$C$200:$C$1199,"魅力"))</f>
        <v/>
      </c>
      <c r="H76" s="131" t="str">
        <f>IF(幕间计算!GI76=0,"",SUMIFS(幕间计算!$E$200:$E$1199,幕间计算!$A$200:$A$1199,B76,幕间计算!$B$200:$B$1199,A76,幕间计算!$C$200:$C$1199,"崩溃点"))</f>
        <v/>
      </c>
      <c r="I76" s="131" t="str">
        <f>IF(幕间计算!GI76=0,"","暴力 "&amp;SUMIFS(幕间计算!$E$200:$E$1199,幕间计算!$A$200:$A$1199,B76,幕间计算!$B$200:$B$1199,A76,幕间计算!$C$200:$C$1199,"暴力进度")&amp;"／无力 "&amp;SUMIFS(幕间计算!$E$200:$E$1199,幕间计算!$A$200:$A$1199,B76,幕间计算!$B$200:$B$1199,A76,幕间计算!$C$200:$C$1199,"无力进度"))</f>
        <v/>
      </c>
      <c r="J76" s="131" t="str">
        <f>IF(幕间计算!GI76=0,"",INDEX(DGArchive[事件／活动],幕间计算!GI76))</f>
        <v/>
      </c>
      <c r="K76" s="131"/>
    </row>
    <row r="77" ht="36" customHeight="1" spans="1:11">
      <c r="A77" s="131" t="str">
        <f>IF(幕间计算!GI77=0,"",INDEX(DGArchive[阶段],幕间计算!GI77))</f>
        <v/>
      </c>
      <c r="B77" s="131" t="str">
        <f>IF(幕间计算!GI77=0,"",INDEX(DGArchive[模组],幕间计算!GI77))</f>
        <v/>
      </c>
      <c r="C77" s="143" t="str">
        <f>IF((IF(幕间计算!GI77=0,"",INDEX(DGArchive[游戏内日期],幕间计算!GI77)))=0,"",IF(幕间计算!GI77=0,"",INDEX(DGArchive[游戏内日期],幕间计算!GI77)))</f>
        <v/>
      </c>
      <c r="D77" s="131" t="str">
        <f>IF(幕间计算!GI77=0,"",SUMIFS(幕间计算!$E$200:$E$1199,幕间计算!$A$200:$A$1199,B77,幕间计算!$B$200:$B$1199,A77,幕间计算!$C$200:$C$1199,"理智"))</f>
        <v/>
      </c>
      <c r="E77" s="131" t="str">
        <f>IF(幕间计算!GI77=0,"",SUMIFS(幕间计算!$E$200:$E$1199,幕间计算!$A$200:$A$1199,B77,幕间计算!$B$200:$B$1199,A77,幕间计算!$C$200:$C$1199,"毅力"))</f>
        <v/>
      </c>
      <c r="F77" s="131" t="str">
        <f>IF(幕间计算!GI77=0,"",SUMIFS(幕间计算!$E$200:$E$1199,幕间计算!$A$200:$A$1199,B77,幕间计算!$B$200:$B$1199,A77,幕间计算!$C$200:$C$1199,"重要关系*"))</f>
        <v/>
      </c>
      <c r="G77" s="131" t="str">
        <f>IF(幕间计算!GI77=0,"",SUMIFS(幕间计算!$E$200:$E$1199,幕间计算!$A$200:$A$1199,B77,幕间计算!$B$200:$B$1199,A77,幕间计算!$C$200:$C$1199,"魅力"))</f>
        <v/>
      </c>
      <c r="H77" s="131" t="str">
        <f>IF(幕间计算!GI77=0,"",SUMIFS(幕间计算!$E$200:$E$1199,幕间计算!$A$200:$A$1199,B77,幕间计算!$B$200:$B$1199,A77,幕间计算!$C$200:$C$1199,"崩溃点"))</f>
        <v/>
      </c>
      <c r="I77" s="131" t="str">
        <f>IF(幕间计算!GI77=0,"","暴力 "&amp;SUMIFS(幕间计算!$E$200:$E$1199,幕间计算!$A$200:$A$1199,B77,幕间计算!$B$200:$B$1199,A77,幕间计算!$C$200:$C$1199,"暴力进度")&amp;"／无力 "&amp;SUMIFS(幕间计算!$E$200:$E$1199,幕间计算!$A$200:$A$1199,B77,幕间计算!$B$200:$B$1199,A77,幕间计算!$C$200:$C$1199,"无力进度"))</f>
        <v/>
      </c>
      <c r="J77" s="131" t="str">
        <f>IF(幕间计算!GI77=0,"",INDEX(DGArchive[事件／活动],幕间计算!GI77))</f>
        <v/>
      </c>
      <c r="K77" s="131"/>
    </row>
    <row r="78" ht="36" customHeight="1" spans="1:11">
      <c r="A78" s="131" t="str">
        <f>IF(幕间计算!GI78=0,"",INDEX(DGArchive[阶段],幕间计算!GI78))</f>
        <v/>
      </c>
      <c r="B78" s="131" t="str">
        <f>IF(幕间计算!GI78=0,"",INDEX(DGArchive[模组],幕间计算!GI78))</f>
        <v/>
      </c>
      <c r="C78" s="143" t="str">
        <f>IF((IF(幕间计算!GI78=0,"",INDEX(DGArchive[游戏内日期],幕间计算!GI78)))=0,"",IF(幕间计算!GI78=0,"",INDEX(DGArchive[游戏内日期],幕间计算!GI78)))</f>
        <v/>
      </c>
      <c r="D78" s="131" t="str">
        <f>IF(幕间计算!GI78=0,"",SUMIFS(幕间计算!$E$200:$E$1199,幕间计算!$A$200:$A$1199,B78,幕间计算!$B$200:$B$1199,A78,幕间计算!$C$200:$C$1199,"理智"))</f>
        <v/>
      </c>
      <c r="E78" s="131" t="str">
        <f>IF(幕间计算!GI78=0,"",SUMIFS(幕间计算!$E$200:$E$1199,幕间计算!$A$200:$A$1199,B78,幕间计算!$B$200:$B$1199,A78,幕间计算!$C$200:$C$1199,"毅力"))</f>
        <v/>
      </c>
      <c r="F78" s="131" t="str">
        <f>IF(幕间计算!GI78=0,"",SUMIFS(幕间计算!$E$200:$E$1199,幕间计算!$A$200:$A$1199,B78,幕间计算!$B$200:$B$1199,A78,幕间计算!$C$200:$C$1199,"重要关系*"))</f>
        <v/>
      </c>
      <c r="G78" s="131" t="str">
        <f>IF(幕间计算!GI78=0,"",SUMIFS(幕间计算!$E$200:$E$1199,幕间计算!$A$200:$A$1199,B78,幕间计算!$B$200:$B$1199,A78,幕间计算!$C$200:$C$1199,"魅力"))</f>
        <v/>
      </c>
      <c r="H78" s="131" t="str">
        <f>IF(幕间计算!GI78=0,"",SUMIFS(幕间计算!$E$200:$E$1199,幕间计算!$A$200:$A$1199,B78,幕间计算!$B$200:$B$1199,A78,幕间计算!$C$200:$C$1199,"崩溃点"))</f>
        <v/>
      </c>
      <c r="I78" s="131" t="str">
        <f>IF(幕间计算!GI78=0,"","暴力 "&amp;SUMIFS(幕间计算!$E$200:$E$1199,幕间计算!$A$200:$A$1199,B78,幕间计算!$B$200:$B$1199,A78,幕间计算!$C$200:$C$1199,"暴力进度")&amp;"／无力 "&amp;SUMIFS(幕间计算!$E$200:$E$1199,幕间计算!$A$200:$A$1199,B78,幕间计算!$B$200:$B$1199,A78,幕间计算!$C$200:$C$1199,"无力进度"))</f>
        <v/>
      </c>
      <c r="J78" s="131" t="str">
        <f>IF(幕间计算!GI78=0,"",INDEX(DGArchive[事件／活动],幕间计算!GI78))</f>
        <v/>
      </c>
      <c r="K78" s="131"/>
    </row>
    <row r="79" ht="36" customHeight="1" spans="1:11">
      <c r="A79" s="131" t="str">
        <f>IF(幕间计算!GI79=0,"",INDEX(DGArchive[阶段],幕间计算!GI79))</f>
        <v/>
      </c>
      <c r="B79" s="131" t="str">
        <f>IF(幕间计算!GI79=0,"",INDEX(DGArchive[模组],幕间计算!GI79))</f>
        <v/>
      </c>
      <c r="C79" s="143" t="str">
        <f>IF((IF(幕间计算!GI79=0,"",INDEX(DGArchive[游戏内日期],幕间计算!GI79)))=0,"",IF(幕间计算!GI79=0,"",INDEX(DGArchive[游戏内日期],幕间计算!GI79)))</f>
        <v/>
      </c>
      <c r="D79" s="131" t="str">
        <f>IF(幕间计算!GI79=0,"",SUMIFS(幕间计算!$E$200:$E$1199,幕间计算!$A$200:$A$1199,B79,幕间计算!$B$200:$B$1199,A79,幕间计算!$C$200:$C$1199,"理智"))</f>
        <v/>
      </c>
      <c r="E79" s="131" t="str">
        <f>IF(幕间计算!GI79=0,"",SUMIFS(幕间计算!$E$200:$E$1199,幕间计算!$A$200:$A$1199,B79,幕间计算!$B$200:$B$1199,A79,幕间计算!$C$200:$C$1199,"毅力"))</f>
        <v/>
      </c>
      <c r="F79" s="131" t="str">
        <f>IF(幕间计算!GI79=0,"",SUMIFS(幕间计算!$E$200:$E$1199,幕间计算!$A$200:$A$1199,B79,幕间计算!$B$200:$B$1199,A79,幕间计算!$C$200:$C$1199,"重要关系*"))</f>
        <v/>
      </c>
      <c r="G79" s="131" t="str">
        <f>IF(幕间计算!GI79=0,"",SUMIFS(幕间计算!$E$200:$E$1199,幕间计算!$A$200:$A$1199,B79,幕间计算!$B$200:$B$1199,A79,幕间计算!$C$200:$C$1199,"魅力"))</f>
        <v/>
      </c>
      <c r="H79" s="131" t="str">
        <f>IF(幕间计算!GI79=0,"",SUMIFS(幕间计算!$E$200:$E$1199,幕间计算!$A$200:$A$1199,B79,幕间计算!$B$200:$B$1199,A79,幕间计算!$C$200:$C$1199,"崩溃点"))</f>
        <v/>
      </c>
      <c r="I79" s="131" t="str">
        <f>IF(幕间计算!GI79=0,"","暴力 "&amp;SUMIFS(幕间计算!$E$200:$E$1199,幕间计算!$A$200:$A$1199,B79,幕间计算!$B$200:$B$1199,A79,幕间计算!$C$200:$C$1199,"暴力进度")&amp;"／无力 "&amp;SUMIFS(幕间计算!$E$200:$E$1199,幕间计算!$A$200:$A$1199,B79,幕间计算!$B$200:$B$1199,A79,幕间计算!$C$200:$C$1199,"无力进度"))</f>
        <v/>
      </c>
      <c r="J79" s="131" t="str">
        <f>IF(幕间计算!GI79=0,"",INDEX(DGArchive[事件／活动],幕间计算!GI79))</f>
        <v/>
      </c>
      <c r="K79" s="131"/>
    </row>
    <row r="80" ht="36" customHeight="1" spans="1:11">
      <c r="A80" s="131" t="str">
        <f>IF(幕间计算!GI80=0,"",INDEX(DGArchive[阶段],幕间计算!GI80))</f>
        <v/>
      </c>
      <c r="B80" s="131" t="str">
        <f>IF(幕间计算!GI80=0,"",INDEX(DGArchive[模组],幕间计算!GI80))</f>
        <v/>
      </c>
      <c r="C80" s="143" t="str">
        <f>IF((IF(幕间计算!GI80=0,"",INDEX(DGArchive[游戏内日期],幕间计算!GI80)))=0,"",IF(幕间计算!GI80=0,"",INDEX(DGArchive[游戏内日期],幕间计算!GI80)))</f>
        <v/>
      </c>
      <c r="D80" s="131" t="str">
        <f>IF(幕间计算!GI80=0,"",SUMIFS(幕间计算!$E$200:$E$1199,幕间计算!$A$200:$A$1199,B80,幕间计算!$B$200:$B$1199,A80,幕间计算!$C$200:$C$1199,"理智"))</f>
        <v/>
      </c>
      <c r="E80" s="131" t="str">
        <f>IF(幕间计算!GI80=0,"",SUMIFS(幕间计算!$E$200:$E$1199,幕间计算!$A$200:$A$1199,B80,幕间计算!$B$200:$B$1199,A80,幕间计算!$C$200:$C$1199,"毅力"))</f>
        <v/>
      </c>
      <c r="F80" s="131" t="str">
        <f>IF(幕间计算!GI80=0,"",SUMIFS(幕间计算!$E$200:$E$1199,幕间计算!$A$200:$A$1199,B80,幕间计算!$B$200:$B$1199,A80,幕间计算!$C$200:$C$1199,"重要关系*"))</f>
        <v/>
      </c>
      <c r="G80" s="131" t="str">
        <f>IF(幕间计算!GI80=0,"",SUMIFS(幕间计算!$E$200:$E$1199,幕间计算!$A$200:$A$1199,B80,幕间计算!$B$200:$B$1199,A80,幕间计算!$C$200:$C$1199,"魅力"))</f>
        <v/>
      </c>
      <c r="H80" s="131" t="str">
        <f>IF(幕间计算!GI80=0,"",SUMIFS(幕间计算!$E$200:$E$1199,幕间计算!$A$200:$A$1199,B80,幕间计算!$B$200:$B$1199,A80,幕间计算!$C$200:$C$1199,"崩溃点"))</f>
        <v/>
      </c>
      <c r="I80" s="131" t="str">
        <f>IF(幕间计算!GI80=0,"","暴力 "&amp;SUMIFS(幕间计算!$E$200:$E$1199,幕间计算!$A$200:$A$1199,B80,幕间计算!$B$200:$B$1199,A80,幕间计算!$C$200:$C$1199,"暴力进度")&amp;"／无力 "&amp;SUMIFS(幕间计算!$E$200:$E$1199,幕间计算!$A$200:$A$1199,B80,幕间计算!$B$200:$B$1199,A80,幕间计算!$C$200:$C$1199,"无力进度"))</f>
        <v/>
      </c>
      <c r="J80" s="131" t="str">
        <f>IF(幕间计算!GI80=0,"",INDEX(DGArchive[事件／活动],幕间计算!GI80))</f>
        <v/>
      </c>
      <c r="K80" s="131"/>
    </row>
    <row r="81" ht="36" customHeight="1" spans="1:11">
      <c r="A81" s="131" t="str">
        <f>IF(幕间计算!GI81=0,"",INDEX(DGArchive[阶段],幕间计算!GI81))</f>
        <v/>
      </c>
      <c r="B81" s="131" t="str">
        <f>IF(幕间计算!GI81=0,"",INDEX(DGArchive[模组],幕间计算!GI81))</f>
        <v/>
      </c>
      <c r="C81" s="143" t="str">
        <f>IF((IF(幕间计算!GI81=0,"",INDEX(DGArchive[游戏内日期],幕间计算!GI81)))=0,"",IF(幕间计算!GI81=0,"",INDEX(DGArchive[游戏内日期],幕间计算!GI81)))</f>
        <v/>
      </c>
      <c r="D81" s="131" t="str">
        <f>IF(幕间计算!GI81=0,"",SUMIFS(幕间计算!$E$200:$E$1199,幕间计算!$A$200:$A$1199,B81,幕间计算!$B$200:$B$1199,A81,幕间计算!$C$200:$C$1199,"理智"))</f>
        <v/>
      </c>
      <c r="E81" s="131" t="str">
        <f>IF(幕间计算!GI81=0,"",SUMIFS(幕间计算!$E$200:$E$1199,幕间计算!$A$200:$A$1199,B81,幕间计算!$B$200:$B$1199,A81,幕间计算!$C$200:$C$1199,"毅力"))</f>
        <v/>
      </c>
      <c r="F81" s="131" t="str">
        <f>IF(幕间计算!GI81=0,"",SUMIFS(幕间计算!$E$200:$E$1199,幕间计算!$A$200:$A$1199,B81,幕间计算!$B$200:$B$1199,A81,幕间计算!$C$200:$C$1199,"重要关系*"))</f>
        <v/>
      </c>
      <c r="G81" s="131" t="str">
        <f>IF(幕间计算!GI81=0,"",SUMIFS(幕间计算!$E$200:$E$1199,幕间计算!$A$200:$A$1199,B81,幕间计算!$B$200:$B$1199,A81,幕间计算!$C$200:$C$1199,"魅力"))</f>
        <v/>
      </c>
      <c r="H81" s="131" t="str">
        <f>IF(幕间计算!GI81=0,"",SUMIFS(幕间计算!$E$200:$E$1199,幕间计算!$A$200:$A$1199,B81,幕间计算!$B$200:$B$1199,A81,幕间计算!$C$200:$C$1199,"崩溃点"))</f>
        <v/>
      </c>
      <c r="I81" s="131" t="str">
        <f>IF(幕间计算!GI81=0,"","暴力 "&amp;SUMIFS(幕间计算!$E$200:$E$1199,幕间计算!$A$200:$A$1199,B81,幕间计算!$B$200:$B$1199,A81,幕间计算!$C$200:$C$1199,"暴力进度")&amp;"／无力 "&amp;SUMIFS(幕间计算!$E$200:$E$1199,幕间计算!$A$200:$A$1199,B81,幕间计算!$B$200:$B$1199,A81,幕间计算!$C$200:$C$1199,"无力进度"))</f>
        <v/>
      </c>
      <c r="J81" s="131" t="str">
        <f>IF(幕间计算!GI81=0,"",INDEX(DGArchive[事件／活动],幕间计算!GI81))</f>
        <v/>
      </c>
      <c r="K81" s="131"/>
    </row>
    <row r="82" ht="36" customHeight="1" spans="1:11">
      <c r="A82" s="131" t="str">
        <f>IF(幕间计算!GI82=0,"",INDEX(DGArchive[阶段],幕间计算!GI82))</f>
        <v/>
      </c>
      <c r="B82" s="131" t="str">
        <f>IF(幕间计算!GI82=0,"",INDEX(DGArchive[模组],幕间计算!GI82))</f>
        <v/>
      </c>
      <c r="C82" s="143" t="str">
        <f>IF((IF(幕间计算!GI82=0,"",INDEX(DGArchive[游戏内日期],幕间计算!GI82)))=0,"",IF(幕间计算!GI82=0,"",INDEX(DGArchive[游戏内日期],幕间计算!GI82)))</f>
        <v/>
      </c>
      <c r="D82" s="131" t="str">
        <f>IF(幕间计算!GI82=0,"",SUMIFS(幕间计算!$E$200:$E$1199,幕间计算!$A$200:$A$1199,B82,幕间计算!$B$200:$B$1199,A82,幕间计算!$C$200:$C$1199,"理智"))</f>
        <v/>
      </c>
      <c r="E82" s="131" t="str">
        <f>IF(幕间计算!GI82=0,"",SUMIFS(幕间计算!$E$200:$E$1199,幕间计算!$A$200:$A$1199,B82,幕间计算!$B$200:$B$1199,A82,幕间计算!$C$200:$C$1199,"毅力"))</f>
        <v/>
      </c>
      <c r="F82" s="131" t="str">
        <f>IF(幕间计算!GI82=0,"",SUMIFS(幕间计算!$E$200:$E$1199,幕间计算!$A$200:$A$1199,B82,幕间计算!$B$200:$B$1199,A82,幕间计算!$C$200:$C$1199,"重要关系*"))</f>
        <v/>
      </c>
      <c r="G82" s="131" t="str">
        <f>IF(幕间计算!GI82=0,"",SUMIFS(幕间计算!$E$200:$E$1199,幕间计算!$A$200:$A$1199,B82,幕间计算!$B$200:$B$1199,A82,幕间计算!$C$200:$C$1199,"魅力"))</f>
        <v/>
      </c>
      <c r="H82" s="131" t="str">
        <f>IF(幕间计算!GI82=0,"",SUMIFS(幕间计算!$E$200:$E$1199,幕间计算!$A$200:$A$1199,B82,幕间计算!$B$200:$B$1199,A82,幕间计算!$C$200:$C$1199,"崩溃点"))</f>
        <v/>
      </c>
      <c r="I82" s="131" t="str">
        <f>IF(幕间计算!GI82=0,"","暴力 "&amp;SUMIFS(幕间计算!$E$200:$E$1199,幕间计算!$A$200:$A$1199,B82,幕间计算!$B$200:$B$1199,A82,幕间计算!$C$200:$C$1199,"暴力进度")&amp;"／无力 "&amp;SUMIFS(幕间计算!$E$200:$E$1199,幕间计算!$A$200:$A$1199,B82,幕间计算!$B$200:$B$1199,A82,幕间计算!$C$200:$C$1199,"无力进度"))</f>
        <v/>
      </c>
      <c r="J82" s="131" t="str">
        <f>IF(幕间计算!GI82=0,"",INDEX(DGArchive[事件／活动],幕间计算!GI82))</f>
        <v/>
      </c>
      <c r="K82" s="131"/>
    </row>
    <row r="83" ht="36" customHeight="1" spans="1:11">
      <c r="A83" s="131" t="str">
        <f>IF(幕间计算!GI83=0,"",INDEX(DGArchive[阶段],幕间计算!GI83))</f>
        <v/>
      </c>
      <c r="B83" s="131" t="str">
        <f>IF(幕间计算!GI83=0,"",INDEX(DGArchive[模组],幕间计算!GI83))</f>
        <v/>
      </c>
      <c r="C83" s="143" t="str">
        <f>IF((IF(幕间计算!GI83=0,"",INDEX(DGArchive[游戏内日期],幕间计算!GI83)))=0,"",IF(幕间计算!GI83=0,"",INDEX(DGArchive[游戏内日期],幕间计算!GI83)))</f>
        <v/>
      </c>
      <c r="D83" s="131" t="str">
        <f>IF(幕间计算!GI83=0,"",SUMIFS(幕间计算!$E$200:$E$1199,幕间计算!$A$200:$A$1199,B83,幕间计算!$B$200:$B$1199,A83,幕间计算!$C$200:$C$1199,"理智"))</f>
        <v/>
      </c>
      <c r="E83" s="131" t="str">
        <f>IF(幕间计算!GI83=0,"",SUMIFS(幕间计算!$E$200:$E$1199,幕间计算!$A$200:$A$1199,B83,幕间计算!$B$200:$B$1199,A83,幕间计算!$C$200:$C$1199,"毅力"))</f>
        <v/>
      </c>
      <c r="F83" s="131" t="str">
        <f>IF(幕间计算!GI83=0,"",SUMIFS(幕间计算!$E$200:$E$1199,幕间计算!$A$200:$A$1199,B83,幕间计算!$B$200:$B$1199,A83,幕间计算!$C$200:$C$1199,"重要关系*"))</f>
        <v/>
      </c>
      <c r="G83" s="131" t="str">
        <f>IF(幕间计算!GI83=0,"",SUMIFS(幕间计算!$E$200:$E$1199,幕间计算!$A$200:$A$1199,B83,幕间计算!$B$200:$B$1199,A83,幕间计算!$C$200:$C$1199,"魅力"))</f>
        <v/>
      </c>
      <c r="H83" s="131" t="str">
        <f>IF(幕间计算!GI83=0,"",SUMIFS(幕间计算!$E$200:$E$1199,幕间计算!$A$200:$A$1199,B83,幕间计算!$B$200:$B$1199,A83,幕间计算!$C$200:$C$1199,"崩溃点"))</f>
        <v/>
      </c>
      <c r="I83" s="131" t="str">
        <f>IF(幕间计算!GI83=0,"","暴力 "&amp;SUMIFS(幕间计算!$E$200:$E$1199,幕间计算!$A$200:$A$1199,B83,幕间计算!$B$200:$B$1199,A83,幕间计算!$C$200:$C$1199,"暴力进度")&amp;"／无力 "&amp;SUMIFS(幕间计算!$E$200:$E$1199,幕间计算!$A$200:$A$1199,B83,幕间计算!$B$200:$B$1199,A83,幕间计算!$C$200:$C$1199,"无力进度"))</f>
        <v/>
      </c>
      <c r="J83" s="131" t="str">
        <f>IF(幕间计算!GI83=0,"",INDEX(DGArchive[事件／活动],幕间计算!GI83))</f>
        <v/>
      </c>
      <c r="K83" s="131"/>
    </row>
    <row r="84" ht="36" customHeight="1" spans="1:11">
      <c r="A84" s="131" t="str">
        <f>IF(幕间计算!GI84=0,"",INDEX(DGArchive[阶段],幕间计算!GI84))</f>
        <v/>
      </c>
      <c r="B84" s="131" t="str">
        <f>IF(幕间计算!GI84=0,"",INDEX(DGArchive[模组],幕间计算!GI84))</f>
        <v/>
      </c>
      <c r="C84" s="143" t="str">
        <f>IF((IF(幕间计算!GI84=0,"",INDEX(DGArchive[游戏内日期],幕间计算!GI84)))=0,"",IF(幕间计算!GI84=0,"",INDEX(DGArchive[游戏内日期],幕间计算!GI84)))</f>
        <v/>
      </c>
      <c r="D84" s="131" t="str">
        <f>IF(幕间计算!GI84=0,"",SUMIFS(幕间计算!$E$200:$E$1199,幕间计算!$A$200:$A$1199,B84,幕间计算!$B$200:$B$1199,A84,幕间计算!$C$200:$C$1199,"理智"))</f>
        <v/>
      </c>
      <c r="E84" s="131" t="str">
        <f>IF(幕间计算!GI84=0,"",SUMIFS(幕间计算!$E$200:$E$1199,幕间计算!$A$200:$A$1199,B84,幕间计算!$B$200:$B$1199,A84,幕间计算!$C$200:$C$1199,"毅力"))</f>
        <v/>
      </c>
      <c r="F84" s="131" t="str">
        <f>IF(幕间计算!GI84=0,"",SUMIFS(幕间计算!$E$200:$E$1199,幕间计算!$A$200:$A$1199,B84,幕间计算!$B$200:$B$1199,A84,幕间计算!$C$200:$C$1199,"重要关系*"))</f>
        <v/>
      </c>
      <c r="G84" s="131" t="str">
        <f>IF(幕间计算!GI84=0,"",SUMIFS(幕间计算!$E$200:$E$1199,幕间计算!$A$200:$A$1199,B84,幕间计算!$B$200:$B$1199,A84,幕间计算!$C$200:$C$1199,"魅力"))</f>
        <v/>
      </c>
      <c r="H84" s="131" t="str">
        <f>IF(幕间计算!GI84=0,"",SUMIFS(幕间计算!$E$200:$E$1199,幕间计算!$A$200:$A$1199,B84,幕间计算!$B$200:$B$1199,A84,幕间计算!$C$200:$C$1199,"崩溃点"))</f>
        <v/>
      </c>
      <c r="I84" s="131" t="str">
        <f>IF(幕间计算!GI84=0,"","暴力 "&amp;SUMIFS(幕间计算!$E$200:$E$1199,幕间计算!$A$200:$A$1199,B84,幕间计算!$B$200:$B$1199,A84,幕间计算!$C$200:$C$1199,"暴力进度")&amp;"／无力 "&amp;SUMIFS(幕间计算!$E$200:$E$1199,幕间计算!$A$200:$A$1199,B84,幕间计算!$B$200:$B$1199,A84,幕间计算!$C$200:$C$1199,"无力进度"))</f>
        <v/>
      </c>
      <c r="J84" s="131" t="str">
        <f>IF(幕间计算!GI84=0,"",INDEX(DGArchive[事件／活动],幕间计算!GI84))</f>
        <v/>
      </c>
      <c r="K84" s="131"/>
    </row>
    <row r="85" ht="36" customHeight="1" spans="1:11">
      <c r="A85" s="131" t="str">
        <f>IF(幕间计算!GI85=0,"",INDEX(DGArchive[阶段],幕间计算!GI85))</f>
        <v/>
      </c>
      <c r="B85" s="131" t="str">
        <f>IF(幕间计算!GI85=0,"",INDEX(DGArchive[模组],幕间计算!GI85))</f>
        <v/>
      </c>
      <c r="C85" s="143" t="str">
        <f>IF((IF(幕间计算!GI85=0,"",INDEX(DGArchive[游戏内日期],幕间计算!GI85)))=0,"",IF(幕间计算!GI85=0,"",INDEX(DGArchive[游戏内日期],幕间计算!GI85)))</f>
        <v/>
      </c>
      <c r="D85" s="131" t="str">
        <f>IF(幕间计算!GI85=0,"",SUMIFS(幕间计算!$E$200:$E$1199,幕间计算!$A$200:$A$1199,B85,幕间计算!$B$200:$B$1199,A85,幕间计算!$C$200:$C$1199,"理智"))</f>
        <v/>
      </c>
      <c r="E85" s="131" t="str">
        <f>IF(幕间计算!GI85=0,"",SUMIFS(幕间计算!$E$200:$E$1199,幕间计算!$A$200:$A$1199,B85,幕间计算!$B$200:$B$1199,A85,幕间计算!$C$200:$C$1199,"毅力"))</f>
        <v/>
      </c>
      <c r="F85" s="131" t="str">
        <f>IF(幕间计算!GI85=0,"",SUMIFS(幕间计算!$E$200:$E$1199,幕间计算!$A$200:$A$1199,B85,幕间计算!$B$200:$B$1199,A85,幕间计算!$C$200:$C$1199,"重要关系*"))</f>
        <v/>
      </c>
      <c r="G85" s="131" t="str">
        <f>IF(幕间计算!GI85=0,"",SUMIFS(幕间计算!$E$200:$E$1199,幕间计算!$A$200:$A$1199,B85,幕间计算!$B$200:$B$1199,A85,幕间计算!$C$200:$C$1199,"魅力"))</f>
        <v/>
      </c>
      <c r="H85" s="131" t="str">
        <f>IF(幕间计算!GI85=0,"",SUMIFS(幕间计算!$E$200:$E$1199,幕间计算!$A$200:$A$1199,B85,幕间计算!$B$200:$B$1199,A85,幕间计算!$C$200:$C$1199,"崩溃点"))</f>
        <v/>
      </c>
      <c r="I85" s="131" t="str">
        <f>IF(幕间计算!GI85=0,"","暴力 "&amp;SUMIFS(幕间计算!$E$200:$E$1199,幕间计算!$A$200:$A$1199,B85,幕间计算!$B$200:$B$1199,A85,幕间计算!$C$200:$C$1199,"暴力进度")&amp;"／无力 "&amp;SUMIFS(幕间计算!$E$200:$E$1199,幕间计算!$A$200:$A$1199,B85,幕间计算!$B$200:$B$1199,A85,幕间计算!$C$200:$C$1199,"无力进度"))</f>
        <v/>
      </c>
      <c r="J85" s="131" t="str">
        <f>IF(幕间计算!GI85=0,"",INDEX(DGArchive[事件／活动],幕间计算!GI85))</f>
        <v/>
      </c>
      <c r="K85" s="131"/>
    </row>
    <row r="86" ht="36" customHeight="1" spans="1:11">
      <c r="A86" s="131" t="str">
        <f>IF(幕间计算!GI86=0,"",INDEX(DGArchive[阶段],幕间计算!GI86))</f>
        <v/>
      </c>
      <c r="B86" s="131" t="str">
        <f>IF(幕间计算!GI86=0,"",INDEX(DGArchive[模组],幕间计算!GI86))</f>
        <v/>
      </c>
      <c r="C86" s="143" t="str">
        <f>IF((IF(幕间计算!GI86=0,"",INDEX(DGArchive[游戏内日期],幕间计算!GI86)))=0,"",IF(幕间计算!GI86=0,"",INDEX(DGArchive[游戏内日期],幕间计算!GI86)))</f>
        <v/>
      </c>
      <c r="D86" s="131" t="str">
        <f>IF(幕间计算!GI86=0,"",SUMIFS(幕间计算!$E$200:$E$1199,幕间计算!$A$200:$A$1199,B86,幕间计算!$B$200:$B$1199,A86,幕间计算!$C$200:$C$1199,"理智"))</f>
        <v/>
      </c>
      <c r="E86" s="131" t="str">
        <f>IF(幕间计算!GI86=0,"",SUMIFS(幕间计算!$E$200:$E$1199,幕间计算!$A$200:$A$1199,B86,幕间计算!$B$200:$B$1199,A86,幕间计算!$C$200:$C$1199,"毅力"))</f>
        <v/>
      </c>
      <c r="F86" s="131" t="str">
        <f>IF(幕间计算!GI86=0,"",SUMIFS(幕间计算!$E$200:$E$1199,幕间计算!$A$200:$A$1199,B86,幕间计算!$B$200:$B$1199,A86,幕间计算!$C$200:$C$1199,"重要关系*"))</f>
        <v/>
      </c>
      <c r="G86" s="131" t="str">
        <f>IF(幕间计算!GI86=0,"",SUMIFS(幕间计算!$E$200:$E$1199,幕间计算!$A$200:$A$1199,B86,幕间计算!$B$200:$B$1199,A86,幕间计算!$C$200:$C$1199,"魅力"))</f>
        <v/>
      </c>
      <c r="H86" s="131" t="str">
        <f>IF(幕间计算!GI86=0,"",SUMIFS(幕间计算!$E$200:$E$1199,幕间计算!$A$200:$A$1199,B86,幕间计算!$B$200:$B$1199,A86,幕间计算!$C$200:$C$1199,"崩溃点"))</f>
        <v/>
      </c>
      <c r="I86" s="131" t="str">
        <f>IF(幕间计算!GI86=0,"","暴力 "&amp;SUMIFS(幕间计算!$E$200:$E$1199,幕间计算!$A$200:$A$1199,B86,幕间计算!$B$200:$B$1199,A86,幕间计算!$C$200:$C$1199,"暴力进度")&amp;"／无力 "&amp;SUMIFS(幕间计算!$E$200:$E$1199,幕间计算!$A$200:$A$1199,B86,幕间计算!$B$200:$B$1199,A86,幕间计算!$C$200:$C$1199,"无力进度"))</f>
        <v/>
      </c>
      <c r="J86" s="131" t="str">
        <f>IF(幕间计算!GI86=0,"",INDEX(DGArchive[事件／活动],幕间计算!GI86))</f>
        <v/>
      </c>
      <c r="K86" s="131"/>
    </row>
    <row r="87" ht="36" customHeight="1" spans="1:11">
      <c r="A87" s="131" t="str">
        <f>IF(幕间计算!GI87=0,"",INDEX(DGArchive[阶段],幕间计算!GI87))</f>
        <v/>
      </c>
      <c r="B87" s="131" t="str">
        <f>IF(幕间计算!GI87=0,"",INDEX(DGArchive[模组],幕间计算!GI87))</f>
        <v/>
      </c>
      <c r="C87" s="143" t="str">
        <f>IF((IF(幕间计算!GI87=0,"",INDEX(DGArchive[游戏内日期],幕间计算!GI87)))=0,"",IF(幕间计算!GI87=0,"",INDEX(DGArchive[游戏内日期],幕间计算!GI87)))</f>
        <v/>
      </c>
      <c r="D87" s="131" t="str">
        <f>IF(幕间计算!GI87=0,"",SUMIFS(幕间计算!$E$200:$E$1199,幕间计算!$A$200:$A$1199,B87,幕间计算!$B$200:$B$1199,A87,幕间计算!$C$200:$C$1199,"理智"))</f>
        <v/>
      </c>
      <c r="E87" s="131" t="str">
        <f>IF(幕间计算!GI87=0,"",SUMIFS(幕间计算!$E$200:$E$1199,幕间计算!$A$200:$A$1199,B87,幕间计算!$B$200:$B$1199,A87,幕间计算!$C$200:$C$1199,"毅力"))</f>
        <v/>
      </c>
      <c r="F87" s="131" t="str">
        <f>IF(幕间计算!GI87=0,"",SUMIFS(幕间计算!$E$200:$E$1199,幕间计算!$A$200:$A$1199,B87,幕间计算!$B$200:$B$1199,A87,幕间计算!$C$200:$C$1199,"重要关系*"))</f>
        <v/>
      </c>
      <c r="G87" s="131" t="str">
        <f>IF(幕间计算!GI87=0,"",SUMIFS(幕间计算!$E$200:$E$1199,幕间计算!$A$200:$A$1199,B87,幕间计算!$B$200:$B$1199,A87,幕间计算!$C$200:$C$1199,"魅力"))</f>
        <v/>
      </c>
      <c r="H87" s="131" t="str">
        <f>IF(幕间计算!GI87=0,"",SUMIFS(幕间计算!$E$200:$E$1199,幕间计算!$A$200:$A$1199,B87,幕间计算!$B$200:$B$1199,A87,幕间计算!$C$200:$C$1199,"崩溃点"))</f>
        <v/>
      </c>
      <c r="I87" s="131" t="str">
        <f>IF(幕间计算!GI87=0,"","暴力 "&amp;SUMIFS(幕间计算!$E$200:$E$1199,幕间计算!$A$200:$A$1199,B87,幕间计算!$B$200:$B$1199,A87,幕间计算!$C$200:$C$1199,"暴力进度")&amp;"／无力 "&amp;SUMIFS(幕间计算!$E$200:$E$1199,幕间计算!$A$200:$A$1199,B87,幕间计算!$B$200:$B$1199,A87,幕间计算!$C$200:$C$1199,"无力进度"))</f>
        <v/>
      </c>
      <c r="J87" s="131" t="str">
        <f>IF(幕间计算!GI87=0,"",INDEX(DGArchive[事件／活动],幕间计算!GI87))</f>
        <v/>
      </c>
      <c r="K87" s="131"/>
    </row>
    <row r="88" ht="36" customHeight="1" spans="1:11">
      <c r="A88" s="131" t="str">
        <f>IF(幕间计算!GI88=0,"",INDEX(DGArchive[阶段],幕间计算!GI88))</f>
        <v/>
      </c>
      <c r="B88" s="131" t="str">
        <f>IF(幕间计算!GI88=0,"",INDEX(DGArchive[模组],幕间计算!GI88))</f>
        <v/>
      </c>
      <c r="C88" s="143" t="str">
        <f>IF((IF(幕间计算!GI88=0,"",INDEX(DGArchive[游戏内日期],幕间计算!GI88)))=0,"",IF(幕间计算!GI88=0,"",INDEX(DGArchive[游戏内日期],幕间计算!GI88)))</f>
        <v/>
      </c>
      <c r="D88" s="131" t="str">
        <f>IF(幕间计算!GI88=0,"",SUMIFS(幕间计算!$E$200:$E$1199,幕间计算!$A$200:$A$1199,B88,幕间计算!$B$200:$B$1199,A88,幕间计算!$C$200:$C$1199,"理智"))</f>
        <v/>
      </c>
      <c r="E88" s="131" t="str">
        <f>IF(幕间计算!GI88=0,"",SUMIFS(幕间计算!$E$200:$E$1199,幕间计算!$A$200:$A$1199,B88,幕间计算!$B$200:$B$1199,A88,幕间计算!$C$200:$C$1199,"毅力"))</f>
        <v/>
      </c>
      <c r="F88" s="131" t="str">
        <f>IF(幕间计算!GI88=0,"",SUMIFS(幕间计算!$E$200:$E$1199,幕间计算!$A$200:$A$1199,B88,幕间计算!$B$200:$B$1199,A88,幕间计算!$C$200:$C$1199,"重要关系*"))</f>
        <v/>
      </c>
      <c r="G88" s="131" t="str">
        <f>IF(幕间计算!GI88=0,"",SUMIFS(幕间计算!$E$200:$E$1199,幕间计算!$A$200:$A$1199,B88,幕间计算!$B$200:$B$1199,A88,幕间计算!$C$200:$C$1199,"魅力"))</f>
        <v/>
      </c>
      <c r="H88" s="131" t="str">
        <f>IF(幕间计算!GI88=0,"",SUMIFS(幕间计算!$E$200:$E$1199,幕间计算!$A$200:$A$1199,B88,幕间计算!$B$200:$B$1199,A88,幕间计算!$C$200:$C$1199,"崩溃点"))</f>
        <v/>
      </c>
      <c r="I88" s="131" t="str">
        <f>IF(幕间计算!GI88=0,"","暴力 "&amp;SUMIFS(幕间计算!$E$200:$E$1199,幕间计算!$A$200:$A$1199,B88,幕间计算!$B$200:$B$1199,A88,幕间计算!$C$200:$C$1199,"暴力进度")&amp;"／无力 "&amp;SUMIFS(幕间计算!$E$200:$E$1199,幕间计算!$A$200:$A$1199,B88,幕间计算!$B$200:$B$1199,A88,幕间计算!$C$200:$C$1199,"无力进度"))</f>
        <v/>
      </c>
      <c r="J88" s="131" t="str">
        <f>IF(幕间计算!GI88=0,"",INDEX(DGArchive[事件／活动],幕间计算!GI88))</f>
        <v/>
      </c>
      <c r="K88" s="131"/>
    </row>
    <row r="89" ht="36" customHeight="1" spans="1:11">
      <c r="A89" s="131" t="str">
        <f>IF(幕间计算!GI89=0,"",INDEX(DGArchive[阶段],幕间计算!GI89))</f>
        <v/>
      </c>
      <c r="B89" s="131" t="str">
        <f>IF(幕间计算!GI89=0,"",INDEX(DGArchive[模组],幕间计算!GI89))</f>
        <v/>
      </c>
      <c r="C89" s="143" t="str">
        <f>IF((IF(幕间计算!GI89=0,"",INDEX(DGArchive[游戏内日期],幕间计算!GI89)))=0,"",IF(幕间计算!GI89=0,"",INDEX(DGArchive[游戏内日期],幕间计算!GI89)))</f>
        <v/>
      </c>
      <c r="D89" s="131" t="str">
        <f>IF(幕间计算!GI89=0,"",SUMIFS(幕间计算!$E$200:$E$1199,幕间计算!$A$200:$A$1199,B89,幕间计算!$B$200:$B$1199,A89,幕间计算!$C$200:$C$1199,"理智"))</f>
        <v/>
      </c>
      <c r="E89" s="131" t="str">
        <f>IF(幕间计算!GI89=0,"",SUMIFS(幕间计算!$E$200:$E$1199,幕间计算!$A$200:$A$1199,B89,幕间计算!$B$200:$B$1199,A89,幕间计算!$C$200:$C$1199,"毅力"))</f>
        <v/>
      </c>
      <c r="F89" s="131" t="str">
        <f>IF(幕间计算!GI89=0,"",SUMIFS(幕间计算!$E$200:$E$1199,幕间计算!$A$200:$A$1199,B89,幕间计算!$B$200:$B$1199,A89,幕间计算!$C$200:$C$1199,"重要关系*"))</f>
        <v/>
      </c>
      <c r="G89" s="131" t="str">
        <f>IF(幕间计算!GI89=0,"",SUMIFS(幕间计算!$E$200:$E$1199,幕间计算!$A$200:$A$1199,B89,幕间计算!$B$200:$B$1199,A89,幕间计算!$C$200:$C$1199,"魅力"))</f>
        <v/>
      </c>
      <c r="H89" s="131" t="str">
        <f>IF(幕间计算!GI89=0,"",SUMIFS(幕间计算!$E$200:$E$1199,幕间计算!$A$200:$A$1199,B89,幕间计算!$B$200:$B$1199,A89,幕间计算!$C$200:$C$1199,"崩溃点"))</f>
        <v/>
      </c>
      <c r="I89" s="131" t="str">
        <f>IF(幕间计算!GI89=0,"","暴力 "&amp;SUMIFS(幕间计算!$E$200:$E$1199,幕间计算!$A$200:$A$1199,B89,幕间计算!$B$200:$B$1199,A89,幕间计算!$C$200:$C$1199,"暴力进度")&amp;"／无力 "&amp;SUMIFS(幕间计算!$E$200:$E$1199,幕间计算!$A$200:$A$1199,B89,幕间计算!$B$200:$B$1199,A89,幕间计算!$C$200:$C$1199,"无力进度"))</f>
        <v/>
      </c>
      <c r="J89" s="131" t="str">
        <f>IF(幕间计算!GI89=0,"",INDEX(DGArchive[事件／活动],幕间计算!GI89))</f>
        <v/>
      </c>
      <c r="K89" s="131"/>
    </row>
    <row r="90" ht="36" customHeight="1" spans="1:11">
      <c r="A90" s="131" t="str">
        <f>IF(幕间计算!GI90=0,"",INDEX(DGArchive[阶段],幕间计算!GI90))</f>
        <v/>
      </c>
      <c r="B90" s="131" t="str">
        <f>IF(幕间计算!GI90=0,"",INDEX(DGArchive[模组],幕间计算!GI90))</f>
        <v/>
      </c>
      <c r="C90" s="143" t="str">
        <f>IF((IF(幕间计算!GI90=0,"",INDEX(DGArchive[游戏内日期],幕间计算!GI90)))=0,"",IF(幕间计算!GI90=0,"",INDEX(DGArchive[游戏内日期],幕间计算!GI90)))</f>
        <v/>
      </c>
      <c r="D90" s="131" t="str">
        <f>IF(幕间计算!GI90=0,"",SUMIFS(幕间计算!$E$200:$E$1199,幕间计算!$A$200:$A$1199,B90,幕间计算!$B$200:$B$1199,A90,幕间计算!$C$200:$C$1199,"理智"))</f>
        <v/>
      </c>
      <c r="E90" s="131" t="str">
        <f>IF(幕间计算!GI90=0,"",SUMIFS(幕间计算!$E$200:$E$1199,幕间计算!$A$200:$A$1199,B90,幕间计算!$B$200:$B$1199,A90,幕间计算!$C$200:$C$1199,"毅力"))</f>
        <v/>
      </c>
      <c r="F90" s="131" t="str">
        <f>IF(幕间计算!GI90=0,"",SUMIFS(幕间计算!$E$200:$E$1199,幕间计算!$A$200:$A$1199,B90,幕间计算!$B$200:$B$1199,A90,幕间计算!$C$200:$C$1199,"重要关系*"))</f>
        <v/>
      </c>
      <c r="G90" s="131" t="str">
        <f>IF(幕间计算!GI90=0,"",SUMIFS(幕间计算!$E$200:$E$1199,幕间计算!$A$200:$A$1199,B90,幕间计算!$B$200:$B$1199,A90,幕间计算!$C$200:$C$1199,"魅力"))</f>
        <v/>
      </c>
      <c r="H90" s="131" t="str">
        <f>IF(幕间计算!GI90=0,"",SUMIFS(幕间计算!$E$200:$E$1199,幕间计算!$A$200:$A$1199,B90,幕间计算!$B$200:$B$1199,A90,幕间计算!$C$200:$C$1199,"崩溃点"))</f>
        <v/>
      </c>
      <c r="I90" s="131" t="str">
        <f>IF(幕间计算!GI90=0,"","暴力 "&amp;SUMIFS(幕间计算!$E$200:$E$1199,幕间计算!$A$200:$A$1199,B90,幕间计算!$B$200:$B$1199,A90,幕间计算!$C$200:$C$1199,"暴力进度")&amp;"／无力 "&amp;SUMIFS(幕间计算!$E$200:$E$1199,幕间计算!$A$200:$A$1199,B90,幕间计算!$B$200:$B$1199,A90,幕间计算!$C$200:$C$1199,"无力进度"))</f>
        <v/>
      </c>
      <c r="J90" s="131" t="str">
        <f>IF(幕间计算!GI90=0,"",INDEX(DGArchive[事件／活动],幕间计算!GI90))</f>
        <v/>
      </c>
      <c r="K90" s="131"/>
    </row>
    <row r="91" ht="36" customHeight="1" spans="1:11">
      <c r="A91" s="131" t="str">
        <f>IF(幕间计算!GI91=0,"",INDEX(DGArchive[阶段],幕间计算!GI91))</f>
        <v/>
      </c>
      <c r="B91" s="131" t="str">
        <f>IF(幕间计算!GI91=0,"",INDEX(DGArchive[模组],幕间计算!GI91))</f>
        <v/>
      </c>
      <c r="C91" s="143" t="str">
        <f>IF((IF(幕间计算!GI91=0,"",INDEX(DGArchive[游戏内日期],幕间计算!GI91)))=0,"",IF(幕间计算!GI91=0,"",INDEX(DGArchive[游戏内日期],幕间计算!GI91)))</f>
        <v/>
      </c>
      <c r="D91" s="131" t="str">
        <f>IF(幕间计算!GI91=0,"",SUMIFS(幕间计算!$E$200:$E$1199,幕间计算!$A$200:$A$1199,B91,幕间计算!$B$200:$B$1199,A91,幕间计算!$C$200:$C$1199,"理智"))</f>
        <v/>
      </c>
      <c r="E91" s="131" t="str">
        <f>IF(幕间计算!GI91=0,"",SUMIFS(幕间计算!$E$200:$E$1199,幕间计算!$A$200:$A$1199,B91,幕间计算!$B$200:$B$1199,A91,幕间计算!$C$200:$C$1199,"毅力"))</f>
        <v/>
      </c>
      <c r="F91" s="131" t="str">
        <f>IF(幕间计算!GI91=0,"",SUMIFS(幕间计算!$E$200:$E$1199,幕间计算!$A$200:$A$1199,B91,幕间计算!$B$200:$B$1199,A91,幕间计算!$C$200:$C$1199,"重要关系*"))</f>
        <v/>
      </c>
      <c r="G91" s="131" t="str">
        <f>IF(幕间计算!GI91=0,"",SUMIFS(幕间计算!$E$200:$E$1199,幕间计算!$A$200:$A$1199,B91,幕间计算!$B$200:$B$1199,A91,幕间计算!$C$200:$C$1199,"魅力"))</f>
        <v/>
      </c>
      <c r="H91" s="131" t="str">
        <f>IF(幕间计算!GI91=0,"",SUMIFS(幕间计算!$E$200:$E$1199,幕间计算!$A$200:$A$1199,B91,幕间计算!$B$200:$B$1199,A91,幕间计算!$C$200:$C$1199,"崩溃点"))</f>
        <v/>
      </c>
      <c r="I91" s="131" t="str">
        <f>IF(幕间计算!GI91=0,"","暴力 "&amp;SUMIFS(幕间计算!$E$200:$E$1199,幕间计算!$A$200:$A$1199,B91,幕间计算!$B$200:$B$1199,A91,幕间计算!$C$200:$C$1199,"暴力进度")&amp;"／无力 "&amp;SUMIFS(幕间计算!$E$200:$E$1199,幕间计算!$A$200:$A$1199,B91,幕间计算!$B$200:$B$1199,A91,幕间计算!$C$200:$C$1199,"无力进度"))</f>
        <v/>
      </c>
      <c r="J91" s="131" t="str">
        <f>IF(幕间计算!GI91=0,"",INDEX(DGArchive[事件／活动],幕间计算!GI91))</f>
        <v/>
      </c>
      <c r="K91" s="131"/>
    </row>
    <row r="92" ht="36" customHeight="1" spans="1:11">
      <c r="A92" s="131" t="str">
        <f>IF(幕间计算!GI92=0,"",INDEX(DGArchive[阶段],幕间计算!GI92))</f>
        <v/>
      </c>
      <c r="B92" s="131" t="str">
        <f>IF(幕间计算!GI92=0,"",INDEX(DGArchive[模组],幕间计算!GI92))</f>
        <v/>
      </c>
      <c r="C92" s="143" t="str">
        <f>IF((IF(幕间计算!GI92=0,"",INDEX(DGArchive[游戏内日期],幕间计算!GI92)))=0,"",IF(幕间计算!GI92=0,"",INDEX(DGArchive[游戏内日期],幕间计算!GI92)))</f>
        <v/>
      </c>
      <c r="D92" s="131" t="str">
        <f>IF(幕间计算!GI92=0,"",SUMIFS(幕间计算!$E$200:$E$1199,幕间计算!$A$200:$A$1199,B92,幕间计算!$B$200:$B$1199,A92,幕间计算!$C$200:$C$1199,"理智"))</f>
        <v/>
      </c>
      <c r="E92" s="131" t="str">
        <f>IF(幕间计算!GI92=0,"",SUMIFS(幕间计算!$E$200:$E$1199,幕间计算!$A$200:$A$1199,B92,幕间计算!$B$200:$B$1199,A92,幕间计算!$C$200:$C$1199,"毅力"))</f>
        <v/>
      </c>
      <c r="F92" s="131" t="str">
        <f>IF(幕间计算!GI92=0,"",SUMIFS(幕间计算!$E$200:$E$1199,幕间计算!$A$200:$A$1199,B92,幕间计算!$B$200:$B$1199,A92,幕间计算!$C$200:$C$1199,"重要关系*"))</f>
        <v/>
      </c>
      <c r="G92" s="131" t="str">
        <f>IF(幕间计算!GI92=0,"",SUMIFS(幕间计算!$E$200:$E$1199,幕间计算!$A$200:$A$1199,B92,幕间计算!$B$200:$B$1199,A92,幕间计算!$C$200:$C$1199,"魅力"))</f>
        <v/>
      </c>
      <c r="H92" s="131" t="str">
        <f>IF(幕间计算!GI92=0,"",SUMIFS(幕间计算!$E$200:$E$1199,幕间计算!$A$200:$A$1199,B92,幕间计算!$B$200:$B$1199,A92,幕间计算!$C$200:$C$1199,"崩溃点"))</f>
        <v/>
      </c>
      <c r="I92" s="131" t="str">
        <f>IF(幕间计算!GI92=0,"","暴力 "&amp;SUMIFS(幕间计算!$E$200:$E$1199,幕间计算!$A$200:$A$1199,B92,幕间计算!$B$200:$B$1199,A92,幕间计算!$C$200:$C$1199,"暴力进度")&amp;"／无力 "&amp;SUMIFS(幕间计算!$E$200:$E$1199,幕间计算!$A$200:$A$1199,B92,幕间计算!$B$200:$B$1199,A92,幕间计算!$C$200:$C$1199,"无力进度"))</f>
        <v/>
      </c>
      <c r="J92" s="131" t="str">
        <f>IF(幕间计算!GI92=0,"",INDEX(DGArchive[事件／活动],幕间计算!GI92))</f>
        <v/>
      </c>
      <c r="K92" s="131"/>
    </row>
    <row r="93" ht="36" customHeight="1" spans="1:11">
      <c r="A93" s="131" t="str">
        <f>IF(幕间计算!GI93=0,"",INDEX(DGArchive[阶段],幕间计算!GI93))</f>
        <v/>
      </c>
      <c r="B93" s="131" t="str">
        <f>IF(幕间计算!GI93=0,"",INDEX(DGArchive[模组],幕间计算!GI93))</f>
        <v/>
      </c>
      <c r="C93" s="143" t="str">
        <f>IF((IF(幕间计算!GI93=0,"",INDEX(DGArchive[游戏内日期],幕间计算!GI93)))=0,"",IF(幕间计算!GI93=0,"",INDEX(DGArchive[游戏内日期],幕间计算!GI93)))</f>
        <v/>
      </c>
      <c r="D93" s="131" t="str">
        <f>IF(幕间计算!GI93=0,"",SUMIFS(幕间计算!$E$200:$E$1199,幕间计算!$A$200:$A$1199,B93,幕间计算!$B$200:$B$1199,A93,幕间计算!$C$200:$C$1199,"理智"))</f>
        <v/>
      </c>
      <c r="E93" s="131" t="str">
        <f>IF(幕间计算!GI93=0,"",SUMIFS(幕间计算!$E$200:$E$1199,幕间计算!$A$200:$A$1199,B93,幕间计算!$B$200:$B$1199,A93,幕间计算!$C$200:$C$1199,"毅力"))</f>
        <v/>
      </c>
      <c r="F93" s="131" t="str">
        <f>IF(幕间计算!GI93=0,"",SUMIFS(幕间计算!$E$200:$E$1199,幕间计算!$A$200:$A$1199,B93,幕间计算!$B$200:$B$1199,A93,幕间计算!$C$200:$C$1199,"重要关系*"))</f>
        <v/>
      </c>
      <c r="G93" s="131" t="str">
        <f>IF(幕间计算!GI93=0,"",SUMIFS(幕间计算!$E$200:$E$1199,幕间计算!$A$200:$A$1199,B93,幕间计算!$B$200:$B$1199,A93,幕间计算!$C$200:$C$1199,"魅力"))</f>
        <v/>
      </c>
      <c r="H93" s="131" t="str">
        <f>IF(幕间计算!GI93=0,"",SUMIFS(幕间计算!$E$200:$E$1199,幕间计算!$A$200:$A$1199,B93,幕间计算!$B$200:$B$1199,A93,幕间计算!$C$200:$C$1199,"崩溃点"))</f>
        <v/>
      </c>
      <c r="I93" s="131" t="str">
        <f>IF(幕间计算!GI93=0,"","暴力 "&amp;SUMIFS(幕间计算!$E$200:$E$1199,幕间计算!$A$200:$A$1199,B93,幕间计算!$B$200:$B$1199,A93,幕间计算!$C$200:$C$1199,"暴力进度")&amp;"／无力 "&amp;SUMIFS(幕间计算!$E$200:$E$1199,幕间计算!$A$200:$A$1199,B93,幕间计算!$B$200:$B$1199,A93,幕间计算!$C$200:$C$1199,"无力进度"))</f>
        <v/>
      </c>
      <c r="J93" s="131" t="str">
        <f>IF(幕间计算!GI93=0,"",INDEX(DGArchive[事件／活动],幕间计算!GI93))</f>
        <v/>
      </c>
      <c r="K93" s="131"/>
    </row>
    <row r="94" ht="36" customHeight="1" spans="1:11">
      <c r="A94" s="131" t="str">
        <f>IF(幕间计算!GI94=0,"",INDEX(DGArchive[阶段],幕间计算!GI94))</f>
        <v/>
      </c>
      <c r="B94" s="131" t="str">
        <f>IF(幕间计算!GI94=0,"",INDEX(DGArchive[模组],幕间计算!GI94))</f>
        <v/>
      </c>
      <c r="C94" s="143" t="str">
        <f>IF((IF(幕间计算!GI94=0,"",INDEX(DGArchive[游戏内日期],幕间计算!GI94)))=0,"",IF(幕间计算!GI94=0,"",INDEX(DGArchive[游戏内日期],幕间计算!GI94)))</f>
        <v/>
      </c>
      <c r="D94" s="131" t="str">
        <f>IF(幕间计算!GI94=0,"",SUMIFS(幕间计算!$E$200:$E$1199,幕间计算!$A$200:$A$1199,B94,幕间计算!$B$200:$B$1199,A94,幕间计算!$C$200:$C$1199,"理智"))</f>
        <v/>
      </c>
      <c r="E94" s="131" t="str">
        <f>IF(幕间计算!GI94=0,"",SUMIFS(幕间计算!$E$200:$E$1199,幕间计算!$A$200:$A$1199,B94,幕间计算!$B$200:$B$1199,A94,幕间计算!$C$200:$C$1199,"毅力"))</f>
        <v/>
      </c>
      <c r="F94" s="131" t="str">
        <f>IF(幕间计算!GI94=0,"",SUMIFS(幕间计算!$E$200:$E$1199,幕间计算!$A$200:$A$1199,B94,幕间计算!$B$200:$B$1199,A94,幕间计算!$C$200:$C$1199,"重要关系*"))</f>
        <v/>
      </c>
      <c r="G94" s="131" t="str">
        <f>IF(幕间计算!GI94=0,"",SUMIFS(幕间计算!$E$200:$E$1199,幕间计算!$A$200:$A$1199,B94,幕间计算!$B$200:$B$1199,A94,幕间计算!$C$200:$C$1199,"魅力"))</f>
        <v/>
      </c>
      <c r="H94" s="131" t="str">
        <f>IF(幕间计算!GI94=0,"",SUMIFS(幕间计算!$E$200:$E$1199,幕间计算!$A$200:$A$1199,B94,幕间计算!$B$200:$B$1199,A94,幕间计算!$C$200:$C$1199,"崩溃点"))</f>
        <v/>
      </c>
      <c r="I94" s="131" t="str">
        <f>IF(幕间计算!GI94=0,"","暴力 "&amp;SUMIFS(幕间计算!$E$200:$E$1199,幕间计算!$A$200:$A$1199,B94,幕间计算!$B$200:$B$1199,A94,幕间计算!$C$200:$C$1199,"暴力进度")&amp;"／无力 "&amp;SUMIFS(幕间计算!$E$200:$E$1199,幕间计算!$A$200:$A$1199,B94,幕间计算!$B$200:$B$1199,A94,幕间计算!$C$200:$C$1199,"无力进度"))</f>
        <v/>
      </c>
      <c r="J94" s="131" t="str">
        <f>IF(幕间计算!GI94=0,"",INDEX(DGArchive[事件／活动],幕间计算!GI94))</f>
        <v/>
      </c>
      <c r="K94" s="131"/>
    </row>
    <row r="95" ht="36" customHeight="1" spans="1:11">
      <c r="A95" s="131" t="str">
        <f>IF(幕间计算!GI95=0,"",INDEX(DGArchive[阶段],幕间计算!GI95))</f>
        <v/>
      </c>
      <c r="B95" s="131" t="str">
        <f>IF(幕间计算!GI95=0,"",INDEX(DGArchive[模组],幕间计算!GI95))</f>
        <v/>
      </c>
      <c r="C95" s="143" t="str">
        <f>IF((IF(幕间计算!GI95=0,"",INDEX(DGArchive[游戏内日期],幕间计算!GI95)))=0,"",IF(幕间计算!GI95=0,"",INDEX(DGArchive[游戏内日期],幕间计算!GI95)))</f>
        <v/>
      </c>
      <c r="D95" s="131" t="str">
        <f>IF(幕间计算!GI95=0,"",SUMIFS(幕间计算!$E$200:$E$1199,幕间计算!$A$200:$A$1199,B95,幕间计算!$B$200:$B$1199,A95,幕间计算!$C$200:$C$1199,"理智"))</f>
        <v/>
      </c>
      <c r="E95" s="131" t="str">
        <f>IF(幕间计算!GI95=0,"",SUMIFS(幕间计算!$E$200:$E$1199,幕间计算!$A$200:$A$1199,B95,幕间计算!$B$200:$B$1199,A95,幕间计算!$C$200:$C$1199,"毅力"))</f>
        <v/>
      </c>
      <c r="F95" s="131" t="str">
        <f>IF(幕间计算!GI95=0,"",SUMIFS(幕间计算!$E$200:$E$1199,幕间计算!$A$200:$A$1199,B95,幕间计算!$B$200:$B$1199,A95,幕间计算!$C$200:$C$1199,"重要关系*"))</f>
        <v/>
      </c>
      <c r="G95" s="131" t="str">
        <f>IF(幕间计算!GI95=0,"",SUMIFS(幕间计算!$E$200:$E$1199,幕间计算!$A$200:$A$1199,B95,幕间计算!$B$200:$B$1199,A95,幕间计算!$C$200:$C$1199,"魅力"))</f>
        <v/>
      </c>
      <c r="H95" s="131" t="str">
        <f>IF(幕间计算!GI95=0,"",SUMIFS(幕间计算!$E$200:$E$1199,幕间计算!$A$200:$A$1199,B95,幕间计算!$B$200:$B$1199,A95,幕间计算!$C$200:$C$1199,"崩溃点"))</f>
        <v/>
      </c>
      <c r="I95" s="131" t="str">
        <f>IF(幕间计算!GI95=0,"","暴力 "&amp;SUMIFS(幕间计算!$E$200:$E$1199,幕间计算!$A$200:$A$1199,B95,幕间计算!$B$200:$B$1199,A95,幕间计算!$C$200:$C$1199,"暴力进度")&amp;"／无力 "&amp;SUMIFS(幕间计算!$E$200:$E$1199,幕间计算!$A$200:$A$1199,B95,幕间计算!$B$200:$B$1199,A95,幕间计算!$C$200:$C$1199,"无力进度"))</f>
        <v/>
      </c>
      <c r="J95" s="131" t="str">
        <f>IF(幕间计算!GI95=0,"",INDEX(DGArchive[事件／活动],幕间计算!GI95))</f>
        <v/>
      </c>
      <c r="K95" s="131"/>
    </row>
    <row r="96" ht="36" customHeight="1" spans="1:11">
      <c r="A96" s="131" t="str">
        <f>IF(幕间计算!GI96=0,"",INDEX(DGArchive[阶段],幕间计算!GI96))</f>
        <v/>
      </c>
      <c r="B96" s="131" t="str">
        <f>IF(幕间计算!GI96=0,"",INDEX(DGArchive[模组],幕间计算!GI96))</f>
        <v/>
      </c>
      <c r="C96" s="143" t="str">
        <f>IF((IF(幕间计算!GI96=0,"",INDEX(DGArchive[游戏内日期],幕间计算!GI96)))=0,"",IF(幕间计算!GI96=0,"",INDEX(DGArchive[游戏内日期],幕间计算!GI96)))</f>
        <v/>
      </c>
      <c r="D96" s="131" t="str">
        <f>IF(幕间计算!GI96=0,"",SUMIFS(幕间计算!$E$200:$E$1199,幕间计算!$A$200:$A$1199,B96,幕间计算!$B$200:$B$1199,A96,幕间计算!$C$200:$C$1199,"理智"))</f>
        <v/>
      </c>
      <c r="E96" s="131" t="str">
        <f>IF(幕间计算!GI96=0,"",SUMIFS(幕间计算!$E$200:$E$1199,幕间计算!$A$200:$A$1199,B96,幕间计算!$B$200:$B$1199,A96,幕间计算!$C$200:$C$1199,"毅力"))</f>
        <v/>
      </c>
      <c r="F96" s="131" t="str">
        <f>IF(幕间计算!GI96=0,"",SUMIFS(幕间计算!$E$200:$E$1199,幕间计算!$A$200:$A$1199,B96,幕间计算!$B$200:$B$1199,A96,幕间计算!$C$200:$C$1199,"重要关系*"))</f>
        <v/>
      </c>
      <c r="G96" s="131" t="str">
        <f>IF(幕间计算!GI96=0,"",SUMIFS(幕间计算!$E$200:$E$1199,幕间计算!$A$200:$A$1199,B96,幕间计算!$B$200:$B$1199,A96,幕间计算!$C$200:$C$1199,"魅力"))</f>
        <v/>
      </c>
      <c r="H96" s="131" t="str">
        <f>IF(幕间计算!GI96=0,"",SUMIFS(幕间计算!$E$200:$E$1199,幕间计算!$A$200:$A$1199,B96,幕间计算!$B$200:$B$1199,A96,幕间计算!$C$200:$C$1199,"崩溃点"))</f>
        <v/>
      </c>
      <c r="I96" s="131" t="str">
        <f>IF(幕间计算!GI96=0,"","暴力 "&amp;SUMIFS(幕间计算!$E$200:$E$1199,幕间计算!$A$200:$A$1199,B96,幕间计算!$B$200:$B$1199,A96,幕间计算!$C$200:$C$1199,"暴力进度")&amp;"／无力 "&amp;SUMIFS(幕间计算!$E$200:$E$1199,幕间计算!$A$200:$A$1199,B96,幕间计算!$B$200:$B$1199,A96,幕间计算!$C$200:$C$1199,"无力进度"))</f>
        <v/>
      </c>
      <c r="J96" s="131" t="str">
        <f>IF(幕间计算!GI96=0,"",INDEX(DGArchive[事件／活动],幕间计算!GI96))</f>
        <v/>
      </c>
      <c r="K96" s="131"/>
    </row>
    <row r="97" ht="36" customHeight="1" spans="1:11">
      <c r="A97" s="131" t="str">
        <f>IF(幕间计算!GI97=0,"",INDEX(DGArchive[阶段],幕间计算!GI97))</f>
        <v/>
      </c>
      <c r="B97" s="131" t="str">
        <f>IF(幕间计算!GI97=0,"",INDEX(DGArchive[模组],幕间计算!GI97))</f>
        <v/>
      </c>
      <c r="C97" s="143" t="str">
        <f>IF((IF(幕间计算!GI97=0,"",INDEX(DGArchive[游戏内日期],幕间计算!GI97)))=0,"",IF(幕间计算!GI97=0,"",INDEX(DGArchive[游戏内日期],幕间计算!GI97)))</f>
        <v/>
      </c>
      <c r="D97" s="131" t="str">
        <f>IF(幕间计算!GI97=0,"",SUMIFS(幕间计算!$E$200:$E$1199,幕间计算!$A$200:$A$1199,B97,幕间计算!$B$200:$B$1199,A97,幕间计算!$C$200:$C$1199,"理智"))</f>
        <v/>
      </c>
      <c r="E97" s="131" t="str">
        <f>IF(幕间计算!GI97=0,"",SUMIFS(幕间计算!$E$200:$E$1199,幕间计算!$A$200:$A$1199,B97,幕间计算!$B$200:$B$1199,A97,幕间计算!$C$200:$C$1199,"毅力"))</f>
        <v/>
      </c>
      <c r="F97" s="131" t="str">
        <f>IF(幕间计算!GI97=0,"",SUMIFS(幕间计算!$E$200:$E$1199,幕间计算!$A$200:$A$1199,B97,幕间计算!$B$200:$B$1199,A97,幕间计算!$C$200:$C$1199,"重要关系*"))</f>
        <v/>
      </c>
      <c r="G97" s="131" t="str">
        <f>IF(幕间计算!GI97=0,"",SUMIFS(幕间计算!$E$200:$E$1199,幕间计算!$A$200:$A$1199,B97,幕间计算!$B$200:$B$1199,A97,幕间计算!$C$200:$C$1199,"魅力"))</f>
        <v/>
      </c>
      <c r="H97" s="131" t="str">
        <f>IF(幕间计算!GI97=0,"",SUMIFS(幕间计算!$E$200:$E$1199,幕间计算!$A$200:$A$1199,B97,幕间计算!$B$200:$B$1199,A97,幕间计算!$C$200:$C$1199,"崩溃点"))</f>
        <v/>
      </c>
      <c r="I97" s="131" t="str">
        <f>IF(幕间计算!GI97=0,"","暴力 "&amp;SUMIFS(幕间计算!$E$200:$E$1199,幕间计算!$A$200:$A$1199,B97,幕间计算!$B$200:$B$1199,A97,幕间计算!$C$200:$C$1199,"暴力进度")&amp;"／无力 "&amp;SUMIFS(幕间计算!$E$200:$E$1199,幕间计算!$A$200:$A$1199,B97,幕间计算!$B$200:$B$1199,A97,幕间计算!$C$200:$C$1199,"无力进度"))</f>
        <v/>
      </c>
      <c r="J97" s="131" t="str">
        <f>IF(幕间计算!GI97=0,"",INDEX(DGArchive[事件／活动],幕间计算!GI97))</f>
        <v/>
      </c>
      <c r="K97" s="131"/>
    </row>
    <row r="98" ht="36" customHeight="1" spans="1:11">
      <c r="A98" s="131" t="str">
        <f>IF(幕间计算!GI98=0,"",INDEX(DGArchive[阶段],幕间计算!GI98))</f>
        <v/>
      </c>
      <c r="B98" s="131" t="str">
        <f>IF(幕间计算!GI98=0,"",INDEX(DGArchive[模组],幕间计算!GI98))</f>
        <v/>
      </c>
      <c r="C98" s="143" t="str">
        <f>IF((IF(幕间计算!GI98=0,"",INDEX(DGArchive[游戏内日期],幕间计算!GI98)))=0,"",IF(幕间计算!GI98=0,"",INDEX(DGArchive[游戏内日期],幕间计算!GI98)))</f>
        <v/>
      </c>
      <c r="D98" s="131" t="str">
        <f>IF(幕间计算!GI98=0,"",SUMIFS(幕间计算!$E$200:$E$1199,幕间计算!$A$200:$A$1199,B98,幕间计算!$B$200:$B$1199,A98,幕间计算!$C$200:$C$1199,"理智"))</f>
        <v/>
      </c>
      <c r="E98" s="131" t="str">
        <f>IF(幕间计算!GI98=0,"",SUMIFS(幕间计算!$E$200:$E$1199,幕间计算!$A$200:$A$1199,B98,幕间计算!$B$200:$B$1199,A98,幕间计算!$C$200:$C$1199,"毅力"))</f>
        <v/>
      </c>
      <c r="F98" s="131" t="str">
        <f>IF(幕间计算!GI98=0,"",SUMIFS(幕间计算!$E$200:$E$1199,幕间计算!$A$200:$A$1199,B98,幕间计算!$B$200:$B$1199,A98,幕间计算!$C$200:$C$1199,"重要关系*"))</f>
        <v/>
      </c>
      <c r="G98" s="131" t="str">
        <f>IF(幕间计算!GI98=0,"",SUMIFS(幕间计算!$E$200:$E$1199,幕间计算!$A$200:$A$1199,B98,幕间计算!$B$200:$B$1199,A98,幕间计算!$C$200:$C$1199,"魅力"))</f>
        <v/>
      </c>
      <c r="H98" s="131" t="str">
        <f>IF(幕间计算!GI98=0,"",SUMIFS(幕间计算!$E$200:$E$1199,幕间计算!$A$200:$A$1199,B98,幕间计算!$B$200:$B$1199,A98,幕间计算!$C$200:$C$1199,"崩溃点"))</f>
        <v/>
      </c>
      <c r="I98" s="131" t="str">
        <f>IF(幕间计算!GI98=0,"","暴力 "&amp;SUMIFS(幕间计算!$E$200:$E$1199,幕间计算!$A$200:$A$1199,B98,幕间计算!$B$200:$B$1199,A98,幕间计算!$C$200:$C$1199,"暴力进度")&amp;"／无力 "&amp;SUMIFS(幕间计算!$E$200:$E$1199,幕间计算!$A$200:$A$1199,B98,幕间计算!$B$200:$B$1199,A98,幕间计算!$C$200:$C$1199,"无力进度"))</f>
        <v/>
      </c>
      <c r="J98" s="131" t="str">
        <f>IF(幕间计算!GI98=0,"",INDEX(DGArchive[事件／活动],幕间计算!GI98))</f>
        <v/>
      </c>
      <c r="K98" s="131"/>
    </row>
    <row r="99" ht="36" customHeight="1" spans="1:11">
      <c r="A99" s="131" t="str">
        <f>IF(幕间计算!GI99=0,"",INDEX(DGArchive[阶段],幕间计算!GI99))</f>
        <v/>
      </c>
      <c r="B99" s="131" t="str">
        <f>IF(幕间计算!GI99=0,"",INDEX(DGArchive[模组],幕间计算!GI99))</f>
        <v/>
      </c>
      <c r="C99" s="143" t="str">
        <f>IF((IF(幕间计算!GI99=0,"",INDEX(DGArchive[游戏内日期],幕间计算!GI99)))=0,"",IF(幕间计算!GI99=0,"",INDEX(DGArchive[游戏内日期],幕间计算!GI99)))</f>
        <v/>
      </c>
      <c r="D99" s="131" t="str">
        <f>IF(幕间计算!GI99=0,"",SUMIFS(幕间计算!$E$200:$E$1199,幕间计算!$A$200:$A$1199,B99,幕间计算!$B$200:$B$1199,A99,幕间计算!$C$200:$C$1199,"理智"))</f>
        <v/>
      </c>
      <c r="E99" s="131" t="str">
        <f>IF(幕间计算!GI99=0,"",SUMIFS(幕间计算!$E$200:$E$1199,幕间计算!$A$200:$A$1199,B99,幕间计算!$B$200:$B$1199,A99,幕间计算!$C$200:$C$1199,"毅力"))</f>
        <v/>
      </c>
      <c r="F99" s="131" t="str">
        <f>IF(幕间计算!GI99=0,"",SUMIFS(幕间计算!$E$200:$E$1199,幕间计算!$A$200:$A$1199,B99,幕间计算!$B$200:$B$1199,A99,幕间计算!$C$200:$C$1199,"重要关系*"))</f>
        <v/>
      </c>
      <c r="G99" s="131" t="str">
        <f>IF(幕间计算!GI99=0,"",SUMIFS(幕间计算!$E$200:$E$1199,幕间计算!$A$200:$A$1199,B99,幕间计算!$B$200:$B$1199,A99,幕间计算!$C$200:$C$1199,"魅力"))</f>
        <v/>
      </c>
      <c r="H99" s="131" t="str">
        <f>IF(幕间计算!GI99=0,"",SUMIFS(幕间计算!$E$200:$E$1199,幕间计算!$A$200:$A$1199,B99,幕间计算!$B$200:$B$1199,A99,幕间计算!$C$200:$C$1199,"崩溃点"))</f>
        <v/>
      </c>
      <c r="I99" s="131" t="str">
        <f>IF(幕间计算!GI99=0,"","暴力 "&amp;SUMIFS(幕间计算!$E$200:$E$1199,幕间计算!$A$200:$A$1199,B99,幕间计算!$B$200:$B$1199,A99,幕间计算!$C$200:$C$1199,"暴力进度")&amp;"／无力 "&amp;SUMIFS(幕间计算!$E$200:$E$1199,幕间计算!$A$200:$A$1199,B99,幕间计算!$B$200:$B$1199,A99,幕间计算!$C$200:$C$1199,"无力进度"))</f>
        <v/>
      </c>
      <c r="J99" s="131" t="str">
        <f>IF(幕间计算!GI99=0,"",INDEX(DGArchive[事件／活动],幕间计算!GI99))</f>
        <v/>
      </c>
      <c r="K99" s="131"/>
    </row>
    <row r="100" ht="36" customHeight="1" spans="1:11">
      <c r="A100" s="131" t="str">
        <f>IF(幕间计算!GI100=0,"",INDEX(DGArchive[阶段],幕间计算!GI100))</f>
        <v/>
      </c>
      <c r="B100" s="131" t="str">
        <f>IF(幕间计算!GI100=0,"",INDEX(DGArchive[模组],幕间计算!GI100))</f>
        <v/>
      </c>
      <c r="C100" s="143" t="str">
        <f>IF((IF(幕间计算!GI100=0,"",INDEX(DGArchive[游戏内日期],幕间计算!GI100)))=0,"",IF(幕间计算!GI100=0,"",INDEX(DGArchive[游戏内日期],幕间计算!GI100)))</f>
        <v/>
      </c>
      <c r="D100" s="131" t="str">
        <f>IF(幕间计算!GI100=0,"",SUMIFS(幕间计算!$E$200:$E$1199,幕间计算!$A$200:$A$1199,B100,幕间计算!$B$200:$B$1199,A100,幕间计算!$C$200:$C$1199,"理智"))</f>
        <v/>
      </c>
      <c r="E100" s="131" t="str">
        <f>IF(幕间计算!GI100=0,"",SUMIFS(幕间计算!$E$200:$E$1199,幕间计算!$A$200:$A$1199,B100,幕间计算!$B$200:$B$1199,A100,幕间计算!$C$200:$C$1199,"毅力"))</f>
        <v/>
      </c>
      <c r="F100" s="131" t="str">
        <f>IF(幕间计算!GI100=0,"",SUMIFS(幕间计算!$E$200:$E$1199,幕间计算!$A$200:$A$1199,B100,幕间计算!$B$200:$B$1199,A100,幕间计算!$C$200:$C$1199,"重要关系*"))</f>
        <v/>
      </c>
      <c r="G100" s="131" t="str">
        <f>IF(幕间计算!GI100=0,"",SUMIFS(幕间计算!$E$200:$E$1199,幕间计算!$A$200:$A$1199,B100,幕间计算!$B$200:$B$1199,A100,幕间计算!$C$200:$C$1199,"魅力"))</f>
        <v/>
      </c>
      <c r="H100" s="131" t="str">
        <f>IF(幕间计算!GI100=0,"",SUMIFS(幕间计算!$E$200:$E$1199,幕间计算!$A$200:$A$1199,B100,幕间计算!$B$200:$B$1199,A100,幕间计算!$C$200:$C$1199,"崩溃点"))</f>
        <v/>
      </c>
      <c r="I100" s="131" t="str">
        <f>IF(幕间计算!GI100=0,"","暴力 "&amp;SUMIFS(幕间计算!$E$200:$E$1199,幕间计算!$A$200:$A$1199,B100,幕间计算!$B$200:$B$1199,A100,幕间计算!$C$200:$C$1199,"暴力进度")&amp;"／无力 "&amp;SUMIFS(幕间计算!$E$200:$E$1199,幕间计算!$A$200:$A$1199,B100,幕间计算!$B$200:$B$1199,A100,幕间计算!$C$200:$C$1199,"无力进度"))</f>
        <v/>
      </c>
      <c r="J100" s="131" t="str">
        <f>IF(幕间计算!GI100=0,"",INDEX(DGArchive[事件／活动],幕间计算!GI100))</f>
        <v/>
      </c>
      <c r="K100" s="131"/>
    </row>
    <row r="101" ht="36" customHeight="1" spans="1:11">
      <c r="A101" s="131" t="str">
        <f>IF(幕间计算!GI101=0,"",INDEX(DGArchive[阶段],幕间计算!GI101))</f>
        <v/>
      </c>
      <c r="B101" s="131" t="str">
        <f>IF(幕间计算!GI101=0,"",INDEX(DGArchive[模组],幕间计算!GI101))</f>
        <v/>
      </c>
      <c r="C101" s="143" t="str">
        <f>IF((IF(幕间计算!GI101=0,"",INDEX(DGArchive[游戏内日期],幕间计算!GI101)))=0,"",IF(幕间计算!GI101=0,"",INDEX(DGArchive[游戏内日期],幕间计算!GI101)))</f>
        <v/>
      </c>
      <c r="D101" s="131" t="str">
        <f>IF(幕间计算!GI101=0,"",SUMIFS(幕间计算!$E$200:$E$1199,幕间计算!$A$200:$A$1199,B101,幕间计算!$B$200:$B$1199,A101,幕间计算!$C$200:$C$1199,"理智"))</f>
        <v/>
      </c>
      <c r="E101" s="131" t="str">
        <f>IF(幕间计算!GI101=0,"",SUMIFS(幕间计算!$E$200:$E$1199,幕间计算!$A$200:$A$1199,B101,幕间计算!$B$200:$B$1199,A101,幕间计算!$C$200:$C$1199,"毅力"))</f>
        <v/>
      </c>
      <c r="F101" s="131" t="str">
        <f>IF(幕间计算!GI101=0,"",SUMIFS(幕间计算!$E$200:$E$1199,幕间计算!$A$200:$A$1199,B101,幕间计算!$B$200:$B$1199,A101,幕间计算!$C$200:$C$1199,"重要关系*"))</f>
        <v/>
      </c>
      <c r="G101" s="131" t="str">
        <f>IF(幕间计算!GI101=0,"",SUMIFS(幕间计算!$E$200:$E$1199,幕间计算!$A$200:$A$1199,B101,幕间计算!$B$200:$B$1199,A101,幕间计算!$C$200:$C$1199,"魅力"))</f>
        <v/>
      </c>
      <c r="H101" s="131" t="str">
        <f>IF(幕间计算!GI101=0,"",SUMIFS(幕间计算!$E$200:$E$1199,幕间计算!$A$200:$A$1199,B101,幕间计算!$B$200:$B$1199,A101,幕间计算!$C$200:$C$1199,"崩溃点"))</f>
        <v/>
      </c>
      <c r="I101" s="131" t="str">
        <f>IF(幕间计算!GI101=0,"","暴力 "&amp;SUMIFS(幕间计算!$E$200:$E$1199,幕间计算!$A$200:$A$1199,B101,幕间计算!$B$200:$B$1199,A101,幕间计算!$C$200:$C$1199,"暴力进度")&amp;"／无力 "&amp;SUMIFS(幕间计算!$E$200:$E$1199,幕间计算!$A$200:$A$1199,B101,幕间计算!$B$200:$B$1199,A101,幕间计算!$C$200:$C$1199,"无力进度"))</f>
        <v/>
      </c>
      <c r="J101" s="131" t="str">
        <f>IF(幕间计算!GI101=0,"",INDEX(DGArchive[事件／活动],幕间计算!GI101))</f>
        <v/>
      </c>
      <c r="K101" s="131"/>
    </row>
    <row r="102" ht="36" customHeight="1" spans="1:11">
      <c r="A102" s="131" t="str">
        <f>IF(幕间计算!GI102=0,"",INDEX(DGArchive[阶段],幕间计算!GI102))</f>
        <v/>
      </c>
      <c r="B102" s="131" t="str">
        <f>IF(幕间计算!GI102=0,"",INDEX(DGArchive[模组],幕间计算!GI102))</f>
        <v/>
      </c>
      <c r="C102" s="143" t="str">
        <f>IF((IF(幕间计算!GI102=0,"",INDEX(DGArchive[游戏内日期],幕间计算!GI102)))=0,"",IF(幕间计算!GI102=0,"",INDEX(DGArchive[游戏内日期],幕间计算!GI102)))</f>
        <v/>
      </c>
      <c r="D102" s="131" t="str">
        <f>IF(幕间计算!GI102=0,"",SUMIFS(幕间计算!$E$200:$E$1199,幕间计算!$A$200:$A$1199,B102,幕间计算!$B$200:$B$1199,A102,幕间计算!$C$200:$C$1199,"理智"))</f>
        <v/>
      </c>
      <c r="E102" s="131" t="str">
        <f>IF(幕间计算!GI102=0,"",SUMIFS(幕间计算!$E$200:$E$1199,幕间计算!$A$200:$A$1199,B102,幕间计算!$B$200:$B$1199,A102,幕间计算!$C$200:$C$1199,"毅力"))</f>
        <v/>
      </c>
      <c r="F102" s="131" t="str">
        <f>IF(幕间计算!GI102=0,"",SUMIFS(幕间计算!$E$200:$E$1199,幕间计算!$A$200:$A$1199,B102,幕间计算!$B$200:$B$1199,A102,幕间计算!$C$200:$C$1199,"重要关系*"))</f>
        <v/>
      </c>
      <c r="G102" s="131" t="str">
        <f>IF(幕间计算!GI102=0,"",SUMIFS(幕间计算!$E$200:$E$1199,幕间计算!$A$200:$A$1199,B102,幕间计算!$B$200:$B$1199,A102,幕间计算!$C$200:$C$1199,"魅力"))</f>
        <v/>
      </c>
      <c r="H102" s="131" t="str">
        <f>IF(幕间计算!GI102=0,"",SUMIFS(幕间计算!$E$200:$E$1199,幕间计算!$A$200:$A$1199,B102,幕间计算!$B$200:$B$1199,A102,幕间计算!$C$200:$C$1199,"崩溃点"))</f>
        <v/>
      </c>
      <c r="I102" s="131" t="str">
        <f>IF(幕间计算!GI102=0,"","暴力 "&amp;SUMIFS(幕间计算!$E$200:$E$1199,幕间计算!$A$200:$A$1199,B102,幕间计算!$B$200:$B$1199,A102,幕间计算!$C$200:$C$1199,"暴力进度")&amp;"／无力 "&amp;SUMIFS(幕间计算!$E$200:$E$1199,幕间计算!$A$200:$A$1199,B102,幕间计算!$B$200:$B$1199,A102,幕间计算!$C$200:$C$1199,"无力进度"))</f>
        <v/>
      </c>
      <c r="J102" s="131" t="str">
        <f>IF(幕间计算!GI102=0,"",INDEX(DGArchive[事件／活动],幕间计算!GI102))</f>
        <v/>
      </c>
      <c r="K102" s="131"/>
    </row>
    <row r="103" ht="36" customHeight="1" spans="1:11">
      <c r="A103" s="131" t="str">
        <f>IF(幕间计算!GI103=0,"",INDEX(DGArchive[阶段],幕间计算!GI103))</f>
        <v/>
      </c>
      <c r="B103" s="131" t="str">
        <f>IF(幕间计算!GI103=0,"",INDEX(DGArchive[模组],幕间计算!GI103))</f>
        <v/>
      </c>
      <c r="C103" s="143" t="str">
        <f>IF((IF(幕间计算!GI103=0,"",INDEX(DGArchive[游戏内日期],幕间计算!GI103)))=0,"",IF(幕间计算!GI103=0,"",INDEX(DGArchive[游戏内日期],幕间计算!GI103)))</f>
        <v/>
      </c>
      <c r="D103" s="131" t="str">
        <f>IF(幕间计算!GI103=0,"",SUMIFS(幕间计算!$E$200:$E$1199,幕间计算!$A$200:$A$1199,B103,幕间计算!$B$200:$B$1199,A103,幕间计算!$C$200:$C$1199,"理智"))</f>
        <v/>
      </c>
      <c r="E103" s="131" t="str">
        <f>IF(幕间计算!GI103=0,"",SUMIFS(幕间计算!$E$200:$E$1199,幕间计算!$A$200:$A$1199,B103,幕间计算!$B$200:$B$1199,A103,幕间计算!$C$200:$C$1199,"毅力"))</f>
        <v/>
      </c>
      <c r="F103" s="131" t="str">
        <f>IF(幕间计算!GI103=0,"",SUMIFS(幕间计算!$E$200:$E$1199,幕间计算!$A$200:$A$1199,B103,幕间计算!$B$200:$B$1199,A103,幕间计算!$C$200:$C$1199,"重要关系*"))</f>
        <v/>
      </c>
      <c r="G103" s="131" t="str">
        <f>IF(幕间计算!GI103=0,"",SUMIFS(幕间计算!$E$200:$E$1199,幕间计算!$A$200:$A$1199,B103,幕间计算!$B$200:$B$1199,A103,幕间计算!$C$200:$C$1199,"魅力"))</f>
        <v/>
      </c>
      <c r="H103" s="131" t="str">
        <f>IF(幕间计算!GI103=0,"",SUMIFS(幕间计算!$E$200:$E$1199,幕间计算!$A$200:$A$1199,B103,幕间计算!$B$200:$B$1199,A103,幕间计算!$C$200:$C$1199,"崩溃点"))</f>
        <v/>
      </c>
      <c r="I103" s="131" t="str">
        <f>IF(幕间计算!GI103=0,"","暴力 "&amp;SUMIFS(幕间计算!$E$200:$E$1199,幕间计算!$A$200:$A$1199,B103,幕间计算!$B$200:$B$1199,A103,幕间计算!$C$200:$C$1199,"暴力进度")&amp;"／无力 "&amp;SUMIFS(幕间计算!$E$200:$E$1199,幕间计算!$A$200:$A$1199,B103,幕间计算!$B$200:$B$1199,A103,幕间计算!$C$200:$C$1199,"无力进度"))</f>
        <v/>
      </c>
      <c r="J103" s="131" t="str">
        <f>IF(幕间计算!GI103=0,"",INDEX(DGArchive[事件／活动],幕间计算!GI103))</f>
        <v/>
      </c>
      <c r="K103" s="131"/>
    </row>
    <row r="104" ht="36" customHeight="1" spans="1:11">
      <c r="A104" s="131" t="str">
        <f>IF(幕间计算!GI104=0,"",INDEX(DGArchive[阶段],幕间计算!GI104))</f>
        <v/>
      </c>
      <c r="B104" s="131" t="str">
        <f>IF(幕间计算!GI104=0,"",INDEX(DGArchive[模组],幕间计算!GI104))</f>
        <v/>
      </c>
      <c r="C104" s="143" t="str">
        <f>IF((IF(幕间计算!GI104=0,"",INDEX(DGArchive[游戏内日期],幕间计算!GI104)))=0,"",IF(幕间计算!GI104=0,"",INDEX(DGArchive[游戏内日期],幕间计算!GI104)))</f>
        <v/>
      </c>
      <c r="D104" s="131" t="str">
        <f>IF(幕间计算!GI104=0,"",SUMIFS(幕间计算!$E$200:$E$1199,幕间计算!$A$200:$A$1199,B104,幕间计算!$B$200:$B$1199,A104,幕间计算!$C$200:$C$1199,"理智"))</f>
        <v/>
      </c>
      <c r="E104" s="131" t="str">
        <f>IF(幕间计算!GI104=0,"",SUMIFS(幕间计算!$E$200:$E$1199,幕间计算!$A$200:$A$1199,B104,幕间计算!$B$200:$B$1199,A104,幕间计算!$C$200:$C$1199,"毅力"))</f>
        <v/>
      </c>
      <c r="F104" s="131" t="str">
        <f>IF(幕间计算!GI104=0,"",SUMIFS(幕间计算!$E$200:$E$1199,幕间计算!$A$200:$A$1199,B104,幕间计算!$B$200:$B$1199,A104,幕间计算!$C$200:$C$1199,"重要关系*"))</f>
        <v/>
      </c>
      <c r="G104" s="131" t="str">
        <f>IF(幕间计算!GI104=0,"",SUMIFS(幕间计算!$E$200:$E$1199,幕间计算!$A$200:$A$1199,B104,幕间计算!$B$200:$B$1199,A104,幕间计算!$C$200:$C$1199,"魅力"))</f>
        <v/>
      </c>
      <c r="H104" s="131" t="str">
        <f>IF(幕间计算!GI104=0,"",SUMIFS(幕间计算!$E$200:$E$1199,幕间计算!$A$200:$A$1199,B104,幕间计算!$B$200:$B$1199,A104,幕间计算!$C$200:$C$1199,"崩溃点"))</f>
        <v/>
      </c>
      <c r="I104" s="131" t="str">
        <f>IF(幕间计算!GI104=0,"","暴力 "&amp;SUMIFS(幕间计算!$E$200:$E$1199,幕间计算!$A$200:$A$1199,B104,幕间计算!$B$200:$B$1199,A104,幕间计算!$C$200:$C$1199,"暴力进度")&amp;"／无力 "&amp;SUMIFS(幕间计算!$E$200:$E$1199,幕间计算!$A$200:$A$1199,B104,幕间计算!$B$200:$B$1199,A104,幕间计算!$C$200:$C$1199,"无力进度"))</f>
        <v/>
      </c>
      <c r="J104" s="131" t="str">
        <f>IF(幕间计算!GI104=0,"",INDEX(DGArchive[事件／活动],幕间计算!GI104))</f>
        <v/>
      </c>
      <c r="K104" s="131"/>
    </row>
    <row r="105" ht="36" customHeight="1" spans="1:11">
      <c r="A105" s="131" t="str">
        <f>IF(幕间计算!GI105=0,"",INDEX(DGArchive[阶段],幕间计算!GI105))</f>
        <v/>
      </c>
      <c r="B105" s="131" t="str">
        <f>IF(幕间计算!GI105=0,"",INDEX(DGArchive[模组],幕间计算!GI105))</f>
        <v/>
      </c>
      <c r="C105" s="143" t="str">
        <f>IF((IF(幕间计算!GI105=0,"",INDEX(DGArchive[游戏内日期],幕间计算!GI105)))=0,"",IF(幕间计算!GI105=0,"",INDEX(DGArchive[游戏内日期],幕间计算!GI105)))</f>
        <v/>
      </c>
      <c r="D105" s="131" t="str">
        <f>IF(幕间计算!GI105=0,"",SUMIFS(幕间计算!$E$200:$E$1199,幕间计算!$A$200:$A$1199,B105,幕间计算!$B$200:$B$1199,A105,幕间计算!$C$200:$C$1199,"理智"))</f>
        <v/>
      </c>
      <c r="E105" s="131" t="str">
        <f>IF(幕间计算!GI105=0,"",SUMIFS(幕间计算!$E$200:$E$1199,幕间计算!$A$200:$A$1199,B105,幕间计算!$B$200:$B$1199,A105,幕间计算!$C$200:$C$1199,"毅力"))</f>
        <v/>
      </c>
      <c r="F105" s="131" t="str">
        <f>IF(幕间计算!GI105=0,"",SUMIFS(幕间计算!$E$200:$E$1199,幕间计算!$A$200:$A$1199,B105,幕间计算!$B$200:$B$1199,A105,幕间计算!$C$200:$C$1199,"重要关系*"))</f>
        <v/>
      </c>
      <c r="G105" s="131" t="str">
        <f>IF(幕间计算!GI105=0,"",SUMIFS(幕间计算!$E$200:$E$1199,幕间计算!$A$200:$A$1199,B105,幕间计算!$B$200:$B$1199,A105,幕间计算!$C$200:$C$1199,"魅力"))</f>
        <v/>
      </c>
      <c r="H105" s="131" t="str">
        <f>IF(幕间计算!GI105=0,"",SUMIFS(幕间计算!$E$200:$E$1199,幕间计算!$A$200:$A$1199,B105,幕间计算!$B$200:$B$1199,A105,幕间计算!$C$200:$C$1199,"崩溃点"))</f>
        <v/>
      </c>
      <c r="I105" s="131" t="str">
        <f>IF(幕间计算!GI105=0,"","暴力 "&amp;SUMIFS(幕间计算!$E$200:$E$1199,幕间计算!$A$200:$A$1199,B105,幕间计算!$B$200:$B$1199,A105,幕间计算!$C$200:$C$1199,"暴力进度")&amp;"／无力 "&amp;SUMIFS(幕间计算!$E$200:$E$1199,幕间计算!$A$200:$A$1199,B105,幕间计算!$B$200:$B$1199,A105,幕间计算!$C$200:$C$1199,"无力进度"))</f>
        <v/>
      </c>
      <c r="J105" s="131" t="str">
        <f>IF(幕间计算!GI105=0,"",INDEX(DGArchive[事件／活动],幕间计算!GI105))</f>
        <v/>
      </c>
      <c r="K105" s="131"/>
    </row>
    <row r="106" ht="36" customHeight="1" spans="1:11">
      <c r="A106" s="131" t="str">
        <f>IF(幕间计算!GI106=0,"",INDEX(DGArchive[阶段],幕间计算!GI106))</f>
        <v/>
      </c>
      <c r="B106" s="131" t="str">
        <f>IF(幕间计算!GI106=0,"",INDEX(DGArchive[模组],幕间计算!GI106))</f>
        <v/>
      </c>
      <c r="C106" s="143" t="str">
        <f>IF((IF(幕间计算!GI106=0,"",INDEX(DGArchive[游戏内日期],幕间计算!GI106)))=0,"",IF(幕间计算!GI106=0,"",INDEX(DGArchive[游戏内日期],幕间计算!GI106)))</f>
        <v/>
      </c>
      <c r="D106" s="131" t="str">
        <f>IF(幕间计算!GI106=0,"",SUMIFS(幕间计算!$E$200:$E$1199,幕间计算!$A$200:$A$1199,B106,幕间计算!$B$200:$B$1199,A106,幕间计算!$C$200:$C$1199,"理智"))</f>
        <v/>
      </c>
      <c r="E106" s="131" t="str">
        <f>IF(幕间计算!GI106=0,"",SUMIFS(幕间计算!$E$200:$E$1199,幕间计算!$A$200:$A$1199,B106,幕间计算!$B$200:$B$1199,A106,幕间计算!$C$200:$C$1199,"毅力"))</f>
        <v/>
      </c>
      <c r="F106" s="131" t="str">
        <f>IF(幕间计算!GI106=0,"",SUMIFS(幕间计算!$E$200:$E$1199,幕间计算!$A$200:$A$1199,B106,幕间计算!$B$200:$B$1199,A106,幕间计算!$C$200:$C$1199,"重要关系*"))</f>
        <v/>
      </c>
      <c r="G106" s="131" t="str">
        <f>IF(幕间计算!GI106=0,"",SUMIFS(幕间计算!$E$200:$E$1199,幕间计算!$A$200:$A$1199,B106,幕间计算!$B$200:$B$1199,A106,幕间计算!$C$200:$C$1199,"魅力"))</f>
        <v/>
      </c>
      <c r="H106" s="131" t="str">
        <f>IF(幕间计算!GI106=0,"",SUMIFS(幕间计算!$E$200:$E$1199,幕间计算!$A$200:$A$1199,B106,幕间计算!$B$200:$B$1199,A106,幕间计算!$C$200:$C$1199,"崩溃点"))</f>
        <v/>
      </c>
      <c r="I106" s="131" t="str">
        <f>IF(幕间计算!GI106=0,"","暴力 "&amp;SUMIFS(幕间计算!$E$200:$E$1199,幕间计算!$A$200:$A$1199,B106,幕间计算!$B$200:$B$1199,A106,幕间计算!$C$200:$C$1199,"暴力进度")&amp;"／无力 "&amp;SUMIFS(幕间计算!$E$200:$E$1199,幕间计算!$A$200:$A$1199,B106,幕间计算!$B$200:$B$1199,A106,幕间计算!$C$200:$C$1199,"无力进度"))</f>
        <v/>
      </c>
      <c r="J106" s="131" t="str">
        <f>IF(幕间计算!GI106=0,"",INDEX(DGArchive[事件／活动],幕间计算!GI106))</f>
        <v/>
      </c>
      <c r="K106" s="131"/>
    </row>
    <row r="107" ht="36" customHeight="1" spans="1:11">
      <c r="A107" s="131" t="str">
        <f>IF(幕间计算!GI107=0,"",INDEX(DGArchive[阶段],幕间计算!GI107))</f>
        <v/>
      </c>
      <c r="B107" s="131" t="str">
        <f>IF(幕间计算!GI107=0,"",INDEX(DGArchive[模组],幕间计算!GI107))</f>
        <v/>
      </c>
      <c r="C107" s="143" t="str">
        <f>IF((IF(幕间计算!GI107=0,"",INDEX(DGArchive[游戏内日期],幕间计算!GI107)))=0,"",IF(幕间计算!GI107=0,"",INDEX(DGArchive[游戏内日期],幕间计算!GI107)))</f>
        <v/>
      </c>
      <c r="D107" s="131" t="str">
        <f>IF(幕间计算!GI107=0,"",SUMIFS(幕间计算!$E$200:$E$1199,幕间计算!$A$200:$A$1199,B107,幕间计算!$B$200:$B$1199,A107,幕间计算!$C$200:$C$1199,"理智"))</f>
        <v/>
      </c>
      <c r="E107" s="131" t="str">
        <f>IF(幕间计算!GI107=0,"",SUMIFS(幕间计算!$E$200:$E$1199,幕间计算!$A$200:$A$1199,B107,幕间计算!$B$200:$B$1199,A107,幕间计算!$C$200:$C$1199,"毅力"))</f>
        <v/>
      </c>
      <c r="F107" s="131" t="str">
        <f>IF(幕间计算!GI107=0,"",SUMIFS(幕间计算!$E$200:$E$1199,幕间计算!$A$200:$A$1199,B107,幕间计算!$B$200:$B$1199,A107,幕间计算!$C$200:$C$1199,"重要关系*"))</f>
        <v/>
      </c>
      <c r="G107" s="131" t="str">
        <f>IF(幕间计算!GI107=0,"",SUMIFS(幕间计算!$E$200:$E$1199,幕间计算!$A$200:$A$1199,B107,幕间计算!$B$200:$B$1199,A107,幕间计算!$C$200:$C$1199,"魅力"))</f>
        <v/>
      </c>
      <c r="H107" s="131" t="str">
        <f>IF(幕间计算!GI107=0,"",SUMIFS(幕间计算!$E$200:$E$1199,幕间计算!$A$200:$A$1199,B107,幕间计算!$B$200:$B$1199,A107,幕间计算!$C$200:$C$1199,"崩溃点"))</f>
        <v/>
      </c>
      <c r="I107" s="131" t="str">
        <f>IF(幕间计算!GI107=0,"","暴力 "&amp;SUMIFS(幕间计算!$E$200:$E$1199,幕间计算!$A$200:$A$1199,B107,幕间计算!$B$200:$B$1199,A107,幕间计算!$C$200:$C$1199,"暴力进度")&amp;"／无力 "&amp;SUMIFS(幕间计算!$E$200:$E$1199,幕间计算!$A$200:$A$1199,B107,幕间计算!$B$200:$B$1199,A107,幕间计算!$C$200:$C$1199,"无力进度"))</f>
        <v/>
      </c>
      <c r="J107" s="131" t="str">
        <f>IF(幕间计算!GI107=0,"",INDEX(DGArchive[事件／活动],幕间计算!GI107))</f>
        <v/>
      </c>
      <c r="K107" s="131"/>
    </row>
    <row r="108" ht="36" customHeight="1" spans="1:11">
      <c r="A108" s="131" t="str">
        <f>IF(幕间计算!GI108=0,"",INDEX(DGArchive[阶段],幕间计算!GI108))</f>
        <v/>
      </c>
      <c r="B108" s="131" t="str">
        <f>IF(幕间计算!GI108=0,"",INDEX(DGArchive[模组],幕间计算!GI108))</f>
        <v/>
      </c>
      <c r="C108" s="143" t="str">
        <f>IF((IF(幕间计算!GI108=0,"",INDEX(DGArchive[游戏内日期],幕间计算!GI108)))=0,"",IF(幕间计算!GI108=0,"",INDEX(DGArchive[游戏内日期],幕间计算!GI108)))</f>
        <v/>
      </c>
      <c r="D108" s="131" t="str">
        <f>IF(幕间计算!GI108=0,"",SUMIFS(幕间计算!$E$200:$E$1199,幕间计算!$A$200:$A$1199,B108,幕间计算!$B$200:$B$1199,A108,幕间计算!$C$200:$C$1199,"理智"))</f>
        <v/>
      </c>
      <c r="E108" s="131" t="str">
        <f>IF(幕间计算!GI108=0,"",SUMIFS(幕间计算!$E$200:$E$1199,幕间计算!$A$200:$A$1199,B108,幕间计算!$B$200:$B$1199,A108,幕间计算!$C$200:$C$1199,"毅力"))</f>
        <v/>
      </c>
      <c r="F108" s="131" t="str">
        <f>IF(幕间计算!GI108=0,"",SUMIFS(幕间计算!$E$200:$E$1199,幕间计算!$A$200:$A$1199,B108,幕间计算!$B$200:$B$1199,A108,幕间计算!$C$200:$C$1199,"重要关系*"))</f>
        <v/>
      </c>
      <c r="G108" s="131" t="str">
        <f>IF(幕间计算!GI108=0,"",SUMIFS(幕间计算!$E$200:$E$1199,幕间计算!$A$200:$A$1199,B108,幕间计算!$B$200:$B$1199,A108,幕间计算!$C$200:$C$1199,"魅力"))</f>
        <v/>
      </c>
      <c r="H108" s="131" t="str">
        <f>IF(幕间计算!GI108=0,"",SUMIFS(幕间计算!$E$200:$E$1199,幕间计算!$A$200:$A$1199,B108,幕间计算!$B$200:$B$1199,A108,幕间计算!$C$200:$C$1199,"崩溃点"))</f>
        <v/>
      </c>
      <c r="I108" s="131" t="str">
        <f>IF(幕间计算!GI108=0,"","暴力 "&amp;SUMIFS(幕间计算!$E$200:$E$1199,幕间计算!$A$200:$A$1199,B108,幕间计算!$B$200:$B$1199,A108,幕间计算!$C$200:$C$1199,"暴力进度")&amp;"／无力 "&amp;SUMIFS(幕间计算!$E$200:$E$1199,幕间计算!$A$200:$A$1199,B108,幕间计算!$B$200:$B$1199,A108,幕间计算!$C$200:$C$1199,"无力进度"))</f>
        <v/>
      </c>
      <c r="J108" s="131" t="str">
        <f>IF(幕间计算!GI108=0,"",INDEX(DGArchive[事件／活动],幕间计算!GI108))</f>
        <v/>
      </c>
      <c r="K108" s="131"/>
    </row>
    <row r="109" ht="36" customHeight="1" spans="1:11">
      <c r="A109" s="131" t="str">
        <f>IF(幕间计算!GI109=0,"",INDEX(DGArchive[阶段],幕间计算!GI109))</f>
        <v/>
      </c>
      <c r="B109" s="131" t="str">
        <f>IF(幕间计算!GI109=0,"",INDEX(DGArchive[模组],幕间计算!GI109))</f>
        <v/>
      </c>
      <c r="C109" s="143" t="str">
        <f>IF((IF(幕间计算!GI109=0,"",INDEX(DGArchive[游戏内日期],幕间计算!GI109)))=0,"",IF(幕间计算!GI109=0,"",INDEX(DGArchive[游戏内日期],幕间计算!GI109)))</f>
        <v/>
      </c>
      <c r="D109" s="131" t="str">
        <f>IF(幕间计算!GI109=0,"",SUMIFS(幕间计算!$E$200:$E$1199,幕间计算!$A$200:$A$1199,B109,幕间计算!$B$200:$B$1199,A109,幕间计算!$C$200:$C$1199,"理智"))</f>
        <v/>
      </c>
      <c r="E109" s="131" t="str">
        <f>IF(幕间计算!GI109=0,"",SUMIFS(幕间计算!$E$200:$E$1199,幕间计算!$A$200:$A$1199,B109,幕间计算!$B$200:$B$1199,A109,幕间计算!$C$200:$C$1199,"毅力"))</f>
        <v/>
      </c>
      <c r="F109" s="131" t="str">
        <f>IF(幕间计算!GI109=0,"",SUMIFS(幕间计算!$E$200:$E$1199,幕间计算!$A$200:$A$1199,B109,幕间计算!$B$200:$B$1199,A109,幕间计算!$C$200:$C$1199,"重要关系*"))</f>
        <v/>
      </c>
      <c r="G109" s="131" t="str">
        <f>IF(幕间计算!GI109=0,"",SUMIFS(幕间计算!$E$200:$E$1199,幕间计算!$A$200:$A$1199,B109,幕间计算!$B$200:$B$1199,A109,幕间计算!$C$200:$C$1199,"魅力"))</f>
        <v/>
      </c>
      <c r="H109" s="131" t="str">
        <f>IF(幕间计算!GI109=0,"",SUMIFS(幕间计算!$E$200:$E$1199,幕间计算!$A$200:$A$1199,B109,幕间计算!$B$200:$B$1199,A109,幕间计算!$C$200:$C$1199,"崩溃点"))</f>
        <v/>
      </c>
      <c r="I109" s="131" t="str">
        <f>IF(幕间计算!GI109=0,"","暴力 "&amp;SUMIFS(幕间计算!$E$200:$E$1199,幕间计算!$A$200:$A$1199,B109,幕间计算!$B$200:$B$1199,A109,幕间计算!$C$200:$C$1199,"暴力进度")&amp;"／无力 "&amp;SUMIFS(幕间计算!$E$200:$E$1199,幕间计算!$A$200:$A$1199,B109,幕间计算!$B$200:$B$1199,A109,幕间计算!$C$200:$C$1199,"无力进度"))</f>
        <v/>
      </c>
      <c r="J109" s="131" t="str">
        <f>IF(幕间计算!GI109=0,"",INDEX(DGArchive[事件／活动],幕间计算!GI109))</f>
        <v/>
      </c>
      <c r="K109" s="131"/>
    </row>
    <row r="110" ht="36" customHeight="1" spans="1:11">
      <c r="A110" s="131" t="str">
        <f>IF(幕间计算!GI110=0,"",INDEX(DGArchive[阶段],幕间计算!GI110))</f>
        <v/>
      </c>
      <c r="B110" s="131" t="str">
        <f>IF(幕间计算!GI110=0,"",INDEX(DGArchive[模组],幕间计算!GI110))</f>
        <v/>
      </c>
      <c r="C110" s="143" t="str">
        <f>IF((IF(幕间计算!GI110=0,"",INDEX(DGArchive[游戏内日期],幕间计算!GI110)))=0,"",IF(幕间计算!GI110=0,"",INDEX(DGArchive[游戏内日期],幕间计算!GI110)))</f>
        <v/>
      </c>
      <c r="D110" s="131" t="str">
        <f>IF(幕间计算!GI110=0,"",SUMIFS(幕间计算!$E$200:$E$1199,幕间计算!$A$200:$A$1199,B110,幕间计算!$B$200:$B$1199,A110,幕间计算!$C$200:$C$1199,"理智"))</f>
        <v/>
      </c>
      <c r="E110" s="131" t="str">
        <f>IF(幕间计算!GI110=0,"",SUMIFS(幕间计算!$E$200:$E$1199,幕间计算!$A$200:$A$1199,B110,幕间计算!$B$200:$B$1199,A110,幕间计算!$C$200:$C$1199,"毅力"))</f>
        <v/>
      </c>
      <c r="F110" s="131" t="str">
        <f>IF(幕间计算!GI110=0,"",SUMIFS(幕间计算!$E$200:$E$1199,幕间计算!$A$200:$A$1199,B110,幕间计算!$B$200:$B$1199,A110,幕间计算!$C$200:$C$1199,"重要关系*"))</f>
        <v/>
      </c>
      <c r="G110" s="131" t="str">
        <f>IF(幕间计算!GI110=0,"",SUMIFS(幕间计算!$E$200:$E$1199,幕间计算!$A$200:$A$1199,B110,幕间计算!$B$200:$B$1199,A110,幕间计算!$C$200:$C$1199,"魅力"))</f>
        <v/>
      </c>
      <c r="H110" s="131" t="str">
        <f>IF(幕间计算!GI110=0,"",SUMIFS(幕间计算!$E$200:$E$1199,幕间计算!$A$200:$A$1199,B110,幕间计算!$B$200:$B$1199,A110,幕间计算!$C$200:$C$1199,"崩溃点"))</f>
        <v/>
      </c>
      <c r="I110" s="131" t="str">
        <f>IF(幕间计算!GI110=0,"","暴力 "&amp;SUMIFS(幕间计算!$E$200:$E$1199,幕间计算!$A$200:$A$1199,B110,幕间计算!$B$200:$B$1199,A110,幕间计算!$C$200:$C$1199,"暴力进度")&amp;"／无力 "&amp;SUMIFS(幕间计算!$E$200:$E$1199,幕间计算!$A$200:$A$1199,B110,幕间计算!$B$200:$B$1199,A110,幕间计算!$C$200:$C$1199,"无力进度"))</f>
        <v/>
      </c>
      <c r="J110" s="131" t="str">
        <f>IF(幕间计算!GI110=0,"",INDEX(DGArchive[事件／活动],幕间计算!GI110))</f>
        <v/>
      </c>
      <c r="K110" s="131"/>
    </row>
    <row r="111" ht="36" customHeight="1" spans="1:11">
      <c r="A111" s="131" t="str">
        <f>IF(幕间计算!GI111=0,"",INDEX(DGArchive[阶段],幕间计算!GI111))</f>
        <v/>
      </c>
      <c r="B111" s="131" t="str">
        <f>IF(幕间计算!GI111=0,"",INDEX(DGArchive[模组],幕间计算!GI111))</f>
        <v/>
      </c>
      <c r="C111" s="143" t="str">
        <f>IF((IF(幕间计算!GI111=0,"",INDEX(DGArchive[游戏内日期],幕间计算!GI111)))=0,"",IF(幕间计算!GI111=0,"",INDEX(DGArchive[游戏内日期],幕间计算!GI111)))</f>
        <v/>
      </c>
      <c r="D111" s="131" t="str">
        <f>IF(幕间计算!GI111=0,"",SUMIFS(幕间计算!$E$200:$E$1199,幕间计算!$A$200:$A$1199,B111,幕间计算!$B$200:$B$1199,A111,幕间计算!$C$200:$C$1199,"理智"))</f>
        <v/>
      </c>
      <c r="E111" s="131" t="str">
        <f>IF(幕间计算!GI111=0,"",SUMIFS(幕间计算!$E$200:$E$1199,幕间计算!$A$200:$A$1199,B111,幕间计算!$B$200:$B$1199,A111,幕间计算!$C$200:$C$1199,"毅力"))</f>
        <v/>
      </c>
      <c r="F111" s="131" t="str">
        <f>IF(幕间计算!GI111=0,"",SUMIFS(幕间计算!$E$200:$E$1199,幕间计算!$A$200:$A$1199,B111,幕间计算!$B$200:$B$1199,A111,幕间计算!$C$200:$C$1199,"重要关系*"))</f>
        <v/>
      </c>
      <c r="G111" s="131" t="str">
        <f>IF(幕间计算!GI111=0,"",SUMIFS(幕间计算!$E$200:$E$1199,幕间计算!$A$200:$A$1199,B111,幕间计算!$B$200:$B$1199,A111,幕间计算!$C$200:$C$1199,"魅力"))</f>
        <v/>
      </c>
      <c r="H111" s="131" t="str">
        <f>IF(幕间计算!GI111=0,"",SUMIFS(幕间计算!$E$200:$E$1199,幕间计算!$A$200:$A$1199,B111,幕间计算!$B$200:$B$1199,A111,幕间计算!$C$200:$C$1199,"崩溃点"))</f>
        <v/>
      </c>
      <c r="I111" s="131" t="str">
        <f>IF(幕间计算!GI111=0,"","暴力 "&amp;SUMIFS(幕间计算!$E$200:$E$1199,幕间计算!$A$200:$A$1199,B111,幕间计算!$B$200:$B$1199,A111,幕间计算!$C$200:$C$1199,"暴力进度")&amp;"／无力 "&amp;SUMIFS(幕间计算!$E$200:$E$1199,幕间计算!$A$200:$A$1199,B111,幕间计算!$B$200:$B$1199,A111,幕间计算!$C$200:$C$1199,"无力进度"))</f>
        <v/>
      </c>
      <c r="J111" s="131" t="str">
        <f>IF(幕间计算!GI111=0,"",INDEX(DGArchive[事件／活动],幕间计算!GI111))</f>
        <v/>
      </c>
      <c r="K111" s="131"/>
    </row>
    <row r="112" ht="36" customHeight="1" spans="1:11">
      <c r="A112" s="131" t="str">
        <f>IF(幕间计算!GI112=0,"",INDEX(DGArchive[阶段],幕间计算!GI112))</f>
        <v/>
      </c>
      <c r="B112" s="131" t="str">
        <f>IF(幕间计算!GI112=0,"",INDEX(DGArchive[模组],幕间计算!GI112))</f>
        <v/>
      </c>
      <c r="C112" s="143" t="str">
        <f>IF((IF(幕间计算!GI112=0,"",INDEX(DGArchive[游戏内日期],幕间计算!GI112)))=0,"",IF(幕间计算!GI112=0,"",INDEX(DGArchive[游戏内日期],幕间计算!GI112)))</f>
        <v/>
      </c>
      <c r="D112" s="131" t="str">
        <f>IF(幕间计算!GI112=0,"",SUMIFS(幕间计算!$E$200:$E$1199,幕间计算!$A$200:$A$1199,B112,幕间计算!$B$200:$B$1199,A112,幕间计算!$C$200:$C$1199,"理智"))</f>
        <v/>
      </c>
      <c r="E112" s="131" t="str">
        <f>IF(幕间计算!GI112=0,"",SUMIFS(幕间计算!$E$200:$E$1199,幕间计算!$A$200:$A$1199,B112,幕间计算!$B$200:$B$1199,A112,幕间计算!$C$200:$C$1199,"毅力"))</f>
        <v/>
      </c>
      <c r="F112" s="131" t="str">
        <f>IF(幕间计算!GI112=0,"",SUMIFS(幕间计算!$E$200:$E$1199,幕间计算!$A$200:$A$1199,B112,幕间计算!$B$200:$B$1199,A112,幕间计算!$C$200:$C$1199,"重要关系*"))</f>
        <v/>
      </c>
      <c r="G112" s="131" t="str">
        <f>IF(幕间计算!GI112=0,"",SUMIFS(幕间计算!$E$200:$E$1199,幕间计算!$A$200:$A$1199,B112,幕间计算!$B$200:$B$1199,A112,幕间计算!$C$200:$C$1199,"魅力"))</f>
        <v/>
      </c>
      <c r="H112" s="131" t="str">
        <f>IF(幕间计算!GI112=0,"",SUMIFS(幕间计算!$E$200:$E$1199,幕间计算!$A$200:$A$1199,B112,幕间计算!$B$200:$B$1199,A112,幕间计算!$C$200:$C$1199,"崩溃点"))</f>
        <v/>
      </c>
      <c r="I112" s="131" t="str">
        <f>IF(幕间计算!GI112=0,"","暴力 "&amp;SUMIFS(幕间计算!$E$200:$E$1199,幕间计算!$A$200:$A$1199,B112,幕间计算!$B$200:$B$1199,A112,幕间计算!$C$200:$C$1199,"暴力进度")&amp;"／无力 "&amp;SUMIFS(幕间计算!$E$200:$E$1199,幕间计算!$A$200:$A$1199,B112,幕间计算!$B$200:$B$1199,A112,幕间计算!$C$200:$C$1199,"无力进度"))</f>
        <v/>
      </c>
      <c r="J112" s="131" t="str">
        <f>IF(幕间计算!GI112=0,"",INDEX(DGArchive[事件／活动],幕间计算!GI112))</f>
        <v/>
      </c>
      <c r="K112" s="131"/>
    </row>
    <row r="113" ht="36" customHeight="1" spans="1:11">
      <c r="A113" s="131" t="str">
        <f>IF(幕间计算!GI113=0,"",INDEX(DGArchive[阶段],幕间计算!GI113))</f>
        <v/>
      </c>
      <c r="B113" s="131" t="str">
        <f>IF(幕间计算!GI113=0,"",INDEX(DGArchive[模组],幕间计算!GI113))</f>
        <v/>
      </c>
      <c r="C113" s="143" t="str">
        <f>IF((IF(幕间计算!GI113=0,"",INDEX(DGArchive[游戏内日期],幕间计算!GI113)))=0,"",IF(幕间计算!GI113=0,"",INDEX(DGArchive[游戏内日期],幕间计算!GI113)))</f>
        <v/>
      </c>
      <c r="D113" s="131" t="str">
        <f>IF(幕间计算!GI113=0,"",SUMIFS(幕间计算!$E$200:$E$1199,幕间计算!$A$200:$A$1199,B113,幕间计算!$B$200:$B$1199,A113,幕间计算!$C$200:$C$1199,"理智"))</f>
        <v/>
      </c>
      <c r="E113" s="131" t="str">
        <f>IF(幕间计算!GI113=0,"",SUMIFS(幕间计算!$E$200:$E$1199,幕间计算!$A$200:$A$1199,B113,幕间计算!$B$200:$B$1199,A113,幕间计算!$C$200:$C$1199,"毅力"))</f>
        <v/>
      </c>
      <c r="F113" s="131" t="str">
        <f>IF(幕间计算!GI113=0,"",SUMIFS(幕间计算!$E$200:$E$1199,幕间计算!$A$200:$A$1199,B113,幕间计算!$B$200:$B$1199,A113,幕间计算!$C$200:$C$1199,"重要关系*"))</f>
        <v/>
      </c>
      <c r="G113" s="131" t="str">
        <f>IF(幕间计算!GI113=0,"",SUMIFS(幕间计算!$E$200:$E$1199,幕间计算!$A$200:$A$1199,B113,幕间计算!$B$200:$B$1199,A113,幕间计算!$C$200:$C$1199,"魅力"))</f>
        <v/>
      </c>
      <c r="H113" s="131" t="str">
        <f>IF(幕间计算!GI113=0,"",SUMIFS(幕间计算!$E$200:$E$1199,幕间计算!$A$200:$A$1199,B113,幕间计算!$B$200:$B$1199,A113,幕间计算!$C$200:$C$1199,"崩溃点"))</f>
        <v/>
      </c>
      <c r="I113" s="131" t="str">
        <f>IF(幕间计算!GI113=0,"","暴力 "&amp;SUMIFS(幕间计算!$E$200:$E$1199,幕间计算!$A$200:$A$1199,B113,幕间计算!$B$200:$B$1199,A113,幕间计算!$C$200:$C$1199,"暴力进度")&amp;"／无力 "&amp;SUMIFS(幕间计算!$E$200:$E$1199,幕间计算!$A$200:$A$1199,B113,幕间计算!$B$200:$B$1199,A113,幕间计算!$C$200:$C$1199,"无力进度"))</f>
        <v/>
      </c>
      <c r="J113" s="131" t="str">
        <f>IF(幕间计算!GI113=0,"",INDEX(DGArchive[事件／活动],幕间计算!GI113))</f>
        <v/>
      </c>
      <c r="K113" s="131"/>
    </row>
    <row r="114" ht="36" customHeight="1" spans="1:11">
      <c r="A114" s="131" t="str">
        <f>IF(幕间计算!GI114=0,"",INDEX(DGArchive[阶段],幕间计算!GI114))</f>
        <v/>
      </c>
      <c r="B114" s="131" t="str">
        <f>IF(幕间计算!GI114=0,"",INDEX(DGArchive[模组],幕间计算!GI114))</f>
        <v/>
      </c>
      <c r="C114" s="143" t="str">
        <f>IF((IF(幕间计算!GI114=0,"",INDEX(DGArchive[游戏内日期],幕间计算!GI114)))=0,"",IF(幕间计算!GI114=0,"",INDEX(DGArchive[游戏内日期],幕间计算!GI114)))</f>
        <v/>
      </c>
      <c r="D114" s="131" t="str">
        <f>IF(幕间计算!GI114=0,"",SUMIFS(幕间计算!$E$200:$E$1199,幕间计算!$A$200:$A$1199,B114,幕间计算!$B$200:$B$1199,A114,幕间计算!$C$200:$C$1199,"理智"))</f>
        <v/>
      </c>
      <c r="E114" s="131" t="str">
        <f>IF(幕间计算!GI114=0,"",SUMIFS(幕间计算!$E$200:$E$1199,幕间计算!$A$200:$A$1199,B114,幕间计算!$B$200:$B$1199,A114,幕间计算!$C$200:$C$1199,"毅力"))</f>
        <v/>
      </c>
      <c r="F114" s="131" t="str">
        <f>IF(幕间计算!GI114=0,"",SUMIFS(幕间计算!$E$200:$E$1199,幕间计算!$A$200:$A$1199,B114,幕间计算!$B$200:$B$1199,A114,幕间计算!$C$200:$C$1199,"重要关系*"))</f>
        <v/>
      </c>
      <c r="G114" s="131" t="str">
        <f>IF(幕间计算!GI114=0,"",SUMIFS(幕间计算!$E$200:$E$1199,幕间计算!$A$200:$A$1199,B114,幕间计算!$B$200:$B$1199,A114,幕间计算!$C$200:$C$1199,"魅力"))</f>
        <v/>
      </c>
      <c r="H114" s="131" t="str">
        <f>IF(幕间计算!GI114=0,"",SUMIFS(幕间计算!$E$200:$E$1199,幕间计算!$A$200:$A$1199,B114,幕间计算!$B$200:$B$1199,A114,幕间计算!$C$200:$C$1199,"崩溃点"))</f>
        <v/>
      </c>
      <c r="I114" s="131" t="str">
        <f>IF(幕间计算!GI114=0,"","暴力 "&amp;SUMIFS(幕间计算!$E$200:$E$1199,幕间计算!$A$200:$A$1199,B114,幕间计算!$B$200:$B$1199,A114,幕间计算!$C$200:$C$1199,"暴力进度")&amp;"／无力 "&amp;SUMIFS(幕间计算!$E$200:$E$1199,幕间计算!$A$200:$A$1199,B114,幕间计算!$B$200:$B$1199,A114,幕间计算!$C$200:$C$1199,"无力进度"))</f>
        <v/>
      </c>
      <c r="J114" s="131" t="str">
        <f>IF(幕间计算!GI114=0,"",INDEX(DGArchive[事件／活动],幕间计算!GI114))</f>
        <v/>
      </c>
      <c r="K114" s="131"/>
    </row>
    <row r="115" ht="36" customHeight="1" spans="1:11">
      <c r="A115" s="131" t="str">
        <f>IF(幕间计算!GI115=0,"",INDEX(DGArchive[阶段],幕间计算!GI115))</f>
        <v/>
      </c>
      <c r="B115" s="131" t="str">
        <f>IF(幕间计算!GI115=0,"",INDEX(DGArchive[模组],幕间计算!GI115))</f>
        <v/>
      </c>
      <c r="C115" s="143" t="str">
        <f>IF((IF(幕间计算!GI115=0,"",INDEX(DGArchive[游戏内日期],幕间计算!GI115)))=0,"",IF(幕间计算!GI115=0,"",INDEX(DGArchive[游戏内日期],幕间计算!GI115)))</f>
        <v/>
      </c>
      <c r="D115" s="131" t="str">
        <f>IF(幕间计算!GI115=0,"",SUMIFS(幕间计算!$E$200:$E$1199,幕间计算!$A$200:$A$1199,B115,幕间计算!$B$200:$B$1199,A115,幕间计算!$C$200:$C$1199,"理智"))</f>
        <v/>
      </c>
      <c r="E115" s="131" t="str">
        <f>IF(幕间计算!GI115=0,"",SUMIFS(幕间计算!$E$200:$E$1199,幕间计算!$A$200:$A$1199,B115,幕间计算!$B$200:$B$1199,A115,幕间计算!$C$200:$C$1199,"毅力"))</f>
        <v/>
      </c>
      <c r="F115" s="131" t="str">
        <f>IF(幕间计算!GI115=0,"",SUMIFS(幕间计算!$E$200:$E$1199,幕间计算!$A$200:$A$1199,B115,幕间计算!$B$200:$B$1199,A115,幕间计算!$C$200:$C$1199,"重要关系*"))</f>
        <v/>
      </c>
      <c r="G115" s="131" t="str">
        <f>IF(幕间计算!GI115=0,"",SUMIFS(幕间计算!$E$200:$E$1199,幕间计算!$A$200:$A$1199,B115,幕间计算!$B$200:$B$1199,A115,幕间计算!$C$200:$C$1199,"魅力"))</f>
        <v/>
      </c>
      <c r="H115" s="131" t="str">
        <f>IF(幕间计算!GI115=0,"",SUMIFS(幕间计算!$E$200:$E$1199,幕间计算!$A$200:$A$1199,B115,幕间计算!$B$200:$B$1199,A115,幕间计算!$C$200:$C$1199,"崩溃点"))</f>
        <v/>
      </c>
      <c r="I115" s="131" t="str">
        <f>IF(幕间计算!GI115=0,"","暴力 "&amp;SUMIFS(幕间计算!$E$200:$E$1199,幕间计算!$A$200:$A$1199,B115,幕间计算!$B$200:$B$1199,A115,幕间计算!$C$200:$C$1199,"暴力进度")&amp;"／无力 "&amp;SUMIFS(幕间计算!$E$200:$E$1199,幕间计算!$A$200:$A$1199,B115,幕间计算!$B$200:$B$1199,A115,幕间计算!$C$200:$C$1199,"无力进度"))</f>
        <v/>
      </c>
      <c r="J115" s="131" t="str">
        <f>IF(幕间计算!GI115=0,"",INDEX(DGArchive[事件／活动],幕间计算!GI115))</f>
        <v/>
      </c>
      <c r="K115" s="131"/>
    </row>
    <row r="116" ht="36" customHeight="1" spans="1:11">
      <c r="A116" s="131" t="str">
        <f>IF(幕间计算!GI116=0,"",INDEX(DGArchive[阶段],幕间计算!GI116))</f>
        <v/>
      </c>
      <c r="B116" s="131" t="str">
        <f>IF(幕间计算!GI116=0,"",INDEX(DGArchive[模组],幕间计算!GI116))</f>
        <v/>
      </c>
      <c r="C116" s="143" t="str">
        <f>IF((IF(幕间计算!GI116=0,"",INDEX(DGArchive[游戏内日期],幕间计算!GI116)))=0,"",IF(幕间计算!GI116=0,"",INDEX(DGArchive[游戏内日期],幕间计算!GI116)))</f>
        <v/>
      </c>
      <c r="D116" s="131" t="str">
        <f>IF(幕间计算!GI116=0,"",SUMIFS(幕间计算!$E$200:$E$1199,幕间计算!$A$200:$A$1199,B116,幕间计算!$B$200:$B$1199,A116,幕间计算!$C$200:$C$1199,"理智"))</f>
        <v/>
      </c>
      <c r="E116" s="131" t="str">
        <f>IF(幕间计算!GI116=0,"",SUMIFS(幕间计算!$E$200:$E$1199,幕间计算!$A$200:$A$1199,B116,幕间计算!$B$200:$B$1199,A116,幕间计算!$C$200:$C$1199,"毅力"))</f>
        <v/>
      </c>
      <c r="F116" s="131" t="str">
        <f>IF(幕间计算!GI116=0,"",SUMIFS(幕间计算!$E$200:$E$1199,幕间计算!$A$200:$A$1199,B116,幕间计算!$B$200:$B$1199,A116,幕间计算!$C$200:$C$1199,"重要关系*"))</f>
        <v/>
      </c>
      <c r="G116" s="131" t="str">
        <f>IF(幕间计算!GI116=0,"",SUMIFS(幕间计算!$E$200:$E$1199,幕间计算!$A$200:$A$1199,B116,幕间计算!$B$200:$B$1199,A116,幕间计算!$C$200:$C$1199,"魅力"))</f>
        <v/>
      </c>
      <c r="H116" s="131" t="str">
        <f>IF(幕间计算!GI116=0,"",SUMIFS(幕间计算!$E$200:$E$1199,幕间计算!$A$200:$A$1199,B116,幕间计算!$B$200:$B$1199,A116,幕间计算!$C$200:$C$1199,"崩溃点"))</f>
        <v/>
      </c>
      <c r="I116" s="131" t="str">
        <f>IF(幕间计算!GI116=0,"","暴力 "&amp;SUMIFS(幕间计算!$E$200:$E$1199,幕间计算!$A$200:$A$1199,B116,幕间计算!$B$200:$B$1199,A116,幕间计算!$C$200:$C$1199,"暴力进度")&amp;"／无力 "&amp;SUMIFS(幕间计算!$E$200:$E$1199,幕间计算!$A$200:$A$1199,B116,幕间计算!$B$200:$B$1199,A116,幕间计算!$C$200:$C$1199,"无力进度"))</f>
        <v/>
      </c>
      <c r="J116" s="131" t="str">
        <f>IF(幕间计算!GI116=0,"",INDEX(DGArchive[事件／活动],幕间计算!GI116))</f>
        <v/>
      </c>
      <c r="K116" s="131"/>
    </row>
    <row r="117" ht="36" customHeight="1" spans="1:11">
      <c r="A117" s="131" t="str">
        <f>IF(幕间计算!GI117=0,"",INDEX(DGArchive[阶段],幕间计算!GI117))</f>
        <v/>
      </c>
      <c r="B117" s="131" t="str">
        <f>IF(幕间计算!GI117=0,"",INDEX(DGArchive[模组],幕间计算!GI117))</f>
        <v/>
      </c>
      <c r="C117" s="143" t="str">
        <f>IF((IF(幕间计算!GI117=0,"",INDEX(DGArchive[游戏内日期],幕间计算!GI117)))=0,"",IF(幕间计算!GI117=0,"",INDEX(DGArchive[游戏内日期],幕间计算!GI117)))</f>
        <v/>
      </c>
      <c r="D117" s="131" t="str">
        <f>IF(幕间计算!GI117=0,"",SUMIFS(幕间计算!$E$200:$E$1199,幕间计算!$A$200:$A$1199,B117,幕间计算!$B$200:$B$1199,A117,幕间计算!$C$200:$C$1199,"理智"))</f>
        <v/>
      </c>
      <c r="E117" s="131" t="str">
        <f>IF(幕间计算!GI117=0,"",SUMIFS(幕间计算!$E$200:$E$1199,幕间计算!$A$200:$A$1199,B117,幕间计算!$B$200:$B$1199,A117,幕间计算!$C$200:$C$1199,"毅力"))</f>
        <v/>
      </c>
      <c r="F117" s="131" t="str">
        <f>IF(幕间计算!GI117=0,"",SUMIFS(幕间计算!$E$200:$E$1199,幕间计算!$A$200:$A$1199,B117,幕间计算!$B$200:$B$1199,A117,幕间计算!$C$200:$C$1199,"重要关系*"))</f>
        <v/>
      </c>
      <c r="G117" s="131" t="str">
        <f>IF(幕间计算!GI117=0,"",SUMIFS(幕间计算!$E$200:$E$1199,幕间计算!$A$200:$A$1199,B117,幕间计算!$B$200:$B$1199,A117,幕间计算!$C$200:$C$1199,"魅力"))</f>
        <v/>
      </c>
      <c r="H117" s="131" t="str">
        <f>IF(幕间计算!GI117=0,"",SUMIFS(幕间计算!$E$200:$E$1199,幕间计算!$A$200:$A$1199,B117,幕间计算!$B$200:$B$1199,A117,幕间计算!$C$200:$C$1199,"崩溃点"))</f>
        <v/>
      </c>
      <c r="I117" s="131" t="str">
        <f>IF(幕间计算!GI117=0,"","暴力 "&amp;SUMIFS(幕间计算!$E$200:$E$1199,幕间计算!$A$200:$A$1199,B117,幕间计算!$B$200:$B$1199,A117,幕间计算!$C$200:$C$1199,"暴力进度")&amp;"／无力 "&amp;SUMIFS(幕间计算!$E$200:$E$1199,幕间计算!$A$200:$A$1199,B117,幕间计算!$B$200:$B$1199,A117,幕间计算!$C$200:$C$1199,"无力进度"))</f>
        <v/>
      </c>
      <c r="J117" s="131" t="str">
        <f>IF(幕间计算!GI117=0,"",INDEX(DGArchive[事件／活动],幕间计算!GI117))</f>
        <v/>
      </c>
      <c r="K117" s="131"/>
    </row>
    <row r="118" ht="36" customHeight="1" spans="1:11">
      <c r="A118" s="131" t="str">
        <f>IF(幕间计算!GI118=0,"",INDEX(DGArchive[阶段],幕间计算!GI118))</f>
        <v/>
      </c>
      <c r="B118" s="131" t="str">
        <f>IF(幕间计算!GI118=0,"",INDEX(DGArchive[模组],幕间计算!GI118))</f>
        <v/>
      </c>
      <c r="C118" s="143" t="str">
        <f>IF((IF(幕间计算!GI118=0,"",INDEX(DGArchive[游戏内日期],幕间计算!GI118)))=0,"",IF(幕间计算!GI118=0,"",INDEX(DGArchive[游戏内日期],幕间计算!GI118)))</f>
        <v/>
      </c>
      <c r="D118" s="131" t="str">
        <f>IF(幕间计算!GI118=0,"",SUMIFS(幕间计算!$E$200:$E$1199,幕间计算!$A$200:$A$1199,B118,幕间计算!$B$200:$B$1199,A118,幕间计算!$C$200:$C$1199,"理智"))</f>
        <v/>
      </c>
      <c r="E118" s="131" t="str">
        <f>IF(幕间计算!GI118=0,"",SUMIFS(幕间计算!$E$200:$E$1199,幕间计算!$A$200:$A$1199,B118,幕间计算!$B$200:$B$1199,A118,幕间计算!$C$200:$C$1199,"毅力"))</f>
        <v/>
      </c>
      <c r="F118" s="131" t="str">
        <f>IF(幕间计算!GI118=0,"",SUMIFS(幕间计算!$E$200:$E$1199,幕间计算!$A$200:$A$1199,B118,幕间计算!$B$200:$B$1199,A118,幕间计算!$C$200:$C$1199,"重要关系*"))</f>
        <v/>
      </c>
      <c r="G118" s="131" t="str">
        <f>IF(幕间计算!GI118=0,"",SUMIFS(幕间计算!$E$200:$E$1199,幕间计算!$A$200:$A$1199,B118,幕间计算!$B$200:$B$1199,A118,幕间计算!$C$200:$C$1199,"魅力"))</f>
        <v/>
      </c>
      <c r="H118" s="131" t="str">
        <f>IF(幕间计算!GI118=0,"",SUMIFS(幕间计算!$E$200:$E$1199,幕间计算!$A$200:$A$1199,B118,幕间计算!$B$200:$B$1199,A118,幕间计算!$C$200:$C$1199,"崩溃点"))</f>
        <v/>
      </c>
      <c r="I118" s="131" t="str">
        <f>IF(幕间计算!GI118=0,"","暴力 "&amp;SUMIFS(幕间计算!$E$200:$E$1199,幕间计算!$A$200:$A$1199,B118,幕间计算!$B$200:$B$1199,A118,幕间计算!$C$200:$C$1199,"暴力进度")&amp;"／无力 "&amp;SUMIFS(幕间计算!$E$200:$E$1199,幕间计算!$A$200:$A$1199,B118,幕间计算!$B$200:$B$1199,A118,幕间计算!$C$200:$C$1199,"无力进度"))</f>
        <v/>
      </c>
      <c r="J118" s="131" t="str">
        <f>IF(幕间计算!GI118=0,"",INDEX(DGArchive[事件／活动],幕间计算!GI118))</f>
        <v/>
      </c>
      <c r="K118" s="131"/>
    </row>
    <row r="119" ht="36" customHeight="1" spans="1:11">
      <c r="A119" s="131" t="str">
        <f>IF(幕间计算!GI119=0,"",INDEX(DGArchive[阶段],幕间计算!GI119))</f>
        <v/>
      </c>
      <c r="B119" s="131" t="str">
        <f>IF(幕间计算!GI119=0,"",INDEX(DGArchive[模组],幕间计算!GI119))</f>
        <v/>
      </c>
      <c r="C119" s="143" t="str">
        <f>IF((IF(幕间计算!GI119=0,"",INDEX(DGArchive[游戏内日期],幕间计算!GI119)))=0,"",IF(幕间计算!GI119=0,"",INDEX(DGArchive[游戏内日期],幕间计算!GI119)))</f>
        <v/>
      </c>
      <c r="D119" s="131" t="str">
        <f>IF(幕间计算!GI119=0,"",SUMIFS(幕间计算!$E$200:$E$1199,幕间计算!$A$200:$A$1199,B119,幕间计算!$B$200:$B$1199,A119,幕间计算!$C$200:$C$1199,"理智"))</f>
        <v/>
      </c>
      <c r="E119" s="131" t="str">
        <f>IF(幕间计算!GI119=0,"",SUMIFS(幕间计算!$E$200:$E$1199,幕间计算!$A$200:$A$1199,B119,幕间计算!$B$200:$B$1199,A119,幕间计算!$C$200:$C$1199,"毅力"))</f>
        <v/>
      </c>
      <c r="F119" s="131" t="str">
        <f>IF(幕间计算!GI119=0,"",SUMIFS(幕间计算!$E$200:$E$1199,幕间计算!$A$200:$A$1199,B119,幕间计算!$B$200:$B$1199,A119,幕间计算!$C$200:$C$1199,"重要关系*"))</f>
        <v/>
      </c>
      <c r="G119" s="131" t="str">
        <f>IF(幕间计算!GI119=0,"",SUMIFS(幕间计算!$E$200:$E$1199,幕间计算!$A$200:$A$1199,B119,幕间计算!$B$200:$B$1199,A119,幕间计算!$C$200:$C$1199,"魅力"))</f>
        <v/>
      </c>
      <c r="H119" s="131" t="str">
        <f>IF(幕间计算!GI119=0,"",SUMIFS(幕间计算!$E$200:$E$1199,幕间计算!$A$200:$A$1199,B119,幕间计算!$B$200:$B$1199,A119,幕间计算!$C$200:$C$1199,"崩溃点"))</f>
        <v/>
      </c>
      <c r="I119" s="131" t="str">
        <f>IF(幕间计算!GI119=0,"","暴力 "&amp;SUMIFS(幕间计算!$E$200:$E$1199,幕间计算!$A$200:$A$1199,B119,幕间计算!$B$200:$B$1199,A119,幕间计算!$C$200:$C$1199,"暴力进度")&amp;"／无力 "&amp;SUMIFS(幕间计算!$E$200:$E$1199,幕间计算!$A$200:$A$1199,B119,幕间计算!$B$200:$B$1199,A119,幕间计算!$C$200:$C$1199,"无力进度"))</f>
        <v/>
      </c>
      <c r="J119" s="131" t="str">
        <f>IF(幕间计算!GI119=0,"",INDEX(DGArchive[事件／活动],幕间计算!GI119))</f>
        <v/>
      </c>
      <c r="K119" s="131"/>
    </row>
    <row r="120" ht="36" customHeight="1" spans="1:11">
      <c r="A120" s="131" t="str">
        <f>IF(幕间计算!GI120=0,"",INDEX(DGArchive[阶段],幕间计算!GI120))</f>
        <v/>
      </c>
      <c r="B120" s="131" t="str">
        <f>IF(幕间计算!GI120=0,"",INDEX(DGArchive[模组],幕间计算!GI120))</f>
        <v/>
      </c>
      <c r="C120" s="143" t="str">
        <f>IF((IF(幕间计算!GI120=0,"",INDEX(DGArchive[游戏内日期],幕间计算!GI120)))=0,"",IF(幕间计算!GI120=0,"",INDEX(DGArchive[游戏内日期],幕间计算!GI120)))</f>
        <v/>
      </c>
      <c r="D120" s="131" t="str">
        <f>IF(幕间计算!GI120=0,"",SUMIFS(幕间计算!$E$200:$E$1199,幕间计算!$A$200:$A$1199,B120,幕间计算!$B$200:$B$1199,A120,幕间计算!$C$200:$C$1199,"理智"))</f>
        <v/>
      </c>
      <c r="E120" s="131" t="str">
        <f>IF(幕间计算!GI120=0,"",SUMIFS(幕间计算!$E$200:$E$1199,幕间计算!$A$200:$A$1199,B120,幕间计算!$B$200:$B$1199,A120,幕间计算!$C$200:$C$1199,"毅力"))</f>
        <v/>
      </c>
      <c r="F120" s="131" t="str">
        <f>IF(幕间计算!GI120=0,"",SUMIFS(幕间计算!$E$200:$E$1199,幕间计算!$A$200:$A$1199,B120,幕间计算!$B$200:$B$1199,A120,幕间计算!$C$200:$C$1199,"重要关系*"))</f>
        <v/>
      </c>
      <c r="G120" s="131" t="str">
        <f>IF(幕间计算!GI120=0,"",SUMIFS(幕间计算!$E$200:$E$1199,幕间计算!$A$200:$A$1199,B120,幕间计算!$B$200:$B$1199,A120,幕间计算!$C$200:$C$1199,"魅力"))</f>
        <v/>
      </c>
      <c r="H120" s="131" t="str">
        <f>IF(幕间计算!GI120=0,"",SUMIFS(幕间计算!$E$200:$E$1199,幕间计算!$A$200:$A$1199,B120,幕间计算!$B$200:$B$1199,A120,幕间计算!$C$200:$C$1199,"崩溃点"))</f>
        <v/>
      </c>
      <c r="I120" s="131" t="str">
        <f>IF(幕间计算!GI120=0,"","暴力 "&amp;SUMIFS(幕间计算!$E$200:$E$1199,幕间计算!$A$200:$A$1199,B120,幕间计算!$B$200:$B$1199,A120,幕间计算!$C$200:$C$1199,"暴力进度")&amp;"／无力 "&amp;SUMIFS(幕间计算!$E$200:$E$1199,幕间计算!$A$200:$A$1199,B120,幕间计算!$B$200:$B$1199,A120,幕间计算!$C$200:$C$1199,"无力进度"))</f>
        <v/>
      </c>
      <c r="J120" s="131" t="str">
        <f>IF(幕间计算!GI120=0,"",INDEX(DGArchive[事件／活动],幕间计算!GI120))</f>
        <v/>
      </c>
      <c r="K120" s="131"/>
    </row>
    <row r="121" ht="36" customHeight="1" spans="1:11">
      <c r="A121" s="131" t="str">
        <f>IF(幕间计算!GI121=0,"",INDEX(DGArchive[阶段],幕间计算!GI121))</f>
        <v/>
      </c>
      <c r="B121" s="131" t="str">
        <f>IF(幕间计算!GI121=0,"",INDEX(DGArchive[模组],幕间计算!GI121))</f>
        <v/>
      </c>
      <c r="C121" s="143" t="str">
        <f>IF((IF(幕间计算!GI121=0,"",INDEX(DGArchive[游戏内日期],幕间计算!GI121)))=0,"",IF(幕间计算!GI121=0,"",INDEX(DGArchive[游戏内日期],幕间计算!GI121)))</f>
        <v/>
      </c>
      <c r="D121" s="131" t="str">
        <f>IF(幕间计算!GI121=0,"",SUMIFS(幕间计算!$E$200:$E$1199,幕间计算!$A$200:$A$1199,B121,幕间计算!$B$200:$B$1199,A121,幕间计算!$C$200:$C$1199,"理智"))</f>
        <v/>
      </c>
      <c r="E121" s="131" t="str">
        <f>IF(幕间计算!GI121=0,"",SUMIFS(幕间计算!$E$200:$E$1199,幕间计算!$A$200:$A$1199,B121,幕间计算!$B$200:$B$1199,A121,幕间计算!$C$200:$C$1199,"毅力"))</f>
        <v/>
      </c>
      <c r="F121" s="131" t="str">
        <f>IF(幕间计算!GI121=0,"",SUMIFS(幕间计算!$E$200:$E$1199,幕间计算!$A$200:$A$1199,B121,幕间计算!$B$200:$B$1199,A121,幕间计算!$C$200:$C$1199,"重要关系*"))</f>
        <v/>
      </c>
      <c r="G121" s="131" t="str">
        <f>IF(幕间计算!GI121=0,"",SUMIFS(幕间计算!$E$200:$E$1199,幕间计算!$A$200:$A$1199,B121,幕间计算!$B$200:$B$1199,A121,幕间计算!$C$200:$C$1199,"魅力"))</f>
        <v/>
      </c>
      <c r="H121" s="131" t="str">
        <f>IF(幕间计算!GI121=0,"",SUMIFS(幕间计算!$E$200:$E$1199,幕间计算!$A$200:$A$1199,B121,幕间计算!$B$200:$B$1199,A121,幕间计算!$C$200:$C$1199,"崩溃点"))</f>
        <v/>
      </c>
      <c r="I121" s="131" t="str">
        <f>IF(幕间计算!GI121=0,"","暴力 "&amp;SUMIFS(幕间计算!$E$200:$E$1199,幕间计算!$A$200:$A$1199,B121,幕间计算!$B$200:$B$1199,A121,幕间计算!$C$200:$C$1199,"暴力进度")&amp;"／无力 "&amp;SUMIFS(幕间计算!$E$200:$E$1199,幕间计算!$A$200:$A$1199,B121,幕间计算!$B$200:$B$1199,A121,幕间计算!$C$200:$C$1199,"无力进度"))</f>
        <v/>
      </c>
      <c r="J121" s="131" t="str">
        <f>IF(幕间计算!GI121=0,"",INDEX(DGArchive[事件／活动],幕间计算!GI121))</f>
        <v/>
      </c>
      <c r="K121" s="131"/>
    </row>
    <row r="122" ht="36" customHeight="1" spans="1:11">
      <c r="A122" s="131" t="str">
        <f>IF(幕间计算!GI122=0,"",INDEX(DGArchive[阶段],幕间计算!GI122))</f>
        <v/>
      </c>
      <c r="B122" s="131" t="str">
        <f>IF(幕间计算!GI122=0,"",INDEX(DGArchive[模组],幕间计算!GI122))</f>
        <v/>
      </c>
      <c r="C122" s="143" t="str">
        <f>IF((IF(幕间计算!GI122=0,"",INDEX(DGArchive[游戏内日期],幕间计算!GI122)))=0,"",IF(幕间计算!GI122=0,"",INDEX(DGArchive[游戏内日期],幕间计算!GI122)))</f>
        <v/>
      </c>
      <c r="D122" s="131" t="str">
        <f>IF(幕间计算!GI122=0,"",SUMIFS(幕间计算!$E$200:$E$1199,幕间计算!$A$200:$A$1199,B122,幕间计算!$B$200:$B$1199,A122,幕间计算!$C$200:$C$1199,"理智"))</f>
        <v/>
      </c>
      <c r="E122" s="131" t="str">
        <f>IF(幕间计算!GI122=0,"",SUMIFS(幕间计算!$E$200:$E$1199,幕间计算!$A$200:$A$1199,B122,幕间计算!$B$200:$B$1199,A122,幕间计算!$C$200:$C$1199,"毅力"))</f>
        <v/>
      </c>
      <c r="F122" s="131" t="str">
        <f>IF(幕间计算!GI122=0,"",SUMIFS(幕间计算!$E$200:$E$1199,幕间计算!$A$200:$A$1199,B122,幕间计算!$B$200:$B$1199,A122,幕间计算!$C$200:$C$1199,"重要关系*"))</f>
        <v/>
      </c>
      <c r="G122" s="131" t="str">
        <f>IF(幕间计算!GI122=0,"",SUMIFS(幕间计算!$E$200:$E$1199,幕间计算!$A$200:$A$1199,B122,幕间计算!$B$200:$B$1199,A122,幕间计算!$C$200:$C$1199,"魅力"))</f>
        <v/>
      </c>
      <c r="H122" s="131" t="str">
        <f>IF(幕间计算!GI122=0,"",SUMIFS(幕间计算!$E$200:$E$1199,幕间计算!$A$200:$A$1199,B122,幕间计算!$B$200:$B$1199,A122,幕间计算!$C$200:$C$1199,"崩溃点"))</f>
        <v/>
      </c>
      <c r="I122" s="131" t="str">
        <f>IF(幕间计算!GI122=0,"","暴力 "&amp;SUMIFS(幕间计算!$E$200:$E$1199,幕间计算!$A$200:$A$1199,B122,幕间计算!$B$200:$B$1199,A122,幕间计算!$C$200:$C$1199,"暴力进度")&amp;"／无力 "&amp;SUMIFS(幕间计算!$E$200:$E$1199,幕间计算!$A$200:$A$1199,B122,幕间计算!$B$200:$B$1199,A122,幕间计算!$C$200:$C$1199,"无力进度"))</f>
        <v/>
      </c>
      <c r="J122" s="131" t="str">
        <f>IF(幕间计算!GI122=0,"",INDEX(DGArchive[事件／活动],幕间计算!GI122))</f>
        <v/>
      </c>
      <c r="K122" s="131"/>
    </row>
    <row r="123" ht="36" customHeight="1" spans="1:11">
      <c r="A123" s="131" t="str">
        <f>IF(幕间计算!GI123=0,"",INDEX(DGArchive[阶段],幕间计算!GI123))</f>
        <v/>
      </c>
      <c r="B123" s="131" t="str">
        <f>IF(幕间计算!GI123=0,"",INDEX(DGArchive[模组],幕间计算!GI123))</f>
        <v/>
      </c>
      <c r="C123" s="143" t="str">
        <f>IF((IF(幕间计算!GI123=0,"",INDEX(DGArchive[游戏内日期],幕间计算!GI123)))=0,"",IF(幕间计算!GI123=0,"",INDEX(DGArchive[游戏内日期],幕间计算!GI123)))</f>
        <v/>
      </c>
      <c r="D123" s="131" t="str">
        <f>IF(幕间计算!GI123=0,"",SUMIFS(幕间计算!$E$200:$E$1199,幕间计算!$A$200:$A$1199,B123,幕间计算!$B$200:$B$1199,A123,幕间计算!$C$200:$C$1199,"理智"))</f>
        <v/>
      </c>
      <c r="E123" s="131" t="str">
        <f>IF(幕间计算!GI123=0,"",SUMIFS(幕间计算!$E$200:$E$1199,幕间计算!$A$200:$A$1199,B123,幕间计算!$B$200:$B$1199,A123,幕间计算!$C$200:$C$1199,"毅力"))</f>
        <v/>
      </c>
      <c r="F123" s="131" t="str">
        <f>IF(幕间计算!GI123=0,"",SUMIFS(幕间计算!$E$200:$E$1199,幕间计算!$A$200:$A$1199,B123,幕间计算!$B$200:$B$1199,A123,幕间计算!$C$200:$C$1199,"重要关系*"))</f>
        <v/>
      </c>
      <c r="G123" s="131" t="str">
        <f>IF(幕间计算!GI123=0,"",SUMIFS(幕间计算!$E$200:$E$1199,幕间计算!$A$200:$A$1199,B123,幕间计算!$B$200:$B$1199,A123,幕间计算!$C$200:$C$1199,"魅力"))</f>
        <v/>
      </c>
      <c r="H123" s="131" t="str">
        <f>IF(幕间计算!GI123=0,"",SUMIFS(幕间计算!$E$200:$E$1199,幕间计算!$A$200:$A$1199,B123,幕间计算!$B$200:$B$1199,A123,幕间计算!$C$200:$C$1199,"崩溃点"))</f>
        <v/>
      </c>
      <c r="I123" s="131" t="str">
        <f>IF(幕间计算!GI123=0,"","暴力 "&amp;SUMIFS(幕间计算!$E$200:$E$1199,幕间计算!$A$200:$A$1199,B123,幕间计算!$B$200:$B$1199,A123,幕间计算!$C$200:$C$1199,"暴力进度")&amp;"／无力 "&amp;SUMIFS(幕间计算!$E$200:$E$1199,幕间计算!$A$200:$A$1199,B123,幕间计算!$B$200:$B$1199,A123,幕间计算!$C$200:$C$1199,"无力进度"))</f>
        <v/>
      </c>
      <c r="J123" s="131" t="str">
        <f>IF(幕间计算!GI123=0,"",INDEX(DGArchive[事件／活动],幕间计算!GI123))</f>
        <v/>
      </c>
      <c r="K123" s="131"/>
    </row>
    <row r="124" ht="36" customHeight="1" spans="1:11">
      <c r="A124" s="131" t="str">
        <f>IF(幕间计算!GI124=0,"",INDEX(DGArchive[阶段],幕间计算!GI124))</f>
        <v/>
      </c>
      <c r="B124" s="131" t="str">
        <f>IF(幕间计算!GI124=0,"",INDEX(DGArchive[模组],幕间计算!GI124))</f>
        <v/>
      </c>
      <c r="C124" s="143" t="str">
        <f>IF((IF(幕间计算!GI124=0,"",INDEX(DGArchive[游戏内日期],幕间计算!GI124)))=0,"",IF(幕间计算!GI124=0,"",INDEX(DGArchive[游戏内日期],幕间计算!GI124)))</f>
        <v/>
      </c>
      <c r="D124" s="131" t="str">
        <f>IF(幕间计算!GI124=0,"",SUMIFS(幕间计算!$E$200:$E$1199,幕间计算!$A$200:$A$1199,B124,幕间计算!$B$200:$B$1199,A124,幕间计算!$C$200:$C$1199,"理智"))</f>
        <v/>
      </c>
      <c r="E124" s="131" t="str">
        <f>IF(幕间计算!GI124=0,"",SUMIFS(幕间计算!$E$200:$E$1199,幕间计算!$A$200:$A$1199,B124,幕间计算!$B$200:$B$1199,A124,幕间计算!$C$200:$C$1199,"毅力"))</f>
        <v/>
      </c>
      <c r="F124" s="131" t="str">
        <f>IF(幕间计算!GI124=0,"",SUMIFS(幕间计算!$E$200:$E$1199,幕间计算!$A$200:$A$1199,B124,幕间计算!$B$200:$B$1199,A124,幕间计算!$C$200:$C$1199,"重要关系*"))</f>
        <v/>
      </c>
      <c r="G124" s="131" t="str">
        <f>IF(幕间计算!GI124=0,"",SUMIFS(幕间计算!$E$200:$E$1199,幕间计算!$A$200:$A$1199,B124,幕间计算!$B$200:$B$1199,A124,幕间计算!$C$200:$C$1199,"魅力"))</f>
        <v/>
      </c>
      <c r="H124" s="131" t="str">
        <f>IF(幕间计算!GI124=0,"",SUMIFS(幕间计算!$E$200:$E$1199,幕间计算!$A$200:$A$1199,B124,幕间计算!$B$200:$B$1199,A124,幕间计算!$C$200:$C$1199,"崩溃点"))</f>
        <v/>
      </c>
      <c r="I124" s="131" t="str">
        <f>IF(幕间计算!GI124=0,"","暴力 "&amp;SUMIFS(幕间计算!$E$200:$E$1199,幕间计算!$A$200:$A$1199,B124,幕间计算!$B$200:$B$1199,A124,幕间计算!$C$200:$C$1199,"暴力进度")&amp;"／无力 "&amp;SUMIFS(幕间计算!$E$200:$E$1199,幕间计算!$A$200:$A$1199,B124,幕间计算!$B$200:$B$1199,A124,幕间计算!$C$200:$C$1199,"无力进度"))</f>
        <v/>
      </c>
      <c r="J124" s="131" t="str">
        <f>IF(幕间计算!GI124=0,"",INDEX(DGArchive[事件／活动],幕间计算!GI124))</f>
        <v/>
      </c>
      <c r="K124" s="131"/>
    </row>
    <row r="125" ht="36" customHeight="1" spans="1:11">
      <c r="A125" s="131" t="str">
        <f>IF(幕间计算!GI125=0,"",INDEX(DGArchive[阶段],幕间计算!GI125))</f>
        <v/>
      </c>
      <c r="B125" s="131" t="str">
        <f>IF(幕间计算!GI125=0,"",INDEX(DGArchive[模组],幕间计算!GI125))</f>
        <v/>
      </c>
      <c r="C125" s="143" t="str">
        <f>IF((IF(幕间计算!GI125=0,"",INDEX(DGArchive[游戏内日期],幕间计算!GI125)))=0,"",IF(幕间计算!GI125=0,"",INDEX(DGArchive[游戏内日期],幕间计算!GI125)))</f>
        <v/>
      </c>
      <c r="D125" s="131" t="str">
        <f>IF(幕间计算!GI125=0,"",SUMIFS(幕间计算!$E$200:$E$1199,幕间计算!$A$200:$A$1199,B125,幕间计算!$B$200:$B$1199,A125,幕间计算!$C$200:$C$1199,"理智"))</f>
        <v/>
      </c>
      <c r="E125" s="131" t="str">
        <f>IF(幕间计算!GI125=0,"",SUMIFS(幕间计算!$E$200:$E$1199,幕间计算!$A$200:$A$1199,B125,幕间计算!$B$200:$B$1199,A125,幕间计算!$C$200:$C$1199,"毅力"))</f>
        <v/>
      </c>
      <c r="F125" s="131" t="str">
        <f>IF(幕间计算!GI125=0,"",SUMIFS(幕间计算!$E$200:$E$1199,幕间计算!$A$200:$A$1199,B125,幕间计算!$B$200:$B$1199,A125,幕间计算!$C$200:$C$1199,"重要关系*"))</f>
        <v/>
      </c>
      <c r="G125" s="131" t="str">
        <f>IF(幕间计算!GI125=0,"",SUMIFS(幕间计算!$E$200:$E$1199,幕间计算!$A$200:$A$1199,B125,幕间计算!$B$200:$B$1199,A125,幕间计算!$C$200:$C$1199,"魅力"))</f>
        <v/>
      </c>
      <c r="H125" s="131" t="str">
        <f>IF(幕间计算!GI125=0,"",SUMIFS(幕间计算!$E$200:$E$1199,幕间计算!$A$200:$A$1199,B125,幕间计算!$B$200:$B$1199,A125,幕间计算!$C$200:$C$1199,"崩溃点"))</f>
        <v/>
      </c>
      <c r="I125" s="131" t="str">
        <f>IF(幕间计算!GI125=0,"","暴力 "&amp;SUMIFS(幕间计算!$E$200:$E$1199,幕间计算!$A$200:$A$1199,B125,幕间计算!$B$200:$B$1199,A125,幕间计算!$C$200:$C$1199,"暴力进度")&amp;"／无力 "&amp;SUMIFS(幕间计算!$E$200:$E$1199,幕间计算!$A$200:$A$1199,B125,幕间计算!$B$200:$B$1199,A125,幕间计算!$C$200:$C$1199,"无力进度"))</f>
        <v/>
      </c>
      <c r="J125" s="131" t="str">
        <f>IF(幕间计算!GI125=0,"",INDEX(DGArchive[事件／活动],幕间计算!GI125))</f>
        <v/>
      </c>
      <c r="K125" s="131"/>
    </row>
    <row r="126" ht="36" customHeight="1" spans="1:11">
      <c r="A126" s="131" t="str">
        <f>IF(幕间计算!GI126=0,"",INDEX(DGArchive[阶段],幕间计算!GI126))</f>
        <v/>
      </c>
      <c r="B126" s="131" t="str">
        <f>IF(幕间计算!GI126=0,"",INDEX(DGArchive[模组],幕间计算!GI126))</f>
        <v/>
      </c>
      <c r="C126" s="143" t="str">
        <f>IF((IF(幕间计算!GI126=0,"",INDEX(DGArchive[游戏内日期],幕间计算!GI126)))=0,"",IF(幕间计算!GI126=0,"",INDEX(DGArchive[游戏内日期],幕间计算!GI126)))</f>
        <v/>
      </c>
      <c r="D126" s="131" t="str">
        <f>IF(幕间计算!GI126=0,"",SUMIFS(幕间计算!$E$200:$E$1199,幕间计算!$A$200:$A$1199,B126,幕间计算!$B$200:$B$1199,A126,幕间计算!$C$200:$C$1199,"理智"))</f>
        <v/>
      </c>
      <c r="E126" s="131" t="str">
        <f>IF(幕间计算!GI126=0,"",SUMIFS(幕间计算!$E$200:$E$1199,幕间计算!$A$200:$A$1199,B126,幕间计算!$B$200:$B$1199,A126,幕间计算!$C$200:$C$1199,"毅力"))</f>
        <v/>
      </c>
      <c r="F126" s="131" t="str">
        <f>IF(幕间计算!GI126=0,"",SUMIFS(幕间计算!$E$200:$E$1199,幕间计算!$A$200:$A$1199,B126,幕间计算!$B$200:$B$1199,A126,幕间计算!$C$200:$C$1199,"重要关系*"))</f>
        <v/>
      </c>
      <c r="G126" s="131" t="str">
        <f>IF(幕间计算!GI126=0,"",SUMIFS(幕间计算!$E$200:$E$1199,幕间计算!$A$200:$A$1199,B126,幕间计算!$B$200:$B$1199,A126,幕间计算!$C$200:$C$1199,"魅力"))</f>
        <v/>
      </c>
      <c r="H126" s="131" t="str">
        <f>IF(幕间计算!GI126=0,"",SUMIFS(幕间计算!$E$200:$E$1199,幕间计算!$A$200:$A$1199,B126,幕间计算!$B$200:$B$1199,A126,幕间计算!$C$200:$C$1199,"崩溃点"))</f>
        <v/>
      </c>
      <c r="I126" s="131" t="str">
        <f>IF(幕间计算!GI126=0,"","暴力 "&amp;SUMIFS(幕间计算!$E$200:$E$1199,幕间计算!$A$200:$A$1199,B126,幕间计算!$B$200:$B$1199,A126,幕间计算!$C$200:$C$1199,"暴力进度")&amp;"／无力 "&amp;SUMIFS(幕间计算!$E$200:$E$1199,幕间计算!$A$200:$A$1199,B126,幕间计算!$B$200:$B$1199,A126,幕间计算!$C$200:$C$1199,"无力进度"))</f>
        <v/>
      </c>
      <c r="J126" s="131" t="str">
        <f>IF(幕间计算!GI126=0,"",INDEX(DGArchive[事件／活动],幕间计算!GI126))</f>
        <v/>
      </c>
      <c r="K126" s="131"/>
    </row>
    <row r="127" ht="36" customHeight="1" spans="1:11">
      <c r="A127" s="131" t="str">
        <f>IF(幕间计算!GI127=0,"",INDEX(DGArchive[阶段],幕间计算!GI127))</f>
        <v/>
      </c>
      <c r="B127" s="131" t="str">
        <f>IF(幕间计算!GI127=0,"",INDEX(DGArchive[模组],幕间计算!GI127))</f>
        <v/>
      </c>
      <c r="C127" s="143" t="str">
        <f>IF((IF(幕间计算!GI127=0,"",INDEX(DGArchive[游戏内日期],幕间计算!GI127)))=0,"",IF(幕间计算!GI127=0,"",INDEX(DGArchive[游戏内日期],幕间计算!GI127)))</f>
        <v/>
      </c>
      <c r="D127" s="131" t="str">
        <f>IF(幕间计算!GI127=0,"",SUMIFS(幕间计算!$E$200:$E$1199,幕间计算!$A$200:$A$1199,B127,幕间计算!$B$200:$B$1199,A127,幕间计算!$C$200:$C$1199,"理智"))</f>
        <v/>
      </c>
      <c r="E127" s="131" t="str">
        <f>IF(幕间计算!GI127=0,"",SUMIFS(幕间计算!$E$200:$E$1199,幕间计算!$A$200:$A$1199,B127,幕间计算!$B$200:$B$1199,A127,幕间计算!$C$200:$C$1199,"毅力"))</f>
        <v/>
      </c>
      <c r="F127" s="131" t="str">
        <f>IF(幕间计算!GI127=0,"",SUMIFS(幕间计算!$E$200:$E$1199,幕间计算!$A$200:$A$1199,B127,幕间计算!$B$200:$B$1199,A127,幕间计算!$C$200:$C$1199,"重要关系*"))</f>
        <v/>
      </c>
      <c r="G127" s="131" t="str">
        <f>IF(幕间计算!GI127=0,"",SUMIFS(幕间计算!$E$200:$E$1199,幕间计算!$A$200:$A$1199,B127,幕间计算!$B$200:$B$1199,A127,幕间计算!$C$200:$C$1199,"魅力"))</f>
        <v/>
      </c>
      <c r="H127" s="131" t="str">
        <f>IF(幕间计算!GI127=0,"",SUMIFS(幕间计算!$E$200:$E$1199,幕间计算!$A$200:$A$1199,B127,幕间计算!$B$200:$B$1199,A127,幕间计算!$C$200:$C$1199,"崩溃点"))</f>
        <v/>
      </c>
      <c r="I127" s="131" t="str">
        <f>IF(幕间计算!GI127=0,"","暴力 "&amp;SUMIFS(幕间计算!$E$200:$E$1199,幕间计算!$A$200:$A$1199,B127,幕间计算!$B$200:$B$1199,A127,幕间计算!$C$200:$C$1199,"暴力进度")&amp;"／无力 "&amp;SUMIFS(幕间计算!$E$200:$E$1199,幕间计算!$A$200:$A$1199,B127,幕间计算!$B$200:$B$1199,A127,幕间计算!$C$200:$C$1199,"无力进度"))</f>
        <v/>
      </c>
      <c r="J127" s="131" t="str">
        <f>IF(幕间计算!GI127=0,"",INDEX(DGArchive[事件／活动],幕间计算!GI127))</f>
        <v/>
      </c>
      <c r="K127" s="131"/>
    </row>
    <row r="128" ht="36" customHeight="1" spans="1:11">
      <c r="A128" s="131" t="str">
        <f>IF(幕间计算!GI128=0,"",INDEX(DGArchive[阶段],幕间计算!GI128))</f>
        <v/>
      </c>
      <c r="B128" s="131" t="str">
        <f>IF(幕间计算!GI128=0,"",INDEX(DGArchive[模组],幕间计算!GI128))</f>
        <v/>
      </c>
      <c r="C128" s="143" t="str">
        <f>IF((IF(幕间计算!GI128=0,"",INDEX(DGArchive[游戏内日期],幕间计算!GI128)))=0,"",IF(幕间计算!GI128=0,"",INDEX(DGArchive[游戏内日期],幕间计算!GI128)))</f>
        <v/>
      </c>
      <c r="D128" s="131" t="str">
        <f>IF(幕间计算!GI128=0,"",SUMIFS(幕间计算!$E$200:$E$1199,幕间计算!$A$200:$A$1199,B128,幕间计算!$B$200:$B$1199,A128,幕间计算!$C$200:$C$1199,"理智"))</f>
        <v/>
      </c>
      <c r="E128" s="131" t="str">
        <f>IF(幕间计算!GI128=0,"",SUMIFS(幕间计算!$E$200:$E$1199,幕间计算!$A$200:$A$1199,B128,幕间计算!$B$200:$B$1199,A128,幕间计算!$C$200:$C$1199,"毅力"))</f>
        <v/>
      </c>
      <c r="F128" s="131" t="str">
        <f>IF(幕间计算!GI128=0,"",SUMIFS(幕间计算!$E$200:$E$1199,幕间计算!$A$200:$A$1199,B128,幕间计算!$B$200:$B$1199,A128,幕间计算!$C$200:$C$1199,"重要关系*"))</f>
        <v/>
      </c>
      <c r="G128" s="131" t="str">
        <f>IF(幕间计算!GI128=0,"",SUMIFS(幕间计算!$E$200:$E$1199,幕间计算!$A$200:$A$1199,B128,幕间计算!$B$200:$B$1199,A128,幕间计算!$C$200:$C$1199,"魅力"))</f>
        <v/>
      </c>
      <c r="H128" s="131" t="str">
        <f>IF(幕间计算!GI128=0,"",SUMIFS(幕间计算!$E$200:$E$1199,幕间计算!$A$200:$A$1199,B128,幕间计算!$B$200:$B$1199,A128,幕间计算!$C$200:$C$1199,"崩溃点"))</f>
        <v/>
      </c>
      <c r="I128" s="131" t="str">
        <f>IF(幕间计算!GI128=0,"","暴力 "&amp;SUMIFS(幕间计算!$E$200:$E$1199,幕间计算!$A$200:$A$1199,B128,幕间计算!$B$200:$B$1199,A128,幕间计算!$C$200:$C$1199,"暴力进度")&amp;"／无力 "&amp;SUMIFS(幕间计算!$E$200:$E$1199,幕间计算!$A$200:$A$1199,B128,幕间计算!$B$200:$B$1199,A128,幕间计算!$C$200:$C$1199,"无力进度"))</f>
        <v/>
      </c>
      <c r="J128" s="131" t="str">
        <f>IF(幕间计算!GI128=0,"",INDEX(DGArchive[事件／活动],幕间计算!GI128))</f>
        <v/>
      </c>
      <c r="K128" s="131"/>
    </row>
    <row r="129" ht="36" customHeight="1" spans="1:11">
      <c r="A129" s="131" t="str">
        <f>IF(幕间计算!GI129=0,"",INDEX(DGArchive[阶段],幕间计算!GI129))</f>
        <v/>
      </c>
      <c r="B129" s="131" t="str">
        <f>IF(幕间计算!GI129=0,"",INDEX(DGArchive[模组],幕间计算!GI129))</f>
        <v/>
      </c>
      <c r="C129" s="143" t="str">
        <f>IF((IF(幕间计算!GI129=0,"",INDEX(DGArchive[游戏内日期],幕间计算!GI129)))=0,"",IF(幕间计算!GI129=0,"",INDEX(DGArchive[游戏内日期],幕间计算!GI129)))</f>
        <v/>
      </c>
      <c r="D129" s="131" t="str">
        <f>IF(幕间计算!GI129=0,"",SUMIFS(幕间计算!$E$200:$E$1199,幕间计算!$A$200:$A$1199,B129,幕间计算!$B$200:$B$1199,A129,幕间计算!$C$200:$C$1199,"理智"))</f>
        <v/>
      </c>
      <c r="E129" s="131" t="str">
        <f>IF(幕间计算!GI129=0,"",SUMIFS(幕间计算!$E$200:$E$1199,幕间计算!$A$200:$A$1199,B129,幕间计算!$B$200:$B$1199,A129,幕间计算!$C$200:$C$1199,"毅力"))</f>
        <v/>
      </c>
      <c r="F129" s="131" t="str">
        <f>IF(幕间计算!GI129=0,"",SUMIFS(幕间计算!$E$200:$E$1199,幕间计算!$A$200:$A$1199,B129,幕间计算!$B$200:$B$1199,A129,幕间计算!$C$200:$C$1199,"重要关系*"))</f>
        <v/>
      </c>
      <c r="G129" s="131" t="str">
        <f>IF(幕间计算!GI129=0,"",SUMIFS(幕间计算!$E$200:$E$1199,幕间计算!$A$200:$A$1199,B129,幕间计算!$B$200:$B$1199,A129,幕间计算!$C$200:$C$1199,"魅力"))</f>
        <v/>
      </c>
      <c r="H129" s="131" t="str">
        <f>IF(幕间计算!GI129=0,"",SUMIFS(幕间计算!$E$200:$E$1199,幕间计算!$A$200:$A$1199,B129,幕间计算!$B$200:$B$1199,A129,幕间计算!$C$200:$C$1199,"崩溃点"))</f>
        <v/>
      </c>
      <c r="I129" s="131" t="str">
        <f>IF(幕间计算!GI129=0,"","暴力 "&amp;SUMIFS(幕间计算!$E$200:$E$1199,幕间计算!$A$200:$A$1199,B129,幕间计算!$B$200:$B$1199,A129,幕间计算!$C$200:$C$1199,"暴力进度")&amp;"／无力 "&amp;SUMIFS(幕间计算!$E$200:$E$1199,幕间计算!$A$200:$A$1199,B129,幕间计算!$B$200:$B$1199,A129,幕间计算!$C$200:$C$1199,"无力进度"))</f>
        <v/>
      </c>
      <c r="J129" s="131" t="str">
        <f>IF(幕间计算!GI129=0,"",INDEX(DGArchive[事件／活动],幕间计算!GI129))</f>
        <v/>
      </c>
      <c r="K129" s="131"/>
    </row>
    <row r="130" ht="36" customHeight="1" spans="1:11">
      <c r="A130" s="131" t="str">
        <f>IF(幕间计算!GI130=0,"",INDEX(DGArchive[阶段],幕间计算!GI130))</f>
        <v/>
      </c>
      <c r="B130" s="131" t="str">
        <f>IF(幕间计算!GI130=0,"",INDEX(DGArchive[模组],幕间计算!GI130))</f>
        <v/>
      </c>
      <c r="C130" s="143" t="str">
        <f>IF((IF(幕间计算!GI130=0,"",INDEX(DGArchive[游戏内日期],幕间计算!GI130)))=0,"",IF(幕间计算!GI130=0,"",INDEX(DGArchive[游戏内日期],幕间计算!GI130)))</f>
        <v/>
      </c>
      <c r="D130" s="131" t="str">
        <f>IF(幕间计算!GI130=0,"",SUMIFS(幕间计算!$E$200:$E$1199,幕间计算!$A$200:$A$1199,B130,幕间计算!$B$200:$B$1199,A130,幕间计算!$C$200:$C$1199,"理智"))</f>
        <v/>
      </c>
      <c r="E130" s="131" t="str">
        <f>IF(幕间计算!GI130=0,"",SUMIFS(幕间计算!$E$200:$E$1199,幕间计算!$A$200:$A$1199,B130,幕间计算!$B$200:$B$1199,A130,幕间计算!$C$200:$C$1199,"毅力"))</f>
        <v/>
      </c>
      <c r="F130" s="131" t="str">
        <f>IF(幕间计算!GI130=0,"",SUMIFS(幕间计算!$E$200:$E$1199,幕间计算!$A$200:$A$1199,B130,幕间计算!$B$200:$B$1199,A130,幕间计算!$C$200:$C$1199,"重要关系*"))</f>
        <v/>
      </c>
      <c r="G130" s="131" t="str">
        <f>IF(幕间计算!GI130=0,"",SUMIFS(幕间计算!$E$200:$E$1199,幕间计算!$A$200:$A$1199,B130,幕间计算!$B$200:$B$1199,A130,幕间计算!$C$200:$C$1199,"魅力"))</f>
        <v/>
      </c>
      <c r="H130" s="131" t="str">
        <f>IF(幕间计算!GI130=0,"",SUMIFS(幕间计算!$E$200:$E$1199,幕间计算!$A$200:$A$1199,B130,幕间计算!$B$200:$B$1199,A130,幕间计算!$C$200:$C$1199,"崩溃点"))</f>
        <v/>
      </c>
      <c r="I130" s="131" t="str">
        <f>IF(幕间计算!GI130=0,"","暴力 "&amp;SUMIFS(幕间计算!$E$200:$E$1199,幕间计算!$A$200:$A$1199,B130,幕间计算!$B$200:$B$1199,A130,幕间计算!$C$200:$C$1199,"暴力进度")&amp;"／无力 "&amp;SUMIFS(幕间计算!$E$200:$E$1199,幕间计算!$A$200:$A$1199,B130,幕间计算!$B$200:$B$1199,A130,幕间计算!$C$200:$C$1199,"无力进度"))</f>
        <v/>
      </c>
      <c r="J130" s="131" t="str">
        <f>IF(幕间计算!GI130=0,"",INDEX(DGArchive[事件／活动],幕间计算!GI130))</f>
        <v/>
      </c>
      <c r="K130" s="131"/>
    </row>
    <row r="131" ht="36" customHeight="1" spans="1:11">
      <c r="A131" s="131" t="str">
        <f>IF(幕间计算!GI131=0,"",INDEX(DGArchive[阶段],幕间计算!GI131))</f>
        <v/>
      </c>
      <c r="B131" s="131" t="str">
        <f>IF(幕间计算!GI131=0,"",INDEX(DGArchive[模组],幕间计算!GI131))</f>
        <v/>
      </c>
      <c r="C131" s="143" t="str">
        <f>IF((IF(幕间计算!GI131=0,"",INDEX(DGArchive[游戏内日期],幕间计算!GI131)))=0,"",IF(幕间计算!GI131=0,"",INDEX(DGArchive[游戏内日期],幕间计算!GI131)))</f>
        <v/>
      </c>
      <c r="D131" s="131" t="str">
        <f>IF(幕间计算!GI131=0,"",SUMIFS(幕间计算!$E$200:$E$1199,幕间计算!$A$200:$A$1199,B131,幕间计算!$B$200:$B$1199,A131,幕间计算!$C$200:$C$1199,"理智"))</f>
        <v/>
      </c>
      <c r="E131" s="131" t="str">
        <f>IF(幕间计算!GI131=0,"",SUMIFS(幕间计算!$E$200:$E$1199,幕间计算!$A$200:$A$1199,B131,幕间计算!$B$200:$B$1199,A131,幕间计算!$C$200:$C$1199,"毅力"))</f>
        <v/>
      </c>
      <c r="F131" s="131" t="str">
        <f>IF(幕间计算!GI131=0,"",SUMIFS(幕间计算!$E$200:$E$1199,幕间计算!$A$200:$A$1199,B131,幕间计算!$B$200:$B$1199,A131,幕间计算!$C$200:$C$1199,"重要关系*"))</f>
        <v/>
      </c>
      <c r="G131" s="131" t="str">
        <f>IF(幕间计算!GI131=0,"",SUMIFS(幕间计算!$E$200:$E$1199,幕间计算!$A$200:$A$1199,B131,幕间计算!$B$200:$B$1199,A131,幕间计算!$C$200:$C$1199,"魅力"))</f>
        <v/>
      </c>
      <c r="H131" s="131" t="str">
        <f>IF(幕间计算!GI131=0,"",SUMIFS(幕间计算!$E$200:$E$1199,幕间计算!$A$200:$A$1199,B131,幕间计算!$B$200:$B$1199,A131,幕间计算!$C$200:$C$1199,"崩溃点"))</f>
        <v/>
      </c>
      <c r="I131" s="131" t="str">
        <f>IF(幕间计算!GI131=0,"","暴力 "&amp;SUMIFS(幕间计算!$E$200:$E$1199,幕间计算!$A$200:$A$1199,B131,幕间计算!$B$200:$B$1199,A131,幕间计算!$C$200:$C$1199,"暴力进度")&amp;"／无力 "&amp;SUMIFS(幕间计算!$E$200:$E$1199,幕间计算!$A$200:$A$1199,B131,幕间计算!$B$200:$B$1199,A131,幕间计算!$C$200:$C$1199,"无力进度"))</f>
        <v/>
      </c>
      <c r="J131" s="131" t="str">
        <f>IF(幕间计算!GI131=0,"",INDEX(DGArchive[事件／活动],幕间计算!GI131))</f>
        <v/>
      </c>
      <c r="K131" s="131"/>
    </row>
    <row r="132" ht="36" customHeight="1" spans="1:11">
      <c r="A132" s="131" t="str">
        <f>IF(幕间计算!GI132=0,"",INDEX(DGArchive[阶段],幕间计算!GI132))</f>
        <v/>
      </c>
      <c r="B132" s="131" t="str">
        <f>IF(幕间计算!GI132=0,"",INDEX(DGArchive[模组],幕间计算!GI132))</f>
        <v/>
      </c>
      <c r="C132" s="143" t="str">
        <f>IF((IF(幕间计算!GI132=0,"",INDEX(DGArchive[游戏内日期],幕间计算!GI132)))=0,"",IF(幕间计算!GI132=0,"",INDEX(DGArchive[游戏内日期],幕间计算!GI132)))</f>
        <v/>
      </c>
      <c r="D132" s="131" t="str">
        <f>IF(幕间计算!GI132=0,"",SUMIFS(幕间计算!$E$200:$E$1199,幕间计算!$A$200:$A$1199,B132,幕间计算!$B$200:$B$1199,A132,幕间计算!$C$200:$C$1199,"理智"))</f>
        <v/>
      </c>
      <c r="E132" s="131" t="str">
        <f>IF(幕间计算!GI132=0,"",SUMIFS(幕间计算!$E$200:$E$1199,幕间计算!$A$200:$A$1199,B132,幕间计算!$B$200:$B$1199,A132,幕间计算!$C$200:$C$1199,"毅力"))</f>
        <v/>
      </c>
      <c r="F132" s="131" t="str">
        <f>IF(幕间计算!GI132=0,"",SUMIFS(幕间计算!$E$200:$E$1199,幕间计算!$A$200:$A$1199,B132,幕间计算!$B$200:$B$1199,A132,幕间计算!$C$200:$C$1199,"重要关系*"))</f>
        <v/>
      </c>
      <c r="G132" s="131" t="str">
        <f>IF(幕间计算!GI132=0,"",SUMIFS(幕间计算!$E$200:$E$1199,幕间计算!$A$200:$A$1199,B132,幕间计算!$B$200:$B$1199,A132,幕间计算!$C$200:$C$1199,"魅力"))</f>
        <v/>
      </c>
      <c r="H132" s="131" t="str">
        <f>IF(幕间计算!GI132=0,"",SUMIFS(幕间计算!$E$200:$E$1199,幕间计算!$A$200:$A$1199,B132,幕间计算!$B$200:$B$1199,A132,幕间计算!$C$200:$C$1199,"崩溃点"))</f>
        <v/>
      </c>
      <c r="I132" s="131" t="str">
        <f>IF(幕间计算!GI132=0,"","暴力 "&amp;SUMIFS(幕间计算!$E$200:$E$1199,幕间计算!$A$200:$A$1199,B132,幕间计算!$B$200:$B$1199,A132,幕间计算!$C$200:$C$1199,"暴力进度")&amp;"／无力 "&amp;SUMIFS(幕间计算!$E$200:$E$1199,幕间计算!$A$200:$A$1199,B132,幕间计算!$B$200:$B$1199,A132,幕间计算!$C$200:$C$1199,"无力进度"))</f>
        <v/>
      </c>
      <c r="J132" s="131" t="str">
        <f>IF(幕间计算!GI132=0,"",INDEX(DGArchive[事件／活动],幕间计算!GI132))</f>
        <v/>
      </c>
      <c r="K132" s="131"/>
    </row>
    <row r="133" ht="36" customHeight="1" spans="1:11">
      <c r="A133" s="131" t="str">
        <f>IF(幕间计算!GI133=0,"",INDEX(DGArchive[阶段],幕间计算!GI133))</f>
        <v/>
      </c>
      <c r="B133" s="131" t="str">
        <f>IF(幕间计算!GI133=0,"",INDEX(DGArchive[模组],幕间计算!GI133))</f>
        <v/>
      </c>
      <c r="C133" s="143" t="str">
        <f>IF((IF(幕间计算!GI133=0,"",INDEX(DGArchive[游戏内日期],幕间计算!GI133)))=0,"",IF(幕间计算!GI133=0,"",INDEX(DGArchive[游戏内日期],幕间计算!GI133)))</f>
        <v/>
      </c>
      <c r="D133" s="131" t="str">
        <f>IF(幕间计算!GI133=0,"",SUMIFS(幕间计算!$E$200:$E$1199,幕间计算!$A$200:$A$1199,B133,幕间计算!$B$200:$B$1199,A133,幕间计算!$C$200:$C$1199,"理智"))</f>
        <v/>
      </c>
      <c r="E133" s="131" t="str">
        <f>IF(幕间计算!GI133=0,"",SUMIFS(幕间计算!$E$200:$E$1199,幕间计算!$A$200:$A$1199,B133,幕间计算!$B$200:$B$1199,A133,幕间计算!$C$200:$C$1199,"毅力"))</f>
        <v/>
      </c>
      <c r="F133" s="131" t="str">
        <f>IF(幕间计算!GI133=0,"",SUMIFS(幕间计算!$E$200:$E$1199,幕间计算!$A$200:$A$1199,B133,幕间计算!$B$200:$B$1199,A133,幕间计算!$C$200:$C$1199,"重要关系*"))</f>
        <v/>
      </c>
      <c r="G133" s="131" t="str">
        <f>IF(幕间计算!GI133=0,"",SUMIFS(幕间计算!$E$200:$E$1199,幕间计算!$A$200:$A$1199,B133,幕间计算!$B$200:$B$1199,A133,幕间计算!$C$200:$C$1199,"魅力"))</f>
        <v/>
      </c>
      <c r="H133" s="131" t="str">
        <f>IF(幕间计算!GI133=0,"",SUMIFS(幕间计算!$E$200:$E$1199,幕间计算!$A$200:$A$1199,B133,幕间计算!$B$200:$B$1199,A133,幕间计算!$C$200:$C$1199,"崩溃点"))</f>
        <v/>
      </c>
      <c r="I133" s="131" t="str">
        <f>IF(幕间计算!GI133=0,"","暴力 "&amp;SUMIFS(幕间计算!$E$200:$E$1199,幕间计算!$A$200:$A$1199,B133,幕间计算!$B$200:$B$1199,A133,幕间计算!$C$200:$C$1199,"暴力进度")&amp;"／无力 "&amp;SUMIFS(幕间计算!$E$200:$E$1199,幕间计算!$A$200:$A$1199,B133,幕间计算!$B$200:$B$1199,A133,幕间计算!$C$200:$C$1199,"无力进度"))</f>
        <v/>
      </c>
      <c r="J133" s="131" t="str">
        <f>IF(幕间计算!GI133=0,"",INDEX(DGArchive[事件／活动],幕间计算!GI133))</f>
        <v/>
      </c>
      <c r="K133" s="131"/>
    </row>
    <row r="134" ht="36" customHeight="1" spans="1:11">
      <c r="A134" s="131" t="str">
        <f>IF(幕间计算!GI134=0,"",INDEX(DGArchive[阶段],幕间计算!GI134))</f>
        <v/>
      </c>
      <c r="B134" s="131" t="str">
        <f>IF(幕间计算!GI134=0,"",INDEX(DGArchive[模组],幕间计算!GI134))</f>
        <v/>
      </c>
      <c r="C134" s="143" t="str">
        <f>IF((IF(幕间计算!GI134=0,"",INDEX(DGArchive[游戏内日期],幕间计算!GI134)))=0,"",IF(幕间计算!GI134=0,"",INDEX(DGArchive[游戏内日期],幕间计算!GI134)))</f>
        <v/>
      </c>
      <c r="D134" s="131" t="str">
        <f>IF(幕间计算!GI134=0,"",SUMIFS(幕间计算!$E$200:$E$1199,幕间计算!$A$200:$A$1199,B134,幕间计算!$B$200:$B$1199,A134,幕间计算!$C$200:$C$1199,"理智"))</f>
        <v/>
      </c>
      <c r="E134" s="131" t="str">
        <f>IF(幕间计算!GI134=0,"",SUMIFS(幕间计算!$E$200:$E$1199,幕间计算!$A$200:$A$1199,B134,幕间计算!$B$200:$B$1199,A134,幕间计算!$C$200:$C$1199,"毅力"))</f>
        <v/>
      </c>
      <c r="F134" s="131" t="str">
        <f>IF(幕间计算!GI134=0,"",SUMIFS(幕间计算!$E$200:$E$1199,幕间计算!$A$200:$A$1199,B134,幕间计算!$B$200:$B$1199,A134,幕间计算!$C$200:$C$1199,"重要关系*"))</f>
        <v/>
      </c>
      <c r="G134" s="131" t="str">
        <f>IF(幕间计算!GI134=0,"",SUMIFS(幕间计算!$E$200:$E$1199,幕间计算!$A$200:$A$1199,B134,幕间计算!$B$200:$B$1199,A134,幕间计算!$C$200:$C$1199,"魅力"))</f>
        <v/>
      </c>
      <c r="H134" s="131" t="str">
        <f>IF(幕间计算!GI134=0,"",SUMIFS(幕间计算!$E$200:$E$1199,幕间计算!$A$200:$A$1199,B134,幕间计算!$B$200:$B$1199,A134,幕间计算!$C$200:$C$1199,"崩溃点"))</f>
        <v/>
      </c>
      <c r="I134" s="131" t="str">
        <f>IF(幕间计算!GI134=0,"","暴力 "&amp;SUMIFS(幕间计算!$E$200:$E$1199,幕间计算!$A$200:$A$1199,B134,幕间计算!$B$200:$B$1199,A134,幕间计算!$C$200:$C$1199,"暴力进度")&amp;"／无力 "&amp;SUMIFS(幕间计算!$E$200:$E$1199,幕间计算!$A$200:$A$1199,B134,幕间计算!$B$200:$B$1199,A134,幕间计算!$C$200:$C$1199,"无力进度"))</f>
        <v/>
      </c>
      <c r="J134" s="131" t="str">
        <f>IF(幕间计算!GI134=0,"",INDEX(DGArchive[事件／活动],幕间计算!GI134))</f>
        <v/>
      </c>
      <c r="K134" s="131"/>
    </row>
    <row r="135" ht="36" customHeight="1" spans="1:11">
      <c r="A135" s="131" t="str">
        <f>IF(幕间计算!GI135=0,"",INDEX(DGArchive[阶段],幕间计算!GI135))</f>
        <v/>
      </c>
      <c r="B135" s="131" t="str">
        <f>IF(幕间计算!GI135=0,"",INDEX(DGArchive[模组],幕间计算!GI135))</f>
        <v/>
      </c>
      <c r="C135" s="143" t="str">
        <f>IF((IF(幕间计算!GI135=0,"",INDEX(DGArchive[游戏内日期],幕间计算!GI135)))=0,"",IF(幕间计算!GI135=0,"",INDEX(DGArchive[游戏内日期],幕间计算!GI135)))</f>
        <v/>
      </c>
      <c r="D135" s="131" t="str">
        <f>IF(幕间计算!GI135=0,"",SUMIFS(幕间计算!$E$200:$E$1199,幕间计算!$A$200:$A$1199,B135,幕间计算!$B$200:$B$1199,A135,幕间计算!$C$200:$C$1199,"理智"))</f>
        <v/>
      </c>
      <c r="E135" s="131" t="str">
        <f>IF(幕间计算!GI135=0,"",SUMIFS(幕间计算!$E$200:$E$1199,幕间计算!$A$200:$A$1199,B135,幕间计算!$B$200:$B$1199,A135,幕间计算!$C$200:$C$1199,"毅力"))</f>
        <v/>
      </c>
      <c r="F135" s="131" t="str">
        <f>IF(幕间计算!GI135=0,"",SUMIFS(幕间计算!$E$200:$E$1199,幕间计算!$A$200:$A$1199,B135,幕间计算!$B$200:$B$1199,A135,幕间计算!$C$200:$C$1199,"重要关系*"))</f>
        <v/>
      </c>
      <c r="G135" s="131" t="str">
        <f>IF(幕间计算!GI135=0,"",SUMIFS(幕间计算!$E$200:$E$1199,幕间计算!$A$200:$A$1199,B135,幕间计算!$B$200:$B$1199,A135,幕间计算!$C$200:$C$1199,"魅力"))</f>
        <v/>
      </c>
      <c r="H135" s="131" t="str">
        <f>IF(幕间计算!GI135=0,"",SUMIFS(幕间计算!$E$200:$E$1199,幕间计算!$A$200:$A$1199,B135,幕间计算!$B$200:$B$1199,A135,幕间计算!$C$200:$C$1199,"崩溃点"))</f>
        <v/>
      </c>
      <c r="I135" s="131" t="str">
        <f>IF(幕间计算!GI135=0,"","暴力 "&amp;SUMIFS(幕间计算!$E$200:$E$1199,幕间计算!$A$200:$A$1199,B135,幕间计算!$B$200:$B$1199,A135,幕间计算!$C$200:$C$1199,"暴力进度")&amp;"／无力 "&amp;SUMIFS(幕间计算!$E$200:$E$1199,幕间计算!$A$200:$A$1199,B135,幕间计算!$B$200:$B$1199,A135,幕间计算!$C$200:$C$1199,"无力进度"))</f>
        <v/>
      </c>
      <c r="J135" s="131" t="str">
        <f>IF(幕间计算!GI135=0,"",INDEX(DGArchive[事件／活动],幕间计算!GI135))</f>
        <v/>
      </c>
      <c r="K135" s="131"/>
    </row>
    <row r="136" ht="36" customHeight="1" spans="1:11">
      <c r="A136" s="131" t="str">
        <f>IF(幕间计算!GI136=0,"",INDEX(DGArchive[阶段],幕间计算!GI136))</f>
        <v/>
      </c>
      <c r="B136" s="131" t="str">
        <f>IF(幕间计算!GI136=0,"",INDEX(DGArchive[模组],幕间计算!GI136))</f>
        <v/>
      </c>
      <c r="C136" s="143" t="str">
        <f>IF((IF(幕间计算!GI136=0,"",INDEX(DGArchive[游戏内日期],幕间计算!GI136)))=0,"",IF(幕间计算!GI136=0,"",INDEX(DGArchive[游戏内日期],幕间计算!GI136)))</f>
        <v/>
      </c>
      <c r="D136" s="131" t="str">
        <f>IF(幕间计算!GI136=0,"",SUMIFS(幕间计算!$E$200:$E$1199,幕间计算!$A$200:$A$1199,B136,幕间计算!$B$200:$B$1199,A136,幕间计算!$C$200:$C$1199,"理智"))</f>
        <v/>
      </c>
      <c r="E136" s="131" t="str">
        <f>IF(幕间计算!GI136=0,"",SUMIFS(幕间计算!$E$200:$E$1199,幕间计算!$A$200:$A$1199,B136,幕间计算!$B$200:$B$1199,A136,幕间计算!$C$200:$C$1199,"毅力"))</f>
        <v/>
      </c>
      <c r="F136" s="131" t="str">
        <f>IF(幕间计算!GI136=0,"",SUMIFS(幕间计算!$E$200:$E$1199,幕间计算!$A$200:$A$1199,B136,幕间计算!$B$200:$B$1199,A136,幕间计算!$C$200:$C$1199,"重要关系*"))</f>
        <v/>
      </c>
      <c r="G136" s="131" t="str">
        <f>IF(幕间计算!GI136=0,"",SUMIFS(幕间计算!$E$200:$E$1199,幕间计算!$A$200:$A$1199,B136,幕间计算!$B$200:$B$1199,A136,幕间计算!$C$200:$C$1199,"魅力"))</f>
        <v/>
      </c>
      <c r="H136" s="131" t="str">
        <f>IF(幕间计算!GI136=0,"",SUMIFS(幕间计算!$E$200:$E$1199,幕间计算!$A$200:$A$1199,B136,幕间计算!$B$200:$B$1199,A136,幕间计算!$C$200:$C$1199,"崩溃点"))</f>
        <v/>
      </c>
      <c r="I136" s="131" t="str">
        <f>IF(幕间计算!GI136=0,"","暴力 "&amp;SUMIFS(幕间计算!$E$200:$E$1199,幕间计算!$A$200:$A$1199,B136,幕间计算!$B$200:$B$1199,A136,幕间计算!$C$200:$C$1199,"暴力进度")&amp;"／无力 "&amp;SUMIFS(幕间计算!$E$200:$E$1199,幕间计算!$A$200:$A$1199,B136,幕间计算!$B$200:$B$1199,A136,幕间计算!$C$200:$C$1199,"无力进度"))</f>
        <v/>
      </c>
      <c r="J136" s="131" t="str">
        <f>IF(幕间计算!GI136=0,"",INDEX(DGArchive[事件／活动],幕间计算!GI136))</f>
        <v/>
      </c>
      <c r="K136" s="131"/>
    </row>
    <row r="137" ht="36" customHeight="1" spans="1:11">
      <c r="A137" s="131" t="str">
        <f>IF(幕间计算!GI137=0,"",INDEX(DGArchive[阶段],幕间计算!GI137))</f>
        <v/>
      </c>
      <c r="B137" s="131" t="str">
        <f>IF(幕间计算!GI137=0,"",INDEX(DGArchive[模组],幕间计算!GI137))</f>
        <v/>
      </c>
      <c r="C137" s="143" t="str">
        <f>IF((IF(幕间计算!GI137=0,"",INDEX(DGArchive[游戏内日期],幕间计算!GI137)))=0,"",IF(幕间计算!GI137=0,"",INDEX(DGArchive[游戏内日期],幕间计算!GI137)))</f>
        <v/>
      </c>
      <c r="D137" s="131" t="str">
        <f>IF(幕间计算!GI137=0,"",SUMIFS(幕间计算!$E$200:$E$1199,幕间计算!$A$200:$A$1199,B137,幕间计算!$B$200:$B$1199,A137,幕间计算!$C$200:$C$1199,"理智"))</f>
        <v/>
      </c>
      <c r="E137" s="131" t="str">
        <f>IF(幕间计算!GI137=0,"",SUMIFS(幕间计算!$E$200:$E$1199,幕间计算!$A$200:$A$1199,B137,幕间计算!$B$200:$B$1199,A137,幕间计算!$C$200:$C$1199,"毅力"))</f>
        <v/>
      </c>
      <c r="F137" s="131" t="str">
        <f>IF(幕间计算!GI137=0,"",SUMIFS(幕间计算!$E$200:$E$1199,幕间计算!$A$200:$A$1199,B137,幕间计算!$B$200:$B$1199,A137,幕间计算!$C$200:$C$1199,"重要关系*"))</f>
        <v/>
      </c>
      <c r="G137" s="131" t="str">
        <f>IF(幕间计算!GI137=0,"",SUMIFS(幕间计算!$E$200:$E$1199,幕间计算!$A$200:$A$1199,B137,幕间计算!$B$200:$B$1199,A137,幕间计算!$C$200:$C$1199,"魅力"))</f>
        <v/>
      </c>
      <c r="H137" s="131" t="str">
        <f>IF(幕间计算!GI137=0,"",SUMIFS(幕间计算!$E$200:$E$1199,幕间计算!$A$200:$A$1199,B137,幕间计算!$B$200:$B$1199,A137,幕间计算!$C$200:$C$1199,"崩溃点"))</f>
        <v/>
      </c>
      <c r="I137" s="131" t="str">
        <f>IF(幕间计算!GI137=0,"","暴力 "&amp;SUMIFS(幕间计算!$E$200:$E$1199,幕间计算!$A$200:$A$1199,B137,幕间计算!$B$200:$B$1199,A137,幕间计算!$C$200:$C$1199,"暴力进度")&amp;"／无力 "&amp;SUMIFS(幕间计算!$E$200:$E$1199,幕间计算!$A$200:$A$1199,B137,幕间计算!$B$200:$B$1199,A137,幕间计算!$C$200:$C$1199,"无力进度"))</f>
        <v/>
      </c>
      <c r="J137" s="131" t="str">
        <f>IF(幕间计算!GI137=0,"",INDEX(DGArchive[事件／活动],幕间计算!GI137))</f>
        <v/>
      </c>
      <c r="K137" s="131"/>
    </row>
    <row r="138" ht="36" customHeight="1" spans="1:11">
      <c r="A138" s="131" t="str">
        <f>IF(幕间计算!GI138=0,"",INDEX(DGArchive[阶段],幕间计算!GI138))</f>
        <v/>
      </c>
      <c r="B138" s="131" t="str">
        <f>IF(幕间计算!GI138=0,"",INDEX(DGArchive[模组],幕间计算!GI138))</f>
        <v/>
      </c>
      <c r="C138" s="143" t="str">
        <f>IF((IF(幕间计算!GI138=0,"",INDEX(DGArchive[游戏内日期],幕间计算!GI138)))=0,"",IF(幕间计算!GI138=0,"",INDEX(DGArchive[游戏内日期],幕间计算!GI138)))</f>
        <v/>
      </c>
      <c r="D138" s="131" t="str">
        <f>IF(幕间计算!GI138=0,"",SUMIFS(幕间计算!$E$200:$E$1199,幕间计算!$A$200:$A$1199,B138,幕间计算!$B$200:$B$1199,A138,幕间计算!$C$200:$C$1199,"理智"))</f>
        <v/>
      </c>
      <c r="E138" s="131" t="str">
        <f>IF(幕间计算!GI138=0,"",SUMIFS(幕间计算!$E$200:$E$1199,幕间计算!$A$200:$A$1199,B138,幕间计算!$B$200:$B$1199,A138,幕间计算!$C$200:$C$1199,"毅力"))</f>
        <v/>
      </c>
      <c r="F138" s="131" t="str">
        <f>IF(幕间计算!GI138=0,"",SUMIFS(幕间计算!$E$200:$E$1199,幕间计算!$A$200:$A$1199,B138,幕间计算!$B$200:$B$1199,A138,幕间计算!$C$200:$C$1199,"重要关系*"))</f>
        <v/>
      </c>
      <c r="G138" s="131" t="str">
        <f>IF(幕间计算!GI138=0,"",SUMIFS(幕间计算!$E$200:$E$1199,幕间计算!$A$200:$A$1199,B138,幕间计算!$B$200:$B$1199,A138,幕间计算!$C$200:$C$1199,"魅力"))</f>
        <v/>
      </c>
      <c r="H138" s="131" t="str">
        <f>IF(幕间计算!GI138=0,"",SUMIFS(幕间计算!$E$200:$E$1199,幕间计算!$A$200:$A$1199,B138,幕间计算!$B$200:$B$1199,A138,幕间计算!$C$200:$C$1199,"崩溃点"))</f>
        <v/>
      </c>
      <c r="I138" s="131" t="str">
        <f>IF(幕间计算!GI138=0,"","暴力 "&amp;SUMIFS(幕间计算!$E$200:$E$1199,幕间计算!$A$200:$A$1199,B138,幕间计算!$B$200:$B$1199,A138,幕间计算!$C$200:$C$1199,"暴力进度")&amp;"／无力 "&amp;SUMIFS(幕间计算!$E$200:$E$1199,幕间计算!$A$200:$A$1199,B138,幕间计算!$B$200:$B$1199,A138,幕间计算!$C$200:$C$1199,"无力进度"))</f>
        <v/>
      </c>
      <c r="J138" s="131" t="str">
        <f>IF(幕间计算!GI138=0,"",INDEX(DGArchive[事件／活动],幕间计算!GI138))</f>
        <v/>
      </c>
      <c r="K138" s="131"/>
    </row>
    <row r="139" ht="36" customHeight="1" spans="1:11">
      <c r="A139" s="131" t="str">
        <f>IF(幕间计算!GI139=0,"",INDEX(DGArchive[阶段],幕间计算!GI139))</f>
        <v/>
      </c>
      <c r="B139" s="131" t="str">
        <f>IF(幕间计算!GI139=0,"",INDEX(DGArchive[模组],幕间计算!GI139))</f>
        <v/>
      </c>
      <c r="C139" s="143" t="str">
        <f>IF((IF(幕间计算!GI139=0,"",INDEX(DGArchive[游戏内日期],幕间计算!GI139)))=0,"",IF(幕间计算!GI139=0,"",INDEX(DGArchive[游戏内日期],幕间计算!GI139)))</f>
        <v/>
      </c>
      <c r="D139" s="131" t="str">
        <f>IF(幕间计算!GI139=0,"",SUMIFS(幕间计算!$E$200:$E$1199,幕间计算!$A$200:$A$1199,B139,幕间计算!$B$200:$B$1199,A139,幕间计算!$C$200:$C$1199,"理智"))</f>
        <v/>
      </c>
      <c r="E139" s="131" t="str">
        <f>IF(幕间计算!GI139=0,"",SUMIFS(幕间计算!$E$200:$E$1199,幕间计算!$A$200:$A$1199,B139,幕间计算!$B$200:$B$1199,A139,幕间计算!$C$200:$C$1199,"毅力"))</f>
        <v/>
      </c>
      <c r="F139" s="131" t="str">
        <f>IF(幕间计算!GI139=0,"",SUMIFS(幕间计算!$E$200:$E$1199,幕间计算!$A$200:$A$1199,B139,幕间计算!$B$200:$B$1199,A139,幕间计算!$C$200:$C$1199,"重要关系*"))</f>
        <v/>
      </c>
      <c r="G139" s="131" t="str">
        <f>IF(幕间计算!GI139=0,"",SUMIFS(幕间计算!$E$200:$E$1199,幕间计算!$A$200:$A$1199,B139,幕间计算!$B$200:$B$1199,A139,幕间计算!$C$200:$C$1199,"魅力"))</f>
        <v/>
      </c>
      <c r="H139" s="131" t="str">
        <f>IF(幕间计算!GI139=0,"",SUMIFS(幕间计算!$E$200:$E$1199,幕间计算!$A$200:$A$1199,B139,幕间计算!$B$200:$B$1199,A139,幕间计算!$C$200:$C$1199,"崩溃点"))</f>
        <v/>
      </c>
      <c r="I139" s="131" t="str">
        <f>IF(幕间计算!GI139=0,"","暴力 "&amp;SUMIFS(幕间计算!$E$200:$E$1199,幕间计算!$A$200:$A$1199,B139,幕间计算!$B$200:$B$1199,A139,幕间计算!$C$200:$C$1199,"暴力进度")&amp;"／无力 "&amp;SUMIFS(幕间计算!$E$200:$E$1199,幕间计算!$A$200:$A$1199,B139,幕间计算!$B$200:$B$1199,A139,幕间计算!$C$200:$C$1199,"无力进度"))</f>
        <v/>
      </c>
      <c r="J139" s="131" t="str">
        <f>IF(幕间计算!GI139=0,"",INDEX(DGArchive[事件／活动],幕间计算!GI139))</f>
        <v/>
      </c>
      <c r="K139" s="131"/>
    </row>
    <row r="140" ht="36" customHeight="1" spans="1:11">
      <c r="A140" s="131" t="str">
        <f>IF(幕间计算!GI140=0,"",INDEX(DGArchive[阶段],幕间计算!GI140))</f>
        <v/>
      </c>
      <c r="B140" s="131" t="str">
        <f>IF(幕间计算!GI140=0,"",INDEX(DGArchive[模组],幕间计算!GI140))</f>
        <v/>
      </c>
      <c r="C140" s="143" t="str">
        <f>IF((IF(幕间计算!GI140=0,"",INDEX(DGArchive[游戏内日期],幕间计算!GI140)))=0,"",IF(幕间计算!GI140=0,"",INDEX(DGArchive[游戏内日期],幕间计算!GI140)))</f>
        <v/>
      </c>
      <c r="D140" s="131" t="str">
        <f>IF(幕间计算!GI140=0,"",SUMIFS(幕间计算!$E$200:$E$1199,幕间计算!$A$200:$A$1199,B140,幕间计算!$B$200:$B$1199,A140,幕间计算!$C$200:$C$1199,"理智"))</f>
        <v/>
      </c>
      <c r="E140" s="131" t="str">
        <f>IF(幕间计算!GI140=0,"",SUMIFS(幕间计算!$E$200:$E$1199,幕间计算!$A$200:$A$1199,B140,幕间计算!$B$200:$B$1199,A140,幕间计算!$C$200:$C$1199,"毅力"))</f>
        <v/>
      </c>
      <c r="F140" s="131" t="str">
        <f>IF(幕间计算!GI140=0,"",SUMIFS(幕间计算!$E$200:$E$1199,幕间计算!$A$200:$A$1199,B140,幕间计算!$B$200:$B$1199,A140,幕间计算!$C$200:$C$1199,"重要关系*"))</f>
        <v/>
      </c>
      <c r="G140" s="131" t="str">
        <f>IF(幕间计算!GI140=0,"",SUMIFS(幕间计算!$E$200:$E$1199,幕间计算!$A$200:$A$1199,B140,幕间计算!$B$200:$B$1199,A140,幕间计算!$C$200:$C$1199,"魅力"))</f>
        <v/>
      </c>
      <c r="H140" s="131" t="str">
        <f>IF(幕间计算!GI140=0,"",SUMIFS(幕间计算!$E$200:$E$1199,幕间计算!$A$200:$A$1199,B140,幕间计算!$B$200:$B$1199,A140,幕间计算!$C$200:$C$1199,"崩溃点"))</f>
        <v/>
      </c>
      <c r="I140" s="131" t="str">
        <f>IF(幕间计算!GI140=0,"","暴力 "&amp;SUMIFS(幕间计算!$E$200:$E$1199,幕间计算!$A$200:$A$1199,B140,幕间计算!$B$200:$B$1199,A140,幕间计算!$C$200:$C$1199,"暴力进度")&amp;"／无力 "&amp;SUMIFS(幕间计算!$E$200:$E$1199,幕间计算!$A$200:$A$1199,B140,幕间计算!$B$200:$B$1199,A140,幕间计算!$C$200:$C$1199,"无力进度"))</f>
        <v/>
      </c>
      <c r="J140" s="131" t="str">
        <f>IF(幕间计算!GI140=0,"",INDEX(DGArchive[事件／活动],幕间计算!GI140))</f>
        <v/>
      </c>
      <c r="K140" s="131"/>
    </row>
    <row r="141" ht="36" customHeight="1" spans="1:11">
      <c r="A141" s="131" t="str">
        <f>IF(幕间计算!GI141=0,"",INDEX(DGArchive[阶段],幕间计算!GI141))</f>
        <v/>
      </c>
      <c r="B141" s="131" t="str">
        <f>IF(幕间计算!GI141=0,"",INDEX(DGArchive[模组],幕间计算!GI141))</f>
        <v/>
      </c>
      <c r="C141" s="143" t="str">
        <f>IF((IF(幕间计算!GI141=0,"",INDEX(DGArchive[游戏内日期],幕间计算!GI141)))=0,"",IF(幕间计算!GI141=0,"",INDEX(DGArchive[游戏内日期],幕间计算!GI141)))</f>
        <v/>
      </c>
      <c r="D141" s="131" t="str">
        <f>IF(幕间计算!GI141=0,"",SUMIFS(幕间计算!$E$200:$E$1199,幕间计算!$A$200:$A$1199,B141,幕间计算!$B$200:$B$1199,A141,幕间计算!$C$200:$C$1199,"理智"))</f>
        <v/>
      </c>
      <c r="E141" s="131" t="str">
        <f>IF(幕间计算!GI141=0,"",SUMIFS(幕间计算!$E$200:$E$1199,幕间计算!$A$200:$A$1199,B141,幕间计算!$B$200:$B$1199,A141,幕间计算!$C$200:$C$1199,"毅力"))</f>
        <v/>
      </c>
      <c r="F141" s="131" t="str">
        <f>IF(幕间计算!GI141=0,"",SUMIFS(幕间计算!$E$200:$E$1199,幕间计算!$A$200:$A$1199,B141,幕间计算!$B$200:$B$1199,A141,幕间计算!$C$200:$C$1199,"重要关系*"))</f>
        <v/>
      </c>
      <c r="G141" s="131" t="str">
        <f>IF(幕间计算!GI141=0,"",SUMIFS(幕间计算!$E$200:$E$1199,幕间计算!$A$200:$A$1199,B141,幕间计算!$B$200:$B$1199,A141,幕间计算!$C$200:$C$1199,"魅力"))</f>
        <v/>
      </c>
      <c r="H141" s="131" t="str">
        <f>IF(幕间计算!GI141=0,"",SUMIFS(幕间计算!$E$200:$E$1199,幕间计算!$A$200:$A$1199,B141,幕间计算!$B$200:$B$1199,A141,幕间计算!$C$200:$C$1199,"崩溃点"))</f>
        <v/>
      </c>
      <c r="I141" s="131" t="str">
        <f>IF(幕间计算!GI141=0,"","暴力 "&amp;SUMIFS(幕间计算!$E$200:$E$1199,幕间计算!$A$200:$A$1199,B141,幕间计算!$B$200:$B$1199,A141,幕间计算!$C$200:$C$1199,"暴力进度")&amp;"／无力 "&amp;SUMIFS(幕间计算!$E$200:$E$1199,幕间计算!$A$200:$A$1199,B141,幕间计算!$B$200:$B$1199,A141,幕间计算!$C$200:$C$1199,"无力进度"))</f>
        <v/>
      </c>
      <c r="J141" s="131" t="str">
        <f>IF(幕间计算!GI141=0,"",INDEX(DGArchive[事件／活动],幕间计算!GI141))</f>
        <v/>
      </c>
      <c r="K141" s="131"/>
    </row>
    <row r="142" ht="36" customHeight="1" spans="1:11">
      <c r="A142" s="131" t="str">
        <f>IF(幕间计算!GI142=0,"",INDEX(DGArchive[阶段],幕间计算!GI142))</f>
        <v/>
      </c>
      <c r="B142" s="131" t="str">
        <f>IF(幕间计算!GI142=0,"",INDEX(DGArchive[模组],幕间计算!GI142))</f>
        <v/>
      </c>
      <c r="C142" s="143" t="str">
        <f>IF((IF(幕间计算!GI142=0,"",INDEX(DGArchive[游戏内日期],幕间计算!GI142)))=0,"",IF(幕间计算!GI142=0,"",INDEX(DGArchive[游戏内日期],幕间计算!GI142)))</f>
        <v/>
      </c>
      <c r="D142" s="131" t="str">
        <f>IF(幕间计算!GI142=0,"",SUMIFS(幕间计算!$E$200:$E$1199,幕间计算!$A$200:$A$1199,B142,幕间计算!$B$200:$B$1199,A142,幕间计算!$C$200:$C$1199,"理智"))</f>
        <v/>
      </c>
      <c r="E142" s="131" t="str">
        <f>IF(幕间计算!GI142=0,"",SUMIFS(幕间计算!$E$200:$E$1199,幕间计算!$A$200:$A$1199,B142,幕间计算!$B$200:$B$1199,A142,幕间计算!$C$200:$C$1199,"毅力"))</f>
        <v/>
      </c>
      <c r="F142" s="131" t="str">
        <f>IF(幕间计算!GI142=0,"",SUMIFS(幕间计算!$E$200:$E$1199,幕间计算!$A$200:$A$1199,B142,幕间计算!$B$200:$B$1199,A142,幕间计算!$C$200:$C$1199,"重要关系*"))</f>
        <v/>
      </c>
      <c r="G142" s="131" t="str">
        <f>IF(幕间计算!GI142=0,"",SUMIFS(幕间计算!$E$200:$E$1199,幕间计算!$A$200:$A$1199,B142,幕间计算!$B$200:$B$1199,A142,幕间计算!$C$200:$C$1199,"魅力"))</f>
        <v/>
      </c>
      <c r="H142" s="131" t="str">
        <f>IF(幕间计算!GI142=0,"",SUMIFS(幕间计算!$E$200:$E$1199,幕间计算!$A$200:$A$1199,B142,幕间计算!$B$200:$B$1199,A142,幕间计算!$C$200:$C$1199,"崩溃点"))</f>
        <v/>
      </c>
      <c r="I142" s="131" t="str">
        <f>IF(幕间计算!GI142=0,"","暴力 "&amp;SUMIFS(幕间计算!$E$200:$E$1199,幕间计算!$A$200:$A$1199,B142,幕间计算!$B$200:$B$1199,A142,幕间计算!$C$200:$C$1199,"暴力进度")&amp;"／无力 "&amp;SUMIFS(幕间计算!$E$200:$E$1199,幕间计算!$A$200:$A$1199,B142,幕间计算!$B$200:$B$1199,A142,幕间计算!$C$200:$C$1199,"无力进度"))</f>
        <v/>
      </c>
      <c r="J142" s="131" t="str">
        <f>IF(幕间计算!GI142=0,"",INDEX(DGArchive[事件／活动],幕间计算!GI142))</f>
        <v/>
      </c>
      <c r="K142" s="131"/>
    </row>
    <row r="143" ht="36" customHeight="1" spans="1:11">
      <c r="A143" s="131" t="str">
        <f>IF(幕间计算!GI143=0,"",INDEX(DGArchive[阶段],幕间计算!GI143))</f>
        <v/>
      </c>
      <c r="B143" s="131" t="str">
        <f>IF(幕间计算!GI143=0,"",INDEX(DGArchive[模组],幕间计算!GI143))</f>
        <v/>
      </c>
      <c r="C143" s="143" t="str">
        <f>IF((IF(幕间计算!GI143=0,"",INDEX(DGArchive[游戏内日期],幕间计算!GI143)))=0,"",IF(幕间计算!GI143=0,"",INDEX(DGArchive[游戏内日期],幕间计算!GI143)))</f>
        <v/>
      </c>
      <c r="D143" s="131" t="str">
        <f>IF(幕间计算!GI143=0,"",SUMIFS(幕间计算!$E$200:$E$1199,幕间计算!$A$200:$A$1199,B143,幕间计算!$B$200:$B$1199,A143,幕间计算!$C$200:$C$1199,"理智"))</f>
        <v/>
      </c>
      <c r="E143" s="131" t="str">
        <f>IF(幕间计算!GI143=0,"",SUMIFS(幕间计算!$E$200:$E$1199,幕间计算!$A$200:$A$1199,B143,幕间计算!$B$200:$B$1199,A143,幕间计算!$C$200:$C$1199,"毅力"))</f>
        <v/>
      </c>
      <c r="F143" s="131" t="str">
        <f>IF(幕间计算!GI143=0,"",SUMIFS(幕间计算!$E$200:$E$1199,幕间计算!$A$200:$A$1199,B143,幕间计算!$B$200:$B$1199,A143,幕间计算!$C$200:$C$1199,"重要关系*"))</f>
        <v/>
      </c>
      <c r="G143" s="131" t="str">
        <f>IF(幕间计算!GI143=0,"",SUMIFS(幕间计算!$E$200:$E$1199,幕间计算!$A$200:$A$1199,B143,幕间计算!$B$200:$B$1199,A143,幕间计算!$C$200:$C$1199,"魅力"))</f>
        <v/>
      </c>
      <c r="H143" s="131" t="str">
        <f>IF(幕间计算!GI143=0,"",SUMIFS(幕间计算!$E$200:$E$1199,幕间计算!$A$200:$A$1199,B143,幕间计算!$B$200:$B$1199,A143,幕间计算!$C$200:$C$1199,"崩溃点"))</f>
        <v/>
      </c>
      <c r="I143" s="131" t="str">
        <f>IF(幕间计算!GI143=0,"","暴力 "&amp;SUMIFS(幕间计算!$E$200:$E$1199,幕间计算!$A$200:$A$1199,B143,幕间计算!$B$200:$B$1199,A143,幕间计算!$C$200:$C$1199,"暴力进度")&amp;"／无力 "&amp;SUMIFS(幕间计算!$E$200:$E$1199,幕间计算!$A$200:$A$1199,B143,幕间计算!$B$200:$B$1199,A143,幕间计算!$C$200:$C$1199,"无力进度"))</f>
        <v/>
      </c>
      <c r="J143" s="131" t="str">
        <f>IF(幕间计算!GI143=0,"",INDEX(DGArchive[事件／活动],幕间计算!GI143))</f>
        <v/>
      </c>
      <c r="K143" s="131"/>
    </row>
    <row r="144" ht="36" customHeight="1" spans="1:11">
      <c r="A144" s="131" t="str">
        <f>IF(幕间计算!GI144=0,"",INDEX(DGArchive[阶段],幕间计算!GI144))</f>
        <v/>
      </c>
      <c r="B144" s="131" t="str">
        <f>IF(幕间计算!GI144=0,"",INDEX(DGArchive[模组],幕间计算!GI144))</f>
        <v/>
      </c>
      <c r="C144" s="143" t="str">
        <f>IF((IF(幕间计算!GI144=0,"",INDEX(DGArchive[游戏内日期],幕间计算!GI144)))=0,"",IF(幕间计算!GI144=0,"",INDEX(DGArchive[游戏内日期],幕间计算!GI144)))</f>
        <v/>
      </c>
      <c r="D144" s="131" t="str">
        <f>IF(幕间计算!GI144=0,"",SUMIFS(幕间计算!$E$200:$E$1199,幕间计算!$A$200:$A$1199,B144,幕间计算!$B$200:$B$1199,A144,幕间计算!$C$200:$C$1199,"理智"))</f>
        <v/>
      </c>
      <c r="E144" s="131" t="str">
        <f>IF(幕间计算!GI144=0,"",SUMIFS(幕间计算!$E$200:$E$1199,幕间计算!$A$200:$A$1199,B144,幕间计算!$B$200:$B$1199,A144,幕间计算!$C$200:$C$1199,"毅力"))</f>
        <v/>
      </c>
      <c r="F144" s="131" t="str">
        <f>IF(幕间计算!GI144=0,"",SUMIFS(幕间计算!$E$200:$E$1199,幕间计算!$A$200:$A$1199,B144,幕间计算!$B$200:$B$1199,A144,幕间计算!$C$200:$C$1199,"重要关系*"))</f>
        <v/>
      </c>
      <c r="G144" s="131" t="str">
        <f>IF(幕间计算!GI144=0,"",SUMIFS(幕间计算!$E$200:$E$1199,幕间计算!$A$200:$A$1199,B144,幕间计算!$B$200:$B$1199,A144,幕间计算!$C$200:$C$1199,"魅力"))</f>
        <v/>
      </c>
      <c r="H144" s="131" t="str">
        <f>IF(幕间计算!GI144=0,"",SUMIFS(幕间计算!$E$200:$E$1199,幕间计算!$A$200:$A$1199,B144,幕间计算!$B$200:$B$1199,A144,幕间计算!$C$200:$C$1199,"崩溃点"))</f>
        <v/>
      </c>
      <c r="I144" s="131" t="str">
        <f>IF(幕间计算!GI144=0,"","暴力 "&amp;SUMIFS(幕间计算!$E$200:$E$1199,幕间计算!$A$200:$A$1199,B144,幕间计算!$B$200:$B$1199,A144,幕间计算!$C$200:$C$1199,"暴力进度")&amp;"／无力 "&amp;SUMIFS(幕间计算!$E$200:$E$1199,幕间计算!$A$200:$A$1199,B144,幕间计算!$B$200:$B$1199,A144,幕间计算!$C$200:$C$1199,"无力进度"))</f>
        <v/>
      </c>
      <c r="J144" s="131" t="str">
        <f>IF(幕间计算!GI144=0,"",INDEX(DGArchive[事件／活动],幕间计算!GI144))</f>
        <v/>
      </c>
      <c r="K144" s="131"/>
    </row>
    <row r="145" ht="36" customHeight="1" spans="1:11">
      <c r="A145" s="131" t="str">
        <f>IF(幕间计算!GI145=0,"",INDEX(DGArchive[阶段],幕间计算!GI145))</f>
        <v/>
      </c>
      <c r="B145" s="131" t="str">
        <f>IF(幕间计算!GI145=0,"",INDEX(DGArchive[模组],幕间计算!GI145))</f>
        <v/>
      </c>
      <c r="C145" s="143" t="str">
        <f>IF((IF(幕间计算!GI145=0,"",INDEX(DGArchive[游戏内日期],幕间计算!GI145)))=0,"",IF(幕间计算!GI145=0,"",INDEX(DGArchive[游戏内日期],幕间计算!GI145)))</f>
        <v/>
      </c>
      <c r="D145" s="131" t="str">
        <f>IF(幕间计算!GI145=0,"",SUMIFS(幕间计算!$E$200:$E$1199,幕间计算!$A$200:$A$1199,B145,幕间计算!$B$200:$B$1199,A145,幕间计算!$C$200:$C$1199,"理智"))</f>
        <v/>
      </c>
      <c r="E145" s="131" t="str">
        <f>IF(幕间计算!GI145=0,"",SUMIFS(幕间计算!$E$200:$E$1199,幕间计算!$A$200:$A$1199,B145,幕间计算!$B$200:$B$1199,A145,幕间计算!$C$200:$C$1199,"毅力"))</f>
        <v/>
      </c>
      <c r="F145" s="131" t="str">
        <f>IF(幕间计算!GI145=0,"",SUMIFS(幕间计算!$E$200:$E$1199,幕间计算!$A$200:$A$1199,B145,幕间计算!$B$200:$B$1199,A145,幕间计算!$C$200:$C$1199,"重要关系*"))</f>
        <v/>
      </c>
      <c r="G145" s="131" t="str">
        <f>IF(幕间计算!GI145=0,"",SUMIFS(幕间计算!$E$200:$E$1199,幕间计算!$A$200:$A$1199,B145,幕间计算!$B$200:$B$1199,A145,幕间计算!$C$200:$C$1199,"魅力"))</f>
        <v/>
      </c>
      <c r="H145" s="131" t="str">
        <f>IF(幕间计算!GI145=0,"",SUMIFS(幕间计算!$E$200:$E$1199,幕间计算!$A$200:$A$1199,B145,幕间计算!$B$200:$B$1199,A145,幕间计算!$C$200:$C$1199,"崩溃点"))</f>
        <v/>
      </c>
      <c r="I145" s="131" t="str">
        <f>IF(幕间计算!GI145=0,"","暴力 "&amp;SUMIFS(幕间计算!$E$200:$E$1199,幕间计算!$A$200:$A$1199,B145,幕间计算!$B$200:$B$1199,A145,幕间计算!$C$200:$C$1199,"暴力进度")&amp;"／无力 "&amp;SUMIFS(幕间计算!$E$200:$E$1199,幕间计算!$A$200:$A$1199,B145,幕间计算!$B$200:$B$1199,A145,幕间计算!$C$200:$C$1199,"无力进度"))</f>
        <v/>
      </c>
      <c r="J145" s="131" t="str">
        <f>IF(幕间计算!GI145=0,"",INDEX(DGArchive[事件／活动],幕间计算!GI145))</f>
        <v/>
      </c>
      <c r="K145" s="131"/>
    </row>
    <row r="146" ht="36" customHeight="1" spans="1:11">
      <c r="A146" s="131" t="str">
        <f>IF(幕间计算!GI146=0,"",INDEX(DGArchive[阶段],幕间计算!GI146))</f>
        <v/>
      </c>
      <c r="B146" s="131" t="str">
        <f>IF(幕间计算!GI146=0,"",INDEX(DGArchive[模组],幕间计算!GI146))</f>
        <v/>
      </c>
      <c r="C146" s="143" t="str">
        <f>IF((IF(幕间计算!GI146=0,"",INDEX(DGArchive[游戏内日期],幕间计算!GI146)))=0,"",IF(幕间计算!GI146=0,"",INDEX(DGArchive[游戏内日期],幕间计算!GI146)))</f>
        <v/>
      </c>
      <c r="D146" s="131" t="str">
        <f>IF(幕间计算!GI146=0,"",SUMIFS(幕间计算!$E$200:$E$1199,幕间计算!$A$200:$A$1199,B146,幕间计算!$B$200:$B$1199,A146,幕间计算!$C$200:$C$1199,"理智"))</f>
        <v/>
      </c>
      <c r="E146" s="131" t="str">
        <f>IF(幕间计算!GI146=0,"",SUMIFS(幕间计算!$E$200:$E$1199,幕间计算!$A$200:$A$1199,B146,幕间计算!$B$200:$B$1199,A146,幕间计算!$C$200:$C$1199,"毅力"))</f>
        <v/>
      </c>
      <c r="F146" s="131" t="str">
        <f>IF(幕间计算!GI146=0,"",SUMIFS(幕间计算!$E$200:$E$1199,幕间计算!$A$200:$A$1199,B146,幕间计算!$B$200:$B$1199,A146,幕间计算!$C$200:$C$1199,"重要关系*"))</f>
        <v/>
      </c>
      <c r="G146" s="131" t="str">
        <f>IF(幕间计算!GI146=0,"",SUMIFS(幕间计算!$E$200:$E$1199,幕间计算!$A$200:$A$1199,B146,幕间计算!$B$200:$B$1199,A146,幕间计算!$C$200:$C$1199,"魅力"))</f>
        <v/>
      </c>
      <c r="H146" s="131" t="str">
        <f>IF(幕间计算!GI146=0,"",SUMIFS(幕间计算!$E$200:$E$1199,幕间计算!$A$200:$A$1199,B146,幕间计算!$B$200:$B$1199,A146,幕间计算!$C$200:$C$1199,"崩溃点"))</f>
        <v/>
      </c>
      <c r="I146" s="131" t="str">
        <f>IF(幕间计算!GI146=0,"","暴力 "&amp;SUMIFS(幕间计算!$E$200:$E$1199,幕间计算!$A$200:$A$1199,B146,幕间计算!$B$200:$B$1199,A146,幕间计算!$C$200:$C$1199,"暴力进度")&amp;"／无力 "&amp;SUMIFS(幕间计算!$E$200:$E$1199,幕间计算!$A$200:$A$1199,B146,幕间计算!$B$200:$B$1199,A146,幕间计算!$C$200:$C$1199,"无力进度"))</f>
        <v/>
      </c>
      <c r="J146" s="131" t="str">
        <f>IF(幕间计算!GI146=0,"",INDEX(DGArchive[事件／活动],幕间计算!GI146))</f>
        <v/>
      </c>
      <c r="K146" s="131"/>
    </row>
    <row r="147" ht="36" customHeight="1" spans="1:11">
      <c r="A147" s="131" t="str">
        <f>IF(幕间计算!GI147=0,"",INDEX(DGArchive[阶段],幕间计算!GI147))</f>
        <v/>
      </c>
      <c r="B147" s="131" t="str">
        <f>IF(幕间计算!GI147=0,"",INDEX(DGArchive[模组],幕间计算!GI147))</f>
        <v/>
      </c>
      <c r="C147" s="143" t="str">
        <f>IF((IF(幕间计算!GI147=0,"",INDEX(DGArchive[游戏内日期],幕间计算!GI147)))=0,"",IF(幕间计算!GI147=0,"",INDEX(DGArchive[游戏内日期],幕间计算!GI147)))</f>
        <v/>
      </c>
      <c r="D147" s="131" t="str">
        <f>IF(幕间计算!GI147=0,"",SUMIFS(幕间计算!$E$200:$E$1199,幕间计算!$A$200:$A$1199,B147,幕间计算!$B$200:$B$1199,A147,幕间计算!$C$200:$C$1199,"理智"))</f>
        <v/>
      </c>
      <c r="E147" s="131" t="str">
        <f>IF(幕间计算!GI147=0,"",SUMIFS(幕间计算!$E$200:$E$1199,幕间计算!$A$200:$A$1199,B147,幕间计算!$B$200:$B$1199,A147,幕间计算!$C$200:$C$1199,"毅力"))</f>
        <v/>
      </c>
      <c r="F147" s="131" t="str">
        <f>IF(幕间计算!GI147=0,"",SUMIFS(幕间计算!$E$200:$E$1199,幕间计算!$A$200:$A$1199,B147,幕间计算!$B$200:$B$1199,A147,幕间计算!$C$200:$C$1199,"重要关系*"))</f>
        <v/>
      </c>
      <c r="G147" s="131" t="str">
        <f>IF(幕间计算!GI147=0,"",SUMIFS(幕间计算!$E$200:$E$1199,幕间计算!$A$200:$A$1199,B147,幕间计算!$B$200:$B$1199,A147,幕间计算!$C$200:$C$1199,"魅力"))</f>
        <v/>
      </c>
      <c r="H147" s="131" t="str">
        <f>IF(幕间计算!GI147=0,"",SUMIFS(幕间计算!$E$200:$E$1199,幕间计算!$A$200:$A$1199,B147,幕间计算!$B$200:$B$1199,A147,幕间计算!$C$200:$C$1199,"崩溃点"))</f>
        <v/>
      </c>
      <c r="I147" s="131" t="str">
        <f>IF(幕间计算!GI147=0,"","暴力 "&amp;SUMIFS(幕间计算!$E$200:$E$1199,幕间计算!$A$200:$A$1199,B147,幕间计算!$B$200:$B$1199,A147,幕间计算!$C$200:$C$1199,"暴力进度")&amp;"／无力 "&amp;SUMIFS(幕间计算!$E$200:$E$1199,幕间计算!$A$200:$A$1199,B147,幕间计算!$B$200:$B$1199,A147,幕间计算!$C$200:$C$1199,"无力进度"))</f>
        <v/>
      </c>
      <c r="J147" s="131" t="str">
        <f>IF(幕间计算!GI147=0,"",INDEX(DGArchive[事件／活动],幕间计算!GI147))</f>
        <v/>
      </c>
      <c r="K147" s="131"/>
    </row>
    <row r="148" ht="36" customHeight="1" spans="1:11">
      <c r="A148" s="131" t="str">
        <f>IF(幕间计算!GI148=0,"",INDEX(DGArchive[阶段],幕间计算!GI148))</f>
        <v/>
      </c>
      <c r="B148" s="131" t="str">
        <f>IF(幕间计算!GI148=0,"",INDEX(DGArchive[模组],幕间计算!GI148))</f>
        <v/>
      </c>
      <c r="C148" s="143" t="str">
        <f>IF((IF(幕间计算!GI148=0,"",INDEX(DGArchive[游戏内日期],幕间计算!GI148)))=0,"",IF(幕间计算!GI148=0,"",INDEX(DGArchive[游戏内日期],幕间计算!GI148)))</f>
        <v/>
      </c>
      <c r="D148" s="131" t="str">
        <f>IF(幕间计算!GI148=0,"",SUMIFS(幕间计算!$E$200:$E$1199,幕间计算!$A$200:$A$1199,B148,幕间计算!$B$200:$B$1199,A148,幕间计算!$C$200:$C$1199,"理智"))</f>
        <v/>
      </c>
      <c r="E148" s="131" t="str">
        <f>IF(幕间计算!GI148=0,"",SUMIFS(幕间计算!$E$200:$E$1199,幕间计算!$A$200:$A$1199,B148,幕间计算!$B$200:$B$1199,A148,幕间计算!$C$200:$C$1199,"毅力"))</f>
        <v/>
      </c>
      <c r="F148" s="131" t="str">
        <f>IF(幕间计算!GI148=0,"",SUMIFS(幕间计算!$E$200:$E$1199,幕间计算!$A$200:$A$1199,B148,幕间计算!$B$200:$B$1199,A148,幕间计算!$C$200:$C$1199,"重要关系*"))</f>
        <v/>
      </c>
      <c r="G148" s="131" t="str">
        <f>IF(幕间计算!GI148=0,"",SUMIFS(幕间计算!$E$200:$E$1199,幕间计算!$A$200:$A$1199,B148,幕间计算!$B$200:$B$1199,A148,幕间计算!$C$200:$C$1199,"魅力"))</f>
        <v/>
      </c>
      <c r="H148" s="131" t="str">
        <f>IF(幕间计算!GI148=0,"",SUMIFS(幕间计算!$E$200:$E$1199,幕间计算!$A$200:$A$1199,B148,幕间计算!$B$200:$B$1199,A148,幕间计算!$C$200:$C$1199,"崩溃点"))</f>
        <v/>
      </c>
      <c r="I148" s="131" t="str">
        <f>IF(幕间计算!GI148=0,"","暴力 "&amp;SUMIFS(幕间计算!$E$200:$E$1199,幕间计算!$A$200:$A$1199,B148,幕间计算!$B$200:$B$1199,A148,幕间计算!$C$200:$C$1199,"暴力进度")&amp;"／无力 "&amp;SUMIFS(幕间计算!$E$200:$E$1199,幕间计算!$A$200:$A$1199,B148,幕间计算!$B$200:$B$1199,A148,幕间计算!$C$200:$C$1199,"无力进度"))</f>
        <v/>
      </c>
      <c r="J148" s="131" t="str">
        <f>IF(幕间计算!GI148=0,"",INDEX(DGArchive[事件／活动],幕间计算!GI148))</f>
        <v/>
      </c>
      <c r="K148" s="131"/>
    </row>
    <row r="149" ht="36" customHeight="1" spans="1:11">
      <c r="A149" s="131" t="str">
        <f>IF(幕间计算!GI149=0,"",INDEX(DGArchive[阶段],幕间计算!GI149))</f>
        <v/>
      </c>
      <c r="B149" s="131" t="str">
        <f>IF(幕间计算!GI149=0,"",INDEX(DGArchive[模组],幕间计算!GI149))</f>
        <v/>
      </c>
      <c r="C149" s="143" t="str">
        <f>IF((IF(幕间计算!GI149=0,"",INDEX(DGArchive[游戏内日期],幕间计算!GI149)))=0,"",IF(幕间计算!GI149=0,"",INDEX(DGArchive[游戏内日期],幕间计算!GI149)))</f>
        <v/>
      </c>
      <c r="D149" s="131" t="str">
        <f>IF(幕间计算!GI149=0,"",SUMIFS(幕间计算!$E$200:$E$1199,幕间计算!$A$200:$A$1199,B149,幕间计算!$B$200:$B$1199,A149,幕间计算!$C$200:$C$1199,"理智"))</f>
        <v/>
      </c>
      <c r="E149" s="131" t="str">
        <f>IF(幕间计算!GI149=0,"",SUMIFS(幕间计算!$E$200:$E$1199,幕间计算!$A$200:$A$1199,B149,幕间计算!$B$200:$B$1199,A149,幕间计算!$C$200:$C$1199,"毅力"))</f>
        <v/>
      </c>
      <c r="F149" s="131" t="str">
        <f>IF(幕间计算!GI149=0,"",SUMIFS(幕间计算!$E$200:$E$1199,幕间计算!$A$200:$A$1199,B149,幕间计算!$B$200:$B$1199,A149,幕间计算!$C$200:$C$1199,"重要关系*"))</f>
        <v/>
      </c>
      <c r="G149" s="131" t="str">
        <f>IF(幕间计算!GI149=0,"",SUMIFS(幕间计算!$E$200:$E$1199,幕间计算!$A$200:$A$1199,B149,幕间计算!$B$200:$B$1199,A149,幕间计算!$C$200:$C$1199,"魅力"))</f>
        <v/>
      </c>
      <c r="H149" s="131" t="str">
        <f>IF(幕间计算!GI149=0,"",SUMIFS(幕间计算!$E$200:$E$1199,幕间计算!$A$200:$A$1199,B149,幕间计算!$B$200:$B$1199,A149,幕间计算!$C$200:$C$1199,"崩溃点"))</f>
        <v/>
      </c>
      <c r="I149" s="131" t="str">
        <f>IF(幕间计算!GI149=0,"","暴力 "&amp;SUMIFS(幕间计算!$E$200:$E$1199,幕间计算!$A$200:$A$1199,B149,幕间计算!$B$200:$B$1199,A149,幕间计算!$C$200:$C$1199,"暴力进度")&amp;"／无力 "&amp;SUMIFS(幕间计算!$E$200:$E$1199,幕间计算!$A$200:$A$1199,B149,幕间计算!$B$200:$B$1199,A149,幕间计算!$C$200:$C$1199,"无力进度"))</f>
        <v/>
      </c>
      <c r="J149" s="131" t="str">
        <f>IF(幕间计算!GI149=0,"",INDEX(DGArchive[事件／活动],幕间计算!GI149))</f>
        <v/>
      </c>
      <c r="K149" s="131"/>
    </row>
    <row r="150" ht="36" customHeight="1" spans="1:11">
      <c r="A150" s="131" t="str">
        <f>IF(幕间计算!GI150=0,"",INDEX(DGArchive[阶段],幕间计算!GI150))</f>
        <v/>
      </c>
      <c r="B150" s="131" t="str">
        <f>IF(幕间计算!GI150=0,"",INDEX(DGArchive[模组],幕间计算!GI150))</f>
        <v/>
      </c>
      <c r="C150" s="143" t="str">
        <f>IF((IF(幕间计算!GI150=0,"",INDEX(DGArchive[游戏内日期],幕间计算!GI150)))=0,"",IF(幕间计算!GI150=0,"",INDEX(DGArchive[游戏内日期],幕间计算!GI150)))</f>
        <v/>
      </c>
      <c r="D150" s="131" t="str">
        <f>IF(幕间计算!GI150=0,"",SUMIFS(幕间计算!$E$200:$E$1199,幕间计算!$A$200:$A$1199,B150,幕间计算!$B$200:$B$1199,A150,幕间计算!$C$200:$C$1199,"理智"))</f>
        <v/>
      </c>
      <c r="E150" s="131" t="str">
        <f>IF(幕间计算!GI150=0,"",SUMIFS(幕间计算!$E$200:$E$1199,幕间计算!$A$200:$A$1199,B150,幕间计算!$B$200:$B$1199,A150,幕间计算!$C$200:$C$1199,"毅力"))</f>
        <v/>
      </c>
      <c r="F150" s="131" t="str">
        <f>IF(幕间计算!GI150=0,"",SUMIFS(幕间计算!$E$200:$E$1199,幕间计算!$A$200:$A$1199,B150,幕间计算!$B$200:$B$1199,A150,幕间计算!$C$200:$C$1199,"重要关系*"))</f>
        <v/>
      </c>
      <c r="G150" s="131" t="str">
        <f>IF(幕间计算!GI150=0,"",SUMIFS(幕间计算!$E$200:$E$1199,幕间计算!$A$200:$A$1199,B150,幕间计算!$B$200:$B$1199,A150,幕间计算!$C$200:$C$1199,"魅力"))</f>
        <v/>
      </c>
      <c r="H150" s="131" t="str">
        <f>IF(幕间计算!GI150=0,"",SUMIFS(幕间计算!$E$200:$E$1199,幕间计算!$A$200:$A$1199,B150,幕间计算!$B$200:$B$1199,A150,幕间计算!$C$200:$C$1199,"崩溃点"))</f>
        <v/>
      </c>
      <c r="I150" s="131" t="str">
        <f>IF(幕间计算!GI150=0,"","暴力 "&amp;SUMIFS(幕间计算!$E$200:$E$1199,幕间计算!$A$200:$A$1199,B150,幕间计算!$B$200:$B$1199,A150,幕间计算!$C$200:$C$1199,"暴力进度")&amp;"／无力 "&amp;SUMIFS(幕间计算!$E$200:$E$1199,幕间计算!$A$200:$A$1199,B150,幕间计算!$B$200:$B$1199,A150,幕间计算!$C$200:$C$1199,"无力进度"))</f>
        <v/>
      </c>
      <c r="J150" s="131" t="str">
        <f>IF(幕间计算!GI150=0,"",INDEX(DGArchive[事件／活动],幕间计算!GI150))</f>
        <v/>
      </c>
      <c r="K150" s="131"/>
    </row>
    <row r="151" ht="36" customHeight="1" spans="1:11">
      <c r="A151" s="131" t="str">
        <f>IF(幕间计算!GI151=0,"",INDEX(DGArchive[阶段],幕间计算!GI151))</f>
        <v/>
      </c>
      <c r="B151" s="131" t="str">
        <f>IF(幕间计算!GI151=0,"",INDEX(DGArchive[模组],幕间计算!GI151))</f>
        <v/>
      </c>
      <c r="C151" s="143" t="str">
        <f>IF((IF(幕间计算!GI151=0,"",INDEX(DGArchive[游戏内日期],幕间计算!GI151)))=0,"",IF(幕间计算!GI151=0,"",INDEX(DGArchive[游戏内日期],幕间计算!GI151)))</f>
        <v/>
      </c>
      <c r="D151" s="131" t="str">
        <f>IF(幕间计算!GI151=0,"",SUMIFS(幕间计算!$E$200:$E$1199,幕间计算!$A$200:$A$1199,B151,幕间计算!$B$200:$B$1199,A151,幕间计算!$C$200:$C$1199,"理智"))</f>
        <v/>
      </c>
      <c r="E151" s="131" t="str">
        <f>IF(幕间计算!GI151=0,"",SUMIFS(幕间计算!$E$200:$E$1199,幕间计算!$A$200:$A$1199,B151,幕间计算!$B$200:$B$1199,A151,幕间计算!$C$200:$C$1199,"毅力"))</f>
        <v/>
      </c>
      <c r="F151" s="131" t="str">
        <f>IF(幕间计算!GI151=0,"",SUMIFS(幕间计算!$E$200:$E$1199,幕间计算!$A$200:$A$1199,B151,幕间计算!$B$200:$B$1199,A151,幕间计算!$C$200:$C$1199,"重要关系*"))</f>
        <v/>
      </c>
      <c r="G151" s="131" t="str">
        <f>IF(幕间计算!GI151=0,"",SUMIFS(幕间计算!$E$200:$E$1199,幕间计算!$A$200:$A$1199,B151,幕间计算!$B$200:$B$1199,A151,幕间计算!$C$200:$C$1199,"魅力"))</f>
        <v/>
      </c>
      <c r="H151" s="131" t="str">
        <f>IF(幕间计算!GI151=0,"",SUMIFS(幕间计算!$E$200:$E$1199,幕间计算!$A$200:$A$1199,B151,幕间计算!$B$200:$B$1199,A151,幕间计算!$C$200:$C$1199,"崩溃点"))</f>
        <v/>
      </c>
      <c r="I151" s="131" t="str">
        <f>IF(幕间计算!GI151=0,"","暴力 "&amp;SUMIFS(幕间计算!$E$200:$E$1199,幕间计算!$A$200:$A$1199,B151,幕间计算!$B$200:$B$1199,A151,幕间计算!$C$200:$C$1199,"暴力进度")&amp;"／无力 "&amp;SUMIFS(幕间计算!$E$200:$E$1199,幕间计算!$A$200:$A$1199,B151,幕间计算!$B$200:$B$1199,A151,幕间计算!$C$200:$C$1199,"无力进度"))</f>
        <v/>
      </c>
      <c r="J151" s="131" t="str">
        <f>IF(幕间计算!GI151=0,"",INDEX(DGArchive[事件／活动],幕间计算!GI151))</f>
        <v/>
      </c>
      <c r="K151" s="131"/>
    </row>
    <row r="152" ht="36" customHeight="1" spans="1:11">
      <c r="A152" s="131" t="str">
        <f>IF(幕间计算!GI152=0,"",INDEX(DGArchive[阶段],幕间计算!GI152))</f>
        <v/>
      </c>
      <c r="B152" s="131" t="str">
        <f>IF(幕间计算!GI152=0,"",INDEX(DGArchive[模组],幕间计算!GI152))</f>
        <v/>
      </c>
      <c r="C152" s="143" t="str">
        <f>IF((IF(幕间计算!GI152=0,"",INDEX(DGArchive[游戏内日期],幕间计算!GI152)))=0,"",IF(幕间计算!GI152=0,"",INDEX(DGArchive[游戏内日期],幕间计算!GI152)))</f>
        <v/>
      </c>
      <c r="D152" s="131" t="str">
        <f>IF(幕间计算!GI152=0,"",SUMIFS(幕间计算!$E$200:$E$1199,幕间计算!$A$200:$A$1199,B152,幕间计算!$B$200:$B$1199,A152,幕间计算!$C$200:$C$1199,"理智"))</f>
        <v/>
      </c>
      <c r="E152" s="131" t="str">
        <f>IF(幕间计算!GI152=0,"",SUMIFS(幕间计算!$E$200:$E$1199,幕间计算!$A$200:$A$1199,B152,幕间计算!$B$200:$B$1199,A152,幕间计算!$C$200:$C$1199,"毅力"))</f>
        <v/>
      </c>
      <c r="F152" s="131" t="str">
        <f>IF(幕间计算!GI152=0,"",SUMIFS(幕间计算!$E$200:$E$1199,幕间计算!$A$200:$A$1199,B152,幕间计算!$B$200:$B$1199,A152,幕间计算!$C$200:$C$1199,"重要关系*"))</f>
        <v/>
      </c>
      <c r="G152" s="131" t="str">
        <f>IF(幕间计算!GI152=0,"",SUMIFS(幕间计算!$E$200:$E$1199,幕间计算!$A$200:$A$1199,B152,幕间计算!$B$200:$B$1199,A152,幕间计算!$C$200:$C$1199,"魅力"))</f>
        <v/>
      </c>
      <c r="H152" s="131" t="str">
        <f>IF(幕间计算!GI152=0,"",SUMIFS(幕间计算!$E$200:$E$1199,幕间计算!$A$200:$A$1199,B152,幕间计算!$B$200:$B$1199,A152,幕间计算!$C$200:$C$1199,"崩溃点"))</f>
        <v/>
      </c>
      <c r="I152" s="131" t="str">
        <f>IF(幕间计算!GI152=0,"","暴力 "&amp;SUMIFS(幕间计算!$E$200:$E$1199,幕间计算!$A$200:$A$1199,B152,幕间计算!$B$200:$B$1199,A152,幕间计算!$C$200:$C$1199,"暴力进度")&amp;"／无力 "&amp;SUMIFS(幕间计算!$E$200:$E$1199,幕间计算!$A$200:$A$1199,B152,幕间计算!$B$200:$B$1199,A152,幕间计算!$C$200:$C$1199,"无力进度"))</f>
        <v/>
      </c>
      <c r="J152" s="131" t="str">
        <f>IF(幕间计算!GI152=0,"",INDEX(DGArchive[事件／活动],幕间计算!GI152))</f>
        <v/>
      </c>
      <c r="K152" s="131"/>
    </row>
    <row r="153" ht="36" customHeight="1" spans="1:11">
      <c r="A153" s="131" t="str">
        <f>IF(幕间计算!GI153=0,"",INDEX(DGArchive[阶段],幕间计算!GI153))</f>
        <v/>
      </c>
      <c r="B153" s="131" t="str">
        <f>IF(幕间计算!GI153=0,"",INDEX(DGArchive[模组],幕间计算!GI153))</f>
        <v/>
      </c>
      <c r="C153" s="143" t="str">
        <f>IF((IF(幕间计算!GI153=0,"",INDEX(DGArchive[游戏内日期],幕间计算!GI153)))=0,"",IF(幕间计算!GI153=0,"",INDEX(DGArchive[游戏内日期],幕间计算!GI153)))</f>
        <v/>
      </c>
      <c r="D153" s="131" t="str">
        <f>IF(幕间计算!GI153=0,"",SUMIFS(幕间计算!$E$200:$E$1199,幕间计算!$A$200:$A$1199,B153,幕间计算!$B$200:$B$1199,A153,幕间计算!$C$200:$C$1199,"理智"))</f>
        <v/>
      </c>
      <c r="E153" s="131" t="str">
        <f>IF(幕间计算!GI153=0,"",SUMIFS(幕间计算!$E$200:$E$1199,幕间计算!$A$200:$A$1199,B153,幕间计算!$B$200:$B$1199,A153,幕间计算!$C$200:$C$1199,"毅力"))</f>
        <v/>
      </c>
      <c r="F153" s="131" t="str">
        <f>IF(幕间计算!GI153=0,"",SUMIFS(幕间计算!$E$200:$E$1199,幕间计算!$A$200:$A$1199,B153,幕间计算!$B$200:$B$1199,A153,幕间计算!$C$200:$C$1199,"重要关系*"))</f>
        <v/>
      </c>
      <c r="G153" s="131" t="str">
        <f>IF(幕间计算!GI153=0,"",SUMIFS(幕间计算!$E$200:$E$1199,幕间计算!$A$200:$A$1199,B153,幕间计算!$B$200:$B$1199,A153,幕间计算!$C$200:$C$1199,"魅力"))</f>
        <v/>
      </c>
      <c r="H153" s="131" t="str">
        <f>IF(幕间计算!GI153=0,"",SUMIFS(幕间计算!$E$200:$E$1199,幕间计算!$A$200:$A$1199,B153,幕间计算!$B$200:$B$1199,A153,幕间计算!$C$200:$C$1199,"崩溃点"))</f>
        <v/>
      </c>
      <c r="I153" s="131" t="str">
        <f>IF(幕间计算!GI153=0,"","暴力 "&amp;SUMIFS(幕间计算!$E$200:$E$1199,幕间计算!$A$200:$A$1199,B153,幕间计算!$B$200:$B$1199,A153,幕间计算!$C$200:$C$1199,"暴力进度")&amp;"／无力 "&amp;SUMIFS(幕间计算!$E$200:$E$1199,幕间计算!$A$200:$A$1199,B153,幕间计算!$B$200:$B$1199,A153,幕间计算!$C$200:$C$1199,"无力进度"))</f>
        <v/>
      </c>
      <c r="J153" s="131" t="str">
        <f>IF(幕间计算!GI153=0,"",INDEX(DGArchive[事件／活动],幕间计算!GI153))</f>
        <v/>
      </c>
      <c r="K153" s="131"/>
    </row>
    <row r="154" ht="36" customHeight="1" spans="1:11">
      <c r="A154" s="131" t="str">
        <f>IF(幕间计算!GI154=0,"",INDEX(DGArchive[阶段],幕间计算!GI154))</f>
        <v/>
      </c>
      <c r="B154" s="131" t="str">
        <f>IF(幕间计算!GI154=0,"",INDEX(DGArchive[模组],幕间计算!GI154))</f>
        <v/>
      </c>
      <c r="C154" s="143" t="str">
        <f>IF((IF(幕间计算!GI154=0,"",INDEX(DGArchive[游戏内日期],幕间计算!GI154)))=0,"",IF(幕间计算!GI154=0,"",INDEX(DGArchive[游戏内日期],幕间计算!GI154)))</f>
        <v/>
      </c>
      <c r="D154" s="131" t="str">
        <f>IF(幕间计算!GI154=0,"",SUMIFS(幕间计算!$E$200:$E$1199,幕间计算!$A$200:$A$1199,B154,幕间计算!$B$200:$B$1199,A154,幕间计算!$C$200:$C$1199,"理智"))</f>
        <v/>
      </c>
      <c r="E154" s="131" t="str">
        <f>IF(幕间计算!GI154=0,"",SUMIFS(幕间计算!$E$200:$E$1199,幕间计算!$A$200:$A$1199,B154,幕间计算!$B$200:$B$1199,A154,幕间计算!$C$200:$C$1199,"毅力"))</f>
        <v/>
      </c>
      <c r="F154" s="131" t="str">
        <f>IF(幕间计算!GI154=0,"",SUMIFS(幕间计算!$E$200:$E$1199,幕间计算!$A$200:$A$1199,B154,幕间计算!$B$200:$B$1199,A154,幕间计算!$C$200:$C$1199,"重要关系*"))</f>
        <v/>
      </c>
      <c r="G154" s="131" t="str">
        <f>IF(幕间计算!GI154=0,"",SUMIFS(幕间计算!$E$200:$E$1199,幕间计算!$A$200:$A$1199,B154,幕间计算!$B$200:$B$1199,A154,幕间计算!$C$200:$C$1199,"魅力"))</f>
        <v/>
      </c>
      <c r="H154" s="131" t="str">
        <f>IF(幕间计算!GI154=0,"",SUMIFS(幕间计算!$E$200:$E$1199,幕间计算!$A$200:$A$1199,B154,幕间计算!$B$200:$B$1199,A154,幕间计算!$C$200:$C$1199,"崩溃点"))</f>
        <v/>
      </c>
      <c r="I154" s="131" t="str">
        <f>IF(幕间计算!GI154=0,"","暴力 "&amp;SUMIFS(幕间计算!$E$200:$E$1199,幕间计算!$A$200:$A$1199,B154,幕间计算!$B$200:$B$1199,A154,幕间计算!$C$200:$C$1199,"暴力进度")&amp;"／无力 "&amp;SUMIFS(幕间计算!$E$200:$E$1199,幕间计算!$A$200:$A$1199,B154,幕间计算!$B$200:$B$1199,A154,幕间计算!$C$200:$C$1199,"无力进度"))</f>
        <v/>
      </c>
      <c r="J154" s="131" t="str">
        <f>IF(幕间计算!GI154=0,"",INDEX(DGArchive[事件／活动],幕间计算!GI154))</f>
        <v/>
      </c>
      <c r="K154" s="131"/>
    </row>
    <row r="155" ht="36" customHeight="1" spans="1:11">
      <c r="A155" s="131" t="str">
        <f>IF(幕间计算!GI155=0,"",INDEX(DGArchive[阶段],幕间计算!GI155))</f>
        <v/>
      </c>
      <c r="B155" s="131" t="str">
        <f>IF(幕间计算!GI155=0,"",INDEX(DGArchive[模组],幕间计算!GI155))</f>
        <v/>
      </c>
      <c r="C155" s="143" t="str">
        <f>IF((IF(幕间计算!GI155=0,"",INDEX(DGArchive[游戏内日期],幕间计算!GI155)))=0,"",IF(幕间计算!GI155=0,"",INDEX(DGArchive[游戏内日期],幕间计算!GI155)))</f>
        <v/>
      </c>
      <c r="D155" s="131" t="str">
        <f>IF(幕间计算!GI155=0,"",SUMIFS(幕间计算!$E$200:$E$1199,幕间计算!$A$200:$A$1199,B155,幕间计算!$B$200:$B$1199,A155,幕间计算!$C$200:$C$1199,"理智"))</f>
        <v/>
      </c>
      <c r="E155" s="131" t="str">
        <f>IF(幕间计算!GI155=0,"",SUMIFS(幕间计算!$E$200:$E$1199,幕间计算!$A$200:$A$1199,B155,幕间计算!$B$200:$B$1199,A155,幕间计算!$C$200:$C$1199,"毅力"))</f>
        <v/>
      </c>
      <c r="F155" s="131" t="str">
        <f>IF(幕间计算!GI155=0,"",SUMIFS(幕间计算!$E$200:$E$1199,幕间计算!$A$200:$A$1199,B155,幕间计算!$B$200:$B$1199,A155,幕间计算!$C$200:$C$1199,"重要关系*"))</f>
        <v/>
      </c>
      <c r="G155" s="131" t="str">
        <f>IF(幕间计算!GI155=0,"",SUMIFS(幕间计算!$E$200:$E$1199,幕间计算!$A$200:$A$1199,B155,幕间计算!$B$200:$B$1199,A155,幕间计算!$C$200:$C$1199,"魅力"))</f>
        <v/>
      </c>
      <c r="H155" s="131" t="str">
        <f>IF(幕间计算!GI155=0,"",SUMIFS(幕间计算!$E$200:$E$1199,幕间计算!$A$200:$A$1199,B155,幕间计算!$B$200:$B$1199,A155,幕间计算!$C$200:$C$1199,"崩溃点"))</f>
        <v/>
      </c>
      <c r="I155" s="131" t="str">
        <f>IF(幕间计算!GI155=0,"","暴力 "&amp;SUMIFS(幕间计算!$E$200:$E$1199,幕间计算!$A$200:$A$1199,B155,幕间计算!$B$200:$B$1199,A155,幕间计算!$C$200:$C$1199,"暴力进度")&amp;"／无力 "&amp;SUMIFS(幕间计算!$E$200:$E$1199,幕间计算!$A$200:$A$1199,B155,幕间计算!$B$200:$B$1199,A155,幕间计算!$C$200:$C$1199,"无力进度"))</f>
        <v/>
      </c>
      <c r="J155" s="131" t="str">
        <f>IF(幕间计算!GI155=0,"",INDEX(DGArchive[事件／活动],幕间计算!GI155))</f>
        <v/>
      </c>
      <c r="K155" s="131"/>
    </row>
    <row r="156" ht="36" customHeight="1" spans="1:11">
      <c r="A156" s="131" t="str">
        <f>IF(幕间计算!GI156=0,"",INDEX(DGArchive[阶段],幕间计算!GI156))</f>
        <v/>
      </c>
      <c r="B156" s="131" t="str">
        <f>IF(幕间计算!GI156=0,"",INDEX(DGArchive[模组],幕间计算!GI156))</f>
        <v/>
      </c>
      <c r="C156" s="143" t="str">
        <f>IF((IF(幕间计算!GI156=0,"",INDEX(DGArchive[游戏内日期],幕间计算!GI156)))=0,"",IF(幕间计算!GI156=0,"",INDEX(DGArchive[游戏内日期],幕间计算!GI156)))</f>
        <v/>
      </c>
      <c r="D156" s="131" t="str">
        <f>IF(幕间计算!GI156=0,"",SUMIFS(幕间计算!$E$200:$E$1199,幕间计算!$A$200:$A$1199,B156,幕间计算!$B$200:$B$1199,A156,幕间计算!$C$200:$C$1199,"理智"))</f>
        <v/>
      </c>
      <c r="E156" s="131" t="str">
        <f>IF(幕间计算!GI156=0,"",SUMIFS(幕间计算!$E$200:$E$1199,幕间计算!$A$200:$A$1199,B156,幕间计算!$B$200:$B$1199,A156,幕间计算!$C$200:$C$1199,"毅力"))</f>
        <v/>
      </c>
      <c r="F156" s="131" t="str">
        <f>IF(幕间计算!GI156=0,"",SUMIFS(幕间计算!$E$200:$E$1199,幕间计算!$A$200:$A$1199,B156,幕间计算!$B$200:$B$1199,A156,幕间计算!$C$200:$C$1199,"重要关系*"))</f>
        <v/>
      </c>
      <c r="G156" s="131" t="str">
        <f>IF(幕间计算!GI156=0,"",SUMIFS(幕间计算!$E$200:$E$1199,幕间计算!$A$200:$A$1199,B156,幕间计算!$B$200:$B$1199,A156,幕间计算!$C$200:$C$1199,"魅力"))</f>
        <v/>
      </c>
      <c r="H156" s="131" t="str">
        <f>IF(幕间计算!GI156=0,"",SUMIFS(幕间计算!$E$200:$E$1199,幕间计算!$A$200:$A$1199,B156,幕间计算!$B$200:$B$1199,A156,幕间计算!$C$200:$C$1199,"崩溃点"))</f>
        <v/>
      </c>
      <c r="I156" s="131" t="str">
        <f>IF(幕间计算!GI156=0,"","暴力 "&amp;SUMIFS(幕间计算!$E$200:$E$1199,幕间计算!$A$200:$A$1199,B156,幕间计算!$B$200:$B$1199,A156,幕间计算!$C$200:$C$1199,"暴力进度")&amp;"／无力 "&amp;SUMIFS(幕间计算!$E$200:$E$1199,幕间计算!$A$200:$A$1199,B156,幕间计算!$B$200:$B$1199,A156,幕间计算!$C$200:$C$1199,"无力进度"))</f>
        <v/>
      </c>
      <c r="J156" s="131" t="str">
        <f>IF(幕间计算!GI156=0,"",INDEX(DGArchive[事件／活动],幕间计算!GI156))</f>
        <v/>
      </c>
      <c r="K156" s="131"/>
    </row>
    <row r="157" ht="36" customHeight="1" spans="1:11">
      <c r="A157" s="131" t="str">
        <f>IF(幕间计算!GI157=0,"",INDEX(DGArchive[阶段],幕间计算!GI157))</f>
        <v/>
      </c>
      <c r="B157" s="131" t="str">
        <f>IF(幕间计算!GI157=0,"",INDEX(DGArchive[模组],幕间计算!GI157))</f>
        <v/>
      </c>
      <c r="C157" s="143" t="str">
        <f>IF((IF(幕间计算!GI157=0,"",INDEX(DGArchive[游戏内日期],幕间计算!GI157)))=0,"",IF(幕间计算!GI157=0,"",INDEX(DGArchive[游戏内日期],幕间计算!GI157)))</f>
        <v/>
      </c>
      <c r="D157" s="131" t="str">
        <f>IF(幕间计算!GI157=0,"",SUMIFS(幕间计算!$E$200:$E$1199,幕间计算!$A$200:$A$1199,B157,幕间计算!$B$200:$B$1199,A157,幕间计算!$C$200:$C$1199,"理智"))</f>
        <v/>
      </c>
      <c r="E157" s="131" t="str">
        <f>IF(幕间计算!GI157=0,"",SUMIFS(幕间计算!$E$200:$E$1199,幕间计算!$A$200:$A$1199,B157,幕间计算!$B$200:$B$1199,A157,幕间计算!$C$200:$C$1199,"毅力"))</f>
        <v/>
      </c>
      <c r="F157" s="131" t="str">
        <f>IF(幕间计算!GI157=0,"",SUMIFS(幕间计算!$E$200:$E$1199,幕间计算!$A$200:$A$1199,B157,幕间计算!$B$200:$B$1199,A157,幕间计算!$C$200:$C$1199,"重要关系*"))</f>
        <v/>
      </c>
      <c r="G157" s="131" t="str">
        <f>IF(幕间计算!GI157=0,"",SUMIFS(幕间计算!$E$200:$E$1199,幕间计算!$A$200:$A$1199,B157,幕间计算!$B$200:$B$1199,A157,幕间计算!$C$200:$C$1199,"魅力"))</f>
        <v/>
      </c>
      <c r="H157" s="131" t="str">
        <f>IF(幕间计算!GI157=0,"",SUMIFS(幕间计算!$E$200:$E$1199,幕间计算!$A$200:$A$1199,B157,幕间计算!$B$200:$B$1199,A157,幕间计算!$C$200:$C$1199,"崩溃点"))</f>
        <v/>
      </c>
      <c r="I157" s="131" t="str">
        <f>IF(幕间计算!GI157=0,"","暴力 "&amp;SUMIFS(幕间计算!$E$200:$E$1199,幕间计算!$A$200:$A$1199,B157,幕间计算!$B$200:$B$1199,A157,幕间计算!$C$200:$C$1199,"暴力进度")&amp;"／无力 "&amp;SUMIFS(幕间计算!$E$200:$E$1199,幕间计算!$A$200:$A$1199,B157,幕间计算!$B$200:$B$1199,A157,幕间计算!$C$200:$C$1199,"无力进度"))</f>
        <v/>
      </c>
      <c r="J157" s="131" t="str">
        <f>IF(幕间计算!GI157=0,"",INDEX(DGArchive[事件／活动],幕间计算!GI157))</f>
        <v/>
      </c>
      <c r="K157" s="131"/>
    </row>
    <row r="158" ht="36" customHeight="1" spans="1:11">
      <c r="A158" s="131" t="str">
        <f>IF(幕间计算!GI158=0,"",INDEX(DGArchive[阶段],幕间计算!GI158))</f>
        <v/>
      </c>
      <c r="B158" s="131" t="str">
        <f>IF(幕间计算!GI158=0,"",INDEX(DGArchive[模组],幕间计算!GI158))</f>
        <v/>
      </c>
      <c r="C158" s="143" t="str">
        <f>IF((IF(幕间计算!GI158=0,"",INDEX(DGArchive[游戏内日期],幕间计算!GI158)))=0,"",IF(幕间计算!GI158=0,"",INDEX(DGArchive[游戏内日期],幕间计算!GI158)))</f>
        <v/>
      </c>
      <c r="D158" s="131" t="str">
        <f>IF(幕间计算!GI158=0,"",SUMIFS(幕间计算!$E$200:$E$1199,幕间计算!$A$200:$A$1199,B158,幕间计算!$B$200:$B$1199,A158,幕间计算!$C$200:$C$1199,"理智"))</f>
        <v/>
      </c>
      <c r="E158" s="131" t="str">
        <f>IF(幕间计算!GI158=0,"",SUMIFS(幕间计算!$E$200:$E$1199,幕间计算!$A$200:$A$1199,B158,幕间计算!$B$200:$B$1199,A158,幕间计算!$C$200:$C$1199,"毅力"))</f>
        <v/>
      </c>
      <c r="F158" s="131" t="str">
        <f>IF(幕间计算!GI158=0,"",SUMIFS(幕间计算!$E$200:$E$1199,幕间计算!$A$200:$A$1199,B158,幕间计算!$B$200:$B$1199,A158,幕间计算!$C$200:$C$1199,"重要关系*"))</f>
        <v/>
      </c>
      <c r="G158" s="131" t="str">
        <f>IF(幕间计算!GI158=0,"",SUMIFS(幕间计算!$E$200:$E$1199,幕间计算!$A$200:$A$1199,B158,幕间计算!$B$200:$B$1199,A158,幕间计算!$C$200:$C$1199,"魅力"))</f>
        <v/>
      </c>
      <c r="H158" s="131" t="str">
        <f>IF(幕间计算!GI158=0,"",SUMIFS(幕间计算!$E$200:$E$1199,幕间计算!$A$200:$A$1199,B158,幕间计算!$B$200:$B$1199,A158,幕间计算!$C$200:$C$1199,"崩溃点"))</f>
        <v/>
      </c>
      <c r="I158" s="131" t="str">
        <f>IF(幕间计算!GI158=0,"","暴力 "&amp;SUMIFS(幕间计算!$E$200:$E$1199,幕间计算!$A$200:$A$1199,B158,幕间计算!$B$200:$B$1199,A158,幕间计算!$C$200:$C$1199,"暴力进度")&amp;"／无力 "&amp;SUMIFS(幕间计算!$E$200:$E$1199,幕间计算!$A$200:$A$1199,B158,幕间计算!$B$200:$B$1199,A158,幕间计算!$C$200:$C$1199,"无力进度"))</f>
        <v/>
      </c>
      <c r="J158" s="131" t="str">
        <f>IF(幕间计算!GI158=0,"",INDEX(DGArchive[事件／活动],幕间计算!GI158))</f>
        <v/>
      </c>
      <c r="K158" s="131"/>
    </row>
    <row r="159" ht="36" customHeight="1" spans="1:11">
      <c r="A159" s="131" t="str">
        <f>IF(幕间计算!GI159=0,"",INDEX(DGArchive[阶段],幕间计算!GI159))</f>
        <v/>
      </c>
      <c r="B159" s="131" t="str">
        <f>IF(幕间计算!GI159=0,"",INDEX(DGArchive[模组],幕间计算!GI159))</f>
        <v/>
      </c>
      <c r="C159" s="143" t="str">
        <f>IF((IF(幕间计算!GI159=0,"",INDEX(DGArchive[游戏内日期],幕间计算!GI159)))=0,"",IF(幕间计算!GI159=0,"",INDEX(DGArchive[游戏内日期],幕间计算!GI159)))</f>
        <v/>
      </c>
      <c r="D159" s="131" t="str">
        <f>IF(幕间计算!GI159=0,"",SUMIFS(幕间计算!$E$200:$E$1199,幕间计算!$A$200:$A$1199,B159,幕间计算!$B$200:$B$1199,A159,幕间计算!$C$200:$C$1199,"理智"))</f>
        <v/>
      </c>
      <c r="E159" s="131" t="str">
        <f>IF(幕间计算!GI159=0,"",SUMIFS(幕间计算!$E$200:$E$1199,幕间计算!$A$200:$A$1199,B159,幕间计算!$B$200:$B$1199,A159,幕间计算!$C$200:$C$1199,"毅力"))</f>
        <v/>
      </c>
      <c r="F159" s="131" t="str">
        <f>IF(幕间计算!GI159=0,"",SUMIFS(幕间计算!$E$200:$E$1199,幕间计算!$A$200:$A$1199,B159,幕间计算!$B$200:$B$1199,A159,幕间计算!$C$200:$C$1199,"重要关系*"))</f>
        <v/>
      </c>
      <c r="G159" s="131" t="str">
        <f>IF(幕间计算!GI159=0,"",SUMIFS(幕间计算!$E$200:$E$1199,幕间计算!$A$200:$A$1199,B159,幕间计算!$B$200:$B$1199,A159,幕间计算!$C$200:$C$1199,"魅力"))</f>
        <v/>
      </c>
      <c r="H159" s="131" t="str">
        <f>IF(幕间计算!GI159=0,"",SUMIFS(幕间计算!$E$200:$E$1199,幕间计算!$A$200:$A$1199,B159,幕间计算!$B$200:$B$1199,A159,幕间计算!$C$200:$C$1199,"崩溃点"))</f>
        <v/>
      </c>
      <c r="I159" s="131" t="str">
        <f>IF(幕间计算!GI159=0,"","暴力 "&amp;SUMIFS(幕间计算!$E$200:$E$1199,幕间计算!$A$200:$A$1199,B159,幕间计算!$B$200:$B$1199,A159,幕间计算!$C$200:$C$1199,"暴力进度")&amp;"／无力 "&amp;SUMIFS(幕间计算!$E$200:$E$1199,幕间计算!$A$200:$A$1199,B159,幕间计算!$B$200:$B$1199,A159,幕间计算!$C$200:$C$1199,"无力进度"))</f>
        <v/>
      </c>
      <c r="J159" s="131" t="str">
        <f>IF(幕间计算!GI159=0,"",INDEX(DGArchive[事件／活动],幕间计算!GI159))</f>
        <v/>
      </c>
      <c r="K159" s="131"/>
    </row>
  </sheetData>
  <sheetProtection algorithmName="SHA-512" hashValue="CYqCgrzV32hCw00q40Hna4HGshJho7IY1Tn/chQgMIk4MpKVg/UZIr7SJzvJDx+fnKP2kJzoLnEyA3M2rXw21Q==" saltValue="r9imG7S5c1GBI/vXBxLkRg==" spinCount="100000" sheet="1" autoFilter="0" objects="1"/>
  <mergeCells count="174">
    <mergeCell ref="A1:K1"/>
    <mergeCell ref="A2:B2"/>
    <mergeCell ref="C2:D2"/>
    <mergeCell ref="E2:G2"/>
    <mergeCell ref="H2:K2"/>
    <mergeCell ref="A6:K6"/>
    <mergeCell ref="A7:K7"/>
    <mergeCell ref="F8:K8"/>
    <mergeCell ref="B9:C9"/>
    <mergeCell ref="E9:G9"/>
    <mergeCell ref="H9:K9"/>
    <mergeCell ref="B10:C10"/>
    <mergeCell ref="E10:G10"/>
    <mergeCell ref="H10:K10"/>
    <mergeCell ref="B11:C11"/>
    <mergeCell ref="E11:G11"/>
    <mergeCell ref="H11:K11"/>
    <mergeCell ref="B12:C12"/>
    <mergeCell ref="E12:G12"/>
    <mergeCell ref="H12:K12"/>
    <mergeCell ref="B13:C13"/>
    <mergeCell ref="E13:G13"/>
    <mergeCell ref="H13:K13"/>
    <mergeCell ref="B14:C14"/>
    <mergeCell ref="E14:G14"/>
    <mergeCell ref="H14:K14"/>
    <mergeCell ref="B15:C15"/>
    <mergeCell ref="E15:G15"/>
    <mergeCell ref="H15:K15"/>
    <mergeCell ref="B16:C16"/>
    <mergeCell ref="E16:G16"/>
    <mergeCell ref="H16:K16"/>
    <mergeCell ref="B17:C17"/>
    <mergeCell ref="E17:G17"/>
    <mergeCell ref="H17:K17"/>
    <mergeCell ref="B18:C18"/>
    <mergeCell ref="E18:G18"/>
    <mergeCell ref="H18:K18"/>
    <mergeCell ref="B19:C19"/>
    <mergeCell ref="E19:G19"/>
    <mergeCell ref="H19:K19"/>
    <mergeCell ref="A23:K23"/>
    <mergeCell ref="A24:K24"/>
    <mergeCell ref="A41:C41"/>
    <mergeCell ref="D41:F41"/>
    <mergeCell ref="G41:K41"/>
    <mergeCell ref="A42:K42"/>
    <mergeCell ref="A43:K43"/>
    <mergeCell ref="A44:C44"/>
    <mergeCell ref="D44:K44"/>
    <mergeCell ref="A45:C45"/>
    <mergeCell ref="D45:K45"/>
    <mergeCell ref="A46:C46"/>
    <mergeCell ref="D46:K46"/>
    <mergeCell ref="A47:C47"/>
    <mergeCell ref="D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6:K56"/>
    <mergeCell ref="A57:K57"/>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B20:K22"/>
  </mergeCells>
  <conditionalFormatting sqref="A10:C10">
    <cfRule type="expression" dxfId="19" priority="1">
      <formula>NOT($E$9="理智损失")</formula>
    </cfRule>
  </conditionalFormatting>
  <conditionalFormatting sqref="D10:G10">
    <cfRule type="expression" dxfId="19" priority="2">
      <formula>NOT(OR($E$9="理智损失",$E$9="建立DG关系",$E$9="加深DG关系"))</formula>
    </cfRule>
  </conditionalFormatting>
  <conditionalFormatting sqref="A13:G13">
    <cfRule type="expression" dxfId="19" priority="4">
      <formula>NOT(OR($E$9="理智损失",$E$9="抑制疯狂"))</formula>
    </cfRule>
  </conditionalFormatting>
  <conditionalFormatting sqref="A14:C14">
    <cfRule type="expression" dxfId="19" priority="5">
      <formula>NOT(幕间计算!$GA$24&gt;0)</formula>
    </cfRule>
  </conditionalFormatting>
  <conditionalFormatting sqref="D14:G14">
    <cfRule type="expression" dxfId="19" priority="6">
      <formula>NOT(OR($E$9="理智损失",$E$9="抑制疯狂"))</formula>
    </cfRule>
  </conditionalFormatting>
  <conditionalFormatting sqref="A15:C15">
    <cfRule type="expression" dxfId="19" priority="7">
      <formula>NOT(OR($E$9="关系受损",$E$9="关系破碎",$E$9="建立DG关系",$E$9="加深DG关系"))</formula>
    </cfRule>
  </conditionalFormatting>
  <conditionalFormatting sqref="D15:G15">
    <cfRule type="expression" dxfId="19" priority="8">
      <formula>NOT(OR($E$9="关系受损",$E$9="加深DG关系"))</formula>
    </cfRule>
  </conditionalFormatting>
  <conditionalFormatting sqref="A16:C16">
    <cfRule type="expression" dxfId="19" priority="9">
      <formula>NOT(幕间计算!$GA$30&gt;0)</formula>
    </cfRule>
  </conditionalFormatting>
  <conditionalFormatting sqref="D16:G16">
    <cfRule type="expression" dxfId="19" priority="10">
      <formula>NOT(幕间计算!$GA$22=1)</formula>
    </cfRule>
  </conditionalFormatting>
  <conditionalFormatting sqref="A17:C17">
    <cfRule type="expression" dxfId="19" priority="11">
      <formula>NOT(OR($E$9="关系受损",$E$9="理智恢复",$E$9="毅力恢复",$E$9="毅力消耗",$E$9="体力变化",$E$9="属性减值"))</formula>
    </cfRule>
  </conditionalFormatting>
  <conditionalFormatting sqref="D17:G17">
    <cfRule type="expression" dxfId="19" priority="12">
      <formula>NOT($E$9="属性减值")</formula>
    </cfRule>
  </conditionalFormatting>
  <conditionalFormatting sqref="A18:G18">
    <cfRule type="expression" dxfId="19" priority="13">
      <formula>NOT(OR($E$9="建立DG关系",$E$9="加深DG关系"))</formula>
    </cfRule>
  </conditionalFormatting>
  <conditionalFormatting sqref="A19:G19">
    <cfRule type="expression" dxfId="19" priority="14">
      <formula>NOT(AND($E$9="理智损失",$B$10="非自然",幕间计算!$GA$21=1))</formula>
    </cfRule>
  </conditionalFormatting>
  <conditionalFormatting sqref="A11:G12">
    <cfRule type="expression" dxfId="19" priority="3">
      <formula>NOT($E$9="理智损失")</formula>
    </cfRule>
  </conditionalFormatting>
  <dataValidations count="13">
    <dataValidation type="whole" operator="between" allowBlank="1" showErrorMessage="1" errorTitle="请检查输入" error="请选择列表项目或填写允许的数值。" sqref="B8">
      <formula1>1</formula1>
      <formula2>99999</formula2>
    </dataValidation>
    <dataValidation type="list" allowBlank="1" showErrorMessage="1" errorTitle="请检查输入" error="请选择列表项目或填写允许的数值。" sqref="E8">
      <formula1>模组编号</formula1>
    </dataValidation>
    <dataValidation type="list" allowBlank="1" showErrorMessage="1" errorTitle="请检查输入" error="请选择列表项目或填写允许的数值。" sqref="E9:G9">
      <formula1>游戏事件类型</formula1>
    </dataValidation>
    <dataValidation type="list" allowBlank="1" showErrorMessage="1" errorTitle="请检查输入" error="请选择列表项目或填写允许的数值。" sqref="B10:C10">
      <formula1>理智损失来源</formula1>
    </dataValidation>
    <dataValidation type="list" allowBlank="1" showErrorMessage="1" errorTitle="请检查输入" error="请选择列表项目或填写允许的数值。" sqref="E10:G10 B14:C14">
      <formula1>幕间结果</formula1>
    </dataValidation>
    <dataValidation type="whole" operator="between" allowBlank="1" showErrorMessage="1" errorTitle="请检查输入" error="请选择列表项目或填写允许的数值。" sqref="B11:C11">
      <formula1>0</formula1>
      <formula2>99</formula2>
    </dataValidation>
    <dataValidation type="list" allowBlank="1" errorTitle="请检查输入" error="请选择列表项目或填写允许的数值。" sqref="E14:G14">
      <formula1>游戏精神疾病</formula1>
    </dataValidation>
    <dataValidation type="list" allowBlank="1" showErrorMessage="1" errorTitle="请检查输入" error="请选择列表项目或填写允许的数值。" sqref="B15:C15 B18:C18 E12:G13">
      <formula1>关系编号</formula1>
    </dataValidation>
    <dataValidation type="whole" operator="between" allowBlank="1" showErrorMessage="1" errorTitle="请检查输入" error="请选择列表项目或填写允许的数值。" sqref="E15:G15 E18:G18 B12:C13">
      <formula1>1</formula1>
      <formula2>4</formula2>
    </dataValidation>
    <dataValidation type="whole" operator="between" allowBlank="1" showErrorMessage="1" errorTitle="请检查输入" error="请选择列表项目或填写允许的数值。" sqref="B16:C16 B19:C19">
      <formula1>1</formula1>
      <formula2>6</formula2>
    </dataValidation>
    <dataValidation type="whole" operator="between" allowBlank="1" showErrorMessage="1" errorTitle="请检查输入" error="请选择列表项目或填写允许的数值。" sqref="B17:C17">
      <formula1>-99</formula1>
      <formula2>99</formula2>
    </dataValidation>
    <dataValidation type="list" allowBlank="1" showErrorMessage="1" errorTitle="请检查输入" error="请选择列表项目或填写允许的数值。" sqref="E17:G17">
      <formula1>幕间计算!$L$2:$L$7</formula1>
    </dataValidation>
    <dataValidation type="list" allowBlank="1" showErrorMessage="1" errorTitle="请检查输入" error="请选择列表项目或填写允许的数值。" sqref="E19:G19">
      <formula1>"是,否"</formula1>
    </dataValidation>
  </dataValidations>
  <hyperlinks>
    <hyperlink ref="A2" location="'人物卡'!B2" display="返回人物卡"/>
    <hyperlink ref="C2" location="'幕间与结算'!A104" display="幕间与归档"/>
    <hyperlink ref="E2" location="'理智与关系记录'!A56" display="记录汇总"/>
    <hyperlink ref="H2" location="'精神疾病'!A1" display="精神疾病"/>
    <hyperlink ref="A41" location="本次事件记录" display="选取本次事件记录"/>
    <hyperlink ref="D41" location="归档空行" display="前往归档空行"/>
    <hyperlink ref="G41" location="本次事件输入" display="选取事件输入（Delete清空）"/>
  </hyperlinks>
  <pageMargins left="0.7" right="0.7" top="0.75" bottom="0.75" header="0.3" footer="0.3"/>
  <pageSetup paperSize="9"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D3A"/>
  </sheetPr>
  <dimension ref="A1:K1095"/>
  <sheetViews>
    <sheetView showGridLines="0" workbookViewId="0">
      <pane ySplit="5" topLeftCell="A6" activePane="bottomLeft" state="frozen"/>
      <selection/>
      <selection pane="bottomLeft" activeCell="A1" sqref="A1:K1"/>
    </sheetView>
  </sheetViews>
  <sheetFormatPr defaultColWidth="9" defaultRowHeight="14"/>
  <cols>
    <col min="1" max="1" width="12" style="102" customWidth="1"/>
    <col min="2" max="2" width="13" style="102" customWidth="1"/>
    <col min="3" max="3" width="16" style="102" customWidth="1"/>
    <col min="4" max="4" width="24" style="102" customWidth="1"/>
    <col min="5" max="7" width="12" style="102" customWidth="1"/>
    <col min="8" max="8" width="24" style="102" customWidth="1"/>
    <col min="9" max="9" width="28" style="102" customWidth="1"/>
    <col min="10" max="10" width="10" style="102" customWidth="1"/>
    <col min="11" max="11" width="20" style="102" customWidth="1"/>
    <col min="12" max="16384" width="9" style="102"/>
  </cols>
  <sheetData>
    <row r="1" ht="28" customHeight="1" spans="1:11">
      <c r="A1" s="103" t="s">
        <v>2555</v>
      </c>
      <c r="B1" s="103"/>
      <c r="C1" s="103"/>
      <c r="D1" s="103"/>
      <c r="E1" s="103"/>
      <c r="F1" s="103"/>
      <c r="G1" s="103"/>
      <c r="H1" s="103"/>
      <c r="I1" s="103"/>
      <c r="J1" s="103"/>
      <c r="K1" s="103"/>
    </row>
    <row r="2" ht="25" customHeight="1" spans="1:11">
      <c r="A2" s="104" t="s">
        <v>2553</v>
      </c>
      <c r="B2" s="104"/>
      <c r="C2" s="104" t="s">
        <v>2650</v>
      </c>
      <c r="D2" s="104"/>
      <c r="E2" s="104" t="s">
        <v>2651</v>
      </c>
      <c r="F2" s="104"/>
      <c r="G2" s="104"/>
      <c r="H2" s="104" t="s">
        <v>2652</v>
      </c>
      <c r="I2" s="104"/>
      <c r="J2" s="104" t="s">
        <v>2653</v>
      </c>
      <c r="K2" s="104"/>
    </row>
    <row r="3" ht="25" customHeight="1" spans="1:11">
      <c r="A3" s="105" t="s">
        <v>2606</v>
      </c>
      <c r="B3" s="106" t="s">
        <v>2581</v>
      </c>
      <c r="C3" s="105" t="str">
        <f>IFERROR(INDEX(幕间计算!$T$2:$T$21,MATCH(幕间计算!$AO$5,幕间计算!$W$2:$W$21,0)),"")</f>
        <v/>
      </c>
      <c r="D3" s="105"/>
      <c r="E3" s="105" t="s">
        <v>2557</v>
      </c>
      <c r="F3" s="106"/>
      <c r="G3" s="106"/>
      <c r="H3" s="106"/>
      <c r="I3" s="105" t="str">
        <f ca="1">"标记 "&amp;幕间计算!AO2&amp;" 项；待填骰点 "&amp;幕间计算!AO3&amp;" 项"</f>
        <v>标记 0 项；待填骰点 0 项</v>
      </c>
      <c r="J3" s="105"/>
      <c r="K3" s="105"/>
    </row>
    <row r="4" ht="25" customHeight="1" spans="1:11">
      <c r="A4" s="107" t="s">
        <v>13</v>
      </c>
      <c r="B4" s="107" t="s">
        <v>17</v>
      </c>
      <c r="C4" s="107" t="s">
        <v>21</v>
      </c>
      <c r="D4" s="107" t="s">
        <v>25</v>
      </c>
      <c r="E4" s="107" t="s">
        <v>28</v>
      </c>
      <c r="F4" s="107" t="s">
        <v>31</v>
      </c>
      <c r="G4" s="107" t="s">
        <v>2654</v>
      </c>
      <c r="H4" s="107" t="s">
        <v>2568</v>
      </c>
      <c r="I4" s="107" t="s">
        <v>2567</v>
      </c>
      <c r="J4" s="107" t="s">
        <v>41</v>
      </c>
      <c r="K4" s="105"/>
    </row>
    <row r="5" ht="25" customHeight="1" spans="1:11">
      <c r="A5" s="108">
        <f>人物卡!AN3</f>
        <v>0</v>
      </c>
      <c r="B5" s="108">
        <f>人物卡!AN4</f>
        <v>0</v>
      </c>
      <c r="C5" s="108">
        <f>人物卡!AN5</f>
        <v>0</v>
      </c>
      <c r="D5" s="108">
        <f>人物卡!AN6</f>
        <v>0</v>
      </c>
      <c r="E5" s="108">
        <f>人物卡!AN7</f>
        <v>0</v>
      </c>
      <c r="F5" s="108">
        <f>人物卡!AN8</f>
        <v>0</v>
      </c>
      <c r="G5" s="108">
        <f>人物卡!H10</f>
        <v>0</v>
      </c>
      <c r="H5" s="108">
        <f>人物卡!V10</f>
        <v>0</v>
      </c>
      <c r="I5" s="108">
        <f>人物卡!AH10</f>
        <v>0</v>
      </c>
      <c r="J5" s="108">
        <f>人物卡!AU10</f>
        <v>0</v>
      </c>
      <c r="K5" s="105"/>
    </row>
    <row r="6" ht="25" customHeight="1" spans="1:11">
      <c r="A6" s="109" t="str">
        <f>IF($F$8="提升技能或属性","各目标分别检定（技能值或属性×5）。失败／大失败：技能+3D6、属性+1；成功／大成功不变。每项实际提升使一项非DG关系−1。","上方自动读取主卡现值。蓝色格填写本次事项；复制记录的A至I列，粘贴为值到归档空行后生效。")</f>
        <v>上方自动读取主卡现值。蓝色格填写本次事项；复制记录的A至I列，粘贴为值到归档空行后生效。</v>
      </c>
      <c r="B6" s="109"/>
      <c r="C6" s="109"/>
      <c r="D6" s="109"/>
      <c r="E6" s="109"/>
      <c r="F6" s="109"/>
      <c r="G6" s="109"/>
      <c r="H6" s="109"/>
      <c r="I6" s="109"/>
      <c r="J6" s="109"/>
      <c r="K6" s="109"/>
    </row>
    <row r="7" ht="28" customHeight="1" spans="1:11">
      <c r="A7" s="110" t="s">
        <v>2655</v>
      </c>
      <c r="B7" s="110"/>
      <c r="C7" s="110"/>
      <c r="D7" s="110"/>
      <c r="E7" s="110"/>
      <c r="F7" s="110"/>
      <c r="G7" s="110"/>
      <c r="H7" s="110"/>
      <c r="I7" s="110"/>
      <c r="J7" s="110"/>
      <c r="K7" s="110"/>
    </row>
    <row r="8" ht="25" customHeight="1" spans="1:11">
      <c r="A8" s="105" t="s">
        <v>2579</v>
      </c>
      <c r="B8" s="111">
        <v>1</v>
      </c>
      <c r="C8" s="105" t="str">
        <f>"下一笔："&amp;幕间计算!AQ5</f>
        <v>下一笔：1</v>
      </c>
      <c r="D8" s="105"/>
      <c r="E8" s="105" t="s">
        <v>2583</v>
      </c>
      <c r="F8" s="106"/>
      <c r="G8" s="106"/>
      <c r="H8" s="106"/>
      <c r="I8" s="106"/>
      <c r="J8" s="106"/>
      <c r="K8" s="106"/>
    </row>
    <row r="9" ht="25" customHeight="1" spans="1:11">
      <c r="A9" s="105" t="str">
        <f>IF(幕间计算!AQ10=1,IF($F$8="提升技能或属性","目标一结果","检定结果"),"")</f>
        <v/>
      </c>
      <c r="B9" s="106"/>
      <c r="C9" s="106"/>
      <c r="D9" s="106"/>
      <c r="E9" s="105" t="str">
        <f>IF(幕间计算!AQ11=1,"告知情况","")</f>
        <v/>
      </c>
      <c r="F9" s="106" t="s">
        <v>2656</v>
      </c>
      <c r="G9" s="106"/>
      <c r="H9" s="106"/>
      <c r="I9" s="106"/>
      <c r="J9" s="106"/>
      <c r="K9" s="106"/>
    </row>
    <row r="10" ht="25" customHeight="1" spans="1:11">
      <c r="A10" s="105" t="str">
        <f>IF(幕间计算!AQ12=0,"",IF(幕间与结算!$F$8="提升技能或属性","技能／属性一","目标关系"))</f>
        <v/>
      </c>
      <c r="B10" s="105"/>
      <c r="C10" s="105"/>
      <c r="D10" s="105"/>
      <c r="E10" s="106"/>
      <c r="F10" s="106"/>
      <c r="G10" s="106"/>
      <c r="H10" s="105" t="str">
        <f>IF($F$8="","",IF($F$8="提升技能或属性","现值／检定","当前值"))</f>
        <v/>
      </c>
      <c r="I10" s="105"/>
      <c r="J10" s="105" t="str">
        <f ca="1">IF($F$8="","",IF($F$8="提升技能或属性",幕间计算!B100&amp;"／"&amp;IF(LEFT($E$10,3)="技能：",幕间计算!B100,幕间计算!B100*5)&amp;"%",幕间计算!B100))</f>
        <v/>
      </c>
      <c r="K10" s="105"/>
    </row>
    <row r="11" ht="25" customHeight="1" spans="1:11">
      <c r="A11" s="105" t="str">
        <f>IF(幕间计算!AQ13=0,"",IF(幕间与结算!$F$8="研究非自然知识","掌局者批准增长",IF(幕间与结算!$F$8="提升技能或属性","目标一 3D6",IF(OR(幕间与结算!$F$8="回顾案件",AND(幕间与结算!$F$8="按部就班",幕间与结算!$B$9&lt;&gt;"大失败"),AND(幕间与结算!$F$8="接受心理治疗",$F$9="如实告知")),"实掷 1D6","实掷 1D4"))))</f>
        <v/>
      </c>
      <c r="B11" s="105"/>
      <c r="C11" s="105"/>
      <c r="D11" s="105"/>
      <c r="E11" s="106"/>
      <c r="F11" s="106"/>
      <c r="G11" s="106"/>
      <c r="H11" s="105" t="str">
        <f>IF($F$8="提升技能或属性","技能填3D6总和（3～18）；属性自动+1。",IFERROR(INDEX(幕间计算!$EZ$2:$EZ$10,MATCH($F$8,幕间计算!$U$2:$U$10,0)),""))</f>
        <v/>
      </c>
      <c r="I11" s="105"/>
      <c r="J11" s="105"/>
      <c r="K11" s="105"/>
    </row>
    <row r="12" ht="25" customHeight="1" spans="1:11">
      <c r="A12" s="105" t="str">
        <f>IF(幕间计算!AQ14=1,"技能／属性二（可选）","")</f>
        <v/>
      </c>
      <c r="B12" s="105"/>
      <c r="C12" s="105"/>
      <c r="D12" s="105"/>
      <c r="E12" s="106"/>
      <c r="F12" s="106"/>
      <c r="G12" s="106"/>
      <c r="H12" s="105" t="str">
        <f>IF(幕间计算!AQ15=1,"结果二","")</f>
        <v/>
      </c>
      <c r="I12" s="105"/>
      <c r="J12" s="106"/>
      <c r="K12" s="106"/>
    </row>
    <row r="13" ht="25" customHeight="1" spans="1:11">
      <c r="A13" s="105" t="str">
        <f>IF(幕间计算!AQ16=1,"目标二 3D6","")</f>
        <v/>
      </c>
      <c r="B13" s="105"/>
      <c r="C13" s="105"/>
      <c r="D13" s="105"/>
      <c r="E13" s="106"/>
      <c r="F13" s="106"/>
      <c r="G13" s="106"/>
      <c r="H13" s="105" t="str">
        <f>IF(幕间计算!AQ15=1,"现值／检定","")</f>
        <v/>
      </c>
      <c r="I13" s="105"/>
      <c r="J13" s="105" t="str">
        <f ca="1">IF(幕间计算!AQ15=1,幕间计算!B101&amp;"／"&amp;IF(LEFT($E$12,3)="技能：",幕间计算!B101,幕间计算!B101*5)&amp;"%","")</f>
        <v/>
      </c>
      <c r="K13" s="105"/>
    </row>
    <row r="14" ht="25" customHeight="1" spans="1:11">
      <c r="A14" s="105" t="str">
        <f ca="1">IF(幕间计算!AQ17=1,"受损关系","")</f>
        <v/>
      </c>
      <c r="B14" s="105"/>
      <c r="C14" s="105"/>
      <c r="D14" s="105"/>
      <c r="E14" s="106"/>
      <c r="F14" s="106"/>
      <c r="G14" s="106"/>
      <c r="H14" s="105" t="str">
        <f ca="1">IF(幕间计算!AQ19=1,"代价1D4","")</f>
        <v/>
      </c>
      <c r="I14" s="105"/>
      <c r="J14" s="106"/>
      <c r="K14" s="106"/>
    </row>
    <row r="15" ht="25" customHeight="1" spans="1:11">
      <c r="A15" s="105" t="str">
        <f ca="1">IF(幕间计算!AQ18=1,"第二项受损关系","")</f>
        <v/>
      </c>
      <c r="B15" s="105"/>
      <c r="C15" s="105"/>
      <c r="D15" s="105"/>
      <c r="E15" s="106"/>
      <c r="F15" s="106"/>
      <c r="G15" s="106"/>
      <c r="H15" s="105" t="str">
        <f>IF($E$14="","",IFERROR(INDEX(幕间计算!$Y$2:$Y$8,MATCH($E$14,幕间计算!$X$2:$X$8,0)),""))</f>
        <v/>
      </c>
      <c r="I15" s="105"/>
      <c r="J15" s="105"/>
      <c r="K15" s="105"/>
    </row>
    <row r="16" ht="25" customHeight="1" spans="1:11">
      <c r="A16" s="112" t="s">
        <v>2657</v>
      </c>
      <c r="B16" s="113"/>
      <c r="C16" s="113"/>
      <c r="D16" s="113"/>
      <c r="E16" s="113"/>
      <c r="F16" s="113"/>
      <c r="G16" s="113"/>
      <c r="H16" s="113"/>
      <c r="I16" s="113"/>
      <c r="J16" s="113"/>
      <c r="K16" s="113"/>
    </row>
    <row r="17" ht="25" customHeight="1" spans="1:11">
      <c r="A17" s="114"/>
      <c r="B17" s="113"/>
      <c r="C17" s="113"/>
      <c r="D17" s="113"/>
      <c r="E17" s="113"/>
      <c r="F17" s="113"/>
      <c r="G17" s="113"/>
      <c r="H17" s="113"/>
      <c r="I17" s="113"/>
      <c r="J17" s="113"/>
      <c r="K17" s="113"/>
    </row>
    <row r="18" ht="25" customHeight="1" spans="1:11">
      <c r="A18" s="115" t="str">
        <f ca="1">IF(幕间计算!T100="已归档","已归档。下一笔使用记录号 "&amp;幕间计算!AQ5,幕间计算!T100)</f>
        <v/>
      </c>
      <c r="B18" s="115"/>
      <c r="C18" s="115"/>
      <c r="D18" s="115"/>
      <c r="E18" s="115"/>
      <c r="F18" s="115"/>
      <c r="G18" s="115"/>
      <c r="H18" s="115"/>
      <c r="I18" s="115"/>
      <c r="J18" s="115"/>
      <c r="K18" s="115"/>
    </row>
    <row r="19" ht="28" customHeight="1" spans="1:11">
      <c r="A19" s="116" t="s">
        <v>2606</v>
      </c>
      <c r="B19" s="116" t="s">
        <v>2607</v>
      </c>
      <c r="C19" s="116" t="s">
        <v>2582</v>
      </c>
      <c r="D19" s="116" t="s">
        <v>2608</v>
      </c>
      <c r="E19" s="116" t="s">
        <v>2609</v>
      </c>
      <c r="F19" s="116" t="s">
        <v>2610</v>
      </c>
      <c r="G19" s="116" t="s">
        <v>2611</v>
      </c>
      <c r="H19" s="116" t="s">
        <v>2658</v>
      </c>
      <c r="I19" s="116" t="s">
        <v>2613</v>
      </c>
      <c r="J19" s="116" t="s">
        <v>678</v>
      </c>
      <c r="K19" s="116" t="s">
        <v>2614</v>
      </c>
    </row>
    <row r="20" ht="25" customHeight="1" spans="1:11">
      <c r="A20" s="117" t="str">
        <f ca="1">IF(幕间计算!$AQ$4&gt;0,IF(幕间计算!CW120=0,"",INDEX(DGArchive[模组],幕间计算!CW120)),IF(幕间计算!CV120=0,"",幕间计算!$AO$5))</f>
        <v/>
      </c>
      <c r="B20" s="117" t="str">
        <f ca="1">IF(幕间计算!$AQ$4&gt;0,IF(幕间计算!CW120=0,"",INDEX(DGArchive[阶段],幕间计算!CW120)),IF(幕间计算!CV120=0,"",幕间计算!$AQ$3))</f>
        <v/>
      </c>
      <c r="C20" s="118" t="str">
        <f ca="1">IF(幕间计算!$AQ$4&gt;0,IF(幕间计算!CW120=0,"",INDEX(DGArchive[游戏内日期],幕间计算!CW120)),IF(幕间计算!CV120=0,"",IF($F$3="","",$F$3)))</f>
        <v/>
      </c>
      <c r="D20" s="117" t="str">
        <f ca="1">IF(幕间计算!$AQ$4&gt;0,IF(幕间计算!CW120=0,"",INDEX(DGArchive[目标],幕间计算!CW120)),IF(幕间计算!CV120=0,"",INDEX(幕间计算!$A$100:$A$104,幕间计算!CV120)))</f>
        <v/>
      </c>
      <c r="E20" s="117" t="str">
        <f ca="1">IF(幕间计算!$AQ$4&gt;0,IF(幕间计算!CW120=0,"",INDEX(DGArchive[变更前],幕间计算!CW120)),IF(幕间计算!CV120=0,"",INDEX(幕间计算!$B$100:$B$104,幕间计算!CV120)))</f>
        <v/>
      </c>
      <c r="F20" s="117" t="str">
        <f ca="1">IF(幕间计算!$AQ$4&gt;0,IF(幕间计算!CW120=0,"",INDEX(DGArchive[增减],幕间计算!CW120)),IF(幕间计算!CV120=0,"",INDEX(幕间计算!$D$100:$D$104,幕间计算!CV120)))</f>
        <v/>
      </c>
      <c r="G20" s="117" t="str">
        <f ca="1">IF(幕间计算!$AQ$4&gt;0,IF(幕间计算!CW120=0,"",INDEX(DGArchive[变更后],幕间计算!CW120)),IF(幕间计算!CV120=0,"",E20+F20))</f>
        <v/>
      </c>
      <c r="H20" s="117" t="str">
        <f ca="1">IF(幕间计算!$AQ$4&gt;0,IF(幕间计算!CW120=0,"",INDEX(DGArchive[事件／活动],幕间计算!CW120)),IF(幕间计算!CV120=0,"",$F$8&amp;IF($B$16="","","："&amp;$B$16)))</f>
        <v/>
      </c>
      <c r="I20" s="117" t="str">
        <f ca="1">IF(幕间计算!$AQ$4&gt;0,IF(幕间计算!CW120=0,"",INDEX(DGArchive[记录编号],幕间计算!CW120)),IF(幕间计算!CV120=0,"",IF(幕间计算!$T$100="可归档",幕间计算!$AO$5&amp;"-"&amp;幕间计算!$AQ$3&amp;"-"&amp;幕间计算!CV120,"")))</f>
        <v/>
      </c>
      <c r="J20" s="117"/>
      <c r="K20" s="117" t="str">
        <f ca="1">IF(D20="","",幕间计算!$T$100)</f>
        <v/>
      </c>
    </row>
    <row r="21" ht="25" customHeight="1" spans="1:11">
      <c r="A21" s="117" t="str">
        <f ca="1">IF(幕间计算!$AQ$4&gt;0,IF(幕间计算!CW121=0,"",INDEX(DGArchive[模组],幕间计算!CW121)),IF(幕间计算!CV121=0,"",幕间计算!$AO$5))</f>
        <v/>
      </c>
      <c r="B21" s="117" t="str">
        <f ca="1">IF(幕间计算!$AQ$4&gt;0,IF(幕间计算!CW121=0,"",INDEX(DGArchive[阶段],幕间计算!CW121)),IF(幕间计算!CV121=0,"",幕间计算!$AQ$3))</f>
        <v/>
      </c>
      <c r="C21" s="118" t="str">
        <f ca="1">IF(幕间计算!$AQ$4&gt;0,IF(幕间计算!CW121=0,"",INDEX(DGArchive[游戏内日期],幕间计算!CW121)),IF(幕间计算!CV121=0,"",IF($F$3="","",$F$3)))</f>
        <v/>
      </c>
      <c r="D21" s="117" t="str">
        <f ca="1">IF(幕间计算!$AQ$4&gt;0,IF(幕间计算!CW121=0,"",INDEX(DGArchive[目标],幕间计算!CW121)),IF(幕间计算!CV121=0,"",INDEX(幕间计算!$A$100:$A$104,幕间计算!CV121)))</f>
        <v/>
      </c>
      <c r="E21" s="117" t="str">
        <f ca="1">IF(幕间计算!$AQ$4&gt;0,IF(幕间计算!CW121=0,"",INDEX(DGArchive[变更前],幕间计算!CW121)),IF(幕间计算!CV121=0,"",INDEX(幕间计算!$B$100:$B$104,幕间计算!CV121)))</f>
        <v/>
      </c>
      <c r="F21" s="117" t="str">
        <f ca="1">IF(幕间计算!$AQ$4&gt;0,IF(幕间计算!CW121=0,"",INDEX(DGArchive[增减],幕间计算!CW121)),IF(幕间计算!CV121=0,"",INDEX(幕间计算!$D$100:$D$104,幕间计算!CV121)))</f>
        <v/>
      </c>
      <c r="G21" s="117" t="str">
        <f ca="1">IF(幕间计算!$AQ$4&gt;0,IF(幕间计算!CW121=0,"",INDEX(DGArchive[变更后],幕间计算!CW121)),IF(幕间计算!CV121=0,"",E21+F21))</f>
        <v/>
      </c>
      <c r="H21" s="117" t="str">
        <f ca="1">IF(幕间计算!$AQ$4&gt;0,IF(幕间计算!CW121=0,"",INDEX(DGArchive[事件／活动],幕间计算!CW121)),IF(幕间计算!CV121=0,"",$F$8&amp;IF($B$16="","","："&amp;$B$16)))</f>
        <v/>
      </c>
      <c r="I21" s="117" t="str">
        <f ca="1">IF(幕间计算!$AQ$4&gt;0,IF(幕间计算!CW121=0,"",INDEX(DGArchive[记录编号],幕间计算!CW121)),IF(幕间计算!CV121=0,"",IF(幕间计算!$T$100="可归档",幕间计算!$AO$5&amp;"-"&amp;幕间计算!$AQ$3&amp;"-"&amp;幕间计算!CV121,"")))</f>
        <v/>
      </c>
      <c r="J21" s="117"/>
      <c r="K21" s="117" t="str">
        <f ca="1">IF(D21="","",幕间计算!$T$100)</f>
        <v/>
      </c>
    </row>
    <row r="22" ht="25" customHeight="1" spans="1:11">
      <c r="A22" s="117" t="str">
        <f ca="1">IF(幕间计算!$AQ$4&gt;0,IF(幕间计算!CW122=0,"",INDEX(DGArchive[模组],幕间计算!CW122)),IF(幕间计算!CV122=0,"",幕间计算!$AO$5))</f>
        <v/>
      </c>
      <c r="B22" s="117" t="str">
        <f ca="1">IF(幕间计算!$AQ$4&gt;0,IF(幕间计算!CW122=0,"",INDEX(DGArchive[阶段],幕间计算!CW122)),IF(幕间计算!CV122=0,"",幕间计算!$AQ$3))</f>
        <v/>
      </c>
      <c r="C22" s="118" t="str">
        <f ca="1">IF(幕间计算!$AQ$4&gt;0,IF(幕间计算!CW122=0,"",INDEX(DGArchive[游戏内日期],幕间计算!CW122)),IF(幕间计算!CV122=0,"",IF($F$3="","",$F$3)))</f>
        <v/>
      </c>
      <c r="D22" s="117" t="str">
        <f ca="1">IF(幕间计算!$AQ$4&gt;0,IF(幕间计算!CW122=0,"",INDEX(DGArchive[目标],幕间计算!CW122)),IF(幕间计算!CV122=0,"",INDEX(幕间计算!$A$100:$A$104,幕间计算!CV122)))</f>
        <v/>
      </c>
      <c r="E22" s="117" t="str">
        <f ca="1">IF(幕间计算!$AQ$4&gt;0,IF(幕间计算!CW122=0,"",INDEX(DGArchive[变更前],幕间计算!CW122)),IF(幕间计算!CV122=0,"",INDEX(幕间计算!$B$100:$B$104,幕间计算!CV122)))</f>
        <v/>
      </c>
      <c r="F22" s="117" t="str">
        <f ca="1">IF(幕间计算!$AQ$4&gt;0,IF(幕间计算!CW122=0,"",INDEX(DGArchive[增减],幕间计算!CW122)),IF(幕间计算!CV122=0,"",INDEX(幕间计算!$D$100:$D$104,幕间计算!CV122)))</f>
        <v/>
      </c>
      <c r="G22" s="117" t="str">
        <f ca="1">IF(幕间计算!$AQ$4&gt;0,IF(幕间计算!CW122=0,"",INDEX(DGArchive[变更后],幕间计算!CW122)),IF(幕间计算!CV122=0,"",E22+F22))</f>
        <v/>
      </c>
      <c r="H22" s="117" t="str">
        <f ca="1">IF(幕间计算!$AQ$4&gt;0,IF(幕间计算!CW122=0,"",INDEX(DGArchive[事件／活动],幕间计算!CW122)),IF(幕间计算!CV122=0,"",$F$8&amp;IF($B$16="","","："&amp;$B$16)))</f>
        <v/>
      </c>
      <c r="I22" s="117" t="str">
        <f ca="1">IF(幕间计算!$AQ$4&gt;0,IF(幕间计算!CW122=0,"",INDEX(DGArchive[记录编号],幕间计算!CW122)),IF(幕间计算!CV122=0,"",IF(幕间计算!$T$100="可归档",幕间计算!$AO$5&amp;"-"&amp;幕间计算!$AQ$3&amp;"-"&amp;幕间计算!CV122,"")))</f>
        <v/>
      </c>
      <c r="J22" s="117"/>
      <c r="K22" s="117" t="str">
        <f ca="1">IF(D22="","",幕间计算!$T$100)</f>
        <v/>
      </c>
    </row>
    <row r="23" ht="25" customHeight="1" spans="1:11">
      <c r="A23" s="117" t="str">
        <f ca="1">IF(幕间计算!$AQ$4&gt;0,IF(幕间计算!CW123=0,"",INDEX(DGArchive[模组],幕间计算!CW123)),IF(幕间计算!CV123=0,"",幕间计算!$AO$5))</f>
        <v/>
      </c>
      <c r="B23" s="117" t="str">
        <f ca="1">IF(幕间计算!$AQ$4&gt;0,IF(幕间计算!CW123=0,"",INDEX(DGArchive[阶段],幕间计算!CW123)),IF(幕间计算!CV123=0,"",幕间计算!$AQ$3))</f>
        <v/>
      </c>
      <c r="C23" s="118" t="str">
        <f ca="1">IF(幕间计算!$AQ$4&gt;0,IF(幕间计算!CW123=0,"",INDEX(DGArchive[游戏内日期],幕间计算!CW123)),IF(幕间计算!CV123=0,"",IF($F$3="","",$F$3)))</f>
        <v/>
      </c>
      <c r="D23" s="117" t="str">
        <f ca="1">IF(幕间计算!$AQ$4&gt;0,IF(幕间计算!CW123=0,"",INDEX(DGArchive[目标],幕间计算!CW123)),IF(幕间计算!CV123=0,"",INDEX(幕间计算!$A$100:$A$104,幕间计算!CV123)))</f>
        <v/>
      </c>
      <c r="E23" s="117" t="str">
        <f ca="1">IF(幕间计算!$AQ$4&gt;0,IF(幕间计算!CW123=0,"",INDEX(DGArchive[变更前],幕间计算!CW123)),IF(幕间计算!CV123=0,"",INDEX(幕间计算!$B$100:$B$104,幕间计算!CV123)))</f>
        <v/>
      </c>
      <c r="F23" s="117" t="str">
        <f ca="1">IF(幕间计算!$AQ$4&gt;0,IF(幕间计算!CW123=0,"",INDEX(DGArchive[增减],幕间计算!CW123)),IF(幕间计算!CV123=0,"",INDEX(幕间计算!$D$100:$D$104,幕间计算!CV123)))</f>
        <v/>
      </c>
      <c r="G23" s="117" t="str">
        <f ca="1">IF(幕间计算!$AQ$4&gt;0,IF(幕间计算!CW123=0,"",INDEX(DGArchive[变更后],幕间计算!CW123)),IF(幕间计算!CV123=0,"",E23+F23))</f>
        <v/>
      </c>
      <c r="H23" s="117" t="str">
        <f ca="1">IF(幕间计算!$AQ$4&gt;0,IF(幕间计算!CW123=0,"",INDEX(DGArchive[事件／活动],幕间计算!CW123)),IF(幕间计算!CV123=0,"",$F$8&amp;IF($B$16="","","："&amp;$B$16)))</f>
        <v/>
      </c>
      <c r="I23" s="117" t="str">
        <f ca="1">IF(幕间计算!$AQ$4&gt;0,IF(幕间计算!CW123=0,"",INDEX(DGArchive[记录编号],幕间计算!CW123)),IF(幕间计算!CV123=0,"",IF(幕间计算!$T$100="可归档",幕间计算!$AO$5&amp;"-"&amp;幕间计算!$AQ$3&amp;"-"&amp;幕间计算!CV123,"")))</f>
        <v/>
      </c>
      <c r="J23" s="117"/>
      <c r="K23" s="117" t="str">
        <f ca="1">IF(D23="","",幕间计算!$T$100)</f>
        <v/>
      </c>
    </row>
    <row r="24" ht="25" customHeight="1" spans="1:11">
      <c r="A24" s="117" t="str">
        <f ca="1">IF(幕间计算!$AQ$4&gt;0,IF(幕间计算!CW124=0,"",INDEX(DGArchive[模组],幕间计算!CW124)),IF(幕间计算!CV124=0,"",幕间计算!$AO$5))</f>
        <v/>
      </c>
      <c r="B24" s="117" t="str">
        <f ca="1">IF(幕间计算!$AQ$4&gt;0,IF(幕间计算!CW124=0,"",INDEX(DGArchive[阶段],幕间计算!CW124)),IF(幕间计算!CV124=0,"",幕间计算!$AQ$3))</f>
        <v/>
      </c>
      <c r="C24" s="118" t="str">
        <f ca="1">IF(幕间计算!$AQ$4&gt;0,IF(幕间计算!CW124=0,"",INDEX(DGArchive[游戏内日期],幕间计算!CW124)),IF(幕间计算!CV124=0,"",IF($F$3="","",$F$3)))</f>
        <v/>
      </c>
      <c r="D24" s="117" t="str">
        <f ca="1">IF(幕间计算!$AQ$4&gt;0,IF(幕间计算!CW124=0,"",INDEX(DGArchive[目标],幕间计算!CW124)),IF(幕间计算!CV124=0,"",INDEX(幕间计算!$A$100:$A$104,幕间计算!CV124)))</f>
        <v/>
      </c>
      <c r="E24" s="117" t="str">
        <f ca="1">IF(幕间计算!$AQ$4&gt;0,IF(幕间计算!CW124=0,"",INDEX(DGArchive[变更前],幕间计算!CW124)),IF(幕间计算!CV124=0,"",INDEX(幕间计算!$B$100:$B$104,幕间计算!CV124)))</f>
        <v/>
      </c>
      <c r="F24" s="117" t="str">
        <f ca="1">IF(幕间计算!$AQ$4&gt;0,IF(幕间计算!CW124=0,"",INDEX(DGArchive[增减],幕间计算!CW124)),IF(幕间计算!CV124=0,"",INDEX(幕间计算!$D$100:$D$104,幕间计算!CV124)))</f>
        <v/>
      </c>
      <c r="G24" s="117" t="str">
        <f ca="1">IF(幕间计算!$AQ$4&gt;0,IF(幕间计算!CW124=0,"",INDEX(DGArchive[变更后],幕间计算!CW124)),IF(幕间计算!CV124=0,"",E24+F24))</f>
        <v/>
      </c>
      <c r="H24" s="117" t="str">
        <f ca="1">IF(幕间计算!$AQ$4&gt;0,IF(幕间计算!CW124=0,"",INDEX(DGArchive[事件／活动],幕间计算!CW124)),IF(幕间计算!CV124=0,"",$F$8&amp;IF($B$16="","","："&amp;$B$16)))</f>
        <v/>
      </c>
      <c r="I24" s="117" t="str">
        <f ca="1">IF(幕间计算!$AQ$4&gt;0,IF(幕间计算!CW124=0,"",INDEX(DGArchive[记录编号],幕间计算!CW124)),IF(幕间计算!CV124=0,"",IF(幕间计算!$T$100="可归档",幕间计算!$AO$5&amp;"-"&amp;幕间计算!$AQ$3&amp;"-"&amp;幕间计算!CV124,"")))</f>
        <v/>
      </c>
      <c r="J24" s="117"/>
      <c r="K24" s="117" t="str">
        <f ca="1">IF(D24="","",幕间计算!$T$100)</f>
        <v/>
      </c>
    </row>
    <row r="25" ht="25" customHeight="1" spans="1:11">
      <c r="A25" s="119" t="s">
        <v>2659</v>
      </c>
      <c r="B25" s="119"/>
      <c r="C25" s="120"/>
      <c r="D25" s="119"/>
      <c r="E25" s="119" t="s">
        <v>2616</v>
      </c>
      <c r="F25" s="119"/>
      <c r="G25" s="119"/>
      <c r="H25" s="119" t="s">
        <v>2660</v>
      </c>
      <c r="I25" s="119"/>
      <c r="J25" s="119"/>
      <c r="K25" s="119"/>
    </row>
    <row r="26" ht="25" customHeight="1" spans="1:11">
      <c r="A26" s="109" t="s">
        <v>2661</v>
      </c>
      <c r="B26" s="109"/>
      <c r="C26" s="121"/>
      <c r="D26" s="109"/>
      <c r="E26" s="109"/>
      <c r="F26" s="109"/>
      <c r="G26" s="109"/>
      <c r="H26" s="109"/>
      <c r="I26" s="109"/>
      <c r="J26" s="109"/>
      <c r="K26" s="109"/>
    </row>
    <row r="27" ht="28" customHeight="1" spans="1:11">
      <c r="A27" s="110" t="s">
        <v>2662</v>
      </c>
      <c r="B27" s="110"/>
      <c r="C27" s="122"/>
      <c r="D27" s="110"/>
      <c r="E27" s="110"/>
      <c r="F27" s="110"/>
      <c r="G27" s="110"/>
      <c r="H27" s="110"/>
      <c r="I27" s="110"/>
      <c r="J27" s="110"/>
      <c r="K27" s="110"/>
    </row>
    <row r="28" ht="25" customHeight="1" spans="1:11">
      <c r="A28" s="109" t="s">
        <v>2663</v>
      </c>
      <c r="B28" s="109"/>
      <c r="C28" s="121"/>
      <c r="D28" s="109"/>
      <c r="E28" s="109"/>
      <c r="F28" s="109"/>
      <c r="G28" s="109"/>
      <c r="H28" s="109"/>
      <c r="I28" s="109"/>
      <c r="J28" s="109"/>
      <c r="K28" s="109"/>
    </row>
    <row r="29" ht="28" customHeight="1" spans="1:11">
      <c r="A29" s="116" t="s">
        <v>2606</v>
      </c>
      <c r="B29" s="116" t="s">
        <v>2607</v>
      </c>
      <c r="C29" s="123" t="s">
        <v>2582</v>
      </c>
      <c r="D29" s="116" t="s">
        <v>2608</v>
      </c>
      <c r="E29" s="116" t="s">
        <v>2609</v>
      </c>
      <c r="F29" s="116" t="s">
        <v>2610</v>
      </c>
      <c r="G29" s="116" t="s">
        <v>2611</v>
      </c>
      <c r="H29" s="116" t="s">
        <v>2658</v>
      </c>
      <c r="I29" s="116" t="s">
        <v>2613</v>
      </c>
      <c r="J29" s="116" t="s">
        <v>2405</v>
      </c>
      <c r="K29" s="116" t="s">
        <v>2614</v>
      </c>
    </row>
    <row r="30" ht="25" customHeight="1" spans="1:11">
      <c r="A30" s="117" t="str">
        <f ca="1">IF(D30="","",幕间计算!$AO$5)</f>
        <v/>
      </c>
      <c r="B30" s="117" t="str">
        <f ca="1" t="shared" ref="B30:B89" si="0">IF(D30="","","成长")</f>
        <v/>
      </c>
      <c r="C30" s="118" t="str">
        <f ca="1" t="shared" ref="C30:C89" si="1">IF(D30="","",IF($F$3="","",$F$3))</f>
        <v/>
      </c>
      <c r="D30" s="117" t="str">
        <f ca="1">幕间计算!AL2</f>
        <v/>
      </c>
      <c r="E30" s="117" t="str">
        <f ca="1">IF(D30="","",IF(幕间计算!AM2&gt;0,INDEX(DGArchive[变更前],幕间计算!AM2),INDEX(幕间计算!$C$2:$C$61,幕间计算!AK2)))</f>
        <v/>
      </c>
      <c r="F30" s="117" t="str">
        <f ca="1">IF(D30="","",IF(幕间计算!AM2&gt;0,INDEX(DGArchive[增减],幕间计算!AM2),IF(K30="可归档",MIN(J30,99-E30),"")))</f>
        <v/>
      </c>
      <c r="G30" s="117" t="str">
        <f ca="1" t="shared" ref="G30:G89" si="2">IF(F30="","",E30+F30)</f>
        <v/>
      </c>
      <c r="H30" s="117" t="str">
        <f ca="1">IF(D30="","",IF(幕间计算!AM2&gt;0,INDEX(DGArchive[事件／活动],幕间计算!AM2),"失败技能成长"&amp;IF(ISNUMBER(J30),"（1D4="&amp;J30&amp;"）","")))</f>
        <v/>
      </c>
      <c r="I30" s="117" t="str">
        <f ca="1">IF(AND(D30&lt;&gt;"",幕间计算!$AO$3=0),幕间计算!$AO$5&amp;"-成长-"&amp;D30,"")</f>
        <v/>
      </c>
      <c r="J30" s="106"/>
      <c r="K30" s="117" t="str">
        <f ca="1">IF(D30="","",IF(幕间计算!AM2&gt;0,"已归档",IF(AND(ISNUMBER(J30),J30&gt;=1,J30&lt;=4,MOD(J30,1)=0),"可归档","待填1D4")))</f>
        <v/>
      </c>
    </row>
    <row r="31" ht="25" customHeight="1" spans="1:11">
      <c r="A31" s="117" t="str">
        <f ca="1">IF(D31="","",幕间计算!$AO$5)</f>
        <v/>
      </c>
      <c r="B31" s="117" t="str">
        <f ca="1" t="shared" si="0"/>
        <v/>
      </c>
      <c r="C31" s="118" t="str">
        <f ca="1" t="shared" si="1"/>
        <v/>
      </c>
      <c r="D31" s="117" t="str">
        <f ca="1">幕间计算!AL3</f>
        <v/>
      </c>
      <c r="E31" s="117" t="str">
        <f ca="1">IF(D31="","",IF(幕间计算!AM3&gt;0,INDEX(DGArchive[变更前],幕间计算!AM3),INDEX(幕间计算!$C$2:$C$61,幕间计算!AK3)))</f>
        <v/>
      </c>
      <c r="F31" s="117" t="str">
        <f ca="1">IF(D31="","",IF(幕间计算!AM3&gt;0,INDEX(DGArchive[增减],幕间计算!AM3),IF(K31="可归档",MIN(J31,99-E31),"")))</f>
        <v/>
      </c>
      <c r="G31" s="117" t="str">
        <f ca="1" t="shared" si="2"/>
        <v/>
      </c>
      <c r="H31" s="117" t="str">
        <f ca="1">IF(D31="","",IF(幕间计算!AM3&gt;0,INDEX(DGArchive[事件／活动],幕间计算!AM3),"失败技能成长"&amp;IF(ISNUMBER(J31),"（1D4="&amp;J31&amp;"）","")))</f>
        <v/>
      </c>
      <c r="I31" s="117" t="str">
        <f ca="1">IF(AND(D31&lt;&gt;"",幕间计算!$AO$3=0),幕间计算!$AO$5&amp;"-成长-"&amp;D31,"")</f>
        <v/>
      </c>
      <c r="J31" s="106"/>
      <c r="K31" s="117" t="str">
        <f ca="1">IF(D31="","",IF(幕间计算!AM3&gt;0,"已归档",IF(AND(ISNUMBER(J31),J31&gt;=1,J31&lt;=4,MOD(J31,1)=0),"可归档","待填1D4")))</f>
        <v/>
      </c>
    </row>
    <row r="32" ht="25" customHeight="1" spans="1:11">
      <c r="A32" s="117" t="str">
        <f ca="1">IF(D32="","",幕间计算!$AO$5)</f>
        <v/>
      </c>
      <c r="B32" s="117" t="str">
        <f ca="1" t="shared" si="0"/>
        <v/>
      </c>
      <c r="C32" s="118" t="str">
        <f ca="1" t="shared" si="1"/>
        <v/>
      </c>
      <c r="D32" s="117" t="str">
        <f ca="1">幕间计算!AL4</f>
        <v/>
      </c>
      <c r="E32" s="117" t="str">
        <f ca="1">IF(D32="","",IF(幕间计算!AM4&gt;0,INDEX(DGArchive[变更前],幕间计算!AM4),INDEX(幕间计算!$C$2:$C$61,幕间计算!AK4)))</f>
        <v/>
      </c>
      <c r="F32" s="117" t="str">
        <f ca="1">IF(D32="","",IF(幕间计算!AM4&gt;0,INDEX(DGArchive[增减],幕间计算!AM4),IF(K32="可归档",MIN(J32,99-E32),"")))</f>
        <v/>
      </c>
      <c r="G32" s="117" t="str">
        <f ca="1" t="shared" si="2"/>
        <v/>
      </c>
      <c r="H32" s="117" t="str">
        <f ca="1">IF(D32="","",IF(幕间计算!AM4&gt;0,INDEX(DGArchive[事件／活动],幕间计算!AM4),"失败技能成长"&amp;IF(ISNUMBER(J32),"（1D4="&amp;J32&amp;"）","")))</f>
        <v/>
      </c>
      <c r="I32" s="117" t="str">
        <f ca="1">IF(AND(D32&lt;&gt;"",幕间计算!$AO$3=0),幕间计算!$AO$5&amp;"-成长-"&amp;D32,"")</f>
        <v/>
      </c>
      <c r="J32" s="106"/>
      <c r="K32" s="117" t="str">
        <f ca="1">IF(D32="","",IF(幕间计算!AM4&gt;0,"已归档",IF(AND(ISNUMBER(J32),J32&gt;=1,J32&lt;=4,MOD(J32,1)=0),"可归档","待填1D4")))</f>
        <v/>
      </c>
    </row>
    <row r="33" ht="25" customHeight="1" spans="1:11">
      <c r="A33" s="117" t="str">
        <f ca="1">IF(D33="","",幕间计算!$AO$5)</f>
        <v/>
      </c>
      <c r="B33" s="117" t="str">
        <f ca="1" t="shared" si="0"/>
        <v/>
      </c>
      <c r="C33" s="118" t="str">
        <f ca="1" t="shared" si="1"/>
        <v/>
      </c>
      <c r="D33" s="117" t="str">
        <f ca="1">幕间计算!AL5</f>
        <v/>
      </c>
      <c r="E33" s="117" t="str">
        <f ca="1">IF(D33="","",IF(幕间计算!AM5&gt;0,INDEX(DGArchive[变更前],幕间计算!AM5),INDEX(幕间计算!$C$2:$C$61,幕间计算!AK5)))</f>
        <v/>
      </c>
      <c r="F33" s="117" t="str">
        <f ca="1">IF(D33="","",IF(幕间计算!AM5&gt;0,INDEX(DGArchive[增减],幕间计算!AM5),IF(K33="可归档",MIN(J33,99-E33),"")))</f>
        <v/>
      </c>
      <c r="G33" s="117" t="str">
        <f ca="1" t="shared" si="2"/>
        <v/>
      </c>
      <c r="H33" s="117" t="str">
        <f ca="1">IF(D33="","",IF(幕间计算!AM5&gt;0,INDEX(DGArchive[事件／活动],幕间计算!AM5),"失败技能成长"&amp;IF(ISNUMBER(J33),"（1D4="&amp;J33&amp;"）","")))</f>
        <v/>
      </c>
      <c r="I33" s="117" t="str">
        <f ca="1">IF(AND(D33&lt;&gt;"",幕间计算!$AO$3=0),幕间计算!$AO$5&amp;"-成长-"&amp;D33,"")</f>
        <v/>
      </c>
      <c r="J33" s="106"/>
      <c r="K33" s="117" t="str">
        <f ca="1">IF(D33="","",IF(幕间计算!AM5&gt;0,"已归档",IF(AND(ISNUMBER(J33),J33&gt;=1,J33&lt;=4,MOD(J33,1)=0),"可归档","待填1D4")))</f>
        <v/>
      </c>
    </row>
    <row r="34" ht="25" customHeight="1" spans="1:11">
      <c r="A34" s="117" t="str">
        <f ca="1">IF(D34="","",幕间计算!$AO$5)</f>
        <v/>
      </c>
      <c r="B34" s="117" t="str">
        <f ca="1" t="shared" si="0"/>
        <v/>
      </c>
      <c r="C34" s="118" t="str">
        <f ca="1" t="shared" si="1"/>
        <v/>
      </c>
      <c r="D34" s="117" t="str">
        <f ca="1">幕间计算!AL6</f>
        <v/>
      </c>
      <c r="E34" s="117" t="str">
        <f ca="1">IF(D34="","",IF(幕间计算!AM6&gt;0,INDEX(DGArchive[变更前],幕间计算!AM6),INDEX(幕间计算!$C$2:$C$61,幕间计算!AK6)))</f>
        <v/>
      </c>
      <c r="F34" s="117" t="str">
        <f ca="1">IF(D34="","",IF(幕间计算!AM6&gt;0,INDEX(DGArchive[增减],幕间计算!AM6),IF(K34="可归档",MIN(J34,99-E34),"")))</f>
        <v/>
      </c>
      <c r="G34" s="117" t="str">
        <f ca="1" t="shared" si="2"/>
        <v/>
      </c>
      <c r="H34" s="117" t="str">
        <f ca="1">IF(D34="","",IF(幕间计算!AM6&gt;0,INDEX(DGArchive[事件／活动],幕间计算!AM6),"失败技能成长"&amp;IF(ISNUMBER(J34),"（1D4="&amp;J34&amp;"）","")))</f>
        <v/>
      </c>
      <c r="I34" s="117" t="str">
        <f ca="1">IF(AND(D34&lt;&gt;"",幕间计算!$AO$3=0),幕间计算!$AO$5&amp;"-成长-"&amp;D34,"")</f>
        <v/>
      </c>
      <c r="J34" s="106"/>
      <c r="K34" s="117" t="str">
        <f ca="1">IF(D34="","",IF(幕间计算!AM6&gt;0,"已归档",IF(AND(ISNUMBER(J34),J34&gt;=1,J34&lt;=4,MOD(J34,1)=0),"可归档","待填1D4")))</f>
        <v/>
      </c>
    </row>
    <row r="35" ht="25" customHeight="1" spans="1:11">
      <c r="A35" s="117" t="str">
        <f ca="1">IF(D35="","",幕间计算!$AO$5)</f>
        <v/>
      </c>
      <c r="B35" s="117" t="str">
        <f ca="1" t="shared" si="0"/>
        <v/>
      </c>
      <c r="C35" s="118" t="str">
        <f ca="1" t="shared" si="1"/>
        <v/>
      </c>
      <c r="D35" s="117" t="str">
        <f ca="1">幕间计算!AL7</f>
        <v/>
      </c>
      <c r="E35" s="117" t="str">
        <f ca="1">IF(D35="","",IF(幕间计算!AM7&gt;0,INDEX(DGArchive[变更前],幕间计算!AM7),INDEX(幕间计算!$C$2:$C$61,幕间计算!AK7)))</f>
        <v/>
      </c>
      <c r="F35" s="117" t="str">
        <f ca="1">IF(D35="","",IF(幕间计算!AM7&gt;0,INDEX(DGArchive[增减],幕间计算!AM7),IF(K35="可归档",MIN(J35,99-E35),"")))</f>
        <v/>
      </c>
      <c r="G35" s="117" t="str">
        <f ca="1" t="shared" si="2"/>
        <v/>
      </c>
      <c r="H35" s="117" t="str">
        <f ca="1">IF(D35="","",IF(幕间计算!AM7&gt;0,INDEX(DGArchive[事件／活动],幕间计算!AM7),"失败技能成长"&amp;IF(ISNUMBER(J35),"（1D4="&amp;J35&amp;"）","")))</f>
        <v/>
      </c>
      <c r="I35" s="117" t="str">
        <f ca="1">IF(AND(D35&lt;&gt;"",幕间计算!$AO$3=0),幕间计算!$AO$5&amp;"-成长-"&amp;D35,"")</f>
        <v/>
      </c>
      <c r="J35" s="106"/>
      <c r="K35" s="117" t="str">
        <f ca="1">IF(D35="","",IF(幕间计算!AM7&gt;0,"已归档",IF(AND(ISNUMBER(J35),J35&gt;=1,J35&lt;=4,MOD(J35,1)=0),"可归档","待填1D4")))</f>
        <v/>
      </c>
    </row>
    <row r="36" ht="25" customHeight="1" spans="1:11">
      <c r="A36" s="117" t="str">
        <f ca="1">IF(D36="","",幕间计算!$AO$5)</f>
        <v/>
      </c>
      <c r="B36" s="117" t="str">
        <f ca="1" t="shared" si="0"/>
        <v/>
      </c>
      <c r="C36" s="118" t="str">
        <f ca="1" t="shared" si="1"/>
        <v/>
      </c>
      <c r="D36" s="117" t="str">
        <f ca="1">幕间计算!AL8</f>
        <v/>
      </c>
      <c r="E36" s="117" t="str">
        <f ca="1">IF(D36="","",IF(幕间计算!AM8&gt;0,INDEX(DGArchive[变更前],幕间计算!AM8),INDEX(幕间计算!$C$2:$C$61,幕间计算!AK8)))</f>
        <v/>
      </c>
      <c r="F36" s="117" t="str">
        <f ca="1">IF(D36="","",IF(幕间计算!AM8&gt;0,INDEX(DGArchive[增减],幕间计算!AM8),IF(K36="可归档",MIN(J36,99-E36),"")))</f>
        <v/>
      </c>
      <c r="G36" s="117" t="str">
        <f ca="1" t="shared" si="2"/>
        <v/>
      </c>
      <c r="H36" s="117" t="str">
        <f ca="1">IF(D36="","",IF(幕间计算!AM8&gt;0,INDEX(DGArchive[事件／活动],幕间计算!AM8),"失败技能成长"&amp;IF(ISNUMBER(J36),"（1D4="&amp;J36&amp;"）","")))</f>
        <v/>
      </c>
      <c r="I36" s="117" t="str">
        <f ca="1">IF(AND(D36&lt;&gt;"",幕间计算!$AO$3=0),幕间计算!$AO$5&amp;"-成长-"&amp;D36,"")</f>
        <v/>
      </c>
      <c r="J36" s="106"/>
      <c r="K36" s="117" t="str">
        <f ca="1">IF(D36="","",IF(幕间计算!AM8&gt;0,"已归档",IF(AND(ISNUMBER(J36),J36&gt;=1,J36&lt;=4,MOD(J36,1)=0),"可归档","待填1D4")))</f>
        <v/>
      </c>
    </row>
    <row r="37" ht="25" customHeight="1" spans="1:11">
      <c r="A37" s="117" t="str">
        <f ca="1">IF(D37="","",幕间计算!$AO$5)</f>
        <v/>
      </c>
      <c r="B37" s="117" t="str">
        <f ca="1" t="shared" si="0"/>
        <v/>
      </c>
      <c r="C37" s="118" t="str">
        <f ca="1" t="shared" si="1"/>
        <v/>
      </c>
      <c r="D37" s="117" t="str">
        <f ca="1">幕间计算!AL9</f>
        <v/>
      </c>
      <c r="E37" s="117" t="str">
        <f ca="1">IF(D37="","",IF(幕间计算!AM9&gt;0,INDEX(DGArchive[变更前],幕间计算!AM9),INDEX(幕间计算!$C$2:$C$61,幕间计算!AK9)))</f>
        <v/>
      </c>
      <c r="F37" s="117" t="str">
        <f ca="1">IF(D37="","",IF(幕间计算!AM9&gt;0,INDEX(DGArchive[增减],幕间计算!AM9),IF(K37="可归档",MIN(J37,99-E37),"")))</f>
        <v/>
      </c>
      <c r="G37" s="117" t="str">
        <f ca="1" t="shared" si="2"/>
        <v/>
      </c>
      <c r="H37" s="117" t="str">
        <f ca="1">IF(D37="","",IF(幕间计算!AM9&gt;0,INDEX(DGArchive[事件／活动],幕间计算!AM9),"失败技能成长"&amp;IF(ISNUMBER(J37),"（1D4="&amp;J37&amp;"）","")))</f>
        <v/>
      </c>
      <c r="I37" s="117" t="str">
        <f ca="1">IF(AND(D37&lt;&gt;"",幕间计算!$AO$3=0),幕间计算!$AO$5&amp;"-成长-"&amp;D37,"")</f>
        <v/>
      </c>
      <c r="J37" s="106"/>
      <c r="K37" s="117" t="str">
        <f ca="1">IF(D37="","",IF(幕间计算!AM9&gt;0,"已归档",IF(AND(ISNUMBER(J37),J37&gt;=1,J37&lt;=4,MOD(J37,1)=0),"可归档","待填1D4")))</f>
        <v/>
      </c>
    </row>
    <row r="38" ht="25" customHeight="1" spans="1:11">
      <c r="A38" s="117" t="str">
        <f ca="1">IF(D38="","",幕间计算!$AO$5)</f>
        <v/>
      </c>
      <c r="B38" s="117" t="str">
        <f ca="1" t="shared" si="0"/>
        <v/>
      </c>
      <c r="C38" s="118" t="str">
        <f ca="1" t="shared" si="1"/>
        <v/>
      </c>
      <c r="D38" s="117" t="str">
        <f ca="1">幕间计算!AL10</f>
        <v/>
      </c>
      <c r="E38" s="117" t="str">
        <f ca="1">IF(D38="","",IF(幕间计算!AM10&gt;0,INDEX(DGArchive[变更前],幕间计算!AM10),INDEX(幕间计算!$C$2:$C$61,幕间计算!AK10)))</f>
        <v/>
      </c>
      <c r="F38" s="117" t="str">
        <f ca="1">IF(D38="","",IF(幕间计算!AM10&gt;0,INDEX(DGArchive[增减],幕间计算!AM10),IF(K38="可归档",MIN(J38,99-E38),"")))</f>
        <v/>
      </c>
      <c r="G38" s="117" t="str">
        <f ca="1" t="shared" si="2"/>
        <v/>
      </c>
      <c r="H38" s="117" t="str">
        <f ca="1">IF(D38="","",IF(幕间计算!AM10&gt;0,INDEX(DGArchive[事件／活动],幕间计算!AM10),"失败技能成长"&amp;IF(ISNUMBER(J38),"（1D4="&amp;J38&amp;"）","")))</f>
        <v/>
      </c>
      <c r="I38" s="117" t="str">
        <f ca="1">IF(AND(D38&lt;&gt;"",幕间计算!$AO$3=0),幕间计算!$AO$5&amp;"-成长-"&amp;D38,"")</f>
        <v/>
      </c>
      <c r="J38" s="106"/>
      <c r="K38" s="117" t="str">
        <f ca="1">IF(D38="","",IF(幕间计算!AM10&gt;0,"已归档",IF(AND(ISNUMBER(J38),J38&gt;=1,J38&lt;=4,MOD(J38,1)=0),"可归档","待填1D4")))</f>
        <v/>
      </c>
    </row>
    <row r="39" ht="25" customHeight="1" spans="1:11">
      <c r="A39" s="117" t="str">
        <f ca="1">IF(D39="","",幕间计算!$AO$5)</f>
        <v/>
      </c>
      <c r="B39" s="117" t="str">
        <f ca="1" t="shared" si="0"/>
        <v/>
      </c>
      <c r="C39" s="118" t="str">
        <f ca="1" t="shared" si="1"/>
        <v/>
      </c>
      <c r="D39" s="117" t="str">
        <f ca="1">幕间计算!AL11</f>
        <v/>
      </c>
      <c r="E39" s="117" t="str">
        <f ca="1">IF(D39="","",IF(幕间计算!AM11&gt;0,INDEX(DGArchive[变更前],幕间计算!AM11),INDEX(幕间计算!$C$2:$C$61,幕间计算!AK11)))</f>
        <v/>
      </c>
      <c r="F39" s="117" t="str">
        <f ca="1">IF(D39="","",IF(幕间计算!AM11&gt;0,INDEX(DGArchive[增减],幕间计算!AM11),IF(K39="可归档",MIN(J39,99-E39),"")))</f>
        <v/>
      </c>
      <c r="G39" s="117" t="str">
        <f ca="1" t="shared" si="2"/>
        <v/>
      </c>
      <c r="H39" s="117" t="str">
        <f ca="1">IF(D39="","",IF(幕间计算!AM11&gt;0,INDEX(DGArchive[事件／活动],幕间计算!AM11),"失败技能成长"&amp;IF(ISNUMBER(J39),"（1D4="&amp;J39&amp;"）","")))</f>
        <v/>
      </c>
      <c r="I39" s="117" t="str">
        <f ca="1">IF(AND(D39&lt;&gt;"",幕间计算!$AO$3=0),幕间计算!$AO$5&amp;"-成长-"&amp;D39,"")</f>
        <v/>
      </c>
      <c r="J39" s="106"/>
      <c r="K39" s="117" t="str">
        <f ca="1">IF(D39="","",IF(幕间计算!AM11&gt;0,"已归档",IF(AND(ISNUMBER(J39),J39&gt;=1,J39&lt;=4,MOD(J39,1)=0),"可归档","待填1D4")))</f>
        <v/>
      </c>
    </row>
    <row r="40" ht="25" customHeight="1" spans="1:11">
      <c r="A40" s="117" t="str">
        <f ca="1">IF(D40="","",幕间计算!$AO$5)</f>
        <v/>
      </c>
      <c r="B40" s="117" t="str">
        <f ca="1" t="shared" si="0"/>
        <v/>
      </c>
      <c r="C40" s="118" t="str">
        <f ca="1" t="shared" si="1"/>
        <v/>
      </c>
      <c r="D40" s="117" t="str">
        <f ca="1">幕间计算!AL12</f>
        <v/>
      </c>
      <c r="E40" s="117" t="str">
        <f ca="1">IF(D40="","",IF(幕间计算!AM12&gt;0,INDEX(DGArchive[变更前],幕间计算!AM12),INDEX(幕间计算!$C$2:$C$61,幕间计算!AK12)))</f>
        <v/>
      </c>
      <c r="F40" s="117" t="str">
        <f ca="1">IF(D40="","",IF(幕间计算!AM12&gt;0,INDEX(DGArchive[增减],幕间计算!AM12),IF(K40="可归档",MIN(J40,99-E40),"")))</f>
        <v/>
      </c>
      <c r="G40" s="117" t="str">
        <f ca="1" t="shared" si="2"/>
        <v/>
      </c>
      <c r="H40" s="117" t="str">
        <f ca="1">IF(D40="","",IF(幕间计算!AM12&gt;0,INDEX(DGArchive[事件／活动],幕间计算!AM12),"失败技能成长"&amp;IF(ISNUMBER(J40),"（1D4="&amp;J40&amp;"）","")))</f>
        <v/>
      </c>
      <c r="I40" s="117" t="str">
        <f ca="1">IF(AND(D40&lt;&gt;"",幕间计算!$AO$3=0),幕间计算!$AO$5&amp;"-成长-"&amp;D40,"")</f>
        <v/>
      </c>
      <c r="J40" s="106"/>
      <c r="K40" s="117" t="str">
        <f ca="1">IF(D40="","",IF(幕间计算!AM12&gt;0,"已归档",IF(AND(ISNUMBER(J40),J40&gt;=1,J40&lt;=4,MOD(J40,1)=0),"可归档","待填1D4")))</f>
        <v/>
      </c>
    </row>
    <row r="41" ht="25" customHeight="1" spans="1:11">
      <c r="A41" s="117" t="str">
        <f ca="1">IF(D41="","",幕间计算!$AO$5)</f>
        <v/>
      </c>
      <c r="B41" s="117" t="str">
        <f ca="1" t="shared" si="0"/>
        <v/>
      </c>
      <c r="C41" s="118" t="str">
        <f ca="1" t="shared" si="1"/>
        <v/>
      </c>
      <c r="D41" s="117" t="str">
        <f ca="1">幕间计算!AL13</f>
        <v/>
      </c>
      <c r="E41" s="117" t="str">
        <f ca="1">IF(D41="","",IF(幕间计算!AM13&gt;0,INDEX(DGArchive[变更前],幕间计算!AM13),INDEX(幕间计算!$C$2:$C$61,幕间计算!AK13)))</f>
        <v/>
      </c>
      <c r="F41" s="117" t="str">
        <f ca="1">IF(D41="","",IF(幕间计算!AM13&gt;0,INDEX(DGArchive[增减],幕间计算!AM13),IF(K41="可归档",MIN(J41,99-E41),"")))</f>
        <v/>
      </c>
      <c r="G41" s="117" t="str">
        <f ca="1" t="shared" si="2"/>
        <v/>
      </c>
      <c r="H41" s="117" t="str">
        <f ca="1">IF(D41="","",IF(幕间计算!AM13&gt;0,INDEX(DGArchive[事件／活动],幕间计算!AM13),"失败技能成长"&amp;IF(ISNUMBER(J41),"（1D4="&amp;J41&amp;"）","")))</f>
        <v/>
      </c>
      <c r="I41" s="117" t="str">
        <f ca="1">IF(AND(D41&lt;&gt;"",幕间计算!$AO$3=0),幕间计算!$AO$5&amp;"-成长-"&amp;D41,"")</f>
        <v/>
      </c>
      <c r="J41" s="106"/>
      <c r="K41" s="117" t="str">
        <f ca="1">IF(D41="","",IF(幕间计算!AM13&gt;0,"已归档",IF(AND(ISNUMBER(J41),J41&gt;=1,J41&lt;=4,MOD(J41,1)=0),"可归档","待填1D4")))</f>
        <v/>
      </c>
    </row>
    <row r="42" ht="25" customHeight="1" spans="1:11">
      <c r="A42" s="117" t="str">
        <f ca="1">IF(D42="","",幕间计算!$AO$5)</f>
        <v/>
      </c>
      <c r="B42" s="117" t="str">
        <f ca="1" t="shared" si="0"/>
        <v/>
      </c>
      <c r="C42" s="118" t="str">
        <f ca="1" t="shared" si="1"/>
        <v/>
      </c>
      <c r="D42" s="117" t="str">
        <f ca="1">幕间计算!AL14</f>
        <v/>
      </c>
      <c r="E42" s="117" t="str">
        <f ca="1">IF(D42="","",IF(幕间计算!AM14&gt;0,INDEX(DGArchive[变更前],幕间计算!AM14),INDEX(幕间计算!$C$2:$C$61,幕间计算!AK14)))</f>
        <v/>
      </c>
      <c r="F42" s="117" t="str">
        <f ca="1">IF(D42="","",IF(幕间计算!AM14&gt;0,INDEX(DGArchive[增减],幕间计算!AM14),IF(K42="可归档",MIN(J42,99-E42),"")))</f>
        <v/>
      </c>
      <c r="G42" s="117" t="str">
        <f ca="1" t="shared" si="2"/>
        <v/>
      </c>
      <c r="H42" s="117" t="str">
        <f ca="1">IF(D42="","",IF(幕间计算!AM14&gt;0,INDEX(DGArchive[事件／活动],幕间计算!AM14),"失败技能成长"&amp;IF(ISNUMBER(J42),"（1D4="&amp;J42&amp;"）","")))</f>
        <v/>
      </c>
      <c r="I42" s="117" t="str">
        <f ca="1">IF(AND(D42&lt;&gt;"",幕间计算!$AO$3=0),幕间计算!$AO$5&amp;"-成长-"&amp;D42,"")</f>
        <v/>
      </c>
      <c r="J42" s="106"/>
      <c r="K42" s="117" t="str">
        <f ca="1">IF(D42="","",IF(幕间计算!AM14&gt;0,"已归档",IF(AND(ISNUMBER(J42),J42&gt;=1,J42&lt;=4,MOD(J42,1)=0),"可归档","待填1D4")))</f>
        <v/>
      </c>
    </row>
    <row r="43" ht="25" customHeight="1" spans="1:11">
      <c r="A43" s="117" t="str">
        <f ca="1">IF(D43="","",幕间计算!$AO$5)</f>
        <v/>
      </c>
      <c r="B43" s="117" t="str">
        <f ca="1" t="shared" si="0"/>
        <v/>
      </c>
      <c r="C43" s="118" t="str">
        <f ca="1" t="shared" si="1"/>
        <v/>
      </c>
      <c r="D43" s="117" t="str">
        <f ca="1">幕间计算!AL15</f>
        <v/>
      </c>
      <c r="E43" s="117" t="str">
        <f ca="1">IF(D43="","",IF(幕间计算!AM15&gt;0,INDEX(DGArchive[变更前],幕间计算!AM15),INDEX(幕间计算!$C$2:$C$61,幕间计算!AK15)))</f>
        <v/>
      </c>
      <c r="F43" s="117" t="str">
        <f ca="1">IF(D43="","",IF(幕间计算!AM15&gt;0,INDEX(DGArchive[增减],幕间计算!AM15),IF(K43="可归档",MIN(J43,99-E43),"")))</f>
        <v/>
      </c>
      <c r="G43" s="117" t="str">
        <f ca="1" t="shared" si="2"/>
        <v/>
      </c>
      <c r="H43" s="117" t="str">
        <f ca="1">IF(D43="","",IF(幕间计算!AM15&gt;0,INDEX(DGArchive[事件／活动],幕间计算!AM15),"失败技能成长"&amp;IF(ISNUMBER(J43),"（1D4="&amp;J43&amp;"）","")))</f>
        <v/>
      </c>
      <c r="I43" s="117" t="str">
        <f ca="1">IF(AND(D43&lt;&gt;"",幕间计算!$AO$3=0),幕间计算!$AO$5&amp;"-成长-"&amp;D43,"")</f>
        <v/>
      </c>
      <c r="J43" s="106"/>
      <c r="K43" s="117" t="str">
        <f ca="1">IF(D43="","",IF(幕间计算!AM15&gt;0,"已归档",IF(AND(ISNUMBER(J43),J43&gt;=1,J43&lt;=4,MOD(J43,1)=0),"可归档","待填1D4")))</f>
        <v/>
      </c>
    </row>
    <row r="44" ht="25" customHeight="1" spans="1:11">
      <c r="A44" s="117" t="str">
        <f ca="1">IF(D44="","",幕间计算!$AO$5)</f>
        <v/>
      </c>
      <c r="B44" s="117" t="str">
        <f ca="1" t="shared" si="0"/>
        <v/>
      </c>
      <c r="C44" s="118" t="str">
        <f ca="1" t="shared" si="1"/>
        <v/>
      </c>
      <c r="D44" s="117" t="str">
        <f ca="1">幕间计算!AL16</f>
        <v/>
      </c>
      <c r="E44" s="117" t="str">
        <f ca="1">IF(D44="","",IF(幕间计算!AM16&gt;0,INDEX(DGArchive[变更前],幕间计算!AM16),INDEX(幕间计算!$C$2:$C$61,幕间计算!AK16)))</f>
        <v/>
      </c>
      <c r="F44" s="117" t="str">
        <f ca="1">IF(D44="","",IF(幕间计算!AM16&gt;0,INDEX(DGArchive[增减],幕间计算!AM16),IF(K44="可归档",MIN(J44,99-E44),"")))</f>
        <v/>
      </c>
      <c r="G44" s="117" t="str">
        <f ca="1" t="shared" si="2"/>
        <v/>
      </c>
      <c r="H44" s="117" t="str">
        <f ca="1">IF(D44="","",IF(幕间计算!AM16&gt;0,INDEX(DGArchive[事件／活动],幕间计算!AM16),"失败技能成长"&amp;IF(ISNUMBER(J44),"（1D4="&amp;J44&amp;"）","")))</f>
        <v/>
      </c>
      <c r="I44" s="117" t="str">
        <f ca="1">IF(AND(D44&lt;&gt;"",幕间计算!$AO$3=0),幕间计算!$AO$5&amp;"-成长-"&amp;D44,"")</f>
        <v/>
      </c>
      <c r="J44" s="106"/>
      <c r="K44" s="117" t="str">
        <f ca="1">IF(D44="","",IF(幕间计算!AM16&gt;0,"已归档",IF(AND(ISNUMBER(J44),J44&gt;=1,J44&lt;=4,MOD(J44,1)=0),"可归档","待填1D4")))</f>
        <v/>
      </c>
    </row>
    <row r="45" ht="25" customHeight="1" spans="1:11">
      <c r="A45" s="117" t="str">
        <f ca="1">IF(D45="","",幕间计算!$AO$5)</f>
        <v/>
      </c>
      <c r="B45" s="117" t="str">
        <f ca="1" t="shared" si="0"/>
        <v/>
      </c>
      <c r="C45" s="118" t="str">
        <f ca="1" t="shared" si="1"/>
        <v/>
      </c>
      <c r="D45" s="117" t="str">
        <f ca="1">幕间计算!AL17</f>
        <v/>
      </c>
      <c r="E45" s="117" t="str">
        <f ca="1">IF(D45="","",IF(幕间计算!AM17&gt;0,INDEX(DGArchive[变更前],幕间计算!AM17),INDEX(幕间计算!$C$2:$C$61,幕间计算!AK17)))</f>
        <v/>
      </c>
      <c r="F45" s="117" t="str">
        <f ca="1">IF(D45="","",IF(幕间计算!AM17&gt;0,INDEX(DGArchive[增减],幕间计算!AM17),IF(K45="可归档",MIN(J45,99-E45),"")))</f>
        <v/>
      </c>
      <c r="G45" s="117" t="str">
        <f ca="1" t="shared" si="2"/>
        <v/>
      </c>
      <c r="H45" s="117" t="str">
        <f ca="1">IF(D45="","",IF(幕间计算!AM17&gt;0,INDEX(DGArchive[事件／活动],幕间计算!AM17),"失败技能成长"&amp;IF(ISNUMBER(J45),"（1D4="&amp;J45&amp;"）","")))</f>
        <v/>
      </c>
      <c r="I45" s="117" t="str">
        <f ca="1">IF(AND(D45&lt;&gt;"",幕间计算!$AO$3=0),幕间计算!$AO$5&amp;"-成长-"&amp;D45,"")</f>
        <v/>
      </c>
      <c r="J45" s="106"/>
      <c r="K45" s="117" t="str">
        <f ca="1">IF(D45="","",IF(幕间计算!AM17&gt;0,"已归档",IF(AND(ISNUMBER(J45),J45&gt;=1,J45&lt;=4,MOD(J45,1)=0),"可归档","待填1D4")))</f>
        <v/>
      </c>
    </row>
    <row r="46" ht="25" customHeight="1" spans="1:11">
      <c r="A46" s="117" t="str">
        <f ca="1">IF(D46="","",幕间计算!$AO$5)</f>
        <v/>
      </c>
      <c r="B46" s="117" t="str">
        <f ca="1" t="shared" si="0"/>
        <v/>
      </c>
      <c r="C46" s="118" t="str">
        <f ca="1" t="shared" si="1"/>
        <v/>
      </c>
      <c r="D46" s="117" t="str">
        <f ca="1">幕间计算!AL18</f>
        <v/>
      </c>
      <c r="E46" s="117" t="str">
        <f ca="1">IF(D46="","",IF(幕间计算!AM18&gt;0,INDEX(DGArchive[变更前],幕间计算!AM18),INDEX(幕间计算!$C$2:$C$61,幕间计算!AK18)))</f>
        <v/>
      </c>
      <c r="F46" s="117" t="str">
        <f ca="1">IF(D46="","",IF(幕间计算!AM18&gt;0,INDEX(DGArchive[增减],幕间计算!AM18),IF(K46="可归档",MIN(J46,99-E46),"")))</f>
        <v/>
      </c>
      <c r="G46" s="117" t="str">
        <f ca="1" t="shared" si="2"/>
        <v/>
      </c>
      <c r="H46" s="117" t="str">
        <f ca="1">IF(D46="","",IF(幕间计算!AM18&gt;0,INDEX(DGArchive[事件／活动],幕间计算!AM18),"失败技能成长"&amp;IF(ISNUMBER(J46),"（1D4="&amp;J46&amp;"）","")))</f>
        <v/>
      </c>
      <c r="I46" s="117" t="str">
        <f ca="1">IF(AND(D46&lt;&gt;"",幕间计算!$AO$3=0),幕间计算!$AO$5&amp;"-成长-"&amp;D46,"")</f>
        <v/>
      </c>
      <c r="J46" s="106"/>
      <c r="K46" s="117" t="str">
        <f ca="1">IF(D46="","",IF(幕间计算!AM18&gt;0,"已归档",IF(AND(ISNUMBER(J46),J46&gt;=1,J46&lt;=4,MOD(J46,1)=0),"可归档","待填1D4")))</f>
        <v/>
      </c>
    </row>
    <row r="47" ht="25" customHeight="1" spans="1:11">
      <c r="A47" s="117" t="str">
        <f ca="1">IF(D47="","",幕间计算!$AO$5)</f>
        <v/>
      </c>
      <c r="B47" s="117" t="str">
        <f ca="1" t="shared" si="0"/>
        <v/>
      </c>
      <c r="C47" s="118" t="str">
        <f ca="1" t="shared" si="1"/>
        <v/>
      </c>
      <c r="D47" s="117" t="str">
        <f ca="1">幕间计算!AL19</f>
        <v/>
      </c>
      <c r="E47" s="117" t="str">
        <f ca="1">IF(D47="","",IF(幕间计算!AM19&gt;0,INDEX(DGArchive[变更前],幕间计算!AM19),INDEX(幕间计算!$C$2:$C$61,幕间计算!AK19)))</f>
        <v/>
      </c>
      <c r="F47" s="117" t="str">
        <f ca="1">IF(D47="","",IF(幕间计算!AM19&gt;0,INDEX(DGArchive[增减],幕间计算!AM19),IF(K47="可归档",MIN(J47,99-E47),"")))</f>
        <v/>
      </c>
      <c r="G47" s="117" t="str">
        <f ca="1" t="shared" si="2"/>
        <v/>
      </c>
      <c r="H47" s="117" t="str">
        <f ca="1">IF(D47="","",IF(幕间计算!AM19&gt;0,INDEX(DGArchive[事件／活动],幕间计算!AM19),"失败技能成长"&amp;IF(ISNUMBER(J47),"（1D4="&amp;J47&amp;"）","")))</f>
        <v/>
      </c>
      <c r="I47" s="117" t="str">
        <f ca="1">IF(AND(D47&lt;&gt;"",幕间计算!$AO$3=0),幕间计算!$AO$5&amp;"-成长-"&amp;D47,"")</f>
        <v/>
      </c>
      <c r="J47" s="106"/>
      <c r="K47" s="117" t="str">
        <f ca="1">IF(D47="","",IF(幕间计算!AM19&gt;0,"已归档",IF(AND(ISNUMBER(J47),J47&gt;=1,J47&lt;=4,MOD(J47,1)=0),"可归档","待填1D4")))</f>
        <v/>
      </c>
    </row>
    <row r="48" ht="25" customHeight="1" spans="1:11">
      <c r="A48" s="117" t="str">
        <f ca="1">IF(D48="","",幕间计算!$AO$5)</f>
        <v/>
      </c>
      <c r="B48" s="117" t="str">
        <f ca="1" t="shared" si="0"/>
        <v/>
      </c>
      <c r="C48" s="118" t="str">
        <f ca="1" t="shared" si="1"/>
        <v/>
      </c>
      <c r="D48" s="117" t="str">
        <f ca="1">幕间计算!AL20</f>
        <v/>
      </c>
      <c r="E48" s="117" t="str">
        <f ca="1">IF(D48="","",IF(幕间计算!AM20&gt;0,INDEX(DGArchive[变更前],幕间计算!AM20),INDEX(幕间计算!$C$2:$C$61,幕间计算!AK20)))</f>
        <v/>
      </c>
      <c r="F48" s="117" t="str">
        <f ca="1">IF(D48="","",IF(幕间计算!AM20&gt;0,INDEX(DGArchive[增减],幕间计算!AM20),IF(K48="可归档",MIN(J48,99-E48),"")))</f>
        <v/>
      </c>
      <c r="G48" s="117" t="str">
        <f ca="1" t="shared" si="2"/>
        <v/>
      </c>
      <c r="H48" s="117" t="str">
        <f ca="1">IF(D48="","",IF(幕间计算!AM20&gt;0,INDEX(DGArchive[事件／活动],幕间计算!AM20),"失败技能成长"&amp;IF(ISNUMBER(J48),"（1D4="&amp;J48&amp;"）","")))</f>
        <v/>
      </c>
      <c r="I48" s="117" t="str">
        <f ca="1">IF(AND(D48&lt;&gt;"",幕间计算!$AO$3=0),幕间计算!$AO$5&amp;"-成长-"&amp;D48,"")</f>
        <v/>
      </c>
      <c r="J48" s="106"/>
      <c r="K48" s="117" t="str">
        <f ca="1">IF(D48="","",IF(幕间计算!AM20&gt;0,"已归档",IF(AND(ISNUMBER(J48),J48&gt;=1,J48&lt;=4,MOD(J48,1)=0),"可归档","待填1D4")))</f>
        <v/>
      </c>
    </row>
    <row r="49" ht="25" customHeight="1" spans="1:11">
      <c r="A49" s="117" t="str">
        <f ca="1">IF(D49="","",幕间计算!$AO$5)</f>
        <v/>
      </c>
      <c r="B49" s="117" t="str">
        <f ca="1" t="shared" si="0"/>
        <v/>
      </c>
      <c r="C49" s="118" t="str">
        <f ca="1" t="shared" si="1"/>
        <v/>
      </c>
      <c r="D49" s="117" t="str">
        <f ca="1">幕间计算!AL21</f>
        <v/>
      </c>
      <c r="E49" s="117" t="str">
        <f ca="1">IF(D49="","",IF(幕间计算!AM21&gt;0,INDEX(DGArchive[变更前],幕间计算!AM21),INDEX(幕间计算!$C$2:$C$61,幕间计算!AK21)))</f>
        <v/>
      </c>
      <c r="F49" s="117" t="str">
        <f ca="1">IF(D49="","",IF(幕间计算!AM21&gt;0,INDEX(DGArchive[增减],幕间计算!AM21),IF(K49="可归档",MIN(J49,99-E49),"")))</f>
        <v/>
      </c>
      <c r="G49" s="117" t="str">
        <f ca="1" t="shared" si="2"/>
        <v/>
      </c>
      <c r="H49" s="117" t="str">
        <f ca="1">IF(D49="","",IF(幕间计算!AM21&gt;0,INDEX(DGArchive[事件／活动],幕间计算!AM21),"失败技能成长"&amp;IF(ISNUMBER(J49),"（1D4="&amp;J49&amp;"）","")))</f>
        <v/>
      </c>
      <c r="I49" s="117" t="str">
        <f ca="1">IF(AND(D49&lt;&gt;"",幕间计算!$AO$3=0),幕间计算!$AO$5&amp;"-成长-"&amp;D49,"")</f>
        <v/>
      </c>
      <c r="J49" s="106"/>
      <c r="K49" s="117" t="str">
        <f ca="1">IF(D49="","",IF(幕间计算!AM21&gt;0,"已归档",IF(AND(ISNUMBER(J49),J49&gt;=1,J49&lt;=4,MOD(J49,1)=0),"可归档","待填1D4")))</f>
        <v/>
      </c>
    </row>
    <row r="50" ht="25" customHeight="1" spans="1:11">
      <c r="A50" s="117" t="str">
        <f ca="1">IF(D50="","",幕间计算!$AO$5)</f>
        <v/>
      </c>
      <c r="B50" s="117" t="str">
        <f ca="1" t="shared" si="0"/>
        <v/>
      </c>
      <c r="C50" s="118" t="str">
        <f ca="1" t="shared" si="1"/>
        <v/>
      </c>
      <c r="D50" s="117" t="str">
        <f ca="1">幕间计算!AL22</f>
        <v/>
      </c>
      <c r="E50" s="117" t="str">
        <f ca="1">IF(D50="","",IF(幕间计算!AM22&gt;0,INDEX(DGArchive[变更前],幕间计算!AM22),INDEX(幕间计算!$C$2:$C$61,幕间计算!AK22)))</f>
        <v/>
      </c>
      <c r="F50" s="117" t="str">
        <f ca="1">IF(D50="","",IF(幕间计算!AM22&gt;0,INDEX(DGArchive[增减],幕间计算!AM22),IF(K50="可归档",MIN(J50,99-E50),"")))</f>
        <v/>
      </c>
      <c r="G50" s="117" t="str">
        <f ca="1" t="shared" si="2"/>
        <v/>
      </c>
      <c r="H50" s="117" t="str">
        <f ca="1">IF(D50="","",IF(幕间计算!AM22&gt;0,INDEX(DGArchive[事件／活动],幕间计算!AM22),"失败技能成长"&amp;IF(ISNUMBER(J50),"（1D4="&amp;J50&amp;"）","")))</f>
        <v/>
      </c>
      <c r="I50" s="117" t="str">
        <f ca="1">IF(AND(D50&lt;&gt;"",幕间计算!$AO$3=0),幕间计算!$AO$5&amp;"-成长-"&amp;D50,"")</f>
        <v/>
      </c>
      <c r="J50" s="106"/>
      <c r="K50" s="117" t="str">
        <f ca="1">IF(D50="","",IF(幕间计算!AM22&gt;0,"已归档",IF(AND(ISNUMBER(J50),J50&gt;=1,J50&lt;=4,MOD(J50,1)=0),"可归档","待填1D4")))</f>
        <v/>
      </c>
    </row>
    <row r="51" ht="25" customHeight="1" spans="1:11">
      <c r="A51" s="117" t="str">
        <f ca="1">IF(D51="","",幕间计算!$AO$5)</f>
        <v/>
      </c>
      <c r="B51" s="117" t="str">
        <f ca="1" t="shared" si="0"/>
        <v/>
      </c>
      <c r="C51" s="118" t="str">
        <f ca="1" t="shared" si="1"/>
        <v/>
      </c>
      <c r="D51" s="117" t="str">
        <f ca="1">幕间计算!AL23</f>
        <v/>
      </c>
      <c r="E51" s="117" t="str">
        <f ca="1">IF(D51="","",IF(幕间计算!AM23&gt;0,INDEX(DGArchive[变更前],幕间计算!AM23),INDEX(幕间计算!$C$2:$C$61,幕间计算!AK23)))</f>
        <v/>
      </c>
      <c r="F51" s="117" t="str">
        <f ca="1">IF(D51="","",IF(幕间计算!AM23&gt;0,INDEX(DGArchive[增减],幕间计算!AM23),IF(K51="可归档",MIN(J51,99-E51),"")))</f>
        <v/>
      </c>
      <c r="G51" s="117" t="str">
        <f ca="1" t="shared" si="2"/>
        <v/>
      </c>
      <c r="H51" s="117" t="str">
        <f ca="1">IF(D51="","",IF(幕间计算!AM23&gt;0,INDEX(DGArchive[事件／活动],幕间计算!AM23),"失败技能成长"&amp;IF(ISNUMBER(J51),"（1D4="&amp;J51&amp;"）","")))</f>
        <v/>
      </c>
      <c r="I51" s="117" t="str">
        <f ca="1">IF(AND(D51&lt;&gt;"",幕间计算!$AO$3=0),幕间计算!$AO$5&amp;"-成长-"&amp;D51,"")</f>
        <v/>
      </c>
      <c r="J51" s="106"/>
      <c r="K51" s="117" t="str">
        <f ca="1">IF(D51="","",IF(幕间计算!AM23&gt;0,"已归档",IF(AND(ISNUMBER(J51),J51&gt;=1,J51&lt;=4,MOD(J51,1)=0),"可归档","待填1D4")))</f>
        <v/>
      </c>
    </row>
    <row r="52" ht="25" customHeight="1" spans="1:11">
      <c r="A52" s="117" t="str">
        <f ca="1">IF(D52="","",幕间计算!$AO$5)</f>
        <v/>
      </c>
      <c r="B52" s="117" t="str">
        <f ca="1" t="shared" si="0"/>
        <v/>
      </c>
      <c r="C52" s="118" t="str">
        <f ca="1" t="shared" si="1"/>
        <v/>
      </c>
      <c r="D52" s="117" t="str">
        <f ca="1">幕间计算!AL24</f>
        <v/>
      </c>
      <c r="E52" s="117" t="str">
        <f ca="1">IF(D52="","",IF(幕间计算!AM24&gt;0,INDEX(DGArchive[变更前],幕间计算!AM24),INDEX(幕间计算!$C$2:$C$61,幕间计算!AK24)))</f>
        <v/>
      </c>
      <c r="F52" s="117" t="str">
        <f ca="1">IF(D52="","",IF(幕间计算!AM24&gt;0,INDEX(DGArchive[增减],幕间计算!AM24),IF(K52="可归档",MIN(J52,99-E52),"")))</f>
        <v/>
      </c>
      <c r="G52" s="117" t="str">
        <f ca="1" t="shared" si="2"/>
        <v/>
      </c>
      <c r="H52" s="117" t="str">
        <f ca="1">IF(D52="","",IF(幕间计算!AM24&gt;0,INDEX(DGArchive[事件／活动],幕间计算!AM24),"失败技能成长"&amp;IF(ISNUMBER(J52),"（1D4="&amp;J52&amp;"）","")))</f>
        <v/>
      </c>
      <c r="I52" s="117" t="str">
        <f ca="1">IF(AND(D52&lt;&gt;"",幕间计算!$AO$3=0),幕间计算!$AO$5&amp;"-成长-"&amp;D52,"")</f>
        <v/>
      </c>
      <c r="J52" s="106"/>
      <c r="K52" s="117" t="str">
        <f ca="1">IF(D52="","",IF(幕间计算!AM24&gt;0,"已归档",IF(AND(ISNUMBER(J52),J52&gt;=1,J52&lt;=4,MOD(J52,1)=0),"可归档","待填1D4")))</f>
        <v/>
      </c>
    </row>
    <row r="53" ht="25" customHeight="1" spans="1:11">
      <c r="A53" s="117" t="str">
        <f ca="1">IF(D53="","",幕间计算!$AO$5)</f>
        <v/>
      </c>
      <c r="B53" s="117" t="str">
        <f ca="1" t="shared" si="0"/>
        <v/>
      </c>
      <c r="C53" s="118" t="str">
        <f ca="1" t="shared" si="1"/>
        <v/>
      </c>
      <c r="D53" s="117" t="str">
        <f ca="1">幕间计算!AL25</f>
        <v/>
      </c>
      <c r="E53" s="117" t="str">
        <f ca="1">IF(D53="","",IF(幕间计算!AM25&gt;0,INDEX(DGArchive[变更前],幕间计算!AM25),INDEX(幕间计算!$C$2:$C$61,幕间计算!AK25)))</f>
        <v/>
      </c>
      <c r="F53" s="117" t="str">
        <f ca="1">IF(D53="","",IF(幕间计算!AM25&gt;0,INDEX(DGArchive[增减],幕间计算!AM25),IF(K53="可归档",MIN(J53,99-E53),"")))</f>
        <v/>
      </c>
      <c r="G53" s="117" t="str">
        <f ca="1" t="shared" si="2"/>
        <v/>
      </c>
      <c r="H53" s="117" t="str">
        <f ca="1">IF(D53="","",IF(幕间计算!AM25&gt;0,INDEX(DGArchive[事件／活动],幕间计算!AM25),"失败技能成长"&amp;IF(ISNUMBER(J53),"（1D4="&amp;J53&amp;"）","")))</f>
        <v/>
      </c>
      <c r="I53" s="117" t="str">
        <f ca="1">IF(AND(D53&lt;&gt;"",幕间计算!$AO$3=0),幕间计算!$AO$5&amp;"-成长-"&amp;D53,"")</f>
        <v/>
      </c>
      <c r="J53" s="106"/>
      <c r="K53" s="117" t="str">
        <f ca="1">IF(D53="","",IF(幕间计算!AM25&gt;0,"已归档",IF(AND(ISNUMBER(J53),J53&gt;=1,J53&lt;=4,MOD(J53,1)=0),"可归档","待填1D4")))</f>
        <v/>
      </c>
    </row>
    <row r="54" ht="25" customHeight="1" spans="1:11">
      <c r="A54" s="117" t="str">
        <f ca="1">IF(D54="","",幕间计算!$AO$5)</f>
        <v/>
      </c>
      <c r="B54" s="117" t="str">
        <f ca="1" t="shared" si="0"/>
        <v/>
      </c>
      <c r="C54" s="118" t="str">
        <f ca="1" t="shared" si="1"/>
        <v/>
      </c>
      <c r="D54" s="117" t="str">
        <f ca="1">幕间计算!AL26</f>
        <v/>
      </c>
      <c r="E54" s="117" t="str">
        <f ca="1">IF(D54="","",IF(幕间计算!AM26&gt;0,INDEX(DGArchive[变更前],幕间计算!AM26),INDEX(幕间计算!$C$2:$C$61,幕间计算!AK26)))</f>
        <v/>
      </c>
      <c r="F54" s="117" t="str">
        <f ca="1">IF(D54="","",IF(幕间计算!AM26&gt;0,INDEX(DGArchive[增减],幕间计算!AM26),IF(K54="可归档",MIN(J54,99-E54),"")))</f>
        <v/>
      </c>
      <c r="G54" s="117" t="str">
        <f ca="1" t="shared" si="2"/>
        <v/>
      </c>
      <c r="H54" s="117" t="str">
        <f ca="1">IF(D54="","",IF(幕间计算!AM26&gt;0,INDEX(DGArchive[事件／活动],幕间计算!AM26),"失败技能成长"&amp;IF(ISNUMBER(J54),"（1D4="&amp;J54&amp;"）","")))</f>
        <v/>
      </c>
      <c r="I54" s="117" t="str">
        <f ca="1">IF(AND(D54&lt;&gt;"",幕间计算!$AO$3=0),幕间计算!$AO$5&amp;"-成长-"&amp;D54,"")</f>
        <v/>
      </c>
      <c r="J54" s="106"/>
      <c r="K54" s="117" t="str">
        <f ca="1">IF(D54="","",IF(幕间计算!AM26&gt;0,"已归档",IF(AND(ISNUMBER(J54),J54&gt;=1,J54&lt;=4,MOD(J54,1)=0),"可归档","待填1D4")))</f>
        <v/>
      </c>
    </row>
    <row r="55" ht="25" customHeight="1" spans="1:11">
      <c r="A55" s="117" t="str">
        <f ca="1">IF(D55="","",幕间计算!$AO$5)</f>
        <v/>
      </c>
      <c r="B55" s="117" t="str">
        <f ca="1" t="shared" si="0"/>
        <v/>
      </c>
      <c r="C55" s="118" t="str">
        <f ca="1" t="shared" si="1"/>
        <v/>
      </c>
      <c r="D55" s="117" t="str">
        <f ca="1">幕间计算!AL27</f>
        <v/>
      </c>
      <c r="E55" s="117" t="str">
        <f ca="1">IF(D55="","",IF(幕间计算!AM27&gt;0,INDEX(DGArchive[变更前],幕间计算!AM27),INDEX(幕间计算!$C$2:$C$61,幕间计算!AK27)))</f>
        <v/>
      </c>
      <c r="F55" s="117" t="str">
        <f ca="1">IF(D55="","",IF(幕间计算!AM27&gt;0,INDEX(DGArchive[增减],幕间计算!AM27),IF(K55="可归档",MIN(J55,99-E55),"")))</f>
        <v/>
      </c>
      <c r="G55" s="117" t="str">
        <f ca="1" t="shared" si="2"/>
        <v/>
      </c>
      <c r="H55" s="117" t="str">
        <f ca="1">IF(D55="","",IF(幕间计算!AM27&gt;0,INDEX(DGArchive[事件／活动],幕间计算!AM27),"失败技能成长"&amp;IF(ISNUMBER(J55),"（1D4="&amp;J55&amp;"）","")))</f>
        <v/>
      </c>
      <c r="I55" s="117" t="str">
        <f ca="1">IF(AND(D55&lt;&gt;"",幕间计算!$AO$3=0),幕间计算!$AO$5&amp;"-成长-"&amp;D55,"")</f>
        <v/>
      </c>
      <c r="J55" s="106"/>
      <c r="K55" s="117" t="str">
        <f ca="1">IF(D55="","",IF(幕间计算!AM27&gt;0,"已归档",IF(AND(ISNUMBER(J55),J55&gt;=1,J55&lt;=4,MOD(J55,1)=0),"可归档","待填1D4")))</f>
        <v/>
      </c>
    </row>
    <row r="56" ht="25" customHeight="1" spans="1:11">
      <c r="A56" s="117" t="str">
        <f ca="1">IF(D56="","",幕间计算!$AO$5)</f>
        <v/>
      </c>
      <c r="B56" s="117" t="str">
        <f ca="1" t="shared" si="0"/>
        <v/>
      </c>
      <c r="C56" s="118" t="str">
        <f ca="1" t="shared" si="1"/>
        <v/>
      </c>
      <c r="D56" s="117" t="str">
        <f ca="1">幕间计算!AL28</f>
        <v/>
      </c>
      <c r="E56" s="117" t="str">
        <f ca="1">IF(D56="","",IF(幕间计算!AM28&gt;0,INDEX(DGArchive[变更前],幕间计算!AM28),INDEX(幕间计算!$C$2:$C$61,幕间计算!AK28)))</f>
        <v/>
      </c>
      <c r="F56" s="117" t="str">
        <f ca="1">IF(D56="","",IF(幕间计算!AM28&gt;0,INDEX(DGArchive[增减],幕间计算!AM28),IF(K56="可归档",MIN(J56,99-E56),"")))</f>
        <v/>
      </c>
      <c r="G56" s="117" t="str">
        <f ca="1" t="shared" si="2"/>
        <v/>
      </c>
      <c r="H56" s="117" t="str">
        <f ca="1">IF(D56="","",IF(幕间计算!AM28&gt;0,INDEX(DGArchive[事件／活动],幕间计算!AM28),"失败技能成长"&amp;IF(ISNUMBER(J56),"（1D4="&amp;J56&amp;"）","")))</f>
        <v/>
      </c>
      <c r="I56" s="117" t="str">
        <f ca="1">IF(AND(D56&lt;&gt;"",幕间计算!$AO$3=0),幕间计算!$AO$5&amp;"-成长-"&amp;D56,"")</f>
        <v/>
      </c>
      <c r="J56" s="106"/>
      <c r="K56" s="117" t="str">
        <f ca="1">IF(D56="","",IF(幕间计算!AM28&gt;0,"已归档",IF(AND(ISNUMBER(J56),J56&gt;=1,J56&lt;=4,MOD(J56,1)=0),"可归档","待填1D4")))</f>
        <v/>
      </c>
    </row>
    <row r="57" ht="25" customHeight="1" spans="1:11">
      <c r="A57" s="117" t="str">
        <f ca="1">IF(D57="","",幕间计算!$AO$5)</f>
        <v/>
      </c>
      <c r="B57" s="117" t="str">
        <f ca="1" t="shared" si="0"/>
        <v/>
      </c>
      <c r="C57" s="118" t="str">
        <f ca="1" t="shared" si="1"/>
        <v/>
      </c>
      <c r="D57" s="117" t="str">
        <f ca="1">幕间计算!AL29</f>
        <v/>
      </c>
      <c r="E57" s="117" t="str">
        <f ca="1">IF(D57="","",IF(幕间计算!AM29&gt;0,INDEX(DGArchive[变更前],幕间计算!AM29),INDEX(幕间计算!$C$2:$C$61,幕间计算!AK29)))</f>
        <v/>
      </c>
      <c r="F57" s="117" t="str">
        <f ca="1">IF(D57="","",IF(幕间计算!AM29&gt;0,INDEX(DGArchive[增减],幕间计算!AM29),IF(K57="可归档",MIN(J57,99-E57),"")))</f>
        <v/>
      </c>
      <c r="G57" s="117" t="str">
        <f ca="1" t="shared" si="2"/>
        <v/>
      </c>
      <c r="H57" s="117" t="str">
        <f ca="1">IF(D57="","",IF(幕间计算!AM29&gt;0,INDEX(DGArchive[事件／活动],幕间计算!AM29),"失败技能成长"&amp;IF(ISNUMBER(J57),"（1D4="&amp;J57&amp;"）","")))</f>
        <v/>
      </c>
      <c r="I57" s="117" t="str">
        <f ca="1">IF(AND(D57&lt;&gt;"",幕间计算!$AO$3=0),幕间计算!$AO$5&amp;"-成长-"&amp;D57,"")</f>
        <v/>
      </c>
      <c r="J57" s="106"/>
      <c r="K57" s="117" t="str">
        <f ca="1">IF(D57="","",IF(幕间计算!AM29&gt;0,"已归档",IF(AND(ISNUMBER(J57),J57&gt;=1,J57&lt;=4,MOD(J57,1)=0),"可归档","待填1D4")))</f>
        <v/>
      </c>
    </row>
    <row r="58" ht="25" customHeight="1" spans="1:11">
      <c r="A58" s="117" t="str">
        <f ca="1">IF(D58="","",幕间计算!$AO$5)</f>
        <v/>
      </c>
      <c r="B58" s="117" t="str">
        <f ca="1" t="shared" si="0"/>
        <v/>
      </c>
      <c r="C58" s="118" t="str">
        <f ca="1" t="shared" si="1"/>
        <v/>
      </c>
      <c r="D58" s="117" t="str">
        <f ca="1">幕间计算!AL30</f>
        <v/>
      </c>
      <c r="E58" s="117" t="str">
        <f ca="1">IF(D58="","",IF(幕间计算!AM30&gt;0,INDEX(DGArchive[变更前],幕间计算!AM30),INDEX(幕间计算!$C$2:$C$61,幕间计算!AK30)))</f>
        <v/>
      </c>
      <c r="F58" s="117" t="str">
        <f ca="1">IF(D58="","",IF(幕间计算!AM30&gt;0,INDEX(DGArchive[增减],幕间计算!AM30),IF(K58="可归档",MIN(J58,99-E58),"")))</f>
        <v/>
      </c>
      <c r="G58" s="117" t="str">
        <f ca="1" t="shared" si="2"/>
        <v/>
      </c>
      <c r="H58" s="117" t="str">
        <f ca="1">IF(D58="","",IF(幕间计算!AM30&gt;0,INDEX(DGArchive[事件／活动],幕间计算!AM30),"失败技能成长"&amp;IF(ISNUMBER(J58),"（1D4="&amp;J58&amp;"）","")))</f>
        <v/>
      </c>
      <c r="I58" s="117" t="str">
        <f ca="1">IF(AND(D58&lt;&gt;"",幕间计算!$AO$3=0),幕间计算!$AO$5&amp;"-成长-"&amp;D58,"")</f>
        <v/>
      </c>
      <c r="J58" s="106"/>
      <c r="K58" s="117" t="str">
        <f ca="1">IF(D58="","",IF(幕间计算!AM30&gt;0,"已归档",IF(AND(ISNUMBER(J58),J58&gt;=1,J58&lt;=4,MOD(J58,1)=0),"可归档","待填1D4")))</f>
        <v/>
      </c>
    </row>
    <row r="59" ht="25" customHeight="1" spans="1:11">
      <c r="A59" s="117" t="str">
        <f ca="1">IF(D59="","",幕间计算!$AO$5)</f>
        <v/>
      </c>
      <c r="B59" s="117" t="str">
        <f ca="1" t="shared" si="0"/>
        <v/>
      </c>
      <c r="C59" s="118" t="str">
        <f ca="1" t="shared" si="1"/>
        <v/>
      </c>
      <c r="D59" s="117" t="str">
        <f ca="1">幕间计算!AL31</f>
        <v/>
      </c>
      <c r="E59" s="117" t="str">
        <f ca="1">IF(D59="","",IF(幕间计算!AM31&gt;0,INDEX(DGArchive[变更前],幕间计算!AM31),INDEX(幕间计算!$C$2:$C$61,幕间计算!AK31)))</f>
        <v/>
      </c>
      <c r="F59" s="117" t="str">
        <f ca="1">IF(D59="","",IF(幕间计算!AM31&gt;0,INDEX(DGArchive[增减],幕间计算!AM31),IF(K59="可归档",MIN(J59,99-E59),"")))</f>
        <v/>
      </c>
      <c r="G59" s="117" t="str">
        <f ca="1" t="shared" si="2"/>
        <v/>
      </c>
      <c r="H59" s="117" t="str">
        <f ca="1">IF(D59="","",IF(幕间计算!AM31&gt;0,INDEX(DGArchive[事件／活动],幕间计算!AM31),"失败技能成长"&amp;IF(ISNUMBER(J59),"（1D4="&amp;J59&amp;"）","")))</f>
        <v/>
      </c>
      <c r="I59" s="117" t="str">
        <f ca="1">IF(AND(D59&lt;&gt;"",幕间计算!$AO$3=0),幕间计算!$AO$5&amp;"-成长-"&amp;D59,"")</f>
        <v/>
      </c>
      <c r="J59" s="106"/>
      <c r="K59" s="117" t="str">
        <f ca="1">IF(D59="","",IF(幕间计算!AM31&gt;0,"已归档",IF(AND(ISNUMBER(J59),J59&gt;=1,J59&lt;=4,MOD(J59,1)=0),"可归档","待填1D4")))</f>
        <v/>
      </c>
    </row>
    <row r="60" ht="25" customHeight="1" spans="1:11">
      <c r="A60" s="117" t="str">
        <f ca="1">IF(D60="","",幕间计算!$AO$5)</f>
        <v/>
      </c>
      <c r="B60" s="117" t="str">
        <f ca="1" t="shared" si="0"/>
        <v/>
      </c>
      <c r="C60" s="118" t="str">
        <f ca="1" t="shared" si="1"/>
        <v/>
      </c>
      <c r="D60" s="117" t="str">
        <f ca="1">幕间计算!AL32</f>
        <v/>
      </c>
      <c r="E60" s="117" t="str">
        <f ca="1">IF(D60="","",IF(幕间计算!AM32&gt;0,INDEX(DGArchive[变更前],幕间计算!AM32),INDEX(幕间计算!$C$2:$C$61,幕间计算!AK32)))</f>
        <v/>
      </c>
      <c r="F60" s="117" t="str">
        <f ca="1">IF(D60="","",IF(幕间计算!AM32&gt;0,INDEX(DGArchive[增减],幕间计算!AM32),IF(K60="可归档",MIN(J60,99-E60),"")))</f>
        <v/>
      </c>
      <c r="G60" s="117" t="str">
        <f ca="1" t="shared" si="2"/>
        <v/>
      </c>
      <c r="H60" s="117" t="str">
        <f ca="1">IF(D60="","",IF(幕间计算!AM32&gt;0,INDEX(DGArchive[事件／活动],幕间计算!AM32),"失败技能成长"&amp;IF(ISNUMBER(J60),"（1D4="&amp;J60&amp;"）","")))</f>
        <v/>
      </c>
      <c r="I60" s="117" t="str">
        <f ca="1">IF(AND(D60&lt;&gt;"",幕间计算!$AO$3=0),幕间计算!$AO$5&amp;"-成长-"&amp;D60,"")</f>
        <v/>
      </c>
      <c r="J60" s="106"/>
      <c r="K60" s="117" t="str">
        <f ca="1">IF(D60="","",IF(幕间计算!AM32&gt;0,"已归档",IF(AND(ISNUMBER(J60),J60&gt;=1,J60&lt;=4,MOD(J60,1)=0),"可归档","待填1D4")))</f>
        <v/>
      </c>
    </row>
    <row r="61" ht="25" customHeight="1" spans="1:11">
      <c r="A61" s="117" t="str">
        <f ca="1">IF(D61="","",幕间计算!$AO$5)</f>
        <v/>
      </c>
      <c r="B61" s="117" t="str">
        <f ca="1" t="shared" si="0"/>
        <v/>
      </c>
      <c r="C61" s="118" t="str">
        <f ca="1" t="shared" si="1"/>
        <v/>
      </c>
      <c r="D61" s="117" t="str">
        <f ca="1">幕间计算!AL33</f>
        <v/>
      </c>
      <c r="E61" s="117" t="str">
        <f ca="1">IF(D61="","",IF(幕间计算!AM33&gt;0,INDEX(DGArchive[变更前],幕间计算!AM33),INDEX(幕间计算!$C$2:$C$61,幕间计算!AK33)))</f>
        <v/>
      </c>
      <c r="F61" s="117" t="str">
        <f ca="1">IF(D61="","",IF(幕间计算!AM33&gt;0,INDEX(DGArchive[增减],幕间计算!AM33),IF(K61="可归档",MIN(J61,99-E61),"")))</f>
        <v/>
      </c>
      <c r="G61" s="117" t="str">
        <f ca="1" t="shared" si="2"/>
        <v/>
      </c>
      <c r="H61" s="117" t="str">
        <f ca="1">IF(D61="","",IF(幕间计算!AM33&gt;0,INDEX(DGArchive[事件／活动],幕间计算!AM33),"失败技能成长"&amp;IF(ISNUMBER(J61),"（1D4="&amp;J61&amp;"）","")))</f>
        <v/>
      </c>
      <c r="I61" s="117" t="str">
        <f ca="1">IF(AND(D61&lt;&gt;"",幕间计算!$AO$3=0),幕间计算!$AO$5&amp;"-成长-"&amp;D61,"")</f>
        <v/>
      </c>
      <c r="J61" s="106"/>
      <c r="K61" s="117" t="str">
        <f ca="1">IF(D61="","",IF(幕间计算!AM33&gt;0,"已归档",IF(AND(ISNUMBER(J61),J61&gt;=1,J61&lt;=4,MOD(J61,1)=0),"可归档","待填1D4")))</f>
        <v/>
      </c>
    </row>
    <row r="62" ht="25" customHeight="1" spans="1:11">
      <c r="A62" s="117" t="str">
        <f ca="1">IF(D62="","",幕间计算!$AO$5)</f>
        <v/>
      </c>
      <c r="B62" s="117" t="str">
        <f ca="1" t="shared" si="0"/>
        <v/>
      </c>
      <c r="C62" s="118" t="str">
        <f ca="1" t="shared" si="1"/>
        <v/>
      </c>
      <c r="D62" s="117" t="str">
        <f ca="1">幕间计算!AL34</f>
        <v/>
      </c>
      <c r="E62" s="117" t="str">
        <f ca="1">IF(D62="","",IF(幕间计算!AM34&gt;0,INDEX(DGArchive[变更前],幕间计算!AM34),INDEX(幕间计算!$C$2:$C$61,幕间计算!AK34)))</f>
        <v/>
      </c>
      <c r="F62" s="117" t="str">
        <f ca="1">IF(D62="","",IF(幕间计算!AM34&gt;0,INDEX(DGArchive[增减],幕间计算!AM34),IF(K62="可归档",MIN(J62,99-E62),"")))</f>
        <v/>
      </c>
      <c r="G62" s="117" t="str">
        <f ca="1" t="shared" si="2"/>
        <v/>
      </c>
      <c r="H62" s="117" t="str">
        <f ca="1">IF(D62="","",IF(幕间计算!AM34&gt;0,INDEX(DGArchive[事件／活动],幕间计算!AM34),"失败技能成长"&amp;IF(ISNUMBER(J62),"（1D4="&amp;J62&amp;"）","")))</f>
        <v/>
      </c>
      <c r="I62" s="117" t="str">
        <f ca="1">IF(AND(D62&lt;&gt;"",幕间计算!$AO$3=0),幕间计算!$AO$5&amp;"-成长-"&amp;D62,"")</f>
        <v/>
      </c>
      <c r="J62" s="106"/>
      <c r="K62" s="117" t="str">
        <f ca="1">IF(D62="","",IF(幕间计算!AM34&gt;0,"已归档",IF(AND(ISNUMBER(J62),J62&gt;=1,J62&lt;=4,MOD(J62,1)=0),"可归档","待填1D4")))</f>
        <v/>
      </c>
    </row>
    <row r="63" ht="25" customHeight="1" spans="1:11">
      <c r="A63" s="117" t="str">
        <f ca="1">IF(D63="","",幕间计算!$AO$5)</f>
        <v/>
      </c>
      <c r="B63" s="117" t="str">
        <f ca="1" t="shared" si="0"/>
        <v/>
      </c>
      <c r="C63" s="118" t="str">
        <f ca="1" t="shared" si="1"/>
        <v/>
      </c>
      <c r="D63" s="117" t="str">
        <f ca="1">幕间计算!AL35</f>
        <v/>
      </c>
      <c r="E63" s="117" t="str">
        <f ca="1">IF(D63="","",IF(幕间计算!AM35&gt;0,INDEX(DGArchive[变更前],幕间计算!AM35),INDEX(幕间计算!$C$2:$C$61,幕间计算!AK35)))</f>
        <v/>
      </c>
      <c r="F63" s="117" t="str">
        <f ca="1">IF(D63="","",IF(幕间计算!AM35&gt;0,INDEX(DGArchive[增减],幕间计算!AM35),IF(K63="可归档",MIN(J63,99-E63),"")))</f>
        <v/>
      </c>
      <c r="G63" s="117" t="str">
        <f ca="1" t="shared" si="2"/>
        <v/>
      </c>
      <c r="H63" s="117" t="str">
        <f ca="1">IF(D63="","",IF(幕间计算!AM35&gt;0,INDEX(DGArchive[事件／活动],幕间计算!AM35),"失败技能成长"&amp;IF(ISNUMBER(J63),"（1D4="&amp;J63&amp;"）","")))</f>
        <v/>
      </c>
      <c r="I63" s="117" t="str">
        <f ca="1">IF(AND(D63&lt;&gt;"",幕间计算!$AO$3=0),幕间计算!$AO$5&amp;"-成长-"&amp;D63,"")</f>
        <v/>
      </c>
      <c r="J63" s="106"/>
      <c r="K63" s="117" t="str">
        <f ca="1">IF(D63="","",IF(幕间计算!AM35&gt;0,"已归档",IF(AND(ISNUMBER(J63),J63&gt;=1,J63&lt;=4,MOD(J63,1)=0),"可归档","待填1D4")))</f>
        <v/>
      </c>
    </row>
    <row r="64" ht="25" customHeight="1" spans="1:11">
      <c r="A64" s="117" t="str">
        <f ca="1">IF(D64="","",幕间计算!$AO$5)</f>
        <v/>
      </c>
      <c r="B64" s="117" t="str">
        <f ca="1" t="shared" si="0"/>
        <v/>
      </c>
      <c r="C64" s="118" t="str">
        <f ca="1" t="shared" si="1"/>
        <v/>
      </c>
      <c r="D64" s="117" t="str">
        <f ca="1">幕间计算!AL36</f>
        <v/>
      </c>
      <c r="E64" s="117" t="str">
        <f ca="1">IF(D64="","",IF(幕间计算!AM36&gt;0,INDEX(DGArchive[变更前],幕间计算!AM36),INDEX(幕间计算!$C$2:$C$61,幕间计算!AK36)))</f>
        <v/>
      </c>
      <c r="F64" s="117" t="str">
        <f ca="1">IF(D64="","",IF(幕间计算!AM36&gt;0,INDEX(DGArchive[增减],幕间计算!AM36),IF(K64="可归档",MIN(J64,99-E64),"")))</f>
        <v/>
      </c>
      <c r="G64" s="117" t="str">
        <f ca="1" t="shared" si="2"/>
        <v/>
      </c>
      <c r="H64" s="117" t="str">
        <f ca="1">IF(D64="","",IF(幕间计算!AM36&gt;0,INDEX(DGArchive[事件／活动],幕间计算!AM36),"失败技能成长"&amp;IF(ISNUMBER(J64),"（1D4="&amp;J64&amp;"）","")))</f>
        <v/>
      </c>
      <c r="I64" s="117" t="str">
        <f ca="1">IF(AND(D64&lt;&gt;"",幕间计算!$AO$3=0),幕间计算!$AO$5&amp;"-成长-"&amp;D64,"")</f>
        <v/>
      </c>
      <c r="J64" s="106"/>
      <c r="K64" s="117" t="str">
        <f ca="1">IF(D64="","",IF(幕间计算!AM36&gt;0,"已归档",IF(AND(ISNUMBER(J64),J64&gt;=1,J64&lt;=4,MOD(J64,1)=0),"可归档","待填1D4")))</f>
        <v/>
      </c>
    </row>
    <row r="65" ht="25" customHeight="1" spans="1:11">
      <c r="A65" s="117" t="str">
        <f ca="1">IF(D65="","",幕间计算!$AO$5)</f>
        <v/>
      </c>
      <c r="B65" s="117" t="str">
        <f ca="1" t="shared" si="0"/>
        <v/>
      </c>
      <c r="C65" s="118" t="str">
        <f ca="1" t="shared" si="1"/>
        <v/>
      </c>
      <c r="D65" s="117" t="str">
        <f ca="1">幕间计算!AL37</f>
        <v/>
      </c>
      <c r="E65" s="117" t="str">
        <f ca="1">IF(D65="","",IF(幕间计算!AM37&gt;0,INDEX(DGArchive[变更前],幕间计算!AM37),INDEX(幕间计算!$C$2:$C$61,幕间计算!AK37)))</f>
        <v/>
      </c>
      <c r="F65" s="117" t="str">
        <f ca="1">IF(D65="","",IF(幕间计算!AM37&gt;0,INDEX(DGArchive[增减],幕间计算!AM37),IF(K65="可归档",MIN(J65,99-E65),"")))</f>
        <v/>
      </c>
      <c r="G65" s="117" t="str">
        <f ca="1" t="shared" si="2"/>
        <v/>
      </c>
      <c r="H65" s="117" t="str">
        <f ca="1">IF(D65="","",IF(幕间计算!AM37&gt;0,INDEX(DGArchive[事件／活动],幕间计算!AM37),"失败技能成长"&amp;IF(ISNUMBER(J65),"（1D4="&amp;J65&amp;"）","")))</f>
        <v/>
      </c>
      <c r="I65" s="117" t="str">
        <f ca="1">IF(AND(D65&lt;&gt;"",幕间计算!$AO$3=0),幕间计算!$AO$5&amp;"-成长-"&amp;D65,"")</f>
        <v/>
      </c>
      <c r="J65" s="106"/>
      <c r="K65" s="117" t="str">
        <f ca="1">IF(D65="","",IF(幕间计算!AM37&gt;0,"已归档",IF(AND(ISNUMBER(J65),J65&gt;=1,J65&lt;=4,MOD(J65,1)=0),"可归档","待填1D4")))</f>
        <v/>
      </c>
    </row>
    <row r="66" ht="25" customHeight="1" spans="1:11">
      <c r="A66" s="117" t="str">
        <f ca="1">IF(D66="","",幕间计算!$AO$5)</f>
        <v/>
      </c>
      <c r="B66" s="117" t="str">
        <f ca="1" t="shared" si="0"/>
        <v/>
      </c>
      <c r="C66" s="118" t="str">
        <f ca="1" t="shared" si="1"/>
        <v/>
      </c>
      <c r="D66" s="117" t="str">
        <f ca="1">幕间计算!AL38</f>
        <v/>
      </c>
      <c r="E66" s="117" t="str">
        <f ca="1">IF(D66="","",IF(幕间计算!AM38&gt;0,INDEX(DGArchive[变更前],幕间计算!AM38),INDEX(幕间计算!$C$2:$C$61,幕间计算!AK38)))</f>
        <v/>
      </c>
      <c r="F66" s="117" t="str">
        <f ca="1">IF(D66="","",IF(幕间计算!AM38&gt;0,INDEX(DGArchive[增减],幕间计算!AM38),IF(K66="可归档",MIN(J66,99-E66),"")))</f>
        <v/>
      </c>
      <c r="G66" s="117" t="str">
        <f ca="1" t="shared" si="2"/>
        <v/>
      </c>
      <c r="H66" s="117" t="str">
        <f ca="1">IF(D66="","",IF(幕间计算!AM38&gt;0,INDEX(DGArchive[事件／活动],幕间计算!AM38),"失败技能成长"&amp;IF(ISNUMBER(J66),"（1D4="&amp;J66&amp;"）","")))</f>
        <v/>
      </c>
      <c r="I66" s="117" t="str">
        <f ca="1">IF(AND(D66&lt;&gt;"",幕间计算!$AO$3=0),幕间计算!$AO$5&amp;"-成长-"&amp;D66,"")</f>
        <v/>
      </c>
      <c r="J66" s="106"/>
      <c r="K66" s="117" t="str">
        <f ca="1">IF(D66="","",IF(幕间计算!AM38&gt;0,"已归档",IF(AND(ISNUMBER(J66),J66&gt;=1,J66&lt;=4,MOD(J66,1)=0),"可归档","待填1D4")))</f>
        <v/>
      </c>
    </row>
    <row r="67" ht="25" customHeight="1" spans="1:11">
      <c r="A67" s="117" t="str">
        <f ca="1">IF(D67="","",幕间计算!$AO$5)</f>
        <v/>
      </c>
      <c r="B67" s="117" t="str">
        <f ca="1" t="shared" si="0"/>
        <v/>
      </c>
      <c r="C67" s="118" t="str">
        <f ca="1" t="shared" si="1"/>
        <v/>
      </c>
      <c r="D67" s="117" t="str">
        <f ca="1">幕间计算!AL39</f>
        <v/>
      </c>
      <c r="E67" s="117" t="str">
        <f ca="1">IF(D67="","",IF(幕间计算!AM39&gt;0,INDEX(DGArchive[变更前],幕间计算!AM39),INDEX(幕间计算!$C$2:$C$61,幕间计算!AK39)))</f>
        <v/>
      </c>
      <c r="F67" s="117" t="str">
        <f ca="1">IF(D67="","",IF(幕间计算!AM39&gt;0,INDEX(DGArchive[增减],幕间计算!AM39),IF(K67="可归档",MIN(J67,99-E67),"")))</f>
        <v/>
      </c>
      <c r="G67" s="117" t="str">
        <f ca="1" t="shared" si="2"/>
        <v/>
      </c>
      <c r="H67" s="117" t="str">
        <f ca="1">IF(D67="","",IF(幕间计算!AM39&gt;0,INDEX(DGArchive[事件／活动],幕间计算!AM39),"失败技能成长"&amp;IF(ISNUMBER(J67),"（1D4="&amp;J67&amp;"）","")))</f>
        <v/>
      </c>
      <c r="I67" s="117" t="str">
        <f ca="1">IF(AND(D67&lt;&gt;"",幕间计算!$AO$3=0),幕间计算!$AO$5&amp;"-成长-"&amp;D67,"")</f>
        <v/>
      </c>
      <c r="J67" s="106"/>
      <c r="K67" s="117" t="str">
        <f ca="1">IF(D67="","",IF(幕间计算!AM39&gt;0,"已归档",IF(AND(ISNUMBER(J67),J67&gt;=1,J67&lt;=4,MOD(J67,1)=0),"可归档","待填1D4")))</f>
        <v/>
      </c>
    </row>
    <row r="68" ht="25" customHeight="1" spans="1:11">
      <c r="A68" s="117" t="str">
        <f ca="1">IF(D68="","",幕间计算!$AO$5)</f>
        <v/>
      </c>
      <c r="B68" s="117" t="str">
        <f ca="1" t="shared" si="0"/>
        <v/>
      </c>
      <c r="C68" s="118" t="str">
        <f ca="1" t="shared" si="1"/>
        <v/>
      </c>
      <c r="D68" s="117" t="str">
        <f ca="1">幕间计算!AL40</f>
        <v/>
      </c>
      <c r="E68" s="117" t="str">
        <f ca="1">IF(D68="","",IF(幕间计算!AM40&gt;0,INDEX(DGArchive[变更前],幕间计算!AM40),INDEX(幕间计算!$C$2:$C$61,幕间计算!AK40)))</f>
        <v/>
      </c>
      <c r="F68" s="117" t="str">
        <f ca="1">IF(D68="","",IF(幕间计算!AM40&gt;0,INDEX(DGArchive[增减],幕间计算!AM40),IF(K68="可归档",MIN(J68,99-E68),"")))</f>
        <v/>
      </c>
      <c r="G68" s="117" t="str">
        <f ca="1" t="shared" si="2"/>
        <v/>
      </c>
      <c r="H68" s="117" t="str">
        <f ca="1">IF(D68="","",IF(幕间计算!AM40&gt;0,INDEX(DGArchive[事件／活动],幕间计算!AM40),"失败技能成长"&amp;IF(ISNUMBER(J68),"（1D4="&amp;J68&amp;"）","")))</f>
        <v/>
      </c>
      <c r="I68" s="117" t="str">
        <f ca="1">IF(AND(D68&lt;&gt;"",幕间计算!$AO$3=0),幕间计算!$AO$5&amp;"-成长-"&amp;D68,"")</f>
        <v/>
      </c>
      <c r="J68" s="106"/>
      <c r="K68" s="117" t="str">
        <f ca="1">IF(D68="","",IF(幕间计算!AM40&gt;0,"已归档",IF(AND(ISNUMBER(J68),J68&gt;=1,J68&lt;=4,MOD(J68,1)=0),"可归档","待填1D4")))</f>
        <v/>
      </c>
    </row>
    <row r="69" ht="25" customHeight="1" spans="1:11">
      <c r="A69" s="117" t="str">
        <f ca="1">IF(D69="","",幕间计算!$AO$5)</f>
        <v/>
      </c>
      <c r="B69" s="117" t="str">
        <f ca="1" t="shared" si="0"/>
        <v/>
      </c>
      <c r="C69" s="118" t="str">
        <f ca="1" t="shared" si="1"/>
        <v/>
      </c>
      <c r="D69" s="117" t="str">
        <f ca="1">幕间计算!AL41</f>
        <v/>
      </c>
      <c r="E69" s="117" t="str">
        <f ca="1">IF(D69="","",IF(幕间计算!AM41&gt;0,INDEX(DGArchive[变更前],幕间计算!AM41),INDEX(幕间计算!$C$2:$C$61,幕间计算!AK41)))</f>
        <v/>
      </c>
      <c r="F69" s="117" t="str">
        <f ca="1">IF(D69="","",IF(幕间计算!AM41&gt;0,INDEX(DGArchive[增减],幕间计算!AM41),IF(K69="可归档",MIN(J69,99-E69),"")))</f>
        <v/>
      </c>
      <c r="G69" s="117" t="str">
        <f ca="1" t="shared" si="2"/>
        <v/>
      </c>
      <c r="H69" s="117" t="str">
        <f ca="1">IF(D69="","",IF(幕间计算!AM41&gt;0,INDEX(DGArchive[事件／活动],幕间计算!AM41),"失败技能成长"&amp;IF(ISNUMBER(J69),"（1D4="&amp;J69&amp;"）","")))</f>
        <v/>
      </c>
      <c r="I69" s="117" t="str">
        <f ca="1">IF(AND(D69&lt;&gt;"",幕间计算!$AO$3=0),幕间计算!$AO$5&amp;"-成长-"&amp;D69,"")</f>
        <v/>
      </c>
      <c r="J69" s="106"/>
      <c r="K69" s="117" t="str">
        <f ca="1">IF(D69="","",IF(幕间计算!AM41&gt;0,"已归档",IF(AND(ISNUMBER(J69),J69&gt;=1,J69&lt;=4,MOD(J69,1)=0),"可归档","待填1D4")))</f>
        <v/>
      </c>
    </row>
    <row r="70" ht="25" customHeight="1" spans="1:11">
      <c r="A70" s="117" t="str">
        <f ca="1">IF(D70="","",幕间计算!$AO$5)</f>
        <v/>
      </c>
      <c r="B70" s="117" t="str">
        <f ca="1" t="shared" si="0"/>
        <v/>
      </c>
      <c r="C70" s="118" t="str">
        <f ca="1" t="shared" si="1"/>
        <v/>
      </c>
      <c r="D70" s="117" t="str">
        <f ca="1">幕间计算!AL42</f>
        <v/>
      </c>
      <c r="E70" s="117" t="str">
        <f ca="1">IF(D70="","",IF(幕间计算!AM42&gt;0,INDEX(DGArchive[变更前],幕间计算!AM42),INDEX(幕间计算!$C$2:$C$61,幕间计算!AK42)))</f>
        <v/>
      </c>
      <c r="F70" s="117" t="str">
        <f ca="1">IF(D70="","",IF(幕间计算!AM42&gt;0,INDEX(DGArchive[增减],幕间计算!AM42),IF(K70="可归档",MIN(J70,99-E70),"")))</f>
        <v/>
      </c>
      <c r="G70" s="117" t="str">
        <f ca="1" t="shared" si="2"/>
        <v/>
      </c>
      <c r="H70" s="117" t="str">
        <f ca="1">IF(D70="","",IF(幕间计算!AM42&gt;0,INDEX(DGArchive[事件／活动],幕间计算!AM42),"失败技能成长"&amp;IF(ISNUMBER(J70),"（1D4="&amp;J70&amp;"）","")))</f>
        <v/>
      </c>
      <c r="I70" s="117" t="str">
        <f ca="1">IF(AND(D70&lt;&gt;"",幕间计算!$AO$3=0),幕间计算!$AO$5&amp;"-成长-"&amp;D70,"")</f>
        <v/>
      </c>
      <c r="J70" s="106"/>
      <c r="K70" s="117" t="str">
        <f ca="1">IF(D70="","",IF(幕间计算!AM42&gt;0,"已归档",IF(AND(ISNUMBER(J70),J70&gt;=1,J70&lt;=4,MOD(J70,1)=0),"可归档","待填1D4")))</f>
        <v/>
      </c>
    </row>
    <row r="71" ht="25" customHeight="1" spans="1:11">
      <c r="A71" s="117" t="str">
        <f ca="1">IF(D71="","",幕间计算!$AO$5)</f>
        <v/>
      </c>
      <c r="B71" s="117" t="str">
        <f ca="1" t="shared" si="0"/>
        <v/>
      </c>
      <c r="C71" s="118" t="str">
        <f ca="1" t="shared" si="1"/>
        <v/>
      </c>
      <c r="D71" s="117" t="str">
        <f ca="1">幕间计算!AL43</f>
        <v/>
      </c>
      <c r="E71" s="117" t="str">
        <f ca="1">IF(D71="","",IF(幕间计算!AM43&gt;0,INDEX(DGArchive[变更前],幕间计算!AM43),INDEX(幕间计算!$C$2:$C$61,幕间计算!AK43)))</f>
        <v/>
      </c>
      <c r="F71" s="117" t="str">
        <f ca="1">IF(D71="","",IF(幕间计算!AM43&gt;0,INDEX(DGArchive[增减],幕间计算!AM43),IF(K71="可归档",MIN(J71,99-E71),"")))</f>
        <v/>
      </c>
      <c r="G71" s="117" t="str">
        <f ca="1" t="shared" si="2"/>
        <v/>
      </c>
      <c r="H71" s="117" t="str">
        <f ca="1">IF(D71="","",IF(幕间计算!AM43&gt;0,INDEX(DGArchive[事件／活动],幕间计算!AM43),"失败技能成长"&amp;IF(ISNUMBER(J71),"（1D4="&amp;J71&amp;"）","")))</f>
        <v/>
      </c>
      <c r="I71" s="117" t="str">
        <f ca="1">IF(AND(D71&lt;&gt;"",幕间计算!$AO$3=0),幕间计算!$AO$5&amp;"-成长-"&amp;D71,"")</f>
        <v/>
      </c>
      <c r="J71" s="106"/>
      <c r="K71" s="117" t="str">
        <f ca="1">IF(D71="","",IF(幕间计算!AM43&gt;0,"已归档",IF(AND(ISNUMBER(J71),J71&gt;=1,J71&lt;=4,MOD(J71,1)=0),"可归档","待填1D4")))</f>
        <v/>
      </c>
    </row>
    <row r="72" ht="25" customHeight="1" spans="1:11">
      <c r="A72" s="117" t="str">
        <f ca="1">IF(D72="","",幕间计算!$AO$5)</f>
        <v/>
      </c>
      <c r="B72" s="117" t="str">
        <f ca="1" t="shared" si="0"/>
        <v/>
      </c>
      <c r="C72" s="118" t="str">
        <f ca="1" t="shared" si="1"/>
        <v/>
      </c>
      <c r="D72" s="117" t="str">
        <f ca="1">幕间计算!AL44</f>
        <v/>
      </c>
      <c r="E72" s="117" t="str">
        <f ca="1">IF(D72="","",IF(幕间计算!AM44&gt;0,INDEX(DGArchive[变更前],幕间计算!AM44),INDEX(幕间计算!$C$2:$C$61,幕间计算!AK44)))</f>
        <v/>
      </c>
      <c r="F72" s="117" t="str">
        <f ca="1">IF(D72="","",IF(幕间计算!AM44&gt;0,INDEX(DGArchive[增减],幕间计算!AM44),IF(K72="可归档",MIN(J72,99-E72),"")))</f>
        <v/>
      </c>
      <c r="G72" s="117" t="str">
        <f ca="1" t="shared" si="2"/>
        <v/>
      </c>
      <c r="H72" s="117" t="str">
        <f ca="1">IF(D72="","",IF(幕间计算!AM44&gt;0,INDEX(DGArchive[事件／活动],幕间计算!AM44),"失败技能成长"&amp;IF(ISNUMBER(J72),"（1D4="&amp;J72&amp;"）","")))</f>
        <v/>
      </c>
      <c r="I72" s="117" t="str">
        <f ca="1">IF(AND(D72&lt;&gt;"",幕间计算!$AO$3=0),幕间计算!$AO$5&amp;"-成长-"&amp;D72,"")</f>
        <v/>
      </c>
      <c r="J72" s="106"/>
      <c r="K72" s="117" t="str">
        <f ca="1">IF(D72="","",IF(幕间计算!AM44&gt;0,"已归档",IF(AND(ISNUMBER(J72),J72&gt;=1,J72&lt;=4,MOD(J72,1)=0),"可归档","待填1D4")))</f>
        <v/>
      </c>
    </row>
    <row r="73" ht="25" customHeight="1" spans="1:11">
      <c r="A73" s="117" t="str">
        <f ca="1">IF(D73="","",幕间计算!$AO$5)</f>
        <v/>
      </c>
      <c r="B73" s="117" t="str">
        <f ca="1" t="shared" si="0"/>
        <v/>
      </c>
      <c r="C73" s="118" t="str">
        <f ca="1" t="shared" si="1"/>
        <v/>
      </c>
      <c r="D73" s="117" t="str">
        <f ca="1">幕间计算!AL45</f>
        <v/>
      </c>
      <c r="E73" s="117" t="str">
        <f ca="1">IF(D73="","",IF(幕间计算!AM45&gt;0,INDEX(DGArchive[变更前],幕间计算!AM45),INDEX(幕间计算!$C$2:$C$61,幕间计算!AK45)))</f>
        <v/>
      </c>
      <c r="F73" s="117" t="str">
        <f ca="1">IF(D73="","",IF(幕间计算!AM45&gt;0,INDEX(DGArchive[增减],幕间计算!AM45),IF(K73="可归档",MIN(J73,99-E73),"")))</f>
        <v/>
      </c>
      <c r="G73" s="117" t="str">
        <f ca="1" t="shared" si="2"/>
        <v/>
      </c>
      <c r="H73" s="117" t="str">
        <f ca="1">IF(D73="","",IF(幕间计算!AM45&gt;0,INDEX(DGArchive[事件／活动],幕间计算!AM45),"失败技能成长"&amp;IF(ISNUMBER(J73),"（1D4="&amp;J73&amp;"）","")))</f>
        <v/>
      </c>
      <c r="I73" s="117" t="str">
        <f ca="1">IF(AND(D73&lt;&gt;"",幕间计算!$AO$3=0),幕间计算!$AO$5&amp;"-成长-"&amp;D73,"")</f>
        <v/>
      </c>
      <c r="J73" s="106"/>
      <c r="K73" s="117" t="str">
        <f ca="1">IF(D73="","",IF(幕间计算!AM45&gt;0,"已归档",IF(AND(ISNUMBER(J73),J73&gt;=1,J73&lt;=4,MOD(J73,1)=0),"可归档","待填1D4")))</f>
        <v/>
      </c>
    </row>
    <row r="74" ht="25" customHeight="1" spans="1:11">
      <c r="A74" s="117" t="str">
        <f ca="1">IF(D74="","",幕间计算!$AO$5)</f>
        <v/>
      </c>
      <c r="B74" s="117" t="str">
        <f ca="1" t="shared" si="0"/>
        <v/>
      </c>
      <c r="C74" s="118" t="str">
        <f ca="1" t="shared" si="1"/>
        <v/>
      </c>
      <c r="D74" s="117" t="str">
        <f ca="1">幕间计算!AL46</f>
        <v/>
      </c>
      <c r="E74" s="117" t="str">
        <f ca="1">IF(D74="","",IF(幕间计算!AM46&gt;0,INDEX(DGArchive[变更前],幕间计算!AM46),INDEX(幕间计算!$C$2:$C$61,幕间计算!AK46)))</f>
        <v/>
      </c>
      <c r="F74" s="117" t="str">
        <f ca="1">IF(D74="","",IF(幕间计算!AM46&gt;0,INDEX(DGArchive[增减],幕间计算!AM46),IF(K74="可归档",MIN(J74,99-E74),"")))</f>
        <v/>
      </c>
      <c r="G74" s="117" t="str">
        <f ca="1" t="shared" si="2"/>
        <v/>
      </c>
      <c r="H74" s="117" t="str">
        <f ca="1">IF(D74="","",IF(幕间计算!AM46&gt;0,INDEX(DGArchive[事件／活动],幕间计算!AM46),"失败技能成长"&amp;IF(ISNUMBER(J74),"（1D4="&amp;J74&amp;"）","")))</f>
        <v/>
      </c>
      <c r="I74" s="117" t="str">
        <f ca="1">IF(AND(D74&lt;&gt;"",幕间计算!$AO$3=0),幕间计算!$AO$5&amp;"-成长-"&amp;D74,"")</f>
        <v/>
      </c>
      <c r="J74" s="106"/>
      <c r="K74" s="117" t="str">
        <f ca="1">IF(D74="","",IF(幕间计算!AM46&gt;0,"已归档",IF(AND(ISNUMBER(J74),J74&gt;=1,J74&lt;=4,MOD(J74,1)=0),"可归档","待填1D4")))</f>
        <v/>
      </c>
    </row>
    <row r="75" ht="25" customHeight="1" spans="1:11">
      <c r="A75" s="117" t="str">
        <f ca="1">IF(D75="","",幕间计算!$AO$5)</f>
        <v/>
      </c>
      <c r="B75" s="117" t="str">
        <f ca="1" t="shared" si="0"/>
        <v/>
      </c>
      <c r="C75" s="118" t="str">
        <f ca="1" t="shared" si="1"/>
        <v/>
      </c>
      <c r="D75" s="117" t="str">
        <f ca="1">幕间计算!AL47</f>
        <v/>
      </c>
      <c r="E75" s="117" t="str">
        <f ca="1">IF(D75="","",IF(幕间计算!AM47&gt;0,INDEX(DGArchive[变更前],幕间计算!AM47),INDEX(幕间计算!$C$2:$C$61,幕间计算!AK47)))</f>
        <v/>
      </c>
      <c r="F75" s="117" t="str">
        <f ca="1">IF(D75="","",IF(幕间计算!AM47&gt;0,INDEX(DGArchive[增减],幕间计算!AM47),IF(K75="可归档",MIN(J75,99-E75),"")))</f>
        <v/>
      </c>
      <c r="G75" s="117" t="str">
        <f ca="1" t="shared" si="2"/>
        <v/>
      </c>
      <c r="H75" s="117" t="str">
        <f ca="1">IF(D75="","",IF(幕间计算!AM47&gt;0,INDEX(DGArchive[事件／活动],幕间计算!AM47),"失败技能成长"&amp;IF(ISNUMBER(J75),"（1D4="&amp;J75&amp;"）","")))</f>
        <v/>
      </c>
      <c r="I75" s="117" t="str">
        <f ca="1">IF(AND(D75&lt;&gt;"",幕间计算!$AO$3=0),幕间计算!$AO$5&amp;"-成长-"&amp;D75,"")</f>
        <v/>
      </c>
      <c r="J75" s="106"/>
      <c r="K75" s="117" t="str">
        <f ca="1">IF(D75="","",IF(幕间计算!AM47&gt;0,"已归档",IF(AND(ISNUMBER(J75),J75&gt;=1,J75&lt;=4,MOD(J75,1)=0),"可归档","待填1D4")))</f>
        <v/>
      </c>
    </row>
    <row r="76" ht="25" customHeight="1" spans="1:11">
      <c r="A76" s="117" t="str">
        <f ca="1">IF(D76="","",幕间计算!$AO$5)</f>
        <v/>
      </c>
      <c r="B76" s="117" t="str">
        <f ca="1" t="shared" si="0"/>
        <v/>
      </c>
      <c r="C76" s="118" t="str">
        <f ca="1" t="shared" si="1"/>
        <v/>
      </c>
      <c r="D76" s="117" t="str">
        <f ca="1">幕间计算!AL48</f>
        <v/>
      </c>
      <c r="E76" s="117" t="str">
        <f ca="1">IF(D76="","",IF(幕间计算!AM48&gt;0,INDEX(DGArchive[变更前],幕间计算!AM48),INDEX(幕间计算!$C$2:$C$61,幕间计算!AK48)))</f>
        <v/>
      </c>
      <c r="F76" s="117" t="str">
        <f ca="1">IF(D76="","",IF(幕间计算!AM48&gt;0,INDEX(DGArchive[增减],幕间计算!AM48),IF(K76="可归档",MIN(J76,99-E76),"")))</f>
        <v/>
      </c>
      <c r="G76" s="117" t="str">
        <f ca="1" t="shared" si="2"/>
        <v/>
      </c>
      <c r="H76" s="117" t="str">
        <f ca="1">IF(D76="","",IF(幕间计算!AM48&gt;0,INDEX(DGArchive[事件／活动],幕间计算!AM48),"失败技能成长"&amp;IF(ISNUMBER(J76),"（1D4="&amp;J76&amp;"）","")))</f>
        <v/>
      </c>
      <c r="I76" s="117" t="str">
        <f ca="1">IF(AND(D76&lt;&gt;"",幕间计算!$AO$3=0),幕间计算!$AO$5&amp;"-成长-"&amp;D76,"")</f>
        <v/>
      </c>
      <c r="J76" s="106"/>
      <c r="K76" s="117" t="str">
        <f ca="1">IF(D76="","",IF(幕间计算!AM48&gt;0,"已归档",IF(AND(ISNUMBER(J76),J76&gt;=1,J76&lt;=4,MOD(J76,1)=0),"可归档","待填1D4")))</f>
        <v/>
      </c>
    </row>
    <row r="77" ht="25" customHeight="1" spans="1:11">
      <c r="A77" s="117" t="str">
        <f ca="1">IF(D77="","",幕间计算!$AO$5)</f>
        <v/>
      </c>
      <c r="B77" s="117" t="str">
        <f ca="1" t="shared" si="0"/>
        <v/>
      </c>
      <c r="C77" s="118" t="str">
        <f ca="1" t="shared" si="1"/>
        <v/>
      </c>
      <c r="D77" s="117" t="str">
        <f ca="1">幕间计算!AL49</f>
        <v/>
      </c>
      <c r="E77" s="117" t="str">
        <f ca="1">IF(D77="","",IF(幕间计算!AM49&gt;0,INDEX(DGArchive[变更前],幕间计算!AM49),INDEX(幕间计算!$C$2:$C$61,幕间计算!AK49)))</f>
        <v/>
      </c>
      <c r="F77" s="117" t="str">
        <f ca="1">IF(D77="","",IF(幕间计算!AM49&gt;0,INDEX(DGArchive[增减],幕间计算!AM49),IF(K77="可归档",MIN(J77,99-E77),"")))</f>
        <v/>
      </c>
      <c r="G77" s="117" t="str">
        <f ca="1" t="shared" si="2"/>
        <v/>
      </c>
      <c r="H77" s="117" t="str">
        <f ca="1">IF(D77="","",IF(幕间计算!AM49&gt;0,INDEX(DGArchive[事件／活动],幕间计算!AM49),"失败技能成长"&amp;IF(ISNUMBER(J77),"（1D4="&amp;J77&amp;"）","")))</f>
        <v/>
      </c>
      <c r="I77" s="117" t="str">
        <f ca="1">IF(AND(D77&lt;&gt;"",幕间计算!$AO$3=0),幕间计算!$AO$5&amp;"-成长-"&amp;D77,"")</f>
        <v/>
      </c>
      <c r="J77" s="106"/>
      <c r="K77" s="117" t="str">
        <f ca="1">IF(D77="","",IF(幕间计算!AM49&gt;0,"已归档",IF(AND(ISNUMBER(J77),J77&gt;=1,J77&lt;=4,MOD(J77,1)=0),"可归档","待填1D4")))</f>
        <v/>
      </c>
    </row>
    <row r="78" ht="25" customHeight="1" spans="1:11">
      <c r="A78" s="117" t="str">
        <f ca="1">IF(D78="","",幕间计算!$AO$5)</f>
        <v/>
      </c>
      <c r="B78" s="117" t="str">
        <f ca="1" t="shared" si="0"/>
        <v/>
      </c>
      <c r="C78" s="118" t="str">
        <f ca="1" t="shared" si="1"/>
        <v/>
      </c>
      <c r="D78" s="117" t="str">
        <f ca="1">幕间计算!AL50</f>
        <v/>
      </c>
      <c r="E78" s="117" t="str">
        <f ca="1">IF(D78="","",IF(幕间计算!AM50&gt;0,INDEX(DGArchive[变更前],幕间计算!AM50),INDEX(幕间计算!$C$2:$C$61,幕间计算!AK50)))</f>
        <v/>
      </c>
      <c r="F78" s="117" t="str">
        <f ca="1">IF(D78="","",IF(幕间计算!AM50&gt;0,INDEX(DGArchive[增减],幕间计算!AM50),IF(K78="可归档",MIN(J78,99-E78),"")))</f>
        <v/>
      </c>
      <c r="G78" s="117" t="str">
        <f ca="1" t="shared" si="2"/>
        <v/>
      </c>
      <c r="H78" s="117" t="str">
        <f ca="1">IF(D78="","",IF(幕间计算!AM50&gt;0,INDEX(DGArchive[事件／活动],幕间计算!AM50),"失败技能成长"&amp;IF(ISNUMBER(J78),"（1D4="&amp;J78&amp;"）","")))</f>
        <v/>
      </c>
      <c r="I78" s="117" t="str">
        <f ca="1">IF(AND(D78&lt;&gt;"",幕间计算!$AO$3=0),幕间计算!$AO$5&amp;"-成长-"&amp;D78,"")</f>
        <v/>
      </c>
      <c r="J78" s="106"/>
      <c r="K78" s="117" t="str">
        <f ca="1">IF(D78="","",IF(幕间计算!AM50&gt;0,"已归档",IF(AND(ISNUMBER(J78),J78&gt;=1,J78&lt;=4,MOD(J78,1)=0),"可归档","待填1D4")))</f>
        <v/>
      </c>
    </row>
    <row r="79" ht="25" customHeight="1" spans="1:11">
      <c r="A79" s="117" t="str">
        <f ca="1">IF(D79="","",幕间计算!$AO$5)</f>
        <v/>
      </c>
      <c r="B79" s="117" t="str">
        <f ca="1" t="shared" si="0"/>
        <v/>
      </c>
      <c r="C79" s="118" t="str">
        <f ca="1" t="shared" si="1"/>
        <v/>
      </c>
      <c r="D79" s="117" t="str">
        <f ca="1">幕间计算!AL51</f>
        <v/>
      </c>
      <c r="E79" s="117" t="str">
        <f ca="1">IF(D79="","",IF(幕间计算!AM51&gt;0,INDEX(DGArchive[变更前],幕间计算!AM51),INDEX(幕间计算!$C$2:$C$61,幕间计算!AK51)))</f>
        <v/>
      </c>
      <c r="F79" s="117" t="str">
        <f ca="1">IF(D79="","",IF(幕间计算!AM51&gt;0,INDEX(DGArchive[增减],幕间计算!AM51),IF(K79="可归档",MIN(J79,99-E79),"")))</f>
        <v/>
      </c>
      <c r="G79" s="117" t="str">
        <f ca="1" t="shared" si="2"/>
        <v/>
      </c>
      <c r="H79" s="117" t="str">
        <f ca="1">IF(D79="","",IF(幕间计算!AM51&gt;0,INDEX(DGArchive[事件／活动],幕间计算!AM51),"失败技能成长"&amp;IF(ISNUMBER(J79),"（1D4="&amp;J79&amp;"）","")))</f>
        <v/>
      </c>
      <c r="I79" s="117" t="str">
        <f ca="1">IF(AND(D79&lt;&gt;"",幕间计算!$AO$3=0),幕间计算!$AO$5&amp;"-成长-"&amp;D79,"")</f>
        <v/>
      </c>
      <c r="J79" s="106"/>
      <c r="K79" s="117" t="str">
        <f ca="1">IF(D79="","",IF(幕间计算!AM51&gt;0,"已归档",IF(AND(ISNUMBER(J79),J79&gt;=1,J79&lt;=4,MOD(J79,1)=0),"可归档","待填1D4")))</f>
        <v/>
      </c>
    </row>
    <row r="80" ht="25" customHeight="1" spans="1:11">
      <c r="A80" s="117" t="str">
        <f ca="1">IF(D80="","",幕间计算!$AO$5)</f>
        <v/>
      </c>
      <c r="B80" s="117" t="str">
        <f ca="1" t="shared" si="0"/>
        <v/>
      </c>
      <c r="C80" s="118" t="str">
        <f ca="1" t="shared" si="1"/>
        <v/>
      </c>
      <c r="D80" s="117" t="str">
        <f ca="1">幕间计算!AL52</f>
        <v/>
      </c>
      <c r="E80" s="117" t="str">
        <f ca="1">IF(D80="","",IF(幕间计算!AM52&gt;0,INDEX(DGArchive[变更前],幕间计算!AM52),INDEX(幕间计算!$C$2:$C$61,幕间计算!AK52)))</f>
        <v/>
      </c>
      <c r="F80" s="117" t="str">
        <f ca="1">IF(D80="","",IF(幕间计算!AM52&gt;0,INDEX(DGArchive[增减],幕间计算!AM52),IF(K80="可归档",MIN(J80,99-E80),"")))</f>
        <v/>
      </c>
      <c r="G80" s="117" t="str">
        <f ca="1" t="shared" si="2"/>
        <v/>
      </c>
      <c r="H80" s="117" t="str">
        <f ca="1">IF(D80="","",IF(幕间计算!AM52&gt;0,INDEX(DGArchive[事件／活动],幕间计算!AM52),"失败技能成长"&amp;IF(ISNUMBER(J80),"（1D4="&amp;J80&amp;"）","")))</f>
        <v/>
      </c>
      <c r="I80" s="117" t="str">
        <f ca="1">IF(AND(D80&lt;&gt;"",幕间计算!$AO$3=0),幕间计算!$AO$5&amp;"-成长-"&amp;D80,"")</f>
        <v/>
      </c>
      <c r="J80" s="106"/>
      <c r="K80" s="117" t="str">
        <f ca="1">IF(D80="","",IF(幕间计算!AM52&gt;0,"已归档",IF(AND(ISNUMBER(J80),J80&gt;=1,J80&lt;=4,MOD(J80,1)=0),"可归档","待填1D4")))</f>
        <v/>
      </c>
    </row>
    <row r="81" ht="25" customHeight="1" spans="1:11">
      <c r="A81" s="117" t="str">
        <f ca="1">IF(D81="","",幕间计算!$AO$5)</f>
        <v/>
      </c>
      <c r="B81" s="117" t="str">
        <f ca="1" t="shared" si="0"/>
        <v/>
      </c>
      <c r="C81" s="118" t="str">
        <f ca="1" t="shared" si="1"/>
        <v/>
      </c>
      <c r="D81" s="117" t="str">
        <f ca="1">幕间计算!AL53</f>
        <v/>
      </c>
      <c r="E81" s="117" t="str">
        <f ca="1">IF(D81="","",IF(幕间计算!AM53&gt;0,INDEX(DGArchive[变更前],幕间计算!AM53),INDEX(幕间计算!$C$2:$C$61,幕间计算!AK53)))</f>
        <v/>
      </c>
      <c r="F81" s="117" t="str">
        <f ca="1">IF(D81="","",IF(幕间计算!AM53&gt;0,INDEX(DGArchive[增减],幕间计算!AM53),IF(K81="可归档",MIN(J81,99-E81),"")))</f>
        <v/>
      </c>
      <c r="G81" s="117" t="str">
        <f ca="1" t="shared" si="2"/>
        <v/>
      </c>
      <c r="H81" s="117" t="str">
        <f ca="1">IF(D81="","",IF(幕间计算!AM53&gt;0,INDEX(DGArchive[事件／活动],幕间计算!AM53),"失败技能成长"&amp;IF(ISNUMBER(J81),"（1D4="&amp;J81&amp;"）","")))</f>
        <v/>
      </c>
      <c r="I81" s="117" t="str">
        <f ca="1">IF(AND(D81&lt;&gt;"",幕间计算!$AO$3=0),幕间计算!$AO$5&amp;"-成长-"&amp;D81,"")</f>
        <v/>
      </c>
      <c r="J81" s="106"/>
      <c r="K81" s="117" t="str">
        <f ca="1">IF(D81="","",IF(幕间计算!AM53&gt;0,"已归档",IF(AND(ISNUMBER(J81),J81&gt;=1,J81&lt;=4,MOD(J81,1)=0),"可归档","待填1D4")))</f>
        <v/>
      </c>
    </row>
    <row r="82" ht="25" customHeight="1" spans="1:11">
      <c r="A82" s="117" t="str">
        <f ca="1">IF(D82="","",幕间计算!$AO$5)</f>
        <v/>
      </c>
      <c r="B82" s="117" t="str">
        <f ca="1" t="shared" si="0"/>
        <v/>
      </c>
      <c r="C82" s="118" t="str">
        <f ca="1" t="shared" si="1"/>
        <v/>
      </c>
      <c r="D82" s="117" t="str">
        <f ca="1">幕间计算!AL54</f>
        <v/>
      </c>
      <c r="E82" s="117" t="str">
        <f ca="1">IF(D82="","",IF(幕间计算!AM54&gt;0,INDEX(DGArchive[变更前],幕间计算!AM54),INDEX(幕间计算!$C$2:$C$61,幕间计算!AK54)))</f>
        <v/>
      </c>
      <c r="F82" s="117" t="str">
        <f ca="1">IF(D82="","",IF(幕间计算!AM54&gt;0,INDEX(DGArchive[增减],幕间计算!AM54),IF(K82="可归档",MIN(J82,99-E82),"")))</f>
        <v/>
      </c>
      <c r="G82" s="117" t="str">
        <f ca="1" t="shared" si="2"/>
        <v/>
      </c>
      <c r="H82" s="117" t="str">
        <f ca="1">IF(D82="","",IF(幕间计算!AM54&gt;0,INDEX(DGArchive[事件／活动],幕间计算!AM54),"失败技能成长"&amp;IF(ISNUMBER(J82),"（1D4="&amp;J82&amp;"）","")))</f>
        <v/>
      </c>
      <c r="I82" s="117" t="str">
        <f ca="1">IF(AND(D82&lt;&gt;"",幕间计算!$AO$3=0),幕间计算!$AO$5&amp;"-成长-"&amp;D82,"")</f>
        <v/>
      </c>
      <c r="J82" s="106"/>
      <c r="K82" s="117" t="str">
        <f ca="1">IF(D82="","",IF(幕间计算!AM54&gt;0,"已归档",IF(AND(ISNUMBER(J82),J82&gt;=1,J82&lt;=4,MOD(J82,1)=0),"可归档","待填1D4")))</f>
        <v/>
      </c>
    </row>
    <row r="83" ht="25" customHeight="1" spans="1:11">
      <c r="A83" s="117" t="str">
        <f ca="1">IF(D83="","",幕间计算!$AO$5)</f>
        <v/>
      </c>
      <c r="B83" s="117" t="str">
        <f ca="1" t="shared" si="0"/>
        <v/>
      </c>
      <c r="C83" s="118" t="str">
        <f ca="1" t="shared" si="1"/>
        <v/>
      </c>
      <c r="D83" s="117" t="str">
        <f ca="1">幕间计算!AL55</f>
        <v/>
      </c>
      <c r="E83" s="117" t="str">
        <f ca="1">IF(D83="","",IF(幕间计算!AM55&gt;0,INDEX(DGArchive[变更前],幕间计算!AM55),INDEX(幕间计算!$C$2:$C$61,幕间计算!AK55)))</f>
        <v/>
      </c>
      <c r="F83" s="117" t="str">
        <f ca="1">IF(D83="","",IF(幕间计算!AM55&gt;0,INDEX(DGArchive[增减],幕间计算!AM55),IF(K83="可归档",MIN(J83,99-E83),"")))</f>
        <v/>
      </c>
      <c r="G83" s="117" t="str">
        <f ca="1" t="shared" si="2"/>
        <v/>
      </c>
      <c r="H83" s="117" t="str">
        <f ca="1">IF(D83="","",IF(幕间计算!AM55&gt;0,INDEX(DGArchive[事件／活动],幕间计算!AM55),"失败技能成长"&amp;IF(ISNUMBER(J83),"（1D4="&amp;J83&amp;"）","")))</f>
        <v/>
      </c>
      <c r="I83" s="117" t="str">
        <f ca="1">IF(AND(D83&lt;&gt;"",幕间计算!$AO$3=0),幕间计算!$AO$5&amp;"-成长-"&amp;D83,"")</f>
        <v/>
      </c>
      <c r="J83" s="106"/>
      <c r="K83" s="117" t="str">
        <f ca="1">IF(D83="","",IF(幕间计算!AM55&gt;0,"已归档",IF(AND(ISNUMBER(J83),J83&gt;=1,J83&lt;=4,MOD(J83,1)=0),"可归档","待填1D4")))</f>
        <v/>
      </c>
    </row>
    <row r="84" ht="25" customHeight="1" spans="1:11">
      <c r="A84" s="117" t="str">
        <f ca="1">IF(D84="","",幕间计算!$AO$5)</f>
        <v/>
      </c>
      <c r="B84" s="117" t="str">
        <f ca="1" t="shared" si="0"/>
        <v/>
      </c>
      <c r="C84" s="118" t="str">
        <f ca="1" t="shared" si="1"/>
        <v/>
      </c>
      <c r="D84" s="117" t="str">
        <f ca="1">幕间计算!AL56</f>
        <v/>
      </c>
      <c r="E84" s="117" t="str">
        <f ca="1">IF(D84="","",IF(幕间计算!AM56&gt;0,INDEX(DGArchive[变更前],幕间计算!AM56),INDEX(幕间计算!$C$2:$C$61,幕间计算!AK56)))</f>
        <v/>
      </c>
      <c r="F84" s="117" t="str">
        <f ca="1">IF(D84="","",IF(幕间计算!AM56&gt;0,INDEX(DGArchive[增减],幕间计算!AM56),IF(K84="可归档",MIN(J84,99-E84),"")))</f>
        <v/>
      </c>
      <c r="G84" s="117" t="str">
        <f ca="1" t="shared" si="2"/>
        <v/>
      </c>
      <c r="H84" s="117" t="str">
        <f ca="1">IF(D84="","",IF(幕间计算!AM56&gt;0,INDEX(DGArchive[事件／活动],幕间计算!AM56),"失败技能成长"&amp;IF(ISNUMBER(J84),"（1D4="&amp;J84&amp;"）","")))</f>
        <v/>
      </c>
      <c r="I84" s="117" t="str">
        <f ca="1">IF(AND(D84&lt;&gt;"",幕间计算!$AO$3=0),幕间计算!$AO$5&amp;"-成长-"&amp;D84,"")</f>
        <v/>
      </c>
      <c r="J84" s="106"/>
      <c r="K84" s="117" t="str">
        <f ca="1">IF(D84="","",IF(幕间计算!AM56&gt;0,"已归档",IF(AND(ISNUMBER(J84),J84&gt;=1,J84&lt;=4,MOD(J84,1)=0),"可归档","待填1D4")))</f>
        <v/>
      </c>
    </row>
    <row r="85" ht="25" customHeight="1" spans="1:11">
      <c r="A85" s="117" t="str">
        <f ca="1">IF(D85="","",幕间计算!$AO$5)</f>
        <v/>
      </c>
      <c r="B85" s="117" t="str">
        <f ca="1" t="shared" si="0"/>
        <v/>
      </c>
      <c r="C85" s="118" t="str">
        <f ca="1" t="shared" si="1"/>
        <v/>
      </c>
      <c r="D85" s="117" t="str">
        <f ca="1">幕间计算!AL57</f>
        <v/>
      </c>
      <c r="E85" s="117" t="str">
        <f ca="1">IF(D85="","",IF(幕间计算!AM57&gt;0,INDEX(DGArchive[变更前],幕间计算!AM57),INDEX(幕间计算!$C$2:$C$61,幕间计算!AK57)))</f>
        <v/>
      </c>
      <c r="F85" s="117" t="str">
        <f ca="1">IF(D85="","",IF(幕间计算!AM57&gt;0,INDEX(DGArchive[增减],幕间计算!AM57),IF(K85="可归档",MIN(J85,99-E85),"")))</f>
        <v/>
      </c>
      <c r="G85" s="117" t="str">
        <f ca="1" t="shared" si="2"/>
        <v/>
      </c>
      <c r="H85" s="117" t="str">
        <f ca="1">IF(D85="","",IF(幕间计算!AM57&gt;0,INDEX(DGArchive[事件／活动],幕间计算!AM57),"失败技能成长"&amp;IF(ISNUMBER(J85),"（1D4="&amp;J85&amp;"）","")))</f>
        <v/>
      </c>
      <c r="I85" s="117" t="str">
        <f ca="1">IF(AND(D85&lt;&gt;"",幕间计算!$AO$3=0),幕间计算!$AO$5&amp;"-成长-"&amp;D85,"")</f>
        <v/>
      </c>
      <c r="J85" s="106"/>
      <c r="K85" s="117" t="str">
        <f ca="1">IF(D85="","",IF(幕间计算!AM57&gt;0,"已归档",IF(AND(ISNUMBER(J85),J85&gt;=1,J85&lt;=4,MOD(J85,1)=0),"可归档","待填1D4")))</f>
        <v/>
      </c>
    </row>
    <row r="86" ht="25" customHeight="1" spans="1:11">
      <c r="A86" s="117" t="str">
        <f ca="1">IF(D86="","",幕间计算!$AO$5)</f>
        <v/>
      </c>
      <c r="B86" s="117" t="str">
        <f ca="1" t="shared" si="0"/>
        <v/>
      </c>
      <c r="C86" s="118" t="str">
        <f ca="1" t="shared" si="1"/>
        <v/>
      </c>
      <c r="D86" s="117" t="str">
        <f ca="1">幕间计算!AL58</f>
        <v/>
      </c>
      <c r="E86" s="117" t="str">
        <f ca="1">IF(D86="","",IF(幕间计算!AM58&gt;0,INDEX(DGArchive[变更前],幕间计算!AM58),INDEX(幕间计算!$C$2:$C$61,幕间计算!AK58)))</f>
        <v/>
      </c>
      <c r="F86" s="117" t="str">
        <f ca="1">IF(D86="","",IF(幕间计算!AM58&gt;0,INDEX(DGArchive[增减],幕间计算!AM58),IF(K86="可归档",MIN(J86,99-E86),"")))</f>
        <v/>
      </c>
      <c r="G86" s="117" t="str">
        <f ca="1" t="shared" si="2"/>
        <v/>
      </c>
      <c r="H86" s="117" t="str">
        <f ca="1">IF(D86="","",IF(幕间计算!AM58&gt;0,INDEX(DGArchive[事件／活动],幕间计算!AM58),"失败技能成长"&amp;IF(ISNUMBER(J86),"（1D4="&amp;J86&amp;"）","")))</f>
        <v/>
      </c>
      <c r="I86" s="117" t="str">
        <f ca="1">IF(AND(D86&lt;&gt;"",幕间计算!$AO$3=0),幕间计算!$AO$5&amp;"-成长-"&amp;D86,"")</f>
        <v/>
      </c>
      <c r="J86" s="106"/>
      <c r="K86" s="117" t="str">
        <f ca="1">IF(D86="","",IF(幕间计算!AM58&gt;0,"已归档",IF(AND(ISNUMBER(J86),J86&gt;=1,J86&lt;=4,MOD(J86,1)=0),"可归档","待填1D4")))</f>
        <v/>
      </c>
    </row>
    <row r="87" ht="25" customHeight="1" spans="1:11">
      <c r="A87" s="117" t="str">
        <f ca="1">IF(D87="","",幕间计算!$AO$5)</f>
        <v/>
      </c>
      <c r="B87" s="117" t="str">
        <f ca="1" t="shared" si="0"/>
        <v/>
      </c>
      <c r="C87" s="118" t="str">
        <f ca="1" t="shared" si="1"/>
        <v/>
      </c>
      <c r="D87" s="117" t="str">
        <f ca="1">幕间计算!AL59</f>
        <v/>
      </c>
      <c r="E87" s="117" t="str">
        <f ca="1">IF(D87="","",IF(幕间计算!AM59&gt;0,INDEX(DGArchive[变更前],幕间计算!AM59),INDEX(幕间计算!$C$2:$C$61,幕间计算!AK59)))</f>
        <v/>
      </c>
      <c r="F87" s="117" t="str">
        <f ca="1">IF(D87="","",IF(幕间计算!AM59&gt;0,INDEX(DGArchive[增减],幕间计算!AM59),IF(K87="可归档",MIN(J87,99-E87),"")))</f>
        <v/>
      </c>
      <c r="G87" s="117" t="str">
        <f ca="1" t="shared" si="2"/>
        <v/>
      </c>
      <c r="H87" s="117" t="str">
        <f ca="1">IF(D87="","",IF(幕间计算!AM59&gt;0,INDEX(DGArchive[事件／活动],幕间计算!AM59),"失败技能成长"&amp;IF(ISNUMBER(J87),"（1D4="&amp;J87&amp;"）","")))</f>
        <v/>
      </c>
      <c r="I87" s="117" t="str">
        <f ca="1">IF(AND(D87&lt;&gt;"",幕间计算!$AO$3=0),幕间计算!$AO$5&amp;"-成长-"&amp;D87,"")</f>
        <v/>
      </c>
      <c r="J87" s="106"/>
      <c r="K87" s="117" t="str">
        <f ca="1">IF(D87="","",IF(幕间计算!AM59&gt;0,"已归档",IF(AND(ISNUMBER(J87),J87&gt;=1,J87&lt;=4,MOD(J87,1)=0),"可归档","待填1D4")))</f>
        <v/>
      </c>
    </row>
    <row r="88" ht="25" customHeight="1" spans="1:11">
      <c r="A88" s="117" t="str">
        <f ca="1">IF(D88="","",幕间计算!$AO$5)</f>
        <v/>
      </c>
      <c r="B88" s="117" t="str">
        <f ca="1" t="shared" si="0"/>
        <v/>
      </c>
      <c r="C88" s="118" t="str">
        <f ca="1" t="shared" si="1"/>
        <v/>
      </c>
      <c r="D88" s="117" t="str">
        <f ca="1">幕间计算!AL60</f>
        <v/>
      </c>
      <c r="E88" s="117" t="str">
        <f ca="1">IF(D88="","",IF(幕间计算!AM60&gt;0,INDEX(DGArchive[变更前],幕间计算!AM60),INDEX(幕间计算!$C$2:$C$61,幕间计算!AK60)))</f>
        <v/>
      </c>
      <c r="F88" s="117" t="str">
        <f ca="1">IF(D88="","",IF(幕间计算!AM60&gt;0,INDEX(DGArchive[增减],幕间计算!AM60),IF(K88="可归档",MIN(J88,99-E88),"")))</f>
        <v/>
      </c>
      <c r="G88" s="117" t="str">
        <f ca="1" t="shared" si="2"/>
        <v/>
      </c>
      <c r="H88" s="117" t="str">
        <f ca="1">IF(D88="","",IF(幕间计算!AM60&gt;0,INDEX(DGArchive[事件／活动],幕间计算!AM60),"失败技能成长"&amp;IF(ISNUMBER(J88),"（1D4="&amp;J88&amp;"）","")))</f>
        <v/>
      </c>
      <c r="I88" s="117" t="str">
        <f ca="1">IF(AND(D88&lt;&gt;"",幕间计算!$AO$3=0),幕间计算!$AO$5&amp;"-成长-"&amp;D88,"")</f>
        <v/>
      </c>
      <c r="J88" s="106"/>
      <c r="K88" s="117" t="str">
        <f ca="1">IF(D88="","",IF(幕间计算!AM60&gt;0,"已归档",IF(AND(ISNUMBER(J88),J88&gt;=1,J88&lt;=4,MOD(J88,1)=0),"可归档","待填1D4")))</f>
        <v/>
      </c>
    </row>
    <row r="89" ht="25" customHeight="1" spans="1:11">
      <c r="A89" s="117" t="str">
        <f ca="1">IF(D89="","",幕间计算!$AO$5)</f>
        <v/>
      </c>
      <c r="B89" s="117" t="str">
        <f ca="1" t="shared" si="0"/>
        <v/>
      </c>
      <c r="C89" s="118" t="str">
        <f ca="1" t="shared" si="1"/>
        <v/>
      </c>
      <c r="D89" s="117" t="str">
        <f ca="1">幕间计算!AL61</f>
        <v/>
      </c>
      <c r="E89" s="117" t="str">
        <f ca="1">IF(D89="","",IF(幕间计算!AM61&gt;0,INDEX(DGArchive[变更前],幕间计算!AM61),INDEX(幕间计算!$C$2:$C$61,幕间计算!AK61)))</f>
        <v/>
      </c>
      <c r="F89" s="117" t="str">
        <f ca="1">IF(D89="","",IF(幕间计算!AM61&gt;0,INDEX(DGArchive[增减],幕间计算!AM61),IF(K89="可归档",MIN(J89,99-E89),"")))</f>
        <v/>
      </c>
      <c r="G89" s="117" t="str">
        <f ca="1" t="shared" si="2"/>
        <v/>
      </c>
      <c r="H89" s="117" t="str">
        <f ca="1">IF(D89="","",IF(幕间计算!AM61&gt;0,INDEX(DGArchive[事件／活动],幕间计算!AM61),"失败技能成长"&amp;IF(ISNUMBER(J89),"（1D4="&amp;J89&amp;"）","")))</f>
        <v/>
      </c>
      <c r="I89" s="117" t="str">
        <f ca="1">IF(AND(D89&lt;&gt;"",幕间计算!$AO$3=0),幕间计算!$AO$5&amp;"-成长-"&amp;D89,"")</f>
        <v/>
      </c>
      <c r="J89" s="106"/>
      <c r="K89" s="117" t="str">
        <f ca="1">IF(D89="","",IF(幕间计算!AM61&gt;0,"已归档",IF(AND(ISNUMBER(J89),J89&gt;=1,J89&lt;=4,MOD(J89,1)=0),"可归档","待填1D4")))</f>
        <v/>
      </c>
    </row>
    <row r="90" ht="25" customHeight="1" spans="1:11">
      <c r="A90" s="124"/>
      <c r="B90" s="124"/>
      <c r="C90" s="125"/>
      <c r="D90" s="124"/>
      <c r="E90" s="124"/>
      <c r="F90" s="124"/>
      <c r="G90" s="124"/>
      <c r="H90" s="124"/>
      <c r="I90" s="124"/>
      <c r="J90" s="124"/>
      <c r="K90" s="124"/>
    </row>
    <row r="91" ht="25" customHeight="1" spans="1:11">
      <c r="A91" s="119" t="s">
        <v>2664</v>
      </c>
      <c r="B91" s="119"/>
      <c r="C91" s="119"/>
      <c r="D91" s="119" t="s">
        <v>145</v>
      </c>
      <c r="E91" s="119" t="s">
        <v>2616</v>
      </c>
      <c r="F91" s="119"/>
      <c r="G91" s="119"/>
      <c r="H91" s="119" t="s">
        <v>2665</v>
      </c>
      <c r="I91" s="119"/>
      <c r="J91" s="119"/>
      <c r="K91" s="119"/>
    </row>
    <row r="92" ht="25" customHeight="1" spans="1:11">
      <c r="A92" s="124"/>
      <c r="B92" s="124"/>
      <c r="C92" s="125"/>
      <c r="D92" s="124"/>
      <c r="E92" s="124"/>
      <c r="F92" s="124"/>
      <c r="G92" s="124"/>
      <c r="H92" s="124"/>
      <c r="I92" s="124"/>
      <c r="J92" s="124"/>
      <c r="K92" s="124"/>
    </row>
    <row r="93" ht="28" customHeight="1" spans="1:11">
      <c r="A93" s="110" t="s">
        <v>2652</v>
      </c>
      <c r="B93" s="110"/>
      <c r="C93" s="122"/>
      <c r="D93" s="110"/>
      <c r="E93" s="110"/>
      <c r="F93" s="110"/>
      <c r="G93" s="110"/>
      <c r="H93" s="110"/>
      <c r="I93" s="110"/>
      <c r="J93" s="110"/>
      <c r="K93" s="110"/>
    </row>
    <row r="94" ht="25" customHeight="1" spans="1:11">
      <c r="A94" s="109" t="s">
        <v>2666</v>
      </c>
      <c r="B94" s="109"/>
      <c r="C94" s="121"/>
      <c r="D94" s="109"/>
      <c r="E94" s="109"/>
      <c r="F94" s="109"/>
      <c r="G94" s="109"/>
      <c r="H94" s="109"/>
      <c r="I94" s="109"/>
      <c r="J94" s="109"/>
      <c r="K94" s="109"/>
    </row>
    <row r="95" ht="28" customHeight="1" spans="1:11">
      <c r="A95" s="116" t="s">
        <v>2606</v>
      </c>
      <c r="B95" s="116" t="s">
        <v>2607</v>
      </c>
      <c r="C95" s="123" t="s">
        <v>2582</v>
      </c>
      <c r="D95" s="116" t="s">
        <v>2608</v>
      </c>
      <c r="E95" s="116" t="s">
        <v>2609</v>
      </c>
      <c r="F95" s="116" t="s">
        <v>2610</v>
      </c>
      <c r="G95" s="116" t="s">
        <v>2611</v>
      </c>
      <c r="H95" s="116" t="s">
        <v>2658</v>
      </c>
      <c r="I95" s="116" t="s">
        <v>2613</v>
      </c>
      <c r="J95" s="116" t="s">
        <v>2667</v>
      </c>
      <c r="K95" s="116" t="s">
        <v>2668</v>
      </c>
    </row>
    <row r="96" ht="25" customHeight="1" spans="1:11">
      <c r="A96" s="106"/>
      <c r="B96" s="106"/>
      <c r="C96" s="126"/>
      <c r="D96" s="106"/>
      <c r="E96" s="106"/>
      <c r="F96" s="106"/>
      <c r="G96" s="106"/>
      <c r="H96" s="106"/>
      <c r="I96" s="106"/>
      <c r="J96" s="117" t="str">
        <f>IF(DGArchive[[#This Row],[目标]]="","",INDEX(幕间计算!$E$200:$E$1199,ROW()-ROW(DGArchive[#Headers])))</f>
        <v/>
      </c>
      <c r="K96" s="117" t="str">
        <f>IF(DGArchive[[#This Row],[目标]]="","",INDEX(幕间计算!$F$200:$F$1199,ROW()-ROW(DGArchive[#Headers])))</f>
        <v/>
      </c>
    </row>
    <row r="97" ht="25" customHeight="1" spans="1:11">
      <c r="A97" s="106"/>
      <c r="B97" s="106"/>
      <c r="C97" s="126"/>
      <c r="D97" s="106"/>
      <c r="E97" s="106"/>
      <c r="F97" s="106"/>
      <c r="G97" s="106"/>
      <c r="H97" s="106"/>
      <c r="I97" s="106"/>
      <c r="J97" s="117" t="str">
        <f>IF(DGArchive[[#This Row],[目标]]="","",INDEX(幕间计算!$E$200:$E$1199,ROW()-ROW(DGArchive[#Headers])))</f>
        <v/>
      </c>
      <c r="K97" s="117" t="str">
        <f>IF(DGArchive[[#This Row],[目标]]="","",INDEX(幕间计算!$F$200:$F$1199,ROW()-ROW(DGArchive[#Headers])))</f>
        <v/>
      </c>
    </row>
    <row r="98" ht="25" customHeight="1" spans="1:11">
      <c r="A98" s="106"/>
      <c r="B98" s="106"/>
      <c r="C98" s="126"/>
      <c r="D98" s="106"/>
      <c r="E98" s="106"/>
      <c r="F98" s="106"/>
      <c r="G98" s="106"/>
      <c r="H98" s="106"/>
      <c r="I98" s="106"/>
      <c r="J98" s="117" t="str">
        <f>IF(DGArchive[[#This Row],[目标]]="","",INDEX(幕间计算!$E$200:$E$1199,ROW()-ROW(DGArchive[#Headers])))</f>
        <v/>
      </c>
      <c r="K98" s="117" t="str">
        <f>IF(DGArchive[[#This Row],[目标]]="","",INDEX(幕间计算!$F$200:$F$1199,ROW()-ROW(DGArchive[#Headers])))</f>
        <v/>
      </c>
    </row>
    <row r="99" ht="25" customHeight="1" spans="1:11">
      <c r="A99" s="106"/>
      <c r="B99" s="106"/>
      <c r="C99" s="126"/>
      <c r="D99" s="106"/>
      <c r="E99" s="106"/>
      <c r="F99" s="106"/>
      <c r="G99" s="106"/>
      <c r="H99" s="106"/>
      <c r="I99" s="106"/>
      <c r="J99" s="117" t="str">
        <f>IF(DGArchive[[#This Row],[目标]]="","",INDEX(幕间计算!$E$200:$E$1199,ROW()-ROW(DGArchive[#Headers])))</f>
        <v/>
      </c>
      <c r="K99" s="117" t="str">
        <f>IF(DGArchive[[#This Row],[目标]]="","",INDEX(幕间计算!$F$200:$F$1199,ROW()-ROW(DGArchive[#Headers])))</f>
        <v/>
      </c>
    </row>
    <row r="100" ht="25" customHeight="1" spans="1:11">
      <c r="A100" s="106"/>
      <c r="B100" s="106"/>
      <c r="C100" s="126"/>
      <c r="D100" s="106"/>
      <c r="E100" s="106"/>
      <c r="F100" s="106"/>
      <c r="G100" s="106"/>
      <c r="H100" s="106"/>
      <c r="I100" s="106"/>
      <c r="J100" s="117" t="str">
        <f>IF(DGArchive[[#This Row],[目标]]="","",INDEX(幕间计算!$E$200:$E$1199,ROW()-ROW(DGArchive[#Headers])))</f>
        <v/>
      </c>
      <c r="K100" s="117" t="str">
        <f>IF(DGArchive[[#This Row],[目标]]="","",INDEX(幕间计算!$F$200:$F$1199,ROW()-ROW(DGArchive[#Headers])))</f>
        <v/>
      </c>
    </row>
    <row r="101" ht="25" customHeight="1" spans="1:11">
      <c r="A101" s="106"/>
      <c r="B101" s="106"/>
      <c r="C101" s="126"/>
      <c r="D101" s="106"/>
      <c r="E101" s="106"/>
      <c r="F101" s="106"/>
      <c r="G101" s="106"/>
      <c r="H101" s="106"/>
      <c r="I101" s="106"/>
      <c r="J101" s="117" t="str">
        <f>IF(DGArchive[[#This Row],[目标]]="","",INDEX(幕间计算!$E$200:$E$1199,ROW()-ROW(DGArchive[#Headers])))</f>
        <v/>
      </c>
      <c r="K101" s="117" t="str">
        <f>IF(DGArchive[[#This Row],[目标]]="","",INDEX(幕间计算!$F$200:$F$1199,ROW()-ROW(DGArchive[#Headers])))</f>
        <v/>
      </c>
    </row>
    <row r="102" ht="25" customHeight="1" spans="1:11">
      <c r="A102" s="106"/>
      <c r="B102" s="106"/>
      <c r="C102" s="126"/>
      <c r="D102" s="106"/>
      <c r="E102" s="106"/>
      <c r="F102" s="106"/>
      <c r="G102" s="106"/>
      <c r="H102" s="106"/>
      <c r="I102" s="106"/>
      <c r="J102" s="117" t="str">
        <f>IF(DGArchive[[#This Row],[目标]]="","",INDEX(幕间计算!$E$200:$E$1199,ROW()-ROW(DGArchive[#Headers])))</f>
        <v/>
      </c>
      <c r="K102" s="117" t="str">
        <f>IF(DGArchive[[#This Row],[目标]]="","",INDEX(幕间计算!$F$200:$F$1199,ROW()-ROW(DGArchive[#Headers])))</f>
        <v/>
      </c>
    </row>
    <row r="103" ht="25" customHeight="1" spans="1:11">
      <c r="A103" s="106"/>
      <c r="B103" s="106"/>
      <c r="C103" s="126"/>
      <c r="D103" s="106"/>
      <c r="E103" s="106"/>
      <c r="F103" s="106"/>
      <c r="G103" s="106"/>
      <c r="H103" s="106"/>
      <c r="I103" s="106"/>
      <c r="J103" s="117" t="str">
        <f>IF(DGArchive[[#This Row],[目标]]="","",INDEX(幕间计算!$E$200:$E$1199,ROW()-ROW(DGArchive[#Headers])))</f>
        <v/>
      </c>
      <c r="K103" s="117" t="str">
        <f>IF(DGArchive[[#This Row],[目标]]="","",INDEX(幕间计算!$F$200:$F$1199,ROW()-ROW(DGArchive[#Headers])))</f>
        <v/>
      </c>
    </row>
    <row r="104" ht="25" customHeight="1" spans="1:11">
      <c r="A104" s="106"/>
      <c r="B104" s="106"/>
      <c r="C104" s="126"/>
      <c r="D104" s="106"/>
      <c r="E104" s="106"/>
      <c r="F104" s="106"/>
      <c r="G104" s="106"/>
      <c r="H104" s="106"/>
      <c r="I104" s="106"/>
      <c r="J104" s="117" t="str">
        <f>IF(DGArchive[[#This Row],[目标]]="","",INDEX(幕间计算!$E$200:$E$1199,ROW()-ROW(DGArchive[#Headers])))</f>
        <v/>
      </c>
      <c r="K104" s="117" t="str">
        <f>IF(DGArchive[[#This Row],[目标]]="","",INDEX(幕间计算!$F$200:$F$1199,ROW()-ROW(DGArchive[#Headers])))</f>
        <v/>
      </c>
    </row>
    <row r="105" ht="25" customHeight="1" spans="1:11">
      <c r="A105" s="106"/>
      <c r="B105" s="106"/>
      <c r="C105" s="126"/>
      <c r="D105" s="106"/>
      <c r="E105" s="106"/>
      <c r="F105" s="106"/>
      <c r="G105" s="106"/>
      <c r="H105" s="106"/>
      <c r="I105" s="106"/>
      <c r="J105" s="117" t="str">
        <f>IF(DGArchive[[#This Row],[目标]]="","",INDEX(幕间计算!$E$200:$E$1199,ROW()-ROW(DGArchive[#Headers])))</f>
        <v/>
      </c>
      <c r="K105" s="117" t="str">
        <f>IF(DGArchive[[#This Row],[目标]]="","",INDEX(幕间计算!$F$200:$F$1199,ROW()-ROW(DGArchive[#Headers])))</f>
        <v/>
      </c>
    </row>
    <row r="106" ht="25" customHeight="1" spans="1:11">
      <c r="A106" s="106"/>
      <c r="B106" s="106"/>
      <c r="C106" s="126"/>
      <c r="D106" s="106"/>
      <c r="E106" s="106"/>
      <c r="F106" s="106"/>
      <c r="G106" s="106"/>
      <c r="H106" s="106"/>
      <c r="I106" s="106"/>
      <c r="J106" s="117" t="str">
        <f>IF(DGArchive[[#This Row],[目标]]="","",INDEX(幕间计算!$E$200:$E$1199,ROW()-ROW(DGArchive[#Headers])))</f>
        <v/>
      </c>
      <c r="K106" s="117" t="str">
        <f>IF(DGArchive[[#This Row],[目标]]="","",INDEX(幕间计算!$F$200:$F$1199,ROW()-ROW(DGArchive[#Headers])))</f>
        <v/>
      </c>
    </row>
    <row r="107" ht="25" customHeight="1" spans="1:11">
      <c r="A107" s="106"/>
      <c r="B107" s="106"/>
      <c r="C107" s="126"/>
      <c r="D107" s="106"/>
      <c r="E107" s="106"/>
      <c r="F107" s="106"/>
      <c r="G107" s="106"/>
      <c r="H107" s="106"/>
      <c r="I107" s="106"/>
      <c r="J107" s="117" t="str">
        <f>IF(DGArchive[[#This Row],[目标]]="","",INDEX(幕间计算!$E$200:$E$1199,ROW()-ROW(DGArchive[#Headers])))</f>
        <v/>
      </c>
      <c r="K107" s="117" t="str">
        <f>IF(DGArchive[[#This Row],[目标]]="","",INDEX(幕间计算!$F$200:$F$1199,ROW()-ROW(DGArchive[#Headers])))</f>
        <v/>
      </c>
    </row>
    <row r="108" ht="25" customHeight="1" spans="1:11">
      <c r="A108" s="106"/>
      <c r="B108" s="106"/>
      <c r="C108" s="126"/>
      <c r="D108" s="106"/>
      <c r="E108" s="106"/>
      <c r="F108" s="106"/>
      <c r="G108" s="106"/>
      <c r="H108" s="106"/>
      <c r="I108" s="106"/>
      <c r="J108" s="117" t="str">
        <f>IF(DGArchive[[#This Row],[目标]]="","",INDEX(幕间计算!$E$200:$E$1199,ROW()-ROW(DGArchive[#Headers])))</f>
        <v/>
      </c>
      <c r="K108" s="117" t="str">
        <f>IF(DGArchive[[#This Row],[目标]]="","",INDEX(幕间计算!$F$200:$F$1199,ROW()-ROW(DGArchive[#Headers])))</f>
        <v/>
      </c>
    </row>
    <row r="109" ht="25" customHeight="1" spans="1:11">
      <c r="A109" s="106"/>
      <c r="B109" s="106"/>
      <c r="C109" s="126"/>
      <c r="D109" s="106"/>
      <c r="E109" s="106"/>
      <c r="F109" s="106"/>
      <c r="G109" s="106"/>
      <c r="H109" s="106"/>
      <c r="I109" s="106"/>
      <c r="J109" s="117" t="str">
        <f>IF(DGArchive[[#This Row],[目标]]="","",INDEX(幕间计算!$E$200:$E$1199,ROW()-ROW(DGArchive[#Headers])))</f>
        <v/>
      </c>
      <c r="K109" s="117" t="str">
        <f>IF(DGArchive[[#This Row],[目标]]="","",INDEX(幕间计算!$F$200:$F$1199,ROW()-ROW(DGArchive[#Headers])))</f>
        <v/>
      </c>
    </row>
    <row r="110" ht="25" customHeight="1" spans="1:11">
      <c r="A110" s="106"/>
      <c r="B110" s="106"/>
      <c r="C110" s="126"/>
      <c r="D110" s="106"/>
      <c r="E110" s="106"/>
      <c r="F110" s="106"/>
      <c r="G110" s="106"/>
      <c r="H110" s="106"/>
      <c r="I110" s="106"/>
      <c r="J110" s="117" t="str">
        <f>IF(DGArchive[[#This Row],[目标]]="","",INDEX(幕间计算!$E$200:$E$1199,ROW()-ROW(DGArchive[#Headers])))</f>
        <v/>
      </c>
      <c r="K110" s="117" t="str">
        <f>IF(DGArchive[[#This Row],[目标]]="","",INDEX(幕间计算!$F$200:$F$1199,ROW()-ROW(DGArchive[#Headers])))</f>
        <v/>
      </c>
    </row>
    <row r="111" ht="25" customHeight="1" spans="1:11">
      <c r="A111" s="106"/>
      <c r="B111" s="106"/>
      <c r="C111" s="126"/>
      <c r="D111" s="106"/>
      <c r="E111" s="106"/>
      <c r="F111" s="106"/>
      <c r="G111" s="106"/>
      <c r="H111" s="106"/>
      <c r="I111" s="106"/>
      <c r="J111" s="117" t="str">
        <f>IF(DGArchive[[#This Row],[目标]]="","",INDEX(幕间计算!$E$200:$E$1199,ROW()-ROW(DGArchive[#Headers])))</f>
        <v/>
      </c>
      <c r="K111" s="117" t="str">
        <f>IF(DGArchive[[#This Row],[目标]]="","",INDEX(幕间计算!$F$200:$F$1199,ROW()-ROW(DGArchive[#Headers])))</f>
        <v/>
      </c>
    </row>
    <row r="112" ht="25" customHeight="1" spans="1:11">
      <c r="A112" s="106"/>
      <c r="B112" s="106"/>
      <c r="C112" s="126"/>
      <c r="D112" s="106"/>
      <c r="E112" s="106"/>
      <c r="F112" s="106"/>
      <c r="G112" s="106"/>
      <c r="H112" s="106"/>
      <c r="I112" s="106"/>
      <c r="J112" s="117" t="str">
        <f>IF(DGArchive[[#This Row],[目标]]="","",INDEX(幕间计算!$E$200:$E$1199,ROW()-ROW(DGArchive[#Headers])))</f>
        <v/>
      </c>
      <c r="K112" s="117" t="str">
        <f>IF(DGArchive[[#This Row],[目标]]="","",INDEX(幕间计算!$F$200:$F$1199,ROW()-ROW(DGArchive[#Headers])))</f>
        <v/>
      </c>
    </row>
    <row r="113" ht="25" customHeight="1" spans="1:11">
      <c r="A113" s="106"/>
      <c r="B113" s="106"/>
      <c r="C113" s="126"/>
      <c r="D113" s="106"/>
      <c r="E113" s="106"/>
      <c r="F113" s="106"/>
      <c r="G113" s="106"/>
      <c r="H113" s="106"/>
      <c r="I113" s="106"/>
      <c r="J113" s="117" t="str">
        <f>IF(DGArchive[[#This Row],[目标]]="","",INDEX(幕间计算!$E$200:$E$1199,ROW()-ROW(DGArchive[#Headers])))</f>
        <v/>
      </c>
      <c r="K113" s="117" t="str">
        <f>IF(DGArchive[[#This Row],[目标]]="","",INDEX(幕间计算!$F$200:$F$1199,ROW()-ROW(DGArchive[#Headers])))</f>
        <v/>
      </c>
    </row>
    <row r="114" ht="25" customHeight="1" spans="1:11">
      <c r="A114" s="106"/>
      <c r="B114" s="106"/>
      <c r="C114" s="126"/>
      <c r="D114" s="106"/>
      <c r="E114" s="106"/>
      <c r="F114" s="106"/>
      <c r="G114" s="106"/>
      <c r="H114" s="106"/>
      <c r="I114" s="106"/>
      <c r="J114" s="117" t="str">
        <f>IF(DGArchive[[#This Row],[目标]]="","",INDEX(幕间计算!$E$200:$E$1199,ROW()-ROW(DGArchive[#Headers])))</f>
        <v/>
      </c>
      <c r="K114" s="117" t="str">
        <f>IF(DGArchive[[#This Row],[目标]]="","",INDEX(幕间计算!$F$200:$F$1199,ROW()-ROW(DGArchive[#Headers])))</f>
        <v/>
      </c>
    </row>
    <row r="115" ht="25" customHeight="1" spans="1:11">
      <c r="A115" s="106"/>
      <c r="B115" s="106"/>
      <c r="C115" s="126"/>
      <c r="D115" s="106"/>
      <c r="E115" s="106"/>
      <c r="F115" s="106"/>
      <c r="G115" s="106"/>
      <c r="H115" s="106"/>
      <c r="I115" s="106"/>
      <c r="J115" s="117" t="str">
        <f>IF(DGArchive[[#This Row],[目标]]="","",INDEX(幕间计算!$E$200:$E$1199,ROW()-ROW(DGArchive[#Headers])))</f>
        <v/>
      </c>
      <c r="K115" s="117" t="str">
        <f>IF(DGArchive[[#This Row],[目标]]="","",INDEX(幕间计算!$F$200:$F$1199,ROW()-ROW(DGArchive[#Headers])))</f>
        <v/>
      </c>
    </row>
    <row r="116" ht="25" customHeight="1" spans="1:11">
      <c r="A116" s="106"/>
      <c r="B116" s="106"/>
      <c r="C116" s="126"/>
      <c r="D116" s="106"/>
      <c r="E116" s="106"/>
      <c r="F116" s="106"/>
      <c r="G116" s="106"/>
      <c r="H116" s="106"/>
      <c r="I116" s="106"/>
      <c r="J116" s="117" t="str">
        <f>IF(DGArchive[[#This Row],[目标]]="","",INDEX(幕间计算!$E$200:$E$1199,ROW()-ROW(DGArchive[#Headers])))</f>
        <v/>
      </c>
      <c r="K116" s="117" t="str">
        <f>IF(DGArchive[[#This Row],[目标]]="","",INDEX(幕间计算!$F$200:$F$1199,ROW()-ROW(DGArchive[#Headers])))</f>
        <v/>
      </c>
    </row>
    <row r="117" ht="25" customHeight="1" spans="1:11">
      <c r="A117" s="106"/>
      <c r="B117" s="106"/>
      <c r="C117" s="126"/>
      <c r="D117" s="106"/>
      <c r="E117" s="106"/>
      <c r="F117" s="106"/>
      <c r="G117" s="106"/>
      <c r="H117" s="106"/>
      <c r="I117" s="106"/>
      <c r="J117" s="117" t="str">
        <f>IF(DGArchive[[#This Row],[目标]]="","",INDEX(幕间计算!$E$200:$E$1199,ROW()-ROW(DGArchive[#Headers])))</f>
        <v/>
      </c>
      <c r="K117" s="117" t="str">
        <f>IF(DGArchive[[#This Row],[目标]]="","",INDEX(幕间计算!$F$200:$F$1199,ROW()-ROW(DGArchive[#Headers])))</f>
        <v/>
      </c>
    </row>
    <row r="118" ht="25" customHeight="1" spans="1:11">
      <c r="A118" s="106"/>
      <c r="B118" s="106"/>
      <c r="C118" s="126"/>
      <c r="D118" s="106"/>
      <c r="E118" s="106"/>
      <c r="F118" s="106"/>
      <c r="G118" s="106"/>
      <c r="H118" s="106"/>
      <c r="I118" s="106"/>
      <c r="J118" s="117" t="str">
        <f>IF(DGArchive[[#This Row],[目标]]="","",INDEX(幕间计算!$E$200:$E$1199,ROW()-ROW(DGArchive[#Headers])))</f>
        <v/>
      </c>
      <c r="K118" s="117" t="str">
        <f>IF(DGArchive[[#This Row],[目标]]="","",INDEX(幕间计算!$F$200:$F$1199,ROW()-ROW(DGArchive[#Headers])))</f>
        <v/>
      </c>
    </row>
    <row r="119" ht="25" customHeight="1" spans="1:11">
      <c r="A119" s="106"/>
      <c r="B119" s="106"/>
      <c r="C119" s="126"/>
      <c r="D119" s="106"/>
      <c r="E119" s="106"/>
      <c r="F119" s="106"/>
      <c r="G119" s="106"/>
      <c r="H119" s="106"/>
      <c r="I119" s="106"/>
      <c r="J119" s="117" t="str">
        <f>IF(DGArchive[[#This Row],[目标]]="","",INDEX(幕间计算!$E$200:$E$1199,ROW()-ROW(DGArchive[#Headers])))</f>
        <v/>
      </c>
      <c r="K119" s="117" t="str">
        <f>IF(DGArchive[[#This Row],[目标]]="","",INDEX(幕间计算!$F$200:$F$1199,ROW()-ROW(DGArchive[#Headers])))</f>
        <v/>
      </c>
    </row>
    <row r="120" ht="25" customHeight="1" spans="1:11">
      <c r="A120" s="106"/>
      <c r="B120" s="106"/>
      <c r="C120" s="126"/>
      <c r="D120" s="106"/>
      <c r="E120" s="106"/>
      <c r="F120" s="106"/>
      <c r="G120" s="106"/>
      <c r="H120" s="106"/>
      <c r="I120" s="106"/>
      <c r="J120" s="117" t="str">
        <f>IF(DGArchive[[#This Row],[目标]]="","",INDEX(幕间计算!$E$200:$E$1199,ROW()-ROW(DGArchive[#Headers])))</f>
        <v/>
      </c>
      <c r="K120" s="117" t="str">
        <f>IF(DGArchive[[#This Row],[目标]]="","",INDEX(幕间计算!$F$200:$F$1199,ROW()-ROW(DGArchive[#Headers])))</f>
        <v/>
      </c>
    </row>
    <row r="121" ht="25" customHeight="1" spans="1:11">
      <c r="A121" s="106"/>
      <c r="B121" s="106"/>
      <c r="C121" s="126"/>
      <c r="D121" s="106"/>
      <c r="E121" s="106"/>
      <c r="F121" s="106"/>
      <c r="G121" s="106"/>
      <c r="H121" s="106"/>
      <c r="I121" s="106"/>
      <c r="J121" s="117" t="str">
        <f>IF(DGArchive[[#This Row],[目标]]="","",INDEX(幕间计算!$E$200:$E$1199,ROW()-ROW(DGArchive[#Headers])))</f>
        <v/>
      </c>
      <c r="K121" s="117" t="str">
        <f>IF(DGArchive[[#This Row],[目标]]="","",INDEX(幕间计算!$F$200:$F$1199,ROW()-ROW(DGArchive[#Headers])))</f>
        <v/>
      </c>
    </row>
    <row r="122" ht="25" customHeight="1" spans="1:11">
      <c r="A122" s="106"/>
      <c r="B122" s="106"/>
      <c r="C122" s="126"/>
      <c r="D122" s="106"/>
      <c r="E122" s="106"/>
      <c r="F122" s="106"/>
      <c r="G122" s="106"/>
      <c r="H122" s="106"/>
      <c r="I122" s="106"/>
      <c r="J122" s="117" t="str">
        <f>IF(DGArchive[[#This Row],[目标]]="","",INDEX(幕间计算!$E$200:$E$1199,ROW()-ROW(DGArchive[#Headers])))</f>
        <v/>
      </c>
      <c r="K122" s="117" t="str">
        <f>IF(DGArchive[[#This Row],[目标]]="","",INDEX(幕间计算!$F$200:$F$1199,ROW()-ROW(DGArchive[#Headers])))</f>
        <v/>
      </c>
    </row>
    <row r="123" ht="25" customHeight="1" spans="1:11">
      <c r="A123" s="106"/>
      <c r="B123" s="106"/>
      <c r="C123" s="126"/>
      <c r="D123" s="106"/>
      <c r="E123" s="106"/>
      <c r="F123" s="106"/>
      <c r="G123" s="106"/>
      <c r="H123" s="106"/>
      <c r="I123" s="106"/>
      <c r="J123" s="117" t="str">
        <f>IF(DGArchive[[#This Row],[目标]]="","",INDEX(幕间计算!$E$200:$E$1199,ROW()-ROW(DGArchive[#Headers])))</f>
        <v/>
      </c>
      <c r="K123" s="117" t="str">
        <f>IF(DGArchive[[#This Row],[目标]]="","",INDEX(幕间计算!$F$200:$F$1199,ROW()-ROW(DGArchive[#Headers])))</f>
        <v/>
      </c>
    </row>
    <row r="124" ht="25" customHeight="1" spans="1:11">
      <c r="A124" s="106"/>
      <c r="B124" s="106"/>
      <c r="C124" s="126"/>
      <c r="D124" s="106"/>
      <c r="E124" s="106"/>
      <c r="F124" s="106"/>
      <c r="G124" s="106"/>
      <c r="H124" s="106"/>
      <c r="I124" s="106"/>
      <c r="J124" s="117" t="str">
        <f>IF(DGArchive[[#This Row],[目标]]="","",INDEX(幕间计算!$E$200:$E$1199,ROW()-ROW(DGArchive[#Headers])))</f>
        <v/>
      </c>
      <c r="K124" s="117" t="str">
        <f>IF(DGArchive[[#This Row],[目标]]="","",INDEX(幕间计算!$F$200:$F$1199,ROW()-ROW(DGArchive[#Headers])))</f>
        <v/>
      </c>
    </row>
    <row r="125" ht="25" customHeight="1" spans="1:11">
      <c r="A125" s="106"/>
      <c r="B125" s="106"/>
      <c r="C125" s="126"/>
      <c r="D125" s="106"/>
      <c r="E125" s="106"/>
      <c r="F125" s="106"/>
      <c r="G125" s="106"/>
      <c r="H125" s="106"/>
      <c r="I125" s="106"/>
      <c r="J125" s="117" t="str">
        <f>IF(DGArchive[[#This Row],[目标]]="","",INDEX(幕间计算!$E$200:$E$1199,ROW()-ROW(DGArchive[#Headers])))</f>
        <v/>
      </c>
      <c r="K125" s="117" t="str">
        <f>IF(DGArchive[[#This Row],[目标]]="","",INDEX(幕间计算!$F$200:$F$1199,ROW()-ROW(DGArchive[#Headers])))</f>
        <v/>
      </c>
    </row>
    <row r="126" ht="25" customHeight="1" spans="1:11">
      <c r="A126" s="106"/>
      <c r="B126" s="106"/>
      <c r="C126" s="126"/>
      <c r="D126" s="106"/>
      <c r="E126" s="106"/>
      <c r="F126" s="106"/>
      <c r="G126" s="106"/>
      <c r="H126" s="106"/>
      <c r="I126" s="106"/>
      <c r="J126" s="117" t="str">
        <f>IF(DGArchive[[#This Row],[目标]]="","",INDEX(幕间计算!$E$200:$E$1199,ROW()-ROW(DGArchive[#Headers])))</f>
        <v/>
      </c>
      <c r="K126" s="117" t="str">
        <f>IF(DGArchive[[#This Row],[目标]]="","",INDEX(幕间计算!$F$200:$F$1199,ROW()-ROW(DGArchive[#Headers])))</f>
        <v/>
      </c>
    </row>
    <row r="127" ht="25" customHeight="1" spans="1:11">
      <c r="A127" s="106"/>
      <c r="B127" s="106"/>
      <c r="C127" s="126"/>
      <c r="D127" s="106"/>
      <c r="E127" s="106"/>
      <c r="F127" s="106"/>
      <c r="G127" s="106"/>
      <c r="H127" s="106"/>
      <c r="I127" s="106"/>
      <c r="J127" s="117" t="str">
        <f>IF(DGArchive[[#This Row],[目标]]="","",INDEX(幕间计算!$E$200:$E$1199,ROW()-ROW(DGArchive[#Headers])))</f>
        <v/>
      </c>
      <c r="K127" s="117" t="str">
        <f>IF(DGArchive[[#This Row],[目标]]="","",INDEX(幕间计算!$F$200:$F$1199,ROW()-ROW(DGArchive[#Headers])))</f>
        <v/>
      </c>
    </row>
    <row r="128" ht="25" customHeight="1" spans="1:11">
      <c r="A128" s="106"/>
      <c r="B128" s="106"/>
      <c r="C128" s="126"/>
      <c r="D128" s="106"/>
      <c r="E128" s="106"/>
      <c r="F128" s="106"/>
      <c r="G128" s="106"/>
      <c r="H128" s="106"/>
      <c r="I128" s="106"/>
      <c r="J128" s="117" t="str">
        <f>IF(DGArchive[[#This Row],[目标]]="","",INDEX(幕间计算!$E$200:$E$1199,ROW()-ROW(DGArchive[#Headers])))</f>
        <v/>
      </c>
      <c r="K128" s="117" t="str">
        <f>IF(DGArchive[[#This Row],[目标]]="","",INDEX(幕间计算!$F$200:$F$1199,ROW()-ROW(DGArchive[#Headers])))</f>
        <v/>
      </c>
    </row>
    <row r="129" ht="25" customHeight="1" spans="1:11">
      <c r="A129" s="106"/>
      <c r="B129" s="106"/>
      <c r="C129" s="126"/>
      <c r="D129" s="106"/>
      <c r="E129" s="106"/>
      <c r="F129" s="106"/>
      <c r="G129" s="106"/>
      <c r="H129" s="106"/>
      <c r="I129" s="106"/>
      <c r="J129" s="117" t="str">
        <f>IF(DGArchive[[#This Row],[目标]]="","",INDEX(幕间计算!$E$200:$E$1199,ROW()-ROW(DGArchive[#Headers])))</f>
        <v/>
      </c>
      <c r="K129" s="117" t="str">
        <f>IF(DGArchive[[#This Row],[目标]]="","",INDEX(幕间计算!$F$200:$F$1199,ROW()-ROW(DGArchive[#Headers])))</f>
        <v/>
      </c>
    </row>
    <row r="130" ht="25" customHeight="1" spans="1:11">
      <c r="A130" s="106"/>
      <c r="B130" s="106"/>
      <c r="C130" s="126"/>
      <c r="D130" s="106"/>
      <c r="E130" s="106"/>
      <c r="F130" s="106"/>
      <c r="G130" s="106"/>
      <c r="H130" s="106"/>
      <c r="I130" s="106"/>
      <c r="J130" s="117" t="str">
        <f>IF(DGArchive[[#This Row],[目标]]="","",INDEX(幕间计算!$E$200:$E$1199,ROW()-ROW(DGArchive[#Headers])))</f>
        <v/>
      </c>
      <c r="K130" s="117" t="str">
        <f>IF(DGArchive[[#This Row],[目标]]="","",INDEX(幕间计算!$F$200:$F$1199,ROW()-ROW(DGArchive[#Headers])))</f>
        <v/>
      </c>
    </row>
    <row r="131" ht="25" customHeight="1" spans="1:11">
      <c r="A131" s="106"/>
      <c r="B131" s="106"/>
      <c r="C131" s="126"/>
      <c r="D131" s="106"/>
      <c r="E131" s="106"/>
      <c r="F131" s="106"/>
      <c r="G131" s="106"/>
      <c r="H131" s="106"/>
      <c r="I131" s="106"/>
      <c r="J131" s="117" t="str">
        <f>IF(DGArchive[[#This Row],[目标]]="","",INDEX(幕间计算!$E$200:$E$1199,ROW()-ROW(DGArchive[#Headers])))</f>
        <v/>
      </c>
      <c r="K131" s="117" t="str">
        <f>IF(DGArchive[[#This Row],[目标]]="","",INDEX(幕间计算!$F$200:$F$1199,ROW()-ROW(DGArchive[#Headers])))</f>
        <v/>
      </c>
    </row>
    <row r="132" ht="25" customHeight="1" spans="1:11">
      <c r="A132" s="106"/>
      <c r="B132" s="106"/>
      <c r="C132" s="126"/>
      <c r="D132" s="106"/>
      <c r="E132" s="106"/>
      <c r="F132" s="106"/>
      <c r="G132" s="106"/>
      <c r="H132" s="106"/>
      <c r="I132" s="106"/>
      <c r="J132" s="117" t="str">
        <f>IF(DGArchive[[#This Row],[目标]]="","",INDEX(幕间计算!$E$200:$E$1199,ROW()-ROW(DGArchive[#Headers])))</f>
        <v/>
      </c>
      <c r="K132" s="117" t="str">
        <f>IF(DGArchive[[#This Row],[目标]]="","",INDEX(幕间计算!$F$200:$F$1199,ROW()-ROW(DGArchive[#Headers])))</f>
        <v/>
      </c>
    </row>
    <row r="133" ht="25" customHeight="1" spans="1:11">
      <c r="A133" s="106"/>
      <c r="B133" s="106"/>
      <c r="C133" s="126"/>
      <c r="D133" s="106"/>
      <c r="E133" s="106"/>
      <c r="F133" s="106"/>
      <c r="G133" s="106"/>
      <c r="H133" s="106"/>
      <c r="I133" s="106"/>
      <c r="J133" s="117" t="str">
        <f>IF(DGArchive[[#This Row],[目标]]="","",INDEX(幕间计算!$E$200:$E$1199,ROW()-ROW(DGArchive[#Headers])))</f>
        <v/>
      </c>
      <c r="K133" s="117" t="str">
        <f>IF(DGArchive[[#This Row],[目标]]="","",INDEX(幕间计算!$F$200:$F$1199,ROW()-ROW(DGArchive[#Headers])))</f>
        <v/>
      </c>
    </row>
    <row r="134" ht="25" customHeight="1" spans="1:11">
      <c r="A134" s="106"/>
      <c r="B134" s="106"/>
      <c r="C134" s="126"/>
      <c r="D134" s="106"/>
      <c r="E134" s="106"/>
      <c r="F134" s="106"/>
      <c r="G134" s="106"/>
      <c r="H134" s="106"/>
      <c r="I134" s="106"/>
      <c r="J134" s="117" t="str">
        <f>IF(DGArchive[[#This Row],[目标]]="","",INDEX(幕间计算!$E$200:$E$1199,ROW()-ROW(DGArchive[#Headers])))</f>
        <v/>
      </c>
      <c r="K134" s="117" t="str">
        <f>IF(DGArchive[[#This Row],[目标]]="","",INDEX(幕间计算!$F$200:$F$1199,ROW()-ROW(DGArchive[#Headers])))</f>
        <v/>
      </c>
    </row>
    <row r="135" ht="25" customHeight="1" spans="1:11">
      <c r="A135" s="106"/>
      <c r="B135" s="106"/>
      <c r="C135" s="126"/>
      <c r="D135" s="106"/>
      <c r="E135" s="106"/>
      <c r="F135" s="106"/>
      <c r="G135" s="106"/>
      <c r="H135" s="106"/>
      <c r="I135" s="106"/>
      <c r="J135" s="117" t="str">
        <f>IF(DGArchive[[#This Row],[目标]]="","",INDEX(幕间计算!$E$200:$E$1199,ROW()-ROW(DGArchive[#Headers])))</f>
        <v/>
      </c>
      <c r="K135" s="117" t="str">
        <f>IF(DGArchive[[#This Row],[目标]]="","",INDEX(幕间计算!$F$200:$F$1199,ROW()-ROW(DGArchive[#Headers])))</f>
        <v/>
      </c>
    </row>
    <row r="136" ht="25" customHeight="1" spans="1:11">
      <c r="A136" s="106"/>
      <c r="B136" s="106"/>
      <c r="C136" s="126"/>
      <c r="D136" s="106"/>
      <c r="E136" s="106"/>
      <c r="F136" s="106"/>
      <c r="G136" s="106"/>
      <c r="H136" s="106"/>
      <c r="I136" s="106"/>
      <c r="J136" s="117" t="str">
        <f>IF(DGArchive[[#This Row],[目标]]="","",INDEX(幕间计算!$E$200:$E$1199,ROW()-ROW(DGArchive[#Headers])))</f>
        <v/>
      </c>
      <c r="K136" s="117" t="str">
        <f>IF(DGArchive[[#This Row],[目标]]="","",INDEX(幕间计算!$F$200:$F$1199,ROW()-ROW(DGArchive[#Headers])))</f>
        <v/>
      </c>
    </row>
    <row r="137" ht="25" customHeight="1" spans="1:11">
      <c r="A137" s="106"/>
      <c r="B137" s="106"/>
      <c r="C137" s="126"/>
      <c r="D137" s="106"/>
      <c r="E137" s="106"/>
      <c r="F137" s="106"/>
      <c r="G137" s="106"/>
      <c r="H137" s="106"/>
      <c r="I137" s="106"/>
      <c r="J137" s="117" t="str">
        <f>IF(DGArchive[[#This Row],[目标]]="","",INDEX(幕间计算!$E$200:$E$1199,ROW()-ROW(DGArchive[#Headers])))</f>
        <v/>
      </c>
      <c r="K137" s="117" t="str">
        <f>IF(DGArchive[[#This Row],[目标]]="","",INDEX(幕间计算!$F$200:$F$1199,ROW()-ROW(DGArchive[#Headers])))</f>
        <v/>
      </c>
    </row>
    <row r="138" ht="25" customHeight="1" spans="1:11">
      <c r="A138" s="106"/>
      <c r="B138" s="106"/>
      <c r="C138" s="126"/>
      <c r="D138" s="106"/>
      <c r="E138" s="106"/>
      <c r="F138" s="106"/>
      <c r="G138" s="106"/>
      <c r="H138" s="106"/>
      <c r="I138" s="106"/>
      <c r="J138" s="117" t="str">
        <f>IF(DGArchive[[#This Row],[目标]]="","",INDEX(幕间计算!$E$200:$E$1199,ROW()-ROW(DGArchive[#Headers])))</f>
        <v/>
      </c>
      <c r="K138" s="117" t="str">
        <f>IF(DGArchive[[#This Row],[目标]]="","",INDEX(幕间计算!$F$200:$F$1199,ROW()-ROW(DGArchive[#Headers])))</f>
        <v/>
      </c>
    </row>
    <row r="139" ht="25" customHeight="1" spans="1:11">
      <c r="A139" s="106"/>
      <c r="B139" s="106"/>
      <c r="C139" s="126"/>
      <c r="D139" s="106"/>
      <c r="E139" s="106"/>
      <c r="F139" s="106"/>
      <c r="G139" s="106"/>
      <c r="H139" s="106"/>
      <c r="I139" s="106"/>
      <c r="J139" s="117" t="str">
        <f>IF(DGArchive[[#This Row],[目标]]="","",INDEX(幕间计算!$E$200:$E$1199,ROW()-ROW(DGArchive[#Headers])))</f>
        <v/>
      </c>
      <c r="K139" s="117" t="str">
        <f>IF(DGArchive[[#This Row],[目标]]="","",INDEX(幕间计算!$F$200:$F$1199,ROW()-ROW(DGArchive[#Headers])))</f>
        <v/>
      </c>
    </row>
    <row r="140" ht="25" customHeight="1" spans="1:11">
      <c r="A140" s="106"/>
      <c r="B140" s="106"/>
      <c r="C140" s="126"/>
      <c r="D140" s="106"/>
      <c r="E140" s="106"/>
      <c r="F140" s="106"/>
      <c r="G140" s="106"/>
      <c r="H140" s="106"/>
      <c r="I140" s="106"/>
      <c r="J140" s="117" t="str">
        <f>IF(DGArchive[[#This Row],[目标]]="","",INDEX(幕间计算!$E$200:$E$1199,ROW()-ROW(DGArchive[#Headers])))</f>
        <v/>
      </c>
      <c r="K140" s="117" t="str">
        <f>IF(DGArchive[[#This Row],[目标]]="","",INDEX(幕间计算!$F$200:$F$1199,ROW()-ROW(DGArchive[#Headers])))</f>
        <v/>
      </c>
    </row>
    <row r="141" ht="25" customHeight="1" spans="1:11">
      <c r="A141" s="106"/>
      <c r="B141" s="106"/>
      <c r="C141" s="126"/>
      <c r="D141" s="106"/>
      <c r="E141" s="106"/>
      <c r="F141" s="106"/>
      <c r="G141" s="106"/>
      <c r="H141" s="106"/>
      <c r="I141" s="106"/>
      <c r="J141" s="117" t="str">
        <f>IF(DGArchive[[#This Row],[目标]]="","",INDEX(幕间计算!$E$200:$E$1199,ROW()-ROW(DGArchive[#Headers])))</f>
        <v/>
      </c>
      <c r="K141" s="117" t="str">
        <f>IF(DGArchive[[#This Row],[目标]]="","",INDEX(幕间计算!$F$200:$F$1199,ROW()-ROW(DGArchive[#Headers])))</f>
        <v/>
      </c>
    </row>
    <row r="142" ht="25" customHeight="1" spans="1:11">
      <c r="A142" s="106"/>
      <c r="B142" s="106"/>
      <c r="C142" s="126"/>
      <c r="D142" s="106"/>
      <c r="E142" s="106"/>
      <c r="F142" s="106"/>
      <c r="G142" s="106"/>
      <c r="H142" s="106"/>
      <c r="I142" s="106"/>
      <c r="J142" s="117" t="str">
        <f>IF(DGArchive[[#This Row],[目标]]="","",INDEX(幕间计算!$E$200:$E$1199,ROW()-ROW(DGArchive[#Headers])))</f>
        <v/>
      </c>
      <c r="K142" s="117" t="str">
        <f>IF(DGArchive[[#This Row],[目标]]="","",INDEX(幕间计算!$F$200:$F$1199,ROW()-ROW(DGArchive[#Headers])))</f>
        <v/>
      </c>
    </row>
    <row r="143" ht="25" customHeight="1" spans="1:11">
      <c r="A143" s="106"/>
      <c r="B143" s="106"/>
      <c r="C143" s="126"/>
      <c r="D143" s="106"/>
      <c r="E143" s="106"/>
      <c r="F143" s="106"/>
      <c r="G143" s="106"/>
      <c r="H143" s="106"/>
      <c r="I143" s="106"/>
      <c r="J143" s="117" t="str">
        <f>IF(DGArchive[[#This Row],[目标]]="","",INDEX(幕间计算!$E$200:$E$1199,ROW()-ROW(DGArchive[#Headers])))</f>
        <v/>
      </c>
      <c r="K143" s="117" t="str">
        <f>IF(DGArchive[[#This Row],[目标]]="","",INDEX(幕间计算!$F$200:$F$1199,ROW()-ROW(DGArchive[#Headers])))</f>
        <v/>
      </c>
    </row>
    <row r="144" ht="25" customHeight="1" spans="1:11">
      <c r="A144" s="106"/>
      <c r="B144" s="106"/>
      <c r="C144" s="126"/>
      <c r="D144" s="106"/>
      <c r="E144" s="106"/>
      <c r="F144" s="106"/>
      <c r="G144" s="106"/>
      <c r="H144" s="106"/>
      <c r="I144" s="106"/>
      <c r="J144" s="117" t="str">
        <f>IF(DGArchive[[#This Row],[目标]]="","",INDEX(幕间计算!$E$200:$E$1199,ROW()-ROW(DGArchive[#Headers])))</f>
        <v/>
      </c>
      <c r="K144" s="117" t="str">
        <f>IF(DGArchive[[#This Row],[目标]]="","",INDEX(幕间计算!$F$200:$F$1199,ROW()-ROW(DGArchive[#Headers])))</f>
        <v/>
      </c>
    </row>
    <row r="145" ht="25" customHeight="1" spans="1:11">
      <c r="A145" s="106"/>
      <c r="B145" s="106"/>
      <c r="C145" s="126"/>
      <c r="D145" s="106"/>
      <c r="E145" s="106"/>
      <c r="F145" s="106"/>
      <c r="G145" s="106"/>
      <c r="H145" s="106"/>
      <c r="I145" s="106"/>
      <c r="J145" s="117" t="str">
        <f>IF(DGArchive[[#This Row],[目标]]="","",INDEX(幕间计算!$E$200:$E$1199,ROW()-ROW(DGArchive[#Headers])))</f>
        <v/>
      </c>
      <c r="K145" s="117" t="str">
        <f>IF(DGArchive[[#This Row],[目标]]="","",INDEX(幕间计算!$F$200:$F$1199,ROW()-ROW(DGArchive[#Headers])))</f>
        <v/>
      </c>
    </row>
    <row r="146" ht="25" customHeight="1" spans="1:11">
      <c r="A146" s="106"/>
      <c r="B146" s="106"/>
      <c r="C146" s="126"/>
      <c r="D146" s="106"/>
      <c r="E146" s="106"/>
      <c r="F146" s="106"/>
      <c r="G146" s="106"/>
      <c r="H146" s="106"/>
      <c r="I146" s="106"/>
      <c r="J146" s="117" t="str">
        <f>IF(DGArchive[[#This Row],[目标]]="","",INDEX(幕间计算!$E$200:$E$1199,ROW()-ROW(DGArchive[#Headers])))</f>
        <v/>
      </c>
      <c r="K146" s="117" t="str">
        <f>IF(DGArchive[[#This Row],[目标]]="","",INDEX(幕间计算!$F$200:$F$1199,ROW()-ROW(DGArchive[#Headers])))</f>
        <v/>
      </c>
    </row>
    <row r="147" ht="25" customHeight="1" spans="1:11">
      <c r="A147" s="106"/>
      <c r="B147" s="106"/>
      <c r="C147" s="126"/>
      <c r="D147" s="106"/>
      <c r="E147" s="106"/>
      <c r="F147" s="106"/>
      <c r="G147" s="106"/>
      <c r="H147" s="106"/>
      <c r="I147" s="106"/>
      <c r="J147" s="117" t="str">
        <f>IF(DGArchive[[#This Row],[目标]]="","",INDEX(幕间计算!$E$200:$E$1199,ROW()-ROW(DGArchive[#Headers])))</f>
        <v/>
      </c>
      <c r="K147" s="117" t="str">
        <f>IF(DGArchive[[#This Row],[目标]]="","",INDEX(幕间计算!$F$200:$F$1199,ROW()-ROW(DGArchive[#Headers])))</f>
        <v/>
      </c>
    </row>
    <row r="148" ht="25" customHeight="1" spans="1:11">
      <c r="A148" s="106"/>
      <c r="B148" s="106"/>
      <c r="C148" s="126"/>
      <c r="D148" s="106"/>
      <c r="E148" s="106"/>
      <c r="F148" s="106"/>
      <c r="G148" s="106"/>
      <c r="H148" s="106"/>
      <c r="I148" s="106"/>
      <c r="J148" s="117" t="str">
        <f>IF(DGArchive[[#This Row],[目标]]="","",INDEX(幕间计算!$E$200:$E$1199,ROW()-ROW(DGArchive[#Headers])))</f>
        <v/>
      </c>
      <c r="K148" s="117" t="str">
        <f>IF(DGArchive[[#This Row],[目标]]="","",INDEX(幕间计算!$F$200:$F$1199,ROW()-ROW(DGArchive[#Headers])))</f>
        <v/>
      </c>
    </row>
    <row r="149" ht="25" customHeight="1" spans="1:11">
      <c r="A149" s="106"/>
      <c r="B149" s="106"/>
      <c r="C149" s="126"/>
      <c r="D149" s="106"/>
      <c r="E149" s="106"/>
      <c r="F149" s="106"/>
      <c r="G149" s="106"/>
      <c r="H149" s="106"/>
      <c r="I149" s="106"/>
      <c r="J149" s="117" t="str">
        <f>IF(DGArchive[[#This Row],[目标]]="","",INDEX(幕间计算!$E$200:$E$1199,ROW()-ROW(DGArchive[#Headers])))</f>
        <v/>
      </c>
      <c r="K149" s="117" t="str">
        <f>IF(DGArchive[[#This Row],[目标]]="","",INDEX(幕间计算!$F$200:$F$1199,ROW()-ROW(DGArchive[#Headers])))</f>
        <v/>
      </c>
    </row>
    <row r="150" ht="25" customHeight="1" spans="1:11">
      <c r="A150" s="106"/>
      <c r="B150" s="106"/>
      <c r="C150" s="126"/>
      <c r="D150" s="106"/>
      <c r="E150" s="106"/>
      <c r="F150" s="106"/>
      <c r="G150" s="106"/>
      <c r="H150" s="106"/>
      <c r="I150" s="106"/>
      <c r="J150" s="117" t="str">
        <f>IF(DGArchive[[#This Row],[目标]]="","",INDEX(幕间计算!$E$200:$E$1199,ROW()-ROW(DGArchive[#Headers])))</f>
        <v/>
      </c>
      <c r="K150" s="117" t="str">
        <f>IF(DGArchive[[#This Row],[目标]]="","",INDEX(幕间计算!$F$200:$F$1199,ROW()-ROW(DGArchive[#Headers])))</f>
        <v/>
      </c>
    </row>
    <row r="151" ht="25" customHeight="1" spans="1:11">
      <c r="A151" s="106"/>
      <c r="B151" s="106"/>
      <c r="C151" s="126"/>
      <c r="D151" s="106"/>
      <c r="E151" s="106"/>
      <c r="F151" s="106"/>
      <c r="G151" s="106"/>
      <c r="H151" s="106"/>
      <c r="I151" s="106"/>
      <c r="J151" s="117" t="str">
        <f>IF(DGArchive[[#This Row],[目标]]="","",INDEX(幕间计算!$E$200:$E$1199,ROW()-ROW(DGArchive[#Headers])))</f>
        <v/>
      </c>
      <c r="K151" s="117" t="str">
        <f>IF(DGArchive[[#This Row],[目标]]="","",INDEX(幕间计算!$F$200:$F$1199,ROW()-ROW(DGArchive[#Headers])))</f>
        <v/>
      </c>
    </row>
    <row r="152" ht="25" customHeight="1" spans="1:11">
      <c r="A152" s="106"/>
      <c r="B152" s="106"/>
      <c r="C152" s="126"/>
      <c r="D152" s="106"/>
      <c r="E152" s="106"/>
      <c r="F152" s="106"/>
      <c r="G152" s="106"/>
      <c r="H152" s="106"/>
      <c r="I152" s="106"/>
      <c r="J152" s="117" t="str">
        <f>IF(DGArchive[[#This Row],[目标]]="","",INDEX(幕间计算!$E$200:$E$1199,ROW()-ROW(DGArchive[#Headers])))</f>
        <v/>
      </c>
      <c r="K152" s="117" t="str">
        <f>IF(DGArchive[[#This Row],[目标]]="","",INDEX(幕间计算!$F$200:$F$1199,ROW()-ROW(DGArchive[#Headers])))</f>
        <v/>
      </c>
    </row>
    <row r="153" ht="25" customHeight="1" spans="1:11">
      <c r="A153" s="106"/>
      <c r="B153" s="106"/>
      <c r="C153" s="126"/>
      <c r="D153" s="106"/>
      <c r="E153" s="106"/>
      <c r="F153" s="106"/>
      <c r="G153" s="106"/>
      <c r="H153" s="106"/>
      <c r="I153" s="106"/>
      <c r="J153" s="117" t="str">
        <f>IF(DGArchive[[#This Row],[目标]]="","",INDEX(幕间计算!$E$200:$E$1199,ROW()-ROW(DGArchive[#Headers])))</f>
        <v/>
      </c>
      <c r="K153" s="117" t="str">
        <f>IF(DGArchive[[#This Row],[目标]]="","",INDEX(幕间计算!$F$200:$F$1199,ROW()-ROW(DGArchive[#Headers])))</f>
        <v/>
      </c>
    </row>
    <row r="154" ht="25" customHeight="1" spans="1:11">
      <c r="A154" s="106"/>
      <c r="B154" s="106"/>
      <c r="C154" s="126"/>
      <c r="D154" s="106"/>
      <c r="E154" s="106"/>
      <c r="F154" s="106"/>
      <c r="G154" s="106"/>
      <c r="H154" s="106"/>
      <c r="I154" s="106"/>
      <c r="J154" s="117" t="str">
        <f>IF(DGArchive[[#This Row],[目标]]="","",INDEX(幕间计算!$E$200:$E$1199,ROW()-ROW(DGArchive[#Headers])))</f>
        <v/>
      </c>
      <c r="K154" s="117" t="str">
        <f>IF(DGArchive[[#This Row],[目标]]="","",INDEX(幕间计算!$F$200:$F$1199,ROW()-ROW(DGArchive[#Headers])))</f>
        <v/>
      </c>
    </row>
    <row r="155" ht="25" customHeight="1" spans="1:11">
      <c r="A155" s="106"/>
      <c r="B155" s="106"/>
      <c r="C155" s="126"/>
      <c r="D155" s="106"/>
      <c r="E155" s="106"/>
      <c r="F155" s="106"/>
      <c r="G155" s="106"/>
      <c r="H155" s="106"/>
      <c r="I155" s="106"/>
      <c r="J155" s="117" t="str">
        <f>IF(DGArchive[[#This Row],[目标]]="","",INDEX(幕间计算!$E$200:$E$1199,ROW()-ROW(DGArchive[#Headers])))</f>
        <v/>
      </c>
      <c r="K155" s="117" t="str">
        <f>IF(DGArchive[[#This Row],[目标]]="","",INDEX(幕间计算!$F$200:$F$1199,ROW()-ROW(DGArchive[#Headers])))</f>
        <v/>
      </c>
    </row>
    <row r="156" ht="25" customHeight="1" spans="1:11">
      <c r="A156" s="106"/>
      <c r="B156" s="106"/>
      <c r="C156" s="126"/>
      <c r="D156" s="106"/>
      <c r="E156" s="106"/>
      <c r="F156" s="106"/>
      <c r="G156" s="106"/>
      <c r="H156" s="106"/>
      <c r="I156" s="106"/>
      <c r="J156" s="117" t="str">
        <f>IF(DGArchive[[#This Row],[目标]]="","",INDEX(幕间计算!$E$200:$E$1199,ROW()-ROW(DGArchive[#Headers])))</f>
        <v/>
      </c>
      <c r="K156" s="117" t="str">
        <f>IF(DGArchive[[#This Row],[目标]]="","",INDEX(幕间计算!$F$200:$F$1199,ROW()-ROW(DGArchive[#Headers])))</f>
        <v/>
      </c>
    </row>
    <row r="157" ht="25" customHeight="1" spans="1:11">
      <c r="A157" s="106"/>
      <c r="B157" s="106"/>
      <c r="C157" s="126"/>
      <c r="D157" s="106"/>
      <c r="E157" s="106"/>
      <c r="F157" s="106"/>
      <c r="G157" s="106"/>
      <c r="H157" s="106"/>
      <c r="I157" s="106"/>
      <c r="J157" s="117" t="str">
        <f>IF(DGArchive[[#This Row],[目标]]="","",INDEX(幕间计算!$E$200:$E$1199,ROW()-ROW(DGArchive[#Headers])))</f>
        <v/>
      </c>
      <c r="K157" s="117" t="str">
        <f>IF(DGArchive[[#This Row],[目标]]="","",INDEX(幕间计算!$F$200:$F$1199,ROW()-ROW(DGArchive[#Headers])))</f>
        <v/>
      </c>
    </row>
    <row r="158" ht="25" customHeight="1" spans="1:11">
      <c r="A158" s="106"/>
      <c r="B158" s="106"/>
      <c r="C158" s="126"/>
      <c r="D158" s="106"/>
      <c r="E158" s="106"/>
      <c r="F158" s="106"/>
      <c r="G158" s="106"/>
      <c r="H158" s="106"/>
      <c r="I158" s="106"/>
      <c r="J158" s="117" t="str">
        <f>IF(DGArchive[[#This Row],[目标]]="","",INDEX(幕间计算!$E$200:$E$1199,ROW()-ROW(DGArchive[#Headers])))</f>
        <v/>
      </c>
      <c r="K158" s="117" t="str">
        <f>IF(DGArchive[[#This Row],[目标]]="","",INDEX(幕间计算!$F$200:$F$1199,ROW()-ROW(DGArchive[#Headers])))</f>
        <v/>
      </c>
    </row>
    <row r="159" ht="25" customHeight="1" spans="1:11">
      <c r="A159" s="106"/>
      <c r="B159" s="106"/>
      <c r="C159" s="126"/>
      <c r="D159" s="106"/>
      <c r="E159" s="106"/>
      <c r="F159" s="106"/>
      <c r="G159" s="106"/>
      <c r="H159" s="106"/>
      <c r="I159" s="106"/>
      <c r="J159" s="117" t="str">
        <f>IF(DGArchive[[#This Row],[目标]]="","",INDEX(幕间计算!$E$200:$E$1199,ROW()-ROW(DGArchive[#Headers])))</f>
        <v/>
      </c>
      <c r="K159" s="117" t="str">
        <f>IF(DGArchive[[#This Row],[目标]]="","",INDEX(幕间计算!$F$200:$F$1199,ROW()-ROW(DGArchive[#Headers])))</f>
        <v/>
      </c>
    </row>
    <row r="160" ht="25" customHeight="1" spans="1:11">
      <c r="A160" s="106"/>
      <c r="B160" s="106"/>
      <c r="C160" s="126"/>
      <c r="D160" s="106"/>
      <c r="E160" s="106"/>
      <c r="F160" s="106"/>
      <c r="G160" s="106"/>
      <c r="H160" s="106"/>
      <c r="I160" s="106"/>
      <c r="J160" s="117" t="str">
        <f>IF(DGArchive[[#This Row],[目标]]="","",INDEX(幕间计算!$E$200:$E$1199,ROW()-ROW(DGArchive[#Headers])))</f>
        <v/>
      </c>
      <c r="K160" s="117" t="str">
        <f>IF(DGArchive[[#This Row],[目标]]="","",INDEX(幕间计算!$F$200:$F$1199,ROW()-ROW(DGArchive[#Headers])))</f>
        <v/>
      </c>
    </row>
    <row r="161" ht="25" customHeight="1" spans="1:11">
      <c r="A161" s="106"/>
      <c r="B161" s="106"/>
      <c r="C161" s="126"/>
      <c r="D161" s="106"/>
      <c r="E161" s="106"/>
      <c r="F161" s="106"/>
      <c r="G161" s="106"/>
      <c r="H161" s="106"/>
      <c r="I161" s="106"/>
      <c r="J161" s="117" t="str">
        <f>IF(DGArchive[[#This Row],[目标]]="","",INDEX(幕间计算!$E$200:$E$1199,ROW()-ROW(DGArchive[#Headers])))</f>
        <v/>
      </c>
      <c r="K161" s="117" t="str">
        <f>IF(DGArchive[[#This Row],[目标]]="","",INDEX(幕间计算!$F$200:$F$1199,ROW()-ROW(DGArchive[#Headers])))</f>
        <v/>
      </c>
    </row>
    <row r="162" ht="25" customHeight="1" spans="1:11">
      <c r="A162" s="106"/>
      <c r="B162" s="106"/>
      <c r="C162" s="126"/>
      <c r="D162" s="106"/>
      <c r="E162" s="106"/>
      <c r="F162" s="106"/>
      <c r="G162" s="106"/>
      <c r="H162" s="106"/>
      <c r="I162" s="106"/>
      <c r="J162" s="117" t="str">
        <f>IF(DGArchive[[#This Row],[目标]]="","",INDEX(幕间计算!$E$200:$E$1199,ROW()-ROW(DGArchive[#Headers])))</f>
        <v/>
      </c>
      <c r="K162" s="117" t="str">
        <f>IF(DGArchive[[#This Row],[目标]]="","",INDEX(幕间计算!$F$200:$F$1199,ROW()-ROW(DGArchive[#Headers])))</f>
        <v/>
      </c>
    </row>
    <row r="163" ht="25" customHeight="1" spans="1:11">
      <c r="A163" s="106"/>
      <c r="B163" s="106"/>
      <c r="C163" s="126"/>
      <c r="D163" s="106"/>
      <c r="E163" s="106"/>
      <c r="F163" s="106"/>
      <c r="G163" s="106"/>
      <c r="H163" s="106"/>
      <c r="I163" s="106"/>
      <c r="J163" s="117" t="str">
        <f>IF(DGArchive[[#This Row],[目标]]="","",INDEX(幕间计算!$E$200:$E$1199,ROW()-ROW(DGArchive[#Headers])))</f>
        <v/>
      </c>
      <c r="K163" s="117" t="str">
        <f>IF(DGArchive[[#This Row],[目标]]="","",INDEX(幕间计算!$F$200:$F$1199,ROW()-ROW(DGArchive[#Headers])))</f>
        <v/>
      </c>
    </row>
    <row r="164" ht="25" customHeight="1" spans="1:11">
      <c r="A164" s="106"/>
      <c r="B164" s="106"/>
      <c r="C164" s="126"/>
      <c r="D164" s="106"/>
      <c r="E164" s="106"/>
      <c r="F164" s="106"/>
      <c r="G164" s="106"/>
      <c r="H164" s="106"/>
      <c r="I164" s="106"/>
      <c r="J164" s="117" t="str">
        <f>IF(DGArchive[[#This Row],[目标]]="","",INDEX(幕间计算!$E$200:$E$1199,ROW()-ROW(DGArchive[#Headers])))</f>
        <v/>
      </c>
      <c r="K164" s="117" t="str">
        <f>IF(DGArchive[[#This Row],[目标]]="","",INDEX(幕间计算!$F$200:$F$1199,ROW()-ROW(DGArchive[#Headers])))</f>
        <v/>
      </c>
    </row>
    <row r="165" ht="25" customHeight="1" spans="1:11">
      <c r="A165" s="106"/>
      <c r="B165" s="106"/>
      <c r="C165" s="126"/>
      <c r="D165" s="106"/>
      <c r="E165" s="106"/>
      <c r="F165" s="106"/>
      <c r="G165" s="106"/>
      <c r="H165" s="106"/>
      <c r="I165" s="106"/>
      <c r="J165" s="117" t="str">
        <f>IF(DGArchive[[#This Row],[目标]]="","",INDEX(幕间计算!$E$200:$E$1199,ROW()-ROW(DGArchive[#Headers])))</f>
        <v/>
      </c>
      <c r="K165" s="117" t="str">
        <f>IF(DGArchive[[#This Row],[目标]]="","",INDEX(幕间计算!$F$200:$F$1199,ROW()-ROW(DGArchive[#Headers])))</f>
        <v/>
      </c>
    </row>
    <row r="166" ht="25" customHeight="1" spans="1:11">
      <c r="A166" s="106"/>
      <c r="B166" s="106"/>
      <c r="C166" s="126"/>
      <c r="D166" s="106"/>
      <c r="E166" s="106"/>
      <c r="F166" s="106"/>
      <c r="G166" s="106"/>
      <c r="H166" s="106"/>
      <c r="I166" s="106"/>
      <c r="J166" s="117" t="str">
        <f>IF(DGArchive[[#This Row],[目标]]="","",INDEX(幕间计算!$E$200:$E$1199,ROW()-ROW(DGArchive[#Headers])))</f>
        <v/>
      </c>
      <c r="K166" s="117" t="str">
        <f>IF(DGArchive[[#This Row],[目标]]="","",INDEX(幕间计算!$F$200:$F$1199,ROW()-ROW(DGArchive[#Headers])))</f>
        <v/>
      </c>
    </row>
    <row r="167" ht="25" customHeight="1" spans="1:11">
      <c r="A167" s="106"/>
      <c r="B167" s="106"/>
      <c r="C167" s="126"/>
      <c r="D167" s="106"/>
      <c r="E167" s="106"/>
      <c r="F167" s="106"/>
      <c r="G167" s="106"/>
      <c r="H167" s="106"/>
      <c r="I167" s="106"/>
      <c r="J167" s="117" t="str">
        <f>IF(DGArchive[[#This Row],[目标]]="","",INDEX(幕间计算!$E$200:$E$1199,ROW()-ROW(DGArchive[#Headers])))</f>
        <v/>
      </c>
      <c r="K167" s="117" t="str">
        <f>IF(DGArchive[[#This Row],[目标]]="","",INDEX(幕间计算!$F$200:$F$1199,ROW()-ROW(DGArchive[#Headers])))</f>
        <v/>
      </c>
    </row>
    <row r="168" ht="25" customHeight="1" spans="1:11">
      <c r="A168" s="106"/>
      <c r="B168" s="106"/>
      <c r="C168" s="126"/>
      <c r="D168" s="106"/>
      <c r="E168" s="106"/>
      <c r="F168" s="106"/>
      <c r="G168" s="106"/>
      <c r="H168" s="106"/>
      <c r="I168" s="106"/>
      <c r="J168" s="117" t="str">
        <f>IF(DGArchive[[#This Row],[目标]]="","",INDEX(幕间计算!$E$200:$E$1199,ROW()-ROW(DGArchive[#Headers])))</f>
        <v/>
      </c>
      <c r="K168" s="117" t="str">
        <f>IF(DGArchive[[#This Row],[目标]]="","",INDEX(幕间计算!$F$200:$F$1199,ROW()-ROW(DGArchive[#Headers])))</f>
        <v/>
      </c>
    </row>
    <row r="169" ht="25" customHeight="1" spans="1:11">
      <c r="A169" s="106"/>
      <c r="B169" s="106"/>
      <c r="C169" s="126"/>
      <c r="D169" s="106"/>
      <c r="E169" s="106"/>
      <c r="F169" s="106"/>
      <c r="G169" s="106"/>
      <c r="H169" s="106"/>
      <c r="I169" s="106"/>
      <c r="J169" s="117" t="str">
        <f>IF(DGArchive[[#This Row],[目标]]="","",INDEX(幕间计算!$E$200:$E$1199,ROW()-ROW(DGArchive[#Headers])))</f>
        <v/>
      </c>
      <c r="K169" s="117" t="str">
        <f>IF(DGArchive[[#This Row],[目标]]="","",INDEX(幕间计算!$F$200:$F$1199,ROW()-ROW(DGArchive[#Headers])))</f>
        <v/>
      </c>
    </row>
    <row r="170" ht="25" customHeight="1" spans="1:11">
      <c r="A170" s="106"/>
      <c r="B170" s="106"/>
      <c r="C170" s="126"/>
      <c r="D170" s="106"/>
      <c r="E170" s="106"/>
      <c r="F170" s="106"/>
      <c r="G170" s="106"/>
      <c r="H170" s="106"/>
      <c r="I170" s="106"/>
      <c r="J170" s="117" t="str">
        <f>IF(DGArchive[[#This Row],[目标]]="","",INDEX(幕间计算!$E$200:$E$1199,ROW()-ROW(DGArchive[#Headers])))</f>
        <v/>
      </c>
      <c r="K170" s="117" t="str">
        <f>IF(DGArchive[[#This Row],[目标]]="","",INDEX(幕间计算!$F$200:$F$1199,ROW()-ROW(DGArchive[#Headers])))</f>
        <v/>
      </c>
    </row>
    <row r="171" ht="25" customHeight="1" spans="1:11">
      <c r="A171" s="106"/>
      <c r="B171" s="106"/>
      <c r="C171" s="126"/>
      <c r="D171" s="106"/>
      <c r="E171" s="106"/>
      <c r="F171" s="106"/>
      <c r="G171" s="106"/>
      <c r="H171" s="106"/>
      <c r="I171" s="106"/>
      <c r="J171" s="117" t="str">
        <f>IF(DGArchive[[#This Row],[目标]]="","",INDEX(幕间计算!$E$200:$E$1199,ROW()-ROW(DGArchive[#Headers])))</f>
        <v/>
      </c>
      <c r="K171" s="117" t="str">
        <f>IF(DGArchive[[#This Row],[目标]]="","",INDEX(幕间计算!$F$200:$F$1199,ROW()-ROW(DGArchive[#Headers])))</f>
        <v/>
      </c>
    </row>
    <row r="172" ht="25" customHeight="1" spans="1:11">
      <c r="A172" s="106"/>
      <c r="B172" s="106"/>
      <c r="C172" s="126"/>
      <c r="D172" s="106"/>
      <c r="E172" s="106"/>
      <c r="F172" s="106"/>
      <c r="G172" s="106"/>
      <c r="H172" s="106"/>
      <c r="I172" s="106"/>
      <c r="J172" s="117" t="str">
        <f>IF(DGArchive[[#This Row],[目标]]="","",INDEX(幕间计算!$E$200:$E$1199,ROW()-ROW(DGArchive[#Headers])))</f>
        <v/>
      </c>
      <c r="K172" s="117" t="str">
        <f>IF(DGArchive[[#This Row],[目标]]="","",INDEX(幕间计算!$F$200:$F$1199,ROW()-ROW(DGArchive[#Headers])))</f>
        <v/>
      </c>
    </row>
    <row r="173" ht="25" customHeight="1" spans="1:11">
      <c r="A173" s="106"/>
      <c r="B173" s="106"/>
      <c r="C173" s="126"/>
      <c r="D173" s="106"/>
      <c r="E173" s="106"/>
      <c r="F173" s="106"/>
      <c r="G173" s="106"/>
      <c r="H173" s="106"/>
      <c r="I173" s="106"/>
      <c r="J173" s="117" t="str">
        <f>IF(DGArchive[[#This Row],[目标]]="","",INDEX(幕间计算!$E$200:$E$1199,ROW()-ROW(DGArchive[#Headers])))</f>
        <v/>
      </c>
      <c r="K173" s="117" t="str">
        <f>IF(DGArchive[[#This Row],[目标]]="","",INDEX(幕间计算!$F$200:$F$1199,ROW()-ROW(DGArchive[#Headers])))</f>
        <v/>
      </c>
    </row>
    <row r="174" ht="25" customHeight="1" spans="1:11">
      <c r="A174" s="106"/>
      <c r="B174" s="106"/>
      <c r="C174" s="126"/>
      <c r="D174" s="106"/>
      <c r="E174" s="106"/>
      <c r="F174" s="106"/>
      <c r="G174" s="106"/>
      <c r="H174" s="106"/>
      <c r="I174" s="106"/>
      <c r="J174" s="117" t="str">
        <f>IF(DGArchive[[#This Row],[目标]]="","",INDEX(幕间计算!$E$200:$E$1199,ROW()-ROW(DGArchive[#Headers])))</f>
        <v/>
      </c>
      <c r="K174" s="117" t="str">
        <f>IF(DGArchive[[#This Row],[目标]]="","",INDEX(幕间计算!$F$200:$F$1199,ROW()-ROW(DGArchive[#Headers])))</f>
        <v/>
      </c>
    </row>
    <row r="175" ht="25" customHeight="1" spans="1:11">
      <c r="A175" s="106"/>
      <c r="B175" s="106"/>
      <c r="C175" s="126"/>
      <c r="D175" s="106"/>
      <c r="E175" s="106"/>
      <c r="F175" s="106"/>
      <c r="G175" s="106"/>
      <c r="H175" s="106"/>
      <c r="I175" s="106"/>
      <c r="J175" s="117" t="str">
        <f>IF(DGArchive[[#This Row],[目标]]="","",INDEX(幕间计算!$E$200:$E$1199,ROW()-ROW(DGArchive[#Headers])))</f>
        <v/>
      </c>
      <c r="K175" s="117" t="str">
        <f>IF(DGArchive[[#This Row],[目标]]="","",INDEX(幕间计算!$F$200:$F$1199,ROW()-ROW(DGArchive[#Headers])))</f>
        <v/>
      </c>
    </row>
    <row r="176" ht="25" customHeight="1" spans="1:11">
      <c r="A176" s="106"/>
      <c r="B176" s="106"/>
      <c r="C176" s="126"/>
      <c r="D176" s="106"/>
      <c r="E176" s="106"/>
      <c r="F176" s="106"/>
      <c r="G176" s="106"/>
      <c r="H176" s="106"/>
      <c r="I176" s="106"/>
      <c r="J176" s="117" t="str">
        <f>IF(DGArchive[[#This Row],[目标]]="","",INDEX(幕间计算!$E$200:$E$1199,ROW()-ROW(DGArchive[#Headers])))</f>
        <v/>
      </c>
      <c r="K176" s="117" t="str">
        <f>IF(DGArchive[[#This Row],[目标]]="","",INDEX(幕间计算!$F$200:$F$1199,ROW()-ROW(DGArchive[#Headers])))</f>
        <v/>
      </c>
    </row>
    <row r="177" ht="25" customHeight="1" spans="1:11">
      <c r="A177" s="106"/>
      <c r="B177" s="106"/>
      <c r="C177" s="126"/>
      <c r="D177" s="106"/>
      <c r="E177" s="106"/>
      <c r="F177" s="106"/>
      <c r="G177" s="106"/>
      <c r="H177" s="106"/>
      <c r="I177" s="106"/>
      <c r="J177" s="117" t="str">
        <f>IF(DGArchive[[#This Row],[目标]]="","",INDEX(幕间计算!$E$200:$E$1199,ROW()-ROW(DGArchive[#Headers])))</f>
        <v/>
      </c>
      <c r="K177" s="117" t="str">
        <f>IF(DGArchive[[#This Row],[目标]]="","",INDEX(幕间计算!$F$200:$F$1199,ROW()-ROW(DGArchive[#Headers])))</f>
        <v/>
      </c>
    </row>
    <row r="178" ht="25" customHeight="1" spans="1:11">
      <c r="A178" s="106"/>
      <c r="B178" s="106"/>
      <c r="C178" s="126"/>
      <c r="D178" s="106"/>
      <c r="E178" s="106"/>
      <c r="F178" s="106"/>
      <c r="G178" s="106"/>
      <c r="H178" s="106"/>
      <c r="I178" s="106"/>
      <c r="J178" s="117" t="str">
        <f>IF(DGArchive[[#This Row],[目标]]="","",INDEX(幕间计算!$E$200:$E$1199,ROW()-ROW(DGArchive[#Headers])))</f>
        <v/>
      </c>
      <c r="K178" s="117" t="str">
        <f>IF(DGArchive[[#This Row],[目标]]="","",INDEX(幕间计算!$F$200:$F$1199,ROW()-ROW(DGArchive[#Headers])))</f>
        <v/>
      </c>
    </row>
    <row r="179" ht="25" customHeight="1" spans="1:11">
      <c r="A179" s="106"/>
      <c r="B179" s="106"/>
      <c r="C179" s="126"/>
      <c r="D179" s="106"/>
      <c r="E179" s="106"/>
      <c r="F179" s="106"/>
      <c r="G179" s="106"/>
      <c r="H179" s="106"/>
      <c r="I179" s="106"/>
      <c r="J179" s="117" t="str">
        <f>IF(DGArchive[[#This Row],[目标]]="","",INDEX(幕间计算!$E$200:$E$1199,ROW()-ROW(DGArchive[#Headers])))</f>
        <v/>
      </c>
      <c r="K179" s="117" t="str">
        <f>IF(DGArchive[[#This Row],[目标]]="","",INDEX(幕间计算!$F$200:$F$1199,ROW()-ROW(DGArchive[#Headers])))</f>
        <v/>
      </c>
    </row>
    <row r="180" ht="25" customHeight="1" spans="1:11">
      <c r="A180" s="106"/>
      <c r="B180" s="106"/>
      <c r="C180" s="126"/>
      <c r="D180" s="106"/>
      <c r="E180" s="106"/>
      <c r="F180" s="106"/>
      <c r="G180" s="106"/>
      <c r="H180" s="106"/>
      <c r="I180" s="106"/>
      <c r="J180" s="117" t="str">
        <f>IF(DGArchive[[#This Row],[目标]]="","",INDEX(幕间计算!$E$200:$E$1199,ROW()-ROW(DGArchive[#Headers])))</f>
        <v/>
      </c>
      <c r="K180" s="117" t="str">
        <f>IF(DGArchive[[#This Row],[目标]]="","",INDEX(幕间计算!$F$200:$F$1199,ROW()-ROW(DGArchive[#Headers])))</f>
        <v/>
      </c>
    </row>
    <row r="181" ht="25" customHeight="1" spans="1:11">
      <c r="A181" s="106"/>
      <c r="B181" s="106"/>
      <c r="C181" s="126"/>
      <c r="D181" s="106"/>
      <c r="E181" s="106"/>
      <c r="F181" s="106"/>
      <c r="G181" s="106"/>
      <c r="H181" s="106"/>
      <c r="I181" s="106"/>
      <c r="J181" s="117" t="str">
        <f>IF(DGArchive[[#This Row],[目标]]="","",INDEX(幕间计算!$E$200:$E$1199,ROW()-ROW(DGArchive[#Headers])))</f>
        <v/>
      </c>
      <c r="K181" s="117" t="str">
        <f>IF(DGArchive[[#This Row],[目标]]="","",INDEX(幕间计算!$F$200:$F$1199,ROW()-ROW(DGArchive[#Headers])))</f>
        <v/>
      </c>
    </row>
    <row r="182" ht="25" customHeight="1" spans="1:11">
      <c r="A182" s="106"/>
      <c r="B182" s="106"/>
      <c r="C182" s="126"/>
      <c r="D182" s="106"/>
      <c r="E182" s="106"/>
      <c r="F182" s="106"/>
      <c r="G182" s="106"/>
      <c r="H182" s="106"/>
      <c r="I182" s="106"/>
      <c r="J182" s="117" t="str">
        <f>IF(DGArchive[[#This Row],[目标]]="","",INDEX(幕间计算!$E$200:$E$1199,ROW()-ROW(DGArchive[#Headers])))</f>
        <v/>
      </c>
      <c r="K182" s="117" t="str">
        <f>IF(DGArchive[[#This Row],[目标]]="","",INDEX(幕间计算!$F$200:$F$1199,ROW()-ROW(DGArchive[#Headers])))</f>
        <v/>
      </c>
    </row>
    <row r="183" ht="25" customHeight="1" spans="1:11">
      <c r="A183" s="106"/>
      <c r="B183" s="106"/>
      <c r="C183" s="126"/>
      <c r="D183" s="106"/>
      <c r="E183" s="106"/>
      <c r="F183" s="106"/>
      <c r="G183" s="106"/>
      <c r="H183" s="106"/>
      <c r="I183" s="106"/>
      <c r="J183" s="117" t="str">
        <f>IF(DGArchive[[#This Row],[目标]]="","",INDEX(幕间计算!$E$200:$E$1199,ROW()-ROW(DGArchive[#Headers])))</f>
        <v/>
      </c>
      <c r="K183" s="117" t="str">
        <f>IF(DGArchive[[#This Row],[目标]]="","",INDEX(幕间计算!$F$200:$F$1199,ROW()-ROW(DGArchive[#Headers])))</f>
        <v/>
      </c>
    </row>
    <row r="184" ht="25" customHeight="1" spans="1:11">
      <c r="A184" s="106"/>
      <c r="B184" s="106"/>
      <c r="C184" s="126"/>
      <c r="D184" s="106"/>
      <c r="E184" s="106"/>
      <c r="F184" s="106"/>
      <c r="G184" s="106"/>
      <c r="H184" s="106"/>
      <c r="I184" s="106"/>
      <c r="J184" s="117" t="str">
        <f>IF(DGArchive[[#This Row],[目标]]="","",INDEX(幕间计算!$E$200:$E$1199,ROW()-ROW(DGArchive[#Headers])))</f>
        <v/>
      </c>
      <c r="K184" s="117" t="str">
        <f>IF(DGArchive[[#This Row],[目标]]="","",INDEX(幕间计算!$F$200:$F$1199,ROW()-ROW(DGArchive[#Headers])))</f>
        <v/>
      </c>
    </row>
    <row r="185" ht="25" customHeight="1" spans="1:11">
      <c r="A185" s="106"/>
      <c r="B185" s="106"/>
      <c r="C185" s="126"/>
      <c r="D185" s="106"/>
      <c r="E185" s="106"/>
      <c r="F185" s="106"/>
      <c r="G185" s="106"/>
      <c r="H185" s="106"/>
      <c r="I185" s="106"/>
      <c r="J185" s="117" t="str">
        <f>IF(DGArchive[[#This Row],[目标]]="","",INDEX(幕间计算!$E$200:$E$1199,ROW()-ROW(DGArchive[#Headers])))</f>
        <v/>
      </c>
      <c r="K185" s="117" t="str">
        <f>IF(DGArchive[[#This Row],[目标]]="","",INDEX(幕间计算!$F$200:$F$1199,ROW()-ROW(DGArchive[#Headers])))</f>
        <v/>
      </c>
    </row>
    <row r="186" ht="25" customHeight="1" spans="1:11">
      <c r="A186" s="106"/>
      <c r="B186" s="106"/>
      <c r="C186" s="126"/>
      <c r="D186" s="106"/>
      <c r="E186" s="106"/>
      <c r="F186" s="106"/>
      <c r="G186" s="106"/>
      <c r="H186" s="106"/>
      <c r="I186" s="106"/>
      <c r="J186" s="117" t="str">
        <f>IF(DGArchive[[#This Row],[目标]]="","",INDEX(幕间计算!$E$200:$E$1199,ROW()-ROW(DGArchive[#Headers])))</f>
        <v/>
      </c>
      <c r="K186" s="117" t="str">
        <f>IF(DGArchive[[#This Row],[目标]]="","",INDEX(幕间计算!$F$200:$F$1199,ROW()-ROW(DGArchive[#Headers])))</f>
        <v/>
      </c>
    </row>
    <row r="187" ht="25" customHeight="1" spans="1:11">
      <c r="A187" s="106"/>
      <c r="B187" s="106"/>
      <c r="C187" s="126"/>
      <c r="D187" s="106"/>
      <c r="E187" s="106"/>
      <c r="F187" s="106"/>
      <c r="G187" s="106"/>
      <c r="H187" s="106"/>
      <c r="I187" s="106"/>
      <c r="J187" s="117" t="str">
        <f>IF(DGArchive[[#This Row],[目标]]="","",INDEX(幕间计算!$E$200:$E$1199,ROW()-ROW(DGArchive[#Headers])))</f>
        <v/>
      </c>
      <c r="K187" s="117" t="str">
        <f>IF(DGArchive[[#This Row],[目标]]="","",INDEX(幕间计算!$F$200:$F$1199,ROW()-ROW(DGArchive[#Headers])))</f>
        <v/>
      </c>
    </row>
    <row r="188" ht="25" customHeight="1" spans="1:11">
      <c r="A188" s="106"/>
      <c r="B188" s="106"/>
      <c r="C188" s="126"/>
      <c r="D188" s="106"/>
      <c r="E188" s="106"/>
      <c r="F188" s="106"/>
      <c r="G188" s="106"/>
      <c r="H188" s="106"/>
      <c r="I188" s="106"/>
      <c r="J188" s="117" t="str">
        <f>IF(DGArchive[[#This Row],[目标]]="","",INDEX(幕间计算!$E$200:$E$1199,ROW()-ROW(DGArchive[#Headers])))</f>
        <v/>
      </c>
      <c r="K188" s="117" t="str">
        <f>IF(DGArchive[[#This Row],[目标]]="","",INDEX(幕间计算!$F$200:$F$1199,ROW()-ROW(DGArchive[#Headers])))</f>
        <v/>
      </c>
    </row>
    <row r="189" ht="25" customHeight="1" spans="1:11">
      <c r="A189" s="106"/>
      <c r="B189" s="106"/>
      <c r="C189" s="126"/>
      <c r="D189" s="106"/>
      <c r="E189" s="106"/>
      <c r="F189" s="106"/>
      <c r="G189" s="106"/>
      <c r="H189" s="106"/>
      <c r="I189" s="106"/>
      <c r="J189" s="117" t="str">
        <f>IF(DGArchive[[#This Row],[目标]]="","",INDEX(幕间计算!$E$200:$E$1199,ROW()-ROW(DGArchive[#Headers])))</f>
        <v/>
      </c>
      <c r="K189" s="117" t="str">
        <f>IF(DGArchive[[#This Row],[目标]]="","",INDEX(幕间计算!$F$200:$F$1199,ROW()-ROW(DGArchive[#Headers])))</f>
        <v/>
      </c>
    </row>
    <row r="190" ht="25" customHeight="1" spans="1:11">
      <c r="A190" s="106"/>
      <c r="B190" s="106"/>
      <c r="C190" s="126"/>
      <c r="D190" s="106"/>
      <c r="E190" s="106"/>
      <c r="F190" s="106"/>
      <c r="G190" s="106"/>
      <c r="H190" s="106"/>
      <c r="I190" s="106"/>
      <c r="J190" s="117" t="str">
        <f>IF(DGArchive[[#This Row],[目标]]="","",INDEX(幕间计算!$E$200:$E$1199,ROW()-ROW(DGArchive[#Headers])))</f>
        <v/>
      </c>
      <c r="K190" s="117" t="str">
        <f>IF(DGArchive[[#This Row],[目标]]="","",INDEX(幕间计算!$F$200:$F$1199,ROW()-ROW(DGArchive[#Headers])))</f>
        <v/>
      </c>
    </row>
    <row r="191" ht="25" customHeight="1" spans="1:11">
      <c r="A191" s="106"/>
      <c r="B191" s="106"/>
      <c r="C191" s="126"/>
      <c r="D191" s="106"/>
      <c r="E191" s="106"/>
      <c r="F191" s="106"/>
      <c r="G191" s="106"/>
      <c r="H191" s="106"/>
      <c r="I191" s="106"/>
      <c r="J191" s="117" t="str">
        <f>IF(DGArchive[[#This Row],[目标]]="","",INDEX(幕间计算!$E$200:$E$1199,ROW()-ROW(DGArchive[#Headers])))</f>
        <v/>
      </c>
      <c r="K191" s="117" t="str">
        <f>IF(DGArchive[[#This Row],[目标]]="","",INDEX(幕间计算!$F$200:$F$1199,ROW()-ROW(DGArchive[#Headers])))</f>
        <v/>
      </c>
    </row>
    <row r="192" ht="25" customHeight="1" spans="1:11">
      <c r="A192" s="106"/>
      <c r="B192" s="106"/>
      <c r="C192" s="126"/>
      <c r="D192" s="106"/>
      <c r="E192" s="106"/>
      <c r="F192" s="106"/>
      <c r="G192" s="106"/>
      <c r="H192" s="106"/>
      <c r="I192" s="106"/>
      <c r="J192" s="117" t="str">
        <f>IF(DGArchive[[#This Row],[目标]]="","",INDEX(幕间计算!$E$200:$E$1199,ROW()-ROW(DGArchive[#Headers])))</f>
        <v/>
      </c>
      <c r="K192" s="117" t="str">
        <f>IF(DGArchive[[#This Row],[目标]]="","",INDEX(幕间计算!$F$200:$F$1199,ROW()-ROW(DGArchive[#Headers])))</f>
        <v/>
      </c>
    </row>
    <row r="193" ht="25" customHeight="1" spans="1:11">
      <c r="A193" s="106"/>
      <c r="B193" s="106"/>
      <c r="C193" s="126"/>
      <c r="D193" s="106"/>
      <c r="E193" s="106"/>
      <c r="F193" s="106"/>
      <c r="G193" s="106"/>
      <c r="H193" s="106"/>
      <c r="I193" s="106"/>
      <c r="J193" s="117" t="str">
        <f>IF(DGArchive[[#This Row],[目标]]="","",INDEX(幕间计算!$E$200:$E$1199,ROW()-ROW(DGArchive[#Headers])))</f>
        <v/>
      </c>
      <c r="K193" s="117" t="str">
        <f>IF(DGArchive[[#This Row],[目标]]="","",INDEX(幕间计算!$F$200:$F$1199,ROW()-ROW(DGArchive[#Headers])))</f>
        <v/>
      </c>
    </row>
    <row r="194" ht="25" customHeight="1" spans="1:11">
      <c r="A194" s="106"/>
      <c r="B194" s="106"/>
      <c r="C194" s="126"/>
      <c r="D194" s="106"/>
      <c r="E194" s="106"/>
      <c r="F194" s="106"/>
      <c r="G194" s="106"/>
      <c r="H194" s="106"/>
      <c r="I194" s="106"/>
      <c r="J194" s="117" t="str">
        <f>IF(DGArchive[[#This Row],[目标]]="","",INDEX(幕间计算!$E$200:$E$1199,ROW()-ROW(DGArchive[#Headers])))</f>
        <v/>
      </c>
      <c r="K194" s="117" t="str">
        <f>IF(DGArchive[[#This Row],[目标]]="","",INDEX(幕间计算!$F$200:$F$1199,ROW()-ROW(DGArchive[#Headers])))</f>
        <v/>
      </c>
    </row>
    <row r="195" ht="25" customHeight="1" spans="1:11">
      <c r="A195" s="106"/>
      <c r="B195" s="106"/>
      <c r="C195" s="126"/>
      <c r="D195" s="106"/>
      <c r="E195" s="106"/>
      <c r="F195" s="106"/>
      <c r="G195" s="106"/>
      <c r="H195" s="106"/>
      <c r="I195" s="106"/>
      <c r="J195" s="117" t="str">
        <f>IF(DGArchive[[#This Row],[目标]]="","",INDEX(幕间计算!$E$200:$E$1199,ROW()-ROW(DGArchive[#Headers])))</f>
        <v/>
      </c>
      <c r="K195" s="117" t="str">
        <f>IF(DGArchive[[#This Row],[目标]]="","",INDEX(幕间计算!$F$200:$F$1199,ROW()-ROW(DGArchive[#Headers])))</f>
        <v/>
      </c>
    </row>
    <row r="196" ht="25" customHeight="1" spans="1:11">
      <c r="A196" s="106"/>
      <c r="B196" s="106"/>
      <c r="C196" s="126"/>
      <c r="D196" s="106"/>
      <c r="E196" s="106"/>
      <c r="F196" s="106"/>
      <c r="G196" s="106"/>
      <c r="H196" s="106"/>
      <c r="I196" s="106"/>
      <c r="J196" s="117" t="str">
        <f>IF(DGArchive[[#This Row],[目标]]="","",INDEX(幕间计算!$E$200:$E$1199,ROW()-ROW(DGArchive[#Headers])))</f>
        <v/>
      </c>
      <c r="K196" s="117" t="str">
        <f>IF(DGArchive[[#This Row],[目标]]="","",INDEX(幕间计算!$F$200:$F$1199,ROW()-ROW(DGArchive[#Headers])))</f>
        <v/>
      </c>
    </row>
    <row r="197" ht="25" customHeight="1" spans="1:11">
      <c r="A197" s="106"/>
      <c r="B197" s="106"/>
      <c r="C197" s="126"/>
      <c r="D197" s="106"/>
      <c r="E197" s="106"/>
      <c r="F197" s="106"/>
      <c r="G197" s="106"/>
      <c r="H197" s="106"/>
      <c r="I197" s="106"/>
      <c r="J197" s="117" t="str">
        <f>IF(DGArchive[[#This Row],[目标]]="","",INDEX(幕间计算!$E$200:$E$1199,ROW()-ROW(DGArchive[#Headers])))</f>
        <v/>
      </c>
      <c r="K197" s="117" t="str">
        <f>IF(DGArchive[[#This Row],[目标]]="","",INDEX(幕间计算!$F$200:$F$1199,ROW()-ROW(DGArchive[#Headers])))</f>
        <v/>
      </c>
    </row>
    <row r="198" ht="25" customHeight="1" spans="1:11">
      <c r="A198" s="106"/>
      <c r="B198" s="106"/>
      <c r="C198" s="126"/>
      <c r="D198" s="106"/>
      <c r="E198" s="106"/>
      <c r="F198" s="106"/>
      <c r="G198" s="106"/>
      <c r="H198" s="106"/>
      <c r="I198" s="106"/>
      <c r="J198" s="117" t="str">
        <f>IF(DGArchive[[#This Row],[目标]]="","",INDEX(幕间计算!$E$200:$E$1199,ROW()-ROW(DGArchive[#Headers])))</f>
        <v/>
      </c>
      <c r="K198" s="117" t="str">
        <f>IF(DGArchive[[#This Row],[目标]]="","",INDEX(幕间计算!$F$200:$F$1199,ROW()-ROW(DGArchive[#Headers])))</f>
        <v/>
      </c>
    </row>
    <row r="199" ht="25" customHeight="1" spans="1:11">
      <c r="A199" s="106"/>
      <c r="B199" s="106"/>
      <c r="C199" s="126"/>
      <c r="D199" s="106"/>
      <c r="E199" s="106"/>
      <c r="F199" s="106"/>
      <c r="G199" s="106"/>
      <c r="H199" s="106"/>
      <c r="I199" s="106"/>
      <c r="J199" s="117" t="str">
        <f>IF(DGArchive[[#This Row],[目标]]="","",INDEX(幕间计算!$E$200:$E$1199,ROW()-ROW(DGArchive[#Headers])))</f>
        <v/>
      </c>
      <c r="K199" s="117" t="str">
        <f>IF(DGArchive[[#This Row],[目标]]="","",INDEX(幕间计算!$F$200:$F$1199,ROW()-ROW(DGArchive[#Headers])))</f>
        <v/>
      </c>
    </row>
    <row r="200" ht="25" customHeight="1" spans="1:11">
      <c r="A200" s="106"/>
      <c r="B200" s="106"/>
      <c r="C200" s="126"/>
      <c r="D200" s="106"/>
      <c r="E200" s="106"/>
      <c r="F200" s="106"/>
      <c r="G200" s="106"/>
      <c r="H200" s="106"/>
      <c r="I200" s="106"/>
      <c r="J200" s="117" t="str">
        <f>IF(DGArchive[[#This Row],[目标]]="","",INDEX(幕间计算!$E$200:$E$1199,ROW()-ROW(DGArchive[#Headers])))</f>
        <v/>
      </c>
      <c r="K200" s="117" t="str">
        <f>IF(DGArchive[[#This Row],[目标]]="","",INDEX(幕间计算!$F$200:$F$1199,ROW()-ROW(DGArchive[#Headers])))</f>
        <v/>
      </c>
    </row>
    <row r="201" ht="25" customHeight="1" spans="1:11">
      <c r="A201" s="106"/>
      <c r="B201" s="106"/>
      <c r="C201" s="126"/>
      <c r="D201" s="106"/>
      <c r="E201" s="106"/>
      <c r="F201" s="106"/>
      <c r="G201" s="106"/>
      <c r="H201" s="106"/>
      <c r="I201" s="106"/>
      <c r="J201" s="117" t="str">
        <f>IF(DGArchive[[#This Row],[目标]]="","",INDEX(幕间计算!$E$200:$E$1199,ROW()-ROW(DGArchive[#Headers])))</f>
        <v/>
      </c>
      <c r="K201" s="117" t="str">
        <f>IF(DGArchive[[#This Row],[目标]]="","",INDEX(幕间计算!$F$200:$F$1199,ROW()-ROW(DGArchive[#Headers])))</f>
        <v/>
      </c>
    </row>
    <row r="202" ht="25" customHeight="1" spans="1:11">
      <c r="A202" s="106"/>
      <c r="B202" s="106"/>
      <c r="C202" s="126"/>
      <c r="D202" s="106"/>
      <c r="E202" s="106"/>
      <c r="F202" s="106"/>
      <c r="G202" s="106"/>
      <c r="H202" s="106"/>
      <c r="I202" s="106"/>
      <c r="J202" s="117" t="str">
        <f>IF(DGArchive[[#This Row],[目标]]="","",INDEX(幕间计算!$E$200:$E$1199,ROW()-ROW(DGArchive[#Headers])))</f>
        <v/>
      </c>
      <c r="K202" s="117" t="str">
        <f>IF(DGArchive[[#This Row],[目标]]="","",INDEX(幕间计算!$F$200:$F$1199,ROW()-ROW(DGArchive[#Headers])))</f>
        <v/>
      </c>
    </row>
    <row r="203" ht="25" customHeight="1" spans="1:11">
      <c r="A203" s="106"/>
      <c r="B203" s="106"/>
      <c r="C203" s="126"/>
      <c r="D203" s="106"/>
      <c r="E203" s="106"/>
      <c r="F203" s="106"/>
      <c r="G203" s="106"/>
      <c r="H203" s="106"/>
      <c r="I203" s="106"/>
      <c r="J203" s="117" t="str">
        <f>IF(DGArchive[[#This Row],[目标]]="","",INDEX(幕间计算!$E$200:$E$1199,ROW()-ROW(DGArchive[#Headers])))</f>
        <v/>
      </c>
      <c r="K203" s="117" t="str">
        <f>IF(DGArchive[[#This Row],[目标]]="","",INDEX(幕间计算!$F$200:$F$1199,ROW()-ROW(DGArchive[#Headers])))</f>
        <v/>
      </c>
    </row>
    <row r="204" ht="25" customHeight="1" spans="1:11">
      <c r="A204" s="106"/>
      <c r="B204" s="106"/>
      <c r="C204" s="126"/>
      <c r="D204" s="106"/>
      <c r="E204" s="106"/>
      <c r="F204" s="106"/>
      <c r="G204" s="106"/>
      <c r="H204" s="106"/>
      <c r="I204" s="106"/>
      <c r="J204" s="117" t="str">
        <f>IF(DGArchive[[#This Row],[目标]]="","",INDEX(幕间计算!$E$200:$E$1199,ROW()-ROW(DGArchive[#Headers])))</f>
        <v/>
      </c>
      <c r="K204" s="117" t="str">
        <f>IF(DGArchive[[#This Row],[目标]]="","",INDEX(幕间计算!$F$200:$F$1199,ROW()-ROW(DGArchive[#Headers])))</f>
        <v/>
      </c>
    </row>
    <row r="205" ht="25" customHeight="1" spans="1:11">
      <c r="A205" s="106"/>
      <c r="B205" s="106"/>
      <c r="C205" s="126"/>
      <c r="D205" s="106"/>
      <c r="E205" s="106"/>
      <c r="F205" s="106"/>
      <c r="G205" s="106"/>
      <c r="H205" s="106"/>
      <c r="I205" s="106"/>
      <c r="J205" s="117" t="str">
        <f>IF(DGArchive[[#This Row],[目标]]="","",INDEX(幕间计算!$E$200:$E$1199,ROW()-ROW(DGArchive[#Headers])))</f>
        <v/>
      </c>
      <c r="K205" s="117" t="str">
        <f>IF(DGArchive[[#This Row],[目标]]="","",INDEX(幕间计算!$F$200:$F$1199,ROW()-ROW(DGArchive[#Headers])))</f>
        <v/>
      </c>
    </row>
    <row r="206" ht="25" customHeight="1" spans="1:11">
      <c r="A206" s="106"/>
      <c r="B206" s="106"/>
      <c r="C206" s="126"/>
      <c r="D206" s="106"/>
      <c r="E206" s="106"/>
      <c r="F206" s="106"/>
      <c r="G206" s="106"/>
      <c r="H206" s="106"/>
      <c r="I206" s="106"/>
      <c r="J206" s="117" t="str">
        <f>IF(DGArchive[[#This Row],[目标]]="","",INDEX(幕间计算!$E$200:$E$1199,ROW()-ROW(DGArchive[#Headers])))</f>
        <v/>
      </c>
      <c r="K206" s="117" t="str">
        <f>IF(DGArchive[[#This Row],[目标]]="","",INDEX(幕间计算!$F$200:$F$1199,ROW()-ROW(DGArchive[#Headers])))</f>
        <v/>
      </c>
    </row>
    <row r="207" ht="25" customHeight="1" spans="1:11">
      <c r="A207" s="106"/>
      <c r="B207" s="106"/>
      <c r="C207" s="126"/>
      <c r="D207" s="106"/>
      <c r="E207" s="106"/>
      <c r="F207" s="106"/>
      <c r="G207" s="106"/>
      <c r="H207" s="106"/>
      <c r="I207" s="106"/>
      <c r="J207" s="117" t="str">
        <f>IF(DGArchive[[#This Row],[目标]]="","",INDEX(幕间计算!$E$200:$E$1199,ROW()-ROW(DGArchive[#Headers])))</f>
        <v/>
      </c>
      <c r="K207" s="117" t="str">
        <f>IF(DGArchive[[#This Row],[目标]]="","",INDEX(幕间计算!$F$200:$F$1199,ROW()-ROW(DGArchive[#Headers])))</f>
        <v/>
      </c>
    </row>
    <row r="208" ht="25" customHeight="1" spans="1:11">
      <c r="A208" s="106"/>
      <c r="B208" s="106"/>
      <c r="C208" s="126"/>
      <c r="D208" s="106"/>
      <c r="E208" s="106"/>
      <c r="F208" s="106"/>
      <c r="G208" s="106"/>
      <c r="H208" s="106"/>
      <c r="I208" s="106"/>
      <c r="J208" s="117" t="str">
        <f>IF(DGArchive[[#This Row],[目标]]="","",INDEX(幕间计算!$E$200:$E$1199,ROW()-ROW(DGArchive[#Headers])))</f>
        <v/>
      </c>
      <c r="K208" s="117" t="str">
        <f>IF(DGArchive[[#This Row],[目标]]="","",INDEX(幕间计算!$F$200:$F$1199,ROW()-ROW(DGArchive[#Headers])))</f>
        <v/>
      </c>
    </row>
    <row r="209" ht="25" customHeight="1" spans="1:11">
      <c r="A209" s="106"/>
      <c r="B209" s="106"/>
      <c r="C209" s="126"/>
      <c r="D209" s="106"/>
      <c r="E209" s="106"/>
      <c r="F209" s="106"/>
      <c r="G209" s="106"/>
      <c r="H209" s="106"/>
      <c r="I209" s="106"/>
      <c r="J209" s="117" t="str">
        <f>IF(DGArchive[[#This Row],[目标]]="","",INDEX(幕间计算!$E$200:$E$1199,ROW()-ROW(DGArchive[#Headers])))</f>
        <v/>
      </c>
      <c r="K209" s="117" t="str">
        <f>IF(DGArchive[[#This Row],[目标]]="","",INDEX(幕间计算!$F$200:$F$1199,ROW()-ROW(DGArchive[#Headers])))</f>
        <v/>
      </c>
    </row>
    <row r="210" ht="25" customHeight="1" spans="1:11">
      <c r="A210" s="106"/>
      <c r="B210" s="106"/>
      <c r="C210" s="126"/>
      <c r="D210" s="106"/>
      <c r="E210" s="106"/>
      <c r="F210" s="106"/>
      <c r="G210" s="106"/>
      <c r="H210" s="106"/>
      <c r="I210" s="106"/>
      <c r="J210" s="117" t="str">
        <f>IF(DGArchive[[#This Row],[目标]]="","",INDEX(幕间计算!$E$200:$E$1199,ROW()-ROW(DGArchive[#Headers])))</f>
        <v/>
      </c>
      <c r="K210" s="117" t="str">
        <f>IF(DGArchive[[#This Row],[目标]]="","",INDEX(幕间计算!$F$200:$F$1199,ROW()-ROW(DGArchive[#Headers])))</f>
        <v/>
      </c>
    </row>
    <row r="211" ht="25" customHeight="1" spans="1:11">
      <c r="A211" s="106"/>
      <c r="B211" s="106"/>
      <c r="C211" s="126"/>
      <c r="D211" s="106"/>
      <c r="E211" s="106"/>
      <c r="F211" s="106"/>
      <c r="G211" s="106"/>
      <c r="H211" s="106"/>
      <c r="I211" s="106"/>
      <c r="J211" s="117" t="str">
        <f>IF(DGArchive[[#This Row],[目标]]="","",INDEX(幕间计算!$E$200:$E$1199,ROW()-ROW(DGArchive[#Headers])))</f>
        <v/>
      </c>
      <c r="K211" s="117" t="str">
        <f>IF(DGArchive[[#This Row],[目标]]="","",INDEX(幕间计算!$F$200:$F$1199,ROW()-ROW(DGArchive[#Headers])))</f>
        <v/>
      </c>
    </row>
    <row r="212" ht="25" customHeight="1" spans="1:11">
      <c r="A212" s="106"/>
      <c r="B212" s="106"/>
      <c r="C212" s="126"/>
      <c r="D212" s="106"/>
      <c r="E212" s="106"/>
      <c r="F212" s="106"/>
      <c r="G212" s="106"/>
      <c r="H212" s="106"/>
      <c r="I212" s="106"/>
      <c r="J212" s="117" t="str">
        <f>IF(DGArchive[[#This Row],[目标]]="","",INDEX(幕间计算!$E$200:$E$1199,ROW()-ROW(DGArchive[#Headers])))</f>
        <v/>
      </c>
      <c r="K212" s="117" t="str">
        <f>IF(DGArchive[[#This Row],[目标]]="","",INDEX(幕间计算!$F$200:$F$1199,ROW()-ROW(DGArchive[#Headers])))</f>
        <v/>
      </c>
    </row>
    <row r="213" ht="25" customHeight="1" spans="1:11">
      <c r="A213" s="106"/>
      <c r="B213" s="106"/>
      <c r="C213" s="126"/>
      <c r="D213" s="106"/>
      <c r="E213" s="106"/>
      <c r="F213" s="106"/>
      <c r="G213" s="106"/>
      <c r="H213" s="106"/>
      <c r="I213" s="106"/>
      <c r="J213" s="117" t="str">
        <f>IF(DGArchive[[#This Row],[目标]]="","",INDEX(幕间计算!$E$200:$E$1199,ROW()-ROW(DGArchive[#Headers])))</f>
        <v/>
      </c>
      <c r="K213" s="117" t="str">
        <f>IF(DGArchive[[#This Row],[目标]]="","",INDEX(幕间计算!$F$200:$F$1199,ROW()-ROW(DGArchive[#Headers])))</f>
        <v/>
      </c>
    </row>
    <row r="214" ht="25" customHeight="1" spans="1:11">
      <c r="A214" s="106"/>
      <c r="B214" s="106"/>
      <c r="C214" s="126"/>
      <c r="D214" s="106"/>
      <c r="E214" s="106"/>
      <c r="F214" s="106"/>
      <c r="G214" s="106"/>
      <c r="H214" s="106"/>
      <c r="I214" s="106"/>
      <c r="J214" s="117" t="str">
        <f>IF(DGArchive[[#This Row],[目标]]="","",INDEX(幕间计算!$E$200:$E$1199,ROW()-ROW(DGArchive[#Headers])))</f>
        <v/>
      </c>
      <c r="K214" s="117" t="str">
        <f>IF(DGArchive[[#This Row],[目标]]="","",INDEX(幕间计算!$F$200:$F$1199,ROW()-ROW(DGArchive[#Headers])))</f>
        <v/>
      </c>
    </row>
    <row r="215" ht="25" customHeight="1" spans="1:11">
      <c r="A215" s="106"/>
      <c r="B215" s="106"/>
      <c r="C215" s="126"/>
      <c r="D215" s="106"/>
      <c r="E215" s="106"/>
      <c r="F215" s="106"/>
      <c r="G215" s="106"/>
      <c r="H215" s="106"/>
      <c r="I215" s="106"/>
      <c r="J215" s="117" t="str">
        <f>IF(DGArchive[[#This Row],[目标]]="","",INDEX(幕间计算!$E$200:$E$1199,ROW()-ROW(DGArchive[#Headers])))</f>
        <v/>
      </c>
      <c r="K215" s="117" t="str">
        <f>IF(DGArchive[[#This Row],[目标]]="","",INDEX(幕间计算!$F$200:$F$1199,ROW()-ROW(DGArchive[#Headers])))</f>
        <v/>
      </c>
    </row>
    <row r="216" ht="25" customHeight="1" spans="1:11">
      <c r="A216" s="106"/>
      <c r="B216" s="106"/>
      <c r="C216" s="126"/>
      <c r="D216" s="106"/>
      <c r="E216" s="106"/>
      <c r="F216" s="106"/>
      <c r="G216" s="106"/>
      <c r="H216" s="106"/>
      <c r="I216" s="106"/>
      <c r="J216" s="117" t="str">
        <f>IF(DGArchive[[#This Row],[目标]]="","",INDEX(幕间计算!$E$200:$E$1199,ROW()-ROW(DGArchive[#Headers])))</f>
        <v/>
      </c>
      <c r="K216" s="117" t="str">
        <f>IF(DGArchive[[#This Row],[目标]]="","",INDEX(幕间计算!$F$200:$F$1199,ROW()-ROW(DGArchive[#Headers])))</f>
        <v/>
      </c>
    </row>
    <row r="217" ht="25" customHeight="1" spans="1:11">
      <c r="A217" s="106"/>
      <c r="B217" s="106"/>
      <c r="C217" s="126"/>
      <c r="D217" s="106"/>
      <c r="E217" s="106"/>
      <c r="F217" s="106"/>
      <c r="G217" s="106"/>
      <c r="H217" s="106"/>
      <c r="I217" s="106"/>
      <c r="J217" s="117" t="str">
        <f>IF(DGArchive[[#This Row],[目标]]="","",INDEX(幕间计算!$E$200:$E$1199,ROW()-ROW(DGArchive[#Headers])))</f>
        <v/>
      </c>
      <c r="K217" s="117" t="str">
        <f>IF(DGArchive[[#This Row],[目标]]="","",INDEX(幕间计算!$F$200:$F$1199,ROW()-ROW(DGArchive[#Headers])))</f>
        <v/>
      </c>
    </row>
    <row r="218" ht="25" customHeight="1" spans="1:11">
      <c r="A218" s="106"/>
      <c r="B218" s="106"/>
      <c r="C218" s="126"/>
      <c r="D218" s="106"/>
      <c r="E218" s="106"/>
      <c r="F218" s="106"/>
      <c r="G218" s="106"/>
      <c r="H218" s="106"/>
      <c r="I218" s="106"/>
      <c r="J218" s="117" t="str">
        <f>IF(DGArchive[[#This Row],[目标]]="","",INDEX(幕间计算!$E$200:$E$1199,ROW()-ROW(DGArchive[#Headers])))</f>
        <v/>
      </c>
      <c r="K218" s="117" t="str">
        <f>IF(DGArchive[[#This Row],[目标]]="","",INDEX(幕间计算!$F$200:$F$1199,ROW()-ROW(DGArchive[#Headers])))</f>
        <v/>
      </c>
    </row>
    <row r="219" ht="25" customHeight="1" spans="1:11">
      <c r="A219" s="106"/>
      <c r="B219" s="106"/>
      <c r="C219" s="126"/>
      <c r="D219" s="106"/>
      <c r="E219" s="106"/>
      <c r="F219" s="106"/>
      <c r="G219" s="106"/>
      <c r="H219" s="106"/>
      <c r="I219" s="106"/>
      <c r="J219" s="117" t="str">
        <f>IF(DGArchive[[#This Row],[目标]]="","",INDEX(幕间计算!$E$200:$E$1199,ROW()-ROW(DGArchive[#Headers])))</f>
        <v/>
      </c>
      <c r="K219" s="117" t="str">
        <f>IF(DGArchive[[#This Row],[目标]]="","",INDEX(幕间计算!$F$200:$F$1199,ROW()-ROW(DGArchive[#Headers])))</f>
        <v/>
      </c>
    </row>
    <row r="220" ht="25" customHeight="1" spans="1:11">
      <c r="A220" s="106"/>
      <c r="B220" s="106"/>
      <c r="C220" s="126"/>
      <c r="D220" s="106"/>
      <c r="E220" s="106"/>
      <c r="F220" s="106"/>
      <c r="G220" s="106"/>
      <c r="H220" s="106"/>
      <c r="I220" s="106"/>
      <c r="J220" s="117" t="str">
        <f>IF(DGArchive[[#This Row],[目标]]="","",INDEX(幕间计算!$E$200:$E$1199,ROW()-ROW(DGArchive[#Headers])))</f>
        <v/>
      </c>
      <c r="K220" s="117" t="str">
        <f>IF(DGArchive[[#This Row],[目标]]="","",INDEX(幕间计算!$F$200:$F$1199,ROW()-ROW(DGArchive[#Headers])))</f>
        <v/>
      </c>
    </row>
    <row r="221" ht="25" customHeight="1" spans="1:11">
      <c r="A221" s="106"/>
      <c r="B221" s="106"/>
      <c r="C221" s="126"/>
      <c r="D221" s="106"/>
      <c r="E221" s="106"/>
      <c r="F221" s="106"/>
      <c r="G221" s="106"/>
      <c r="H221" s="106"/>
      <c r="I221" s="106"/>
      <c r="J221" s="117" t="str">
        <f>IF(DGArchive[[#This Row],[目标]]="","",INDEX(幕间计算!$E$200:$E$1199,ROW()-ROW(DGArchive[#Headers])))</f>
        <v/>
      </c>
      <c r="K221" s="117" t="str">
        <f>IF(DGArchive[[#This Row],[目标]]="","",INDEX(幕间计算!$F$200:$F$1199,ROW()-ROW(DGArchive[#Headers])))</f>
        <v/>
      </c>
    </row>
    <row r="222" ht="25" customHeight="1" spans="1:11">
      <c r="A222" s="106"/>
      <c r="B222" s="106"/>
      <c r="C222" s="126"/>
      <c r="D222" s="106"/>
      <c r="E222" s="106"/>
      <c r="F222" s="106"/>
      <c r="G222" s="106"/>
      <c r="H222" s="106"/>
      <c r="I222" s="106"/>
      <c r="J222" s="117" t="str">
        <f>IF(DGArchive[[#This Row],[目标]]="","",INDEX(幕间计算!$E$200:$E$1199,ROW()-ROW(DGArchive[#Headers])))</f>
        <v/>
      </c>
      <c r="K222" s="117" t="str">
        <f>IF(DGArchive[[#This Row],[目标]]="","",INDEX(幕间计算!$F$200:$F$1199,ROW()-ROW(DGArchive[#Headers])))</f>
        <v/>
      </c>
    </row>
    <row r="223" ht="25" customHeight="1" spans="1:11">
      <c r="A223" s="106"/>
      <c r="B223" s="106"/>
      <c r="C223" s="126"/>
      <c r="D223" s="106"/>
      <c r="E223" s="106"/>
      <c r="F223" s="106"/>
      <c r="G223" s="106"/>
      <c r="H223" s="106"/>
      <c r="I223" s="106"/>
      <c r="J223" s="117" t="str">
        <f>IF(DGArchive[[#This Row],[目标]]="","",INDEX(幕间计算!$E$200:$E$1199,ROW()-ROW(DGArchive[#Headers])))</f>
        <v/>
      </c>
      <c r="K223" s="117" t="str">
        <f>IF(DGArchive[[#This Row],[目标]]="","",INDEX(幕间计算!$F$200:$F$1199,ROW()-ROW(DGArchive[#Headers])))</f>
        <v/>
      </c>
    </row>
    <row r="224" ht="25" customHeight="1" spans="1:11">
      <c r="A224" s="106"/>
      <c r="B224" s="106"/>
      <c r="C224" s="126"/>
      <c r="D224" s="106"/>
      <c r="E224" s="106"/>
      <c r="F224" s="106"/>
      <c r="G224" s="106"/>
      <c r="H224" s="106"/>
      <c r="I224" s="106"/>
      <c r="J224" s="117" t="str">
        <f>IF(DGArchive[[#This Row],[目标]]="","",INDEX(幕间计算!$E$200:$E$1199,ROW()-ROW(DGArchive[#Headers])))</f>
        <v/>
      </c>
      <c r="K224" s="117" t="str">
        <f>IF(DGArchive[[#This Row],[目标]]="","",INDEX(幕间计算!$F$200:$F$1199,ROW()-ROW(DGArchive[#Headers])))</f>
        <v/>
      </c>
    </row>
    <row r="225" ht="25" customHeight="1" spans="1:11">
      <c r="A225" s="106"/>
      <c r="B225" s="106"/>
      <c r="C225" s="126"/>
      <c r="D225" s="106"/>
      <c r="E225" s="106"/>
      <c r="F225" s="106"/>
      <c r="G225" s="106"/>
      <c r="H225" s="106"/>
      <c r="I225" s="106"/>
      <c r="J225" s="117" t="str">
        <f>IF(DGArchive[[#This Row],[目标]]="","",INDEX(幕间计算!$E$200:$E$1199,ROW()-ROW(DGArchive[#Headers])))</f>
        <v/>
      </c>
      <c r="K225" s="117" t="str">
        <f>IF(DGArchive[[#This Row],[目标]]="","",INDEX(幕间计算!$F$200:$F$1199,ROW()-ROW(DGArchive[#Headers])))</f>
        <v/>
      </c>
    </row>
    <row r="226" ht="25" customHeight="1" spans="1:11">
      <c r="A226" s="106"/>
      <c r="B226" s="106"/>
      <c r="C226" s="126"/>
      <c r="D226" s="106"/>
      <c r="E226" s="106"/>
      <c r="F226" s="106"/>
      <c r="G226" s="106"/>
      <c r="H226" s="106"/>
      <c r="I226" s="106"/>
      <c r="J226" s="117" t="str">
        <f>IF(DGArchive[[#This Row],[目标]]="","",INDEX(幕间计算!$E$200:$E$1199,ROW()-ROW(DGArchive[#Headers])))</f>
        <v/>
      </c>
      <c r="K226" s="117" t="str">
        <f>IF(DGArchive[[#This Row],[目标]]="","",INDEX(幕间计算!$F$200:$F$1199,ROW()-ROW(DGArchive[#Headers])))</f>
        <v/>
      </c>
    </row>
    <row r="227" ht="25" customHeight="1" spans="1:11">
      <c r="A227" s="106"/>
      <c r="B227" s="106"/>
      <c r="C227" s="126"/>
      <c r="D227" s="106"/>
      <c r="E227" s="106"/>
      <c r="F227" s="106"/>
      <c r="G227" s="106"/>
      <c r="H227" s="106"/>
      <c r="I227" s="106"/>
      <c r="J227" s="117" t="str">
        <f>IF(DGArchive[[#This Row],[目标]]="","",INDEX(幕间计算!$E$200:$E$1199,ROW()-ROW(DGArchive[#Headers])))</f>
        <v/>
      </c>
      <c r="K227" s="117" t="str">
        <f>IF(DGArchive[[#This Row],[目标]]="","",INDEX(幕间计算!$F$200:$F$1199,ROW()-ROW(DGArchive[#Headers])))</f>
        <v/>
      </c>
    </row>
    <row r="228" ht="25" customHeight="1" spans="1:11">
      <c r="A228" s="106"/>
      <c r="B228" s="106"/>
      <c r="C228" s="126"/>
      <c r="D228" s="106"/>
      <c r="E228" s="106"/>
      <c r="F228" s="106"/>
      <c r="G228" s="106"/>
      <c r="H228" s="106"/>
      <c r="I228" s="106"/>
      <c r="J228" s="117" t="str">
        <f>IF(DGArchive[[#This Row],[目标]]="","",INDEX(幕间计算!$E$200:$E$1199,ROW()-ROW(DGArchive[#Headers])))</f>
        <v/>
      </c>
      <c r="K228" s="117" t="str">
        <f>IF(DGArchive[[#This Row],[目标]]="","",INDEX(幕间计算!$F$200:$F$1199,ROW()-ROW(DGArchive[#Headers])))</f>
        <v/>
      </c>
    </row>
    <row r="229" ht="25" customHeight="1" spans="1:11">
      <c r="A229" s="106"/>
      <c r="B229" s="106"/>
      <c r="C229" s="126"/>
      <c r="D229" s="106"/>
      <c r="E229" s="106"/>
      <c r="F229" s="106"/>
      <c r="G229" s="106"/>
      <c r="H229" s="106"/>
      <c r="I229" s="106"/>
      <c r="J229" s="117" t="str">
        <f>IF(DGArchive[[#This Row],[目标]]="","",INDEX(幕间计算!$E$200:$E$1199,ROW()-ROW(DGArchive[#Headers])))</f>
        <v/>
      </c>
      <c r="K229" s="117" t="str">
        <f>IF(DGArchive[[#This Row],[目标]]="","",INDEX(幕间计算!$F$200:$F$1199,ROW()-ROW(DGArchive[#Headers])))</f>
        <v/>
      </c>
    </row>
    <row r="230" ht="25" customHeight="1" spans="1:11">
      <c r="A230" s="106"/>
      <c r="B230" s="106"/>
      <c r="C230" s="126"/>
      <c r="D230" s="106"/>
      <c r="E230" s="106"/>
      <c r="F230" s="106"/>
      <c r="G230" s="106"/>
      <c r="H230" s="106"/>
      <c r="I230" s="106"/>
      <c r="J230" s="117" t="str">
        <f>IF(DGArchive[[#This Row],[目标]]="","",INDEX(幕间计算!$E$200:$E$1199,ROW()-ROW(DGArchive[#Headers])))</f>
        <v/>
      </c>
      <c r="K230" s="117" t="str">
        <f>IF(DGArchive[[#This Row],[目标]]="","",INDEX(幕间计算!$F$200:$F$1199,ROW()-ROW(DGArchive[#Headers])))</f>
        <v/>
      </c>
    </row>
    <row r="231" ht="25" customHeight="1" spans="1:11">
      <c r="A231" s="106"/>
      <c r="B231" s="106"/>
      <c r="C231" s="126"/>
      <c r="D231" s="106"/>
      <c r="E231" s="106"/>
      <c r="F231" s="106"/>
      <c r="G231" s="106"/>
      <c r="H231" s="106"/>
      <c r="I231" s="106"/>
      <c r="J231" s="117" t="str">
        <f>IF(DGArchive[[#This Row],[目标]]="","",INDEX(幕间计算!$E$200:$E$1199,ROW()-ROW(DGArchive[#Headers])))</f>
        <v/>
      </c>
      <c r="K231" s="117" t="str">
        <f>IF(DGArchive[[#This Row],[目标]]="","",INDEX(幕间计算!$F$200:$F$1199,ROW()-ROW(DGArchive[#Headers])))</f>
        <v/>
      </c>
    </row>
    <row r="232" ht="25" customHeight="1" spans="1:11">
      <c r="A232" s="106"/>
      <c r="B232" s="106"/>
      <c r="C232" s="126"/>
      <c r="D232" s="106"/>
      <c r="E232" s="106"/>
      <c r="F232" s="106"/>
      <c r="G232" s="106"/>
      <c r="H232" s="106"/>
      <c r="I232" s="106"/>
      <c r="J232" s="117" t="str">
        <f>IF(DGArchive[[#This Row],[目标]]="","",INDEX(幕间计算!$E$200:$E$1199,ROW()-ROW(DGArchive[#Headers])))</f>
        <v/>
      </c>
      <c r="K232" s="117" t="str">
        <f>IF(DGArchive[[#This Row],[目标]]="","",INDEX(幕间计算!$F$200:$F$1199,ROW()-ROW(DGArchive[#Headers])))</f>
        <v/>
      </c>
    </row>
    <row r="233" ht="25" customHeight="1" spans="1:11">
      <c r="A233" s="106"/>
      <c r="B233" s="106"/>
      <c r="C233" s="126"/>
      <c r="D233" s="106"/>
      <c r="E233" s="106"/>
      <c r="F233" s="106"/>
      <c r="G233" s="106"/>
      <c r="H233" s="106"/>
      <c r="I233" s="106"/>
      <c r="J233" s="117" t="str">
        <f>IF(DGArchive[[#This Row],[目标]]="","",INDEX(幕间计算!$E$200:$E$1199,ROW()-ROW(DGArchive[#Headers])))</f>
        <v/>
      </c>
      <c r="K233" s="117" t="str">
        <f>IF(DGArchive[[#This Row],[目标]]="","",INDEX(幕间计算!$F$200:$F$1199,ROW()-ROW(DGArchive[#Headers])))</f>
        <v/>
      </c>
    </row>
    <row r="234" ht="25" customHeight="1" spans="1:11">
      <c r="A234" s="106"/>
      <c r="B234" s="106"/>
      <c r="C234" s="126"/>
      <c r="D234" s="106"/>
      <c r="E234" s="106"/>
      <c r="F234" s="106"/>
      <c r="G234" s="106"/>
      <c r="H234" s="106"/>
      <c r="I234" s="106"/>
      <c r="J234" s="117" t="str">
        <f>IF(DGArchive[[#This Row],[目标]]="","",INDEX(幕间计算!$E$200:$E$1199,ROW()-ROW(DGArchive[#Headers])))</f>
        <v/>
      </c>
      <c r="K234" s="117" t="str">
        <f>IF(DGArchive[[#This Row],[目标]]="","",INDEX(幕间计算!$F$200:$F$1199,ROW()-ROW(DGArchive[#Headers])))</f>
        <v/>
      </c>
    </row>
    <row r="235" ht="25" customHeight="1" spans="1:11">
      <c r="A235" s="106"/>
      <c r="B235" s="106"/>
      <c r="C235" s="126"/>
      <c r="D235" s="106"/>
      <c r="E235" s="106"/>
      <c r="F235" s="106"/>
      <c r="G235" s="106"/>
      <c r="H235" s="106"/>
      <c r="I235" s="106"/>
      <c r="J235" s="117" t="str">
        <f>IF(DGArchive[[#This Row],[目标]]="","",INDEX(幕间计算!$E$200:$E$1199,ROW()-ROW(DGArchive[#Headers])))</f>
        <v/>
      </c>
      <c r="K235" s="117" t="str">
        <f>IF(DGArchive[[#This Row],[目标]]="","",INDEX(幕间计算!$F$200:$F$1199,ROW()-ROW(DGArchive[#Headers])))</f>
        <v/>
      </c>
    </row>
    <row r="236" ht="25" customHeight="1" spans="1:11">
      <c r="A236" s="106"/>
      <c r="B236" s="106"/>
      <c r="C236" s="126"/>
      <c r="D236" s="106"/>
      <c r="E236" s="106"/>
      <c r="F236" s="106"/>
      <c r="G236" s="106"/>
      <c r="H236" s="106"/>
      <c r="I236" s="106"/>
      <c r="J236" s="117" t="str">
        <f>IF(DGArchive[[#This Row],[目标]]="","",INDEX(幕间计算!$E$200:$E$1199,ROW()-ROW(DGArchive[#Headers])))</f>
        <v/>
      </c>
      <c r="K236" s="117" t="str">
        <f>IF(DGArchive[[#This Row],[目标]]="","",INDEX(幕间计算!$F$200:$F$1199,ROW()-ROW(DGArchive[#Headers])))</f>
        <v/>
      </c>
    </row>
    <row r="237" ht="25" customHeight="1" spans="1:11">
      <c r="A237" s="106"/>
      <c r="B237" s="106"/>
      <c r="C237" s="126"/>
      <c r="D237" s="106"/>
      <c r="E237" s="106"/>
      <c r="F237" s="106"/>
      <c r="G237" s="106"/>
      <c r="H237" s="106"/>
      <c r="I237" s="106"/>
      <c r="J237" s="117" t="str">
        <f>IF(DGArchive[[#This Row],[目标]]="","",INDEX(幕间计算!$E$200:$E$1199,ROW()-ROW(DGArchive[#Headers])))</f>
        <v/>
      </c>
      <c r="K237" s="117" t="str">
        <f>IF(DGArchive[[#This Row],[目标]]="","",INDEX(幕间计算!$F$200:$F$1199,ROW()-ROW(DGArchive[#Headers])))</f>
        <v/>
      </c>
    </row>
    <row r="238" ht="25" customHeight="1" spans="1:11">
      <c r="A238" s="106"/>
      <c r="B238" s="106"/>
      <c r="C238" s="126"/>
      <c r="D238" s="106"/>
      <c r="E238" s="106"/>
      <c r="F238" s="106"/>
      <c r="G238" s="106"/>
      <c r="H238" s="106"/>
      <c r="I238" s="106"/>
      <c r="J238" s="117" t="str">
        <f>IF(DGArchive[[#This Row],[目标]]="","",INDEX(幕间计算!$E$200:$E$1199,ROW()-ROW(DGArchive[#Headers])))</f>
        <v/>
      </c>
      <c r="K238" s="117" t="str">
        <f>IF(DGArchive[[#This Row],[目标]]="","",INDEX(幕间计算!$F$200:$F$1199,ROW()-ROW(DGArchive[#Headers])))</f>
        <v/>
      </c>
    </row>
    <row r="239" ht="25" customHeight="1" spans="1:11">
      <c r="A239" s="106"/>
      <c r="B239" s="106"/>
      <c r="C239" s="126"/>
      <c r="D239" s="106"/>
      <c r="E239" s="106"/>
      <c r="F239" s="106"/>
      <c r="G239" s="106"/>
      <c r="H239" s="106"/>
      <c r="I239" s="106"/>
      <c r="J239" s="117" t="str">
        <f>IF(DGArchive[[#This Row],[目标]]="","",INDEX(幕间计算!$E$200:$E$1199,ROW()-ROW(DGArchive[#Headers])))</f>
        <v/>
      </c>
      <c r="K239" s="117" t="str">
        <f>IF(DGArchive[[#This Row],[目标]]="","",INDEX(幕间计算!$F$200:$F$1199,ROW()-ROW(DGArchive[#Headers])))</f>
        <v/>
      </c>
    </row>
    <row r="240" ht="25" customHeight="1" spans="1:11">
      <c r="A240" s="106"/>
      <c r="B240" s="106"/>
      <c r="C240" s="126"/>
      <c r="D240" s="106"/>
      <c r="E240" s="106"/>
      <c r="F240" s="106"/>
      <c r="G240" s="106"/>
      <c r="H240" s="106"/>
      <c r="I240" s="106"/>
      <c r="J240" s="117" t="str">
        <f>IF(DGArchive[[#This Row],[目标]]="","",INDEX(幕间计算!$E$200:$E$1199,ROW()-ROW(DGArchive[#Headers])))</f>
        <v/>
      </c>
      <c r="K240" s="117" t="str">
        <f>IF(DGArchive[[#This Row],[目标]]="","",INDEX(幕间计算!$F$200:$F$1199,ROW()-ROW(DGArchive[#Headers])))</f>
        <v/>
      </c>
    </row>
    <row r="241" ht="25" customHeight="1" spans="1:11">
      <c r="A241" s="106"/>
      <c r="B241" s="106"/>
      <c r="C241" s="126"/>
      <c r="D241" s="106"/>
      <c r="E241" s="106"/>
      <c r="F241" s="106"/>
      <c r="G241" s="106"/>
      <c r="H241" s="106"/>
      <c r="I241" s="106"/>
      <c r="J241" s="117" t="str">
        <f>IF(DGArchive[[#This Row],[目标]]="","",INDEX(幕间计算!$E$200:$E$1199,ROW()-ROW(DGArchive[#Headers])))</f>
        <v/>
      </c>
      <c r="K241" s="117" t="str">
        <f>IF(DGArchive[[#This Row],[目标]]="","",INDEX(幕间计算!$F$200:$F$1199,ROW()-ROW(DGArchive[#Headers])))</f>
        <v/>
      </c>
    </row>
    <row r="242" ht="25" customHeight="1" spans="1:11">
      <c r="A242" s="106"/>
      <c r="B242" s="106"/>
      <c r="C242" s="126"/>
      <c r="D242" s="106"/>
      <c r="E242" s="106"/>
      <c r="F242" s="106"/>
      <c r="G242" s="106"/>
      <c r="H242" s="106"/>
      <c r="I242" s="106"/>
      <c r="J242" s="117" t="str">
        <f>IF(DGArchive[[#This Row],[目标]]="","",INDEX(幕间计算!$E$200:$E$1199,ROW()-ROW(DGArchive[#Headers])))</f>
        <v/>
      </c>
      <c r="K242" s="117" t="str">
        <f>IF(DGArchive[[#This Row],[目标]]="","",INDEX(幕间计算!$F$200:$F$1199,ROW()-ROW(DGArchive[#Headers])))</f>
        <v/>
      </c>
    </row>
    <row r="243" ht="25" customHeight="1" spans="1:11">
      <c r="A243" s="106"/>
      <c r="B243" s="106"/>
      <c r="C243" s="126"/>
      <c r="D243" s="106"/>
      <c r="E243" s="106"/>
      <c r="F243" s="106"/>
      <c r="G243" s="106"/>
      <c r="H243" s="106"/>
      <c r="I243" s="106"/>
      <c r="J243" s="117" t="str">
        <f>IF(DGArchive[[#This Row],[目标]]="","",INDEX(幕间计算!$E$200:$E$1199,ROW()-ROW(DGArchive[#Headers])))</f>
        <v/>
      </c>
      <c r="K243" s="117" t="str">
        <f>IF(DGArchive[[#This Row],[目标]]="","",INDEX(幕间计算!$F$200:$F$1199,ROW()-ROW(DGArchive[#Headers])))</f>
        <v/>
      </c>
    </row>
    <row r="244" ht="25" customHeight="1" spans="1:11">
      <c r="A244" s="106"/>
      <c r="B244" s="106"/>
      <c r="C244" s="126"/>
      <c r="D244" s="106"/>
      <c r="E244" s="106"/>
      <c r="F244" s="106"/>
      <c r="G244" s="106"/>
      <c r="H244" s="106"/>
      <c r="I244" s="106"/>
      <c r="J244" s="117" t="str">
        <f>IF(DGArchive[[#This Row],[目标]]="","",INDEX(幕间计算!$E$200:$E$1199,ROW()-ROW(DGArchive[#Headers])))</f>
        <v/>
      </c>
      <c r="K244" s="117" t="str">
        <f>IF(DGArchive[[#This Row],[目标]]="","",INDEX(幕间计算!$F$200:$F$1199,ROW()-ROW(DGArchive[#Headers])))</f>
        <v/>
      </c>
    </row>
    <row r="245" ht="25" customHeight="1" spans="1:11">
      <c r="A245" s="106"/>
      <c r="B245" s="106"/>
      <c r="C245" s="126"/>
      <c r="D245" s="106"/>
      <c r="E245" s="106"/>
      <c r="F245" s="106"/>
      <c r="G245" s="106"/>
      <c r="H245" s="106"/>
      <c r="I245" s="106"/>
      <c r="J245" s="117" t="str">
        <f>IF(DGArchive[[#This Row],[目标]]="","",INDEX(幕间计算!$E$200:$E$1199,ROW()-ROW(DGArchive[#Headers])))</f>
        <v/>
      </c>
      <c r="K245" s="117" t="str">
        <f>IF(DGArchive[[#This Row],[目标]]="","",INDEX(幕间计算!$F$200:$F$1199,ROW()-ROW(DGArchive[#Headers])))</f>
        <v/>
      </c>
    </row>
    <row r="246" ht="25" customHeight="1" spans="1:11">
      <c r="A246" s="106"/>
      <c r="B246" s="106"/>
      <c r="C246" s="126"/>
      <c r="D246" s="106"/>
      <c r="E246" s="106"/>
      <c r="F246" s="106"/>
      <c r="G246" s="106"/>
      <c r="H246" s="106"/>
      <c r="I246" s="106"/>
      <c r="J246" s="117" t="str">
        <f>IF(DGArchive[[#This Row],[目标]]="","",INDEX(幕间计算!$E$200:$E$1199,ROW()-ROW(DGArchive[#Headers])))</f>
        <v/>
      </c>
      <c r="K246" s="117" t="str">
        <f>IF(DGArchive[[#This Row],[目标]]="","",INDEX(幕间计算!$F$200:$F$1199,ROW()-ROW(DGArchive[#Headers])))</f>
        <v/>
      </c>
    </row>
    <row r="247" ht="25" customHeight="1" spans="1:11">
      <c r="A247" s="106"/>
      <c r="B247" s="106"/>
      <c r="C247" s="126"/>
      <c r="D247" s="106"/>
      <c r="E247" s="106"/>
      <c r="F247" s="106"/>
      <c r="G247" s="106"/>
      <c r="H247" s="106"/>
      <c r="I247" s="106"/>
      <c r="J247" s="117" t="str">
        <f>IF(DGArchive[[#This Row],[目标]]="","",INDEX(幕间计算!$E$200:$E$1199,ROW()-ROW(DGArchive[#Headers])))</f>
        <v/>
      </c>
      <c r="K247" s="117" t="str">
        <f>IF(DGArchive[[#This Row],[目标]]="","",INDEX(幕间计算!$F$200:$F$1199,ROW()-ROW(DGArchive[#Headers])))</f>
        <v/>
      </c>
    </row>
    <row r="248" ht="25" customHeight="1" spans="1:11">
      <c r="A248" s="106"/>
      <c r="B248" s="106"/>
      <c r="C248" s="126"/>
      <c r="D248" s="106"/>
      <c r="E248" s="106"/>
      <c r="F248" s="106"/>
      <c r="G248" s="106"/>
      <c r="H248" s="106"/>
      <c r="I248" s="106"/>
      <c r="J248" s="117" t="str">
        <f>IF(DGArchive[[#This Row],[目标]]="","",INDEX(幕间计算!$E$200:$E$1199,ROW()-ROW(DGArchive[#Headers])))</f>
        <v/>
      </c>
      <c r="K248" s="117" t="str">
        <f>IF(DGArchive[[#This Row],[目标]]="","",INDEX(幕间计算!$F$200:$F$1199,ROW()-ROW(DGArchive[#Headers])))</f>
        <v/>
      </c>
    </row>
    <row r="249" ht="25" customHeight="1" spans="1:11">
      <c r="A249" s="106"/>
      <c r="B249" s="106"/>
      <c r="C249" s="126"/>
      <c r="D249" s="106"/>
      <c r="E249" s="106"/>
      <c r="F249" s="106"/>
      <c r="G249" s="106"/>
      <c r="H249" s="106"/>
      <c r="I249" s="106"/>
      <c r="J249" s="117" t="str">
        <f>IF(DGArchive[[#This Row],[目标]]="","",INDEX(幕间计算!$E$200:$E$1199,ROW()-ROW(DGArchive[#Headers])))</f>
        <v/>
      </c>
      <c r="K249" s="117" t="str">
        <f>IF(DGArchive[[#This Row],[目标]]="","",INDEX(幕间计算!$F$200:$F$1199,ROW()-ROW(DGArchive[#Headers])))</f>
        <v/>
      </c>
    </row>
    <row r="250" ht="25" customHeight="1" spans="1:11">
      <c r="A250" s="106"/>
      <c r="B250" s="106"/>
      <c r="C250" s="126"/>
      <c r="D250" s="106"/>
      <c r="E250" s="106"/>
      <c r="F250" s="106"/>
      <c r="G250" s="106"/>
      <c r="H250" s="106"/>
      <c r="I250" s="106"/>
      <c r="J250" s="117" t="str">
        <f>IF(DGArchive[[#This Row],[目标]]="","",INDEX(幕间计算!$E$200:$E$1199,ROW()-ROW(DGArchive[#Headers])))</f>
        <v/>
      </c>
      <c r="K250" s="117" t="str">
        <f>IF(DGArchive[[#This Row],[目标]]="","",INDEX(幕间计算!$F$200:$F$1199,ROW()-ROW(DGArchive[#Headers])))</f>
        <v/>
      </c>
    </row>
    <row r="251" ht="25" customHeight="1" spans="1:11">
      <c r="A251" s="106"/>
      <c r="B251" s="106"/>
      <c r="C251" s="126"/>
      <c r="D251" s="106"/>
      <c r="E251" s="106"/>
      <c r="F251" s="106"/>
      <c r="G251" s="106"/>
      <c r="H251" s="106"/>
      <c r="I251" s="106"/>
      <c r="J251" s="117" t="str">
        <f>IF(DGArchive[[#This Row],[目标]]="","",INDEX(幕间计算!$E$200:$E$1199,ROW()-ROW(DGArchive[#Headers])))</f>
        <v/>
      </c>
      <c r="K251" s="117" t="str">
        <f>IF(DGArchive[[#This Row],[目标]]="","",INDEX(幕间计算!$F$200:$F$1199,ROW()-ROW(DGArchive[#Headers])))</f>
        <v/>
      </c>
    </row>
    <row r="252" ht="25" customHeight="1" spans="1:11">
      <c r="A252" s="106"/>
      <c r="B252" s="106"/>
      <c r="C252" s="126"/>
      <c r="D252" s="106"/>
      <c r="E252" s="106"/>
      <c r="F252" s="106"/>
      <c r="G252" s="106"/>
      <c r="H252" s="106"/>
      <c r="I252" s="106"/>
      <c r="J252" s="117" t="str">
        <f>IF(DGArchive[[#This Row],[目标]]="","",INDEX(幕间计算!$E$200:$E$1199,ROW()-ROW(DGArchive[#Headers])))</f>
        <v/>
      </c>
      <c r="K252" s="117" t="str">
        <f>IF(DGArchive[[#This Row],[目标]]="","",INDEX(幕间计算!$F$200:$F$1199,ROW()-ROW(DGArchive[#Headers])))</f>
        <v/>
      </c>
    </row>
    <row r="253" ht="25" customHeight="1" spans="1:11">
      <c r="A253" s="106"/>
      <c r="B253" s="106"/>
      <c r="C253" s="126"/>
      <c r="D253" s="106"/>
      <c r="E253" s="106"/>
      <c r="F253" s="106"/>
      <c r="G253" s="106"/>
      <c r="H253" s="106"/>
      <c r="I253" s="106"/>
      <c r="J253" s="117" t="str">
        <f>IF(DGArchive[[#This Row],[目标]]="","",INDEX(幕间计算!$E$200:$E$1199,ROW()-ROW(DGArchive[#Headers])))</f>
        <v/>
      </c>
      <c r="K253" s="117" t="str">
        <f>IF(DGArchive[[#This Row],[目标]]="","",INDEX(幕间计算!$F$200:$F$1199,ROW()-ROW(DGArchive[#Headers])))</f>
        <v/>
      </c>
    </row>
    <row r="254" ht="25" customHeight="1" spans="1:11">
      <c r="A254" s="106"/>
      <c r="B254" s="106"/>
      <c r="C254" s="126"/>
      <c r="D254" s="106"/>
      <c r="E254" s="106"/>
      <c r="F254" s="106"/>
      <c r="G254" s="106"/>
      <c r="H254" s="106"/>
      <c r="I254" s="106"/>
      <c r="J254" s="117" t="str">
        <f>IF(DGArchive[[#This Row],[目标]]="","",INDEX(幕间计算!$E$200:$E$1199,ROW()-ROW(DGArchive[#Headers])))</f>
        <v/>
      </c>
      <c r="K254" s="117" t="str">
        <f>IF(DGArchive[[#This Row],[目标]]="","",INDEX(幕间计算!$F$200:$F$1199,ROW()-ROW(DGArchive[#Headers])))</f>
        <v/>
      </c>
    </row>
    <row r="255" ht="25" customHeight="1" spans="1:11">
      <c r="A255" s="106"/>
      <c r="B255" s="106"/>
      <c r="C255" s="126"/>
      <c r="D255" s="106"/>
      <c r="E255" s="106"/>
      <c r="F255" s="106"/>
      <c r="G255" s="106"/>
      <c r="H255" s="106"/>
      <c r="I255" s="106"/>
      <c r="J255" s="117" t="str">
        <f>IF(DGArchive[[#This Row],[目标]]="","",INDEX(幕间计算!$E$200:$E$1199,ROW()-ROW(DGArchive[#Headers])))</f>
        <v/>
      </c>
      <c r="K255" s="117" t="str">
        <f>IF(DGArchive[[#This Row],[目标]]="","",INDEX(幕间计算!$F$200:$F$1199,ROW()-ROW(DGArchive[#Headers])))</f>
        <v/>
      </c>
    </row>
    <row r="256" ht="25" customHeight="1" spans="1:11">
      <c r="A256" s="106"/>
      <c r="B256" s="106"/>
      <c r="C256" s="126"/>
      <c r="D256" s="106"/>
      <c r="E256" s="106"/>
      <c r="F256" s="106"/>
      <c r="G256" s="106"/>
      <c r="H256" s="106"/>
      <c r="I256" s="106"/>
      <c r="J256" s="117" t="str">
        <f>IF(DGArchive[[#This Row],[目标]]="","",INDEX(幕间计算!$E$200:$E$1199,ROW()-ROW(DGArchive[#Headers])))</f>
        <v/>
      </c>
      <c r="K256" s="117" t="str">
        <f>IF(DGArchive[[#This Row],[目标]]="","",INDEX(幕间计算!$F$200:$F$1199,ROW()-ROW(DGArchive[#Headers])))</f>
        <v/>
      </c>
    </row>
    <row r="257" ht="25" customHeight="1" spans="1:11">
      <c r="A257" s="106"/>
      <c r="B257" s="106"/>
      <c r="C257" s="126"/>
      <c r="D257" s="106"/>
      <c r="E257" s="106"/>
      <c r="F257" s="106"/>
      <c r="G257" s="106"/>
      <c r="H257" s="106"/>
      <c r="I257" s="106"/>
      <c r="J257" s="117" t="str">
        <f>IF(DGArchive[[#This Row],[目标]]="","",INDEX(幕间计算!$E$200:$E$1199,ROW()-ROW(DGArchive[#Headers])))</f>
        <v/>
      </c>
      <c r="K257" s="117" t="str">
        <f>IF(DGArchive[[#This Row],[目标]]="","",INDEX(幕间计算!$F$200:$F$1199,ROW()-ROW(DGArchive[#Headers])))</f>
        <v/>
      </c>
    </row>
    <row r="258" ht="25" customHeight="1" spans="1:11">
      <c r="A258" s="106"/>
      <c r="B258" s="106"/>
      <c r="C258" s="126"/>
      <c r="D258" s="106"/>
      <c r="E258" s="106"/>
      <c r="F258" s="106"/>
      <c r="G258" s="106"/>
      <c r="H258" s="106"/>
      <c r="I258" s="106"/>
      <c r="J258" s="117" t="str">
        <f>IF(DGArchive[[#This Row],[目标]]="","",INDEX(幕间计算!$E$200:$E$1199,ROW()-ROW(DGArchive[#Headers])))</f>
        <v/>
      </c>
      <c r="K258" s="117" t="str">
        <f>IF(DGArchive[[#This Row],[目标]]="","",INDEX(幕间计算!$F$200:$F$1199,ROW()-ROW(DGArchive[#Headers])))</f>
        <v/>
      </c>
    </row>
    <row r="259" ht="25" customHeight="1" spans="1:11">
      <c r="A259" s="106"/>
      <c r="B259" s="106"/>
      <c r="C259" s="126"/>
      <c r="D259" s="106"/>
      <c r="E259" s="106"/>
      <c r="F259" s="106"/>
      <c r="G259" s="106"/>
      <c r="H259" s="106"/>
      <c r="I259" s="106"/>
      <c r="J259" s="117" t="str">
        <f>IF(DGArchive[[#This Row],[目标]]="","",INDEX(幕间计算!$E$200:$E$1199,ROW()-ROW(DGArchive[#Headers])))</f>
        <v/>
      </c>
      <c r="K259" s="117" t="str">
        <f>IF(DGArchive[[#This Row],[目标]]="","",INDEX(幕间计算!$F$200:$F$1199,ROW()-ROW(DGArchive[#Headers])))</f>
        <v/>
      </c>
    </row>
    <row r="260" ht="25" customHeight="1" spans="1:11">
      <c r="A260" s="106"/>
      <c r="B260" s="106"/>
      <c r="C260" s="126"/>
      <c r="D260" s="106"/>
      <c r="E260" s="106"/>
      <c r="F260" s="106"/>
      <c r="G260" s="106"/>
      <c r="H260" s="106"/>
      <c r="I260" s="106"/>
      <c r="J260" s="117" t="str">
        <f>IF(DGArchive[[#This Row],[目标]]="","",INDEX(幕间计算!$E$200:$E$1199,ROW()-ROW(DGArchive[#Headers])))</f>
        <v/>
      </c>
      <c r="K260" s="117" t="str">
        <f>IF(DGArchive[[#This Row],[目标]]="","",INDEX(幕间计算!$F$200:$F$1199,ROW()-ROW(DGArchive[#Headers])))</f>
        <v/>
      </c>
    </row>
    <row r="261" ht="25" customHeight="1" spans="1:11">
      <c r="A261" s="106"/>
      <c r="B261" s="106"/>
      <c r="C261" s="126"/>
      <c r="D261" s="106"/>
      <c r="E261" s="106"/>
      <c r="F261" s="106"/>
      <c r="G261" s="106"/>
      <c r="H261" s="106"/>
      <c r="I261" s="106"/>
      <c r="J261" s="117" t="str">
        <f>IF(DGArchive[[#This Row],[目标]]="","",INDEX(幕间计算!$E$200:$E$1199,ROW()-ROW(DGArchive[#Headers])))</f>
        <v/>
      </c>
      <c r="K261" s="117" t="str">
        <f>IF(DGArchive[[#This Row],[目标]]="","",INDEX(幕间计算!$F$200:$F$1199,ROW()-ROW(DGArchive[#Headers])))</f>
        <v/>
      </c>
    </row>
    <row r="262" ht="25" customHeight="1" spans="1:11">
      <c r="A262" s="106"/>
      <c r="B262" s="106"/>
      <c r="C262" s="126"/>
      <c r="D262" s="106"/>
      <c r="E262" s="106"/>
      <c r="F262" s="106"/>
      <c r="G262" s="106"/>
      <c r="H262" s="106"/>
      <c r="I262" s="106"/>
      <c r="J262" s="117" t="str">
        <f>IF(DGArchive[[#This Row],[目标]]="","",INDEX(幕间计算!$E$200:$E$1199,ROW()-ROW(DGArchive[#Headers])))</f>
        <v/>
      </c>
      <c r="K262" s="117" t="str">
        <f>IF(DGArchive[[#This Row],[目标]]="","",INDEX(幕间计算!$F$200:$F$1199,ROW()-ROW(DGArchive[#Headers])))</f>
        <v/>
      </c>
    </row>
    <row r="263" ht="25" customHeight="1" spans="1:11">
      <c r="A263" s="106"/>
      <c r="B263" s="106"/>
      <c r="C263" s="126"/>
      <c r="D263" s="106"/>
      <c r="E263" s="106"/>
      <c r="F263" s="106"/>
      <c r="G263" s="106"/>
      <c r="H263" s="106"/>
      <c r="I263" s="106"/>
      <c r="J263" s="117" t="str">
        <f>IF(DGArchive[[#This Row],[目标]]="","",INDEX(幕间计算!$E$200:$E$1199,ROW()-ROW(DGArchive[#Headers])))</f>
        <v/>
      </c>
      <c r="K263" s="117" t="str">
        <f>IF(DGArchive[[#This Row],[目标]]="","",INDEX(幕间计算!$F$200:$F$1199,ROW()-ROW(DGArchive[#Headers])))</f>
        <v/>
      </c>
    </row>
    <row r="264" ht="25" customHeight="1" spans="1:11">
      <c r="A264" s="106"/>
      <c r="B264" s="106"/>
      <c r="C264" s="126"/>
      <c r="D264" s="106"/>
      <c r="E264" s="106"/>
      <c r="F264" s="106"/>
      <c r="G264" s="106"/>
      <c r="H264" s="106"/>
      <c r="I264" s="106"/>
      <c r="J264" s="117" t="str">
        <f>IF(DGArchive[[#This Row],[目标]]="","",INDEX(幕间计算!$E$200:$E$1199,ROW()-ROW(DGArchive[#Headers])))</f>
        <v/>
      </c>
      <c r="K264" s="117" t="str">
        <f>IF(DGArchive[[#This Row],[目标]]="","",INDEX(幕间计算!$F$200:$F$1199,ROW()-ROW(DGArchive[#Headers])))</f>
        <v/>
      </c>
    </row>
    <row r="265" ht="25" customHeight="1" spans="1:11">
      <c r="A265" s="106"/>
      <c r="B265" s="106"/>
      <c r="C265" s="126"/>
      <c r="D265" s="106"/>
      <c r="E265" s="106"/>
      <c r="F265" s="106"/>
      <c r="G265" s="106"/>
      <c r="H265" s="106"/>
      <c r="I265" s="106"/>
      <c r="J265" s="117" t="str">
        <f>IF(DGArchive[[#This Row],[目标]]="","",INDEX(幕间计算!$E$200:$E$1199,ROW()-ROW(DGArchive[#Headers])))</f>
        <v/>
      </c>
      <c r="K265" s="117" t="str">
        <f>IF(DGArchive[[#This Row],[目标]]="","",INDEX(幕间计算!$F$200:$F$1199,ROW()-ROW(DGArchive[#Headers])))</f>
        <v/>
      </c>
    </row>
    <row r="266" ht="25" customHeight="1" spans="1:11">
      <c r="A266" s="106"/>
      <c r="B266" s="106"/>
      <c r="C266" s="126"/>
      <c r="D266" s="106"/>
      <c r="E266" s="106"/>
      <c r="F266" s="106"/>
      <c r="G266" s="106"/>
      <c r="H266" s="106"/>
      <c r="I266" s="106"/>
      <c r="J266" s="117" t="str">
        <f>IF(DGArchive[[#This Row],[目标]]="","",INDEX(幕间计算!$E$200:$E$1199,ROW()-ROW(DGArchive[#Headers])))</f>
        <v/>
      </c>
      <c r="K266" s="117" t="str">
        <f>IF(DGArchive[[#This Row],[目标]]="","",INDEX(幕间计算!$F$200:$F$1199,ROW()-ROW(DGArchive[#Headers])))</f>
        <v/>
      </c>
    </row>
    <row r="267" ht="25" customHeight="1" spans="1:11">
      <c r="A267" s="106"/>
      <c r="B267" s="106"/>
      <c r="C267" s="126"/>
      <c r="D267" s="106"/>
      <c r="E267" s="106"/>
      <c r="F267" s="106"/>
      <c r="G267" s="106"/>
      <c r="H267" s="106"/>
      <c r="I267" s="106"/>
      <c r="J267" s="117" t="str">
        <f>IF(DGArchive[[#This Row],[目标]]="","",INDEX(幕间计算!$E$200:$E$1199,ROW()-ROW(DGArchive[#Headers])))</f>
        <v/>
      </c>
      <c r="K267" s="117" t="str">
        <f>IF(DGArchive[[#This Row],[目标]]="","",INDEX(幕间计算!$F$200:$F$1199,ROW()-ROW(DGArchive[#Headers])))</f>
        <v/>
      </c>
    </row>
    <row r="268" ht="25" customHeight="1" spans="1:11">
      <c r="A268" s="106"/>
      <c r="B268" s="106"/>
      <c r="C268" s="126"/>
      <c r="D268" s="106"/>
      <c r="E268" s="106"/>
      <c r="F268" s="106"/>
      <c r="G268" s="106"/>
      <c r="H268" s="106"/>
      <c r="I268" s="106"/>
      <c r="J268" s="117" t="str">
        <f>IF(DGArchive[[#This Row],[目标]]="","",INDEX(幕间计算!$E$200:$E$1199,ROW()-ROW(DGArchive[#Headers])))</f>
        <v/>
      </c>
      <c r="K268" s="117" t="str">
        <f>IF(DGArchive[[#This Row],[目标]]="","",INDEX(幕间计算!$F$200:$F$1199,ROW()-ROW(DGArchive[#Headers])))</f>
        <v/>
      </c>
    </row>
    <row r="269" ht="25" customHeight="1" spans="1:11">
      <c r="A269" s="106"/>
      <c r="B269" s="106"/>
      <c r="C269" s="126"/>
      <c r="D269" s="106"/>
      <c r="E269" s="106"/>
      <c r="F269" s="106"/>
      <c r="G269" s="106"/>
      <c r="H269" s="106"/>
      <c r="I269" s="106"/>
      <c r="J269" s="117" t="str">
        <f>IF(DGArchive[[#This Row],[目标]]="","",INDEX(幕间计算!$E$200:$E$1199,ROW()-ROW(DGArchive[#Headers])))</f>
        <v/>
      </c>
      <c r="K269" s="117" t="str">
        <f>IF(DGArchive[[#This Row],[目标]]="","",INDEX(幕间计算!$F$200:$F$1199,ROW()-ROW(DGArchive[#Headers])))</f>
        <v/>
      </c>
    </row>
    <row r="270" ht="25" customHeight="1" spans="1:11">
      <c r="A270" s="106"/>
      <c r="B270" s="106"/>
      <c r="C270" s="126"/>
      <c r="D270" s="106"/>
      <c r="E270" s="106"/>
      <c r="F270" s="106"/>
      <c r="G270" s="106"/>
      <c r="H270" s="106"/>
      <c r="I270" s="106"/>
      <c r="J270" s="117" t="str">
        <f>IF(DGArchive[[#This Row],[目标]]="","",INDEX(幕间计算!$E$200:$E$1199,ROW()-ROW(DGArchive[#Headers])))</f>
        <v/>
      </c>
      <c r="K270" s="117" t="str">
        <f>IF(DGArchive[[#This Row],[目标]]="","",INDEX(幕间计算!$F$200:$F$1199,ROW()-ROW(DGArchive[#Headers])))</f>
        <v/>
      </c>
    </row>
    <row r="271" ht="25" customHeight="1" spans="1:11">
      <c r="A271" s="106"/>
      <c r="B271" s="106"/>
      <c r="C271" s="126"/>
      <c r="D271" s="106"/>
      <c r="E271" s="106"/>
      <c r="F271" s="106"/>
      <c r="G271" s="106"/>
      <c r="H271" s="106"/>
      <c r="I271" s="106"/>
      <c r="J271" s="117" t="str">
        <f>IF(DGArchive[[#This Row],[目标]]="","",INDEX(幕间计算!$E$200:$E$1199,ROW()-ROW(DGArchive[#Headers])))</f>
        <v/>
      </c>
      <c r="K271" s="117" t="str">
        <f>IF(DGArchive[[#This Row],[目标]]="","",INDEX(幕间计算!$F$200:$F$1199,ROW()-ROW(DGArchive[#Headers])))</f>
        <v/>
      </c>
    </row>
    <row r="272" ht="25" customHeight="1" spans="1:11">
      <c r="A272" s="106"/>
      <c r="B272" s="106"/>
      <c r="C272" s="126"/>
      <c r="D272" s="106"/>
      <c r="E272" s="106"/>
      <c r="F272" s="106"/>
      <c r="G272" s="106"/>
      <c r="H272" s="106"/>
      <c r="I272" s="106"/>
      <c r="J272" s="117" t="str">
        <f>IF(DGArchive[[#This Row],[目标]]="","",INDEX(幕间计算!$E$200:$E$1199,ROW()-ROW(DGArchive[#Headers])))</f>
        <v/>
      </c>
      <c r="K272" s="117" t="str">
        <f>IF(DGArchive[[#This Row],[目标]]="","",INDEX(幕间计算!$F$200:$F$1199,ROW()-ROW(DGArchive[#Headers])))</f>
        <v/>
      </c>
    </row>
    <row r="273" ht="25" customHeight="1" spans="1:11">
      <c r="A273" s="106"/>
      <c r="B273" s="106"/>
      <c r="C273" s="126"/>
      <c r="D273" s="106"/>
      <c r="E273" s="106"/>
      <c r="F273" s="106"/>
      <c r="G273" s="106"/>
      <c r="H273" s="106"/>
      <c r="I273" s="106"/>
      <c r="J273" s="117" t="str">
        <f>IF(DGArchive[[#This Row],[目标]]="","",INDEX(幕间计算!$E$200:$E$1199,ROW()-ROW(DGArchive[#Headers])))</f>
        <v/>
      </c>
      <c r="K273" s="117" t="str">
        <f>IF(DGArchive[[#This Row],[目标]]="","",INDEX(幕间计算!$F$200:$F$1199,ROW()-ROW(DGArchive[#Headers])))</f>
        <v/>
      </c>
    </row>
    <row r="274" ht="25" customHeight="1" spans="1:11">
      <c r="A274" s="106"/>
      <c r="B274" s="106"/>
      <c r="C274" s="126"/>
      <c r="D274" s="106"/>
      <c r="E274" s="106"/>
      <c r="F274" s="106"/>
      <c r="G274" s="106"/>
      <c r="H274" s="106"/>
      <c r="I274" s="106"/>
      <c r="J274" s="117" t="str">
        <f>IF(DGArchive[[#This Row],[目标]]="","",INDEX(幕间计算!$E$200:$E$1199,ROW()-ROW(DGArchive[#Headers])))</f>
        <v/>
      </c>
      <c r="K274" s="117" t="str">
        <f>IF(DGArchive[[#This Row],[目标]]="","",INDEX(幕间计算!$F$200:$F$1199,ROW()-ROW(DGArchive[#Headers])))</f>
        <v/>
      </c>
    </row>
    <row r="275" ht="25" customHeight="1" spans="1:11">
      <c r="A275" s="106"/>
      <c r="B275" s="106"/>
      <c r="C275" s="126"/>
      <c r="D275" s="106"/>
      <c r="E275" s="106"/>
      <c r="F275" s="106"/>
      <c r="G275" s="106"/>
      <c r="H275" s="106"/>
      <c r="I275" s="106"/>
      <c r="J275" s="117" t="str">
        <f>IF(DGArchive[[#This Row],[目标]]="","",INDEX(幕间计算!$E$200:$E$1199,ROW()-ROW(DGArchive[#Headers])))</f>
        <v/>
      </c>
      <c r="K275" s="117" t="str">
        <f>IF(DGArchive[[#This Row],[目标]]="","",INDEX(幕间计算!$F$200:$F$1199,ROW()-ROW(DGArchive[#Headers])))</f>
        <v/>
      </c>
    </row>
    <row r="276" ht="25" customHeight="1" spans="1:11">
      <c r="A276" s="106"/>
      <c r="B276" s="106"/>
      <c r="C276" s="126"/>
      <c r="D276" s="106"/>
      <c r="E276" s="106"/>
      <c r="F276" s="106"/>
      <c r="G276" s="106"/>
      <c r="H276" s="106"/>
      <c r="I276" s="106"/>
      <c r="J276" s="117" t="str">
        <f>IF(DGArchive[[#This Row],[目标]]="","",INDEX(幕间计算!$E$200:$E$1199,ROW()-ROW(DGArchive[#Headers])))</f>
        <v/>
      </c>
      <c r="K276" s="117" t="str">
        <f>IF(DGArchive[[#This Row],[目标]]="","",INDEX(幕间计算!$F$200:$F$1199,ROW()-ROW(DGArchive[#Headers])))</f>
        <v/>
      </c>
    </row>
    <row r="277" ht="25" customHeight="1" spans="1:11">
      <c r="A277" s="106"/>
      <c r="B277" s="106"/>
      <c r="C277" s="126"/>
      <c r="D277" s="106"/>
      <c r="E277" s="106"/>
      <c r="F277" s="106"/>
      <c r="G277" s="106"/>
      <c r="H277" s="106"/>
      <c r="I277" s="106"/>
      <c r="J277" s="117" t="str">
        <f>IF(DGArchive[[#This Row],[目标]]="","",INDEX(幕间计算!$E$200:$E$1199,ROW()-ROW(DGArchive[#Headers])))</f>
        <v/>
      </c>
      <c r="K277" s="117" t="str">
        <f>IF(DGArchive[[#This Row],[目标]]="","",INDEX(幕间计算!$F$200:$F$1199,ROW()-ROW(DGArchive[#Headers])))</f>
        <v/>
      </c>
    </row>
    <row r="278" ht="25" customHeight="1" spans="1:11">
      <c r="A278" s="106"/>
      <c r="B278" s="106"/>
      <c r="C278" s="126"/>
      <c r="D278" s="106"/>
      <c r="E278" s="106"/>
      <c r="F278" s="106"/>
      <c r="G278" s="106"/>
      <c r="H278" s="106"/>
      <c r="I278" s="106"/>
      <c r="J278" s="117" t="str">
        <f>IF(DGArchive[[#This Row],[目标]]="","",INDEX(幕间计算!$E$200:$E$1199,ROW()-ROW(DGArchive[#Headers])))</f>
        <v/>
      </c>
      <c r="K278" s="117" t="str">
        <f>IF(DGArchive[[#This Row],[目标]]="","",INDEX(幕间计算!$F$200:$F$1199,ROW()-ROW(DGArchive[#Headers])))</f>
        <v/>
      </c>
    </row>
    <row r="279" ht="25" customHeight="1" spans="1:11">
      <c r="A279" s="106"/>
      <c r="B279" s="106"/>
      <c r="C279" s="126"/>
      <c r="D279" s="106"/>
      <c r="E279" s="106"/>
      <c r="F279" s="106"/>
      <c r="G279" s="106"/>
      <c r="H279" s="106"/>
      <c r="I279" s="106"/>
      <c r="J279" s="117" t="str">
        <f>IF(DGArchive[[#This Row],[目标]]="","",INDEX(幕间计算!$E$200:$E$1199,ROW()-ROW(DGArchive[#Headers])))</f>
        <v/>
      </c>
      <c r="K279" s="117" t="str">
        <f>IF(DGArchive[[#This Row],[目标]]="","",INDEX(幕间计算!$F$200:$F$1199,ROW()-ROW(DGArchive[#Headers])))</f>
        <v/>
      </c>
    </row>
    <row r="280" ht="25" customHeight="1" spans="1:11">
      <c r="A280" s="106"/>
      <c r="B280" s="106"/>
      <c r="C280" s="126"/>
      <c r="D280" s="106"/>
      <c r="E280" s="106"/>
      <c r="F280" s="106"/>
      <c r="G280" s="106"/>
      <c r="H280" s="106"/>
      <c r="I280" s="106"/>
      <c r="J280" s="117" t="str">
        <f>IF(DGArchive[[#This Row],[目标]]="","",INDEX(幕间计算!$E$200:$E$1199,ROW()-ROW(DGArchive[#Headers])))</f>
        <v/>
      </c>
      <c r="K280" s="117" t="str">
        <f>IF(DGArchive[[#This Row],[目标]]="","",INDEX(幕间计算!$F$200:$F$1199,ROW()-ROW(DGArchive[#Headers])))</f>
        <v/>
      </c>
    </row>
    <row r="281" ht="25" customHeight="1" spans="1:11">
      <c r="A281" s="106"/>
      <c r="B281" s="106"/>
      <c r="C281" s="126"/>
      <c r="D281" s="106"/>
      <c r="E281" s="106"/>
      <c r="F281" s="106"/>
      <c r="G281" s="106"/>
      <c r="H281" s="106"/>
      <c r="I281" s="106"/>
      <c r="J281" s="117" t="str">
        <f>IF(DGArchive[[#This Row],[目标]]="","",INDEX(幕间计算!$E$200:$E$1199,ROW()-ROW(DGArchive[#Headers])))</f>
        <v/>
      </c>
      <c r="K281" s="117" t="str">
        <f>IF(DGArchive[[#This Row],[目标]]="","",INDEX(幕间计算!$F$200:$F$1199,ROW()-ROW(DGArchive[#Headers])))</f>
        <v/>
      </c>
    </row>
    <row r="282" ht="25" customHeight="1" spans="1:11">
      <c r="A282" s="106"/>
      <c r="B282" s="106"/>
      <c r="C282" s="126"/>
      <c r="D282" s="106"/>
      <c r="E282" s="106"/>
      <c r="F282" s="106"/>
      <c r="G282" s="106"/>
      <c r="H282" s="106"/>
      <c r="I282" s="106"/>
      <c r="J282" s="117" t="str">
        <f>IF(DGArchive[[#This Row],[目标]]="","",INDEX(幕间计算!$E$200:$E$1199,ROW()-ROW(DGArchive[#Headers])))</f>
        <v/>
      </c>
      <c r="K282" s="117" t="str">
        <f>IF(DGArchive[[#This Row],[目标]]="","",INDEX(幕间计算!$F$200:$F$1199,ROW()-ROW(DGArchive[#Headers])))</f>
        <v/>
      </c>
    </row>
    <row r="283" ht="25" customHeight="1" spans="1:11">
      <c r="A283" s="106"/>
      <c r="B283" s="106"/>
      <c r="C283" s="126"/>
      <c r="D283" s="106"/>
      <c r="E283" s="106"/>
      <c r="F283" s="106"/>
      <c r="G283" s="106"/>
      <c r="H283" s="106"/>
      <c r="I283" s="106"/>
      <c r="J283" s="117" t="str">
        <f>IF(DGArchive[[#This Row],[目标]]="","",INDEX(幕间计算!$E$200:$E$1199,ROW()-ROW(DGArchive[#Headers])))</f>
        <v/>
      </c>
      <c r="K283" s="117" t="str">
        <f>IF(DGArchive[[#This Row],[目标]]="","",INDEX(幕间计算!$F$200:$F$1199,ROW()-ROW(DGArchive[#Headers])))</f>
        <v/>
      </c>
    </row>
    <row r="284" ht="25" customHeight="1" spans="1:11">
      <c r="A284" s="106"/>
      <c r="B284" s="106"/>
      <c r="C284" s="126"/>
      <c r="D284" s="106"/>
      <c r="E284" s="106"/>
      <c r="F284" s="106"/>
      <c r="G284" s="106"/>
      <c r="H284" s="106"/>
      <c r="I284" s="106"/>
      <c r="J284" s="117" t="str">
        <f>IF(DGArchive[[#This Row],[目标]]="","",INDEX(幕间计算!$E$200:$E$1199,ROW()-ROW(DGArchive[#Headers])))</f>
        <v/>
      </c>
      <c r="K284" s="117" t="str">
        <f>IF(DGArchive[[#This Row],[目标]]="","",INDEX(幕间计算!$F$200:$F$1199,ROW()-ROW(DGArchive[#Headers])))</f>
        <v/>
      </c>
    </row>
    <row r="285" ht="25" customHeight="1" spans="1:11">
      <c r="A285" s="106"/>
      <c r="B285" s="106"/>
      <c r="C285" s="126"/>
      <c r="D285" s="106"/>
      <c r="E285" s="106"/>
      <c r="F285" s="106"/>
      <c r="G285" s="106"/>
      <c r="H285" s="106"/>
      <c r="I285" s="106"/>
      <c r="J285" s="117" t="str">
        <f>IF(DGArchive[[#This Row],[目标]]="","",INDEX(幕间计算!$E$200:$E$1199,ROW()-ROW(DGArchive[#Headers])))</f>
        <v/>
      </c>
      <c r="K285" s="117" t="str">
        <f>IF(DGArchive[[#This Row],[目标]]="","",INDEX(幕间计算!$F$200:$F$1199,ROW()-ROW(DGArchive[#Headers])))</f>
        <v/>
      </c>
    </row>
    <row r="286" ht="25" customHeight="1" spans="1:11">
      <c r="A286" s="106"/>
      <c r="B286" s="106"/>
      <c r="C286" s="126"/>
      <c r="D286" s="106"/>
      <c r="E286" s="106"/>
      <c r="F286" s="106"/>
      <c r="G286" s="106"/>
      <c r="H286" s="106"/>
      <c r="I286" s="106"/>
      <c r="J286" s="117" t="str">
        <f>IF(DGArchive[[#This Row],[目标]]="","",INDEX(幕间计算!$E$200:$E$1199,ROW()-ROW(DGArchive[#Headers])))</f>
        <v/>
      </c>
      <c r="K286" s="117" t="str">
        <f>IF(DGArchive[[#This Row],[目标]]="","",INDEX(幕间计算!$F$200:$F$1199,ROW()-ROW(DGArchive[#Headers])))</f>
        <v/>
      </c>
    </row>
    <row r="287" ht="25" customHeight="1" spans="1:11">
      <c r="A287" s="106"/>
      <c r="B287" s="106"/>
      <c r="C287" s="126"/>
      <c r="D287" s="106"/>
      <c r="E287" s="106"/>
      <c r="F287" s="106"/>
      <c r="G287" s="106"/>
      <c r="H287" s="106"/>
      <c r="I287" s="106"/>
      <c r="J287" s="117" t="str">
        <f>IF(DGArchive[[#This Row],[目标]]="","",INDEX(幕间计算!$E$200:$E$1199,ROW()-ROW(DGArchive[#Headers])))</f>
        <v/>
      </c>
      <c r="K287" s="117" t="str">
        <f>IF(DGArchive[[#This Row],[目标]]="","",INDEX(幕间计算!$F$200:$F$1199,ROW()-ROW(DGArchive[#Headers])))</f>
        <v/>
      </c>
    </row>
    <row r="288" ht="25" customHeight="1" spans="1:11">
      <c r="A288" s="106"/>
      <c r="B288" s="106"/>
      <c r="C288" s="126"/>
      <c r="D288" s="106"/>
      <c r="E288" s="106"/>
      <c r="F288" s="106"/>
      <c r="G288" s="106"/>
      <c r="H288" s="106"/>
      <c r="I288" s="106"/>
      <c r="J288" s="117" t="str">
        <f>IF(DGArchive[[#This Row],[目标]]="","",INDEX(幕间计算!$E$200:$E$1199,ROW()-ROW(DGArchive[#Headers])))</f>
        <v/>
      </c>
      <c r="K288" s="117" t="str">
        <f>IF(DGArchive[[#This Row],[目标]]="","",INDEX(幕间计算!$F$200:$F$1199,ROW()-ROW(DGArchive[#Headers])))</f>
        <v/>
      </c>
    </row>
    <row r="289" ht="25" customHeight="1" spans="1:11">
      <c r="A289" s="106"/>
      <c r="B289" s="106"/>
      <c r="C289" s="126"/>
      <c r="D289" s="106"/>
      <c r="E289" s="106"/>
      <c r="F289" s="106"/>
      <c r="G289" s="106"/>
      <c r="H289" s="106"/>
      <c r="I289" s="106"/>
      <c r="J289" s="117" t="str">
        <f>IF(DGArchive[[#This Row],[目标]]="","",INDEX(幕间计算!$E$200:$E$1199,ROW()-ROW(DGArchive[#Headers])))</f>
        <v/>
      </c>
      <c r="K289" s="117" t="str">
        <f>IF(DGArchive[[#This Row],[目标]]="","",INDEX(幕间计算!$F$200:$F$1199,ROW()-ROW(DGArchive[#Headers])))</f>
        <v/>
      </c>
    </row>
    <row r="290" ht="25" customHeight="1" spans="1:11">
      <c r="A290" s="106"/>
      <c r="B290" s="106"/>
      <c r="C290" s="126"/>
      <c r="D290" s="106"/>
      <c r="E290" s="106"/>
      <c r="F290" s="106"/>
      <c r="G290" s="106"/>
      <c r="H290" s="106"/>
      <c r="I290" s="106"/>
      <c r="J290" s="117" t="str">
        <f>IF(DGArchive[[#This Row],[目标]]="","",INDEX(幕间计算!$E$200:$E$1199,ROW()-ROW(DGArchive[#Headers])))</f>
        <v/>
      </c>
      <c r="K290" s="117" t="str">
        <f>IF(DGArchive[[#This Row],[目标]]="","",INDEX(幕间计算!$F$200:$F$1199,ROW()-ROW(DGArchive[#Headers])))</f>
        <v/>
      </c>
    </row>
    <row r="291" ht="25" customHeight="1" spans="1:11">
      <c r="A291" s="106"/>
      <c r="B291" s="106"/>
      <c r="C291" s="126"/>
      <c r="D291" s="106"/>
      <c r="E291" s="106"/>
      <c r="F291" s="106"/>
      <c r="G291" s="106"/>
      <c r="H291" s="106"/>
      <c r="I291" s="106"/>
      <c r="J291" s="117" t="str">
        <f>IF(DGArchive[[#This Row],[目标]]="","",INDEX(幕间计算!$E$200:$E$1199,ROW()-ROW(DGArchive[#Headers])))</f>
        <v/>
      </c>
      <c r="K291" s="117" t="str">
        <f>IF(DGArchive[[#This Row],[目标]]="","",INDEX(幕间计算!$F$200:$F$1199,ROW()-ROW(DGArchive[#Headers])))</f>
        <v/>
      </c>
    </row>
    <row r="292" ht="25" customHeight="1" spans="1:11">
      <c r="A292" s="106"/>
      <c r="B292" s="106"/>
      <c r="C292" s="126"/>
      <c r="D292" s="106"/>
      <c r="E292" s="106"/>
      <c r="F292" s="106"/>
      <c r="G292" s="106"/>
      <c r="H292" s="106"/>
      <c r="I292" s="106"/>
      <c r="J292" s="117" t="str">
        <f>IF(DGArchive[[#This Row],[目标]]="","",INDEX(幕间计算!$E$200:$E$1199,ROW()-ROW(DGArchive[#Headers])))</f>
        <v/>
      </c>
      <c r="K292" s="117" t="str">
        <f>IF(DGArchive[[#This Row],[目标]]="","",INDEX(幕间计算!$F$200:$F$1199,ROW()-ROW(DGArchive[#Headers])))</f>
        <v/>
      </c>
    </row>
    <row r="293" ht="25" customHeight="1" spans="1:11">
      <c r="A293" s="106"/>
      <c r="B293" s="106"/>
      <c r="C293" s="126"/>
      <c r="D293" s="106"/>
      <c r="E293" s="106"/>
      <c r="F293" s="106"/>
      <c r="G293" s="106"/>
      <c r="H293" s="106"/>
      <c r="I293" s="106"/>
      <c r="J293" s="117" t="str">
        <f>IF(DGArchive[[#This Row],[目标]]="","",INDEX(幕间计算!$E$200:$E$1199,ROW()-ROW(DGArchive[#Headers])))</f>
        <v/>
      </c>
      <c r="K293" s="117" t="str">
        <f>IF(DGArchive[[#This Row],[目标]]="","",INDEX(幕间计算!$F$200:$F$1199,ROW()-ROW(DGArchive[#Headers])))</f>
        <v/>
      </c>
    </row>
    <row r="294" ht="25" customHeight="1" spans="1:11">
      <c r="A294" s="106"/>
      <c r="B294" s="106"/>
      <c r="C294" s="126"/>
      <c r="D294" s="106"/>
      <c r="E294" s="106"/>
      <c r="F294" s="106"/>
      <c r="G294" s="106"/>
      <c r="H294" s="106"/>
      <c r="I294" s="106"/>
      <c r="J294" s="117" t="str">
        <f>IF(DGArchive[[#This Row],[目标]]="","",INDEX(幕间计算!$E$200:$E$1199,ROW()-ROW(DGArchive[#Headers])))</f>
        <v/>
      </c>
      <c r="K294" s="117" t="str">
        <f>IF(DGArchive[[#This Row],[目标]]="","",INDEX(幕间计算!$F$200:$F$1199,ROW()-ROW(DGArchive[#Headers])))</f>
        <v/>
      </c>
    </row>
    <row r="295" ht="25" customHeight="1" spans="1:11">
      <c r="A295" s="106"/>
      <c r="B295" s="106"/>
      <c r="C295" s="126"/>
      <c r="D295" s="106"/>
      <c r="E295" s="106"/>
      <c r="F295" s="106"/>
      <c r="G295" s="106"/>
      <c r="H295" s="106"/>
      <c r="I295" s="106"/>
      <c r="J295" s="117" t="str">
        <f>IF(DGArchive[[#This Row],[目标]]="","",INDEX(幕间计算!$E$200:$E$1199,ROW()-ROW(DGArchive[#Headers])))</f>
        <v/>
      </c>
      <c r="K295" s="117" t="str">
        <f>IF(DGArchive[[#This Row],[目标]]="","",INDEX(幕间计算!$F$200:$F$1199,ROW()-ROW(DGArchive[#Headers])))</f>
        <v/>
      </c>
    </row>
    <row r="296" ht="25" customHeight="1" spans="1:11">
      <c r="A296" s="106"/>
      <c r="B296" s="106"/>
      <c r="C296" s="126"/>
      <c r="D296" s="106"/>
      <c r="E296" s="106"/>
      <c r="F296" s="106"/>
      <c r="G296" s="106"/>
      <c r="H296" s="106"/>
      <c r="I296" s="106"/>
      <c r="J296" s="117" t="str">
        <f>IF(DGArchive[[#This Row],[目标]]="","",INDEX(幕间计算!$E$200:$E$1199,ROW()-ROW(DGArchive[#Headers])))</f>
        <v/>
      </c>
      <c r="K296" s="117" t="str">
        <f>IF(DGArchive[[#This Row],[目标]]="","",INDEX(幕间计算!$F$200:$F$1199,ROW()-ROW(DGArchive[#Headers])))</f>
        <v/>
      </c>
    </row>
    <row r="297" ht="25" customHeight="1" spans="1:11">
      <c r="A297" s="106"/>
      <c r="B297" s="106"/>
      <c r="C297" s="126"/>
      <c r="D297" s="106"/>
      <c r="E297" s="106"/>
      <c r="F297" s="106"/>
      <c r="G297" s="106"/>
      <c r="H297" s="106"/>
      <c r="I297" s="106"/>
      <c r="J297" s="117" t="str">
        <f>IF(DGArchive[[#This Row],[目标]]="","",INDEX(幕间计算!$E$200:$E$1199,ROW()-ROW(DGArchive[#Headers])))</f>
        <v/>
      </c>
      <c r="K297" s="117" t="str">
        <f>IF(DGArchive[[#This Row],[目标]]="","",INDEX(幕间计算!$F$200:$F$1199,ROW()-ROW(DGArchive[#Headers])))</f>
        <v/>
      </c>
    </row>
    <row r="298" ht="25" customHeight="1" spans="1:11">
      <c r="A298" s="106"/>
      <c r="B298" s="106"/>
      <c r="C298" s="126"/>
      <c r="D298" s="106"/>
      <c r="E298" s="106"/>
      <c r="F298" s="106"/>
      <c r="G298" s="106"/>
      <c r="H298" s="106"/>
      <c r="I298" s="106"/>
      <c r="J298" s="117" t="str">
        <f>IF(DGArchive[[#This Row],[目标]]="","",INDEX(幕间计算!$E$200:$E$1199,ROW()-ROW(DGArchive[#Headers])))</f>
        <v/>
      </c>
      <c r="K298" s="117" t="str">
        <f>IF(DGArchive[[#This Row],[目标]]="","",INDEX(幕间计算!$F$200:$F$1199,ROW()-ROW(DGArchive[#Headers])))</f>
        <v/>
      </c>
    </row>
    <row r="299" ht="25" customHeight="1" spans="1:11">
      <c r="A299" s="106"/>
      <c r="B299" s="106"/>
      <c r="C299" s="126"/>
      <c r="D299" s="106"/>
      <c r="E299" s="106"/>
      <c r="F299" s="106"/>
      <c r="G299" s="106"/>
      <c r="H299" s="106"/>
      <c r="I299" s="106"/>
      <c r="J299" s="117" t="str">
        <f>IF(DGArchive[[#This Row],[目标]]="","",INDEX(幕间计算!$E$200:$E$1199,ROW()-ROW(DGArchive[#Headers])))</f>
        <v/>
      </c>
      <c r="K299" s="117" t="str">
        <f>IF(DGArchive[[#This Row],[目标]]="","",INDEX(幕间计算!$F$200:$F$1199,ROW()-ROW(DGArchive[#Headers])))</f>
        <v/>
      </c>
    </row>
    <row r="300" ht="25" customHeight="1" spans="1:11">
      <c r="A300" s="106"/>
      <c r="B300" s="106"/>
      <c r="C300" s="126"/>
      <c r="D300" s="106"/>
      <c r="E300" s="106"/>
      <c r="F300" s="106"/>
      <c r="G300" s="106"/>
      <c r="H300" s="106"/>
      <c r="I300" s="106"/>
      <c r="J300" s="117" t="str">
        <f>IF(DGArchive[[#This Row],[目标]]="","",INDEX(幕间计算!$E$200:$E$1199,ROW()-ROW(DGArchive[#Headers])))</f>
        <v/>
      </c>
      <c r="K300" s="117" t="str">
        <f>IF(DGArchive[[#This Row],[目标]]="","",INDEX(幕间计算!$F$200:$F$1199,ROW()-ROW(DGArchive[#Headers])))</f>
        <v/>
      </c>
    </row>
    <row r="301" ht="25" customHeight="1" spans="1:11">
      <c r="A301" s="106"/>
      <c r="B301" s="106"/>
      <c r="C301" s="126"/>
      <c r="D301" s="106"/>
      <c r="E301" s="106"/>
      <c r="F301" s="106"/>
      <c r="G301" s="106"/>
      <c r="H301" s="106"/>
      <c r="I301" s="106"/>
      <c r="J301" s="117" t="str">
        <f>IF(DGArchive[[#This Row],[目标]]="","",INDEX(幕间计算!$E$200:$E$1199,ROW()-ROW(DGArchive[#Headers])))</f>
        <v/>
      </c>
      <c r="K301" s="117" t="str">
        <f>IF(DGArchive[[#This Row],[目标]]="","",INDEX(幕间计算!$F$200:$F$1199,ROW()-ROW(DGArchive[#Headers])))</f>
        <v/>
      </c>
    </row>
    <row r="302" ht="25" customHeight="1" spans="1:11">
      <c r="A302" s="106"/>
      <c r="B302" s="106"/>
      <c r="C302" s="126"/>
      <c r="D302" s="106"/>
      <c r="E302" s="106"/>
      <c r="F302" s="106"/>
      <c r="G302" s="106"/>
      <c r="H302" s="106"/>
      <c r="I302" s="106"/>
      <c r="J302" s="117" t="str">
        <f>IF(DGArchive[[#This Row],[目标]]="","",INDEX(幕间计算!$E$200:$E$1199,ROW()-ROW(DGArchive[#Headers])))</f>
        <v/>
      </c>
      <c r="K302" s="117" t="str">
        <f>IF(DGArchive[[#This Row],[目标]]="","",INDEX(幕间计算!$F$200:$F$1199,ROW()-ROW(DGArchive[#Headers])))</f>
        <v/>
      </c>
    </row>
    <row r="303" ht="25" customHeight="1" spans="1:11">
      <c r="A303" s="106"/>
      <c r="B303" s="106"/>
      <c r="C303" s="126"/>
      <c r="D303" s="106"/>
      <c r="E303" s="106"/>
      <c r="F303" s="106"/>
      <c r="G303" s="106"/>
      <c r="H303" s="106"/>
      <c r="I303" s="106"/>
      <c r="J303" s="117" t="str">
        <f>IF(DGArchive[[#This Row],[目标]]="","",INDEX(幕间计算!$E$200:$E$1199,ROW()-ROW(DGArchive[#Headers])))</f>
        <v/>
      </c>
      <c r="K303" s="117" t="str">
        <f>IF(DGArchive[[#This Row],[目标]]="","",INDEX(幕间计算!$F$200:$F$1199,ROW()-ROW(DGArchive[#Headers])))</f>
        <v/>
      </c>
    </row>
    <row r="304" ht="25" customHeight="1" spans="1:11">
      <c r="A304" s="106"/>
      <c r="B304" s="106"/>
      <c r="C304" s="126"/>
      <c r="D304" s="106"/>
      <c r="E304" s="106"/>
      <c r="F304" s="106"/>
      <c r="G304" s="106"/>
      <c r="H304" s="106"/>
      <c r="I304" s="106"/>
      <c r="J304" s="117" t="str">
        <f>IF(DGArchive[[#This Row],[目标]]="","",INDEX(幕间计算!$E$200:$E$1199,ROW()-ROW(DGArchive[#Headers])))</f>
        <v/>
      </c>
      <c r="K304" s="117" t="str">
        <f>IF(DGArchive[[#This Row],[目标]]="","",INDEX(幕间计算!$F$200:$F$1199,ROW()-ROW(DGArchive[#Headers])))</f>
        <v/>
      </c>
    </row>
    <row r="305" ht="25" customHeight="1" spans="1:11">
      <c r="A305" s="106"/>
      <c r="B305" s="106"/>
      <c r="C305" s="126"/>
      <c r="D305" s="106"/>
      <c r="E305" s="106"/>
      <c r="F305" s="106"/>
      <c r="G305" s="106"/>
      <c r="H305" s="106"/>
      <c r="I305" s="106"/>
      <c r="J305" s="117" t="str">
        <f>IF(DGArchive[[#This Row],[目标]]="","",INDEX(幕间计算!$E$200:$E$1199,ROW()-ROW(DGArchive[#Headers])))</f>
        <v/>
      </c>
      <c r="K305" s="117" t="str">
        <f>IF(DGArchive[[#This Row],[目标]]="","",INDEX(幕间计算!$F$200:$F$1199,ROW()-ROW(DGArchive[#Headers])))</f>
        <v/>
      </c>
    </row>
    <row r="306" ht="25" customHeight="1" spans="1:11">
      <c r="A306" s="106"/>
      <c r="B306" s="106"/>
      <c r="C306" s="126"/>
      <c r="D306" s="106"/>
      <c r="E306" s="106"/>
      <c r="F306" s="106"/>
      <c r="G306" s="106"/>
      <c r="H306" s="106"/>
      <c r="I306" s="106"/>
      <c r="J306" s="117" t="str">
        <f>IF(DGArchive[[#This Row],[目标]]="","",INDEX(幕间计算!$E$200:$E$1199,ROW()-ROW(DGArchive[#Headers])))</f>
        <v/>
      </c>
      <c r="K306" s="117" t="str">
        <f>IF(DGArchive[[#This Row],[目标]]="","",INDEX(幕间计算!$F$200:$F$1199,ROW()-ROW(DGArchive[#Headers])))</f>
        <v/>
      </c>
    </row>
    <row r="307" ht="25" customHeight="1" spans="1:11">
      <c r="A307" s="106"/>
      <c r="B307" s="106"/>
      <c r="C307" s="126"/>
      <c r="D307" s="106"/>
      <c r="E307" s="106"/>
      <c r="F307" s="106"/>
      <c r="G307" s="106"/>
      <c r="H307" s="106"/>
      <c r="I307" s="106"/>
      <c r="J307" s="117" t="str">
        <f>IF(DGArchive[[#This Row],[目标]]="","",INDEX(幕间计算!$E$200:$E$1199,ROW()-ROW(DGArchive[#Headers])))</f>
        <v/>
      </c>
      <c r="K307" s="117" t="str">
        <f>IF(DGArchive[[#This Row],[目标]]="","",INDEX(幕间计算!$F$200:$F$1199,ROW()-ROW(DGArchive[#Headers])))</f>
        <v/>
      </c>
    </row>
    <row r="308" ht="25" customHeight="1" spans="1:11">
      <c r="A308" s="106"/>
      <c r="B308" s="106"/>
      <c r="C308" s="126"/>
      <c r="D308" s="106"/>
      <c r="E308" s="106"/>
      <c r="F308" s="106"/>
      <c r="G308" s="106"/>
      <c r="H308" s="106"/>
      <c r="I308" s="106"/>
      <c r="J308" s="117" t="str">
        <f>IF(DGArchive[[#This Row],[目标]]="","",INDEX(幕间计算!$E$200:$E$1199,ROW()-ROW(DGArchive[#Headers])))</f>
        <v/>
      </c>
      <c r="K308" s="117" t="str">
        <f>IF(DGArchive[[#This Row],[目标]]="","",INDEX(幕间计算!$F$200:$F$1199,ROW()-ROW(DGArchive[#Headers])))</f>
        <v/>
      </c>
    </row>
    <row r="309" ht="25" customHeight="1" spans="1:11">
      <c r="A309" s="106"/>
      <c r="B309" s="106"/>
      <c r="C309" s="126"/>
      <c r="D309" s="106"/>
      <c r="E309" s="106"/>
      <c r="F309" s="106"/>
      <c r="G309" s="106"/>
      <c r="H309" s="106"/>
      <c r="I309" s="106"/>
      <c r="J309" s="117" t="str">
        <f>IF(DGArchive[[#This Row],[目标]]="","",INDEX(幕间计算!$E$200:$E$1199,ROW()-ROW(DGArchive[#Headers])))</f>
        <v/>
      </c>
      <c r="K309" s="117" t="str">
        <f>IF(DGArchive[[#This Row],[目标]]="","",INDEX(幕间计算!$F$200:$F$1199,ROW()-ROW(DGArchive[#Headers])))</f>
        <v/>
      </c>
    </row>
    <row r="310" ht="25" customHeight="1" spans="1:11">
      <c r="A310" s="106"/>
      <c r="B310" s="106"/>
      <c r="C310" s="126"/>
      <c r="D310" s="106"/>
      <c r="E310" s="106"/>
      <c r="F310" s="106"/>
      <c r="G310" s="106"/>
      <c r="H310" s="106"/>
      <c r="I310" s="106"/>
      <c r="J310" s="117" t="str">
        <f>IF(DGArchive[[#This Row],[目标]]="","",INDEX(幕间计算!$E$200:$E$1199,ROW()-ROW(DGArchive[#Headers])))</f>
        <v/>
      </c>
      <c r="K310" s="117" t="str">
        <f>IF(DGArchive[[#This Row],[目标]]="","",INDEX(幕间计算!$F$200:$F$1199,ROW()-ROW(DGArchive[#Headers])))</f>
        <v/>
      </c>
    </row>
    <row r="311" ht="25" customHeight="1" spans="1:11">
      <c r="A311" s="106"/>
      <c r="B311" s="106"/>
      <c r="C311" s="126"/>
      <c r="D311" s="106"/>
      <c r="E311" s="106"/>
      <c r="F311" s="106"/>
      <c r="G311" s="106"/>
      <c r="H311" s="106"/>
      <c r="I311" s="106"/>
      <c r="J311" s="117" t="str">
        <f>IF(DGArchive[[#This Row],[目标]]="","",INDEX(幕间计算!$E$200:$E$1199,ROW()-ROW(DGArchive[#Headers])))</f>
        <v/>
      </c>
      <c r="K311" s="117" t="str">
        <f>IF(DGArchive[[#This Row],[目标]]="","",INDEX(幕间计算!$F$200:$F$1199,ROW()-ROW(DGArchive[#Headers])))</f>
        <v/>
      </c>
    </row>
    <row r="312" ht="25" customHeight="1" spans="1:11">
      <c r="A312" s="106"/>
      <c r="B312" s="106"/>
      <c r="C312" s="126"/>
      <c r="D312" s="106"/>
      <c r="E312" s="106"/>
      <c r="F312" s="106"/>
      <c r="G312" s="106"/>
      <c r="H312" s="106"/>
      <c r="I312" s="106"/>
      <c r="J312" s="117" t="str">
        <f>IF(DGArchive[[#This Row],[目标]]="","",INDEX(幕间计算!$E$200:$E$1199,ROW()-ROW(DGArchive[#Headers])))</f>
        <v/>
      </c>
      <c r="K312" s="117" t="str">
        <f>IF(DGArchive[[#This Row],[目标]]="","",INDEX(幕间计算!$F$200:$F$1199,ROW()-ROW(DGArchive[#Headers])))</f>
        <v/>
      </c>
    </row>
    <row r="313" ht="25" customHeight="1" spans="1:11">
      <c r="A313" s="106"/>
      <c r="B313" s="106"/>
      <c r="C313" s="126"/>
      <c r="D313" s="106"/>
      <c r="E313" s="106"/>
      <c r="F313" s="106"/>
      <c r="G313" s="106"/>
      <c r="H313" s="106"/>
      <c r="I313" s="106"/>
      <c r="J313" s="117" t="str">
        <f>IF(DGArchive[[#This Row],[目标]]="","",INDEX(幕间计算!$E$200:$E$1199,ROW()-ROW(DGArchive[#Headers])))</f>
        <v/>
      </c>
      <c r="K313" s="117" t="str">
        <f>IF(DGArchive[[#This Row],[目标]]="","",INDEX(幕间计算!$F$200:$F$1199,ROW()-ROW(DGArchive[#Headers])))</f>
        <v/>
      </c>
    </row>
    <row r="314" ht="25" customHeight="1" spans="1:11">
      <c r="A314" s="106"/>
      <c r="B314" s="106"/>
      <c r="C314" s="126"/>
      <c r="D314" s="106"/>
      <c r="E314" s="106"/>
      <c r="F314" s="106"/>
      <c r="G314" s="106"/>
      <c r="H314" s="106"/>
      <c r="I314" s="106"/>
      <c r="J314" s="117" t="str">
        <f>IF(DGArchive[[#This Row],[目标]]="","",INDEX(幕间计算!$E$200:$E$1199,ROW()-ROW(DGArchive[#Headers])))</f>
        <v/>
      </c>
      <c r="K314" s="117" t="str">
        <f>IF(DGArchive[[#This Row],[目标]]="","",INDEX(幕间计算!$F$200:$F$1199,ROW()-ROW(DGArchive[#Headers])))</f>
        <v/>
      </c>
    </row>
    <row r="315" ht="25" customHeight="1" spans="1:11">
      <c r="A315" s="106"/>
      <c r="B315" s="106"/>
      <c r="C315" s="126"/>
      <c r="D315" s="106"/>
      <c r="E315" s="106"/>
      <c r="F315" s="106"/>
      <c r="G315" s="106"/>
      <c r="H315" s="106"/>
      <c r="I315" s="106"/>
      <c r="J315" s="117" t="str">
        <f>IF(DGArchive[[#This Row],[目标]]="","",INDEX(幕间计算!$E$200:$E$1199,ROW()-ROW(DGArchive[#Headers])))</f>
        <v/>
      </c>
      <c r="K315" s="117" t="str">
        <f>IF(DGArchive[[#This Row],[目标]]="","",INDEX(幕间计算!$F$200:$F$1199,ROW()-ROW(DGArchive[#Headers])))</f>
        <v/>
      </c>
    </row>
    <row r="316" ht="25" customHeight="1" spans="1:11">
      <c r="A316" s="106"/>
      <c r="B316" s="106"/>
      <c r="C316" s="126"/>
      <c r="D316" s="106"/>
      <c r="E316" s="106"/>
      <c r="F316" s="106"/>
      <c r="G316" s="106"/>
      <c r="H316" s="106"/>
      <c r="I316" s="106"/>
      <c r="J316" s="117" t="str">
        <f>IF(DGArchive[[#This Row],[目标]]="","",INDEX(幕间计算!$E$200:$E$1199,ROW()-ROW(DGArchive[#Headers])))</f>
        <v/>
      </c>
      <c r="K316" s="117" t="str">
        <f>IF(DGArchive[[#This Row],[目标]]="","",INDEX(幕间计算!$F$200:$F$1199,ROW()-ROW(DGArchive[#Headers])))</f>
        <v/>
      </c>
    </row>
    <row r="317" ht="25" customHeight="1" spans="1:11">
      <c r="A317" s="106"/>
      <c r="B317" s="106"/>
      <c r="C317" s="126"/>
      <c r="D317" s="106"/>
      <c r="E317" s="106"/>
      <c r="F317" s="106"/>
      <c r="G317" s="106"/>
      <c r="H317" s="106"/>
      <c r="I317" s="106"/>
      <c r="J317" s="117" t="str">
        <f>IF(DGArchive[[#This Row],[目标]]="","",INDEX(幕间计算!$E$200:$E$1199,ROW()-ROW(DGArchive[#Headers])))</f>
        <v/>
      </c>
      <c r="K317" s="117" t="str">
        <f>IF(DGArchive[[#This Row],[目标]]="","",INDEX(幕间计算!$F$200:$F$1199,ROW()-ROW(DGArchive[#Headers])))</f>
        <v/>
      </c>
    </row>
    <row r="318" ht="25" customHeight="1" spans="1:11">
      <c r="A318" s="106"/>
      <c r="B318" s="106"/>
      <c r="C318" s="126"/>
      <c r="D318" s="106"/>
      <c r="E318" s="106"/>
      <c r="F318" s="106"/>
      <c r="G318" s="106"/>
      <c r="H318" s="106"/>
      <c r="I318" s="106"/>
      <c r="J318" s="117" t="str">
        <f>IF(DGArchive[[#This Row],[目标]]="","",INDEX(幕间计算!$E$200:$E$1199,ROW()-ROW(DGArchive[#Headers])))</f>
        <v/>
      </c>
      <c r="K318" s="117" t="str">
        <f>IF(DGArchive[[#This Row],[目标]]="","",INDEX(幕间计算!$F$200:$F$1199,ROW()-ROW(DGArchive[#Headers])))</f>
        <v/>
      </c>
    </row>
    <row r="319" ht="25" customHeight="1" spans="1:11">
      <c r="A319" s="106"/>
      <c r="B319" s="106"/>
      <c r="C319" s="126"/>
      <c r="D319" s="106"/>
      <c r="E319" s="106"/>
      <c r="F319" s="106"/>
      <c r="G319" s="106"/>
      <c r="H319" s="106"/>
      <c r="I319" s="106"/>
      <c r="J319" s="117" t="str">
        <f>IF(DGArchive[[#This Row],[目标]]="","",INDEX(幕间计算!$E$200:$E$1199,ROW()-ROW(DGArchive[#Headers])))</f>
        <v/>
      </c>
      <c r="K319" s="117" t="str">
        <f>IF(DGArchive[[#This Row],[目标]]="","",INDEX(幕间计算!$F$200:$F$1199,ROW()-ROW(DGArchive[#Headers])))</f>
        <v/>
      </c>
    </row>
    <row r="320" ht="25" customHeight="1" spans="1:11">
      <c r="A320" s="106"/>
      <c r="B320" s="106"/>
      <c r="C320" s="126"/>
      <c r="D320" s="106"/>
      <c r="E320" s="106"/>
      <c r="F320" s="106"/>
      <c r="G320" s="106"/>
      <c r="H320" s="106"/>
      <c r="I320" s="106"/>
      <c r="J320" s="117" t="str">
        <f>IF(DGArchive[[#This Row],[目标]]="","",INDEX(幕间计算!$E$200:$E$1199,ROW()-ROW(DGArchive[#Headers])))</f>
        <v/>
      </c>
      <c r="K320" s="117" t="str">
        <f>IF(DGArchive[[#This Row],[目标]]="","",INDEX(幕间计算!$F$200:$F$1199,ROW()-ROW(DGArchive[#Headers])))</f>
        <v/>
      </c>
    </row>
    <row r="321" ht="25" customHeight="1" spans="1:11">
      <c r="A321" s="106"/>
      <c r="B321" s="106"/>
      <c r="C321" s="126"/>
      <c r="D321" s="106"/>
      <c r="E321" s="106"/>
      <c r="F321" s="106"/>
      <c r="G321" s="106"/>
      <c r="H321" s="106"/>
      <c r="I321" s="106"/>
      <c r="J321" s="117" t="str">
        <f>IF(DGArchive[[#This Row],[目标]]="","",INDEX(幕间计算!$E$200:$E$1199,ROW()-ROW(DGArchive[#Headers])))</f>
        <v/>
      </c>
      <c r="K321" s="117" t="str">
        <f>IF(DGArchive[[#This Row],[目标]]="","",INDEX(幕间计算!$F$200:$F$1199,ROW()-ROW(DGArchive[#Headers])))</f>
        <v/>
      </c>
    </row>
    <row r="322" ht="25" customHeight="1" spans="1:11">
      <c r="A322" s="106"/>
      <c r="B322" s="106"/>
      <c r="C322" s="126"/>
      <c r="D322" s="106"/>
      <c r="E322" s="106"/>
      <c r="F322" s="106"/>
      <c r="G322" s="106"/>
      <c r="H322" s="106"/>
      <c r="I322" s="106"/>
      <c r="J322" s="117" t="str">
        <f>IF(DGArchive[[#This Row],[目标]]="","",INDEX(幕间计算!$E$200:$E$1199,ROW()-ROW(DGArchive[#Headers])))</f>
        <v/>
      </c>
      <c r="K322" s="117" t="str">
        <f>IF(DGArchive[[#This Row],[目标]]="","",INDEX(幕间计算!$F$200:$F$1199,ROW()-ROW(DGArchive[#Headers])))</f>
        <v/>
      </c>
    </row>
    <row r="323" ht="25" customHeight="1" spans="1:11">
      <c r="A323" s="106"/>
      <c r="B323" s="106"/>
      <c r="C323" s="126"/>
      <c r="D323" s="106"/>
      <c r="E323" s="106"/>
      <c r="F323" s="106"/>
      <c r="G323" s="106"/>
      <c r="H323" s="106"/>
      <c r="I323" s="106"/>
      <c r="J323" s="117" t="str">
        <f>IF(DGArchive[[#This Row],[目标]]="","",INDEX(幕间计算!$E$200:$E$1199,ROW()-ROW(DGArchive[#Headers])))</f>
        <v/>
      </c>
      <c r="K323" s="117" t="str">
        <f>IF(DGArchive[[#This Row],[目标]]="","",INDEX(幕间计算!$F$200:$F$1199,ROW()-ROW(DGArchive[#Headers])))</f>
        <v/>
      </c>
    </row>
    <row r="324" ht="25" customHeight="1" spans="1:11">
      <c r="A324" s="106"/>
      <c r="B324" s="106"/>
      <c r="C324" s="126"/>
      <c r="D324" s="106"/>
      <c r="E324" s="106"/>
      <c r="F324" s="106"/>
      <c r="G324" s="106"/>
      <c r="H324" s="106"/>
      <c r="I324" s="106"/>
      <c r="J324" s="117" t="str">
        <f>IF(DGArchive[[#This Row],[目标]]="","",INDEX(幕间计算!$E$200:$E$1199,ROW()-ROW(DGArchive[#Headers])))</f>
        <v/>
      </c>
      <c r="K324" s="117" t="str">
        <f>IF(DGArchive[[#This Row],[目标]]="","",INDEX(幕间计算!$F$200:$F$1199,ROW()-ROW(DGArchive[#Headers])))</f>
        <v/>
      </c>
    </row>
    <row r="325" ht="25" customHeight="1" spans="1:11">
      <c r="A325" s="106"/>
      <c r="B325" s="106"/>
      <c r="C325" s="126"/>
      <c r="D325" s="106"/>
      <c r="E325" s="106"/>
      <c r="F325" s="106"/>
      <c r="G325" s="106"/>
      <c r="H325" s="106"/>
      <c r="I325" s="106"/>
      <c r="J325" s="117" t="str">
        <f>IF(DGArchive[[#This Row],[目标]]="","",INDEX(幕间计算!$E$200:$E$1199,ROW()-ROW(DGArchive[#Headers])))</f>
        <v/>
      </c>
      <c r="K325" s="117" t="str">
        <f>IF(DGArchive[[#This Row],[目标]]="","",INDEX(幕间计算!$F$200:$F$1199,ROW()-ROW(DGArchive[#Headers])))</f>
        <v/>
      </c>
    </row>
    <row r="326" ht="25" customHeight="1" spans="1:11">
      <c r="A326" s="106"/>
      <c r="B326" s="106"/>
      <c r="C326" s="126"/>
      <c r="D326" s="106"/>
      <c r="E326" s="106"/>
      <c r="F326" s="106"/>
      <c r="G326" s="106"/>
      <c r="H326" s="106"/>
      <c r="I326" s="106"/>
      <c r="J326" s="117" t="str">
        <f>IF(DGArchive[[#This Row],[目标]]="","",INDEX(幕间计算!$E$200:$E$1199,ROW()-ROW(DGArchive[#Headers])))</f>
        <v/>
      </c>
      <c r="K326" s="117" t="str">
        <f>IF(DGArchive[[#This Row],[目标]]="","",INDEX(幕间计算!$F$200:$F$1199,ROW()-ROW(DGArchive[#Headers])))</f>
        <v/>
      </c>
    </row>
    <row r="327" ht="25" customHeight="1" spans="1:11">
      <c r="A327" s="106"/>
      <c r="B327" s="106"/>
      <c r="C327" s="126"/>
      <c r="D327" s="106"/>
      <c r="E327" s="106"/>
      <c r="F327" s="106"/>
      <c r="G327" s="106"/>
      <c r="H327" s="106"/>
      <c r="I327" s="106"/>
      <c r="J327" s="117" t="str">
        <f>IF(DGArchive[[#This Row],[目标]]="","",INDEX(幕间计算!$E$200:$E$1199,ROW()-ROW(DGArchive[#Headers])))</f>
        <v/>
      </c>
      <c r="K327" s="117" t="str">
        <f>IF(DGArchive[[#This Row],[目标]]="","",INDEX(幕间计算!$F$200:$F$1199,ROW()-ROW(DGArchive[#Headers])))</f>
        <v/>
      </c>
    </row>
    <row r="328" ht="25" customHeight="1" spans="1:11">
      <c r="A328" s="106"/>
      <c r="B328" s="106"/>
      <c r="C328" s="126"/>
      <c r="D328" s="106"/>
      <c r="E328" s="106"/>
      <c r="F328" s="106"/>
      <c r="G328" s="106"/>
      <c r="H328" s="106"/>
      <c r="I328" s="106"/>
      <c r="J328" s="117" t="str">
        <f>IF(DGArchive[[#This Row],[目标]]="","",INDEX(幕间计算!$E$200:$E$1199,ROW()-ROW(DGArchive[#Headers])))</f>
        <v/>
      </c>
      <c r="K328" s="117" t="str">
        <f>IF(DGArchive[[#This Row],[目标]]="","",INDEX(幕间计算!$F$200:$F$1199,ROW()-ROW(DGArchive[#Headers])))</f>
        <v/>
      </c>
    </row>
    <row r="329" ht="25" customHeight="1" spans="1:11">
      <c r="A329" s="106"/>
      <c r="B329" s="106"/>
      <c r="C329" s="126"/>
      <c r="D329" s="106"/>
      <c r="E329" s="106"/>
      <c r="F329" s="106"/>
      <c r="G329" s="106"/>
      <c r="H329" s="106"/>
      <c r="I329" s="106"/>
      <c r="J329" s="117" t="str">
        <f>IF(DGArchive[[#This Row],[目标]]="","",INDEX(幕间计算!$E$200:$E$1199,ROW()-ROW(DGArchive[#Headers])))</f>
        <v/>
      </c>
      <c r="K329" s="117" t="str">
        <f>IF(DGArchive[[#This Row],[目标]]="","",INDEX(幕间计算!$F$200:$F$1199,ROW()-ROW(DGArchive[#Headers])))</f>
        <v/>
      </c>
    </row>
    <row r="330" ht="25" customHeight="1" spans="1:11">
      <c r="A330" s="106"/>
      <c r="B330" s="106"/>
      <c r="C330" s="126"/>
      <c r="D330" s="106"/>
      <c r="E330" s="106"/>
      <c r="F330" s="106"/>
      <c r="G330" s="106"/>
      <c r="H330" s="106"/>
      <c r="I330" s="106"/>
      <c r="J330" s="117" t="str">
        <f>IF(DGArchive[[#This Row],[目标]]="","",INDEX(幕间计算!$E$200:$E$1199,ROW()-ROW(DGArchive[#Headers])))</f>
        <v/>
      </c>
      <c r="K330" s="117" t="str">
        <f>IF(DGArchive[[#This Row],[目标]]="","",INDEX(幕间计算!$F$200:$F$1199,ROW()-ROW(DGArchive[#Headers])))</f>
        <v/>
      </c>
    </row>
    <row r="331" ht="25" customHeight="1" spans="1:11">
      <c r="A331" s="106"/>
      <c r="B331" s="106"/>
      <c r="C331" s="126"/>
      <c r="D331" s="106"/>
      <c r="E331" s="106"/>
      <c r="F331" s="106"/>
      <c r="G331" s="106"/>
      <c r="H331" s="106"/>
      <c r="I331" s="106"/>
      <c r="J331" s="117" t="str">
        <f>IF(DGArchive[[#This Row],[目标]]="","",INDEX(幕间计算!$E$200:$E$1199,ROW()-ROW(DGArchive[#Headers])))</f>
        <v/>
      </c>
      <c r="K331" s="117" t="str">
        <f>IF(DGArchive[[#This Row],[目标]]="","",INDEX(幕间计算!$F$200:$F$1199,ROW()-ROW(DGArchive[#Headers])))</f>
        <v/>
      </c>
    </row>
    <row r="332" ht="25" customHeight="1" spans="1:11">
      <c r="A332" s="106"/>
      <c r="B332" s="106"/>
      <c r="C332" s="126"/>
      <c r="D332" s="106"/>
      <c r="E332" s="106"/>
      <c r="F332" s="106"/>
      <c r="G332" s="106"/>
      <c r="H332" s="106"/>
      <c r="I332" s="106"/>
      <c r="J332" s="117" t="str">
        <f>IF(DGArchive[[#This Row],[目标]]="","",INDEX(幕间计算!$E$200:$E$1199,ROW()-ROW(DGArchive[#Headers])))</f>
        <v/>
      </c>
      <c r="K332" s="117" t="str">
        <f>IF(DGArchive[[#This Row],[目标]]="","",INDEX(幕间计算!$F$200:$F$1199,ROW()-ROW(DGArchive[#Headers])))</f>
        <v/>
      </c>
    </row>
    <row r="333" ht="25" customHeight="1" spans="1:11">
      <c r="A333" s="106"/>
      <c r="B333" s="106"/>
      <c r="C333" s="126"/>
      <c r="D333" s="106"/>
      <c r="E333" s="106"/>
      <c r="F333" s="106"/>
      <c r="G333" s="106"/>
      <c r="H333" s="106"/>
      <c r="I333" s="106"/>
      <c r="J333" s="117" t="str">
        <f>IF(DGArchive[[#This Row],[目标]]="","",INDEX(幕间计算!$E$200:$E$1199,ROW()-ROW(DGArchive[#Headers])))</f>
        <v/>
      </c>
      <c r="K333" s="117" t="str">
        <f>IF(DGArchive[[#This Row],[目标]]="","",INDEX(幕间计算!$F$200:$F$1199,ROW()-ROW(DGArchive[#Headers])))</f>
        <v/>
      </c>
    </row>
    <row r="334" ht="25" customHeight="1" spans="1:11">
      <c r="A334" s="106"/>
      <c r="B334" s="106"/>
      <c r="C334" s="126"/>
      <c r="D334" s="106"/>
      <c r="E334" s="106"/>
      <c r="F334" s="106"/>
      <c r="G334" s="106"/>
      <c r="H334" s="106"/>
      <c r="I334" s="106"/>
      <c r="J334" s="117" t="str">
        <f>IF(DGArchive[[#This Row],[目标]]="","",INDEX(幕间计算!$E$200:$E$1199,ROW()-ROW(DGArchive[#Headers])))</f>
        <v/>
      </c>
      <c r="K334" s="117" t="str">
        <f>IF(DGArchive[[#This Row],[目标]]="","",INDEX(幕间计算!$F$200:$F$1199,ROW()-ROW(DGArchive[#Headers])))</f>
        <v/>
      </c>
    </row>
    <row r="335" ht="25" customHeight="1" spans="1:11">
      <c r="A335" s="106"/>
      <c r="B335" s="106"/>
      <c r="C335" s="126"/>
      <c r="D335" s="106"/>
      <c r="E335" s="106"/>
      <c r="F335" s="106"/>
      <c r="G335" s="106"/>
      <c r="H335" s="106"/>
      <c r="I335" s="106"/>
      <c r="J335" s="117" t="str">
        <f>IF(DGArchive[[#This Row],[目标]]="","",INDEX(幕间计算!$E$200:$E$1199,ROW()-ROW(DGArchive[#Headers])))</f>
        <v/>
      </c>
      <c r="K335" s="117" t="str">
        <f>IF(DGArchive[[#This Row],[目标]]="","",INDEX(幕间计算!$F$200:$F$1199,ROW()-ROW(DGArchive[#Headers])))</f>
        <v/>
      </c>
    </row>
    <row r="336" ht="25" customHeight="1" spans="1:11">
      <c r="A336" s="106"/>
      <c r="B336" s="106"/>
      <c r="C336" s="126"/>
      <c r="D336" s="106"/>
      <c r="E336" s="106"/>
      <c r="F336" s="106"/>
      <c r="G336" s="106"/>
      <c r="H336" s="106"/>
      <c r="I336" s="106"/>
      <c r="J336" s="117" t="str">
        <f>IF(DGArchive[[#This Row],[目标]]="","",INDEX(幕间计算!$E$200:$E$1199,ROW()-ROW(DGArchive[#Headers])))</f>
        <v/>
      </c>
      <c r="K336" s="117" t="str">
        <f>IF(DGArchive[[#This Row],[目标]]="","",INDEX(幕间计算!$F$200:$F$1199,ROW()-ROW(DGArchive[#Headers])))</f>
        <v/>
      </c>
    </row>
    <row r="337" ht="25" customHeight="1" spans="1:11">
      <c r="A337" s="106"/>
      <c r="B337" s="106"/>
      <c r="C337" s="126"/>
      <c r="D337" s="106"/>
      <c r="E337" s="106"/>
      <c r="F337" s="106"/>
      <c r="G337" s="106"/>
      <c r="H337" s="106"/>
      <c r="I337" s="106"/>
      <c r="J337" s="117" t="str">
        <f>IF(DGArchive[[#This Row],[目标]]="","",INDEX(幕间计算!$E$200:$E$1199,ROW()-ROW(DGArchive[#Headers])))</f>
        <v/>
      </c>
      <c r="K337" s="117" t="str">
        <f>IF(DGArchive[[#This Row],[目标]]="","",INDEX(幕间计算!$F$200:$F$1199,ROW()-ROW(DGArchive[#Headers])))</f>
        <v/>
      </c>
    </row>
    <row r="338" ht="25" customHeight="1" spans="1:11">
      <c r="A338" s="106"/>
      <c r="B338" s="106"/>
      <c r="C338" s="126"/>
      <c r="D338" s="106"/>
      <c r="E338" s="106"/>
      <c r="F338" s="106"/>
      <c r="G338" s="106"/>
      <c r="H338" s="106"/>
      <c r="I338" s="106"/>
      <c r="J338" s="117" t="str">
        <f>IF(DGArchive[[#This Row],[目标]]="","",INDEX(幕间计算!$E$200:$E$1199,ROW()-ROW(DGArchive[#Headers])))</f>
        <v/>
      </c>
      <c r="K338" s="117" t="str">
        <f>IF(DGArchive[[#This Row],[目标]]="","",INDEX(幕间计算!$F$200:$F$1199,ROW()-ROW(DGArchive[#Headers])))</f>
        <v/>
      </c>
    </row>
    <row r="339" ht="25" customHeight="1" spans="1:11">
      <c r="A339" s="106"/>
      <c r="B339" s="106"/>
      <c r="C339" s="126"/>
      <c r="D339" s="106"/>
      <c r="E339" s="106"/>
      <c r="F339" s="106"/>
      <c r="G339" s="106"/>
      <c r="H339" s="106"/>
      <c r="I339" s="106"/>
      <c r="J339" s="117" t="str">
        <f>IF(DGArchive[[#This Row],[目标]]="","",INDEX(幕间计算!$E$200:$E$1199,ROW()-ROW(DGArchive[#Headers])))</f>
        <v/>
      </c>
      <c r="K339" s="117" t="str">
        <f>IF(DGArchive[[#This Row],[目标]]="","",INDEX(幕间计算!$F$200:$F$1199,ROW()-ROW(DGArchive[#Headers])))</f>
        <v/>
      </c>
    </row>
    <row r="340" ht="25" customHeight="1" spans="1:11">
      <c r="A340" s="106"/>
      <c r="B340" s="106"/>
      <c r="C340" s="126"/>
      <c r="D340" s="106"/>
      <c r="E340" s="106"/>
      <c r="F340" s="106"/>
      <c r="G340" s="106"/>
      <c r="H340" s="106"/>
      <c r="I340" s="106"/>
      <c r="J340" s="117" t="str">
        <f>IF(DGArchive[[#This Row],[目标]]="","",INDEX(幕间计算!$E$200:$E$1199,ROW()-ROW(DGArchive[#Headers])))</f>
        <v/>
      </c>
      <c r="K340" s="117" t="str">
        <f>IF(DGArchive[[#This Row],[目标]]="","",INDEX(幕间计算!$F$200:$F$1199,ROW()-ROW(DGArchive[#Headers])))</f>
        <v/>
      </c>
    </row>
    <row r="341" ht="25" customHeight="1" spans="1:11">
      <c r="A341" s="106"/>
      <c r="B341" s="106"/>
      <c r="C341" s="126"/>
      <c r="D341" s="106"/>
      <c r="E341" s="106"/>
      <c r="F341" s="106"/>
      <c r="G341" s="106"/>
      <c r="H341" s="106"/>
      <c r="I341" s="106"/>
      <c r="J341" s="117" t="str">
        <f>IF(DGArchive[[#This Row],[目标]]="","",INDEX(幕间计算!$E$200:$E$1199,ROW()-ROW(DGArchive[#Headers])))</f>
        <v/>
      </c>
      <c r="K341" s="117" t="str">
        <f>IF(DGArchive[[#This Row],[目标]]="","",INDEX(幕间计算!$F$200:$F$1199,ROW()-ROW(DGArchive[#Headers])))</f>
        <v/>
      </c>
    </row>
    <row r="342" ht="25" customHeight="1" spans="1:11">
      <c r="A342" s="106"/>
      <c r="B342" s="106"/>
      <c r="C342" s="126"/>
      <c r="D342" s="106"/>
      <c r="E342" s="106"/>
      <c r="F342" s="106"/>
      <c r="G342" s="106"/>
      <c r="H342" s="106"/>
      <c r="I342" s="106"/>
      <c r="J342" s="117" t="str">
        <f>IF(DGArchive[[#This Row],[目标]]="","",INDEX(幕间计算!$E$200:$E$1199,ROW()-ROW(DGArchive[#Headers])))</f>
        <v/>
      </c>
      <c r="K342" s="117" t="str">
        <f>IF(DGArchive[[#This Row],[目标]]="","",INDEX(幕间计算!$F$200:$F$1199,ROW()-ROW(DGArchive[#Headers])))</f>
        <v/>
      </c>
    </row>
    <row r="343" ht="25" customHeight="1" spans="1:11">
      <c r="A343" s="106"/>
      <c r="B343" s="106"/>
      <c r="C343" s="126"/>
      <c r="D343" s="106"/>
      <c r="E343" s="106"/>
      <c r="F343" s="106"/>
      <c r="G343" s="106"/>
      <c r="H343" s="106"/>
      <c r="I343" s="106"/>
      <c r="J343" s="117" t="str">
        <f>IF(DGArchive[[#This Row],[目标]]="","",INDEX(幕间计算!$E$200:$E$1199,ROW()-ROW(DGArchive[#Headers])))</f>
        <v/>
      </c>
      <c r="K343" s="117" t="str">
        <f>IF(DGArchive[[#This Row],[目标]]="","",INDEX(幕间计算!$F$200:$F$1199,ROW()-ROW(DGArchive[#Headers])))</f>
        <v/>
      </c>
    </row>
    <row r="344" ht="25" customHeight="1" spans="1:11">
      <c r="A344" s="106"/>
      <c r="B344" s="106"/>
      <c r="C344" s="126"/>
      <c r="D344" s="106"/>
      <c r="E344" s="106"/>
      <c r="F344" s="106"/>
      <c r="G344" s="106"/>
      <c r="H344" s="106"/>
      <c r="I344" s="106"/>
      <c r="J344" s="117" t="str">
        <f>IF(DGArchive[[#This Row],[目标]]="","",INDEX(幕间计算!$E$200:$E$1199,ROW()-ROW(DGArchive[#Headers])))</f>
        <v/>
      </c>
      <c r="K344" s="117" t="str">
        <f>IF(DGArchive[[#This Row],[目标]]="","",INDEX(幕间计算!$F$200:$F$1199,ROW()-ROW(DGArchive[#Headers])))</f>
        <v/>
      </c>
    </row>
    <row r="345" ht="25" customHeight="1" spans="1:11">
      <c r="A345" s="106"/>
      <c r="B345" s="106"/>
      <c r="C345" s="126"/>
      <c r="D345" s="106"/>
      <c r="E345" s="106"/>
      <c r="F345" s="106"/>
      <c r="G345" s="106"/>
      <c r="H345" s="106"/>
      <c r="I345" s="106"/>
      <c r="J345" s="117" t="str">
        <f>IF(DGArchive[[#This Row],[目标]]="","",INDEX(幕间计算!$E$200:$E$1199,ROW()-ROW(DGArchive[#Headers])))</f>
        <v/>
      </c>
      <c r="K345" s="117" t="str">
        <f>IF(DGArchive[[#This Row],[目标]]="","",INDEX(幕间计算!$F$200:$F$1199,ROW()-ROW(DGArchive[#Headers])))</f>
        <v/>
      </c>
    </row>
    <row r="346" ht="25" customHeight="1" spans="1:11">
      <c r="A346" s="106"/>
      <c r="B346" s="106"/>
      <c r="C346" s="126"/>
      <c r="D346" s="106"/>
      <c r="E346" s="106"/>
      <c r="F346" s="106"/>
      <c r="G346" s="106"/>
      <c r="H346" s="106"/>
      <c r="I346" s="106"/>
      <c r="J346" s="117" t="str">
        <f>IF(DGArchive[[#This Row],[目标]]="","",INDEX(幕间计算!$E$200:$E$1199,ROW()-ROW(DGArchive[#Headers])))</f>
        <v/>
      </c>
      <c r="K346" s="117" t="str">
        <f>IF(DGArchive[[#This Row],[目标]]="","",INDEX(幕间计算!$F$200:$F$1199,ROW()-ROW(DGArchive[#Headers])))</f>
        <v/>
      </c>
    </row>
    <row r="347" ht="25" customHeight="1" spans="1:11">
      <c r="A347" s="106"/>
      <c r="B347" s="106"/>
      <c r="C347" s="126"/>
      <c r="D347" s="106"/>
      <c r="E347" s="106"/>
      <c r="F347" s="106"/>
      <c r="G347" s="106"/>
      <c r="H347" s="106"/>
      <c r="I347" s="106"/>
      <c r="J347" s="117" t="str">
        <f>IF(DGArchive[[#This Row],[目标]]="","",INDEX(幕间计算!$E$200:$E$1199,ROW()-ROW(DGArchive[#Headers])))</f>
        <v/>
      </c>
      <c r="K347" s="117" t="str">
        <f>IF(DGArchive[[#This Row],[目标]]="","",INDEX(幕间计算!$F$200:$F$1199,ROW()-ROW(DGArchive[#Headers])))</f>
        <v/>
      </c>
    </row>
    <row r="348" ht="25" customHeight="1" spans="1:11">
      <c r="A348" s="106"/>
      <c r="B348" s="106"/>
      <c r="C348" s="126"/>
      <c r="D348" s="106"/>
      <c r="E348" s="106"/>
      <c r="F348" s="106"/>
      <c r="G348" s="106"/>
      <c r="H348" s="106"/>
      <c r="I348" s="106"/>
      <c r="J348" s="117" t="str">
        <f>IF(DGArchive[[#This Row],[目标]]="","",INDEX(幕间计算!$E$200:$E$1199,ROW()-ROW(DGArchive[#Headers])))</f>
        <v/>
      </c>
      <c r="K348" s="117" t="str">
        <f>IF(DGArchive[[#This Row],[目标]]="","",INDEX(幕间计算!$F$200:$F$1199,ROW()-ROW(DGArchive[#Headers])))</f>
        <v/>
      </c>
    </row>
    <row r="349" ht="25" customHeight="1" spans="1:11">
      <c r="A349" s="106"/>
      <c r="B349" s="106"/>
      <c r="C349" s="126"/>
      <c r="D349" s="106"/>
      <c r="E349" s="106"/>
      <c r="F349" s="106"/>
      <c r="G349" s="106"/>
      <c r="H349" s="106"/>
      <c r="I349" s="106"/>
      <c r="J349" s="117" t="str">
        <f>IF(DGArchive[[#This Row],[目标]]="","",INDEX(幕间计算!$E$200:$E$1199,ROW()-ROW(DGArchive[#Headers])))</f>
        <v/>
      </c>
      <c r="K349" s="117" t="str">
        <f>IF(DGArchive[[#This Row],[目标]]="","",INDEX(幕间计算!$F$200:$F$1199,ROW()-ROW(DGArchive[#Headers])))</f>
        <v/>
      </c>
    </row>
    <row r="350" ht="25" customHeight="1" spans="1:11">
      <c r="A350" s="106"/>
      <c r="B350" s="106"/>
      <c r="C350" s="126"/>
      <c r="D350" s="106"/>
      <c r="E350" s="106"/>
      <c r="F350" s="106"/>
      <c r="G350" s="106"/>
      <c r="H350" s="106"/>
      <c r="I350" s="106"/>
      <c r="J350" s="117" t="str">
        <f>IF(DGArchive[[#This Row],[目标]]="","",INDEX(幕间计算!$E$200:$E$1199,ROW()-ROW(DGArchive[#Headers])))</f>
        <v/>
      </c>
      <c r="K350" s="117" t="str">
        <f>IF(DGArchive[[#This Row],[目标]]="","",INDEX(幕间计算!$F$200:$F$1199,ROW()-ROW(DGArchive[#Headers])))</f>
        <v/>
      </c>
    </row>
    <row r="351" ht="25" customHeight="1" spans="1:11">
      <c r="A351" s="106"/>
      <c r="B351" s="106"/>
      <c r="C351" s="126"/>
      <c r="D351" s="106"/>
      <c r="E351" s="106"/>
      <c r="F351" s="106"/>
      <c r="G351" s="106"/>
      <c r="H351" s="106"/>
      <c r="I351" s="106"/>
      <c r="J351" s="117" t="str">
        <f>IF(DGArchive[[#This Row],[目标]]="","",INDEX(幕间计算!$E$200:$E$1199,ROW()-ROW(DGArchive[#Headers])))</f>
        <v/>
      </c>
      <c r="K351" s="117" t="str">
        <f>IF(DGArchive[[#This Row],[目标]]="","",INDEX(幕间计算!$F$200:$F$1199,ROW()-ROW(DGArchive[#Headers])))</f>
        <v/>
      </c>
    </row>
    <row r="352" ht="25" customHeight="1" spans="1:11">
      <c r="A352" s="106"/>
      <c r="B352" s="106"/>
      <c r="C352" s="126"/>
      <c r="D352" s="106"/>
      <c r="E352" s="106"/>
      <c r="F352" s="106"/>
      <c r="G352" s="106"/>
      <c r="H352" s="106"/>
      <c r="I352" s="106"/>
      <c r="J352" s="117" t="str">
        <f>IF(DGArchive[[#This Row],[目标]]="","",INDEX(幕间计算!$E$200:$E$1199,ROW()-ROW(DGArchive[#Headers])))</f>
        <v/>
      </c>
      <c r="K352" s="117" t="str">
        <f>IF(DGArchive[[#This Row],[目标]]="","",INDEX(幕间计算!$F$200:$F$1199,ROW()-ROW(DGArchive[#Headers])))</f>
        <v/>
      </c>
    </row>
    <row r="353" ht="25" customHeight="1" spans="1:11">
      <c r="A353" s="106"/>
      <c r="B353" s="106"/>
      <c r="C353" s="126"/>
      <c r="D353" s="106"/>
      <c r="E353" s="106"/>
      <c r="F353" s="106"/>
      <c r="G353" s="106"/>
      <c r="H353" s="106"/>
      <c r="I353" s="106"/>
      <c r="J353" s="117" t="str">
        <f>IF(DGArchive[[#This Row],[目标]]="","",INDEX(幕间计算!$E$200:$E$1199,ROW()-ROW(DGArchive[#Headers])))</f>
        <v/>
      </c>
      <c r="K353" s="117" t="str">
        <f>IF(DGArchive[[#This Row],[目标]]="","",INDEX(幕间计算!$F$200:$F$1199,ROW()-ROW(DGArchive[#Headers])))</f>
        <v/>
      </c>
    </row>
    <row r="354" ht="25" customHeight="1" spans="1:11">
      <c r="A354" s="106"/>
      <c r="B354" s="106"/>
      <c r="C354" s="126"/>
      <c r="D354" s="106"/>
      <c r="E354" s="106"/>
      <c r="F354" s="106"/>
      <c r="G354" s="106"/>
      <c r="H354" s="106"/>
      <c r="I354" s="106"/>
      <c r="J354" s="117" t="str">
        <f>IF(DGArchive[[#This Row],[目标]]="","",INDEX(幕间计算!$E$200:$E$1199,ROW()-ROW(DGArchive[#Headers])))</f>
        <v/>
      </c>
      <c r="K354" s="117" t="str">
        <f>IF(DGArchive[[#This Row],[目标]]="","",INDEX(幕间计算!$F$200:$F$1199,ROW()-ROW(DGArchive[#Headers])))</f>
        <v/>
      </c>
    </row>
    <row r="355" ht="25" customHeight="1" spans="1:11">
      <c r="A355" s="106"/>
      <c r="B355" s="106"/>
      <c r="C355" s="126"/>
      <c r="D355" s="106"/>
      <c r="E355" s="106"/>
      <c r="F355" s="106"/>
      <c r="G355" s="106"/>
      <c r="H355" s="106"/>
      <c r="I355" s="106"/>
      <c r="J355" s="117" t="str">
        <f>IF(DGArchive[[#This Row],[目标]]="","",INDEX(幕间计算!$E$200:$E$1199,ROW()-ROW(DGArchive[#Headers])))</f>
        <v/>
      </c>
      <c r="K355" s="117" t="str">
        <f>IF(DGArchive[[#This Row],[目标]]="","",INDEX(幕间计算!$F$200:$F$1199,ROW()-ROW(DGArchive[#Headers])))</f>
        <v/>
      </c>
    </row>
    <row r="356" ht="25" customHeight="1" spans="1:11">
      <c r="A356" s="106"/>
      <c r="B356" s="106"/>
      <c r="C356" s="126"/>
      <c r="D356" s="106"/>
      <c r="E356" s="106"/>
      <c r="F356" s="106"/>
      <c r="G356" s="106"/>
      <c r="H356" s="106"/>
      <c r="I356" s="106"/>
      <c r="J356" s="117" t="str">
        <f>IF(DGArchive[[#This Row],[目标]]="","",INDEX(幕间计算!$E$200:$E$1199,ROW()-ROW(DGArchive[#Headers])))</f>
        <v/>
      </c>
      <c r="K356" s="117" t="str">
        <f>IF(DGArchive[[#This Row],[目标]]="","",INDEX(幕间计算!$F$200:$F$1199,ROW()-ROW(DGArchive[#Headers])))</f>
        <v/>
      </c>
    </row>
    <row r="357" ht="25" customHeight="1" spans="1:11">
      <c r="A357" s="106"/>
      <c r="B357" s="106"/>
      <c r="C357" s="126"/>
      <c r="D357" s="106"/>
      <c r="E357" s="106"/>
      <c r="F357" s="106"/>
      <c r="G357" s="106"/>
      <c r="H357" s="106"/>
      <c r="I357" s="106"/>
      <c r="J357" s="117" t="str">
        <f>IF(DGArchive[[#This Row],[目标]]="","",INDEX(幕间计算!$E$200:$E$1199,ROW()-ROW(DGArchive[#Headers])))</f>
        <v/>
      </c>
      <c r="K357" s="117" t="str">
        <f>IF(DGArchive[[#This Row],[目标]]="","",INDEX(幕间计算!$F$200:$F$1199,ROW()-ROW(DGArchive[#Headers])))</f>
        <v/>
      </c>
    </row>
    <row r="358" ht="25" customHeight="1" spans="1:11">
      <c r="A358" s="106"/>
      <c r="B358" s="106"/>
      <c r="C358" s="126"/>
      <c r="D358" s="106"/>
      <c r="E358" s="106"/>
      <c r="F358" s="106"/>
      <c r="G358" s="106"/>
      <c r="H358" s="106"/>
      <c r="I358" s="106"/>
      <c r="J358" s="117" t="str">
        <f>IF(DGArchive[[#This Row],[目标]]="","",INDEX(幕间计算!$E$200:$E$1199,ROW()-ROW(DGArchive[#Headers])))</f>
        <v/>
      </c>
      <c r="K358" s="117" t="str">
        <f>IF(DGArchive[[#This Row],[目标]]="","",INDEX(幕间计算!$F$200:$F$1199,ROW()-ROW(DGArchive[#Headers])))</f>
        <v/>
      </c>
    </row>
    <row r="359" ht="25" customHeight="1" spans="1:11">
      <c r="A359" s="106"/>
      <c r="B359" s="106"/>
      <c r="C359" s="126"/>
      <c r="D359" s="106"/>
      <c r="E359" s="106"/>
      <c r="F359" s="106"/>
      <c r="G359" s="106"/>
      <c r="H359" s="106"/>
      <c r="I359" s="106"/>
      <c r="J359" s="117" t="str">
        <f>IF(DGArchive[[#This Row],[目标]]="","",INDEX(幕间计算!$E$200:$E$1199,ROW()-ROW(DGArchive[#Headers])))</f>
        <v/>
      </c>
      <c r="K359" s="117" t="str">
        <f>IF(DGArchive[[#This Row],[目标]]="","",INDEX(幕间计算!$F$200:$F$1199,ROW()-ROW(DGArchive[#Headers])))</f>
        <v/>
      </c>
    </row>
    <row r="360" ht="25" customHeight="1" spans="1:11">
      <c r="A360" s="106"/>
      <c r="B360" s="106"/>
      <c r="C360" s="126"/>
      <c r="D360" s="106"/>
      <c r="E360" s="106"/>
      <c r="F360" s="106"/>
      <c r="G360" s="106"/>
      <c r="H360" s="106"/>
      <c r="I360" s="106"/>
      <c r="J360" s="117" t="str">
        <f>IF(DGArchive[[#This Row],[目标]]="","",INDEX(幕间计算!$E$200:$E$1199,ROW()-ROW(DGArchive[#Headers])))</f>
        <v/>
      </c>
      <c r="K360" s="117" t="str">
        <f>IF(DGArchive[[#This Row],[目标]]="","",INDEX(幕间计算!$F$200:$F$1199,ROW()-ROW(DGArchive[#Headers])))</f>
        <v/>
      </c>
    </row>
    <row r="361" ht="25" customHeight="1" spans="1:11">
      <c r="A361" s="106"/>
      <c r="B361" s="106"/>
      <c r="C361" s="126"/>
      <c r="D361" s="106"/>
      <c r="E361" s="106"/>
      <c r="F361" s="106"/>
      <c r="G361" s="106"/>
      <c r="H361" s="106"/>
      <c r="I361" s="106"/>
      <c r="J361" s="117" t="str">
        <f>IF(DGArchive[[#This Row],[目标]]="","",INDEX(幕间计算!$E$200:$E$1199,ROW()-ROW(DGArchive[#Headers])))</f>
        <v/>
      </c>
      <c r="K361" s="117" t="str">
        <f>IF(DGArchive[[#This Row],[目标]]="","",INDEX(幕间计算!$F$200:$F$1199,ROW()-ROW(DGArchive[#Headers])))</f>
        <v/>
      </c>
    </row>
    <row r="362" ht="25" customHeight="1" spans="1:11">
      <c r="A362" s="106"/>
      <c r="B362" s="106"/>
      <c r="C362" s="126"/>
      <c r="D362" s="106"/>
      <c r="E362" s="106"/>
      <c r="F362" s="106"/>
      <c r="G362" s="106"/>
      <c r="H362" s="106"/>
      <c r="I362" s="106"/>
      <c r="J362" s="117" t="str">
        <f>IF(DGArchive[[#This Row],[目标]]="","",INDEX(幕间计算!$E$200:$E$1199,ROW()-ROW(DGArchive[#Headers])))</f>
        <v/>
      </c>
      <c r="K362" s="117" t="str">
        <f>IF(DGArchive[[#This Row],[目标]]="","",INDEX(幕间计算!$F$200:$F$1199,ROW()-ROW(DGArchive[#Headers])))</f>
        <v/>
      </c>
    </row>
    <row r="363" ht="25" customHeight="1" spans="1:11">
      <c r="A363" s="106"/>
      <c r="B363" s="106"/>
      <c r="C363" s="126"/>
      <c r="D363" s="106"/>
      <c r="E363" s="106"/>
      <c r="F363" s="106"/>
      <c r="G363" s="106"/>
      <c r="H363" s="106"/>
      <c r="I363" s="106"/>
      <c r="J363" s="117" t="str">
        <f>IF(DGArchive[[#This Row],[目标]]="","",INDEX(幕间计算!$E$200:$E$1199,ROW()-ROW(DGArchive[#Headers])))</f>
        <v/>
      </c>
      <c r="K363" s="117" t="str">
        <f>IF(DGArchive[[#This Row],[目标]]="","",INDEX(幕间计算!$F$200:$F$1199,ROW()-ROW(DGArchive[#Headers])))</f>
        <v/>
      </c>
    </row>
    <row r="364" ht="25" customHeight="1" spans="1:11">
      <c r="A364" s="106"/>
      <c r="B364" s="106"/>
      <c r="C364" s="126"/>
      <c r="D364" s="106"/>
      <c r="E364" s="106"/>
      <c r="F364" s="106"/>
      <c r="G364" s="106"/>
      <c r="H364" s="106"/>
      <c r="I364" s="106"/>
      <c r="J364" s="117" t="str">
        <f>IF(DGArchive[[#This Row],[目标]]="","",INDEX(幕间计算!$E$200:$E$1199,ROW()-ROW(DGArchive[#Headers])))</f>
        <v/>
      </c>
      <c r="K364" s="117" t="str">
        <f>IF(DGArchive[[#This Row],[目标]]="","",INDEX(幕间计算!$F$200:$F$1199,ROW()-ROW(DGArchive[#Headers])))</f>
        <v/>
      </c>
    </row>
    <row r="365" ht="25" customHeight="1" spans="1:11">
      <c r="A365" s="106"/>
      <c r="B365" s="106"/>
      <c r="C365" s="126"/>
      <c r="D365" s="106"/>
      <c r="E365" s="106"/>
      <c r="F365" s="106"/>
      <c r="G365" s="106"/>
      <c r="H365" s="106"/>
      <c r="I365" s="106"/>
      <c r="J365" s="117" t="str">
        <f>IF(DGArchive[[#This Row],[目标]]="","",INDEX(幕间计算!$E$200:$E$1199,ROW()-ROW(DGArchive[#Headers])))</f>
        <v/>
      </c>
      <c r="K365" s="117" t="str">
        <f>IF(DGArchive[[#This Row],[目标]]="","",INDEX(幕间计算!$F$200:$F$1199,ROW()-ROW(DGArchive[#Headers])))</f>
        <v/>
      </c>
    </row>
    <row r="366" ht="25" customHeight="1" spans="1:11">
      <c r="A366" s="106"/>
      <c r="B366" s="106"/>
      <c r="C366" s="126"/>
      <c r="D366" s="106"/>
      <c r="E366" s="106"/>
      <c r="F366" s="106"/>
      <c r="G366" s="106"/>
      <c r="H366" s="106"/>
      <c r="I366" s="106"/>
      <c r="J366" s="117" t="str">
        <f>IF(DGArchive[[#This Row],[目标]]="","",INDEX(幕间计算!$E$200:$E$1199,ROW()-ROW(DGArchive[#Headers])))</f>
        <v/>
      </c>
      <c r="K366" s="117" t="str">
        <f>IF(DGArchive[[#This Row],[目标]]="","",INDEX(幕间计算!$F$200:$F$1199,ROW()-ROW(DGArchive[#Headers])))</f>
        <v/>
      </c>
    </row>
    <row r="367" ht="25" customHeight="1" spans="1:11">
      <c r="A367" s="106"/>
      <c r="B367" s="106"/>
      <c r="C367" s="126"/>
      <c r="D367" s="106"/>
      <c r="E367" s="106"/>
      <c r="F367" s="106"/>
      <c r="G367" s="106"/>
      <c r="H367" s="106"/>
      <c r="I367" s="106"/>
      <c r="J367" s="117" t="str">
        <f>IF(DGArchive[[#This Row],[目标]]="","",INDEX(幕间计算!$E$200:$E$1199,ROW()-ROW(DGArchive[#Headers])))</f>
        <v/>
      </c>
      <c r="K367" s="117" t="str">
        <f>IF(DGArchive[[#This Row],[目标]]="","",INDEX(幕间计算!$F$200:$F$1199,ROW()-ROW(DGArchive[#Headers])))</f>
        <v/>
      </c>
    </row>
    <row r="368" ht="25" customHeight="1" spans="1:11">
      <c r="A368" s="106"/>
      <c r="B368" s="106"/>
      <c r="C368" s="126"/>
      <c r="D368" s="106"/>
      <c r="E368" s="106"/>
      <c r="F368" s="106"/>
      <c r="G368" s="106"/>
      <c r="H368" s="106"/>
      <c r="I368" s="106"/>
      <c r="J368" s="117" t="str">
        <f>IF(DGArchive[[#This Row],[目标]]="","",INDEX(幕间计算!$E$200:$E$1199,ROW()-ROW(DGArchive[#Headers])))</f>
        <v/>
      </c>
      <c r="K368" s="117" t="str">
        <f>IF(DGArchive[[#This Row],[目标]]="","",INDEX(幕间计算!$F$200:$F$1199,ROW()-ROW(DGArchive[#Headers])))</f>
        <v/>
      </c>
    </row>
    <row r="369" ht="25" customHeight="1" spans="1:11">
      <c r="A369" s="106"/>
      <c r="B369" s="106"/>
      <c r="C369" s="126"/>
      <c r="D369" s="106"/>
      <c r="E369" s="106"/>
      <c r="F369" s="106"/>
      <c r="G369" s="106"/>
      <c r="H369" s="106"/>
      <c r="I369" s="106"/>
      <c r="J369" s="117" t="str">
        <f>IF(DGArchive[[#This Row],[目标]]="","",INDEX(幕间计算!$E$200:$E$1199,ROW()-ROW(DGArchive[#Headers])))</f>
        <v/>
      </c>
      <c r="K369" s="117" t="str">
        <f>IF(DGArchive[[#This Row],[目标]]="","",INDEX(幕间计算!$F$200:$F$1199,ROW()-ROW(DGArchive[#Headers])))</f>
        <v/>
      </c>
    </row>
    <row r="370" ht="25" customHeight="1" spans="1:11">
      <c r="A370" s="106"/>
      <c r="B370" s="106"/>
      <c r="C370" s="126"/>
      <c r="D370" s="106"/>
      <c r="E370" s="106"/>
      <c r="F370" s="106"/>
      <c r="G370" s="106"/>
      <c r="H370" s="106"/>
      <c r="I370" s="106"/>
      <c r="J370" s="117" t="str">
        <f>IF(DGArchive[[#This Row],[目标]]="","",INDEX(幕间计算!$E$200:$E$1199,ROW()-ROW(DGArchive[#Headers])))</f>
        <v/>
      </c>
      <c r="K370" s="117" t="str">
        <f>IF(DGArchive[[#This Row],[目标]]="","",INDEX(幕间计算!$F$200:$F$1199,ROW()-ROW(DGArchive[#Headers])))</f>
        <v/>
      </c>
    </row>
    <row r="371" ht="25" customHeight="1" spans="1:11">
      <c r="A371" s="106"/>
      <c r="B371" s="106"/>
      <c r="C371" s="126"/>
      <c r="D371" s="106"/>
      <c r="E371" s="106"/>
      <c r="F371" s="106"/>
      <c r="G371" s="106"/>
      <c r="H371" s="106"/>
      <c r="I371" s="106"/>
      <c r="J371" s="117" t="str">
        <f>IF(DGArchive[[#This Row],[目标]]="","",INDEX(幕间计算!$E$200:$E$1199,ROW()-ROW(DGArchive[#Headers])))</f>
        <v/>
      </c>
      <c r="K371" s="117" t="str">
        <f>IF(DGArchive[[#This Row],[目标]]="","",INDEX(幕间计算!$F$200:$F$1199,ROW()-ROW(DGArchive[#Headers])))</f>
        <v/>
      </c>
    </row>
    <row r="372" ht="25" customHeight="1" spans="1:11">
      <c r="A372" s="106"/>
      <c r="B372" s="106"/>
      <c r="C372" s="126"/>
      <c r="D372" s="106"/>
      <c r="E372" s="106"/>
      <c r="F372" s="106"/>
      <c r="G372" s="106"/>
      <c r="H372" s="106"/>
      <c r="I372" s="106"/>
      <c r="J372" s="117" t="str">
        <f>IF(DGArchive[[#This Row],[目标]]="","",INDEX(幕间计算!$E$200:$E$1199,ROW()-ROW(DGArchive[#Headers])))</f>
        <v/>
      </c>
      <c r="K372" s="117" t="str">
        <f>IF(DGArchive[[#This Row],[目标]]="","",INDEX(幕间计算!$F$200:$F$1199,ROW()-ROW(DGArchive[#Headers])))</f>
        <v/>
      </c>
    </row>
    <row r="373" ht="25" customHeight="1" spans="1:11">
      <c r="A373" s="106"/>
      <c r="B373" s="106"/>
      <c r="C373" s="126"/>
      <c r="D373" s="106"/>
      <c r="E373" s="106"/>
      <c r="F373" s="106"/>
      <c r="G373" s="106"/>
      <c r="H373" s="106"/>
      <c r="I373" s="106"/>
      <c r="J373" s="117" t="str">
        <f>IF(DGArchive[[#This Row],[目标]]="","",INDEX(幕间计算!$E$200:$E$1199,ROW()-ROW(DGArchive[#Headers])))</f>
        <v/>
      </c>
      <c r="K373" s="117" t="str">
        <f>IF(DGArchive[[#This Row],[目标]]="","",INDEX(幕间计算!$F$200:$F$1199,ROW()-ROW(DGArchive[#Headers])))</f>
        <v/>
      </c>
    </row>
    <row r="374" ht="25" customHeight="1" spans="1:11">
      <c r="A374" s="106"/>
      <c r="B374" s="106"/>
      <c r="C374" s="126"/>
      <c r="D374" s="106"/>
      <c r="E374" s="106"/>
      <c r="F374" s="106"/>
      <c r="G374" s="106"/>
      <c r="H374" s="106"/>
      <c r="I374" s="106"/>
      <c r="J374" s="117" t="str">
        <f>IF(DGArchive[[#This Row],[目标]]="","",INDEX(幕间计算!$E$200:$E$1199,ROW()-ROW(DGArchive[#Headers])))</f>
        <v/>
      </c>
      <c r="K374" s="117" t="str">
        <f>IF(DGArchive[[#This Row],[目标]]="","",INDEX(幕间计算!$F$200:$F$1199,ROW()-ROW(DGArchive[#Headers])))</f>
        <v/>
      </c>
    </row>
    <row r="375" ht="25" customHeight="1" spans="1:11">
      <c r="A375" s="106"/>
      <c r="B375" s="106"/>
      <c r="C375" s="126"/>
      <c r="D375" s="106"/>
      <c r="E375" s="106"/>
      <c r="F375" s="106"/>
      <c r="G375" s="106"/>
      <c r="H375" s="106"/>
      <c r="I375" s="106"/>
      <c r="J375" s="117" t="str">
        <f>IF(DGArchive[[#This Row],[目标]]="","",INDEX(幕间计算!$E$200:$E$1199,ROW()-ROW(DGArchive[#Headers])))</f>
        <v/>
      </c>
      <c r="K375" s="117" t="str">
        <f>IF(DGArchive[[#This Row],[目标]]="","",INDEX(幕间计算!$F$200:$F$1199,ROW()-ROW(DGArchive[#Headers])))</f>
        <v/>
      </c>
    </row>
    <row r="376" ht="25" customHeight="1" spans="1:11">
      <c r="A376" s="106"/>
      <c r="B376" s="106"/>
      <c r="C376" s="126"/>
      <c r="D376" s="106"/>
      <c r="E376" s="106"/>
      <c r="F376" s="106"/>
      <c r="G376" s="106"/>
      <c r="H376" s="106"/>
      <c r="I376" s="106"/>
      <c r="J376" s="117" t="str">
        <f>IF(DGArchive[[#This Row],[目标]]="","",INDEX(幕间计算!$E$200:$E$1199,ROW()-ROW(DGArchive[#Headers])))</f>
        <v/>
      </c>
      <c r="K376" s="117" t="str">
        <f>IF(DGArchive[[#This Row],[目标]]="","",INDEX(幕间计算!$F$200:$F$1199,ROW()-ROW(DGArchive[#Headers])))</f>
        <v/>
      </c>
    </row>
    <row r="377" ht="25" customHeight="1" spans="1:11">
      <c r="A377" s="106"/>
      <c r="B377" s="106"/>
      <c r="C377" s="126"/>
      <c r="D377" s="106"/>
      <c r="E377" s="106"/>
      <c r="F377" s="106"/>
      <c r="G377" s="106"/>
      <c r="H377" s="106"/>
      <c r="I377" s="106"/>
      <c r="J377" s="117" t="str">
        <f>IF(DGArchive[[#This Row],[目标]]="","",INDEX(幕间计算!$E$200:$E$1199,ROW()-ROW(DGArchive[#Headers])))</f>
        <v/>
      </c>
      <c r="K377" s="117" t="str">
        <f>IF(DGArchive[[#This Row],[目标]]="","",INDEX(幕间计算!$F$200:$F$1199,ROW()-ROW(DGArchive[#Headers])))</f>
        <v/>
      </c>
    </row>
    <row r="378" ht="25" customHeight="1" spans="1:11">
      <c r="A378" s="106"/>
      <c r="B378" s="106"/>
      <c r="C378" s="126"/>
      <c r="D378" s="106"/>
      <c r="E378" s="106"/>
      <c r="F378" s="106"/>
      <c r="G378" s="106"/>
      <c r="H378" s="106"/>
      <c r="I378" s="106"/>
      <c r="J378" s="117" t="str">
        <f>IF(DGArchive[[#This Row],[目标]]="","",INDEX(幕间计算!$E$200:$E$1199,ROW()-ROW(DGArchive[#Headers])))</f>
        <v/>
      </c>
      <c r="K378" s="117" t="str">
        <f>IF(DGArchive[[#This Row],[目标]]="","",INDEX(幕间计算!$F$200:$F$1199,ROW()-ROW(DGArchive[#Headers])))</f>
        <v/>
      </c>
    </row>
    <row r="379" ht="25" customHeight="1" spans="1:11">
      <c r="A379" s="106"/>
      <c r="B379" s="106"/>
      <c r="C379" s="126"/>
      <c r="D379" s="106"/>
      <c r="E379" s="106"/>
      <c r="F379" s="106"/>
      <c r="G379" s="106"/>
      <c r="H379" s="106"/>
      <c r="I379" s="106"/>
      <c r="J379" s="117" t="str">
        <f>IF(DGArchive[[#This Row],[目标]]="","",INDEX(幕间计算!$E$200:$E$1199,ROW()-ROW(DGArchive[#Headers])))</f>
        <v/>
      </c>
      <c r="K379" s="117" t="str">
        <f>IF(DGArchive[[#This Row],[目标]]="","",INDEX(幕间计算!$F$200:$F$1199,ROW()-ROW(DGArchive[#Headers])))</f>
        <v/>
      </c>
    </row>
    <row r="380" ht="25" customHeight="1" spans="1:11">
      <c r="A380" s="106"/>
      <c r="B380" s="106"/>
      <c r="C380" s="126"/>
      <c r="D380" s="106"/>
      <c r="E380" s="106"/>
      <c r="F380" s="106"/>
      <c r="G380" s="106"/>
      <c r="H380" s="106"/>
      <c r="I380" s="106"/>
      <c r="J380" s="117" t="str">
        <f>IF(DGArchive[[#This Row],[目标]]="","",INDEX(幕间计算!$E$200:$E$1199,ROW()-ROW(DGArchive[#Headers])))</f>
        <v/>
      </c>
      <c r="K380" s="117" t="str">
        <f>IF(DGArchive[[#This Row],[目标]]="","",INDEX(幕间计算!$F$200:$F$1199,ROW()-ROW(DGArchive[#Headers])))</f>
        <v/>
      </c>
    </row>
    <row r="381" ht="25" customHeight="1" spans="1:11">
      <c r="A381" s="106"/>
      <c r="B381" s="106"/>
      <c r="C381" s="126"/>
      <c r="D381" s="106"/>
      <c r="E381" s="106"/>
      <c r="F381" s="106"/>
      <c r="G381" s="106"/>
      <c r="H381" s="106"/>
      <c r="I381" s="106"/>
      <c r="J381" s="117" t="str">
        <f>IF(DGArchive[[#This Row],[目标]]="","",INDEX(幕间计算!$E$200:$E$1199,ROW()-ROW(DGArchive[#Headers])))</f>
        <v/>
      </c>
      <c r="K381" s="117" t="str">
        <f>IF(DGArchive[[#This Row],[目标]]="","",INDEX(幕间计算!$F$200:$F$1199,ROW()-ROW(DGArchive[#Headers])))</f>
        <v/>
      </c>
    </row>
    <row r="382" ht="25" customHeight="1" spans="1:11">
      <c r="A382" s="106"/>
      <c r="B382" s="106"/>
      <c r="C382" s="126"/>
      <c r="D382" s="106"/>
      <c r="E382" s="106"/>
      <c r="F382" s="106"/>
      <c r="G382" s="106"/>
      <c r="H382" s="106"/>
      <c r="I382" s="106"/>
      <c r="J382" s="117" t="str">
        <f>IF(DGArchive[[#This Row],[目标]]="","",INDEX(幕间计算!$E$200:$E$1199,ROW()-ROW(DGArchive[#Headers])))</f>
        <v/>
      </c>
      <c r="K382" s="117" t="str">
        <f>IF(DGArchive[[#This Row],[目标]]="","",INDEX(幕间计算!$F$200:$F$1199,ROW()-ROW(DGArchive[#Headers])))</f>
        <v/>
      </c>
    </row>
    <row r="383" ht="25" customHeight="1" spans="1:11">
      <c r="A383" s="106"/>
      <c r="B383" s="106"/>
      <c r="C383" s="126"/>
      <c r="D383" s="106"/>
      <c r="E383" s="106"/>
      <c r="F383" s="106"/>
      <c r="G383" s="106"/>
      <c r="H383" s="106"/>
      <c r="I383" s="106"/>
      <c r="J383" s="117" t="str">
        <f>IF(DGArchive[[#This Row],[目标]]="","",INDEX(幕间计算!$E$200:$E$1199,ROW()-ROW(DGArchive[#Headers])))</f>
        <v/>
      </c>
      <c r="K383" s="117" t="str">
        <f>IF(DGArchive[[#This Row],[目标]]="","",INDEX(幕间计算!$F$200:$F$1199,ROW()-ROW(DGArchive[#Headers])))</f>
        <v/>
      </c>
    </row>
    <row r="384" ht="25" customHeight="1" spans="1:11">
      <c r="A384" s="106"/>
      <c r="B384" s="106"/>
      <c r="C384" s="126"/>
      <c r="D384" s="106"/>
      <c r="E384" s="106"/>
      <c r="F384" s="106"/>
      <c r="G384" s="106"/>
      <c r="H384" s="106"/>
      <c r="I384" s="106"/>
      <c r="J384" s="117" t="str">
        <f>IF(DGArchive[[#This Row],[目标]]="","",INDEX(幕间计算!$E$200:$E$1199,ROW()-ROW(DGArchive[#Headers])))</f>
        <v/>
      </c>
      <c r="K384" s="117" t="str">
        <f>IF(DGArchive[[#This Row],[目标]]="","",INDEX(幕间计算!$F$200:$F$1199,ROW()-ROW(DGArchive[#Headers])))</f>
        <v/>
      </c>
    </row>
    <row r="385" ht="25" customHeight="1" spans="1:11">
      <c r="A385" s="106"/>
      <c r="B385" s="106"/>
      <c r="C385" s="126"/>
      <c r="D385" s="106"/>
      <c r="E385" s="106"/>
      <c r="F385" s="106"/>
      <c r="G385" s="106"/>
      <c r="H385" s="106"/>
      <c r="I385" s="106"/>
      <c r="J385" s="117" t="str">
        <f>IF(DGArchive[[#This Row],[目标]]="","",INDEX(幕间计算!$E$200:$E$1199,ROW()-ROW(DGArchive[#Headers])))</f>
        <v/>
      </c>
      <c r="K385" s="117" t="str">
        <f>IF(DGArchive[[#This Row],[目标]]="","",INDEX(幕间计算!$F$200:$F$1199,ROW()-ROW(DGArchive[#Headers])))</f>
        <v/>
      </c>
    </row>
    <row r="386" ht="25" customHeight="1" spans="1:11">
      <c r="A386" s="106"/>
      <c r="B386" s="106"/>
      <c r="C386" s="126"/>
      <c r="D386" s="106"/>
      <c r="E386" s="106"/>
      <c r="F386" s="106"/>
      <c r="G386" s="106"/>
      <c r="H386" s="106"/>
      <c r="I386" s="106"/>
      <c r="J386" s="117" t="str">
        <f>IF(DGArchive[[#This Row],[目标]]="","",INDEX(幕间计算!$E$200:$E$1199,ROW()-ROW(DGArchive[#Headers])))</f>
        <v/>
      </c>
      <c r="K386" s="117" t="str">
        <f>IF(DGArchive[[#This Row],[目标]]="","",INDEX(幕间计算!$F$200:$F$1199,ROW()-ROW(DGArchive[#Headers])))</f>
        <v/>
      </c>
    </row>
    <row r="387" ht="25" customHeight="1" spans="1:11">
      <c r="A387" s="106"/>
      <c r="B387" s="106"/>
      <c r="C387" s="126"/>
      <c r="D387" s="106"/>
      <c r="E387" s="106"/>
      <c r="F387" s="106"/>
      <c r="G387" s="106"/>
      <c r="H387" s="106"/>
      <c r="I387" s="106"/>
      <c r="J387" s="117" t="str">
        <f>IF(DGArchive[[#This Row],[目标]]="","",INDEX(幕间计算!$E$200:$E$1199,ROW()-ROW(DGArchive[#Headers])))</f>
        <v/>
      </c>
      <c r="K387" s="117" t="str">
        <f>IF(DGArchive[[#This Row],[目标]]="","",INDEX(幕间计算!$F$200:$F$1199,ROW()-ROW(DGArchive[#Headers])))</f>
        <v/>
      </c>
    </row>
    <row r="388" ht="25" customHeight="1" spans="1:11">
      <c r="A388" s="106"/>
      <c r="B388" s="106"/>
      <c r="C388" s="126"/>
      <c r="D388" s="106"/>
      <c r="E388" s="106"/>
      <c r="F388" s="106"/>
      <c r="G388" s="106"/>
      <c r="H388" s="106"/>
      <c r="I388" s="106"/>
      <c r="J388" s="117" t="str">
        <f>IF(DGArchive[[#This Row],[目标]]="","",INDEX(幕间计算!$E$200:$E$1199,ROW()-ROW(DGArchive[#Headers])))</f>
        <v/>
      </c>
      <c r="K388" s="117" t="str">
        <f>IF(DGArchive[[#This Row],[目标]]="","",INDEX(幕间计算!$F$200:$F$1199,ROW()-ROW(DGArchive[#Headers])))</f>
        <v/>
      </c>
    </row>
    <row r="389" ht="25" customHeight="1" spans="1:11">
      <c r="A389" s="106"/>
      <c r="B389" s="106"/>
      <c r="C389" s="126"/>
      <c r="D389" s="106"/>
      <c r="E389" s="106"/>
      <c r="F389" s="106"/>
      <c r="G389" s="106"/>
      <c r="H389" s="106"/>
      <c r="I389" s="106"/>
      <c r="J389" s="117" t="str">
        <f>IF(DGArchive[[#This Row],[目标]]="","",INDEX(幕间计算!$E$200:$E$1199,ROW()-ROW(DGArchive[#Headers])))</f>
        <v/>
      </c>
      <c r="K389" s="117" t="str">
        <f>IF(DGArchive[[#This Row],[目标]]="","",INDEX(幕间计算!$F$200:$F$1199,ROW()-ROW(DGArchive[#Headers])))</f>
        <v/>
      </c>
    </row>
    <row r="390" ht="25" customHeight="1" spans="1:11">
      <c r="A390" s="106"/>
      <c r="B390" s="106"/>
      <c r="C390" s="126"/>
      <c r="D390" s="106"/>
      <c r="E390" s="106"/>
      <c r="F390" s="106"/>
      <c r="G390" s="106"/>
      <c r="H390" s="106"/>
      <c r="I390" s="106"/>
      <c r="J390" s="117" t="str">
        <f>IF(DGArchive[[#This Row],[目标]]="","",INDEX(幕间计算!$E$200:$E$1199,ROW()-ROW(DGArchive[#Headers])))</f>
        <v/>
      </c>
      <c r="K390" s="117" t="str">
        <f>IF(DGArchive[[#This Row],[目标]]="","",INDEX(幕间计算!$F$200:$F$1199,ROW()-ROW(DGArchive[#Headers])))</f>
        <v/>
      </c>
    </row>
    <row r="391" ht="25" customHeight="1" spans="1:11">
      <c r="A391" s="106"/>
      <c r="B391" s="106"/>
      <c r="C391" s="126"/>
      <c r="D391" s="106"/>
      <c r="E391" s="106"/>
      <c r="F391" s="106"/>
      <c r="G391" s="106"/>
      <c r="H391" s="106"/>
      <c r="I391" s="106"/>
      <c r="J391" s="117" t="str">
        <f>IF(DGArchive[[#This Row],[目标]]="","",INDEX(幕间计算!$E$200:$E$1199,ROW()-ROW(DGArchive[#Headers])))</f>
        <v/>
      </c>
      <c r="K391" s="117" t="str">
        <f>IF(DGArchive[[#This Row],[目标]]="","",INDEX(幕间计算!$F$200:$F$1199,ROW()-ROW(DGArchive[#Headers])))</f>
        <v/>
      </c>
    </row>
    <row r="392" ht="25" customHeight="1" spans="1:11">
      <c r="A392" s="106"/>
      <c r="B392" s="106"/>
      <c r="C392" s="126"/>
      <c r="D392" s="106"/>
      <c r="E392" s="106"/>
      <c r="F392" s="106"/>
      <c r="G392" s="106"/>
      <c r="H392" s="106"/>
      <c r="I392" s="106"/>
      <c r="J392" s="117" t="str">
        <f>IF(DGArchive[[#This Row],[目标]]="","",INDEX(幕间计算!$E$200:$E$1199,ROW()-ROW(DGArchive[#Headers])))</f>
        <v/>
      </c>
      <c r="K392" s="117" t="str">
        <f>IF(DGArchive[[#This Row],[目标]]="","",INDEX(幕间计算!$F$200:$F$1199,ROW()-ROW(DGArchive[#Headers])))</f>
        <v/>
      </c>
    </row>
    <row r="393" ht="25" customHeight="1" spans="1:11">
      <c r="A393" s="106"/>
      <c r="B393" s="106"/>
      <c r="C393" s="126"/>
      <c r="D393" s="106"/>
      <c r="E393" s="106"/>
      <c r="F393" s="106"/>
      <c r="G393" s="106"/>
      <c r="H393" s="106"/>
      <c r="I393" s="106"/>
      <c r="J393" s="117" t="str">
        <f>IF(DGArchive[[#This Row],[目标]]="","",INDEX(幕间计算!$E$200:$E$1199,ROW()-ROW(DGArchive[#Headers])))</f>
        <v/>
      </c>
      <c r="K393" s="117" t="str">
        <f>IF(DGArchive[[#This Row],[目标]]="","",INDEX(幕间计算!$F$200:$F$1199,ROW()-ROW(DGArchive[#Headers])))</f>
        <v/>
      </c>
    </row>
    <row r="394" ht="25" customHeight="1" spans="1:11">
      <c r="A394" s="106"/>
      <c r="B394" s="106"/>
      <c r="C394" s="126"/>
      <c r="D394" s="106"/>
      <c r="E394" s="106"/>
      <c r="F394" s="106"/>
      <c r="G394" s="106"/>
      <c r="H394" s="106"/>
      <c r="I394" s="106"/>
      <c r="J394" s="117" t="str">
        <f>IF(DGArchive[[#This Row],[目标]]="","",INDEX(幕间计算!$E$200:$E$1199,ROW()-ROW(DGArchive[#Headers])))</f>
        <v/>
      </c>
      <c r="K394" s="117" t="str">
        <f>IF(DGArchive[[#This Row],[目标]]="","",INDEX(幕间计算!$F$200:$F$1199,ROW()-ROW(DGArchive[#Headers])))</f>
        <v/>
      </c>
    </row>
    <row r="395" ht="25" customHeight="1" spans="1:11">
      <c r="A395" s="106"/>
      <c r="B395" s="106"/>
      <c r="C395" s="126"/>
      <c r="D395" s="106"/>
      <c r="E395" s="106"/>
      <c r="F395" s="106"/>
      <c r="G395" s="106"/>
      <c r="H395" s="106"/>
      <c r="I395" s="106"/>
      <c r="J395" s="117" t="str">
        <f>IF(DGArchive[[#This Row],[目标]]="","",INDEX(幕间计算!$E$200:$E$1199,ROW()-ROW(DGArchive[#Headers])))</f>
        <v/>
      </c>
      <c r="K395" s="117" t="str">
        <f>IF(DGArchive[[#This Row],[目标]]="","",INDEX(幕间计算!$F$200:$F$1199,ROW()-ROW(DGArchive[#Headers])))</f>
        <v/>
      </c>
    </row>
    <row r="396" ht="25" customHeight="1" spans="1:11">
      <c r="A396" s="106"/>
      <c r="B396" s="106"/>
      <c r="C396" s="126"/>
      <c r="D396" s="106"/>
      <c r="E396" s="106"/>
      <c r="F396" s="106"/>
      <c r="G396" s="106"/>
      <c r="H396" s="106"/>
      <c r="I396" s="106"/>
      <c r="J396" s="117" t="str">
        <f>IF(DGArchive[[#This Row],[目标]]="","",INDEX(幕间计算!$E$200:$E$1199,ROW()-ROW(DGArchive[#Headers])))</f>
        <v/>
      </c>
      <c r="K396" s="117" t="str">
        <f>IF(DGArchive[[#This Row],[目标]]="","",INDEX(幕间计算!$F$200:$F$1199,ROW()-ROW(DGArchive[#Headers])))</f>
        <v/>
      </c>
    </row>
    <row r="397" ht="25" customHeight="1" spans="1:11">
      <c r="A397" s="106"/>
      <c r="B397" s="106"/>
      <c r="C397" s="126"/>
      <c r="D397" s="106"/>
      <c r="E397" s="106"/>
      <c r="F397" s="106"/>
      <c r="G397" s="106"/>
      <c r="H397" s="106"/>
      <c r="I397" s="106"/>
      <c r="J397" s="117" t="str">
        <f>IF(DGArchive[[#This Row],[目标]]="","",INDEX(幕间计算!$E$200:$E$1199,ROW()-ROW(DGArchive[#Headers])))</f>
        <v/>
      </c>
      <c r="K397" s="117" t="str">
        <f>IF(DGArchive[[#This Row],[目标]]="","",INDEX(幕间计算!$F$200:$F$1199,ROW()-ROW(DGArchive[#Headers])))</f>
        <v/>
      </c>
    </row>
    <row r="398" ht="25" customHeight="1" spans="1:11">
      <c r="A398" s="106"/>
      <c r="B398" s="106"/>
      <c r="C398" s="126"/>
      <c r="D398" s="106"/>
      <c r="E398" s="106"/>
      <c r="F398" s="106"/>
      <c r="G398" s="106"/>
      <c r="H398" s="106"/>
      <c r="I398" s="106"/>
      <c r="J398" s="117" t="str">
        <f>IF(DGArchive[[#This Row],[目标]]="","",INDEX(幕间计算!$E$200:$E$1199,ROW()-ROW(DGArchive[#Headers])))</f>
        <v/>
      </c>
      <c r="K398" s="117" t="str">
        <f>IF(DGArchive[[#This Row],[目标]]="","",INDEX(幕间计算!$F$200:$F$1199,ROW()-ROW(DGArchive[#Headers])))</f>
        <v/>
      </c>
    </row>
    <row r="399" ht="25" customHeight="1" spans="1:11">
      <c r="A399" s="106"/>
      <c r="B399" s="106"/>
      <c r="C399" s="126"/>
      <c r="D399" s="106"/>
      <c r="E399" s="106"/>
      <c r="F399" s="106"/>
      <c r="G399" s="106"/>
      <c r="H399" s="106"/>
      <c r="I399" s="106"/>
      <c r="J399" s="117" t="str">
        <f>IF(DGArchive[[#This Row],[目标]]="","",INDEX(幕间计算!$E$200:$E$1199,ROW()-ROW(DGArchive[#Headers])))</f>
        <v/>
      </c>
      <c r="K399" s="117" t="str">
        <f>IF(DGArchive[[#This Row],[目标]]="","",INDEX(幕间计算!$F$200:$F$1199,ROW()-ROW(DGArchive[#Headers])))</f>
        <v/>
      </c>
    </row>
    <row r="400" ht="25" customHeight="1" spans="1:11">
      <c r="A400" s="106"/>
      <c r="B400" s="106"/>
      <c r="C400" s="126"/>
      <c r="D400" s="106"/>
      <c r="E400" s="106"/>
      <c r="F400" s="106"/>
      <c r="G400" s="106"/>
      <c r="H400" s="106"/>
      <c r="I400" s="106"/>
      <c r="J400" s="117" t="str">
        <f>IF(DGArchive[[#This Row],[目标]]="","",INDEX(幕间计算!$E$200:$E$1199,ROW()-ROW(DGArchive[#Headers])))</f>
        <v/>
      </c>
      <c r="K400" s="117" t="str">
        <f>IF(DGArchive[[#This Row],[目标]]="","",INDEX(幕间计算!$F$200:$F$1199,ROW()-ROW(DGArchive[#Headers])))</f>
        <v/>
      </c>
    </row>
    <row r="401" ht="25" customHeight="1" spans="1:11">
      <c r="A401" s="106"/>
      <c r="B401" s="106"/>
      <c r="C401" s="126"/>
      <c r="D401" s="106"/>
      <c r="E401" s="106"/>
      <c r="F401" s="106"/>
      <c r="G401" s="106"/>
      <c r="H401" s="106"/>
      <c r="I401" s="106"/>
      <c r="J401" s="117" t="str">
        <f>IF(DGArchive[[#This Row],[目标]]="","",INDEX(幕间计算!$E$200:$E$1199,ROW()-ROW(DGArchive[#Headers])))</f>
        <v/>
      </c>
      <c r="K401" s="117" t="str">
        <f>IF(DGArchive[[#This Row],[目标]]="","",INDEX(幕间计算!$F$200:$F$1199,ROW()-ROW(DGArchive[#Headers])))</f>
        <v/>
      </c>
    </row>
    <row r="402" ht="25" customHeight="1" spans="1:11">
      <c r="A402" s="106"/>
      <c r="B402" s="106"/>
      <c r="C402" s="126"/>
      <c r="D402" s="106"/>
      <c r="E402" s="106"/>
      <c r="F402" s="106"/>
      <c r="G402" s="106"/>
      <c r="H402" s="106"/>
      <c r="I402" s="106"/>
      <c r="J402" s="117" t="str">
        <f>IF(DGArchive[[#This Row],[目标]]="","",INDEX(幕间计算!$E$200:$E$1199,ROW()-ROW(DGArchive[#Headers])))</f>
        <v/>
      </c>
      <c r="K402" s="117" t="str">
        <f>IF(DGArchive[[#This Row],[目标]]="","",INDEX(幕间计算!$F$200:$F$1199,ROW()-ROW(DGArchive[#Headers])))</f>
        <v/>
      </c>
    </row>
    <row r="403" ht="25" customHeight="1" spans="1:11">
      <c r="A403" s="106"/>
      <c r="B403" s="106"/>
      <c r="C403" s="126"/>
      <c r="D403" s="106"/>
      <c r="E403" s="106"/>
      <c r="F403" s="106"/>
      <c r="G403" s="106"/>
      <c r="H403" s="106"/>
      <c r="I403" s="106"/>
      <c r="J403" s="117" t="str">
        <f>IF(DGArchive[[#This Row],[目标]]="","",INDEX(幕间计算!$E$200:$E$1199,ROW()-ROW(DGArchive[#Headers])))</f>
        <v/>
      </c>
      <c r="K403" s="117" t="str">
        <f>IF(DGArchive[[#This Row],[目标]]="","",INDEX(幕间计算!$F$200:$F$1199,ROW()-ROW(DGArchive[#Headers])))</f>
        <v/>
      </c>
    </row>
    <row r="404" ht="25" customHeight="1" spans="1:11">
      <c r="A404" s="106"/>
      <c r="B404" s="106"/>
      <c r="C404" s="126"/>
      <c r="D404" s="106"/>
      <c r="E404" s="106"/>
      <c r="F404" s="106"/>
      <c r="G404" s="106"/>
      <c r="H404" s="106"/>
      <c r="I404" s="106"/>
      <c r="J404" s="117" t="str">
        <f>IF(DGArchive[[#This Row],[目标]]="","",INDEX(幕间计算!$E$200:$E$1199,ROW()-ROW(DGArchive[#Headers])))</f>
        <v/>
      </c>
      <c r="K404" s="117" t="str">
        <f>IF(DGArchive[[#This Row],[目标]]="","",INDEX(幕间计算!$F$200:$F$1199,ROW()-ROW(DGArchive[#Headers])))</f>
        <v/>
      </c>
    </row>
    <row r="405" ht="25" customHeight="1" spans="1:11">
      <c r="A405" s="106"/>
      <c r="B405" s="106"/>
      <c r="C405" s="126"/>
      <c r="D405" s="106"/>
      <c r="E405" s="106"/>
      <c r="F405" s="106"/>
      <c r="G405" s="106"/>
      <c r="H405" s="106"/>
      <c r="I405" s="106"/>
      <c r="J405" s="117" t="str">
        <f>IF(DGArchive[[#This Row],[目标]]="","",INDEX(幕间计算!$E$200:$E$1199,ROW()-ROW(DGArchive[#Headers])))</f>
        <v/>
      </c>
      <c r="K405" s="117" t="str">
        <f>IF(DGArchive[[#This Row],[目标]]="","",INDEX(幕间计算!$F$200:$F$1199,ROW()-ROW(DGArchive[#Headers])))</f>
        <v/>
      </c>
    </row>
    <row r="406" ht="25" customHeight="1" spans="1:11">
      <c r="A406" s="106"/>
      <c r="B406" s="106"/>
      <c r="C406" s="126"/>
      <c r="D406" s="106"/>
      <c r="E406" s="106"/>
      <c r="F406" s="106"/>
      <c r="G406" s="106"/>
      <c r="H406" s="106"/>
      <c r="I406" s="106"/>
      <c r="J406" s="117" t="str">
        <f>IF(DGArchive[[#This Row],[目标]]="","",INDEX(幕间计算!$E$200:$E$1199,ROW()-ROW(DGArchive[#Headers])))</f>
        <v/>
      </c>
      <c r="K406" s="117" t="str">
        <f>IF(DGArchive[[#This Row],[目标]]="","",INDEX(幕间计算!$F$200:$F$1199,ROW()-ROW(DGArchive[#Headers])))</f>
        <v/>
      </c>
    </row>
    <row r="407" ht="25" customHeight="1" spans="1:11">
      <c r="A407" s="106"/>
      <c r="B407" s="106"/>
      <c r="C407" s="126"/>
      <c r="D407" s="106"/>
      <c r="E407" s="106"/>
      <c r="F407" s="106"/>
      <c r="G407" s="106"/>
      <c r="H407" s="106"/>
      <c r="I407" s="106"/>
      <c r="J407" s="117" t="str">
        <f>IF(DGArchive[[#This Row],[目标]]="","",INDEX(幕间计算!$E$200:$E$1199,ROW()-ROW(DGArchive[#Headers])))</f>
        <v/>
      </c>
      <c r="K407" s="117" t="str">
        <f>IF(DGArchive[[#This Row],[目标]]="","",INDEX(幕间计算!$F$200:$F$1199,ROW()-ROW(DGArchive[#Headers])))</f>
        <v/>
      </c>
    </row>
    <row r="408" ht="25" customHeight="1" spans="1:11">
      <c r="A408" s="106"/>
      <c r="B408" s="106"/>
      <c r="C408" s="126"/>
      <c r="D408" s="106"/>
      <c r="E408" s="106"/>
      <c r="F408" s="106"/>
      <c r="G408" s="106"/>
      <c r="H408" s="106"/>
      <c r="I408" s="106"/>
      <c r="J408" s="117" t="str">
        <f>IF(DGArchive[[#This Row],[目标]]="","",INDEX(幕间计算!$E$200:$E$1199,ROW()-ROW(DGArchive[#Headers])))</f>
        <v/>
      </c>
      <c r="K408" s="117" t="str">
        <f>IF(DGArchive[[#This Row],[目标]]="","",INDEX(幕间计算!$F$200:$F$1199,ROW()-ROW(DGArchive[#Headers])))</f>
        <v/>
      </c>
    </row>
    <row r="409" ht="25" customHeight="1" spans="1:11">
      <c r="A409" s="106"/>
      <c r="B409" s="106"/>
      <c r="C409" s="126"/>
      <c r="D409" s="106"/>
      <c r="E409" s="106"/>
      <c r="F409" s="106"/>
      <c r="G409" s="106"/>
      <c r="H409" s="106"/>
      <c r="I409" s="106"/>
      <c r="J409" s="117" t="str">
        <f>IF(DGArchive[[#This Row],[目标]]="","",INDEX(幕间计算!$E$200:$E$1199,ROW()-ROW(DGArchive[#Headers])))</f>
        <v/>
      </c>
      <c r="K409" s="117" t="str">
        <f>IF(DGArchive[[#This Row],[目标]]="","",INDEX(幕间计算!$F$200:$F$1199,ROW()-ROW(DGArchive[#Headers])))</f>
        <v/>
      </c>
    </row>
    <row r="410" ht="25" customHeight="1" spans="1:11">
      <c r="A410" s="106"/>
      <c r="B410" s="106"/>
      <c r="C410" s="126"/>
      <c r="D410" s="106"/>
      <c r="E410" s="106"/>
      <c r="F410" s="106"/>
      <c r="G410" s="106"/>
      <c r="H410" s="106"/>
      <c r="I410" s="106"/>
      <c r="J410" s="117" t="str">
        <f>IF(DGArchive[[#This Row],[目标]]="","",INDEX(幕间计算!$E$200:$E$1199,ROW()-ROW(DGArchive[#Headers])))</f>
        <v/>
      </c>
      <c r="K410" s="117" t="str">
        <f>IF(DGArchive[[#This Row],[目标]]="","",INDEX(幕间计算!$F$200:$F$1199,ROW()-ROW(DGArchive[#Headers])))</f>
        <v/>
      </c>
    </row>
    <row r="411" ht="25" customHeight="1" spans="1:11">
      <c r="A411" s="106"/>
      <c r="B411" s="106"/>
      <c r="C411" s="126"/>
      <c r="D411" s="106"/>
      <c r="E411" s="106"/>
      <c r="F411" s="106"/>
      <c r="G411" s="106"/>
      <c r="H411" s="106"/>
      <c r="I411" s="106"/>
      <c r="J411" s="117" t="str">
        <f>IF(DGArchive[[#This Row],[目标]]="","",INDEX(幕间计算!$E$200:$E$1199,ROW()-ROW(DGArchive[#Headers])))</f>
        <v/>
      </c>
      <c r="K411" s="117" t="str">
        <f>IF(DGArchive[[#This Row],[目标]]="","",INDEX(幕间计算!$F$200:$F$1199,ROW()-ROW(DGArchive[#Headers])))</f>
        <v/>
      </c>
    </row>
    <row r="412" ht="25" customHeight="1" spans="1:11">
      <c r="A412" s="106"/>
      <c r="B412" s="106"/>
      <c r="C412" s="126"/>
      <c r="D412" s="106"/>
      <c r="E412" s="106"/>
      <c r="F412" s="106"/>
      <c r="G412" s="106"/>
      <c r="H412" s="106"/>
      <c r="I412" s="106"/>
      <c r="J412" s="117" t="str">
        <f>IF(DGArchive[[#This Row],[目标]]="","",INDEX(幕间计算!$E$200:$E$1199,ROW()-ROW(DGArchive[#Headers])))</f>
        <v/>
      </c>
      <c r="K412" s="117" t="str">
        <f>IF(DGArchive[[#This Row],[目标]]="","",INDEX(幕间计算!$F$200:$F$1199,ROW()-ROW(DGArchive[#Headers])))</f>
        <v/>
      </c>
    </row>
    <row r="413" ht="25" customHeight="1" spans="1:11">
      <c r="A413" s="106"/>
      <c r="B413" s="106"/>
      <c r="C413" s="126"/>
      <c r="D413" s="106"/>
      <c r="E413" s="106"/>
      <c r="F413" s="106"/>
      <c r="G413" s="106"/>
      <c r="H413" s="106"/>
      <c r="I413" s="106"/>
      <c r="J413" s="117" t="str">
        <f>IF(DGArchive[[#This Row],[目标]]="","",INDEX(幕间计算!$E$200:$E$1199,ROW()-ROW(DGArchive[#Headers])))</f>
        <v/>
      </c>
      <c r="K413" s="117" t="str">
        <f>IF(DGArchive[[#This Row],[目标]]="","",INDEX(幕间计算!$F$200:$F$1199,ROW()-ROW(DGArchive[#Headers])))</f>
        <v/>
      </c>
    </row>
    <row r="414" ht="25" customHeight="1" spans="1:11">
      <c r="A414" s="106"/>
      <c r="B414" s="106"/>
      <c r="C414" s="126"/>
      <c r="D414" s="106"/>
      <c r="E414" s="106"/>
      <c r="F414" s="106"/>
      <c r="G414" s="106"/>
      <c r="H414" s="106"/>
      <c r="I414" s="106"/>
      <c r="J414" s="117" t="str">
        <f>IF(DGArchive[[#This Row],[目标]]="","",INDEX(幕间计算!$E$200:$E$1199,ROW()-ROW(DGArchive[#Headers])))</f>
        <v/>
      </c>
      <c r="K414" s="117" t="str">
        <f>IF(DGArchive[[#This Row],[目标]]="","",INDEX(幕间计算!$F$200:$F$1199,ROW()-ROW(DGArchive[#Headers])))</f>
        <v/>
      </c>
    </row>
    <row r="415" ht="25" customHeight="1" spans="1:11">
      <c r="A415" s="106"/>
      <c r="B415" s="106"/>
      <c r="C415" s="126"/>
      <c r="D415" s="106"/>
      <c r="E415" s="106"/>
      <c r="F415" s="106"/>
      <c r="G415" s="106"/>
      <c r="H415" s="106"/>
      <c r="I415" s="106"/>
      <c r="J415" s="117" t="str">
        <f>IF(DGArchive[[#This Row],[目标]]="","",INDEX(幕间计算!$E$200:$E$1199,ROW()-ROW(DGArchive[#Headers])))</f>
        <v/>
      </c>
      <c r="K415" s="117" t="str">
        <f>IF(DGArchive[[#This Row],[目标]]="","",INDEX(幕间计算!$F$200:$F$1199,ROW()-ROW(DGArchive[#Headers])))</f>
        <v/>
      </c>
    </row>
    <row r="416" ht="25" customHeight="1" spans="1:11">
      <c r="A416" s="106"/>
      <c r="B416" s="106"/>
      <c r="C416" s="126"/>
      <c r="D416" s="106"/>
      <c r="E416" s="106"/>
      <c r="F416" s="106"/>
      <c r="G416" s="106"/>
      <c r="H416" s="106"/>
      <c r="I416" s="106"/>
      <c r="J416" s="117" t="str">
        <f>IF(DGArchive[[#This Row],[目标]]="","",INDEX(幕间计算!$E$200:$E$1199,ROW()-ROW(DGArchive[#Headers])))</f>
        <v/>
      </c>
      <c r="K416" s="117" t="str">
        <f>IF(DGArchive[[#This Row],[目标]]="","",INDEX(幕间计算!$F$200:$F$1199,ROW()-ROW(DGArchive[#Headers])))</f>
        <v/>
      </c>
    </row>
    <row r="417" ht="25" customHeight="1" spans="1:11">
      <c r="A417" s="106"/>
      <c r="B417" s="106"/>
      <c r="C417" s="126"/>
      <c r="D417" s="106"/>
      <c r="E417" s="106"/>
      <c r="F417" s="106"/>
      <c r="G417" s="106"/>
      <c r="H417" s="106"/>
      <c r="I417" s="106"/>
      <c r="J417" s="117" t="str">
        <f>IF(DGArchive[[#This Row],[目标]]="","",INDEX(幕间计算!$E$200:$E$1199,ROW()-ROW(DGArchive[#Headers])))</f>
        <v/>
      </c>
      <c r="K417" s="117" t="str">
        <f>IF(DGArchive[[#This Row],[目标]]="","",INDEX(幕间计算!$F$200:$F$1199,ROW()-ROW(DGArchive[#Headers])))</f>
        <v/>
      </c>
    </row>
    <row r="418" ht="25" customHeight="1" spans="1:11">
      <c r="A418" s="106"/>
      <c r="B418" s="106"/>
      <c r="C418" s="126"/>
      <c r="D418" s="106"/>
      <c r="E418" s="106"/>
      <c r="F418" s="106"/>
      <c r="G418" s="106"/>
      <c r="H418" s="106"/>
      <c r="I418" s="106"/>
      <c r="J418" s="117" t="str">
        <f>IF(DGArchive[[#This Row],[目标]]="","",INDEX(幕间计算!$E$200:$E$1199,ROW()-ROW(DGArchive[#Headers])))</f>
        <v/>
      </c>
      <c r="K418" s="117" t="str">
        <f>IF(DGArchive[[#This Row],[目标]]="","",INDEX(幕间计算!$F$200:$F$1199,ROW()-ROW(DGArchive[#Headers])))</f>
        <v/>
      </c>
    </row>
    <row r="419" ht="25" customHeight="1" spans="1:11">
      <c r="A419" s="106"/>
      <c r="B419" s="106"/>
      <c r="C419" s="126"/>
      <c r="D419" s="106"/>
      <c r="E419" s="106"/>
      <c r="F419" s="106"/>
      <c r="G419" s="106"/>
      <c r="H419" s="106"/>
      <c r="I419" s="106"/>
      <c r="J419" s="117" t="str">
        <f>IF(DGArchive[[#This Row],[目标]]="","",INDEX(幕间计算!$E$200:$E$1199,ROW()-ROW(DGArchive[#Headers])))</f>
        <v/>
      </c>
      <c r="K419" s="117" t="str">
        <f>IF(DGArchive[[#This Row],[目标]]="","",INDEX(幕间计算!$F$200:$F$1199,ROW()-ROW(DGArchive[#Headers])))</f>
        <v/>
      </c>
    </row>
    <row r="420" ht="25" customHeight="1" spans="1:11">
      <c r="A420" s="106"/>
      <c r="B420" s="106"/>
      <c r="C420" s="126"/>
      <c r="D420" s="106"/>
      <c r="E420" s="106"/>
      <c r="F420" s="106"/>
      <c r="G420" s="106"/>
      <c r="H420" s="106"/>
      <c r="I420" s="106"/>
      <c r="J420" s="117" t="str">
        <f>IF(DGArchive[[#This Row],[目标]]="","",INDEX(幕间计算!$E$200:$E$1199,ROW()-ROW(DGArchive[#Headers])))</f>
        <v/>
      </c>
      <c r="K420" s="117" t="str">
        <f>IF(DGArchive[[#This Row],[目标]]="","",INDEX(幕间计算!$F$200:$F$1199,ROW()-ROW(DGArchive[#Headers])))</f>
        <v/>
      </c>
    </row>
    <row r="421" ht="25" customHeight="1" spans="1:11">
      <c r="A421" s="106"/>
      <c r="B421" s="106"/>
      <c r="C421" s="126"/>
      <c r="D421" s="106"/>
      <c r="E421" s="106"/>
      <c r="F421" s="106"/>
      <c r="G421" s="106"/>
      <c r="H421" s="106"/>
      <c r="I421" s="106"/>
      <c r="J421" s="117" t="str">
        <f>IF(DGArchive[[#This Row],[目标]]="","",INDEX(幕间计算!$E$200:$E$1199,ROW()-ROW(DGArchive[#Headers])))</f>
        <v/>
      </c>
      <c r="K421" s="117" t="str">
        <f>IF(DGArchive[[#This Row],[目标]]="","",INDEX(幕间计算!$F$200:$F$1199,ROW()-ROW(DGArchive[#Headers])))</f>
        <v/>
      </c>
    </row>
    <row r="422" ht="25" customHeight="1" spans="1:11">
      <c r="A422" s="106"/>
      <c r="B422" s="106"/>
      <c r="C422" s="126"/>
      <c r="D422" s="106"/>
      <c r="E422" s="106"/>
      <c r="F422" s="106"/>
      <c r="G422" s="106"/>
      <c r="H422" s="106"/>
      <c r="I422" s="106"/>
      <c r="J422" s="117" t="str">
        <f>IF(DGArchive[[#This Row],[目标]]="","",INDEX(幕间计算!$E$200:$E$1199,ROW()-ROW(DGArchive[#Headers])))</f>
        <v/>
      </c>
      <c r="K422" s="117" t="str">
        <f>IF(DGArchive[[#This Row],[目标]]="","",INDEX(幕间计算!$F$200:$F$1199,ROW()-ROW(DGArchive[#Headers])))</f>
        <v/>
      </c>
    </row>
    <row r="423" ht="25" customHeight="1" spans="1:11">
      <c r="A423" s="106"/>
      <c r="B423" s="106"/>
      <c r="C423" s="126"/>
      <c r="D423" s="106"/>
      <c r="E423" s="106"/>
      <c r="F423" s="106"/>
      <c r="G423" s="106"/>
      <c r="H423" s="106"/>
      <c r="I423" s="106"/>
      <c r="J423" s="117" t="str">
        <f>IF(DGArchive[[#This Row],[目标]]="","",INDEX(幕间计算!$E$200:$E$1199,ROW()-ROW(DGArchive[#Headers])))</f>
        <v/>
      </c>
      <c r="K423" s="117" t="str">
        <f>IF(DGArchive[[#This Row],[目标]]="","",INDEX(幕间计算!$F$200:$F$1199,ROW()-ROW(DGArchive[#Headers])))</f>
        <v/>
      </c>
    </row>
    <row r="424" ht="25" customHeight="1" spans="1:11">
      <c r="A424" s="106"/>
      <c r="B424" s="106"/>
      <c r="C424" s="126"/>
      <c r="D424" s="106"/>
      <c r="E424" s="106"/>
      <c r="F424" s="106"/>
      <c r="G424" s="106"/>
      <c r="H424" s="106"/>
      <c r="I424" s="106"/>
      <c r="J424" s="117" t="str">
        <f>IF(DGArchive[[#This Row],[目标]]="","",INDEX(幕间计算!$E$200:$E$1199,ROW()-ROW(DGArchive[#Headers])))</f>
        <v/>
      </c>
      <c r="K424" s="117" t="str">
        <f>IF(DGArchive[[#This Row],[目标]]="","",INDEX(幕间计算!$F$200:$F$1199,ROW()-ROW(DGArchive[#Headers])))</f>
        <v/>
      </c>
    </row>
    <row r="425" ht="25" customHeight="1" spans="1:11">
      <c r="A425" s="106"/>
      <c r="B425" s="106"/>
      <c r="C425" s="126"/>
      <c r="D425" s="106"/>
      <c r="E425" s="106"/>
      <c r="F425" s="106"/>
      <c r="G425" s="106"/>
      <c r="H425" s="106"/>
      <c r="I425" s="106"/>
      <c r="J425" s="117" t="str">
        <f>IF(DGArchive[[#This Row],[目标]]="","",INDEX(幕间计算!$E$200:$E$1199,ROW()-ROW(DGArchive[#Headers])))</f>
        <v/>
      </c>
      <c r="K425" s="117" t="str">
        <f>IF(DGArchive[[#This Row],[目标]]="","",INDEX(幕间计算!$F$200:$F$1199,ROW()-ROW(DGArchive[#Headers])))</f>
        <v/>
      </c>
    </row>
    <row r="426" ht="25" customHeight="1" spans="1:11">
      <c r="A426" s="106"/>
      <c r="B426" s="106"/>
      <c r="C426" s="126"/>
      <c r="D426" s="106"/>
      <c r="E426" s="106"/>
      <c r="F426" s="106"/>
      <c r="G426" s="106"/>
      <c r="H426" s="106"/>
      <c r="I426" s="106"/>
      <c r="J426" s="117" t="str">
        <f>IF(DGArchive[[#This Row],[目标]]="","",INDEX(幕间计算!$E$200:$E$1199,ROW()-ROW(DGArchive[#Headers])))</f>
        <v/>
      </c>
      <c r="K426" s="117" t="str">
        <f>IF(DGArchive[[#This Row],[目标]]="","",INDEX(幕间计算!$F$200:$F$1199,ROW()-ROW(DGArchive[#Headers])))</f>
        <v/>
      </c>
    </row>
    <row r="427" ht="25" customHeight="1" spans="1:11">
      <c r="A427" s="106"/>
      <c r="B427" s="106"/>
      <c r="C427" s="126"/>
      <c r="D427" s="106"/>
      <c r="E427" s="106"/>
      <c r="F427" s="106"/>
      <c r="G427" s="106"/>
      <c r="H427" s="106"/>
      <c r="I427" s="106"/>
      <c r="J427" s="117" t="str">
        <f>IF(DGArchive[[#This Row],[目标]]="","",INDEX(幕间计算!$E$200:$E$1199,ROW()-ROW(DGArchive[#Headers])))</f>
        <v/>
      </c>
      <c r="K427" s="117" t="str">
        <f>IF(DGArchive[[#This Row],[目标]]="","",INDEX(幕间计算!$F$200:$F$1199,ROW()-ROW(DGArchive[#Headers])))</f>
        <v/>
      </c>
    </row>
    <row r="428" ht="25" customHeight="1" spans="1:11">
      <c r="A428" s="106"/>
      <c r="B428" s="106"/>
      <c r="C428" s="126"/>
      <c r="D428" s="106"/>
      <c r="E428" s="106"/>
      <c r="F428" s="106"/>
      <c r="G428" s="106"/>
      <c r="H428" s="106"/>
      <c r="I428" s="106"/>
      <c r="J428" s="117" t="str">
        <f>IF(DGArchive[[#This Row],[目标]]="","",INDEX(幕间计算!$E$200:$E$1199,ROW()-ROW(DGArchive[#Headers])))</f>
        <v/>
      </c>
      <c r="K428" s="117" t="str">
        <f>IF(DGArchive[[#This Row],[目标]]="","",INDEX(幕间计算!$F$200:$F$1199,ROW()-ROW(DGArchive[#Headers])))</f>
        <v/>
      </c>
    </row>
    <row r="429" ht="25" customHeight="1" spans="1:11">
      <c r="A429" s="106"/>
      <c r="B429" s="106"/>
      <c r="C429" s="126"/>
      <c r="D429" s="106"/>
      <c r="E429" s="106"/>
      <c r="F429" s="106"/>
      <c r="G429" s="106"/>
      <c r="H429" s="106"/>
      <c r="I429" s="106"/>
      <c r="J429" s="117" t="str">
        <f>IF(DGArchive[[#This Row],[目标]]="","",INDEX(幕间计算!$E$200:$E$1199,ROW()-ROW(DGArchive[#Headers])))</f>
        <v/>
      </c>
      <c r="K429" s="117" t="str">
        <f>IF(DGArchive[[#This Row],[目标]]="","",INDEX(幕间计算!$F$200:$F$1199,ROW()-ROW(DGArchive[#Headers])))</f>
        <v/>
      </c>
    </row>
    <row r="430" ht="25" customHeight="1" spans="1:11">
      <c r="A430" s="106"/>
      <c r="B430" s="106"/>
      <c r="C430" s="126"/>
      <c r="D430" s="106"/>
      <c r="E430" s="106"/>
      <c r="F430" s="106"/>
      <c r="G430" s="106"/>
      <c r="H430" s="106"/>
      <c r="I430" s="106"/>
      <c r="J430" s="117" t="str">
        <f>IF(DGArchive[[#This Row],[目标]]="","",INDEX(幕间计算!$E$200:$E$1199,ROW()-ROW(DGArchive[#Headers])))</f>
        <v/>
      </c>
      <c r="K430" s="117" t="str">
        <f>IF(DGArchive[[#This Row],[目标]]="","",INDEX(幕间计算!$F$200:$F$1199,ROW()-ROW(DGArchive[#Headers])))</f>
        <v/>
      </c>
    </row>
    <row r="431" ht="25" customHeight="1" spans="1:11">
      <c r="A431" s="106"/>
      <c r="B431" s="106"/>
      <c r="C431" s="126"/>
      <c r="D431" s="106"/>
      <c r="E431" s="106"/>
      <c r="F431" s="106"/>
      <c r="G431" s="106"/>
      <c r="H431" s="106"/>
      <c r="I431" s="106"/>
      <c r="J431" s="117" t="str">
        <f>IF(DGArchive[[#This Row],[目标]]="","",INDEX(幕间计算!$E$200:$E$1199,ROW()-ROW(DGArchive[#Headers])))</f>
        <v/>
      </c>
      <c r="K431" s="117" t="str">
        <f>IF(DGArchive[[#This Row],[目标]]="","",INDEX(幕间计算!$F$200:$F$1199,ROW()-ROW(DGArchive[#Headers])))</f>
        <v/>
      </c>
    </row>
    <row r="432" ht="25" customHeight="1" spans="1:11">
      <c r="A432" s="106"/>
      <c r="B432" s="106"/>
      <c r="C432" s="126"/>
      <c r="D432" s="106"/>
      <c r="E432" s="106"/>
      <c r="F432" s="106"/>
      <c r="G432" s="106"/>
      <c r="H432" s="106"/>
      <c r="I432" s="106"/>
      <c r="J432" s="117" t="str">
        <f>IF(DGArchive[[#This Row],[目标]]="","",INDEX(幕间计算!$E$200:$E$1199,ROW()-ROW(DGArchive[#Headers])))</f>
        <v/>
      </c>
      <c r="K432" s="117" t="str">
        <f>IF(DGArchive[[#This Row],[目标]]="","",INDEX(幕间计算!$F$200:$F$1199,ROW()-ROW(DGArchive[#Headers])))</f>
        <v/>
      </c>
    </row>
    <row r="433" ht="25" customHeight="1" spans="1:11">
      <c r="A433" s="106"/>
      <c r="B433" s="106"/>
      <c r="C433" s="126"/>
      <c r="D433" s="106"/>
      <c r="E433" s="106"/>
      <c r="F433" s="106"/>
      <c r="G433" s="106"/>
      <c r="H433" s="106"/>
      <c r="I433" s="106"/>
      <c r="J433" s="117" t="str">
        <f>IF(DGArchive[[#This Row],[目标]]="","",INDEX(幕间计算!$E$200:$E$1199,ROW()-ROW(DGArchive[#Headers])))</f>
        <v/>
      </c>
      <c r="K433" s="117" t="str">
        <f>IF(DGArchive[[#This Row],[目标]]="","",INDEX(幕间计算!$F$200:$F$1199,ROW()-ROW(DGArchive[#Headers])))</f>
        <v/>
      </c>
    </row>
    <row r="434" ht="25" customHeight="1" spans="1:11">
      <c r="A434" s="106"/>
      <c r="B434" s="106"/>
      <c r="C434" s="126"/>
      <c r="D434" s="106"/>
      <c r="E434" s="106"/>
      <c r="F434" s="106"/>
      <c r="G434" s="106"/>
      <c r="H434" s="106"/>
      <c r="I434" s="106"/>
      <c r="J434" s="117" t="str">
        <f>IF(DGArchive[[#This Row],[目标]]="","",INDEX(幕间计算!$E$200:$E$1199,ROW()-ROW(DGArchive[#Headers])))</f>
        <v/>
      </c>
      <c r="K434" s="117" t="str">
        <f>IF(DGArchive[[#This Row],[目标]]="","",INDEX(幕间计算!$F$200:$F$1199,ROW()-ROW(DGArchive[#Headers])))</f>
        <v/>
      </c>
    </row>
    <row r="435" ht="25" customHeight="1" spans="1:11">
      <c r="A435" s="106"/>
      <c r="B435" s="106"/>
      <c r="C435" s="126"/>
      <c r="D435" s="106"/>
      <c r="E435" s="106"/>
      <c r="F435" s="106"/>
      <c r="G435" s="106"/>
      <c r="H435" s="106"/>
      <c r="I435" s="106"/>
      <c r="J435" s="117" t="str">
        <f>IF(DGArchive[[#This Row],[目标]]="","",INDEX(幕间计算!$E$200:$E$1199,ROW()-ROW(DGArchive[#Headers])))</f>
        <v/>
      </c>
      <c r="K435" s="117" t="str">
        <f>IF(DGArchive[[#This Row],[目标]]="","",INDEX(幕间计算!$F$200:$F$1199,ROW()-ROW(DGArchive[#Headers])))</f>
        <v/>
      </c>
    </row>
    <row r="436" ht="25" customHeight="1" spans="1:11">
      <c r="A436" s="106"/>
      <c r="B436" s="106"/>
      <c r="C436" s="126"/>
      <c r="D436" s="106"/>
      <c r="E436" s="106"/>
      <c r="F436" s="106"/>
      <c r="G436" s="106"/>
      <c r="H436" s="106"/>
      <c r="I436" s="106"/>
      <c r="J436" s="117" t="str">
        <f>IF(DGArchive[[#This Row],[目标]]="","",INDEX(幕间计算!$E$200:$E$1199,ROW()-ROW(DGArchive[#Headers])))</f>
        <v/>
      </c>
      <c r="K436" s="117" t="str">
        <f>IF(DGArchive[[#This Row],[目标]]="","",INDEX(幕间计算!$F$200:$F$1199,ROW()-ROW(DGArchive[#Headers])))</f>
        <v/>
      </c>
    </row>
    <row r="437" ht="25" customHeight="1" spans="1:11">
      <c r="A437" s="106"/>
      <c r="B437" s="106"/>
      <c r="C437" s="126"/>
      <c r="D437" s="106"/>
      <c r="E437" s="106"/>
      <c r="F437" s="106"/>
      <c r="G437" s="106"/>
      <c r="H437" s="106"/>
      <c r="I437" s="106"/>
      <c r="J437" s="117" t="str">
        <f>IF(DGArchive[[#This Row],[目标]]="","",INDEX(幕间计算!$E$200:$E$1199,ROW()-ROW(DGArchive[#Headers])))</f>
        <v/>
      </c>
      <c r="K437" s="117" t="str">
        <f>IF(DGArchive[[#This Row],[目标]]="","",INDEX(幕间计算!$F$200:$F$1199,ROW()-ROW(DGArchive[#Headers])))</f>
        <v/>
      </c>
    </row>
    <row r="438" ht="25" customHeight="1" spans="1:11">
      <c r="A438" s="106"/>
      <c r="B438" s="106"/>
      <c r="C438" s="126"/>
      <c r="D438" s="106"/>
      <c r="E438" s="106"/>
      <c r="F438" s="106"/>
      <c r="G438" s="106"/>
      <c r="H438" s="106"/>
      <c r="I438" s="106"/>
      <c r="J438" s="117" t="str">
        <f>IF(DGArchive[[#This Row],[目标]]="","",INDEX(幕间计算!$E$200:$E$1199,ROW()-ROW(DGArchive[#Headers])))</f>
        <v/>
      </c>
      <c r="K438" s="117" t="str">
        <f>IF(DGArchive[[#This Row],[目标]]="","",INDEX(幕间计算!$F$200:$F$1199,ROW()-ROW(DGArchive[#Headers])))</f>
        <v/>
      </c>
    </row>
    <row r="439" ht="25" customHeight="1" spans="1:11">
      <c r="A439" s="106"/>
      <c r="B439" s="106"/>
      <c r="C439" s="126"/>
      <c r="D439" s="106"/>
      <c r="E439" s="106"/>
      <c r="F439" s="106"/>
      <c r="G439" s="106"/>
      <c r="H439" s="106"/>
      <c r="I439" s="106"/>
      <c r="J439" s="117" t="str">
        <f>IF(DGArchive[[#This Row],[目标]]="","",INDEX(幕间计算!$E$200:$E$1199,ROW()-ROW(DGArchive[#Headers])))</f>
        <v/>
      </c>
      <c r="K439" s="117" t="str">
        <f>IF(DGArchive[[#This Row],[目标]]="","",INDEX(幕间计算!$F$200:$F$1199,ROW()-ROW(DGArchive[#Headers])))</f>
        <v/>
      </c>
    </row>
    <row r="440" ht="25" customHeight="1" spans="1:11">
      <c r="A440" s="106"/>
      <c r="B440" s="106"/>
      <c r="C440" s="126"/>
      <c r="D440" s="106"/>
      <c r="E440" s="106"/>
      <c r="F440" s="106"/>
      <c r="G440" s="106"/>
      <c r="H440" s="106"/>
      <c r="I440" s="106"/>
      <c r="J440" s="117" t="str">
        <f>IF(DGArchive[[#This Row],[目标]]="","",INDEX(幕间计算!$E$200:$E$1199,ROW()-ROW(DGArchive[#Headers])))</f>
        <v/>
      </c>
      <c r="K440" s="117" t="str">
        <f>IF(DGArchive[[#This Row],[目标]]="","",INDEX(幕间计算!$F$200:$F$1199,ROW()-ROW(DGArchive[#Headers])))</f>
        <v/>
      </c>
    </row>
    <row r="441" ht="25" customHeight="1" spans="1:11">
      <c r="A441" s="106"/>
      <c r="B441" s="106"/>
      <c r="C441" s="126"/>
      <c r="D441" s="106"/>
      <c r="E441" s="106"/>
      <c r="F441" s="106"/>
      <c r="G441" s="106"/>
      <c r="H441" s="106"/>
      <c r="I441" s="106"/>
      <c r="J441" s="117" t="str">
        <f>IF(DGArchive[[#This Row],[目标]]="","",INDEX(幕间计算!$E$200:$E$1199,ROW()-ROW(DGArchive[#Headers])))</f>
        <v/>
      </c>
      <c r="K441" s="117" t="str">
        <f>IF(DGArchive[[#This Row],[目标]]="","",INDEX(幕间计算!$F$200:$F$1199,ROW()-ROW(DGArchive[#Headers])))</f>
        <v/>
      </c>
    </row>
    <row r="442" ht="25" customHeight="1" spans="1:11">
      <c r="A442" s="106"/>
      <c r="B442" s="106"/>
      <c r="C442" s="126"/>
      <c r="D442" s="106"/>
      <c r="E442" s="106"/>
      <c r="F442" s="106"/>
      <c r="G442" s="106"/>
      <c r="H442" s="106"/>
      <c r="I442" s="106"/>
      <c r="J442" s="117" t="str">
        <f>IF(DGArchive[[#This Row],[目标]]="","",INDEX(幕间计算!$E$200:$E$1199,ROW()-ROW(DGArchive[#Headers])))</f>
        <v/>
      </c>
      <c r="K442" s="117" t="str">
        <f>IF(DGArchive[[#This Row],[目标]]="","",INDEX(幕间计算!$F$200:$F$1199,ROW()-ROW(DGArchive[#Headers])))</f>
        <v/>
      </c>
    </row>
    <row r="443" ht="25" customHeight="1" spans="1:11">
      <c r="A443" s="106"/>
      <c r="B443" s="106"/>
      <c r="C443" s="126"/>
      <c r="D443" s="106"/>
      <c r="E443" s="106"/>
      <c r="F443" s="106"/>
      <c r="G443" s="106"/>
      <c r="H443" s="106"/>
      <c r="I443" s="106"/>
      <c r="J443" s="117" t="str">
        <f>IF(DGArchive[[#This Row],[目标]]="","",INDEX(幕间计算!$E$200:$E$1199,ROW()-ROW(DGArchive[#Headers])))</f>
        <v/>
      </c>
      <c r="K443" s="117" t="str">
        <f>IF(DGArchive[[#This Row],[目标]]="","",INDEX(幕间计算!$F$200:$F$1199,ROW()-ROW(DGArchive[#Headers])))</f>
        <v/>
      </c>
    </row>
    <row r="444" ht="25" customHeight="1" spans="1:11">
      <c r="A444" s="106"/>
      <c r="B444" s="106"/>
      <c r="C444" s="126"/>
      <c r="D444" s="106"/>
      <c r="E444" s="106"/>
      <c r="F444" s="106"/>
      <c r="G444" s="106"/>
      <c r="H444" s="106"/>
      <c r="I444" s="106"/>
      <c r="J444" s="117" t="str">
        <f>IF(DGArchive[[#This Row],[目标]]="","",INDEX(幕间计算!$E$200:$E$1199,ROW()-ROW(DGArchive[#Headers])))</f>
        <v/>
      </c>
      <c r="K444" s="117" t="str">
        <f>IF(DGArchive[[#This Row],[目标]]="","",INDEX(幕间计算!$F$200:$F$1199,ROW()-ROW(DGArchive[#Headers])))</f>
        <v/>
      </c>
    </row>
    <row r="445" ht="25" customHeight="1" spans="1:11">
      <c r="A445" s="106"/>
      <c r="B445" s="106"/>
      <c r="C445" s="126"/>
      <c r="D445" s="106"/>
      <c r="E445" s="106"/>
      <c r="F445" s="106"/>
      <c r="G445" s="106"/>
      <c r="H445" s="106"/>
      <c r="I445" s="106"/>
      <c r="J445" s="117" t="str">
        <f>IF(DGArchive[[#This Row],[目标]]="","",INDEX(幕间计算!$E$200:$E$1199,ROW()-ROW(DGArchive[#Headers])))</f>
        <v/>
      </c>
      <c r="K445" s="117" t="str">
        <f>IF(DGArchive[[#This Row],[目标]]="","",INDEX(幕间计算!$F$200:$F$1199,ROW()-ROW(DGArchive[#Headers])))</f>
        <v/>
      </c>
    </row>
    <row r="446" ht="25" customHeight="1" spans="1:11">
      <c r="A446" s="106"/>
      <c r="B446" s="106"/>
      <c r="C446" s="126"/>
      <c r="D446" s="106"/>
      <c r="E446" s="106"/>
      <c r="F446" s="106"/>
      <c r="G446" s="106"/>
      <c r="H446" s="106"/>
      <c r="I446" s="106"/>
      <c r="J446" s="117" t="str">
        <f>IF(DGArchive[[#This Row],[目标]]="","",INDEX(幕间计算!$E$200:$E$1199,ROW()-ROW(DGArchive[#Headers])))</f>
        <v/>
      </c>
      <c r="K446" s="117" t="str">
        <f>IF(DGArchive[[#This Row],[目标]]="","",INDEX(幕间计算!$F$200:$F$1199,ROW()-ROW(DGArchive[#Headers])))</f>
        <v/>
      </c>
    </row>
    <row r="447" ht="25" customHeight="1" spans="1:11">
      <c r="A447" s="106"/>
      <c r="B447" s="106"/>
      <c r="C447" s="126"/>
      <c r="D447" s="106"/>
      <c r="E447" s="106"/>
      <c r="F447" s="106"/>
      <c r="G447" s="106"/>
      <c r="H447" s="106"/>
      <c r="I447" s="106"/>
      <c r="J447" s="117" t="str">
        <f>IF(DGArchive[[#This Row],[目标]]="","",INDEX(幕间计算!$E$200:$E$1199,ROW()-ROW(DGArchive[#Headers])))</f>
        <v/>
      </c>
      <c r="K447" s="117" t="str">
        <f>IF(DGArchive[[#This Row],[目标]]="","",INDEX(幕间计算!$F$200:$F$1199,ROW()-ROW(DGArchive[#Headers])))</f>
        <v/>
      </c>
    </row>
    <row r="448" ht="25" customHeight="1" spans="1:11">
      <c r="A448" s="106"/>
      <c r="B448" s="106"/>
      <c r="C448" s="126"/>
      <c r="D448" s="106"/>
      <c r="E448" s="106"/>
      <c r="F448" s="106"/>
      <c r="G448" s="106"/>
      <c r="H448" s="106"/>
      <c r="I448" s="106"/>
      <c r="J448" s="117" t="str">
        <f>IF(DGArchive[[#This Row],[目标]]="","",INDEX(幕间计算!$E$200:$E$1199,ROW()-ROW(DGArchive[#Headers])))</f>
        <v/>
      </c>
      <c r="K448" s="117" t="str">
        <f>IF(DGArchive[[#This Row],[目标]]="","",INDEX(幕间计算!$F$200:$F$1199,ROW()-ROW(DGArchive[#Headers])))</f>
        <v/>
      </c>
    </row>
    <row r="449" ht="25" customHeight="1" spans="1:11">
      <c r="A449" s="106"/>
      <c r="B449" s="106"/>
      <c r="C449" s="126"/>
      <c r="D449" s="106"/>
      <c r="E449" s="106"/>
      <c r="F449" s="106"/>
      <c r="G449" s="106"/>
      <c r="H449" s="106"/>
      <c r="I449" s="106"/>
      <c r="J449" s="117" t="str">
        <f>IF(DGArchive[[#This Row],[目标]]="","",INDEX(幕间计算!$E$200:$E$1199,ROW()-ROW(DGArchive[#Headers])))</f>
        <v/>
      </c>
      <c r="K449" s="117" t="str">
        <f>IF(DGArchive[[#This Row],[目标]]="","",INDEX(幕间计算!$F$200:$F$1199,ROW()-ROW(DGArchive[#Headers])))</f>
        <v/>
      </c>
    </row>
    <row r="450" ht="25" customHeight="1" spans="1:11">
      <c r="A450" s="106"/>
      <c r="B450" s="106"/>
      <c r="C450" s="126"/>
      <c r="D450" s="106"/>
      <c r="E450" s="106"/>
      <c r="F450" s="106"/>
      <c r="G450" s="106"/>
      <c r="H450" s="106"/>
      <c r="I450" s="106"/>
      <c r="J450" s="117" t="str">
        <f>IF(DGArchive[[#This Row],[目标]]="","",INDEX(幕间计算!$E$200:$E$1199,ROW()-ROW(DGArchive[#Headers])))</f>
        <v/>
      </c>
      <c r="K450" s="117" t="str">
        <f>IF(DGArchive[[#This Row],[目标]]="","",INDEX(幕间计算!$F$200:$F$1199,ROW()-ROW(DGArchive[#Headers])))</f>
        <v/>
      </c>
    </row>
    <row r="451" ht="25" customHeight="1" spans="1:11">
      <c r="A451" s="106"/>
      <c r="B451" s="106"/>
      <c r="C451" s="126"/>
      <c r="D451" s="106"/>
      <c r="E451" s="106"/>
      <c r="F451" s="106"/>
      <c r="G451" s="106"/>
      <c r="H451" s="106"/>
      <c r="I451" s="106"/>
      <c r="J451" s="117" t="str">
        <f>IF(DGArchive[[#This Row],[目标]]="","",INDEX(幕间计算!$E$200:$E$1199,ROW()-ROW(DGArchive[#Headers])))</f>
        <v/>
      </c>
      <c r="K451" s="117" t="str">
        <f>IF(DGArchive[[#This Row],[目标]]="","",INDEX(幕间计算!$F$200:$F$1199,ROW()-ROW(DGArchive[#Headers])))</f>
        <v/>
      </c>
    </row>
    <row r="452" ht="25" customHeight="1" spans="1:11">
      <c r="A452" s="106"/>
      <c r="B452" s="106"/>
      <c r="C452" s="126"/>
      <c r="D452" s="106"/>
      <c r="E452" s="106"/>
      <c r="F452" s="106"/>
      <c r="G452" s="106"/>
      <c r="H452" s="106"/>
      <c r="I452" s="106"/>
      <c r="J452" s="117" t="str">
        <f>IF(DGArchive[[#This Row],[目标]]="","",INDEX(幕间计算!$E$200:$E$1199,ROW()-ROW(DGArchive[#Headers])))</f>
        <v/>
      </c>
      <c r="K452" s="117" t="str">
        <f>IF(DGArchive[[#This Row],[目标]]="","",INDEX(幕间计算!$F$200:$F$1199,ROW()-ROW(DGArchive[#Headers])))</f>
        <v/>
      </c>
    </row>
    <row r="453" ht="25" customHeight="1" spans="1:11">
      <c r="A453" s="106"/>
      <c r="B453" s="106"/>
      <c r="C453" s="126"/>
      <c r="D453" s="106"/>
      <c r="E453" s="106"/>
      <c r="F453" s="106"/>
      <c r="G453" s="106"/>
      <c r="H453" s="106"/>
      <c r="I453" s="106"/>
      <c r="J453" s="117" t="str">
        <f>IF(DGArchive[[#This Row],[目标]]="","",INDEX(幕间计算!$E$200:$E$1199,ROW()-ROW(DGArchive[#Headers])))</f>
        <v/>
      </c>
      <c r="K453" s="117" t="str">
        <f>IF(DGArchive[[#This Row],[目标]]="","",INDEX(幕间计算!$F$200:$F$1199,ROW()-ROW(DGArchive[#Headers])))</f>
        <v/>
      </c>
    </row>
    <row r="454" ht="25" customHeight="1" spans="1:11">
      <c r="A454" s="106"/>
      <c r="B454" s="106"/>
      <c r="C454" s="126"/>
      <c r="D454" s="106"/>
      <c r="E454" s="106"/>
      <c r="F454" s="106"/>
      <c r="G454" s="106"/>
      <c r="H454" s="106"/>
      <c r="I454" s="106"/>
      <c r="J454" s="117" t="str">
        <f>IF(DGArchive[[#This Row],[目标]]="","",INDEX(幕间计算!$E$200:$E$1199,ROW()-ROW(DGArchive[#Headers])))</f>
        <v/>
      </c>
      <c r="K454" s="117" t="str">
        <f>IF(DGArchive[[#This Row],[目标]]="","",INDEX(幕间计算!$F$200:$F$1199,ROW()-ROW(DGArchive[#Headers])))</f>
        <v/>
      </c>
    </row>
    <row r="455" ht="25" customHeight="1" spans="1:11">
      <c r="A455" s="106"/>
      <c r="B455" s="106"/>
      <c r="C455" s="126"/>
      <c r="D455" s="106"/>
      <c r="E455" s="106"/>
      <c r="F455" s="106"/>
      <c r="G455" s="106"/>
      <c r="H455" s="106"/>
      <c r="I455" s="106"/>
      <c r="J455" s="117" t="str">
        <f>IF(DGArchive[[#This Row],[目标]]="","",INDEX(幕间计算!$E$200:$E$1199,ROW()-ROW(DGArchive[#Headers])))</f>
        <v/>
      </c>
      <c r="K455" s="117" t="str">
        <f>IF(DGArchive[[#This Row],[目标]]="","",INDEX(幕间计算!$F$200:$F$1199,ROW()-ROW(DGArchive[#Headers])))</f>
        <v/>
      </c>
    </row>
    <row r="456" ht="25" customHeight="1" spans="1:11">
      <c r="A456" s="106"/>
      <c r="B456" s="106"/>
      <c r="C456" s="126"/>
      <c r="D456" s="106"/>
      <c r="E456" s="106"/>
      <c r="F456" s="106"/>
      <c r="G456" s="106"/>
      <c r="H456" s="106"/>
      <c r="I456" s="106"/>
      <c r="J456" s="117" t="str">
        <f>IF(DGArchive[[#This Row],[目标]]="","",INDEX(幕间计算!$E$200:$E$1199,ROW()-ROW(DGArchive[#Headers])))</f>
        <v/>
      </c>
      <c r="K456" s="117" t="str">
        <f>IF(DGArchive[[#This Row],[目标]]="","",INDEX(幕间计算!$F$200:$F$1199,ROW()-ROW(DGArchive[#Headers])))</f>
        <v/>
      </c>
    </row>
    <row r="457" ht="25" customHeight="1" spans="1:11">
      <c r="A457" s="106"/>
      <c r="B457" s="106"/>
      <c r="C457" s="126"/>
      <c r="D457" s="106"/>
      <c r="E457" s="106"/>
      <c r="F457" s="106"/>
      <c r="G457" s="106"/>
      <c r="H457" s="106"/>
      <c r="I457" s="106"/>
      <c r="J457" s="117" t="str">
        <f>IF(DGArchive[[#This Row],[目标]]="","",INDEX(幕间计算!$E$200:$E$1199,ROW()-ROW(DGArchive[#Headers])))</f>
        <v/>
      </c>
      <c r="K457" s="117" t="str">
        <f>IF(DGArchive[[#This Row],[目标]]="","",INDEX(幕间计算!$F$200:$F$1199,ROW()-ROW(DGArchive[#Headers])))</f>
        <v/>
      </c>
    </row>
    <row r="458" ht="25" customHeight="1" spans="1:11">
      <c r="A458" s="106"/>
      <c r="B458" s="106"/>
      <c r="C458" s="126"/>
      <c r="D458" s="106"/>
      <c r="E458" s="106"/>
      <c r="F458" s="106"/>
      <c r="G458" s="106"/>
      <c r="H458" s="106"/>
      <c r="I458" s="106"/>
      <c r="J458" s="117" t="str">
        <f>IF(DGArchive[[#This Row],[目标]]="","",INDEX(幕间计算!$E$200:$E$1199,ROW()-ROW(DGArchive[#Headers])))</f>
        <v/>
      </c>
      <c r="K458" s="117" t="str">
        <f>IF(DGArchive[[#This Row],[目标]]="","",INDEX(幕间计算!$F$200:$F$1199,ROW()-ROW(DGArchive[#Headers])))</f>
        <v/>
      </c>
    </row>
    <row r="459" ht="25" customHeight="1" spans="1:11">
      <c r="A459" s="106"/>
      <c r="B459" s="106"/>
      <c r="C459" s="126"/>
      <c r="D459" s="106"/>
      <c r="E459" s="106"/>
      <c r="F459" s="106"/>
      <c r="G459" s="106"/>
      <c r="H459" s="106"/>
      <c r="I459" s="106"/>
      <c r="J459" s="117" t="str">
        <f>IF(DGArchive[[#This Row],[目标]]="","",INDEX(幕间计算!$E$200:$E$1199,ROW()-ROW(DGArchive[#Headers])))</f>
        <v/>
      </c>
      <c r="K459" s="117" t="str">
        <f>IF(DGArchive[[#This Row],[目标]]="","",INDEX(幕间计算!$F$200:$F$1199,ROW()-ROW(DGArchive[#Headers])))</f>
        <v/>
      </c>
    </row>
    <row r="460" ht="25" customHeight="1" spans="1:11">
      <c r="A460" s="106"/>
      <c r="B460" s="106"/>
      <c r="C460" s="126"/>
      <c r="D460" s="106"/>
      <c r="E460" s="106"/>
      <c r="F460" s="106"/>
      <c r="G460" s="106"/>
      <c r="H460" s="106"/>
      <c r="I460" s="106"/>
      <c r="J460" s="117" t="str">
        <f>IF(DGArchive[[#This Row],[目标]]="","",INDEX(幕间计算!$E$200:$E$1199,ROW()-ROW(DGArchive[#Headers])))</f>
        <v/>
      </c>
      <c r="K460" s="117" t="str">
        <f>IF(DGArchive[[#This Row],[目标]]="","",INDEX(幕间计算!$F$200:$F$1199,ROW()-ROW(DGArchive[#Headers])))</f>
        <v/>
      </c>
    </row>
    <row r="461" ht="25" customHeight="1" spans="1:11">
      <c r="A461" s="106"/>
      <c r="B461" s="106"/>
      <c r="C461" s="126"/>
      <c r="D461" s="106"/>
      <c r="E461" s="106"/>
      <c r="F461" s="106"/>
      <c r="G461" s="106"/>
      <c r="H461" s="106"/>
      <c r="I461" s="106"/>
      <c r="J461" s="117" t="str">
        <f>IF(DGArchive[[#This Row],[目标]]="","",INDEX(幕间计算!$E$200:$E$1199,ROW()-ROW(DGArchive[#Headers])))</f>
        <v/>
      </c>
      <c r="K461" s="117" t="str">
        <f>IF(DGArchive[[#This Row],[目标]]="","",INDEX(幕间计算!$F$200:$F$1199,ROW()-ROW(DGArchive[#Headers])))</f>
        <v/>
      </c>
    </row>
    <row r="462" ht="25" customHeight="1" spans="1:11">
      <c r="A462" s="106"/>
      <c r="B462" s="106"/>
      <c r="C462" s="126"/>
      <c r="D462" s="106"/>
      <c r="E462" s="106"/>
      <c r="F462" s="106"/>
      <c r="G462" s="106"/>
      <c r="H462" s="106"/>
      <c r="I462" s="106"/>
      <c r="J462" s="117" t="str">
        <f>IF(DGArchive[[#This Row],[目标]]="","",INDEX(幕间计算!$E$200:$E$1199,ROW()-ROW(DGArchive[#Headers])))</f>
        <v/>
      </c>
      <c r="K462" s="117" t="str">
        <f>IF(DGArchive[[#This Row],[目标]]="","",INDEX(幕间计算!$F$200:$F$1199,ROW()-ROW(DGArchive[#Headers])))</f>
        <v/>
      </c>
    </row>
    <row r="463" ht="25" customHeight="1" spans="1:11">
      <c r="A463" s="106"/>
      <c r="B463" s="106"/>
      <c r="C463" s="126"/>
      <c r="D463" s="106"/>
      <c r="E463" s="106"/>
      <c r="F463" s="106"/>
      <c r="G463" s="106"/>
      <c r="H463" s="106"/>
      <c r="I463" s="106"/>
      <c r="J463" s="117" t="str">
        <f>IF(DGArchive[[#This Row],[目标]]="","",INDEX(幕间计算!$E$200:$E$1199,ROW()-ROW(DGArchive[#Headers])))</f>
        <v/>
      </c>
      <c r="K463" s="117" t="str">
        <f>IF(DGArchive[[#This Row],[目标]]="","",INDEX(幕间计算!$F$200:$F$1199,ROW()-ROW(DGArchive[#Headers])))</f>
        <v/>
      </c>
    </row>
    <row r="464" ht="25" customHeight="1" spans="1:11">
      <c r="A464" s="106"/>
      <c r="B464" s="106"/>
      <c r="C464" s="126"/>
      <c r="D464" s="106"/>
      <c r="E464" s="106"/>
      <c r="F464" s="106"/>
      <c r="G464" s="106"/>
      <c r="H464" s="106"/>
      <c r="I464" s="106"/>
      <c r="J464" s="117" t="str">
        <f>IF(DGArchive[[#This Row],[目标]]="","",INDEX(幕间计算!$E$200:$E$1199,ROW()-ROW(DGArchive[#Headers])))</f>
        <v/>
      </c>
      <c r="K464" s="117" t="str">
        <f>IF(DGArchive[[#This Row],[目标]]="","",INDEX(幕间计算!$F$200:$F$1199,ROW()-ROW(DGArchive[#Headers])))</f>
        <v/>
      </c>
    </row>
    <row r="465" ht="25" customHeight="1" spans="1:11">
      <c r="A465" s="106"/>
      <c r="B465" s="106"/>
      <c r="C465" s="126"/>
      <c r="D465" s="106"/>
      <c r="E465" s="106"/>
      <c r="F465" s="106"/>
      <c r="G465" s="106"/>
      <c r="H465" s="106"/>
      <c r="I465" s="106"/>
      <c r="J465" s="117" t="str">
        <f>IF(DGArchive[[#This Row],[目标]]="","",INDEX(幕间计算!$E$200:$E$1199,ROW()-ROW(DGArchive[#Headers])))</f>
        <v/>
      </c>
      <c r="K465" s="117" t="str">
        <f>IF(DGArchive[[#This Row],[目标]]="","",INDEX(幕间计算!$F$200:$F$1199,ROW()-ROW(DGArchive[#Headers])))</f>
        <v/>
      </c>
    </row>
    <row r="466" ht="25" customHeight="1" spans="1:11">
      <c r="A466" s="106"/>
      <c r="B466" s="106"/>
      <c r="C466" s="126"/>
      <c r="D466" s="106"/>
      <c r="E466" s="106"/>
      <c r="F466" s="106"/>
      <c r="G466" s="106"/>
      <c r="H466" s="106"/>
      <c r="I466" s="106"/>
      <c r="J466" s="117" t="str">
        <f>IF(DGArchive[[#This Row],[目标]]="","",INDEX(幕间计算!$E$200:$E$1199,ROW()-ROW(DGArchive[#Headers])))</f>
        <v/>
      </c>
      <c r="K466" s="117" t="str">
        <f>IF(DGArchive[[#This Row],[目标]]="","",INDEX(幕间计算!$F$200:$F$1199,ROW()-ROW(DGArchive[#Headers])))</f>
        <v/>
      </c>
    </row>
    <row r="467" ht="25" customHeight="1" spans="1:11">
      <c r="A467" s="106"/>
      <c r="B467" s="106"/>
      <c r="C467" s="126"/>
      <c r="D467" s="106"/>
      <c r="E467" s="106"/>
      <c r="F467" s="106"/>
      <c r="G467" s="106"/>
      <c r="H467" s="106"/>
      <c r="I467" s="106"/>
      <c r="J467" s="117" t="str">
        <f>IF(DGArchive[[#This Row],[目标]]="","",INDEX(幕间计算!$E$200:$E$1199,ROW()-ROW(DGArchive[#Headers])))</f>
        <v/>
      </c>
      <c r="K467" s="117" t="str">
        <f>IF(DGArchive[[#This Row],[目标]]="","",INDEX(幕间计算!$F$200:$F$1199,ROW()-ROW(DGArchive[#Headers])))</f>
        <v/>
      </c>
    </row>
    <row r="468" ht="25" customHeight="1" spans="1:11">
      <c r="A468" s="106"/>
      <c r="B468" s="106"/>
      <c r="C468" s="126"/>
      <c r="D468" s="106"/>
      <c r="E468" s="106"/>
      <c r="F468" s="106"/>
      <c r="G468" s="106"/>
      <c r="H468" s="106"/>
      <c r="I468" s="106"/>
      <c r="J468" s="117" t="str">
        <f>IF(DGArchive[[#This Row],[目标]]="","",INDEX(幕间计算!$E$200:$E$1199,ROW()-ROW(DGArchive[#Headers])))</f>
        <v/>
      </c>
      <c r="K468" s="117" t="str">
        <f>IF(DGArchive[[#This Row],[目标]]="","",INDEX(幕间计算!$F$200:$F$1199,ROW()-ROW(DGArchive[#Headers])))</f>
        <v/>
      </c>
    </row>
    <row r="469" ht="25" customHeight="1" spans="1:11">
      <c r="A469" s="106"/>
      <c r="B469" s="106"/>
      <c r="C469" s="126"/>
      <c r="D469" s="106"/>
      <c r="E469" s="106"/>
      <c r="F469" s="106"/>
      <c r="G469" s="106"/>
      <c r="H469" s="106"/>
      <c r="I469" s="106"/>
      <c r="J469" s="117" t="str">
        <f>IF(DGArchive[[#This Row],[目标]]="","",INDEX(幕间计算!$E$200:$E$1199,ROW()-ROW(DGArchive[#Headers])))</f>
        <v/>
      </c>
      <c r="K469" s="117" t="str">
        <f>IF(DGArchive[[#This Row],[目标]]="","",INDEX(幕间计算!$F$200:$F$1199,ROW()-ROW(DGArchive[#Headers])))</f>
        <v/>
      </c>
    </row>
    <row r="470" ht="25" customHeight="1" spans="1:11">
      <c r="A470" s="106"/>
      <c r="B470" s="106"/>
      <c r="C470" s="126"/>
      <c r="D470" s="106"/>
      <c r="E470" s="106"/>
      <c r="F470" s="106"/>
      <c r="G470" s="106"/>
      <c r="H470" s="106"/>
      <c r="I470" s="106"/>
      <c r="J470" s="117" t="str">
        <f>IF(DGArchive[[#This Row],[目标]]="","",INDEX(幕间计算!$E$200:$E$1199,ROW()-ROW(DGArchive[#Headers])))</f>
        <v/>
      </c>
      <c r="K470" s="117" t="str">
        <f>IF(DGArchive[[#This Row],[目标]]="","",INDEX(幕间计算!$F$200:$F$1199,ROW()-ROW(DGArchive[#Headers])))</f>
        <v/>
      </c>
    </row>
    <row r="471" ht="25" customHeight="1" spans="1:11">
      <c r="A471" s="106"/>
      <c r="B471" s="106"/>
      <c r="C471" s="126"/>
      <c r="D471" s="106"/>
      <c r="E471" s="106"/>
      <c r="F471" s="106"/>
      <c r="G471" s="106"/>
      <c r="H471" s="106"/>
      <c r="I471" s="106"/>
      <c r="J471" s="117" t="str">
        <f>IF(DGArchive[[#This Row],[目标]]="","",INDEX(幕间计算!$E$200:$E$1199,ROW()-ROW(DGArchive[#Headers])))</f>
        <v/>
      </c>
      <c r="K471" s="117" t="str">
        <f>IF(DGArchive[[#This Row],[目标]]="","",INDEX(幕间计算!$F$200:$F$1199,ROW()-ROW(DGArchive[#Headers])))</f>
        <v/>
      </c>
    </row>
    <row r="472" ht="25" customHeight="1" spans="1:11">
      <c r="A472" s="106"/>
      <c r="B472" s="106"/>
      <c r="C472" s="126"/>
      <c r="D472" s="106"/>
      <c r="E472" s="106"/>
      <c r="F472" s="106"/>
      <c r="G472" s="106"/>
      <c r="H472" s="106"/>
      <c r="I472" s="106"/>
      <c r="J472" s="117" t="str">
        <f>IF(DGArchive[[#This Row],[目标]]="","",INDEX(幕间计算!$E$200:$E$1199,ROW()-ROW(DGArchive[#Headers])))</f>
        <v/>
      </c>
      <c r="K472" s="117" t="str">
        <f>IF(DGArchive[[#This Row],[目标]]="","",INDEX(幕间计算!$F$200:$F$1199,ROW()-ROW(DGArchive[#Headers])))</f>
        <v/>
      </c>
    </row>
    <row r="473" ht="25" customHeight="1" spans="1:11">
      <c r="A473" s="106"/>
      <c r="B473" s="106"/>
      <c r="C473" s="126"/>
      <c r="D473" s="106"/>
      <c r="E473" s="106"/>
      <c r="F473" s="106"/>
      <c r="G473" s="106"/>
      <c r="H473" s="106"/>
      <c r="I473" s="106"/>
      <c r="J473" s="117" t="str">
        <f>IF(DGArchive[[#This Row],[目标]]="","",INDEX(幕间计算!$E$200:$E$1199,ROW()-ROW(DGArchive[#Headers])))</f>
        <v/>
      </c>
      <c r="K473" s="117" t="str">
        <f>IF(DGArchive[[#This Row],[目标]]="","",INDEX(幕间计算!$F$200:$F$1199,ROW()-ROW(DGArchive[#Headers])))</f>
        <v/>
      </c>
    </row>
    <row r="474" ht="25" customHeight="1" spans="1:11">
      <c r="A474" s="106"/>
      <c r="B474" s="106"/>
      <c r="C474" s="126"/>
      <c r="D474" s="106"/>
      <c r="E474" s="106"/>
      <c r="F474" s="106"/>
      <c r="G474" s="106"/>
      <c r="H474" s="106"/>
      <c r="I474" s="106"/>
      <c r="J474" s="117" t="str">
        <f>IF(DGArchive[[#This Row],[目标]]="","",INDEX(幕间计算!$E$200:$E$1199,ROW()-ROW(DGArchive[#Headers])))</f>
        <v/>
      </c>
      <c r="K474" s="117" t="str">
        <f>IF(DGArchive[[#This Row],[目标]]="","",INDEX(幕间计算!$F$200:$F$1199,ROW()-ROW(DGArchive[#Headers])))</f>
        <v/>
      </c>
    </row>
    <row r="475" ht="25" customHeight="1" spans="1:11">
      <c r="A475" s="106"/>
      <c r="B475" s="106"/>
      <c r="C475" s="126"/>
      <c r="D475" s="106"/>
      <c r="E475" s="106"/>
      <c r="F475" s="106"/>
      <c r="G475" s="106"/>
      <c r="H475" s="106"/>
      <c r="I475" s="106"/>
      <c r="J475" s="117" t="str">
        <f>IF(DGArchive[[#This Row],[目标]]="","",INDEX(幕间计算!$E$200:$E$1199,ROW()-ROW(DGArchive[#Headers])))</f>
        <v/>
      </c>
      <c r="K475" s="117" t="str">
        <f>IF(DGArchive[[#This Row],[目标]]="","",INDEX(幕间计算!$F$200:$F$1199,ROW()-ROW(DGArchive[#Headers])))</f>
        <v/>
      </c>
    </row>
    <row r="476" ht="25" customHeight="1" spans="1:11">
      <c r="A476" s="106"/>
      <c r="B476" s="106"/>
      <c r="C476" s="126"/>
      <c r="D476" s="106"/>
      <c r="E476" s="106"/>
      <c r="F476" s="106"/>
      <c r="G476" s="106"/>
      <c r="H476" s="106"/>
      <c r="I476" s="106"/>
      <c r="J476" s="117" t="str">
        <f>IF(DGArchive[[#This Row],[目标]]="","",INDEX(幕间计算!$E$200:$E$1199,ROW()-ROW(DGArchive[#Headers])))</f>
        <v/>
      </c>
      <c r="K476" s="117" t="str">
        <f>IF(DGArchive[[#This Row],[目标]]="","",INDEX(幕间计算!$F$200:$F$1199,ROW()-ROW(DGArchive[#Headers])))</f>
        <v/>
      </c>
    </row>
    <row r="477" ht="25" customHeight="1" spans="1:11">
      <c r="A477" s="106"/>
      <c r="B477" s="106"/>
      <c r="C477" s="126"/>
      <c r="D477" s="106"/>
      <c r="E477" s="106"/>
      <c r="F477" s="106"/>
      <c r="G477" s="106"/>
      <c r="H477" s="106"/>
      <c r="I477" s="106"/>
      <c r="J477" s="117" t="str">
        <f>IF(DGArchive[[#This Row],[目标]]="","",INDEX(幕间计算!$E$200:$E$1199,ROW()-ROW(DGArchive[#Headers])))</f>
        <v/>
      </c>
      <c r="K477" s="117" t="str">
        <f>IF(DGArchive[[#This Row],[目标]]="","",INDEX(幕间计算!$F$200:$F$1199,ROW()-ROW(DGArchive[#Headers])))</f>
        <v/>
      </c>
    </row>
    <row r="478" ht="25" customHeight="1" spans="1:11">
      <c r="A478" s="106"/>
      <c r="B478" s="106"/>
      <c r="C478" s="126"/>
      <c r="D478" s="106"/>
      <c r="E478" s="106"/>
      <c r="F478" s="106"/>
      <c r="G478" s="106"/>
      <c r="H478" s="106"/>
      <c r="I478" s="106"/>
      <c r="J478" s="117" t="str">
        <f>IF(DGArchive[[#This Row],[目标]]="","",INDEX(幕间计算!$E$200:$E$1199,ROW()-ROW(DGArchive[#Headers])))</f>
        <v/>
      </c>
      <c r="K478" s="117" t="str">
        <f>IF(DGArchive[[#This Row],[目标]]="","",INDEX(幕间计算!$F$200:$F$1199,ROW()-ROW(DGArchive[#Headers])))</f>
        <v/>
      </c>
    </row>
    <row r="479" ht="25" customHeight="1" spans="1:11">
      <c r="A479" s="106"/>
      <c r="B479" s="106"/>
      <c r="C479" s="126"/>
      <c r="D479" s="106"/>
      <c r="E479" s="106"/>
      <c r="F479" s="106"/>
      <c r="G479" s="106"/>
      <c r="H479" s="106"/>
      <c r="I479" s="106"/>
      <c r="J479" s="117" t="str">
        <f>IF(DGArchive[[#This Row],[目标]]="","",INDEX(幕间计算!$E$200:$E$1199,ROW()-ROW(DGArchive[#Headers])))</f>
        <v/>
      </c>
      <c r="K479" s="117" t="str">
        <f>IF(DGArchive[[#This Row],[目标]]="","",INDEX(幕间计算!$F$200:$F$1199,ROW()-ROW(DGArchive[#Headers])))</f>
        <v/>
      </c>
    </row>
    <row r="480" ht="25" customHeight="1" spans="1:11">
      <c r="A480" s="106"/>
      <c r="B480" s="106"/>
      <c r="C480" s="126"/>
      <c r="D480" s="106"/>
      <c r="E480" s="106"/>
      <c r="F480" s="106"/>
      <c r="G480" s="106"/>
      <c r="H480" s="106"/>
      <c r="I480" s="106"/>
      <c r="J480" s="117" t="str">
        <f>IF(DGArchive[[#This Row],[目标]]="","",INDEX(幕间计算!$E$200:$E$1199,ROW()-ROW(DGArchive[#Headers])))</f>
        <v/>
      </c>
      <c r="K480" s="117" t="str">
        <f>IF(DGArchive[[#This Row],[目标]]="","",INDEX(幕间计算!$F$200:$F$1199,ROW()-ROW(DGArchive[#Headers])))</f>
        <v/>
      </c>
    </row>
    <row r="481" ht="25" customHeight="1" spans="1:11">
      <c r="A481" s="106"/>
      <c r="B481" s="106"/>
      <c r="C481" s="126"/>
      <c r="D481" s="106"/>
      <c r="E481" s="106"/>
      <c r="F481" s="106"/>
      <c r="G481" s="106"/>
      <c r="H481" s="106"/>
      <c r="I481" s="106"/>
      <c r="J481" s="117" t="str">
        <f>IF(DGArchive[[#This Row],[目标]]="","",INDEX(幕间计算!$E$200:$E$1199,ROW()-ROW(DGArchive[#Headers])))</f>
        <v/>
      </c>
      <c r="K481" s="117" t="str">
        <f>IF(DGArchive[[#This Row],[目标]]="","",INDEX(幕间计算!$F$200:$F$1199,ROW()-ROW(DGArchive[#Headers])))</f>
        <v/>
      </c>
    </row>
    <row r="482" ht="25" customHeight="1" spans="1:11">
      <c r="A482" s="106"/>
      <c r="B482" s="106"/>
      <c r="C482" s="126"/>
      <c r="D482" s="106"/>
      <c r="E482" s="106"/>
      <c r="F482" s="106"/>
      <c r="G482" s="106"/>
      <c r="H482" s="106"/>
      <c r="I482" s="106"/>
      <c r="J482" s="117" t="str">
        <f>IF(DGArchive[[#This Row],[目标]]="","",INDEX(幕间计算!$E$200:$E$1199,ROW()-ROW(DGArchive[#Headers])))</f>
        <v/>
      </c>
      <c r="K482" s="117" t="str">
        <f>IF(DGArchive[[#This Row],[目标]]="","",INDEX(幕间计算!$F$200:$F$1199,ROW()-ROW(DGArchive[#Headers])))</f>
        <v/>
      </c>
    </row>
    <row r="483" ht="25" customHeight="1" spans="1:11">
      <c r="A483" s="106"/>
      <c r="B483" s="106"/>
      <c r="C483" s="126"/>
      <c r="D483" s="106"/>
      <c r="E483" s="106"/>
      <c r="F483" s="106"/>
      <c r="G483" s="106"/>
      <c r="H483" s="106"/>
      <c r="I483" s="106"/>
      <c r="J483" s="117" t="str">
        <f>IF(DGArchive[[#This Row],[目标]]="","",INDEX(幕间计算!$E$200:$E$1199,ROW()-ROW(DGArchive[#Headers])))</f>
        <v/>
      </c>
      <c r="K483" s="117" t="str">
        <f>IF(DGArchive[[#This Row],[目标]]="","",INDEX(幕间计算!$F$200:$F$1199,ROW()-ROW(DGArchive[#Headers])))</f>
        <v/>
      </c>
    </row>
    <row r="484" ht="25" customHeight="1" spans="1:11">
      <c r="A484" s="106"/>
      <c r="B484" s="106"/>
      <c r="C484" s="126"/>
      <c r="D484" s="106"/>
      <c r="E484" s="106"/>
      <c r="F484" s="106"/>
      <c r="G484" s="106"/>
      <c r="H484" s="106"/>
      <c r="I484" s="106"/>
      <c r="J484" s="117" t="str">
        <f>IF(DGArchive[[#This Row],[目标]]="","",INDEX(幕间计算!$E$200:$E$1199,ROW()-ROW(DGArchive[#Headers])))</f>
        <v/>
      </c>
      <c r="K484" s="117" t="str">
        <f>IF(DGArchive[[#This Row],[目标]]="","",INDEX(幕间计算!$F$200:$F$1199,ROW()-ROW(DGArchive[#Headers])))</f>
        <v/>
      </c>
    </row>
    <row r="485" ht="25" customHeight="1" spans="1:11">
      <c r="A485" s="106"/>
      <c r="B485" s="106"/>
      <c r="C485" s="126"/>
      <c r="D485" s="106"/>
      <c r="E485" s="106"/>
      <c r="F485" s="106"/>
      <c r="G485" s="106"/>
      <c r="H485" s="106"/>
      <c r="I485" s="106"/>
      <c r="J485" s="117" t="str">
        <f>IF(DGArchive[[#This Row],[目标]]="","",INDEX(幕间计算!$E$200:$E$1199,ROW()-ROW(DGArchive[#Headers])))</f>
        <v/>
      </c>
      <c r="K485" s="117" t="str">
        <f>IF(DGArchive[[#This Row],[目标]]="","",INDEX(幕间计算!$F$200:$F$1199,ROW()-ROW(DGArchive[#Headers])))</f>
        <v/>
      </c>
    </row>
    <row r="486" ht="25" customHeight="1" spans="1:11">
      <c r="A486" s="106"/>
      <c r="B486" s="106"/>
      <c r="C486" s="126"/>
      <c r="D486" s="106"/>
      <c r="E486" s="106"/>
      <c r="F486" s="106"/>
      <c r="G486" s="106"/>
      <c r="H486" s="106"/>
      <c r="I486" s="106"/>
      <c r="J486" s="117" t="str">
        <f>IF(DGArchive[[#This Row],[目标]]="","",INDEX(幕间计算!$E$200:$E$1199,ROW()-ROW(DGArchive[#Headers])))</f>
        <v/>
      </c>
      <c r="K486" s="117" t="str">
        <f>IF(DGArchive[[#This Row],[目标]]="","",INDEX(幕间计算!$F$200:$F$1199,ROW()-ROW(DGArchive[#Headers])))</f>
        <v/>
      </c>
    </row>
    <row r="487" ht="25" customHeight="1" spans="1:11">
      <c r="A487" s="106"/>
      <c r="B487" s="106"/>
      <c r="C487" s="126"/>
      <c r="D487" s="106"/>
      <c r="E487" s="106"/>
      <c r="F487" s="106"/>
      <c r="G487" s="106"/>
      <c r="H487" s="106"/>
      <c r="I487" s="106"/>
      <c r="J487" s="117" t="str">
        <f>IF(DGArchive[[#This Row],[目标]]="","",INDEX(幕间计算!$E$200:$E$1199,ROW()-ROW(DGArchive[#Headers])))</f>
        <v/>
      </c>
      <c r="K487" s="117" t="str">
        <f>IF(DGArchive[[#This Row],[目标]]="","",INDEX(幕间计算!$F$200:$F$1199,ROW()-ROW(DGArchive[#Headers])))</f>
        <v/>
      </c>
    </row>
    <row r="488" ht="25" customHeight="1" spans="1:11">
      <c r="A488" s="106"/>
      <c r="B488" s="106"/>
      <c r="C488" s="126"/>
      <c r="D488" s="106"/>
      <c r="E488" s="106"/>
      <c r="F488" s="106"/>
      <c r="G488" s="106"/>
      <c r="H488" s="106"/>
      <c r="I488" s="106"/>
      <c r="J488" s="117" t="str">
        <f>IF(DGArchive[[#This Row],[目标]]="","",INDEX(幕间计算!$E$200:$E$1199,ROW()-ROW(DGArchive[#Headers])))</f>
        <v/>
      </c>
      <c r="K488" s="117" t="str">
        <f>IF(DGArchive[[#This Row],[目标]]="","",INDEX(幕间计算!$F$200:$F$1199,ROW()-ROW(DGArchive[#Headers])))</f>
        <v/>
      </c>
    </row>
    <row r="489" ht="25" customHeight="1" spans="1:11">
      <c r="A489" s="106"/>
      <c r="B489" s="106"/>
      <c r="C489" s="126"/>
      <c r="D489" s="106"/>
      <c r="E489" s="106"/>
      <c r="F489" s="106"/>
      <c r="G489" s="106"/>
      <c r="H489" s="106"/>
      <c r="I489" s="106"/>
      <c r="J489" s="117" t="str">
        <f>IF(DGArchive[[#This Row],[目标]]="","",INDEX(幕间计算!$E$200:$E$1199,ROW()-ROW(DGArchive[#Headers])))</f>
        <v/>
      </c>
      <c r="K489" s="117" t="str">
        <f>IF(DGArchive[[#This Row],[目标]]="","",INDEX(幕间计算!$F$200:$F$1199,ROW()-ROW(DGArchive[#Headers])))</f>
        <v/>
      </c>
    </row>
    <row r="490" ht="25" customHeight="1" spans="1:11">
      <c r="A490" s="106"/>
      <c r="B490" s="106"/>
      <c r="C490" s="126"/>
      <c r="D490" s="106"/>
      <c r="E490" s="106"/>
      <c r="F490" s="106"/>
      <c r="G490" s="106"/>
      <c r="H490" s="106"/>
      <c r="I490" s="106"/>
      <c r="J490" s="117" t="str">
        <f>IF(DGArchive[[#This Row],[目标]]="","",INDEX(幕间计算!$E$200:$E$1199,ROW()-ROW(DGArchive[#Headers])))</f>
        <v/>
      </c>
      <c r="K490" s="117" t="str">
        <f>IF(DGArchive[[#This Row],[目标]]="","",INDEX(幕间计算!$F$200:$F$1199,ROW()-ROW(DGArchive[#Headers])))</f>
        <v/>
      </c>
    </row>
    <row r="491" ht="25" customHeight="1" spans="1:11">
      <c r="A491" s="106"/>
      <c r="B491" s="106"/>
      <c r="C491" s="126"/>
      <c r="D491" s="106"/>
      <c r="E491" s="106"/>
      <c r="F491" s="106"/>
      <c r="G491" s="106"/>
      <c r="H491" s="106"/>
      <c r="I491" s="106"/>
      <c r="J491" s="117" t="str">
        <f>IF(DGArchive[[#This Row],[目标]]="","",INDEX(幕间计算!$E$200:$E$1199,ROW()-ROW(DGArchive[#Headers])))</f>
        <v/>
      </c>
      <c r="K491" s="117" t="str">
        <f>IF(DGArchive[[#This Row],[目标]]="","",INDEX(幕间计算!$F$200:$F$1199,ROW()-ROW(DGArchive[#Headers])))</f>
        <v/>
      </c>
    </row>
    <row r="492" ht="25" customHeight="1" spans="1:11">
      <c r="A492" s="106"/>
      <c r="B492" s="106"/>
      <c r="C492" s="126"/>
      <c r="D492" s="106"/>
      <c r="E492" s="106"/>
      <c r="F492" s="106"/>
      <c r="G492" s="106"/>
      <c r="H492" s="106"/>
      <c r="I492" s="106"/>
      <c r="J492" s="117" t="str">
        <f>IF(DGArchive[[#This Row],[目标]]="","",INDEX(幕间计算!$E$200:$E$1199,ROW()-ROW(DGArchive[#Headers])))</f>
        <v/>
      </c>
      <c r="K492" s="117" t="str">
        <f>IF(DGArchive[[#This Row],[目标]]="","",INDEX(幕间计算!$F$200:$F$1199,ROW()-ROW(DGArchive[#Headers])))</f>
        <v/>
      </c>
    </row>
    <row r="493" ht="25" customHeight="1" spans="1:11">
      <c r="A493" s="106"/>
      <c r="B493" s="106"/>
      <c r="C493" s="126"/>
      <c r="D493" s="106"/>
      <c r="E493" s="106"/>
      <c r="F493" s="106"/>
      <c r="G493" s="106"/>
      <c r="H493" s="106"/>
      <c r="I493" s="106"/>
      <c r="J493" s="117" t="str">
        <f>IF(DGArchive[[#This Row],[目标]]="","",INDEX(幕间计算!$E$200:$E$1199,ROW()-ROW(DGArchive[#Headers])))</f>
        <v/>
      </c>
      <c r="K493" s="117" t="str">
        <f>IF(DGArchive[[#This Row],[目标]]="","",INDEX(幕间计算!$F$200:$F$1199,ROW()-ROW(DGArchive[#Headers])))</f>
        <v/>
      </c>
    </row>
    <row r="494" ht="25" customHeight="1" spans="1:11">
      <c r="A494" s="106"/>
      <c r="B494" s="106"/>
      <c r="C494" s="126"/>
      <c r="D494" s="106"/>
      <c r="E494" s="106"/>
      <c r="F494" s="106"/>
      <c r="G494" s="106"/>
      <c r="H494" s="106"/>
      <c r="I494" s="106"/>
      <c r="J494" s="117" t="str">
        <f>IF(DGArchive[[#This Row],[目标]]="","",INDEX(幕间计算!$E$200:$E$1199,ROW()-ROW(DGArchive[#Headers])))</f>
        <v/>
      </c>
      <c r="K494" s="117" t="str">
        <f>IF(DGArchive[[#This Row],[目标]]="","",INDEX(幕间计算!$F$200:$F$1199,ROW()-ROW(DGArchive[#Headers])))</f>
        <v/>
      </c>
    </row>
    <row r="495" ht="25" customHeight="1" spans="1:11">
      <c r="A495" s="106"/>
      <c r="B495" s="106"/>
      <c r="C495" s="126"/>
      <c r="D495" s="106"/>
      <c r="E495" s="106"/>
      <c r="F495" s="106"/>
      <c r="G495" s="106"/>
      <c r="H495" s="106"/>
      <c r="I495" s="106"/>
      <c r="J495" s="117" t="str">
        <f>IF(DGArchive[[#This Row],[目标]]="","",INDEX(幕间计算!$E$200:$E$1199,ROW()-ROW(DGArchive[#Headers])))</f>
        <v/>
      </c>
      <c r="K495" s="117" t="str">
        <f>IF(DGArchive[[#This Row],[目标]]="","",INDEX(幕间计算!$F$200:$F$1199,ROW()-ROW(DGArchive[#Headers])))</f>
        <v/>
      </c>
    </row>
    <row r="496" ht="25" customHeight="1" spans="1:11">
      <c r="A496" s="106"/>
      <c r="B496" s="106"/>
      <c r="C496" s="126"/>
      <c r="D496" s="106"/>
      <c r="E496" s="106"/>
      <c r="F496" s="106"/>
      <c r="G496" s="106"/>
      <c r="H496" s="106"/>
      <c r="I496" s="106"/>
      <c r="J496" s="117" t="str">
        <f>IF(DGArchive[[#This Row],[目标]]="","",INDEX(幕间计算!$E$200:$E$1199,ROW()-ROW(DGArchive[#Headers])))</f>
        <v/>
      </c>
      <c r="K496" s="117" t="str">
        <f>IF(DGArchive[[#This Row],[目标]]="","",INDEX(幕间计算!$F$200:$F$1199,ROW()-ROW(DGArchive[#Headers])))</f>
        <v/>
      </c>
    </row>
    <row r="497" ht="25" customHeight="1" spans="1:11">
      <c r="A497" s="106"/>
      <c r="B497" s="106"/>
      <c r="C497" s="126"/>
      <c r="D497" s="106"/>
      <c r="E497" s="106"/>
      <c r="F497" s="106"/>
      <c r="G497" s="106"/>
      <c r="H497" s="106"/>
      <c r="I497" s="106"/>
      <c r="J497" s="117" t="str">
        <f>IF(DGArchive[[#This Row],[目标]]="","",INDEX(幕间计算!$E$200:$E$1199,ROW()-ROW(DGArchive[#Headers])))</f>
        <v/>
      </c>
      <c r="K497" s="117" t="str">
        <f>IF(DGArchive[[#This Row],[目标]]="","",INDEX(幕间计算!$F$200:$F$1199,ROW()-ROW(DGArchive[#Headers])))</f>
        <v/>
      </c>
    </row>
    <row r="498" ht="25" customHeight="1" spans="1:11">
      <c r="A498" s="106"/>
      <c r="B498" s="106"/>
      <c r="C498" s="126"/>
      <c r="D498" s="106"/>
      <c r="E498" s="106"/>
      <c r="F498" s="106"/>
      <c r="G498" s="106"/>
      <c r="H498" s="106"/>
      <c r="I498" s="106"/>
      <c r="J498" s="117" t="str">
        <f>IF(DGArchive[[#This Row],[目标]]="","",INDEX(幕间计算!$E$200:$E$1199,ROW()-ROW(DGArchive[#Headers])))</f>
        <v/>
      </c>
      <c r="K498" s="117" t="str">
        <f>IF(DGArchive[[#This Row],[目标]]="","",INDEX(幕间计算!$F$200:$F$1199,ROW()-ROW(DGArchive[#Headers])))</f>
        <v/>
      </c>
    </row>
    <row r="499" ht="25" customHeight="1" spans="1:11">
      <c r="A499" s="106"/>
      <c r="B499" s="106"/>
      <c r="C499" s="126"/>
      <c r="D499" s="106"/>
      <c r="E499" s="106"/>
      <c r="F499" s="106"/>
      <c r="G499" s="106"/>
      <c r="H499" s="106"/>
      <c r="I499" s="106"/>
      <c r="J499" s="117" t="str">
        <f>IF(DGArchive[[#This Row],[目标]]="","",INDEX(幕间计算!$E$200:$E$1199,ROW()-ROW(DGArchive[#Headers])))</f>
        <v/>
      </c>
      <c r="K499" s="117" t="str">
        <f>IF(DGArchive[[#This Row],[目标]]="","",INDEX(幕间计算!$F$200:$F$1199,ROW()-ROW(DGArchive[#Headers])))</f>
        <v/>
      </c>
    </row>
    <row r="500" ht="25" customHeight="1" spans="1:11">
      <c r="A500" s="106"/>
      <c r="B500" s="106"/>
      <c r="C500" s="126"/>
      <c r="D500" s="106"/>
      <c r="E500" s="106"/>
      <c r="F500" s="106"/>
      <c r="G500" s="106"/>
      <c r="H500" s="106"/>
      <c r="I500" s="106"/>
      <c r="J500" s="117" t="str">
        <f>IF(DGArchive[[#This Row],[目标]]="","",INDEX(幕间计算!$E$200:$E$1199,ROW()-ROW(DGArchive[#Headers])))</f>
        <v/>
      </c>
      <c r="K500" s="117" t="str">
        <f>IF(DGArchive[[#This Row],[目标]]="","",INDEX(幕间计算!$F$200:$F$1199,ROW()-ROW(DGArchive[#Headers])))</f>
        <v/>
      </c>
    </row>
    <row r="501" ht="25" customHeight="1" spans="1:11">
      <c r="A501" s="106"/>
      <c r="B501" s="106"/>
      <c r="C501" s="126"/>
      <c r="D501" s="106"/>
      <c r="E501" s="106"/>
      <c r="F501" s="106"/>
      <c r="G501" s="106"/>
      <c r="H501" s="106"/>
      <c r="I501" s="106"/>
      <c r="J501" s="117" t="str">
        <f>IF(DGArchive[[#This Row],[目标]]="","",INDEX(幕间计算!$E$200:$E$1199,ROW()-ROW(DGArchive[#Headers])))</f>
        <v/>
      </c>
      <c r="K501" s="117" t="str">
        <f>IF(DGArchive[[#This Row],[目标]]="","",INDEX(幕间计算!$F$200:$F$1199,ROW()-ROW(DGArchive[#Headers])))</f>
        <v/>
      </c>
    </row>
    <row r="502" ht="25" customHeight="1" spans="1:11">
      <c r="A502" s="106"/>
      <c r="B502" s="106"/>
      <c r="C502" s="126"/>
      <c r="D502" s="106"/>
      <c r="E502" s="106"/>
      <c r="F502" s="106"/>
      <c r="G502" s="106"/>
      <c r="H502" s="106"/>
      <c r="I502" s="106"/>
      <c r="J502" s="117" t="str">
        <f>IF(DGArchive[[#This Row],[目标]]="","",INDEX(幕间计算!$E$200:$E$1199,ROW()-ROW(DGArchive[#Headers])))</f>
        <v/>
      </c>
      <c r="K502" s="117" t="str">
        <f>IF(DGArchive[[#This Row],[目标]]="","",INDEX(幕间计算!$F$200:$F$1199,ROW()-ROW(DGArchive[#Headers])))</f>
        <v/>
      </c>
    </row>
    <row r="503" ht="25" customHeight="1" spans="1:11">
      <c r="A503" s="106"/>
      <c r="B503" s="106"/>
      <c r="C503" s="126"/>
      <c r="D503" s="106"/>
      <c r="E503" s="106"/>
      <c r="F503" s="106"/>
      <c r="G503" s="106"/>
      <c r="H503" s="106"/>
      <c r="I503" s="106"/>
      <c r="J503" s="117" t="str">
        <f>IF(DGArchive[[#This Row],[目标]]="","",INDEX(幕间计算!$E$200:$E$1199,ROW()-ROW(DGArchive[#Headers])))</f>
        <v/>
      </c>
      <c r="K503" s="117" t="str">
        <f>IF(DGArchive[[#This Row],[目标]]="","",INDEX(幕间计算!$F$200:$F$1199,ROW()-ROW(DGArchive[#Headers])))</f>
        <v/>
      </c>
    </row>
    <row r="504" ht="25" customHeight="1" spans="1:11">
      <c r="A504" s="106"/>
      <c r="B504" s="106"/>
      <c r="C504" s="126"/>
      <c r="D504" s="106"/>
      <c r="E504" s="106"/>
      <c r="F504" s="106"/>
      <c r="G504" s="106"/>
      <c r="H504" s="106"/>
      <c r="I504" s="106"/>
      <c r="J504" s="117" t="str">
        <f>IF(DGArchive[[#This Row],[目标]]="","",INDEX(幕间计算!$E$200:$E$1199,ROW()-ROW(DGArchive[#Headers])))</f>
        <v/>
      </c>
      <c r="K504" s="117" t="str">
        <f>IF(DGArchive[[#This Row],[目标]]="","",INDEX(幕间计算!$F$200:$F$1199,ROW()-ROW(DGArchive[#Headers])))</f>
        <v/>
      </c>
    </row>
    <row r="505" ht="25" customHeight="1" spans="1:11">
      <c r="A505" s="106"/>
      <c r="B505" s="106"/>
      <c r="C505" s="126"/>
      <c r="D505" s="106"/>
      <c r="E505" s="106"/>
      <c r="F505" s="106"/>
      <c r="G505" s="106"/>
      <c r="H505" s="106"/>
      <c r="I505" s="106"/>
      <c r="J505" s="117" t="str">
        <f>IF(DGArchive[[#This Row],[目标]]="","",INDEX(幕间计算!$E$200:$E$1199,ROW()-ROW(DGArchive[#Headers])))</f>
        <v/>
      </c>
      <c r="K505" s="117" t="str">
        <f>IF(DGArchive[[#This Row],[目标]]="","",INDEX(幕间计算!$F$200:$F$1199,ROW()-ROW(DGArchive[#Headers])))</f>
        <v/>
      </c>
    </row>
    <row r="506" ht="25" customHeight="1" spans="1:11">
      <c r="A506" s="106"/>
      <c r="B506" s="106"/>
      <c r="C506" s="126"/>
      <c r="D506" s="106"/>
      <c r="E506" s="106"/>
      <c r="F506" s="106"/>
      <c r="G506" s="106"/>
      <c r="H506" s="106"/>
      <c r="I506" s="106"/>
      <c r="J506" s="117" t="str">
        <f>IF(DGArchive[[#This Row],[目标]]="","",INDEX(幕间计算!$E$200:$E$1199,ROW()-ROW(DGArchive[#Headers])))</f>
        <v/>
      </c>
      <c r="K506" s="117" t="str">
        <f>IF(DGArchive[[#This Row],[目标]]="","",INDEX(幕间计算!$F$200:$F$1199,ROW()-ROW(DGArchive[#Headers])))</f>
        <v/>
      </c>
    </row>
    <row r="507" ht="25" customHeight="1" spans="1:11">
      <c r="A507" s="106"/>
      <c r="B507" s="106"/>
      <c r="C507" s="126"/>
      <c r="D507" s="106"/>
      <c r="E507" s="106"/>
      <c r="F507" s="106"/>
      <c r="G507" s="106"/>
      <c r="H507" s="106"/>
      <c r="I507" s="106"/>
      <c r="J507" s="117" t="str">
        <f>IF(DGArchive[[#This Row],[目标]]="","",INDEX(幕间计算!$E$200:$E$1199,ROW()-ROW(DGArchive[#Headers])))</f>
        <v/>
      </c>
      <c r="K507" s="117" t="str">
        <f>IF(DGArchive[[#This Row],[目标]]="","",INDEX(幕间计算!$F$200:$F$1199,ROW()-ROW(DGArchive[#Headers])))</f>
        <v/>
      </c>
    </row>
    <row r="508" ht="25" customHeight="1" spans="1:11">
      <c r="A508" s="106"/>
      <c r="B508" s="106"/>
      <c r="C508" s="126"/>
      <c r="D508" s="106"/>
      <c r="E508" s="106"/>
      <c r="F508" s="106"/>
      <c r="G508" s="106"/>
      <c r="H508" s="106"/>
      <c r="I508" s="106"/>
      <c r="J508" s="117" t="str">
        <f>IF(DGArchive[[#This Row],[目标]]="","",INDEX(幕间计算!$E$200:$E$1199,ROW()-ROW(DGArchive[#Headers])))</f>
        <v/>
      </c>
      <c r="K508" s="117" t="str">
        <f>IF(DGArchive[[#This Row],[目标]]="","",INDEX(幕间计算!$F$200:$F$1199,ROW()-ROW(DGArchive[#Headers])))</f>
        <v/>
      </c>
    </row>
    <row r="509" ht="25" customHeight="1" spans="1:11">
      <c r="A509" s="106"/>
      <c r="B509" s="106"/>
      <c r="C509" s="126"/>
      <c r="D509" s="106"/>
      <c r="E509" s="106"/>
      <c r="F509" s="106"/>
      <c r="G509" s="106"/>
      <c r="H509" s="106"/>
      <c r="I509" s="106"/>
      <c r="J509" s="117" t="str">
        <f>IF(DGArchive[[#This Row],[目标]]="","",INDEX(幕间计算!$E$200:$E$1199,ROW()-ROW(DGArchive[#Headers])))</f>
        <v/>
      </c>
      <c r="K509" s="117" t="str">
        <f>IF(DGArchive[[#This Row],[目标]]="","",INDEX(幕间计算!$F$200:$F$1199,ROW()-ROW(DGArchive[#Headers])))</f>
        <v/>
      </c>
    </row>
    <row r="510" ht="25" customHeight="1" spans="1:11">
      <c r="A510" s="106"/>
      <c r="B510" s="106"/>
      <c r="C510" s="126"/>
      <c r="D510" s="106"/>
      <c r="E510" s="106"/>
      <c r="F510" s="106"/>
      <c r="G510" s="106"/>
      <c r="H510" s="106"/>
      <c r="I510" s="106"/>
      <c r="J510" s="117" t="str">
        <f>IF(DGArchive[[#This Row],[目标]]="","",INDEX(幕间计算!$E$200:$E$1199,ROW()-ROW(DGArchive[#Headers])))</f>
        <v/>
      </c>
      <c r="K510" s="117" t="str">
        <f>IF(DGArchive[[#This Row],[目标]]="","",INDEX(幕间计算!$F$200:$F$1199,ROW()-ROW(DGArchive[#Headers])))</f>
        <v/>
      </c>
    </row>
    <row r="511" ht="25" customHeight="1" spans="1:11">
      <c r="A511" s="106"/>
      <c r="B511" s="106"/>
      <c r="C511" s="126"/>
      <c r="D511" s="106"/>
      <c r="E511" s="106"/>
      <c r="F511" s="106"/>
      <c r="G511" s="106"/>
      <c r="H511" s="106"/>
      <c r="I511" s="106"/>
      <c r="J511" s="117" t="str">
        <f>IF(DGArchive[[#This Row],[目标]]="","",INDEX(幕间计算!$E$200:$E$1199,ROW()-ROW(DGArchive[#Headers])))</f>
        <v/>
      </c>
      <c r="K511" s="117" t="str">
        <f>IF(DGArchive[[#This Row],[目标]]="","",INDEX(幕间计算!$F$200:$F$1199,ROW()-ROW(DGArchive[#Headers])))</f>
        <v/>
      </c>
    </row>
    <row r="512" ht="25" customHeight="1" spans="1:11">
      <c r="A512" s="106"/>
      <c r="B512" s="106"/>
      <c r="C512" s="126"/>
      <c r="D512" s="106"/>
      <c r="E512" s="106"/>
      <c r="F512" s="106"/>
      <c r="G512" s="106"/>
      <c r="H512" s="106"/>
      <c r="I512" s="106"/>
      <c r="J512" s="117" t="str">
        <f>IF(DGArchive[[#This Row],[目标]]="","",INDEX(幕间计算!$E$200:$E$1199,ROW()-ROW(DGArchive[#Headers])))</f>
        <v/>
      </c>
      <c r="K512" s="117" t="str">
        <f>IF(DGArchive[[#This Row],[目标]]="","",INDEX(幕间计算!$F$200:$F$1199,ROW()-ROW(DGArchive[#Headers])))</f>
        <v/>
      </c>
    </row>
    <row r="513" ht="25" customHeight="1" spans="1:11">
      <c r="A513" s="106"/>
      <c r="B513" s="106"/>
      <c r="C513" s="126"/>
      <c r="D513" s="106"/>
      <c r="E513" s="106"/>
      <c r="F513" s="106"/>
      <c r="G513" s="106"/>
      <c r="H513" s="106"/>
      <c r="I513" s="106"/>
      <c r="J513" s="117" t="str">
        <f>IF(DGArchive[[#This Row],[目标]]="","",INDEX(幕间计算!$E$200:$E$1199,ROW()-ROW(DGArchive[#Headers])))</f>
        <v/>
      </c>
      <c r="K513" s="117" t="str">
        <f>IF(DGArchive[[#This Row],[目标]]="","",INDEX(幕间计算!$F$200:$F$1199,ROW()-ROW(DGArchive[#Headers])))</f>
        <v/>
      </c>
    </row>
    <row r="514" ht="25" customHeight="1" spans="1:11">
      <c r="A514" s="106"/>
      <c r="B514" s="106"/>
      <c r="C514" s="126"/>
      <c r="D514" s="106"/>
      <c r="E514" s="106"/>
      <c r="F514" s="106"/>
      <c r="G514" s="106"/>
      <c r="H514" s="106"/>
      <c r="I514" s="106"/>
      <c r="J514" s="117" t="str">
        <f>IF(DGArchive[[#This Row],[目标]]="","",INDEX(幕间计算!$E$200:$E$1199,ROW()-ROW(DGArchive[#Headers])))</f>
        <v/>
      </c>
      <c r="K514" s="117" t="str">
        <f>IF(DGArchive[[#This Row],[目标]]="","",INDEX(幕间计算!$F$200:$F$1199,ROW()-ROW(DGArchive[#Headers])))</f>
        <v/>
      </c>
    </row>
    <row r="515" ht="25" customHeight="1" spans="1:11">
      <c r="A515" s="106"/>
      <c r="B515" s="106"/>
      <c r="C515" s="126"/>
      <c r="D515" s="106"/>
      <c r="E515" s="106"/>
      <c r="F515" s="106"/>
      <c r="G515" s="106"/>
      <c r="H515" s="106"/>
      <c r="I515" s="106"/>
      <c r="J515" s="117" t="str">
        <f>IF(DGArchive[[#This Row],[目标]]="","",INDEX(幕间计算!$E$200:$E$1199,ROW()-ROW(DGArchive[#Headers])))</f>
        <v/>
      </c>
      <c r="K515" s="117" t="str">
        <f>IF(DGArchive[[#This Row],[目标]]="","",INDEX(幕间计算!$F$200:$F$1199,ROW()-ROW(DGArchive[#Headers])))</f>
        <v/>
      </c>
    </row>
    <row r="516" ht="25" customHeight="1" spans="1:11">
      <c r="A516" s="106"/>
      <c r="B516" s="106"/>
      <c r="C516" s="126"/>
      <c r="D516" s="106"/>
      <c r="E516" s="106"/>
      <c r="F516" s="106"/>
      <c r="G516" s="106"/>
      <c r="H516" s="106"/>
      <c r="I516" s="106"/>
      <c r="J516" s="117" t="str">
        <f>IF(DGArchive[[#This Row],[目标]]="","",INDEX(幕间计算!$E$200:$E$1199,ROW()-ROW(DGArchive[#Headers])))</f>
        <v/>
      </c>
      <c r="K516" s="117" t="str">
        <f>IF(DGArchive[[#This Row],[目标]]="","",INDEX(幕间计算!$F$200:$F$1199,ROW()-ROW(DGArchive[#Headers])))</f>
        <v/>
      </c>
    </row>
    <row r="517" ht="25" customHeight="1" spans="1:11">
      <c r="A517" s="106"/>
      <c r="B517" s="106"/>
      <c r="C517" s="126"/>
      <c r="D517" s="106"/>
      <c r="E517" s="106"/>
      <c r="F517" s="106"/>
      <c r="G517" s="106"/>
      <c r="H517" s="106"/>
      <c r="I517" s="106"/>
      <c r="J517" s="117" t="str">
        <f>IF(DGArchive[[#This Row],[目标]]="","",INDEX(幕间计算!$E$200:$E$1199,ROW()-ROW(DGArchive[#Headers])))</f>
        <v/>
      </c>
      <c r="K517" s="117" t="str">
        <f>IF(DGArchive[[#This Row],[目标]]="","",INDEX(幕间计算!$F$200:$F$1199,ROW()-ROW(DGArchive[#Headers])))</f>
        <v/>
      </c>
    </row>
    <row r="518" ht="25" customHeight="1" spans="1:11">
      <c r="A518" s="106"/>
      <c r="B518" s="106"/>
      <c r="C518" s="126"/>
      <c r="D518" s="106"/>
      <c r="E518" s="106"/>
      <c r="F518" s="106"/>
      <c r="G518" s="106"/>
      <c r="H518" s="106"/>
      <c r="I518" s="106"/>
      <c r="J518" s="117" t="str">
        <f>IF(DGArchive[[#This Row],[目标]]="","",INDEX(幕间计算!$E$200:$E$1199,ROW()-ROW(DGArchive[#Headers])))</f>
        <v/>
      </c>
      <c r="K518" s="117" t="str">
        <f>IF(DGArchive[[#This Row],[目标]]="","",INDEX(幕间计算!$F$200:$F$1199,ROW()-ROW(DGArchive[#Headers])))</f>
        <v/>
      </c>
    </row>
    <row r="519" ht="25" customHeight="1" spans="1:11">
      <c r="A519" s="106"/>
      <c r="B519" s="106"/>
      <c r="C519" s="126"/>
      <c r="D519" s="106"/>
      <c r="E519" s="106"/>
      <c r="F519" s="106"/>
      <c r="G519" s="106"/>
      <c r="H519" s="106"/>
      <c r="I519" s="106"/>
      <c r="J519" s="117" t="str">
        <f>IF(DGArchive[[#This Row],[目标]]="","",INDEX(幕间计算!$E$200:$E$1199,ROW()-ROW(DGArchive[#Headers])))</f>
        <v/>
      </c>
      <c r="K519" s="117" t="str">
        <f>IF(DGArchive[[#This Row],[目标]]="","",INDEX(幕间计算!$F$200:$F$1199,ROW()-ROW(DGArchive[#Headers])))</f>
        <v/>
      </c>
    </row>
    <row r="520" ht="25" customHeight="1" spans="1:11">
      <c r="A520" s="106"/>
      <c r="B520" s="106"/>
      <c r="C520" s="126"/>
      <c r="D520" s="106"/>
      <c r="E520" s="106"/>
      <c r="F520" s="106"/>
      <c r="G520" s="106"/>
      <c r="H520" s="106"/>
      <c r="I520" s="106"/>
      <c r="J520" s="117" t="str">
        <f>IF(DGArchive[[#This Row],[目标]]="","",INDEX(幕间计算!$E$200:$E$1199,ROW()-ROW(DGArchive[#Headers])))</f>
        <v/>
      </c>
      <c r="K520" s="117" t="str">
        <f>IF(DGArchive[[#This Row],[目标]]="","",INDEX(幕间计算!$F$200:$F$1199,ROW()-ROW(DGArchive[#Headers])))</f>
        <v/>
      </c>
    </row>
    <row r="521" ht="25" customHeight="1" spans="1:11">
      <c r="A521" s="106"/>
      <c r="B521" s="106"/>
      <c r="C521" s="126"/>
      <c r="D521" s="106"/>
      <c r="E521" s="106"/>
      <c r="F521" s="106"/>
      <c r="G521" s="106"/>
      <c r="H521" s="106"/>
      <c r="I521" s="106"/>
      <c r="J521" s="117" t="str">
        <f>IF(DGArchive[[#This Row],[目标]]="","",INDEX(幕间计算!$E$200:$E$1199,ROW()-ROW(DGArchive[#Headers])))</f>
        <v/>
      </c>
      <c r="K521" s="117" t="str">
        <f>IF(DGArchive[[#This Row],[目标]]="","",INDEX(幕间计算!$F$200:$F$1199,ROW()-ROW(DGArchive[#Headers])))</f>
        <v/>
      </c>
    </row>
    <row r="522" ht="25" customHeight="1" spans="1:11">
      <c r="A522" s="106"/>
      <c r="B522" s="106"/>
      <c r="C522" s="126"/>
      <c r="D522" s="106"/>
      <c r="E522" s="106"/>
      <c r="F522" s="106"/>
      <c r="G522" s="106"/>
      <c r="H522" s="106"/>
      <c r="I522" s="106"/>
      <c r="J522" s="117" t="str">
        <f>IF(DGArchive[[#This Row],[目标]]="","",INDEX(幕间计算!$E$200:$E$1199,ROW()-ROW(DGArchive[#Headers])))</f>
        <v/>
      </c>
      <c r="K522" s="117" t="str">
        <f>IF(DGArchive[[#This Row],[目标]]="","",INDEX(幕间计算!$F$200:$F$1199,ROW()-ROW(DGArchive[#Headers])))</f>
        <v/>
      </c>
    </row>
    <row r="523" ht="25" customHeight="1" spans="1:11">
      <c r="A523" s="106"/>
      <c r="B523" s="106"/>
      <c r="C523" s="126"/>
      <c r="D523" s="106"/>
      <c r="E523" s="106"/>
      <c r="F523" s="106"/>
      <c r="G523" s="106"/>
      <c r="H523" s="106"/>
      <c r="I523" s="106"/>
      <c r="J523" s="117" t="str">
        <f>IF(DGArchive[[#This Row],[目标]]="","",INDEX(幕间计算!$E$200:$E$1199,ROW()-ROW(DGArchive[#Headers])))</f>
        <v/>
      </c>
      <c r="K523" s="117" t="str">
        <f>IF(DGArchive[[#This Row],[目标]]="","",INDEX(幕间计算!$F$200:$F$1199,ROW()-ROW(DGArchive[#Headers])))</f>
        <v/>
      </c>
    </row>
    <row r="524" ht="25" customHeight="1" spans="1:11">
      <c r="A524" s="106"/>
      <c r="B524" s="106"/>
      <c r="C524" s="126"/>
      <c r="D524" s="106"/>
      <c r="E524" s="106"/>
      <c r="F524" s="106"/>
      <c r="G524" s="106"/>
      <c r="H524" s="106"/>
      <c r="I524" s="106"/>
      <c r="J524" s="117" t="str">
        <f>IF(DGArchive[[#This Row],[目标]]="","",INDEX(幕间计算!$E$200:$E$1199,ROW()-ROW(DGArchive[#Headers])))</f>
        <v/>
      </c>
      <c r="K524" s="117" t="str">
        <f>IF(DGArchive[[#This Row],[目标]]="","",INDEX(幕间计算!$F$200:$F$1199,ROW()-ROW(DGArchive[#Headers])))</f>
        <v/>
      </c>
    </row>
    <row r="525" ht="25" customHeight="1" spans="1:11">
      <c r="A525" s="106"/>
      <c r="B525" s="106"/>
      <c r="C525" s="126"/>
      <c r="D525" s="106"/>
      <c r="E525" s="106"/>
      <c r="F525" s="106"/>
      <c r="G525" s="106"/>
      <c r="H525" s="106"/>
      <c r="I525" s="106"/>
      <c r="J525" s="117" t="str">
        <f>IF(DGArchive[[#This Row],[目标]]="","",INDEX(幕间计算!$E$200:$E$1199,ROW()-ROW(DGArchive[#Headers])))</f>
        <v/>
      </c>
      <c r="K525" s="117" t="str">
        <f>IF(DGArchive[[#This Row],[目标]]="","",INDEX(幕间计算!$F$200:$F$1199,ROW()-ROW(DGArchive[#Headers])))</f>
        <v/>
      </c>
    </row>
    <row r="526" ht="25" customHeight="1" spans="1:11">
      <c r="A526" s="106"/>
      <c r="B526" s="106"/>
      <c r="C526" s="126"/>
      <c r="D526" s="106"/>
      <c r="E526" s="106"/>
      <c r="F526" s="106"/>
      <c r="G526" s="106"/>
      <c r="H526" s="106"/>
      <c r="I526" s="106"/>
      <c r="J526" s="117" t="str">
        <f>IF(DGArchive[[#This Row],[目标]]="","",INDEX(幕间计算!$E$200:$E$1199,ROW()-ROW(DGArchive[#Headers])))</f>
        <v/>
      </c>
      <c r="K526" s="117" t="str">
        <f>IF(DGArchive[[#This Row],[目标]]="","",INDEX(幕间计算!$F$200:$F$1199,ROW()-ROW(DGArchive[#Headers])))</f>
        <v/>
      </c>
    </row>
    <row r="527" ht="25" customHeight="1" spans="1:11">
      <c r="A527" s="106"/>
      <c r="B527" s="106"/>
      <c r="C527" s="126"/>
      <c r="D527" s="106"/>
      <c r="E527" s="106"/>
      <c r="F527" s="106"/>
      <c r="G527" s="106"/>
      <c r="H527" s="106"/>
      <c r="I527" s="106"/>
      <c r="J527" s="117" t="str">
        <f>IF(DGArchive[[#This Row],[目标]]="","",INDEX(幕间计算!$E$200:$E$1199,ROW()-ROW(DGArchive[#Headers])))</f>
        <v/>
      </c>
      <c r="K527" s="117" t="str">
        <f>IF(DGArchive[[#This Row],[目标]]="","",INDEX(幕间计算!$F$200:$F$1199,ROW()-ROW(DGArchive[#Headers])))</f>
        <v/>
      </c>
    </row>
    <row r="528" ht="25" customHeight="1" spans="1:11">
      <c r="A528" s="106"/>
      <c r="B528" s="106"/>
      <c r="C528" s="126"/>
      <c r="D528" s="106"/>
      <c r="E528" s="106"/>
      <c r="F528" s="106"/>
      <c r="G528" s="106"/>
      <c r="H528" s="106"/>
      <c r="I528" s="106"/>
      <c r="J528" s="117" t="str">
        <f>IF(DGArchive[[#This Row],[目标]]="","",INDEX(幕间计算!$E$200:$E$1199,ROW()-ROW(DGArchive[#Headers])))</f>
        <v/>
      </c>
      <c r="K528" s="117" t="str">
        <f>IF(DGArchive[[#This Row],[目标]]="","",INDEX(幕间计算!$F$200:$F$1199,ROW()-ROW(DGArchive[#Headers])))</f>
        <v/>
      </c>
    </row>
    <row r="529" ht="25" customHeight="1" spans="1:11">
      <c r="A529" s="106"/>
      <c r="B529" s="106"/>
      <c r="C529" s="126"/>
      <c r="D529" s="106"/>
      <c r="E529" s="106"/>
      <c r="F529" s="106"/>
      <c r="G529" s="106"/>
      <c r="H529" s="106"/>
      <c r="I529" s="106"/>
      <c r="J529" s="117" t="str">
        <f>IF(DGArchive[[#This Row],[目标]]="","",INDEX(幕间计算!$E$200:$E$1199,ROW()-ROW(DGArchive[#Headers])))</f>
        <v/>
      </c>
      <c r="K529" s="117" t="str">
        <f>IF(DGArchive[[#This Row],[目标]]="","",INDEX(幕间计算!$F$200:$F$1199,ROW()-ROW(DGArchive[#Headers])))</f>
        <v/>
      </c>
    </row>
    <row r="530" ht="25" customHeight="1" spans="1:11">
      <c r="A530" s="106"/>
      <c r="B530" s="106"/>
      <c r="C530" s="126"/>
      <c r="D530" s="106"/>
      <c r="E530" s="106"/>
      <c r="F530" s="106"/>
      <c r="G530" s="106"/>
      <c r="H530" s="106"/>
      <c r="I530" s="106"/>
      <c r="J530" s="117" t="str">
        <f>IF(DGArchive[[#This Row],[目标]]="","",INDEX(幕间计算!$E$200:$E$1199,ROW()-ROW(DGArchive[#Headers])))</f>
        <v/>
      </c>
      <c r="K530" s="117" t="str">
        <f>IF(DGArchive[[#This Row],[目标]]="","",INDEX(幕间计算!$F$200:$F$1199,ROW()-ROW(DGArchive[#Headers])))</f>
        <v/>
      </c>
    </row>
    <row r="531" ht="25" customHeight="1" spans="1:11">
      <c r="A531" s="106"/>
      <c r="B531" s="106"/>
      <c r="C531" s="126"/>
      <c r="D531" s="106"/>
      <c r="E531" s="106"/>
      <c r="F531" s="106"/>
      <c r="G531" s="106"/>
      <c r="H531" s="106"/>
      <c r="I531" s="106"/>
      <c r="J531" s="117" t="str">
        <f>IF(DGArchive[[#This Row],[目标]]="","",INDEX(幕间计算!$E$200:$E$1199,ROW()-ROW(DGArchive[#Headers])))</f>
        <v/>
      </c>
      <c r="K531" s="117" t="str">
        <f>IF(DGArchive[[#This Row],[目标]]="","",INDEX(幕间计算!$F$200:$F$1199,ROW()-ROW(DGArchive[#Headers])))</f>
        <v/>
      </c>
    </row>
    <row r="532" ht="25" customHeight="1" spans="1:11">
      <c r="A532" s="106"/>
      <c r="B532" s="106"/>
      <c r="C532" s="126"/>
      <c r="D532" s="106"/>
      <c r="E532" s="106"/>
      <c r="F532" s="106"/>
      <c r="G532" s="106"/>
      <c r="H532" s="106"/>
      <c r="I532" s="106"/>
      <c r="J532" s="117" t="str">
        <f>IF(DGArchive[[#This Row],[目标]]="","",INDEX(幕间计算!$E$200:$E$1199,ROW()-ROW(DGArchive[#Headers])))</f>
        <v/>
      </c>
      <c r="K532" s="117" t="str">
        <f>IF(DGArchive[[#This Row],[目标]]="","",INDEX(幕间计算!$F$200:$F$1199,ROW()-ROW(DGArchive[#Headers])))</f>
        <v/>
      </c>
    </row>
    <row r="533" ht="25" customHeight="1" spans="1:11">
      <c r="A533" s="106"/>
      <c r="B533" s="106"/>
      <c r="C533" s="126"/>
      <c r="D533" s="106"/>
      <c r="E533" s="106"/>
      <c r="F533" s="106"/>
      <c r="G533" s="106"/>
      <c r="H533" s="106"/>
      <c r="I533" s="106"/>
      <c r="J533" s="117" t="str">
        <f>IF(DGArchive[[#This Row],[目标]]="","",INDEX(幕间计算!$E$200:$E$1199,ROW()-ROW(DGArchive[#Headers])))</f>
        <v/>
      </c>
      <c r="K533" s="117" t="str">
        <f>IF(DGArchive[[#This Row],[目标]]="","",INDEX(幕间计算!$F$200:$F$1199,ROW()-ROW(DGArchive[#Headers])))</f>
        <v/>
      </c>
    </row>
    <row r="534" ht="25" customHeight="1" spans="1:11">
      <c r="A534" s="106"/>
      <c r="B534" s="106"/>
      <c r="C534" s="126"/>
      <c r="D534" s="106"/>
      <c r="E534" s="106"/>
      <c r="F534" s="106"/>
      <c r="G534" s="106"/>
      <c r="H534" s="106"/>
      <c r="I534" s="106"/>
      <c r="J534" s="117" t="str">
        <f>IF(DGArchive[[#This Row],[目标]]="","",INDEX(幕间计算!$E$200:$E$1199,ROW()-ROW(DGArchive[#Headers])))</f>
        <v/>
      </c>
      <c r="K534" s="117" t="str">
        <f>IF(DGArchive[[#This Row],[目标]]="","",INDEX(幕间计算!$F$200:$F$1199,ROW()-ROW(DGArchive[#Headers])))</f>
        <v/>
      </c>
    </row>
    <row r="535" ht="25" customHeight="1" spans="1:11">
      <c r="A535" s="106"/>
      <c r="B535" s="106"/>
      <c r="C535" s="126"/>
      <c r="D535" s="106"/>
      <c r="E535" s="106"/>
      <c r="F535" s="106"/>
      <c r="G535" s="106"/>
      <c r="H535" s="106"/>
      <c r="I535" s="106"/>
      <c r="J535" s="117" t="str">
        <f>IF(DGArchive[[#This Row],[目标]]="","",INDEX(幕间计算!$E$200:$E$1199,ROW()-ROW(DGArchive[#Headers])))</f>
        <v/>
      </c>
      <c r="K535" s="117" t="str">
        <f>IF(DGArchive[[#This Row],[目标]]="","",INDEX(幕间计算!$F$200:$F$1199,ROW()-ROW(DGArchive[#Headers])))</f>
        <v/>
      </c>
    </row>
    <row r="536" ht="25" customHeight="1" spans="1:11">
      <c r="A536" s="106"/>
      <c r="B536" s="106"/>
      <c r="C536" s="126"/>
      <c r="D536" s="106"/>
      <c r="E536" s="106"/>
      <c r="F536" s="106"/>
      <c r="G536" s="106"/>
      <c r="H536" s="106"/>
      <c r="I536" s="106"/>
      <c r="J536" s="117" t="str">
        <f>IF(DGArchive[[#This Row],[目标]]="","",INDEX(幕间计算!$E$200:$E$1199,ROW()-ROW(DGArchive[#Headers])))</f>
        <v/>
      </c>
      <c r="K536" s="117" t="str">
        <f>IF(DGArchive[[#This Row],[目标]]="","",INDEX(幕间计算!$F$200:$F$1199,ROW()-ROW(DGArchive[#Headers])))</f>
        <v/>
      </c>
    </row>
    <row r="537" ht="25" customHeight="1" spans="1:11">
      <c r="A537" s="106"/>
      <c r="B537" s="106"/>
      <c r="C537" s="126"/>
      <c r="D537" s="106"/>
      <c r="E537" s="106"/>
      <c r="F537" s="106"/>
      <c r="G537" s="106"/>
      <c r="H537" s="106"/>
      <c r="I537" s="106"/>
      <c r="J537" s="117" t="str">
        <f>IF(DGArchive[[#This Row],[目标]]="","",INDEX(幕间计算!$E$200:$E$1199,ROW()-ROW(DGArchive[#Headers])))</f>
        <v/>
      </c>
      <c r="K537" s="117" t="str">
        <f>IF(DGArchive[[#This Row],[目标]]="","",INDEX(幕间计算!$F$200:$F$1199,ROW()-ROW(DGArchive[#Headers])))</f>
        <v/>
      </c>
    </row>
    <row r="538" ht="25" customHeight="1" spans="1:11">
      <c r="A538" s="106"/>
      <c r="B538" s="106"/>
      <c r="C538" s="126"/>
      <c r="D538" s="106"/>
      <c r="E538" s="106"/>
      <c r="F538" s="106"/>
      <c r="G538" s="106"/>
      <c r="H538" s="106"/>
      <c r="I538" s="106"/>
      <c r="J538" s="117" t="str">
        <f>IF(DGArchive[[#This Row],[目标]]="","",INDEX(幕间计算!$E$200:$E$1199,ROW()-ROW(DGArchive[#Headers])))</f>
        <v/>
      </c>
      <c r="K538" s="117" t="str">
        <f>IF(DGArchive[[#This Row],[目标]]="","",INDEX(幕间计算!$F$200:$F$1199,ROW()-ROW(DGArchive[#Headers])))</f>
        <v/>
      </c>
    </row>
    <row r="539" ht="25" customHeight="1" spans="1:11">
      <c r="A539" s="106"/>
      <c r="B539" s="106"/>
      <c r="C539" s="126"/>
      <c r="D539" s="106"/>
      <c r="E539" s="106"/>
      <c r="F539" s="106"/>
      <c r="G539" s="106"/>
      <c r="H539" s="106"/>
      <c r="I539" s="106"/>
      <c r="J539" s="117" t="str">
        <f>IF(DGArchive[[#This Row],[目标]]="","",INDEX(幕间计算!$E$200:$E$1199,ROW()-ROW(DGArchive[#Headers])))</f>
        <v/>
      </c>
      <c r="K539" s="117" t="str">
        <f>IF(DGArchive[[#This Row],[目标]]="","",INDEX(幕间计算!$F$200:$F$1199,ROW()-ROW(DGArchive[#Headers])))</f>
        <v/>
      </c>
    </row>
    <row r="540" ht="25" customHeight="1" spans="1:11">
      <c r="A540" s="106"/>
      <c r="B540" s="106"/>
      <c r="C540" s="126"/>
      <c r="D540" s="106"/>
      <c r="E540" s="106"/>
      <c r="F540" s="106"/>
      <c r="G540" s="106"/>
      <c r="H540" s="106"/>
      <c r="I540" s="106"/>
      <c r="J540" s="117" t="str">
        <f>IF(DGArchive[[#This Row],[目标]]="","",INDEX(幕间计算!$E$200:$E$1199,ROW()-ROW(DGArchive[#Headers])))</f>
        <v/>
      </c>
      <c r="K540" s="117" t="str">
        <f>IF(DGArchive[[#This Row],[目标]]="","",INDEX(幕间计算!$F$200:$F$1199,ROW()-ROW(DGArchive[#Headers])))</f>
        <v/>
      </c>
    </row>
    <row r="541" ht="25" customHeight="1" spans="1:11">
      <c r="A541" s="106"/>
      <c r="B541" s="106"/>
      <c r="C541" s="126"/>
      <c r="D541" s="106"/>
      <c r="E541" s="106"/>
      <c r="F541" s="106"/>
      <c r="G541" s="106"/>
      <c r="H541" s="106"/>
      <c r="I541" s="106"/>
      <c r="J541" s="117" t="str">
        <f>IF(DGArchive[[#This Row],[目标]]="","",INDEX(幕间计算!$E$200:$E$1199,ROW()-ROW(DGArchive[#Headers])))</f>
        <v/>
      </c>
      <c r="K541" s="117" t="str">
        <f>IF(DGArchive[[#This Row],[目标]]="","",INDEX(幕间计算!$F$200:$F$1199,ROW()-ROW(DGArchive[#Headers])))</f>
        <v/>
      </c>
    </row>
    <row r="542" ht="25" customHeight="1" spans="1:11">
      <c r="A542" s="106"/>
      <c r="B542" s="106"/>
      <c r="C542" s="126"/>
      <c r="D542" s="106"/>
      <c r="E542" s="106"/>
      <c r="F542" s="106"/>
      <c r="G542" s="106"/>
      <c r="H542" s="106"/>
      <c r="I542" s="106"/>
      <c r="J542" s="117" t="str">
        <f>IF(DGArchive[[#This Row],[目标]]="","",INDEX(幕间计算!$E$200:$E$1199,ROW()-ROW(DGArchive[#Headers])))</f>
        <v/>
      </c>
      <c r="K542" s="117" t="str">
        <f>IF(DGArchive[[#This Row],[目标]]="","",INDEX(幕间计算!$F$200:$F$1199,ROW()-ROW(DGArchive[#Headers])))</f>
        <v/>
      </c>
    </row>
    <row r="543" ht="25" customHeight="1" spans="1:11">
      <c r="A543" s="106"/>
      <c r="B543" s="106"/>
      <c r="C543" s="126"/>
      <c r="D543" s="106"/>
      <c r="E543" s="106"/>
      <c r="F543" s="106"/>
      <c r="G543" s="106"/>
      <c r="H543" s="106"/>
      <c r="I543" s="106"/>
      <c r="J543" s="117" t="str">
        <f>IF(DGArchive[[#This Row],[目标]]="","",INDEX(幕间计算!$E$200:$E$1199,ROW()-ROW(DGArchive[#Headers])))</f>
        <v/>
      </c>
      <c r="K543" s="117" t="str">
        <f>IF(DGArchive[[#This Row],[目标]]="","",INDEX(幕间计算!$F$200:$F$1199,ROW()-ROW(DGArchive[#Headers])))</f>
        <v/>
      </c>
    </row>
    <row r="544" ht="25" customHeight="1" spans="1:11">
      <c r="A544" s="106"/>
      <c r="B544" s="106"/>
      <c r="C544" s="126"/>
      <c r="D544" s="106"/>
      <c r="E544" s="106"/>
      <c r="F544" s="106"/>
      <c r="G544" s="106"/>
      <c r="H544" s="106"/>
      <c r="I544" s="106"/>
      <c r="J544" s="117" t="str">
        <f>IF(DGArchive[[#This Row],[目标]]="","",INDEX(幕间计算!$E$200:$E$1199,ROW()-ROW(DGArchive[#Headers])))</f>
        <v/>
      </c>
      <c r="K544" s="117" t="str">
        <f>IF(DGArchive[[#This Row],[目标]]="","",INDEX(幕间计算!$F$200:$F$1199,ROW()-ROW(DGArchive[#Headers])))</f>
        <v/>
      </c>
    </row>
    <row r="545" ht="25" customHeight="1" spans="1:11">
      <c r="A545" s="106"/>
      <c r="B545" s="106"/>
      <c r="C545" s="126"/>
      <c r="D545" s="106"/>
      <c r="E545" s="106"/>
      <c r="F545" s="106"/>
      <c r="G545" s="106"/>
      <c r="H545" s="106"/>
      <c r="I545" s="106"/>
      <c r="J545" s="117" t="str">
        <f>IF(DGArchive[[#This Row],[目标]]="","",INDEX(幕间计算!$E$200:$E$1199,ROW()-ROW(DGArchive[#Headers])))</f>
        <v/>
      </c>
      <c r="K545" s="117" t="str">
        <f>IF(DGArchive[[#This Row],[目标]]="","",INDEX(幕间计算!$F$200:$F$1199,ROW()-ROW(DGArchive[#Headers])))</f>
        <v/>
      </c>
    </row>
    <row r="546" ht="25" customHeight="1" spans="1:11">
      <c r="A546" s="106"/>
      <c r="B546" s="106"/>
      <c r="C546" s="126"/>
      <c r="D546" s="106"/>
      <c r="E546" s="106"/>
      <c r="F546" s="106"/>
      <c r="G546" s="106"/>
      <c r="H546" s="106"/>
      <c r="I546" s="106"/>
      <c r="J546" s="117" t="str">
        <f>IF(DGArchive[[#This Row],[目标]]="","",INDEX(幕间计算!$E$200:$E$1199,ROW()-ROW(DGArchive[#Headers])))</f>
        <v/>
      </c>
      <c r="K546" s="117" t="str">
        <f>IF(DGArchive[[#This Row],[目标]]="","",INDEX(幕间计算!$F$200:$F$1199,ROW()-ROW(DGArchive[#Headers])))</f>
        <v/>
      </c>
    </row>
    <row r="547" ht="25" customHeight="1" spans="1:11">
      <c r="A547" s="106"/>
      <c r="B547" s="106"/>
      <c r="C547" s="126"/>
      <c r="D547" s="106"/>
      <c r="E547" s="106"/>
      <c r="F547" s="106"/>
      <c r="G547" s="106"/>
      <c r="H547" s="106"/>
      <c r="I547" s="106"/>
      <c r="J547" s="117" t="str">
        <f>IF(DGArchive[[#This Row],[目标]]="","",INDEX(幕间计算!$E$200:$E$1199,ROW()-ROW(DGArchive[#Headers])))</f>
        <v/>
      </c>
      <c r="K547" s="117" t="str">
        <f>IF(DGArchive[[#This Row],[目标]]="","",INDEX(幕间计算!$F$200:$F$1199,ROW()-ROW(DGArchive[#Headers])))</f>
        <v/>
      </c>
    </row>
    <row r="548" ht="25" customHeight="1" spans="1:11">
      <c r="A548" s="106"/>
      <c r="B548" s="106"/>
      <c r="C548" s="126"/>
      <c r="D548" s="106"/>
      <c r="E548" s="106"/>
      <c r="F548" s="106"/>
      <c r="G548" s="106"/>
      <c r="H548" s="106"/>
      <c r="I548" s="106"/>
      <c r="J548" s="117" t="str">
        <f>IF(DGArchive[[#This Row],[目标]]="","",INDEX(幕间计算!$E$200:$E$1199,ROW()-ROW(DGArchive[#Headers])))</f>
        <v/>
      </c>
      <c r="K548" s="117" t="str">
        <f>IF(DGArchive[[#This Row],[目标]]="","",INDEX(幕间计算!$F$200:$F$1199,ROW()-ROW(DGArchive[#Headers])))</f>
        <v/>
      </c>
    </row>
    <row r="549" ht="25" customHeight="1" spans="1:11">
      <c r="A549" s="106"/>
      <c r="B549" s="106"/>
      <c r="C549" s="126"/>
      <c r="D549" s="106"/>
      <c r="E549" s="106"/>
      <c r="F549" s="106"/>
      <c r="G549" s="106"/>
      <c r="H549" s="106"/>
      <c r="I549" s="106"/>
      <c r="J549" s="117" t="str">
        <f>IF(DGArchive[[#This Row],[目标]]="","",INDEX(幕间计算!$E$200:$E$1199,ROW()-ROW(DGArchive[#Headers])))</f>
        <v/>
      </c>
      <c r="K549" s="117" t="str">
        <f>IF(DGArchive[[#This Row],[目标]]="","",INDEX(幕间计算!$F$200:$F$1199,ROW()-ROW(DGArchive[#Headers])))</f>
        <v/>
      </c>
    </row>
    <row r="550" ht="25" customHeight="1" spans="1:11">
      <c r="A550" s="106"/>
      <c r="B550" s="106"/>
      <c r="C550" s="126"/>
      <c r="D550" s="106"/>
      <c r="E550" s="106"/>
      <c r="F550" s="106"/>
      <c r="G550" s="106"/>
      <c r="H550" s="106"/>
      <c r="I550" s="106"/>
      <c r="J550" s="117" t="str">
        <f>IF(DGArchive[[#This Row],[目标]]="","",INDEX(幕间计算!$E$200:$E$1199,ROW()-ROW(DGArchive[#Headers])))</f>
        <v/>
      </c>
      <c r="K550" s="117" t="str">
        <f>IF(DGArchive[[#This Row],[目标]]="","",INDEX(幕间计算!$F$200:$F$1199,ROW()-ROW(DGArchive[#Headers])))</f>
        <v/>
      </c>
    </row>
    <row r="551" ht="25" customHeight="1" spans="1:11">
      <c r="A551" s="106"/>
      <c r="B551" s="106"/>
      <c r="C551" s="126"/>
      <c r="D551" s="106"/>
      <c r="E551" s="106"/>
      <c r="F551" s="106"/>
      <c r="G551" s="106"/>
      <c r="H551" s="106"/>
      <c r="I551" s="106"/>
      <c r="J551" s="117" t="str">
        <f>IF(DGArchive[[#This Row],[目标]]="","",INDEX(幕间计算!$E$200:$E$1199,ROW()-ROW(DGArchive[#Headers])))</f>
        <v/>
      </c>
      <c r="K551" s="117" t="str">
        <f>IF(DGArchive[[#This Row],[目标]]="","",INDEX(幕间计算!$F$200:$F$1199,ROW()-ROW(DGArchive[#Headers])))</f>
        <v/>
      </c>
    </row>
    <row r="552" ht="25" customHeight="1" spans="1:11">
      <c r="A552" s="106"/>
      <c r="B552" s="106"/>
      <c r="C552" s="126"/>
      <c r="D552" s="106"/>
      <c r="E552" s="106"/>
      <c r="F552" s="106"/>
      <c r="G552" s="106"/>
      <c r="H552" s="106"/>
      <c r="I552" s="106"/>
      <c r="J552" s="117" t="str">
        <f>IF(DGArchive[[#This Row],[目标]]="","",INDEX(幕间计算!$E$200:$E$1199,ROW()-ROW(DGArchive[#Headers])))</f>
        <v/>
      </c>
      <c r="K552" s="117" t="str">
        <f>IF(DGArchive[[#This Row],[目标]]="","",INDEX(幕间计算!$F$200:$F$1199,ROW()-ROW(DGArchive[#Headers])))</f>
        <v/>
      </c>
    </row>
    <row r="553" ht="25" customHeight="1" spans="1:11">
      <c r="A553" s="106"/>
      <c r="B553" s="106"/>
      <c r="C553" s="126"/>
      <c r="D553" s="106"/>
      <c r="E553" s="106"/>
      <c r="F553" s="106"/>
      <c r="G553" s="106"/>
      <c r="H553" s="106"/>
      <c r="I553" s="106"/>
      <c r="J553" s="117" t="str">
        <f>IF(DGArchive[[#This Row],[目标]]="","",INDEX(幕间计算!$E$200:$E$1199,ROW()-ROW(DGArchive[#Headers])))</f>
        <v/>
      </c>
      <c r="K553" s="117" t="str">
        <f>IF(DGArchive[[#This Row],[目标]]="","",INDEX(幕间计算!$F$200:$F$1199,ROW()-ROW(DGArchive[#Headers])))</f>
        <v/>
      </c>
    </row>
    <row r="554" ht="25" customHeight="1" spans="1:11">
      <c r="A554" s="106"/>
      <c r="B554" s="106"/>
      <c r="C554" s="126"/>
      <c r="D554" s="106"/>
      <c r="E554" s="106"/>
      <c r="F554" s="106"/>
      <c r="G554" s="106"/>
      <c r="H554" s="106"/>
      <c r="I554" s="106"/>
      <c r="J554" s="117" t="str">
        <f>IF(DGArchive[[#This Row],[目标]]="","",INDEX(幕间计算!$E$200:$E$1199,ROW()-ROW(DGArchive[#Headers])))</f>
        <v/>
      </c>
      <c r="K554" s="117" t="str">
        <f>IF(DGArchive[[#This Row],[目标]]="","",INDEX(幕间计算!$F$200:$F$1199,ROW()-ROW(DGArchive[#Headers])))</f>
        <v/>
      </c>
    </row>
    <row r="555" ht="25" customHeight="1" spans="1:11">
      <c r="A555" s="106"/>
      <c r="B555" s="106"/>
      <c r="C555" s="126"/>
      <c r="D555" s="106"/>
      <c r="E555" s="106"/>
      <c r="F555" s="106"/>
      <c r="G555" s="106"/>
      <c r="H555" s="106"/>
      <c r="I555" s="106"/>
      <c r="J555" s="117" t="str">
        <f>IF(DGArchive[[#This Row],[目标]]="","",INDEX(幕间计算!$E$200:$E$1199,ROW()-ROW(DGArchive[#Headers])))</f>
        <v/>
      </c>
      <c r="K555" s="117" t="str">
        <f>IF(DGArchive[[#This Row],[目标]]="","",INDEX(幕间计算!$F$200:$F$1199,ROW()-ROW(DGArchive[#Headers])))</f>
        <v/>
      </c>
    </row>
    <row r="556" ht="25" customHeight="1" spans="1:11">
      <c r="A556" s="106"/>
      <c r="B556" s="106"/>
      <c r="C556" s="126"/>
      <c r="D556" s="106"/>
      <c r="E556" s="106"/>
      <c r="F556" s="106"/>
      <c r="G556" s="106"/>
      <c r="H556" s="106"/>
      <c r="I556" s="106"/>
      <c r="J556" s="117" t="str">
        <f>IF(DGArchive[[#This Row],[目标]]="","",INDEX(幕间计算!$E$200:$E$1199,ROW()-ROW(DGArchive[#Headers])))</f>
        <v/>
      </c>
      <c r="K556" s="117" t="str">
        <f>IF(DGArchive[[#This Row],[目标]]="","",INDEX(幕间计算!$F$200:$F$1199,ROW()-ROW(DGArchive[#Headers])))</f>
        <v/>
      </c>
    </row>
    <row r="557" ht="25" customHeight="1" spans="1:11">
      <c r="A557" s="106"/>
      <c r="B557" s="106"/>
      <c r="C557" s="126"/>
      <c r="D557" s="106"/>
      <c r="E557" s="106"/>
      <c r="F557" s="106"/>
      <c r="G557" s="106"/>
      <c r="H557" s="106"/>
      <c r="I557" s="106"/>
      <c r="J557" s="117" t="str">
        <f>IF(DGArchive[[#This Row],[目标]]="","",INDEX(幕间计算!$E$200:$E$1199,ROW()-ROW(DGArchive[#Headers])))</f>
        <v/>
      </c>
      <c r="K557" s="117" t="str">
        <f>IF(DGArchive[[#This Row],[目标]]="","",INDEX(幕间计算!$F$200:$F$1199,ROW()-ROW(DGArchive[#Headers])))</f>
        <v/>
      </c>
    </row>
    <row r="558" ht="25" customHeight="1" spans="1:11">
      <c r="A558" s="106"/>
      <c r="B558" s="106"/>
      <c r="C558" s="126"/>
      <c r="D558" s="106"/>
      <c r="E558" s="106"/>
      <c r="F558" s="106"/>
      <c r="G558" s="106"/>
      <c r="H558" s="106"/>
      <c r="I558" s="106"/>
      <c r="J558" s="117" t="str">
        <f>IF(DGArchive[[#This Row],[目标]]="","",INDEX(幕间计算!$E$200:$E$1199,ROW()-ROW(DGArchive[#Headers])))</f>
        <v/>
      </c>
      <c r="K558" s="117" t="str">
        <f>IF(DGArchive[[#This Row],[目标]]="","",INDEX(幕间计算!$F$200:$F$1199,ROW()-ROW(DGArchive[#Headers])))</f>
        <v/>
      </c>
    </row>
    <row r="559" ht="25" customHeight="1" spans="1:11">
      <c r="A559" s="106"/>
      <c r="B559" s="106"/>
      <c r="C559" s="126"/>
      <c r="D559" s="106"/>
      <c r="E559" s="106"/>
      <c r="F559" s="106"/>
      <c r="G559" s="106"/>
      <c r="H559" s="106"/>
      <c r="I559" s="106"/>
      <c r="J559" s="117" t="str">
        <f>IF(DGArchive[[#This Row],[目标]]="","",INDEX(幕间计算!$E$200:$E$1199,ROW()-ROW(DGArchive[#Headers])))</f>
        <v/>
      </c>
      <c r="K559" s="117" t="str">
        <f>IF(DGArchive[[#This Row],[目标]]="","",INDEX(幕间计算!$F$200:$F$1199,ROW()-ROW(DGArchive[#Headers])))</f>
        <v/>
      </c>
    </row>
    <row r="560" ht="25" customHeight="1" spans="1:11">
      <c r="A560" s="106"/>
      <c r="B560" s="106"/>
      <c r="C560" s="126"/>
      <c r="D560" s="106"/>
      <c r="E560" s="106"/>
      <c r="F560" s="106"/>
      <c r="G560" s="106"/>
      <c r="H560" s="106"/>
      <c r="I560" s="106"/>
      <c r="J560" s="117" t="str">
        <f>IF(DGArchive[[#This Row],[目标]]="","",INDEX(幕间计算!$E$200:$E$1199,ROW()-ROW(DGArchive[#Headers])))</f>
        <v/>
      </c>
      <c r="K560" s="117" t="str">
        <f>IF(DGArchive[[#This Row],[目标]]="","",INDEX(幕间计算!$F$200:$F$1199,ROW()-ROW(DGArchive[#Headers])))</f>
        <v/>
      </c>
    </row>
    <row r="561" ht="25" customHeight="1" spans="1:11">
      <c r="A561" s="106"/>
      <c r="B561" s="106"/>
      <c r="C561" s="126"/>
      <c r="D561" s="106"/>
      <c r="E561" s="106"/>
      <c r="F561" s="106"/>
      <c r="G561" s="106"/>
      <c r="H561" s="106"/>
      <c r="I561" s="106"/>
      <c r="J561" s="117" t="str">
        <f>IF(DGArchive[[#This Row],[目标]]="","",INDEX(幕间计算!$E$200:$E$1199,ROW()-ROW(DGArchive[#Headers])))</f>
        <v/>
      </c>
      <c r="K561" s="117" t="str">
        <f>IF(DGArchive[[#This Row],[目标]]="","",INDEX(幕间计算!$F$200:$F$1199,ROW()-ROW(DGArchive[#Headers])))</f>
        <v/>
      </c>
    </row>
    <row r="562" ht="25" customHeight="1" spans="1:11">
      <c r="A562" s="106"/>
      <c r="B562" s="106"/>
      <c r="C562" s="126"/>
      <c r="D562" s="106"/>
      <c r="E562" s="106"/>
      <c r="F562" s="106"/>
      <c r="G562" s="106"/>
      <c r="H562" s="106"/>
      <c r="I562" s="106"/>
      <c r="J562" s="117" t="str">
        <f>IF(DGArchive[[#This Row],[目标]]="","",INDEX(幕间计算!$E$200:$E$1199,ROW()-ROW(DGArchive[#Headers])))</f>
        <v/>
      </c>
      <c r="K562" s="117" t="str">
        <f>IF(DGArchive[[#This Row],[目标]]="","",INDEX(幕间计算!$F$200:$F$1199,ROW()-ROW(DGArchive[#Headers])))</f>
        <v/>
      </c>
    </row>
    <row r="563" ht="25" customHeight="1" spans="1:11">
      <c r="A563" s="106"/>
      <c r="B563" s="106"/>
      <c r="C563" s="126"/>
      <c r="D563" s="106"/>
      <c r="E563" s="106"/>
      <c r="F563" s="106"/>
      <c r="G563" s="106"/>
      <c r="H563" s="106"/>
      <c r="I563" s="106"/>
      <c r="J563" s="117" t="str">
        <f>IF(DGArchive[[#This Row],[目标]]="","",INDEX(幕间计算!$E$200:$E$1199,ROW()-ROW(DGArchive[#Headers])))</f>
        <v/>
      </c>
      <c r="K563" s="117" t="str">
        <f>IF(DGArchive[[#This Row],[目标]]="","",INDEX(幕间计算!$F$200:$F$1199,ROW()-ROW(DGArchive[#Headers])))</f>
        <v/>
      </c>
    </row>
    <row r="564" ht="25" customHeight="1" spans="1:11">
      <c r="A564" s="106"/>
      <c r="B564" s="106"/>
      <c r="C564" s="126"/>
      <c r="D564" s="106"/>
      <c r="E564" s="106"/>
      <c r="F564" s="106"/>
      <c r="G564" s="106"/>
      <c r="H564" s="106"/>
      <c r="I564" s="106"/>
      <c r="J564" s="117" t="str">
        <f>IF(DGArchive[[#This Row],[目标]]="","",INDEX(幕间计算!$E$200:$E$1199,ROW()-ROW(DGArchive[#Headers])))</f>
        <v/>
      </c>
      <c r="K564" s="117" t="str">
        <f>IF(DGArchive[[#This Row],[目标]]="","",INDEX(幕间计算!$F$200:$F$1199,ROW()-ROW(DGArchive[#Headers])))</f>
        <v/>
      </c>
    </row>
    <row r="565" ht="25" customHeight="1" spans="1:11">
      <c r="A565" s="106"/>
      <c r="B565" s="106"/>
      <c r="C565" s="126"/>
      <c r="D565" s="106"/>
      <c r="E565" s="106"/>
      <c r="F565" s="106"/>
      <c r="G565" s="106"/>
      <c r="H565" s="106"/>
      <c r="I565" s="106"/>
      <c r="J565" s="117" t="str">
        <f>IF(DGArchive[[#This Row],[目标]]="","",INDEX(幕间计算!$E$200:$E$1199,ROW()-ROW(DGArchive[#Headers])))</f>
        <v/>
      </c>
      <c r="K565" s="117" t="str">
        <f>IF(DGArchive[[#This Row],[目标]]="","",INDEX(幕间计算!$F$200:$F$1199,ROW()-ROW(DGArchive[#Headers])))</f>
        <v/>
      </c>
    </row>
    <row r="566" ht="25" customHeight="1" spans="1:11">
      <c r="A566" s="106"/>
      <c r="B566" s="106"/>
      <c r="C566" s="126"/>
      <c r="D566" s="106"/>
      <c r="E566" s="106"/>
      <c r="F566" s="106"/>
      <c r="G566" s="106"/>
      <c r="H566" s="106"/>
      <c r="I566" s="106"/>
      <c r="J566" s="117" t="str">
        <f>IF(DGArchive[[#This Row],[目标]]="","",INDEX(幕间计算!$E$200:$E$1199,ROW()-ROW(DGArchive[#Headers])))</f>
        <v/>
      </c>
      <c r="K566" s="117" t="str">
        <f>IF(DGArchive[[#This Row],[目标]]="","",INDEX(幕间计算!$F$200:$F$1199,ROW()-ROW(DGArchive[#Headers])))</f>
        <v/>
      </c>
    </row>
    <row r="567" ht="25" customHeight="1" spans="1:11">
      <c r="A567" s="106"/>
      <c r="B567" s="106"/>
      <c r="C567" s="126"/>
      <c r="D567" s="106"/>
      <c r="E567" s="106"/>
      <c r="F567" s="106"/>
      <c r="G567" s="106"/>
      <c r="H567" s="106"/>
      <c r="I567" s="106"/>
      <c r="J567" s="117" t="str">
        <f>IF(DGArchive[[#This Row],[目标]]="","",INDEX(幕间计算!$E$200:$E$1199,ROW()-ROW(DGArchive[#Headers])))</f>
        <v/>
      </c>
      <c r="K567" s="117" t="str">
        <f>IF(DGArchive[[#This Row],[目标]]="","",INDEX(幕间计算!$F$200:$F$1199,ROW()-ROW(DGArchive[#Headers])))</f>
        <v/>
      </c>
    </row>
    <row r="568" ht="25" customHeight="1" spans="1:11">
      <c r="A568" s="106"/>
      <c r="B568" s="106"/>
      <c r="C568" s="126"/>
      <c r="D568" s="106"/>
      <c r="E568" s="106"/>
      <c r="F568" s="106"/>
      <c r="G568" s="106"/>
      <c r="H568" s="106"/>
      <c r="I568" s="106"/>
      <c r="J568" s="117" t="str">
        <f>IF(DGArchive[[#This Row],[目标]]="","",INDEX(幕间计算!$E$200:$E$1199,ROW()-ROW(DGArchive[#Headers])))</f>
        <v/>
      </c>
      <c r="K568" s="117" t="str">
        <f>IF(DGArchive[[#This Row],[目标]]="","",INDEX(幕间计算!$F$200:$F$1199,ROW()-ROW(DGArchive[#Headers])))</f>
        <v/>
      </c>
    </row>
    <row r="569" ht="25" customHeight="1" spans="1:11">
      <c r="A569" s="106"/>
      <c r="B569" s="106"/>
      <c r="C569" s="126"/>
      <c r="D569" s="106"/>
      <c r="E569" s="106"/>
      <c r="F569" s="106"/>
      <c r="G569" s="106"/>
      <c r="H569" s="106"/>
      <c r="I569" s="106"/>
      <c r="J569" s="117" t="str">
        <f>IF(DGArchive[[#This Row],[目标]]="","",INDEX(幕间计算!$E$200:$E$1199,ROW()-ROW(DGArchive[#Headers])))</f>
        <v/>
      </c>
      <c r="K569" s="117" t="str">
        <f>IF(DGArchive[[#This Row],[目标]]="","",INDEX(幕间计算!$F$200:$F$1199,ROW()-ROW(DGArchive[#Headers])))</f>
        <v/>
      </c>
    </row>
    <row r="570" ht="25" customHeight="1" spans="1:11">
      <c r="A570" s="106"/>
      <c r="B570" s="106"/>
      <c r="C570" s="126"/>
      <c r="D570" s="106"/>
      <c r="E570" s="106"/>
      <c r="F570" s="106"/>
      <c r="G570" s="106"/>
      <c r="H570" s="106"/>
      <c r="I570" s="106"/>
      <c r="J570" s="117" t="str">
        <f>IF(DGArchive[[#This Row],[目标]]="","",INDEX(幕间计算!$E$200:$E$1199,ROW()-ROW(DGArchive[#Headers])))</f>
        <v/>
      </c>
      <c r="K570" s="117" t="str">
        <f>IF(DGArchive[[#This Row],[目标]]="","",INDEX(幕间计算!$F$200:$F$1199,ROW()-ROW(DGArchive[#Headers])))</f>
        <v/>
      </c>
    </row>
    <row r="571" ht="25" customHeight="1" spans="1:11">
      <c r="A571" s="106"/>
      <c r="B571" s="106"/>
      <c r="C571" s="126"/>
      <c r="D571" s="106"/>
      <c r="E571" s="106"/>
      <c r="F571" s="106"/>
      <c r="G571" s="106"/>
      <c r="H571" s="106"/>
      <c r="I571" s="106"/>
      <c r="J571" s="117" t="str">
        <f>IF(DGArchive[[#This Row],[目标]]="","",INDEX(幕间计算!$E$200:$E$1199,ROW()-ROW(DGArchive[#Headers])))</f>
        <v/>
      </c>
      <c r="K571" s="117" t="str">
        <f>IF(DGArchive[[#This Row],[目标]]="","",INDEX(幕间计算!$F$200:$F$1199,ROW()-ROW(DGArchive[#Headers])))</f>
        <v/>
      </c>
    </row>
    <row r="572" ht="25" customHeight="1" spans="1:11">
      <c r="A572" s="106"/>
      <c r="B572" s="106"/>
      <c r="C572" s="126"/>
      <c r="D572" s="106"/>
      <c r="E572" s="106"/>
      <c r="F572" s="106"/>
      <c r="G572" s="106"/>
      <c r="H572" s="106"/>
      <c r="I572" s="106"/>
      <c r="J572" s="117" t="str">
        <f>IF(DGArchive[[#This Row],[目标]]="","",INDEX(幕间计算!$E$200:$E$1199,ROW()-ROW(DGArchive[#Headers])))</f>
        <v/>
      </c>
      <c r="K572" s="117" t="str">
        <f>IF(DGArchive[[#This Row],[目标]]="","",INDEX(幕间计算!$F$200:$F$1199,ROW()-ROW(DGArchive[#Headers])))</f>
        <v/>
      </c>
    </row>
    <row r="573" ht="25" customHeight="1" spans="1:11">
      <c r="A573" s="106"/>
      <c r="B573" s="106"/>
      <c r="C573" s="126"/>
      <c r="D573" s="106"/>
      <c r="E573" s="106"/>
      <c r="F573" s="106"/>
      <c r="G573" s="106"/>
      <c r="H573" s="106"/>
      <c r="I573" s="106"/>
      <c r="J573" s="117" t="str">
        <f>IF(DGArchive[[#This Row],[目标]]="","",INDEX(幕间计算!$E$200:$E$1199,ROW()-ROW(DGArchive[#Headers])))</f>
        <v/>
      </c>
      <c r="K573" s="117" t="str">
        <f>IF(DGArchive[[#This Row],[目标]]="","",INDEX(幕间计算!$F$200:$F$1199,ROW()-ROW(DGArchive[#Headers])))</f>
        <v/>
      </c>
    </row>
    <row r="574" ht="25" customHeight="1" spans="1:11">
      <c r="A574" s="106"/>
      <c r="B574" s="106"/>
      <c r="C574" s="126"/>
      <c r="D574" s="106"/>
      <c r="E574" s="106"/>
      <c r="F574" s="106"/>
      <c r="G574" s="106"/>
      <c r="H574" s="106"/>
      <c r="I574" s="106"/>
      <c r="J574" s="117" t="str">
        <f>IF(DGArchive[[#This Row],[目标]]="","",INDEX(幕间计算!$E$200:$E$1199,ROW()-ROW(DGArchive[#Headers])))</f>
        <v/>
      </c>
      <c r="K574" s="117" t="str">
        <f>IF(DGArchive[[#This Row],[目标]]="","",INDEX(幕间计算!$F$200:$F$1199,ROW()-ROW(DGArchive[#Headers])))</f>
        <v/>
      </c>
    </row>
    <row r="575" ht="25" customHeight="1" spans="1:11">
      <c r="A575" s="106"/>
      <c r="B575" s="106"/>
      <c r="C575" s="126"/>
      <c r="D575" s="106"/>
      <c r="E575" s="106"/>
      <c r="F575" s="106"/>
      <c r="G575" s="106"/>
      <c r="H575" s="106"/>
      <c r="I575" s="106"/>
      <c r="J575" s="117" t="str">
        <f>IF(DGArchive[[#This Row],[目标]]="","",INDEX(幕间计算!$E$200:$E$1199,ROW()-ROW(DGArchive[#Headers])))</f>
        <v/>
      </c>
      <c r="K575" s="117" t="str">
        <f>IF(DGArchive[[#This Row],[目标]]="","",INDEX(幕间计算!$F$200:$F$1199,ROW()-ROW(DGArchive[#Headers])))</f>
        <v/>
      </c>
    </row>
    <row r="576" ht="25" customHeight="1" spans="1:11">
      <c r="A576" s="106"/>
      <c r="B576" s="106"/>
      <c r="C576" s="126"/>
      <c r="D576" s="106"/>
      <c r="E576" s="106"/>
      <c r="F576" s="106"/>
      <c r="G576" s="106"/>
      <c r="H576" s="106"/>
      <c r="I576" s="106"/>
      <c r="J576" s="117" t="str">
        <f>IF(DGArchive[[#This Row],[目标]]="","",INDEX(幕间计算!$E$200:$E$1199,ROW()-ROW(DGArchive[#Headers])))</f>
        <v/>
      </c>
      <c r="K576" s="117" t="str">
        <f>IF(DGArchive[[#This Row],[目标]]="","",INDEX(幕间计算!$F$200:$F$1199,ROW()-ROW(DGArchive[#Headers])))</f>
        <v/>
      </c>
    </row>
    <row r="577" ht="25" customHeight="1" spans="1:11">
      <c r="A577" s="106"/>
      <c r="B577" s="106"/>
      <c r="C577" s="126"/>
      <c r="D577" s="106"/>
      <c r="E577" s="106"/>
      <c r="F577" s="106"/>
      <c r="G577" s="106"/>
      <c r="H577" s="106"/>
      <c r="I577" s="106"/>
      <c r="J577" s="117" t="str">
        <f>IF(DGArchive[[#This Row],[目标]]="","",INDEX(幕间计算!$E$200:$E$1199,ROW()-ROW(DGArchive[#Headers])))</f>
        <v/>
      </c>
      <c r="K577" s="117" t="str">
        <f>IF(DGArchive[[#This Row],[目标]]="","",INDEX(幕间计算!$F$200:$F$1199,ROW()-ROW(DGArchive[#Headers])))</f>
        <v/>
      </c>
    </row>
    <row r="578" ht="25" customHeight="1" spans="1:11">
      <c r="A578" s="106"/>
      <c r="B578" s="106"/>
      <c r="C578" s="126"/>
      <c r="D578" s="106"/>
      <c r="E578" s="106"/>
      <c r="F578" s="106"/>
      <c r="G578" s="106"/>
      <c r="H578" s="106"/>
      <c r="I578" s="106"/>
      <c r="J578" s="117" t="str">
        <f>IF(DGArchive[[#This Row],[目标]]="","",INDEX(幕间计算!$E$200:$E$1199,ROW()-ROW(DGArchive[#Headers])))</f>
        <v/>
      </c>
      <c r="K578" s="117" t="str">
        <f>IF(DGArchive[[#This Row],[目标]]="","",INDEX(幕间计算!$F$200:$F$1199,ROW()-ROW(DGArchive[#Headers])))</f>
        <v/>
      </c>
    </row>
    <row r="579" ht="25" customHeight="1" spans="1:11">
      <c r="A579" s="106"/>
      <c r="B579" s="106"/>
      <c r="C579" s="126"/>
      <c r="D579" s="106"/>
      <c r="E579" s="106"/>
      <c r="F579" s="106"/>
      <c r="G579" s="106"/>
      <c r="H579" s="106"/>
      <c r="I579" s="106"/>
      <c r="J579" s="117" t="str">
        <f>IF(DGArchive[[#This Row],[目标]]="","",INDEX(幕间计算!$E$200:$E$1199,ROW()-ROW(DGArchive[#Headers])))</f>
        <v/>
      </c>
      <c r="K579" s="117" t="str">
        <f>IF(DGArchive[[#This Row],[目标]]="","",INDEX(幕间计算!$F$200:$F$1199,ROW()-ROW(DGArchive[#Headers])))</f>
        <v/>
      </c>
    </row>
    <row r="580" ht="25" customHeight="1" spans="1:11">
      <c r="A580" s="106"/>
      <c r="B580" s="106"/>
      <c r="C580" s="126"/>
      <c r="D580" s="106"/>
      <c r="E580" s="106"/>
      <c r="F580" s="106"/>
      <c r="G580" s="106"/>
      <c r="H580" s="106"/>
      <c r="I580" s="106"/>
      <c r="J580" s="117" t="str">
        <f>IF(DGArchive[[#This Row],[目标]]="","",INDEX(幕间计算!$E$200:$E$1199,ROW()-ROW(DGArchive[#Headers])))</f>
        <v/>
      </c>
      <c r="K580" s="117" t="str">
        <f>IF(DGArchive[[#This Row],[目标]]="","",INDEX(幕间计算!$F$200:$F$1199,ROW()-ROW(DGArchive[#Headers])))</f>
        <v/>
      </c>
    </row>
    <row r="581" ht="25" customHeight="1" spans="1:11">
      <c r="A581" s="106"/>
      <c r="B581" s="106"/>
      <c r="C581" s="126"/>
      <c r="D581" s="106"/>
      <c r="E581" s="106"/>
      <c r="F581" s="106"/>
      <c r="G581" s="106"/>
      <c r="H581" s="106"/>
      <c r="I581" s="106"/>
      <c r="J581" s="117" t="str">
        <f>IF(DGArchive[[#This Row],[目标]]="","",INDEX(幕间计算!$E$200:$E$1199,ROW()-ROW(DGArchive[#Headers])))</f>
        <v/>
      </c>
      <c r="K581" s="117" t="str">
        <f>IF(DGArchive[[#This Row],[目标]]="","",INDEX(幕间计算!$F$200:$F$1199,ROW()-ROW(DGArchive[#Headers])))</f>
        <v/>
      </c>
    </row>
    <row r="582" ht="25" customHeight="1" spans="1:11">
      <c r="A582" s="106"/>
      <c r="B582" s="106"/>
      <c r="C582" s="126"/>
      <c r="D582" s="106"/>
      <c r="E582" s="106"/>
      <c r="F582" s="106"/>
      <c r="G582" s="106"/>
      <c r="H582" s="106"/>
      <c r="I582" s="106"/>
      <c r="J582" s="117" t="str">
        <f>IF(DGArchive[[#This Row],[目标]]="","",INDEX(幕间计算!$E$200:$E$1199,ROW()-ROW(DGArchive[#Headers])))</f>
        <v/>
      </c>
      <c r="K582" s="117" t="str">
        <f>IF(DGArchive[[#This Row],[目标]]="","",INDEX(幕间计算!$F$200:$F$1199,ROW()-ROW(DGArchive[#Headers])))</f>
        <v/>
      </c>
    </row>
    <row r="583" ht="25" customHeight="1" spans="1:11">
      <c r="A583" s="106"/>
      <c r="B583" s="106"/>
      <c r="C583" s="126"/>
      <c r="D583" s="106"/>
      <c r="E583" s="106"/>
      <c r="F583" s="106"/>
      <c r="G583" s="106"/>
      <c r="H583" s="106"/>
      <c r="I583" s="106"/>
      <c r="J583" s="117" t="str">
        <f>IF(DGArchive[[#This Row],[目标]]="","",INDEX(幕间计算!$E$200:$E$1199,ROW()-ROW(DGArchive[#Headers])))</f>
        <v/>
      </c>
      <c r="K583" s="117" t="str">
        <f>IF(DGArchive[[#This Row],[目标]]="","",INDEX(幕间计算!$F$200:$F$1199,ROW()-ROW(DGArchive[#Headers])))</f>
        <v/>
      </c>
    </row>
    <row r="584" ht="25" customHeight="1" spans="1:11">
      <c r="A584" s="106"/>
      <c r="B584" s="106"/>
      <c r="C584" s="126"/>
      <c r="D584" s="106"/>
      <c r="E584" s="106"/>
      <c r="F584" s="106"/>
      <c r="G584" s="106"/>
      <c r="H584" s="106"/>
      <c r="I584" s="106"/>
      <c r="J584" s="117" t="str">
        <f>IF(DGArchive[[#This Row],[目标]]="","",INDEX(幕间计算!$E$200:$E$1199,ROW()-ROW(DGArchive[#Headers])))</f>
        <v/>
      </c>
      <c r="K584" s="117" t="str">
        <f>IF(DGArchive[[#This Row],[目标]]="","",INDEX(幕间计算!$F$200:$F$1199,ROW()-ROW(DGArchive[#Headers])))</f>
        <v/>
      </c>
    </row>
    <row r="585" ht="25" customHeight="1" spans="1:11">
      <c r="A585" s="106"/>
      <c r="B585" s="106"/>
      <c r="C585" s="126"/>
      <c r="D585" s="106"/>
      <c r="E585" s="106"/>
      <c r="F585" s="106"/>
      <c r="G585" s="106"/>
      <c r="H585" s="106"/>
      <c r="I585" s="106"/>
      <c r="J585" s="117" t="str">
        <f>IF(DGArchive[[#This Row],[目标]]="","",INDEX(幕间计算!$E$200:$E$1199,ROW()-ROW(DGArchive[#Headers])))</f>
        <v/>
      </c>
      <c r="K585" s="117" t="str">
        <f>IF(DGArchive[[#This Row],[目标]]="","",INDEX(幕间计算!$F$200:$F$1199,ROW()-ROW(DGArchive[#Headers])))</f>
        <v/>
      </c>
    </row>
    <row r="586" ht="25" customHeight="1" spans="1:11">
      <c r="A586" s="106"/>
      <c r="B586" s="106"/>
      <c r="C586" s="126"/>
      <c r="D586" s="106"/>
      <c r="E586" s="106"/>
      <c r="F586" s="106"/>
      <c r="G586" s="106"/>
      <c r="H586" s="106"/>
      <c r="I586" s="106"/>
      <c r="J586" s="117" t="str">
        <f>IF(DGArchive[[#This Row],[目标]]="","",INDEX(幕间计算!$E$200:$E$1199,ROW()-ROW(DGArchive[#Headers])))</f>
        <v/>
      </c>
      <c r="K586" s="117" t="str">
        <f>IF(DGArchive[[#This Row],[目标]]="","",INDEX(幕间计算!$F$200:$F$1199,ROW()-ROW(DGArchive[#Headers])))</f>
        <v/>
      </c>
    </row>
    <row r="587" ht="25" customHeight="1" spans="1:11">
      <c r="A587" s="106"/>
      <c r="B587" s="106"/>
      <c r="C587" s="126"/>
      <c r="D587" s="106"/>
      <c r="E587" s="106"/>
      <c r="F587" s="106"/>
      <c r="G587" s="106"/>
      <c r="H587" s="106"/>
      <c r="I587" s="106"/>
      <c r="J587" s="117" t="str">
        <f>IF(DGArchive[[#This Row],[目标]]="","",INDEX(幕间计算!$E$200:$E$1199,ROW()-ROW(DGArchive[#Headers])))</f>
        <v/>
      </c>
      <c r="K587" s="117" t="str">
        <f>IF(DGArchive[[#This Row],[目标]]="","",INDEX(幕间计算!$F$200:$F$1199,ROW()-ROW(DGArchive[#Headers])))</f>
        <v/>
      </c>
    </row>
    <row r="588" ht="25" customHeight="1" spans="1:11">
      <c r="A588" s="106"/>
      <c r="B588" s="106"/>
      <c r="C588" s="126"/>
      <c r="D588" s="106"/>
      <c r="E588" s="106"/>
      <c r="F588" s="106"/>
      <c r="G588" s="106"/>
      <c r="H588" s="106"/>
      <c r="I588" s="106"/>
      <c r="J588" s="117" t="str">
        <f>IF(DGArchive[[#This Row],[目标]]="","",INDEX(幕间计算!$E$200:$E$1199,ROW()-ROW(DGArchive[#Headers])))</f>
        <v/>
      </c>
      <c r="K588" s="117" t="str">
        <f>IF(DGArchive[[#This Row],[目标]]="","",INDEX(幕间计算!$F$200:$F$1199,ROW()-ROW(DGArchive[#Headers])))</f>
        <v/>
      </c>
    </row>
    <row r="589" ht="25" customHeight="1" spans="1:11">
      <c r="A589" s="106"/>
      <c r="B589" s="106"/>
      <c r="C589" s="126"/>
      <c r="D589" s="106"/>
      <c r="E589" s="106"/>
      <c r="F589" s="106"/>
      <c r="G589" s="106"/>
      <c r="H589" s="106"/>
      <c r="I589" s="106"/>
      <c r="J589" s="117" t="str">
        <f>IF(DGArchive[[#This Row],[目标]]="","",INDEX(幕间计算!$E$200:$E$1199,ROW()-ROW(DGArchive[#Headers])))</f>
        <v/>
      </c>
      <c r="K589" s="117" t="str">
        <f>IF(DGArchive[[#This Row],[目标]]="","",INDEX(幕间计算!$F$200:$F$1199,ROW()-ROW(DGArchive[#Headers])))</f>
        <v/>
      </c>
    </row>
    <row r="590" ht="25" customHeight="1" spans="1:11">
      <c r="A590" s="106"/>
      <c r="B590" s="106"/>
      <c r="C590" s="126"/>
      <c r="D590" s="106"/>
      <c r="E590" s="106"/>
      <c r="F590" s="106"/>
      <c r="G590" s="106"/>
      <c r="H590" s="106"/>
      <c r="I590" s="106"/>
      <c r="J590" s="117" t="str">
        <f>IF(DGArchive[[#This Row],[目标]]="","",INDEX(幕间计算!$E$200:$E$1199,ROW()-ROW(DGArchive[#Headers])))</f>
        <v/>
      </c>
      <c r="K590" s="117" t="str">
        <f>IF(DGArchive[[#This Row],[目标]]="","",INDEX(幕间计算!$F$200:$F$1199,ROW()-ROW(DGArchive[#Headers])))</f>
        <v/>
      </c>
    </row>
    <row r="591" ht="25" customHeight="1" spans="1:11">
      <c r="A591" s="106"/>
      <c r="B591" s="106"/>
      <c r="C591" s="126"/>
      <c r="D591" s="106"/>
      <c r="E591" s="106"/>
      <c r="F591" s="106"/>
      <c r="G591" s="106"/>
      <c r="H591" s="106"/>
      <c r="I591" s="106"/>
      <c r="J591" s="117" t="str">
        <f>IF(DGArchive[[#This Row],[目标]]="","",INDEX(幕间计算!$E$200:$E$1199,ROW()-ROW(DGArchive[#Headers])))</f>
        <v/>
      </c>
      <c r="K591" s="117" t="str">
        <f>IF(DGArchive[[#This Row],[目标]]="","",INDEX(幕间计算!$F$200:$F$1199,ROW()-ROW(DGArchive[#Headers])))</f>
        <v/>
      </c>
    </row>
    <row r="592" ht="25" customHeight="1" spans="1:11">
      <c r="A592" s="106"/>
      <c r="B592" s="106"/>
      <c r="C592" s="126"/>
      <c r="D592" s="106"/>
      <c r="E592" s="106"/>
      <c r="F592" s="106"/>
      <c r="G592" s="106"/>
      <c r="H592" s="106"/>
      <c r="I592" s="106"/>
      <c r="J592" s="117" t="str">
        <f>IF(DGArchive[[#This Row],[目标]]="","",INDEX(幕间计算!$E$200:$E$1199,ROW()-ROW(DGArchive[#Headers])))</f>
        <v/>
      </c>
      <c r="K592" s="117" t="str">
        <f>IF(DGArchive[[#This Row],[目标]]="","",INDEX(幕间计算!$F$200:$F$1199,ROW()-ROW(DGArchive[#Headers])))</f>
        <v/>
      </c>
    </row>
    <row r="593" ht="25" customHeight="1" spans="1:11">
      <c r="A593" s="106"/>
      <c r="B593" s="106"/>
      <c r="C593" s="126"/>
      <c r="D593" s="106"/>
      <c r="E593" s="106"/>
      <c r="F593" s="106"/>
      <c r="G593" s="106"/>
      <c r="H593" s="106"/>
      <c r="I593" s="106"/>
      <c r="J593" s="117" t="str">
        <f>IF(DGArchive[[#This Row],[目标]]="","",INDEX(幕间计算!$E$200:$E$1199,ROW()-ROW(DGArchive[#Headers])))</f>
        <v/>
      </c>
      <c r="K593" s="117" t="str">
        <f>IF(DGArchive[[#This Row],[目标]]="","",INDEX(幕间计算!$F$200:$F$1199,ROW()-ROW(DGArchive[#Headers])))</f>
        <v/>
      </c>
    </row>
    <row r="594" ht="25" customHeight="1" spans="1:11">
      <c r="A594" s="106"/>
      <c r="B594" s="106"/>
      <c r="C594" s="126"/>
      <c r="D594" s="106"/>
      <c r="E594" s="106"/>
      <c r="F594" s="106"/>
      <c r="G594" s="106"/>
      <c r="H594" s="106"/>
      <c r="I594" s="106"/>
      <c r="J594" s="117" t="str">
        <f>IF(DGArchive[[#This Row],[目标]]="","",INDEX(幕间计算!$E$200:$E$1199,ROW()-ROW(DGArchive[#Headers])))</f>
        <v/>
      </c>
      <c r="K594" s="117" t="str">
        <f>IF(DGArchive[[#This Row],[目标]]="","",INDEX(幕间计算!$F$200:$F$1199,ROW()-ROW(DGArchive[#Headers])))</f>
        <v/>
      </c>
    </row>
    <row r="595" ht="25" customHeight="1" spans="1:11">
      <c r="A595" s="106"/>
      <c r="B595" s="106"/>
      <c r="C595" s="126"/>
      <c r="D595" s="106"/>
      <c r="E595" s="106"/>
      <c r="F595" s="106"/>
      <c r="G595" s="106"/>
      <c r="H595" s="106"/>
      <c r="I595" s="106"/>
      <c r="J595" s="117" t="str">
        <f>IF(DGArchive[[#This Row],[目标]]="","",INDEX(幕间计算!$E$200:$E$1199,ROW()-ROW(DGArchive[#Headers])))</f>
        <v/>
      </c>
      <c r="K595" s="117" t="str">
        <f>IF(DGArchive[[#This Row],[目标]]="","",INDEX(幕间计算!$F$200:$F$1199,ROW()-ROW(DGArchive[#Headers])))</f>
        <v/>
      </c>
    </row>
    <row r="596" ht="25" customHeight="1" spans="1:11">
      <c r="A596" s="106"/>
      <c r="B596" s="106"/>
      <c r="C596" s="126"/>
      <c r="D596" s="106"/>
      <c r="E596" s="106"/>
      <c r="F596" s="106"/>
      <c r="G596" s="106"/>
      <c r="H596" s="106"/>
      <c r="I596" s="106"/>
      <c r="J596" s="117" t="str">
        <f>IF(DGArchive[[#This Row],[目标]]="","",INDEX(幕间计算!$E$200:$E$1199,ROW()-ROW(DGArchive[#Headers])))</f>
        <v/>
      </c>
      <c r="K596" s="117" t="str">
        <f>IF(DGArchive[[#This Row],[目标]]="","",INDEX(幕间计算!$F$200:$F$1199,ROW()-ROW(DGArchive[#Headers])))</f>
        <v/>
      </c>
    </row>
    <row r="597" ht="25" customHeight="1" spans="1:11">
      <c r="A597" s="106"/>
      <c r="B597" s="106"/>
      <c r="C597" s="126"/>
      <c r="D597" s="106"/>
      <c r="E597" s="106"/>
      <c r="F597" s="106"/>
      <c r="G597" s="106"/>
      <c r="H597" s="106"/>
      <c r="I597" s="106"/>
      <c r="J597" s="117" t="str">
        <f>IF(DGArchive[[#This Row],[目标]]="","",INDEX(幕间计算!$E$200:$E$1199,ROW()-ROW(DGArchive[#Headers])))</f>
        <v/>
      </c>
      <c r="K597" s="117" t="str">
        <f>IF(DGArchive[[#This Row],[目标]]="","",INDEX(幕间计算!$F$200:$F$1199,ROW()-ROW(DGArchive[#Headers])))</f>
        <v/>
      </c>
    </row>
    <row r="598" ht="25" customHeight="1" spans="1:11">
      <c r="A598" s="106"/>
      <c r="B598" s="106"/>
      <c r="C598" s="126"/>
      <c r="D598" s="106"/>
      <c r="E598" s="106"/>
      <c r="F598" s="106"/>
      <c r="G598" s="106"/>
      <c r="H598" s="106"/>
      <c r="I598" s="106"/>
      <c r="J598" s="117" t="str">
        <f>IF(DGArchive[[#This Row],[目标]]="","",INDEX(幕间计算!$E$200:$E$1199,ROW()-ROW(DGArchive[#Headers])))</f>
        <v/>
      </c>
      <c r="K598" s="117" t="str">
        <f>IF(DGArchive[[#This Row],[目标]]="","",INDEX(幕间计算!$F$200:$F$1199,ROW()-ROW(DGArchive[#Headers])))</f>
        <v/>
      </c>
    </row>
    <row r="599" ht="25" customHeight="1" spans="1:11">
      <c r="A599" s="106"/>
      <c r="B599" s="106"/>
      <c r="C599" s="126"/>
      <c r="D599" s="106"/>
      <c r="E599" s="106"/>
      <c r="F599" s="106"/>
      <c r="G599" s="106"/>
      <c r="H599" s="106"/>
      <c r="I599" s="106"/>
      <c r="J599" s="117" t="str">
        <f>IF(DGArchive[[#This Row],[目标]]="","",INDEX(幕间计算!$E$200:$E$1199,ROW()-ROW(DGArchive[#Headers])))</f>
        <v/>
      </c>
      <c r="K599" s="117" t="str">
        <f>IF(DGArchive[[#This Row],[目标]]="","",INDEX(幕间计算!$F$200:$F$1199,ROW()-ROW(DGArchive[#Headers])))</f>
        <v/>
      </c>
    </row>
    <row r="600" ht="25" customHeight="1" spans="1:11">
      <c r="A600" s="106"/>
      <c r="B600" s="106"/>
      <c r="C600" s="126"/>
      <c r="D600" s="106"/>
      <c r="E600" s="106"/>
      <c r="F600" s="106"/>
      <c r="G600" s="106"/>
      <c r="H600" s="106"/>
      <c r="I600" s="106"/>
      <c r="J600" s="117" t="str">
        <f>IF(DGArchive[[#This Row],[目标]]="","",INDEX(幕间计算!$E$200:$E$1199,ROW()-ROW(DGArchive[#Headers])))</f>
        <v/>
      </c>
      <c r="K600" s="117" t="str">
        <f>IF(DGArchive[[#This Row],[目标]]="","",INDEX(幕间计算!$F$200:$F$1199,ROW()-ROW(DGArchive[#Headers])))</f>
        <v/>
      </c>
    </row>
    <row r="601" ht="25" customHeight="1" spans="1:11">
      <c r="A601" s="106"/>
      <c r="B601" s="106"/>
      <c r="C601" s="126"/>
      <c r="D601" s="106"/>
      <c r="E601" s="106"/>
      <c r="F601" s="106"/>
      <c r="G601" s="106"/>
      <c r="H601" s="106"/>
      <c r="I601" s="106"/>
      <c r="J601" s="117" t="str">
        <f>IF(DGArchive[[#This Row],[目标]]="","",INDEX(幕间计算!$E$200:$E$1199,ROW()-ROW(DGArchive[#Headers])))</f>
        <v/>
      </c>
      <c r="K601" s="117" t="str">
        <f>IF(DGArchive[[#This Row],[目标]]="","",INDEX(幕间计算!$F$200:$F$1199,ROW()-ROW(DGArchive[#Headers])))</f>
        <v/>
      </c>
    </row>
    <row r="602" ht="25" customHeight="1" spans="1:11">
      <c r="A602" s="106"/>
      <c r="B602" s="106"/>
      <c r="C602" s="126"/>
      <c r="D602" s="106"/>
      <c r="E602" s="106"/>
      <c r="F602" s="106"/>
      <c r="G602" s="106"/>
      <c r="H602" s="106"/>
      <c r="I602" s="106"/>
      <c r="J602" s="117" t="str">
        <f>IF(DGArchive[[#This Row],[目标]]="","",INDEX(幕间计算!$E$200:$E$1199,ROW()-ROW(DGArchive[#Headers])))</f>
        <v/>
      </c>
      <c r="K602" s="117" t="str">
        <f>IF(DGArchive[[#This Row],[目标]]="","",INDEX(幕间计算!$F$200:$F$1199,ROW()-ROW(DGArchive[#Headers])))</f>
        <v/>
      </c>
    </row>
    <row r="603" ht="25" customHeight="1" spans="1:11">
      <c r="A603" s="106"/>
      <c r="B603" s="106"/>
      <c r="C603" s="126"/>
      <c r="D603" s="106"/>
      <c r="E603" s="106"/>
      <c r="F603" s="106"/>
      <c r="G603" s="106"/>
      <c r="H603" s="106"/>
      <c r="I603" s="106"/>
      <c r="J603" s="117" t="str">
        <f>IF(DGArchive[[#This Row],[目标]]="","",INDEX(幕间计算!$E$200:$E$1199,ROW()-ROW(DGArchive[#Headers])))</f>
        <v/>
      </c>
      <c r="K603" s="117" t="str">
        <f>IF(DGArchive[[#This Row],[目标]]="","",INDEX(幕间计算!$F$200:$F$1199,ROW()-ROW(DGArchive[#Headers])))</f>
        <v/>
      </c>
    </row>
    <row r="604" ht="25" customHeight="1" spans="1:11">
      <c r="A604" s="106"/>
      <c r="B604" s="106"/>
      <c r="C604" s="126"/>
      <c r="D604" s="106"/>
      <c r="E604" s="106"/>
      <c r="F604" s="106"/>
      <c r="G604" s="106"/>
      <c r="H604" s="106"/>
      <c r="I604" s="106"/>
      <c r="J604" s="117" t="str">
        <f>IF(DGArchive[[#This Row],[目标]]="","",INDEX(幕间计算!$E$200:$E$1199,ROW()-ROW(DGArchive[#Headers])))</f>
        <v/>
      </c>
      <c r="K604" s="117" t="str">
        <f>IF(DGArchive[[#This Row],[目标]]="","",INDEX(幕间计算!$F$200:$F$1199,ROW()-ROW(DGArchive[#Headers])))</f>
        <v/>
      </c>
    </row>
    <row r="605" ht="25" customHeight="1" spans="1:11">
      <c r="A605" s="106"/>
      <c r="B605" s="106"/>
      <c r="C605" s="126"/>
      <c r="D605" s="106"/>
      <c r="E605" s="106"/>
      <c r="F605" s="106"/>
      <c r="G605" s="106"/>
      <c r="H605" s="106"/>
      <c r="I605" s="106"/>
      <c r="J605" s="117" t="str">
        <f>IF(DGArchive[[#This Row],[目标]]="","",INDEX(幕间计算!$E$200:$E$1199,ROW()-ROW(DGArchive[#Headers])))</f>
        <v/>
      </c>
      <c r="K605" s="117" t="str">
        <f>IF(DGArchive[[#This Row],[目标]]="","",INDEX(幕间计算!$F$200:$F$1199,ROW()-ROW(DGArchive[#Headers])))</f>
        <v/>
      </c>
    </row>
    <row r="606" ht="25" customHeight="1" spans="1:11">
      <c r="A606" s="106"/>
      <c r="B606" s="106"/>
      <c r="C606" s="126"/>
      <c r="D606" s="106"/>
      <c r="E606" s="106"/>
      <c r="F606" s="106"/>
      <c r="G606" s="106"/>
      <c r="H606" s="106"/>
      <c r="I606" s="106"/>
      <c r="J606" s="117" t="str">
        <f>IF(DGArchive[[#This Row],[目标]]="","",INDEX(幕间计算!$E$200:$E$1199,ROW()-ROW(DGArchive[#Headers])))</f>
        <v/>
      </c>
      <c r="K606" s="117" t="str">
        <f>IF(DGArchive[[#This Row],[目标]]="","",INDEX(幕间计算!$F$200:$F$1199,ROW()-ROW(DGArchive[#Headers])))</f>
        <v/>
      </c>
    </row>
    <row r="607" ht="25" customHeight="1" spans="1:11">
      <c r="A607" s="106"/>
      <c r="B607" s="106"/>
      <c r="C607" s="126"/>
      <c r="D607" s="106"/>
      <c r="E607" s="106"/>
      <c r="F607" s="106"/>
      <c r="G607" s="106"/>
      <c r="H607" s="106"/>
      <c r="I607" s="106"/>
      <c r="J607" s="117" t="str">
        <f>IF(DGArchive[[#This Row],[目标]]="","",INDEX(幕间计算!$E$200:$E$1199,ROW()-ROW(DGArchive[#Headers])))</f>
        <v/>
      </c>
      <c r="K607" s="117" t="str">
        <f>IF(DGArchive[[#This Row],[目标]]="","",INDEX(幕间计算!$F$200:$F$1199,ROW()-ROW(DGArchive[#Headers])))</f>
        <v/>
      </c>
    </row>
    <row r="608" ht="25" customHeight="1" spans="1:11">
      <c r="A608" s="106"/>
      <c r="B608" s="106"/>
      <c r="C608" s="126"/>
      <c r="D608" s="106"/>
      <c r="E608" s="106"/>
      <c r="F608" s="106"/>
      <c r="G608" s="106"/>
      <c r="H608" s="106"/>
      <c r="I608" s="106"/>
      <c r="J608" s="117" t="str">
        <f>IF(DGArchive[[#This Row],[目标]]="","",INDEX(幕间计算!$E$200:$E$1199,ROW()-ROW(DGArchive[#Headers])))</f>
        <v/>
      </c>
      <c r="K608" s="117" t="str">
        <f>IF(DGArchive[[#This Row],[目标]]="","",INDEX(幕间计算!$F$200:$F$1199,ROW()-ROW(DGArchive[#Headers])))</f>
        <v/>
      </c>
    </row>
    <row r="609" ht="25" customHeight="1" spans="1:11">
      <c r="A609" s="106"/>
      <c r="B609" s="106"/>
      <c r="C609" s="126"/>
      <c r="D609" s="106"/>
      <c r="E609" s="106"/>
      <c r="F609" s="106"/>
      <c r="G609" s="106"/>
      <c r="H609" s="106"/>
      <c r="I609" s="106"/>
      <c r="J609" s="117" t="str">
        <f>IF(DGArchive[[#This Row],[目标]]="","",INDEX(幕间计算!$E$200:$E$1199,ROW()-ROW(DGArchive[#Headers])))</f>
        <v/>
      </c>
      <c r="K609" s="117" t="str">
        <f>IF(DGArchive[[#This Row],[目标]]="","",INDEX(幕间计算!$F$200:$F$1199,ROW()-ROW(DGArchive[#Headers])))</f>
        <v/>
      </c>
    </row>
    <row r="610" ht="25" customHeight="1" spans="1:11">
      <c r="A610" s="106"/>
      <c r="B610" s="106"/>
      <c r="C610" s="126"/>
      <c r="D610" s="106"/>
      <c r="E610" s="106"/>
      <c r="F610" s="106"/>
      <c r="G610" s="106"/>
      <c r="H610" s="106"/>
      <c r="I610" s="106"/>
      <c r="J610" s="117" t="str">
        <f>IF(DGArchive[[#This Row],[目标]]="","",INDEX(幕间计算!$E$200:$E$1199,ROW()-ROW(DGArchive[#Headers])))</f>
        <v/>
      </c>
      <c r="K610" s="117" t="str">
        <f>IF(DGArchive[[#This Row],[目标]]="","",INDEX(幕间计算!$F$200:$F$1199,ROW()-ROW(DGArchive[#Headers])))</f>
        <v/>
      </c>
    </row>
    <row r="611" ht="25" customHeight="1" spans="1:11">
      <c r="A611" s="106"/>
      <c r="B611" s="106"/>
      <c r="C611" s="126"/>
      <c r="D611" s="106"/>
      <c r="E611" s="106"/>
      <c r="F611" s="106"/>
      <c r="G611" s="106"/>
      <c r="H611" s="106"/>
      <c r="I611" s="106"/>
      <c r="J611" s="117" t="str">
        <f>IF(DGArchive[[#This Row],[目标]]="","",INDEX(幕间计算!$E$200:$E$1199,ROW()-ROW(DGArchive[#Headers])))</f>
        <v/>
      </c>
      <c r="K611" s="117" t="str">
        <f>IF(DGArchive[[#This Row],[目标]]="","",INDEX(幕间计算!$F$200:$F$1199,ROW()-ROW(DGArchive[#Headers])))</f>
        <v/>
      </c>
    </row>
    <row r="612" ht="25" customHeight="1" spans="1:11">
      <c r="A612" s="106"/>
      <c r="B612" s="106"/>
      <c r="C612" s="126"/>
      <c r="D612" s="106"/>
      <c r="E612" s="106"/>
      <c r="F612" s="106"/>
      <c r="G612" s="106"/>
      <c r="H612" s="106"/>
      <c r="I612" s="106"/>
      <c r="J612" s="117" t="str">
        <f>IF(DGArchive[[#This Row],[目标]]="","",INDEX(幕间计算!$E$200:$E$1199,ROW()-ROW(DGArchive[#Headers])))</f>
        <v/>
      </c>
      <c r="K612" s="117" t="str">
        <f>IF(DGArchive[[#This Row],[目标]]="","",INDEX(幕间计算!$F$200:$F$1199,ROW()-ROW(DGArchive[#Headers])))</f>
        <v/>
      </c>
    </row>
    <row r="613" ht="25" customHeight="1" spans="1:11">
      <c r="A613" s="106"/>
      <c r="B613" s="106"/>
      <c r="C613" s="126"/>
      <c r="D613" s="106"/>
      <c r="E613" s="106"/>
      <c r="F613" s="106"/>
      <c r="G613" s="106"/>
      <c r="H613" s="106"/>
      <c r="I613" s="106"/>
      <c r="J613" s="117" t="str">
        <f>IF(DGArchive[[#This Row],[目标]]="","",INDEX(幕间计算!$E$200:$E$1199,ROW()-ROW(DGArchive[#Headers])))</f>
        <v/>
      </c>
      <c r="K613" s="117" t="str">
        <f>IF(DGArchive[[#This Row],[目标]]="","",INDEX(幕间计算!$F$200:$F$1199,ROW()-ROW(DGArchive[#Headers])))</f>
        <v/>
      </c>
    </row>
    <row r="614" ht="25" customHeight="1" spans="1:11">
      <c r="A614" s="106"/>
      <c r="B614" s="106"/>
      <c r="C614" s="126"/>
      <c r="D614" s="106"/>
      <c r="E614" s="106"/>
      <c r="F614" s="106"/>
      <c r="G614" s="106"/>
      <c r="H614" s="106"/>
      <c r="I614" s="106"/>
      <c r="J614" s="117" t="str">
        <f>IF(DGArchive[[#This Row],[目标]]="","",INDEX(幕间计算!$E$200:$E$1199,ROW()-ROW(DGArchive[#Headers])))</f>
        <v/>
      </c>
      <c r="K614" s="117" t="str">
        <f>IF(DGArchive[[#This Row],[目标]]="","",INDEX(幕间计算!$F$200:$F$1199,ROW()-ROW(DGArchive[#Headers])))</f>
        <v/>
      </c>
    </row>
    <row r="615" ht="25" customHeight="1" spans="1:11">
      <c r="A615" s="106"/>
      <c r="B615" s="106"/>
      <c r="C615" s="126"/>
      <c r="D615" s="106"/>
      <c r="E615" s="106"/>
      <c r="F615" s="106"/>
      <c r="G615" s="106"/>
      <c r="H615" s="106"/>
      <c r="I615" s="106"/>
      <c r="J615" s="117" t="str">
        <f>IF(DGArchive[[#This Row],[目标]]="","",INDEX(幕间计算!$E$200:$E$1199,ROW()-ROW(DGArchive[#Headers])))</f>
        <v/>
      </c>
      <c r="K615" s="117" t="str">
        <f>IF(DGArchive[[#This Row],[目标]]="","",INDEX(幕间计算!$F$200:$F$1199,ROW()-ROW(DGArchive[#Headers])))</f>
        <v/>
      </c>
    </row>
    <row r="616" ht="25" customHeight="1" spans="1:11">
      <c r="A616" s="106"/>
      <c r="B616" s="106"/>
      <c r="C616" s="126"/>
      <c r="D616" s="106"/>
      <c r="E616" s="106"/>
      <c r="F616" s="106"/>
      <c r="G616" s="106"/>
      <c r="H616" s="106"/>
      <c r="I616" s="106"/>
      <c r="J616" s="117" t="str">
        <f>IF(DGArchive[[#This Row],[目标]]="","",INDEX(幕间计算!$E$200:$E$1199,ROW()-ROW(DGArchive[#Headers])))</f>
        <v/>
      </c>
      <c r="K616" s="117" t="str">
        <f>IF(DGArchive[[#This Row],[目标]]="","",INDEX(幕间计算!$F$200:$F$1199,ROW()-ROW(DGArchive[#Headers])))</f>
        <v/>
      </c>
    </row>
    <row r="617" ht="25" customHeight="1" spans="1:11">
      <c r="A617" s="106"/>
      <c r="B617" s="106"/>
      <c r="C617" s="126"/>
      <c r="D617" s="106"/>
      <c r="E617" s="106"/>
      <c r="F617" s="106"/>
      <c r="G617" s="106"/>
      <c r="H617" s="106"/>
      <c r="I617" s="106"/>
      <c r="J617" s="117" t="str">
        <f>IF(DGArchive[[#This Row],[目标]]="","",INDEX(幕间计算!$E$200:$E$1199,ROW()-ROW(DGArchive[#Headers])))</f>
        <v/>
      </c>
      <c r="K617" s="117" t="str">
        <f>IF(DGArchive[[#This Row],[目标]]="","",INDEX(幕间计算!$F$200:$F$1199,ROW()-ROW(DGArchive[#Headers])))</f>
        <v/>
      </c>
    </row>
    <row r="618" ht="25" customHeight="1" spans="1:11">
      <c r="A618" s="106"/>
      <c r="B618" s="106"/>
      <c r="C618" s="126"/>
      <c r="D618" s="106"/>
      <c r="E618" s="106"/>
      <c r="F618" s="106"/>
      <c r="G618" s="106"/>
      <c r="H618" s="106"/>
      <c r="I618" s="106"/>
      <c r="J618" s="117" t="str">
        <f>IF(DGArchive[[#This Row],[目标]]="","",INDEX(幕间计算!$E$200:$E$1199,ROW()-ROW(DGArchive[#Headers])))</f>
        <v/>
      </c>
      <c r="K618" s="117" t="str">
        <f>IF(DGArchive[[#This Row],[目标]]="","",INDEX(幕间计算!$F$200:$F$1199,ROW()-ROW(DGArchive[#Headers])))</f>
        <v/>
      </c>
    </row>
    <row r="619" ht="25" customHeight="1" spans="1:11">
      <c r="A619" s="106"/>
      <c r="B619" s="106"/>
      <c r="C619" s="126"/>
      <c r="D619" s="106"/>
      <c r="E619" s="106"/>
      <c r="F619" s="106"/>
      <c r="G619" s="106"/>
      <c r="H619" s="106"/>
      <c r="I619" s="106"/>
      <c r="J619" s="117" t="str">
        <f>IF(DGArchive[[#This Row],[目标]]="","",INDEX(幕间计算!$E$200:$E$1199,ROW()-ROW(DGArchive[#Headers])))</f>
        <v/>
      </c>
      <c r="K619" s="117" t="str">
        <f>IF(DGArchive[[#This Row],[目标]]="","",INDEX(幕间计算!$F$200:$F$1199,ROW()-ROW(DGArchive[#Headers])))</f>
        <v/>
      </c>
    </row>
    <row r="620" ht="25" customHeight="1" spans="1:11">
      <c r="A620" s="106"/>
      <c r="B620" s="106"/>
      <c r="C620" s="126"/>
      <c r="D620" s="106"/>
      <c r="E620" s="106"/>
      <c r="F620" s="106"/>
      <c r="G620" s="106"/>
      <c r="H620" s="106"/>
      <c r="I620" s="106"/>
      <c r="J620" s="117" t="str">
        <f>IF(DGArchive[[#This Row],[目标]]="","",INDEX(幕间计算!$E$200:$E$1199,ROW()-ROW(DGArchive[#Headers])))</f>
        <v/>
      </c>
      <c r="K620" s="117" t="str">
        <f>IF(DGArchive[[#This Row],[目标]]="","",INDEX(幕间计算!$F$200:$F$1199,ROW()-ROW(DGArchive[#Headers])))</f>
        <v/>
      </c>
    </row>
    <row r="621" ht="25" customHeight="1" spans="1:11">
      <c r="A621" s="106"/>
      <c r="B621" s="106"/>
      <c r="C621" s="126"/>
      <c r="D621" s="106"/>
      <c r="E621" s="106"/>
      <c r="F621" s="106"/>
      <c r="G621" s="106"/>
      <c r="H621" s="106"/>
      <c r="I621" s="106"/>
      <c r="J621" s="117" t="str">
        <f>IF(DGArchive[[#This Row],[目标]]="","",INDEX(幕间计算!$E$200:$E$1199,ROW()-ROW(DGArchive[#Headers])))</f>
        <v/>
      </c>
      <c r="K621" s="117" t="str">
        <f>IF(DGArchive[[#This Row],[目标]]="","",INDEX(幕间计算!$F$200:$F$1199,ROW()-ROW(DGArchive[#Headers])))</f>
        <v/>
      </c>
    </row>
    <row r="622" ht="25" customHeight="1" spans="1:11">
      <c r="A622" s="106"/>
      <c r="B622" s="106"/>
      <c r="C622" s="126"/>
      <c r="D622" s="106"/>
      <c r="E622" s="106"/>
      <c r="F622" s="106"/>
      <c r="G622" s="106"/>
      <c r="H622" s="106"/>
      <c r="I622" s="106"/>
      <c r="J622" s="117" t="str">
        <f>IF(DGArchive[[#This Row],[目标]]="","",INDEX(幕间计算!$E$200:$E$1199,ROW()-ROW(DGArchive[#Headers])))</f>
        <v/>
      </c>
      <c r="K622" s="117" t="str">
        <f>IF(DGArchive[[#This Row],[目标]]="","",INDEX(幕间计算!$F$200:$F$1199,ROW()-ROW(DGArchive[#Headers])))</f>
        <v/>
      </c>
    </row>
    <row r="623" ht="25" customHeight="1" spans="1:11">
      <c r="A623" s="106"/>
      <c r="B623" s="106"/>
      <c r="C623" s="126"/>
      <c r="D623" s="106"/>
      <c r="E623" s="106"/>
      <c r="F623" s="106"/>
      <c r="G623" s="106"/>
      <c r="H623" s="106"/>
      <c r="I623" s="106"/>
      <c r="J623" s="117" t="str">
        <f>IF(DGArchive[[#This Row],[目标]]="","",INDEX(幕间计算!$E$200:$E$1199,ROW()-ROW(DGArchive[#Headers])))</f>
        <v/>
      </c>
      <c r="K623" s="117" t="str">
        <f>IF(DGArchive[[#This Row],[目标]]="","",INDEX(幕间计算!$F$200:$F$1199,ROW()-ROW(DGArchive[#Headers])))</f>
        <v/>
      </c>
    </row>
    <row r="624" ht="25" customHeight="1" spans="1:11">
      <c r="A624" s="106"/>
      <c r="B624" s="106"/>
      <c r="C624" s="126"/>
      <c r="D624" s="106"/>
      <c r="E624" s="106"/>
      <c r="F624" s="106"/>
      <c r="G624" s="106"/>
      <c r="H624" s="106"/>
      <c r="I624" s="106"/>
      <c r="J624" s="117" t="str">
        <f>IF(DGArchive[[#This Row],[目标]]="","",INDEX(幕间计算!$E$200:$E$1199,ROW()-ROW(DGArchive[#Headers])))</f>
        <v/>
      </c>
      <c r="K624" s="117" t="str">
        <f>IF(DGArchive[[#This Row],[目标]]="","",INDEX(幕间计算!$F$200:$F$1199,ROW()-ROW(DGArchive[#Headers])))</f>
        <v/>
      </c>
    </row>
    <row r="625" ht="25" customHeight="1" spans="1:11">
      <c r="A625" s="106"/>
      <c r="B625" s="106"/>
      <c r="C625" s="126"/>
      <c r="D625" s="106"/>
      <c r="E625" s="106"/>
      <c r="F625" s="106"/>
      <c r="G625" s="106"/>
      <c r="H625" s="106"/>
      <c r="I625" s="106"/>
      <c r="J625" s="117" t="str">
        <f>IF(DGArchive[[#This Row],[目标]]="","",INDEX(幕间计算!$E$200:$E$1199,ROW()-ROW(DGArchive[#Headers])))</f>
        <v/>
      </c>
      <c r="K625" s="117" t="str">
        <f>IF(DGArchive[[#This Row],[目标]]="","",INDEX(幕间计算!$F$200:$F$1199,ROW()-ROW(DGArchive[#Headers])))</f>
        <v/>
      </c>
    </row>
    <row r="626" ht="25" customHeight="1" spans="1:11">
      <c r="A626" s="106"/>
      <c r="B626" s="106"/>
      <c r="C626" s="126"/>
      <c r="D626" s="106"/>
      <c r="E626" s="106"/>
      <c r="F626" s="106"/>
      <c r="G626" s="106"/>
      <c r="H626" s="106"/>
      <c r="I626" s="106"/>
      <c r="J626" s="117" t="str">
        <f>IF(DGArchive[[#This Row],[目标]]="","",INDEX(幕间计算!$E$200:$E$1199,ROW()-ROW(DGArchive[#Headers])))</f>
        <v/>
      </c>
      <c r="K626" s="117" t="str">
        <f>IF(DGArchive[[#This Row],[目标]]="","",INDEX(幕间计算!$F$200:$F$1199,ROW()-ROW(DGArchive[#Headers])))</f>
        <v/>
      </c>
    </row>
    <row r="627" ht="25" customHeight="1" spans="1:11">
      <c r="A627" s="106"/>
      <c r="B627" s="106"/>
      <c r="C627" s="126"/>
      <c r="D627" s="106"/>
      <c r="E627" s="106"/>
      <c r="F627" s="106"/>
      <c r="G627" s="106"/>
      <c r="H627" s="106"/>
      <c r="I627" s="106"/>
      <c r="J627" s="117" t="str">
        <f>IF(DGArchive[[#This Row],[目标]]="","",INDEX(幕间计算!$E$200:$E$1199,ROW()-ROW(DGArchive[#Headers])))</f>
        <v/>
      </c>
      <c r="K627" s="117" t="str">
        <f>IF(DGArchive[[#This Row],[目标]]="","",INDEX(幕间计算!$F$200:$F$1199,ROW()-ROW(DGArchive[#Headers])))</f>
        <v/>
      </c>
    </row>
    <row r="628" ht="25" customHeight="1" spans="1:11">
      <c r="A628" s="106"/>
      <c r="B628" s="106"/>
      <c r="C628" s="126"/>
      <c r="D628" s="106"/>
      <c r="E628" s="106"/>
      <c r="F628" s="106"/>
      <c r="G628" s="106"/>
      <c r="H628" s="106"/>
      <c r="I628" s="106"/>
      <c r="J628" s="117" t="str">
        <f>IF(DGArchive[[#This Row],[目标]]="","",INDEX(幕间计算!$E$200:$E$1199,ROW()-ROW(DGArchive[#Headers])))</f>
        <v/>
      </c>
      <c r="K628" s="117" t="str">
        <f>IF(DGArchive[[#This Row],[目标]]="","",INDEX(幕间计算!$F$200:$F$1199,ROW()-ROW(DGArchive[#Headers])))</f>
        <v/>
      </c>
    </row>
    <row r="629" ht="25" customHeight="1" spans="1:11">
      <c r="A629" s="106"/>
      <c r="B629" s="106"/>
      <c r="C629" s="126"/>
      <c r="D629" s="106"/>
      <c r="E629" s="106"/>
      <c r="F629" s="106"/>
      <c r="G629" s="106"/>
      <c r="H629" s="106"/>
      <c r="I629" s="106"/>
      <c r="J629" s="117" t="str">
        <f>IF(DGArchive[[#This Row],[目标]]="","",INDEX(幕间计算!$E$200:$E$1199,ROW()-ROW(DGArchive[#Headers])))</f>
        <v/>
      </c>
      <c r="K629" s="117" t="str">
        <f>IF(DGArchive[[#This Row],[目标]]="","",INDEX(幕间计算!$F$200:$F$1199,ROW()-ROW(DGArchive[#Headers])))</f>
        <v/>
      </c>
    </row>
    <row r="630" ht="25" customHeight="1" spans="1:11">
      <c r="A630" s="106"/>
      <c r="B630" s="106"/>
      <c r="C630" s="126"/>
      <c r="D630" s="106"/>
      <c r="E630" s="106"/>
      <c r="F630" s="106"/>
      <c r="G630" s="106"/>
      <c r="H630" s="106"/>
      <c r="I630" s="106"/>
      <c r="J630" s="117" t="str">
        <f>IF(DGArchive[[#This Row],[目标]]="","",INDEX(幕间计算!$E$200:$E$1199,ROW()-ROW(DGArchive[#Headers])))</f>
        <v/>
      </c>
      <c r="K630" s="117" t="str">
        <f>IF(DGArchive[[#This Row],[目标]]="","",INDEX(幕间计算!$F$200:$F$1199,ROW()-ROW(DGArchive[#Headers])))</f>
        <v/>
      </c>
    </row>
    <row r="631" ht="25" customHeight="1" spans="1:11">
      <c r="A631" s="106"/>
      <c r="B631" s="106"/>
      <c r="C631" s="126"/>
      <c r="D631" s="106"/>
      <c r="E631" s="106"/>
      <c r="F631" s="106"/>
      <c r="G631" s="106"/>
      <c r="H631" s="106"/>
      <c r="I631" s="106"/>
      <c r="J631" s="117" t="str">
        <f>IF(DGArchive[[#This Row],[目标]]="","",INDEX(幕间计算!$E$200:$E$1199,ROW()-ROW(DGArchive[#Headers])))</f>
        <v/>
      </c>
      <c r="K631" s="117" t="str">
        <f>IF(DGArchive[[#This Row],[目标]]="","",INDEX(幕间计算!$F$200:$F$1199,ROW()-ROW(DGArchive[#Headers])))</f>
        <v/>
      </c>
    </row>
    <row r="632" ht="25" customHeight="1" spans="1:11">
      <c r="A632" s="106"/>
      <c r="B632" s="106"/>
      <c r="C632" s="126"/>
      <c r="D632" s="106"/>
      <c r="E632" s="106"/>
      <c r="F632" s="106"/>
      <c r="G632" s="106"/>
      <c r="H632" s="106"/>
      <c r="I632" s="106"/>
      <c r="J632" s="117" t="str">
        <f>IF(DGArchive[[#This Row],[目标]]="","",INDEX(幕间计算!$E$200:$E$1199,ROW()-ROW(DGArchive[#Headers])))</f>
        <v/>
      </c>
      <c r="K632" s="117" t="str">
        <f>IF(DGArchive[[#This Row],[目标]]="","",INDEX(幕间计算!$F$200:$F$1199,ROW()-ROW(DGArchive[#Headers])))</f>
        <v/>
      </c>
    </row>
    <row r="633" ht="25" customHeight="1" spans="1:11">
      <c r="A633" s="106"/>
      <c r="B633" s="106"/>
      <c r="C633" s="126"/>
      <c r="D633" s="106"/>
      <c r="E633" s="106"/>
      <c r="F633" s="106"/>
      <c r="G633" s="106"/>
      <c r="H633" s="106"/>
      <c r="I633" s="106"/>
      <c r="J633" s="117" t="str">
        <f>IF(DGArchive[[#This Row],[目标]]="","",INDEX(幕间计算!$E$200:$E$1199,ROW()-ROW(DGArchive[#Headers])))</f>
        <v/>
      </c>
      <c r="K633" s="117" t="str">
        <f>IF(DGArchive[[#This Row],[目标]]="","",INDEX(幕间计算!$F$200:$F$1199,ROW()-ROW(DGArchive[#Headers])))</f>
        <v/>
      </c>
    </row>
    <row r="634" ht="25" customHeight="1" spans="1:11">
      <c r="A634" s="106"/>
      <c r="B634" s="106"/>
      <c r="C634" s="126"/>
      <c r="D634" s="106"/>
      <c r="E634" s="106"/>
      <c r="F634" s="106"/>
      <c r="G634" s="106"/>
      <c r="H634" s="106"/>
      <c r="I634" s="106"/>
      <c r="J634" s="117" t="str">
        <f>IF(DGArchive[[#This Row],[目标]]="","",INDEX(幕间计算!$E$200:$E$1199,ROW()-ROW(DGArchive[#Headers])))</f>
        <v/>
      </c>
      <c r="K634" s="117" t="str">
        <f>IF(DGArchive[[#This Row],[目标]]="","",INDEX(幕间计算!$F$200:$F$1199,ROW()-ROW(DGArchive[#Headers])))</f>
        <v/>
      </c>
    </row>
    <row r="635" ht="25" customHeight="1" spans="1:11">
      <c r="A635" s="106"/>
      <c r="B635" s="106"/>
      <c r="C635" s="126"/>
      <c r="D635" s="106"/>
      <c r="E635" s="106"/>
      <c r="F635" s="106"/>
      <c r="G635" s="106"/>
      <c r="H635" s="106"/>
      <c r="I635" s="106"/>
      <c r="J635" s="117" t="str">
        <f>IF(DGArchive[[#This Row],[目标]]="","",INDEX(幕间计算!$E$200:$E$1199,ROW()-ROW(DGArchive[#Headers])))</f>
        <v/>
      </c>
      <c r="K635" s="117" t="str">
        <f>IF(DGArchive[[#This Row],[目标]]="","",INDEX(幕间计算!$F$200:$F$1199,ROW()-ROW(DGArchive[#Headers])))</f>
        <v/>
      </c>
    </row>
    <row r="636" ht="25" customHeight="1" spans="1:11">
      <c r="A636" s="106"/>
      <c r="B636" s="106"/>
      <c r="C636" s="126"/>
      <c r="D636" s="106"/>
      <c r="E636" s="106"/>
      <c r="F636" s="106"/>
      <c r="G636" s="106"/>
      <c r="H636" s="106"/>
      <c r="I636" s="106"/>
      <c r="J636" s="117" t="str">
        <f>IF(DGArchive[[#This Row],[目标]]="","",INDEX(幕间计算!$E$200:$E$1199,ROW()-ROW(DGArchive[#Headers])))</f>
        <v/>
      </c>
      <c r="K636" s="117" t="str">
        <f>IF(DGArchive[[#This Row],[目标]]="","",INDEX(幕间计算!$F$200:$F$1199,ROW()-ROW(DGArchive[#Headers])))</f>
        <v/>
      </c>
    </row>
    <row r="637" ht="25" customHeight="1" spans="1:11">
      <c r="A637" s="106"/>
      <c r="B637" s="106"/>
      <c r="C637" s="126"/>
      <c r="D637" s="106"/>
      <c r="E637" s="106"/>
      <c r="F637" s="106"/>
      <c r="G637" s="106"/>
      <c r="H637" s="106"/>
      <c r="I637" s="106"/>
      <c r="J637" s="117" t="str">
        <f>IF(DGArchive[[#This Row],[目标]]="","",INDEX(幕间计算!$E$200:$E$1199,ROW()-ROW(DGArchive[#Headers])))</f>
        <v/>
      </c>
      <c r="K637" s="117" t="str">
        <f>IF(DGArchive[[#This Row],[目标]]="","",INDEX(幕间计算!$F$200:$F$1199,ROW()-ROW(DGArchive[#Headers])))</f>
        <v/>
      </c>
    </row>
    <row r="638" ht="25" customHeight="1" spans="1:11">
      <c r="A638" s="106"/>
      <c r="B638" s="106"/>
      <c r="C638" s="126"/>
      <c r="D638" s="106"/>
      <c r="E638" s="106"/>
      <c r="F638" s="106"/>
      <c r="G638" s="106"/>
      <c r="H638" s="106"/>
      <c r="I638" s="106"/>
      <c r="J638" s="117" t="str">
        <f>IF(DGArchive[[#This Row],[目标]]="","",INDEX(幕间计算!$E$200:$E$1199,ROW()-ROW(DGArchive[#Headers])))</f>
        <v/>
      </c>
      <c r="K638" s="117" t="str">
        <f>IF(DGArchive[[#This Row],[目标]]="","",INDEX(幕间计算!$F$200:$F$1199,ROW()-ROW(DGArchive[#Headers])))</f>
        <v/>
      </c>
    </row>
    <row r="639" ht="25" customHeight="1" spans="1:11">
      <c r="A639" s="106"/>
      <c r="B639" s="106"/>
      <c r="C639" s="126"/>
      <c r="D639" s="106"/>
      <c r="E639" s="106"/>
      <c r="F639" s="106"/>
      <c r="G639" s="106"/>
      <c r="H639" s="106"/>
      <c r="I639" s="106"/>
      <c r="J639" s="117" t="str">
        <f>IF(DGArchive[[#This Row],[目标]]="","",INDEX(幕间计算!$E$200:$E$1199,ROW()-ROW(DGArchive[#Headers])))</f>
        <v/>
      </c>
      <c r="K639" s="117" t="str">
        <f>IF(DGArchive[[#This Row],[目标]]="","",INDEX(幕间计算!$F$200:$F$1199,ROW()-ROW(DGArchive[#Headers])))</f>
        <v/>
      </c>
    </row>
    <row r="640" ht="25" customHeight="1" spans="1:11">
      <c r="A640" s="106"/>
      <c r="B640" s="106"/>
      <c r="C640" s="126"/>
      <c r="D640" s="106"/>
      <c r="E640" s="106"/>
      <c r="F640" s="106"/>
      <c r="G640" s="106"/>
      <c r="H640" s="106"/>
      <c r="I640" s="106"/>
      <c r="J640" s="117" t="str">
        <f>IF(DGArchive[[#This Row],[目标]]="","",INDEX(幕间计算!$E$200:$E$1199,ROW()-ROW(DGArchive[#Headers])))</f>
        <v/>
      </c>
      <c r="K640" s="117" t="str">
        <f>IF(DGArchive[[#This Row],[目标]]="","",INDEX(幕间计算!$F$200:$F$1199,ROW()-ROW(DGArchive[#Headers])))</f>
        <v/>
      </c>
    </row>
    <row r="641" ht="25" customHeight="1" spans="1:11">
      <c r="A641" s="106"/>
      <c r="B641" s="106"/>
      <c r="C641" s="126"/>
      <c r="D641" s="106"/>
      <c r="E641" s="106"/>
      <c r="F641" s="106"/>
      <c r="G641" s="106"/>
      <c r="H641" s="106"/>
      <c r="I641" s="106"/>
      <c r="J641" s="117" t="str">
        <f>IF(DGArchive[[#This Row],[目标]]="","",INDEX(幕间计算!$E$200:$E$1199,ROW()-ROW(DGArchive[#Headers])))</f>
        <v/>
      </c>
      <c r="K641" s="117" t="str">
        <f>IF(DGArchive[[#This Row],[目标]]="","",INDEX(幕间计算!$F$200:$F$1199,ROW()-ROW(DGArchive[#Headers])))</f>
        <v/>
      </c>
    </row>
    <row r="642" ht="25" customHeight="1" spans="1:11">
      <c r="A642" s="106"/>
      <c r="B642" s="106"/>
      <c r="C642" s="126"/>
      <c r="D642" s="106"/>
      <c r="E642" s="106"/>
      <c r="F642" s="106"/>
      <c r="G642" s="106"/>
      <c r="H642" s="106"/>
      <c r="I642" s="106"/>
      <c r="J642" s="117" t="str">
        <f>IF(DGArchive[[#This Row],[目标]]="","",INDEX(幕间计算!$E$200:$E$1199,ROW()-ROW(DGArchive[#Headers])))</f>
        <v/>
      </c>
      <c r="K642" s="117" t="str">
        <f>IF(DGArchive[[#This Row],[目标]]="","",INDEX(幕间计算!$F$200:$F$1199,ROW()-ROW(DGArchive[#Headers])))</f>
        <v/>
      </c>
    </row>
    <row r="643" ht="25" customHeight="1" spans="1:11">
      <c r="A643" s="106"/>
      <c r="B643" s="106"/>
      <c r="C643" s="126"/>
      <c r="D643" s="106"/>
      <c r="E643" s="106"/>
      <c r="F643" s="106"/>
      <c r="G643" s="106"/>
      <c r="H643" s="106"/>
      <c r="I643" s="106"/>
      <c r="J643" s="117" t="str">
        <f>IF(DGArchive[[#This Row],[目标]]="","",INDEX(幕间计算!$E$200:$E$1199,ROW()-ROW(DGArchive[#Headers])))</f>
        <v/>
      </c>
      <c r="K643" s="117" t="str">
        <f>IF(DGArchive[[#This Row],[目标]]="","",INDEX(幕间计算!$F$200:$F$1199,ROW()-ROW(DGArchive[#Headers])))</f>
        <v/>
      </c>
    </row>
    <row r="644" ht="25" customHeight="1" spans="1:11">
      <c r="A644" s="106"/>
      <c r="B644" s="106"/>
      <c r="C644" s="126"/>
      <c r="D644" s="106"/>
      <c r="E644" s="106"/>
      <c r="F644" s="106"/>
      <c r="G644" s="106"/>
      <c r="H644" s="106"/>
      <c r="I644" s="106"/>
      <c r="J644" s="117" t="str">
        <f>IF(DGArchive[[#This Row],[目标]]="","",INDEX(幕间计算!$E$200:$E$1199,ROW()-ROW(DGArchive[#Headers])))</f>
        <v/>
      </c>
      <c r="K644" s="117" t="str">
        <f>IF(DGArchive[[#This Row],[目标]]="","",INDEX(幕间计算!$F$200:$F$1199,ROW()-ROW(DGArchive[#Headers])))</f>
        <v/>
      </c>
    </row>
    <row r="645" ht="25" customHeight="1" spans="1:11">
      <c r="A645" s="106"/>
      <c r="B645" s="106"/>
      <c r="C645" s="126"/>
      <c r="D645" s="106"/>
      <c r="E645" s="106"/>
      <c r="F645" s="106"/>
      <c r="G645" s="106"/>
      <c r="H645" s="106"/>
      <c r="I645" s="106"/>
      <c r="J645" s="117" t="str">
        <f>IF(DGArchive[[#This Row],[目标]]="","",INDEX(幕间计算!$E$200:$E$1199,ROW()-ROW(DGArchive[#Headers])))</f>
        <v/>
      </c>
      <c r="K645" s="117" t="str">
        <f>IF(DGArchive[[#This Row],[目标]]="","",INDEX(幕间计算!$F$200:$F$1199,ROW()-ROW(DGArchive[#Headers])))</f>
        <v/>
      </c>
    </row>
    <row r="646" ht="25" customHeight="1" spans="1:11">
      <c r="A646" s="106"/>
      <c r="B646" s="106"/>
      <c r="C646" s="126"/>
      <c r="D646" s="106"/>
      <c r="E646" s="106"/>
      <c r="F646" s="106"/>
      <c r="G646" s="106"/>
      <c r="H646" s="106"/>
      <c r="I646" s="106"/>
      <c r="J646" s="117" t="str">
        <f>IF(DGArchive[[#This Row],[目标]]="","",INDEX(幕间计算!$E$200:$E$1199,ROW()-ROW(DGArchive[#Headers])))</f>
        <v/>
      </c>
      <c r="K646" s="117" t="str">
        <f>IF(DGArchive[[#This Row],[目标]]="","",INDEX(幕间计算!$F$200:$F$1199,ROW()-ROW(DGArchive[#Headers])))</f>
        <v/>
      </c>
    </row>
    <row r="647" ht="25" customHeight="1" spans="1:11">
      <c r="A647" s="106"/>
      <c r="B647" s="106"/>
      <c r="C647" s="126"/>
      <c r="D647" s="106"/>
      <c r="E647" s="106"/>
      <c r="F647" s="106"/>
      <c r="G647" s="106"/>
      <c r="H647" s="106"/>
      <c r="I647" s="106"/>
      <c r="J647" s="117" t="str">
        <f>IF(DGArchive[[#This Row],[目标]]="","",INDEX(幕间计算!$E$200:$E$1199,ROW()-ROW(DGArchive[#Headers])))</f>
        <v/>
      </c>
      <c r="K647" s="117" t="str">
        <f>IF(DGArchive[[#This Row],[目标]]="","",INDEX(幕间计算!$F$200:$F$1199,ROW()-ROW(DGArchive[#Headers])))</f>
        <v/>
      </c>
    </row>
    <row r="648" ht="25" customHeight="1" spans="1:11">
      <c r="A648" s="106"/>
      <c r="B648" s="106"/>
      <c r="C648" s="126"/>
      <c r="D648" s="106"/>
      <c r="E648" s="106"/>
      <c r="F648" s="106"/>
      <c r="G648" s="106"/>
      <c r="H648" s="106"/>
      <c r="I648" s="106"/>
      <c r="J648" s="117" t="str">
        <f>IF(DGArchive[[#This Row],[目标]]="","",INDEX(幕间计算!$E$200:$E$1199,ROW()-ROW(DGArchive[#Headers])))</f>
        <v/>
      </c>
      <c r="K648" s="117" t="str">
        <f>IF(DGArchive[[#This Row],[目标]]="","",INDEX(幕间计算!$F$200:$F$1199,ROW()-ROW(DGArchive[#Headers])))</f>
        <v/>
      </c>
    </row>
    <row r="649" ht="25" customHeight="1" spans="1:11">
      <c r="A649" s="106"/>
      <c r="B649" s="106"/>
      <c r="C649" s="126"/>
      <c r="D649" s="106"/>
      <c r="E649" s="106"/>
      <c r="F649" s="106"/>
      <c r="G649" s="106"/>
      <c r="H649" s="106"/>
      <c r="I649" s="106"/>
      <c r="J649" s="117" t="str">
        <f>IF(DGArchive[[#This Row],[目标]]="","",INDEX(幕间计算!$E$200:$E$1199,ROW()-ROW(DGArchive[#Headers])))</f>
        <v/>
      </c>
      <c r="K649" s="117" t="str">
        <f>IF(DGArchive[[#This Row],[目标]]="","",INDEX(幕间计算!$F$200:$F$1199,ROW()-ROW(DGArchive[#Headers])))</f>
        <v/>
      </c>
    </row>
    <row r="650" ht="25" customHeight="1" spans="1:11">
      <c r="A650" s="106"/>
      <c r="B650" s="106"/>
      <c r="C650" s="126"/>
      <c r="D650" s="106"/>
      <c r="E650" s="106"/>
      <c r="F650" s="106"/>
      <c r="G650" s="106"/>
      <c r="H650" s="106"/>
      <c r="I650" s="106"/>
      <c r="J650" s="117" t="str">
        <f>IF(DGArchive[[#This Row],[目标]]="","",INDEX(幕间计算!$E$200:$E$1199,ROW()-ROW(DGArchive[#Headers])))</f>
        <v/>
      </c>
      <c r="K650" s="117" t="str">
        <f>IF(DGArchive[[#This Row],[目标]]="","",INDEX(幕间计算!$F$200:$F$1199,ROW()-ROW(DGArchive[#Headers])))</f>
        <v/>
      </c>
    </row>
    <row r="651" ht="25" customHeight="1" spans="1:11">
      <c r="A651" s="106"/>
      <c r="B651" s="106"/>
      <c r="C651" s="126"/>
      <c r="D651" s="106"/>
      <c r="E651" s="106"/>
      <c r="F651" s="106"/>
      <c r="G651" s="106"/>
      <c r="H651" s="106"/>
      <c r="I651" s="106"/>
      <c r="J651" s="117" t="str">
        <f>IF(DGArchive[[#This Row],[目标]]="","",INDEX(幕间计算!$E$200:$E$1199,ROW()-ROW(DGArchive[#Headers])))</f>
        <v/>
      </c>
      <c r="K651" s="117" t="str">
        <f>IF(DGArchive[[#This Row],[目标]]="","",INDEX(幕间计算!$F$200:$F$1199,ROW()-ROW(DGArchive[#Headers])))</f>
        <v/>
      </c>
    </row>
    <row r="652" ht="25" customHeight="1" spans="1:11">
      <c r="A652" s="106"/>
      <c r="B652" s="106"/>
      <c r="C652" s="126"/>
      <c r="D652" s="106"/>
      <c r="E652" s="106"/>
      <c r="F652" s="106"/>
      <c r="G652" s="106"/>
      <c r="H652" s="106"/>
      <c r="I652" s="106"/>
      <c r="J652" s="117" t="str">
        <f>IF(DGArchive[[#This Row],[目标]]="","",INDEX(幕间计算!$E$200:$E$1199,ROW()-ROW(DGArchive[#Headers])))</f>
        <v/>
      </c>
      <c r="K652" s="117" t="str">
        <f>IF(DGArchive[[#This Row],[目标]]="","",INDEX(幕间计算!$F$200:$F$1199,ROW()-ROW(DGArchive[#Headers])))</f>
        <v/>
      </c>
    </row>
    <row r="653" ht="25" customHeight="1" spans="1:11">
      <c r="A653" s="106"/>
      <c r="B653" s="106"/>
      <c r="C653" s="126"/>
      <c r="D653" s="106"/>
      <c r="E653" s="106"/>
      <c r="F653" s="106"/>
      <c r="G653" s="106"/>
      <c r="H653" s="106"/>
      <c r="I653" s="106"/>
      <c r="J653" s="117" t="str">
        <f>IF(DGArchive[[#This Row],[目标]]="","",INDEX(幕间计算!$E$200:$E$1199,ROW()-ROW(DGArchive[#Headers])))</f>
        <v/>
      </c>
      <c r="K653" s="117" t="str">
        <f>IF(DGArchive[[#This Row],[目标]]="","",INDEX(幕间计算!$F$200:$F$1199,ROW()-ROW(DGArchive[#Headers])))</f>
        <v/>
      </c>
    </row>
    <row r="654" ht="25" customHeight="1" spans="1:11">
      <c r="A654" s="106"/>
      <c r="B654" s="106"/>
      <c r="C654" s="126"/>
      <c r="D654" s="106"/>
      <c r="E654" s="106"/>
      <c r="F654" s="106"/>
      <c r="G654" s="106"/>
      <c r="H654" s="106"/>
      <c r="I654" s="106"/>
      <c r="J654" s="117" t="str">
        <f>IF(DGArchive[[#This Row],[目标]]="","",INDEX(幕间计算!$E$200:$E$1199,ROW()-ROW(DGArchive[#Headers])))</f>
        <v/>
      </c>
      <c r="K654" s="117" t="str">
        <f>IF(DGArchive[[#This Row],[目标]]="","",INDEX(幕间计算!$F$200:$F$1199,ROW()-ROW(DGArchive[#Headers])))</f>
        <v/>
      </c>
    </row>
    <row r="655" ht="25" customHeight="1" spans="1:11">
      <c r="A655" s="106"/>
      <c r="B655" s="106"/>
      <c r="C655" s="126"/>
      <c r="D655" s="106"/>
      <c r="E655" s="106"/>
      <c r="F655" s="106"/>
      <c r="G655" s="106"/>
      <c r="H655" s="106"/>
      <c r="I655" s="106"/>
      <c r="J655" s="117" t="str">
        <f>IF(DGArchive[[#This Row],[目标]]="","",INDEX(幕间计算!$E$200:$E$1199,ROW()-ROW(DGArchive[#Headers])))</f>
        <v/>
      </c>
      <c r="K655" s="117" t="str">
        <f>IF(DGArchive[[#This Row],[目标]]="","",INDEX(幕间计算!$F$200:$F$1199,ROW()-ROW(DGArchive[#Headers])))</f>
        <v/>
      </c>
    </row>
    <row r="656" ht="25" customHeight="1" spans="1:11">
      <c r="A656" s="106"/>
      <c r="B656" s="106"/>
      <c r="C656" s="126"/>
      <c r="D656" s="106"/>
      <c r="E656" s="106"/>
      <c r="F656" s="106"/>
      <c r="G656" s="106"/>
      <c r="H656" s="106"/>
      <c r="I656" s="106"/>
      <c r="J656" s="117" t="str">
        <f>IF(DGArchive[[#This Row],[目标]]="","",INDEX(幕间计算!$E$200:$E$1199,ROW()-ROW(DGArchive[#Headers])))</f>
        <v/>
      </c>
      <c r="K656" s="117" t="str">
        <f>IF(DGArchive[[#This Row],[目标]]="","",INDEX(幕间计算!$F$200:$F$1199,ROW()-ROW(DGArchive[#Headers])))</f>
        <v/>
      </c>
    </row>
    <row r="657" ht="25" customHeight="1" spans="1:11">
      <c r="A657" s="106"/>
      <c r="B657" s="106"/>
      <c r="C657" s="126"/>
      <c r="D657" s="106"/>
      <c r="E657" s="106"/>
      <c r="F657" s="106"/>
      <c r="G657" s="106"/>
      <c r="H657" s="106"/>
      <c r="I657" s="106"/>
      <c r="J657" s="117" t="str">
        <f>IF(DGArchive[[#This Row],[目标]]="","",INDEX(幕间计算!$E$200:$E$1199,ROW()-ROW(DGArchive[#Headers])))</f>
        <v/>
      </c>
      <c r="K657" s="117" t="str">
        <f>IF(DGArchive[[#This Row],[目标]]="","",INDEX(幕间计算!$F$200:$F$1199,ROW()-ROW(DGArchive[#Headers])))</f>
        <v/>
      </c>
    </row>
    <row r="658" ht="25" customHeight="1" spans="1:11">
      <c r="A658" s="106"/>
      <c r="B658" s="106"/>
      <c r="C658" s="126"/>
      <c r="D658" s="106"/>
      <c r="E658" s="106"/>
      <c r="F658" s="106"/>
      <c r="G658" s="106"/>
      <c r="H658" s="106"/>
      <c r="I658" s="106"/>
      <c r="J658" s="117" t="str">
        <f>IF(DGArchive[[#This Row],[目标]]="","",INDEX(幕间计算!$E$200:$E$1199,ROW()-ROW(DGArchive[#Headers])))</f>
        <v/>
      </c>
      <c r="K658" s="117" t="str">
        <f>IF(DGArchive[[#This Row],[目标]]="","",INDEX(幕间计算!$F$200:$F$1199,ROW()-ROW(DGArchive[#Headers])))</f>
        <v/>
      </c>
    </row>
    <row r="659" ht="25" customHeight="1" spans="1:11">
      <c r="A659" s="106"/>
      <c r="B659" s="106"/>
      <c r="C659" s="126"/>
      <c r="D659" s="106"/>
      <c r="E659" s="106"/>
      <c r="F659" s="106"/>
      <c r="G659" s="106"/>
      <c r="H659" s="106"/>
      <c r="I659" s="106"/>
      <c r="J659" s="117" t="str">
        <f>IF(DGArchive[[#This Row],[目标]]="","",INDEX(幕间计算!$E$200:$E$1199,ROW()-ROW(DGArchive[#Headers])))</f>
        <v/>
      </c>
      <c r="K659" s="117" t="str">
        <f>IF(DGArchive[[#This Row],[目标]]="","",INDEX(幕间计算!$F$200:$F$1199,ROW()-ROW(DGArchive[#Headers])))</f>
        <v/>
      </c>
    </row>
    <row r="660" ht="25" customHeight="1" spans="1:11">
      <c r="A660" s="106"/>
      <c r="B660" s="106"/>
      <c r="C660" s="126"/>
      <c r="D660" s="106"/>
      <c r="E660" s="106"/>
      <c r="F660" s="106"/>
      <c r="G660" s="106"/>
      <c r="H660" s="106"/>
      <c r="I660" s="106"/>
      <c r="J660" s="117" t="str">
        <f>IF(DGArchive[[#This Row],[目标]]="","",INDEX(幕间计算!$E$200:$E$1199,ROW()-ROW(DGArchive[#Headers])))</f>
        <v/>
      </c>
      <c r="K660" s="117" t="str">
        <f>IF(DGArchive[[#This Row],[目标]]="","",INDEX(幕间计算!$F$200:$F$1199,ROW()-ROW(DGArchive[#Headers])))</f>
        <v/>
      </c>
    </row>
    <row r="661" ht="25" customHeight="1" spans="1:11">
      <c r="A661" s="106"/>
      <c r="B661" s="106"/>
      <c r="C661" s="126"/>
      <c r="D661" s="106"/>
      <c r="E661" s="106"/>
      <c r="F661" s="106"/>
      <c r="G661" s="106"/>
      <c r="H661" s="106"/>
      <c r="I661" s="106"/>
      <c r="J661" s="117" t="str">
        <f>IF(DGArchive[[#This Row],[目标]]="","",INDEX(幕间计算!$E$200:$E$1199,ROW()-ROW(DGArchive[#Headers])))</f>
        <v/>
      </c>
      <c r="K661" s="117" t="str">
        <f>IF(DGArchive[[#This Row],[目标]]="","",INDEX(幕间计算!$F$200:$F$1199,ROW()-ROW(DGArchive[#Headers])))</f>
        <v/>
      </c>
    </row>
    <row r="662" ht="25" customHeight="1" spans="1:11">
      <c r="A662" s="106"/>
      <c r="B662" s="106"/>
      <c r="C662" s="126"/>
      <c r="D662" s="106"/>
      <c r="E662" s="106"/>
      <c r="F662" s="106"/>
      <c r="G662" s="106"/>
      <c r="H662" s="106"/>
      <c r="I662" s="106"/>
      <c r="J662" s="117" t="str">
        <f>IF(DGArchive[[#This Row],[目标]]="","",INDEX(幕间计算!$E$200:$E$1199,ROW()-ROW(DGArchive[#Headers])))</f>
        <v/>
      </c>
      <c r="K662" s="117" t="str">
        <f>IF(DGArchive[[#This Row],[目标]]="","",INDEX(幕间计算!$F$200:$F$1199,ROW()-ROW(DGArchive[#Headers])))</f>
        <v/>
      </c>
    </row>
    <row r="663" ht="25" customHeight="1" spans="1:11">
      <c r="A663" s="106"/>
      <c r="B663" s="106"/>
      <c r="C663" s="126"/>
      <c r="D663" s="106"/>
      <c r="E663" s="106"/>
      <c r="F663" s="106"/>
      <c r="G663" s="106"/>
      <c r="H663" s="106"/>
      <c r="I663" s="106"/>
      <c r="J663" s="117" t="str">
        <f>IF(DGArchive[[#This Row],[目标]]="","",INDEX(幕间计算!$E$200:$E$1199,ROW()-ROW(DGArchive[#Headers])))</f>
        <v/>
      </c>
      <c r="K663" s="117" t="str">
        <f>IF(DGArchive[[#This Row],[目标]]="","",INDEX(幕间计算!$F$200:$F$1199,ROW()-ROW(DGArchive[#Headers])))</f>
        <v/>
      </c>
    </row>
    <row r="664" ht="25" customHeight="1" spans="1:11">
      <c r="A664" s="106"/>
      <c r="B664" s="106"/>
      <c r="C664" s="126"/>
      <c r="D664" s="106"/>
      <c r="E664" s="106"/>
      <c r="F664" s="106"/>
      <c r="G664" s="106"/>
      <c r="H664" s="106"/>
      <c r="I664" s="106"/>
      <c r="J664" s="117" t="str">
        <f>IF(DGArchive[[#This Row],[目标]]="","",INDEX(幕间计算!$E$200:$E$1199,ROW()-ROW(DGArchive[#Headers])))</f>
        <v/>
      </c>
      <c r="K664" s="117" t="str">
        <f>IF(DGArchive[[#This Row],[目标]]="","",INDEX(幕间计算!$F$200:$F$1199,ROW()-ROW(DGArchive[#Headers])))</f>
        <v/>
      </c>
    </row>
    <row r="665" ht="25" customHeight="1" spans="1:11">
      <c r="A665" s="106"/>
      <c r="B665" s="106"/>
      <c r="C665" s="126"/>
      <c r="D665" s="106"/>
      <c r="E665" s="106"/>
      <c r="F665" s="106"/>
      <c r="G665" s="106"/>
      <c r="H665" s="106"/>
      <c r="I665" s="106"/>
      <c r="J665" s="117" t="str">
        <f>IF(DGArchive[[#This Row],[目标]]="","",INDEX(幕间计算!$E$200:$E$1199,ROW()-ROW(DGArchive[#Headers])))</f>
        <v/>
      </c>
      <c r="K665" s="117" t="str">
        <f>IF(DGArchive[[#This Row],[目标]]="","",INDEX(幕间计算!$F$200:$F$1199,ROW()-ROW(DGArchive[#Headers])))</f>
        <v/>
      </c>
    </row>
    <row r="666" ht="25" customHeight="1" spans="1:11">
      <c r="A666" s="106"/>
      <c r="B666" s="106"/>
      <c r="C666" s="126"/>
      <c r="D666" s="106"/>
      <c r="E666" s="106"/>
      <c r="F666" s="106"/>
      <c r="G666" s="106"/>
      <c r="H666" s="106"/>
      <c r="I666" s="106"/>
      <c r="J666" s="117" t="str">
        <f>IF(DGArchive[[#This Row],[目标]]="","",INDEX(幕间计算!$E$200:$E$1199,ROW()-ROW(DGArchive[#Headers])))</f>
        <v/>
      </c>
      <c r="K666" s="117" t="str">
        <f>IF(DGArchive[[#This Row],[目标]]="","",INDEX(幕间计算!$F$200:$F$1199,ROW()-ROW(DGArchive[#Headers])))</f>
        <v/>
      </c>
    </row>
    <row r="667" ht="25" customHeight="1" spans="1:11">
      <c r="A667" s="106"/>
      <c r="B667" s="106"/>
      <c r="C667" s="126"/>
      <c r="D667" s="106"/>
      <c r="E667" s="106"/>
      <c r="F667" s="106"/>
      <c r="G667" s="106"/>
      <c r="H667" s="106"/>
      <c r="I667" s="106"/>
      <c r="J667" s="117" t="str">
        <f>IF(DGArchive[[#This Row],[目标]]="","",INDEX(幕间计算!$E$200:$E$1199,ROW()-ROW(DGArchive[#Headers])))</f>
        <v/>
      </c>
      <c r="K667" s="117" t="str">
        <f>IF(DGArchive[[#This Row],[目标]]="","",INDEX(幕间计算!$F$200:$F$1199,ROW()-ROW(DGArchive[#Headers])))</f>
        <v/>
      </c>
    </row>
    <row r="668" ht="25" customHeight="1" spans="1:11">
      <c r="A668" s="106"/>
      <c r="B668" s="106"/>
      <c r="C668" s="126"/>
      <c r="D668" s="106"/>
      <c r="E668" s="106"/>
      <c r="F668" s="106"/>
      <c r="G668" s="106"/>
      <c r="H668" s="106"/>
      <c r="I668" s="106"/>
      <c r="J668" s="117" t="str">
        <f>IF(DGArchive[[#This Row],[目标]]="","",INDEX(幕间计算!$E$200:$E$1199,ROW()-ROW(DGArchive[#Headers])))</f>
        <v/>
      </c>
      <c r="K668" s="117" t="str">
        <f>IF(DGArchive[[#This Row],[目标]]="","",INDEX(幕间计算!$F$200:$F$1199,ROW()-ROW(DGArchive[#Headers])))</f>
        <v/>
      </c>
    </row>
    <row r="669" ht="25" customHeight="1" spans="1:11">
      <c r="A669" s="106"/>
      <c r="B669" s="106"/>
      <c r="C669" s="126"/>
      <c r="D669" s="106"/>
      <c r="E669" s="106"/>
      <c r="F669" s="106"/>
      <c r="G669" s="106"/>
      <c r="H669" s="106"/>
      <c r="I669" s="106"/>
      <c r="J669" s="117" t="str">
        <f>IF(DGArchive[[#This Row],[目标]]="","",INDEX(幕间计算!$E$200:$E$1199,ROW()-ROW(DGArchive[#Headers])))</f>
        <v/>
      </c>
      <c r="K669" s="117" t="str">
        <f>IF(DGArchive[[#This Row],[目标]]="","",INDEX(幕间计算!$F$200:$F$1199,ROW()-ROW(DGArchive[#Headers])))</f>
        <v/>
      </c>
    </row>
    <row r="670" ht="25" customHeight="1" spans="1:11">
      <c r="A670" s="106"/>
      <c r="B670" s="106"/>
      <c r="C670" s="126"/>
      <c r="D670" s="106"/>
      <c r="E670" s="106"/>
      <c r="F670" s="106"/>
      <c r="G670" s="106"/>
      <c r="H670" s="106"/>
      <c r="I670" s="106"/>
      <c r="J670" s="117" t="str">
        <f>IF(DGArchive[[#This Row],[目标]]="","",INDEX(幕间计算!$E$200:$E$1199,ROW()-ROW(DGArchive[#Headers])))</f>
        <v/>
      </c>
      <c r="K670" s="117" t="str">
        <f>IF(DGArchive[[#This Row],[目标]]="","",INDEX(幕间计算!$F$200:$F$1199,ROW()-ROW(DGArchive[#Headers])))</f>
        <v/>
      </c>
    </row>
    <row r="671" ht="25" customHeight="1" spans="1:11">
      <c r="A671" s="106"/>
      <c r="B671" s="106"/>
      <c r="C671" s="126"/>
      <c r="D671" s="106"/>
      <c r="E671" s="106"/>
      <c r="F671" s="106"/>
      <c r="G671" s="106"/>
      <c r="H671" s="106"/>
      <c r="I671" s="106"/>
      <c r="J671" s="117" t="str">
        <f>IF(DGArchive[[#This Row],[目标]]="","",INDEX(幕间计算!$E$200:$E$1199,ROW()-ROW(DGArchive[#Headers])))</f>
        <v/>
      </c>
      <c r="K671" s="117" t="str">
        <f>IF(DGArchive[[#This Row],[目标]]="","",INDEX(幕间计算!$F$200:$F$1199,ROW()-ROW(DGArchive[#Headers])))</f>
        <v/>
      </c>
    </row>
    <row r="672" ht="25" customHeight="1" spans="1:11">
      <c r="A672" s="106"/>
      <c r="B672" s="106"/>
      <c r="C672" s="126"/>
      <c r="D672" s="106"/>
      <c r="E672" s="106"/>
      <c r="F672" s="106"/>
      <c r="G672" s="106"/>
      <c r="H672" s="106"/>
      <c r="I672" s="106"/>
      <c r="J672" s="117" t="str">
        <f>IF(DGArchive[[#This Row],[目标]]="","",INDEX(幕间计算!$E$200:$E$1199,ROW()-ROW(DGArchive[#Headers])))</f>
        <v/>
      </c>
      <c r="K672" s="117" t="str">
        <f>IF(DGArchive[[#This Row],[目标]]="","",INDEX(幕间计算!$F$200:$F$1199,ROW()-ROW(DGArchive[#Headers])))</f>
        <v/>
      </c>
    </row>
    <row r="673" ht="25" customHeight="1" spans="1:11">
      <c r="A673" s="106"/>
      <c r="B673" s="106"/>
      <c r="C673" s="126"/>
      <c r="D673" s="106"/>
      <c r="E673" s="106"/>
      <c r="F673" s="106"/>
      <c r="G673" s="106"/>
      <c r="H673" s="106"/>
      <c r="I673" s="106"/>
      <c r="J673" s="117" t="str">
        <f>IF(DGArchive[[#This Row],[目标]]="","",INDEX(幕间计算!$E$200:$E$1199,ROW()-ROW(DGArchive[#Headers])))</f>
        <v/>
      </c>
      <c r="K673" s="117" t="str">
        <f>IF(DGArchive[[#This Row],[目标]]="","",INDEX(幕间计算!$F$200:$F$1199,ROW()-ROW(DGArchive[#Headers])))</f>
        <v/>
      </c>
    </row>
    <row r="674" ht="25" customHeight="1" spans="1:11">
      <c r="A674" s="106"/>
      <c r="B674" s="106"/>
      <c r="C674" s="126"/>
      <c r="D674" s="106"/>
      <c r="E674" s="106"/>
      <c r="F674" s="106"/>
      <c r="G674" s="106"/>
      <c r="H674" s="106"/>
      <c r="I674" s="106"/>
      <c r="J674" s="117" t="str">
        <f>IF(DGArchive[[#This Row],[目标]]="","",INDEX(幕间计算!$E$200:$E$1199,ROW()-ROW(DGArchive[#Headers])))</f>
        <v/>
      </c>
      <c r="K674" s="117" t="str">
        <f>IF(DGArchive[[#This Row],[目标]]="","",INDEX(幕间计算!$F$200:$F$1199,ROW()-ROW(DGArchive[#Headers])))</f>
        <v/>
      </c>
    </row>
    <row r="675" ht="25" customHeight="1" spans="1:11">
      <c r="A675" s="106"/>
      <c r="B675" s="106"/>
      <c r="C675" s="126"/>
      <c r="D675" s="106"/>
      <c r="E675" s="106"/>
      <c r="F675" s="106"/>
      <c r="G675" s="106"/>
      <c r="H675" s="106"/>
      <c r="I675" s="106"/>
      <c r="J675" s="117" t="str">
        <f>IF(DGArchive[[#This Row],[目标]]="","",INDEX(幕间计算!$E$200:$E$1199,ROW()-ROW(DGArchive[#Headers])))</f>
        <v/>
      </c>
      <c r="K675" s="117" t="str">
        <f>IF(DGArchive[[#This Row],[目标]]="","",INDEX(幕间计算!$F$200:$F$1199,ROW()-ROW(DGArchive[#Headers])))</f>
        <v/>
      </c>
    </row>
    <row r="676" ht="25" customHeight="1" spans="1:11">
      <c r="A676" s="106"/>
      <c r="B676" s="106"/>
      <c r="C676" s="126"/>
      <c r="D676" s="106"/>
      <c r="E676" s="106"/>
      <c r="F676" s="106"/>
      <c r="G676" s="106"/>
      <c r="H676" s="106"/>
      <c r="I676" s="106"/>
      <c r="J676" s="117" t="str">
        <f>IF(DGArchive[[#This Row],[目标]]="","",INDEX(幕间计算!$E$200:$E$1199,ROW()-ROW(DGArchive[#Headers])))</f>
        <v/>
      </c>
      <c r="K676" s="117" t="str">
        <f>IF(DGArchive[[#This Row],[目标]]="","",INDEX(幕间计算!$F$200:$F$1199,ROW()-ROW(DGArchive[#Headers])))</f>
        <v/>
      </c>
    </row>
    <row r="677" ht="25" customHeight="1" spans="1:11">
      <c r="A677" s="106"/>
      <c r="B677" s="106"/>
      <c r="C677" s="126"/>
      <c r="D677" s="106"/>
      <c r="E677" s="106"/>
      <c r="F677" s="106"/>
      <c r="G677" s="106"/>
      <c r="H677" s="106"/>
      <c r="I677" s="106"/>
      <c r="J677" s="117" t="str">
        <f>IF(DGArchive[[#This Row],[目标]]="","",INDEX(幕间计算!$E$200:$E$1199,ROW()-ROW(DGArchive[#Headers])))</f>
        <v/>
      </c>
      <c r="K677" s="117" t="str">
        <f>IF(DGArchive[[#This Row],[目标]]="","",INDEX(幕间计算!$F$200:$F$1199,ROW()-ROW(DGArchive[#Headers])))</f>
        <v/>
      </c>
    </row>
    <row r="678" ht="25" customHeight="1" spans="1:11">
      <c r="A678" s="106"/>
      <c r="B678" s="106"/>
      <c r="C678" s="126"/>
      <c r="D678" s="106"/>
      <c r="E678" s="106"/>
      <c r="F678" s="106"/>
      <c r="G678" s="106"/>
      <c r="H678" s="106"/>
      <c r="I678" s="106"/>
      <c r="J678" s="117" t="str">
        <f>IF(DGArchive[[#This Row],[目标]]="","",INDEX(幕间计算!$E$200:$E$1199,ROW()-ROW(DGArchive[#Headers])))</f>
        <v/>
      </c>
      <c r="K678" s="117" t="str">
        <f>IF(DGArchive[[#This Row],[目标]]="","",INDEX(幕间计算!$F$200:$F$1199,ROW()-ROW(DGArchive[#Headers])))</f>
        <v/>
      </c>
    </row>
    <row r="679" ht="25" customHeight="1" spans="1:11">
      <c r="A679" s="106"/>
      <c r="B679" s="106"/>
      <c r="C679" s="126"/>
      <c r="D679" s="106"/>
      <c r="E679" s="106"/>
      <c r="F679" s="106"/>
      <c r="G679" s="106"/>
      <c r="H679" s="106"/>
      <c r="I679" s="106"/>
      <c r="J679" s="117" t="str">
        <f>IF(DGArchive[[#This Row],[目标]]="","",INDEX(幕间计算!$E$200:$E$1199,ROW()-ROW(DGArchive[#Headers])))</f>
        <v/>
      </c>
      <c r="K679" s="117" t="str">
        <f>IF(DGArchive[[#This Row],[目标]]="","",INDEX(幕间计算!$F$200:$F$1199,ROW()-ROW(DGArchive[#Headers])))</f>
        <v/>
      </c>
    </row>
    <row r="680" ht="25" customHeight="1" spans="1:11">
      <c r="A680" s="106"/>
      <c r="B680" s="106"/>
      <c r="C680" s="126"/>
      <c r="D680" s="106"/>
      <c r="E680" s="106"/>
      <c r="F680" s="106"/>
      <c r="G680" s="106"/>
      <c r="H680" s="106"/>
      <c r="I680" s="106"/>
      <c r="J680" s="117" t="str">
        <f>IF(DGArchive[[#This Row],[目标]]="","",INDEX(幕间计算!$E$200:$E$1199,ROW()-ROW(DGArchive[#Headers])))</f>
        <v/>
      </c>
      <c r="K680" s="117" t="str">
        <f>IF(DGArchive[[#This Row],[目标]]="","",INDEX(幕间计算!$F$200:$F$1199,ROW()-ROW(DGArchive[#Headers])))</f>
        <v/>
      </c>
    </row>
    <row r="681" ht="25" customHeight="1" spans="1:11">
      <c r="A681" s="106"/>
      <c r="B681" s="106"/>
      <c r="C681" s="126"/>
      <c r="D681" s="106"/>
      <c r="E681" s="106"/>
      <c r="F681" s="106"/>
      <c r="G681" s="106"/>
      <c r="H681" s="106"/>
      <c r="I681" s="106"/>
      <c r="J681" s="117" t="str">
        <f>IF(DGArchive[[#This Row],[目标]]="","",INDEX(幕间计算!$E$200:$E$1199,ROW()-ROW(DGArchive[#Headers])))</f>
        <v/>
      </c>
      <c r="K681" s="117" t="str">
        <f>IF(DGArchive[[#This Row],[目标]]="","",INDEX(幕间计算!$F$200:$F$1199,ROW()-ROW(DGArchive[#Headers])))</f>
        <v/>
      </c>
    </row>
    <row r="682" ht="25" customHeight="1" spans="1:11">
      <c r="A682" s="106"/>
      <c r="B682" s="106"/>
      <c r="C682" s="126"/>
      <c r="D682" s="106"/>
      <c r="E682" s="106"/>
      <c r="F682" s="106"/>
      <c r="G682" s="106"/>
      <c r="H682" s="106"/>
      <c r="I682" s="106"/>
      <c r="J682" s="117" t="str">
        <f>IF(DGArchive[[#This Row],[目标]]="","",INDEX(幕间计算!$E$200:$E$1199,ROW()-ROW(DGArchive[#Headers])))</f>
        <v/>
      </c>
      <c r="K682" s="117" t="str">
        <f>IF(DGArchive[[#This Row],[目标]]="","",INDEX(幕间计算!$F$200:$F$1199,ROW()-ROW(DGArchive[#Headers])))</f>
        <v/>
      </c>
    </row>
    <row r="683" ht="25" customHeight="1" spans="1:11">
      <c r="A683" s="106"/>
      <c r="B683" s="106"/>
      <c r="C683" s="126"/>
      <c r="D683" s="106"/>
      <c r="E683" s="106"/>
      <c r="F683" s="106"/>
      <c r="G683" s="106"/>
      <c r="H683" s="106"/>
      <c r="I683" s="106"/>
      <c r="J683" s="117" t="str">
        <f>IF(DGArchive[[#This Row],[目标]]="","",INDEX(幕间计算!$E$200:$E$1199,ROW()-ROW(DGArchive[#Headers])))</f>
        <v/>
      </c>
      <c r="K683" s="117" t="str">
        <f>IF(DGArchive[[#This Row],[目标]]="","",INDEX(幕间计算!$F$200:$F$1199,ROW()-ROW(DGArchive[#Headers])))</f>
        <v/>
      </c>
    </row>
    <row r="684" ht="25" customHeight="1" spans="1:11">
      <c r="A684" s="106"/>
      <c r="B684" s="106"/>
      <c r="C684" s="126"/>
      <c r="D684" s="106"/>
      <c r="E684" s="106"/>
      <c r="F684" s="106"/>
      <c r="G684" s="106"/>
      <c r="H684" s="106"/>
      <c r="I684" s="106"/>
      <c r="J684" s="117" t="str">
        <f>IF(DGArchive[[#This Row],[目标]]="","",INDEX(幕间计算!$E$200:$E$1199,ROW()-ROW(DGArchive[#Headers])))</f>
        <v/>
      </c>
      <c r="K684" s="117" t="str">
        <f>IF(DGArchive[[#This Row],[目标]]="","",INDEX(幕间计算!$F$200:$F$1199,ROW()-ROW(DGArchive[#Headers])))</f>
        <v/>
      </c>
    </row>
    <row r="685" ht="25" customHeight="1" spans="1:11">
      <c r="A685" s="106"/>
      <c r="B685" s="106"/>
      <c r="C685" s="126"/>
      <c r="D685" s="106"/>
      <c r="E685" s="106"/>
      <c r="F685" s="106"/>
      <c r="G685" s="106"/>
      <c r="H685" s="106"/>
      <c r="I685" s="106"/>
      <c r="J685" s="117" t="str">
        <f>IF(DGArchive[[#This Row],[目标]]="","",INDEX(幕间计算!$E$200:$E$1199,ROW()-ROW(DGArchive[#Headers])))</f>
        <v/>
      </c>
      <c r="K685" s="117" t="str">
        <f>IF(DGArchive[[#This Row],[目标]]="","",INDEX(幕间计算!$F$200:$F$1199,ROW()-ROW(DGArchive[#Headers])))</f>
        <v/>
      </c>
    </row>
    <row r="686" ht="25" customHeight="1" spans="1:11">
      <c r="A686" s="106"/>
      <c r="B686" s="106"/>
      <c r="C686" s="126"/>
      <c r="D686" s="106"/>
      <c r="E686" s="106"/>
      <c r="F686" s="106"/>
      <c r="G686" s="106"/>
      <c r="H686" s="106"/>
      <c r="I686" s="106"/>
      <c r="J686" s="117" t="str">
        <f>IF(DGArchive[[#This Row],[目标]]="","",INDEX(幕间计算!$E$200:$E$1199,ROW()-ROW(DGArchive[#Headers])))</f>
        <v/>
      </c>
      <c r="K686" s="117" t="str">
        <f>IF(DGArchive[[#This Row],[目标]]="","",INDEX(幕间计算!$F$200:$F$1199,ROW()-ROW(DGArchive[#Headers])))</f>
        <v/>
      </c>
    </row>
    <row r="687" ht="25" customHeight="1" spans="1:11">
      <c r="A687" s="106"/>
      <c r="B687" s="106"/>
      <c r="C687" s="126"/>
      <c r="D687" s="106"/>
      <c r="E687" s="106"/>
      <c r="F687" s="106"/>
      <c r="G687" s="106"/>
      <c r="H687" s="106"/>
      <c r="I687" s="106"/>
      <c r="J687" s="117" t="str">
        <f>IF(DGArchive[[#This Row],[目标]]="","",INDEX(幕间计算!$E$200:$E$1199,ROW()-ROW(DGArchive[#Headers])))</f>
        <v/>
      </c>
      <c r="K687" s="117" t="str">
        <f>IF(DGArchive[[#This Row],[目标]]="","",INDEX(幕间计算!$F$200:$F$1199,ROW()-ROW(DGArchive[#Headers])))</f>
        <v/>
      </c>
    </row>
    <row r="688" ht="25" customHeight="1" spans="1:11">
      <c r="A688" s="106"/>
      <c r="B688" s="106"/>
      <c r="C688" s="126"/>
      <c r="D688" s="106"/>
      <c r="E688" s="106"/>
      <c r="F688" s="106"/>
      <c r="G688" s="106"/>
      <c r="H688" s="106"/>
      <c r="I688" s="106"/>
      <c r="J688" s="117" t="str">
        <f>IF(DGArchive[[#This Row],[目标]]="","",INDEX(幕间计算!$E$200:$E$1199,ROW()-ROW(DGArchive[#Headers])))</f>
        <v/>
      </c>
      <c r="K688" s="117" t="str">
        <f>IF(DGArchive[[#This Row],[目标]]="","",INDEX(幕间计算!$F$200:$F$1199,ROW()-ROW(DGArchive[#Headers])))</f>
        <v/>
      </c>
    </row>
    <row r="689" ht="25" customHeight="1" spans="1:11">
      <c r="A689" s="106"/>
      <c r="B689" s="106"/>
      <c r="C689" s="126"/>
      <c r="D689" s="106"/>
      <c r="E689" s="106"/>
      <c r="F689" s="106"/>
      <c r="G689" s="106"/>
      <c r="H689" s="106"/>
      <c r="I689" s="106"/>
      <c r="J689" s="117" t="str">
        <f>IF(DGArchive[[#This Row],[目标]]="","",INDEX(幕间计算!$E$200:$E$1199,ROW()-ROW(DGArchive[#Headers])))</f>
        <v/>
      </c>
      <c r="K689" s="117" t="str">
        <f>IF(DGArchive[[#This Row],[目标]]="","",INDEX(幕间计算!$F$200:$F$1199,ROW()-ROW(DGArchive[#Headers])))</f>
        <v/>
      </c>
    </row>
    <row r="690" ht="25" customHeight="1" spans="1:11">
      <c r="A690" s="106"/>
      <c r="B690" s="106"/>
      <c r="C690" s="126"/>
      <c r="D690" s="106"/>
      <c r="E690" s="106"/>
      <c r="F690" s="106"/>
      <c r="G690" s="106"/>
      <c r="H690" s="106"/>
      <c r="I690" s="106"/>
      <c r="J690" s="117" t="str">
        <f>IF(DGArchive[[#This Row],[目标]]="","",INDEX(幕间计算!$E$200:$E$1199,ROW()-ROW(DGArchive[#Headers])))</f>
        <v/>
      </c>
      <c r="K690" s="117" t="str">
        <f>IF(DGArchive[[#This Row],[目标]]="","",INDEX(幕间计算!$F$200:$F$1199,ROW()-ROW(DGArchive[#Headers])))</f>
        <v/>
      </c>
    </row>
    <row r="691" ht="25" customHeight="1" spans="1:11">
      <c r="A691" s="106"/>
      <c r="B691" s="106"/>
      <c r="C691" s="126"/>
      <c r="D691" s="106"/>
      <c r="E691" s="106"/>
      <c r="F691" s="106"/>
      <c r="G691" s="106"/>
      <c r="H691" s="106"/>
      <c r="I691" s="106"/>
      <c r="J691" s="117" t="str">
        <f>IF(DGArchive[[#This Row],[目标]]="","",INDEX(幕间计算!$E$200:$E$1199,ROW()-ROW(DGArchive[#Headers])))</f>
        <v/>
      </c>
      <c r="K691" s="117" t="str">
        <f>IF(DGArchive[[#This Row],[目标]]="","",INDEX(幕间计算!$F$200:$F$1199,ROW()-ROW(DGArchive[#Headers])))</f>
        <v/>
      </c>
    </row>
    <row r="692" ht="25" customHeight="1" spans="1:11">
      <c r="A692" s="106"/>
      <c r="B692" s="106"/>
      <c r="C692" s="126"/>
      <c r="D692" s="106"/>
      <c r="E692" s="106"/>
      <c r="F692" s="106"/>
      <c r="G692" s="106"/>
      <c r="H692" s="106"/>
      <c r="I692" s="106"/>
      <c r="J692" s="117" t="str">
        <f>IF(DGArchive[[#This Row],[目标]]="","",INDEX(幕间计算!$E$200:$E$1199,ROW()-ROW(DGArchive[#Headers])))</f>
        <v/>
      </c>
      <c r="K692" s="117" t="str">
        <f>IF(DGArchive[[#This Row],[目标]]="","",INDEX(幕间计算!$F$200:$F$1199,ROW()-ROW(DGArchive[#Headers])))</f>
        <v/>
      </c>
    </row>
    <row r="693" ht="25" customHeight="1" spans="1:11">
      <c r="A693" s="106"/>
      <c r="B693" s="106"/>
      <c r="C693" s="126"/>
      <c r="D693" s="106"/>
      <c r="E693" s="106"/>
      <c r="F693" s="106"/>
      <c r="G693" s="106"/>
      <c r="H693" s="106"/>
      <c r="I693" s="106"/>
      <c r="J693" s="117" t="str">
        <f>IF(DGArchive[[#This Row],[目标]]="","",INDEX(幕间计算!$E$200:$E$1199,ROW()-ROW(DGArchive[#Headers])))</f>
        <v/>
      </c>
      <c r="K693" s="117" t="str">
        <f>IF(DGArchive[[#This Row],[目标]]="","",INDEX(幕间计算!$F$200:$F$1199,ROW()-ROW(DGArchive[#Headers])))</f>
        <v/>
      </c>
    </row>
    <row r="694" ht="25" customHeight="1" spans="1:11">
      <c r="A694" s="106"/>
      <c r="B694" s="106"/>
      <c r="C694" s="126"/>
      <c r="D694" s="106"/>
      <c r="E694" s="106"/>
      <c r="F694" s="106"/>
      <c r="G694" s="106"/>
      <c r="H694" s="106"/>
      <c r="I694" s="106"/>
      <c r="J694" s="117" t="str">
        <f>IF(DGArchive[[#This Row],[目标]]="","",INDEX(幕间计算!$E$200:$E$1199,ROW()-ROW(DGArchive[#Headers])))</f>
        <v/>
      </c>
      <c r="K694" s="117" t="str">
        <f>IF(DGArchive[[#This Row],[目标]]="","",INDEX(幕间计算!$F$200:$F$1199,ROW()-ROW(DGArchive[#Headers])))</f>
        <v/>
      </c>
    </row>
    <row r="695" ht="25" customHeight="1" spans="1:11">
      <c r="A695" s="106"/>
      <c r="B695" s="106"/>
      <c r="C695" s="126"/>
      <c r="D695" s="106"/>
      <c r="E695" s="106"/>
      <c r="F695" s="106"/>
      <c r="G695" s="106"/>
      <c r="H695" s="106"/>
      <c r="I695" s="106"/>
      <c r="J695" s="117" t="str">
        <f>IF(DGArchive[[#This Row],[目标]]="","",INDEX(幕间计算!$E$200:$E$1199,ROW()-ROW(DGArchive[#Headers])))</f>
        <v/>
      </c>
      <c r="K695" s="117" t="str">
        <f>IF(DGArchive[[#This Row],[目标]]="","",INDEX(幕间计算!$F$200:$F$1199,ROW()-ROW(DGArchive[#Headers])))</f>
        <v/>
      </c>
    </row>
    <row r="696" ht="25" customHeight="1" spans="1:11">
      <c r="A696" s="106"/>
      <c r="B696" s="106"/>
      <c r="C696" s="126"/>
      <c r="D696" s="106"/>
      <c r="E696" s="106"/>
      <c r="F696" s="106"/>
      <c r="G696" s="106"/>
      <c r="H696" s="106"/>
      <c r="I696" s="106"/>
      <c r="J696" s="117" t="str">
        <f>IF(DGArchive[[#This Row],[目标]]="","",INDEX(幕间计算!$E$200:$E$1199,ROW()-ROW(DGArchive[#Headers])))</f>
        <v/>
      </c>
      <c r="K696" s="117" t="str">
        <f>IF(DGArchive[[#This Row],[目标]]="","",INDEX(幕间计算!$F$200:$F$1199,ROW()-ROW(DGArchive[#Headers])))</f>
        <v/>
      </c>
    </row>
    <row r="697" ht="25" customHeight="1" spans="1:11">
      <c r="A697" s="106"/>
      <c r="B697" s="106"/>
      <c r="C697" s="126"/>
      <c r="D697" s="106"/>
      <c r="E697" s="106"/>
      <c r="F697" s="106"/>
      <c r="G697" s="106"/>
      <c r="H697" s="106"/>
      <c r="I697" s="106"/>
      <c r="J697" s="117" t="str">
        <f>IF(DGArchive[[#This Row],[目标]]="","",INDEX(幕间计算!$E$200:$E$1199,ROW()-ROW(DGArchive[#Headers])))</f>
        <v/>
      </c>
      <c r="K697" s="117" t="str">
        <f>IF(DGArchive[[#This Row],[目标]]="","",INDEX(幕间计算!$F$200:$F$1199,ROW()-ROW(DGArchive[#Headers])))</f>
        <v/>
      </c>
    </row>
    <row r="698" ht="25" customHeight="1" spans="1:11">
      <c r="A698" s="106"/>
      <c r="B698" s="106"/>
      <c r="C698" s="126"/>
      <c r="D698" s="106"/>
      <c r="E698" s="106"/>
      <c r="F698" s="106"/>
      <c r="G698" s="106"/>
      <c r="H698" s="106"/>
      <c r="I698" s="106"/>
      <c r="J698" s="117" t="str">
        <f>IF(DGArchive[[#This Row],[目标]]="","",INDEX(幕间计算!$E$200:$E$1199,ROW()-ROW(DGArchive[#Headers])))</f>
        <v/>
      </c>
      <c r="K698" s="117" t="str">
        <f>IF(DGArchive[[#This Row],[目标]]="","",INDEX(幕间计算!$F$200:$F$1199,ROW()-ROW(DGArchive[#Headers])))</f>
        <v/>
      </c>
    </row>
    <row r="699" ht="25" customHeight="1" spans="1:11">
      <c r="A699" s="106"/>
      <c r="B699" s="106"/>
      <c r="C699" s="126"/>
      <c r="D699" s="106"/>
      <c r="E699" s="106"/>
      <c r="F699" s="106"/>
      <c r="G699" s="106"/>
      <c r="H699" s="106"/>
      <c r="I699" s="106"/>
      <c r="J699" s="117" t="str">
        <f>IF(DGArchive[[#This Row],[目标]]="","",INDEX(幕间计算!$E$200:$E$1199,ROW()-ROW(DGArchive[#Headers])))</f>
        <v/>
      </c>
      <c r="K699" s="117" t="str">
        <f>IF(DGArchive[[#This Row],[目标]]="","",INDEX(幕间计算!$F$200:$F$1199,ROW()-ROW(DGArchive[#Headers])))</f>
        <v/>
      </c>
    </row>
    <row r="700" ht="25" customHeight="1" spans="1:11">
      <c r="A700" s="106"/>
      <c r="B700" s="106"/>
      <c r="C700" s="126"/>
      <c r="D700" s="106"/>
      <c r="E700" s="106"/>
      <c r="F700" s="106"/>
      <c r="G700" s="106"/>
      <c r="H700" s="106"/>
      <c r="I700" s="106"/>
      <c r="J700" s="117" t="str">
        <f>IF(DGArchive[[#This Row],[目标]]="","",INDEX(幕间计算!$E$200:$E$1199,ROW()-ROW(DGArchive[#Headers])))</f>
        <v/>
      </c>
      <c r="K700" s="117" t="str">
        <f>IF(DGArchive[[#This Row],[目标]]="","",INDEX(幕间计算!$F$200:$F$1199,ROW()-ROW(DGArchive[#Headers])))</f>
        <v/>
      </c>
    </row>
    <row r="701" ht="25" customHeight="1" spans="1:11">
      <c r="A701" s="106"/>
      <c r="B701" s="106"/>
      <c r="C701" s="126"/>
      <c r="D701" s="106"/>
      <c r="E701" s="106"/>
      <c r="F701" s="106"/>
      <c r="G701" s="106"/>
      <c r="H701" s="106"/>
      <c r="I701" s="106"/>
      <c r="J701" s="117" t="str">
        <f>IF(DGArchive[[#This Row],[目标]]="","",INDEX(幕间计算!$E$200:$E$1199,ROW()-ROW(DGArchive[#Headers])))</f>
        <v/>
      </c>
      <c r="K701" s="117" t="str">
        <f>IF(DGArchive[[#This Row],[目标]]="","",INDEX(幕间计算!$F$200:$F$1199,ROW()-ROW(DGArchive[#Headers])))</f>
        <v/>
      </c>
    </row>
    <row r="702" ht="25" customHeight="1" spans="1:11">
      <c r="A702" s="106"/>
      <c r="B702" s="106"/>
      <c r="C702" s="126"/>
      <c r="D702" s="106"/>
      <c r="E702" s="106"/>
      <c r="F702" s="106"/>
      <c r="G702" s="106"/>
      <c r="H702" s="106"/>
      <c r="I702" s="106"/>
      <c r="J702" s="117" t="str">
        <f>IF(DGArchive[[#This Row],[目标]]="","",INDEX(幕间计算!$E$200:$E$1199,ROW()-ROW(DGArchive[#Headers])))</f>
        <v/>
      </c>
      <c r="K702" s="117" t="str">
        <f>IF(DGArchive[[#This Row],[目标]]="","",INDEX(幕间计算!$F$200:$F$1199,ROW()-ROW(DGArchive[#Headers])))</f>
        <v/>
      </c>
    </row>
    <row r="703" ht="25" customHeight="1" spans="1:11">
      <c r="A703" s="106"/>
      <c r="B703" s="106"/>
      <c r="C703" s="126"/>
      <c r="D703" s="106"/>
      <c r="E703" s="106"/>
      <c r="F703" s="106"/>
      <c r="G703" s="106"/>
      <c r="H703" s="106"/>
      <c r="I703" s="106"/>
      <c r="J703" s="117" t="str">
        <f>IF(DGArchive[[#This Row],[目标]]="","",INDEX(幕间计算!$E$200:$E$1199,ROW()-ROW(DGArchive[#Headers])))</f>
        <v/>
      </c>
      <c r="K703" s="117" t="str">
        <f>IF(DGArchive[[#This Row],[目标]]="","",INDEX(幕间计算!$F$200:$F$1199,ROW()-ROW(DGArchive[#Headers])))</f>
        <v/>
      </c>
    </row>
    <row r="704" ht="25" customHeight="1" spans="1:11">
      <c r="A704" s="106"/>
      <c r="B704" s="106"/>
      <c r="C704" s="126"/>
      <c r="D704" s="106"/>
      <c r="E704" s="106"/>
      <c r="F704" s="106"/>
      <c r="G704" s="106"/>
      <c r="H704" s="106"/>
      <c r="I704" s="106"/>
      <c r="J704" s="117" t="str">
        <f>IF(DGArchive[[#This Row],[目标]]="","",INDEX(幕间计算!$E$200:$E$1199,ROW()-ROW(DGArchive[#Headers])))</f>
        <v/>
      </c>
      <c r="K704" s="117" t="str">
        <f>IF(DGArchive[[#This Row],[目标]]="","",INDEX(幕间计算!$F$200:$F$1199,ROW()-ROW(DGArchive[#Headers])))</f>
        <v/>
      </c>
    </row>
    <row r="705" ht="25" customHeight="1" spans="1:11">
      <c r="A705" s="106"/>
      <c r="B705" s="106"/>
      <c r="C705" s="126"/>
      <c r="D705" s="106"/>
      <c r="E705" s="106"/>
      <c r="F705" s="106"/>
      <c r="G705" s="106"/>
      <c r="H705" s="106"/>
      <c r="I705" s="106"/>
      <c r="J705" s="117" t="str">
        <f>IF(DGArchive[[#This Row],[目标]]="","",INDEX(幕间计算!$E$200:$E$1199,ROW()-ROW(DGArchive[#Headers])))</f>
        <v/>
      </c>
      <c r="K705" s="117" t="str">
        <f>IF(DGArchive[[#This Row],[目标]]="","",INDEX(幕间计算!$F$200:$F$1199,ROW()-ROW(DGArchive[#Headers])))</f>
        <v/>
      </c>
    </row>
    <row r="706" ht="25" customHeight="1" spans="1:11">
      <c r="A706" s="106"/>
      <c r="B706" s="106"/>
      <c r="C706" s="126"/>
      <c r="D706" s="106"/>
      <c r="E706" s="106"/>
      <c r="F706" s="106"/>
      <c r="G706" s="106"/>
      <c r="H706" s="106"/>
      <c r="I706" s="106"/>
      <c r="J706" s="117" t="str">
        <f>IF(DGArchive[[#This Row],[目标]]="","",INDEX(幕间计算!$E$200:$E$1199,ROW()-ROW(DGArchive[#Headers])))</f>
        <v/>
      </c>
      <c r="K706" s="117" t="str">
        <f>IF(DGArchive[[#This Row],[目标]]="","",INDEX(幕间计算!$F$200:$F$1199,ROW()-ROW(DGArchive[#Headers])))</f>
        <v/>
      </c>
    </row>
    <row r="707" ht="25" customHeight="1" spans="1:11">
      <c r="A707" s="106"/>
      <c r="B707" s="106"/>
      <c r="C707" s="126"/>
      <c r="D707" s="106"/>
      <c r="E707" s="106"/>
      <c r="F707" s="106"/>
      <c r="G707" s="106"/>
      <c r="H707" s="106"/>
      <c r="I707" s="106"/>
      <c r="J707" s="117" t="str">
        <f>IF(DGArchive[[#This Row],[目标]]="","",INDEX(幕间计算!$E$200:$E$1199,ROW()-ROW(DGArchive[#Headers])))</f>
        <v/>
      </c>
      <c r="K707" s="117" t="str">
        <f>IF(DGArchive[[#This Row],[目标]]="","",INDEX(幕间计算!$F$200:$F$1199,ROW()-ROW(DGArchive[#Headers])))</f>
        <v/>
      </c>
    </row>
    <row r="708" ht="25" customHeight="1" spans="1:11">
      <c r="A708" s="106"/>
      <c r="B708" s="106"/>
      <c r="C708" s="126"/>
      <c r="D708" s="106"/>
      <c r="E708" s="106"/>
      <c r="F708" s="106"/>
      <c r="G708" s="106"/>
      <c r="H708" s="106"/>
      <c r="I708" s="106"/>
      <c r="J708" s="117" t="str">
        <f>IF(DGArchive[[#This Row],[目标]]="","",INDEX(幕间计算!$E$200:$E$1199,ROW()-ROW(DGArchive[#Headers])))</f>
        <v/>
      </c>
      <c r="K708" s="117" t="str">
        <f>IF(DGArchive[[#This Row],[目标]]="","",INDEX(幕间计算!$F$200:$F$1199,ROW()-ROW(DGArchive[#Headers])))</f>
        <v/>
      </c>
    </row>
    <row r="709" ht="25" customHeight="1" spans="1:11">
      <c r="A709" s="106"/>
      <c r="B709" s="106"/>
      <c r="C709" s="126"/>
      <c r="D709" s="106"/>
      <c r="E709" s="106"/>
      <c r="F709" s="106"/>
      <c r="G709" s="106"/>
      <c r="H709" s="106"/>
      <c r="I709" s="106"/>
      <c r="J709" s="117" t="str">
        <f>IF(DGArchive[[#This Row],[目标]]="","",INDEX(幕间计算!$E$200:$E$1199,ROW()-ROW(DGArchive[#Headers])))</f>
        <v/>
      </c>
      <c r="K709" s="117" t="str">
        <f>IF(DGArchive[[#This Row],[目标]]="","",INDEX(幕间计算!$F$200:$F$1199,ROW()-ROW(DGArchive[#Headers])))</f>
        <v/>
      </c>
    </row>
    <row r="710" ht="25" customHeight="1" spans="1:11">
      <c r="A710" s="106"/>
      <c r="B710" s="106"/>
      <c r="C710" s="126"/>
      <c r="D710" s="106"/>
      <c r="E710" s="106"/>
      <c r="F710" s="106"/>
      <c r="G710" s="106"/>
      <c r="H710" s="106"/>
      <c r="I710" s="106"/>
      <c r="J710" s="117" t="str">
        <f>IF(DGArchive[[#This Row],[目标]]="","",INDEX(幕间计算!$E$200:$E$1199,ROW()-ROW(DGArchive[#Headers])))</f>
        <v/>
      </c>
      <c r="K710" s="117" t="str">
        <f>IF(DGArchive[[#This Row],[目标]]="","",INDEX(幕间计算!$F$200:$F$1199,ROW()-ROW(DGArchive[#Headers])))</f>
        <v/>
      </c>
    </row>
    <row r="711" ht="25" customHeight="1" spans="1:11">
      <c r="A711" s="106"/>
      <c r="B711" s="106"/>
      <c r="C711" s="126"/>
      <c r="D711" s="106"/>
      <c r="E711" s="106"/>
      <c r="F711" s="106"/>
      <c r="G711" s="106"/>
      <c r="H711" s="106"/>
      <c r="I711" s="106"/>
      <c r="J711" s="117" t="str">
        <f>IF(DGArchive[[#This Row],[目标]]="","",INDEX(幕间计算!$E$200:$E$1199,ROW()-ROW(DGArchive[#Headers])))</f>
        <v/>
      </c>
      <c r="K711" s="117" t="str">
        <f>IF(DGArchive[[#This Row],[目标]]="","",INDEX(幕间计算!$F$200:$F$1199,ROW()-ROW(DGArchive[#Headers])))</f>
        <v/>
      </c>
    </row>
    <row r="712" ht="25" customHeight="1" spans="1:11">
      <c r="A712" s="106"/>
      <c r="B712" s="106"/>
      <c r="C712" s="126"/>
      <c r="D712" s="106"/>
      <c r="E712" s="106"/>
      <c r="F712" s="106"/>
      <c r="G712" s="106"/>
      <c r="H712" s="106"/>
      <c r="I712" s="106"/>
      <c r="J712" s="117" t="str">
        <f>IF(DGArchive[[#This Row],[目标]]="","",INDEX(幕间计算!$E$200:$E$1199,ROW()-ROW(DGArchive[#Headers])))</f>
        <v/>
      </c>
      <c r="K712" s="117" t="str">
        <f>IF(DGArchive[[#This Row],[目标]]="","",INDEX(幕间计算!$F$200:$F$1199,ROW()-ROW(DGArchive[#Headers])))</f>
        <v/>
      </c>
    </row>
    <row r="713" ht="25" customHeight="1" spans="1:11">
      <c r="A713" s="106"/>
      <c r="B713" s="106"/>
      <c r="C713" s="126"/>
      <c r="D713" s="106"/>
      <c r="E713" s="106"/>
      <c r="F713" s="106"/>
      <c r="G713" s="106"/>
      <c r="H713" s="106"/>
      <c r="I713" s="106"/>
      <c r="J713" s="117" t="str">
        <f>IF(DGArchive[[#This Row],[目标]]="","",INDEX(幕间计算!$E$200:$E$1199,ROW()-ROW(DGArchive[#Headers])))</f>
        <v/>
      </c>
      <c r="K713" s="117" t="str">
        <f>IF(DGArchive[[#This Row],[目标]]="","",INDEX(幕间计算!$F$200:$F$1199,ROW()-ROW(DGArchive[#Headers])))</f>
        <v/>
      </c>
    </row>
    <row r="714" ht="25" customHeight="1" spans="1:11">
      <c r="A714" s="106"/>
      <c r="B714" s="106"/>
      <c r="C714" s="126"/>
      <c r="D714" s="106"/>
      <c r="E714" s="106"/>
      <c r="F714" s="106"/>
      <c r="G714" s="106"/>
      <c r="H714" s="106"/>
      <c r="I714" s="106"/>
      <c r="J714" s="117" t="str">
        <f>IF(DGArchive[[#This Row],[目标]]="","",INDEX(幕间计算!$E$200:$E$1199,ROW()-ROW(DGArchive[#Headers])))</f>
        <v/>
      </c>
      <c r="K714" s="117" t="str">
        <f>IF(DGArchive[[#This Row],[目标]]="","",INDEX(幕间计算!$F$200:$F$1199,ROW()-ROW(DGArchive[#Headers])))</f>
        <v/>
      </c>
    </row>
    <row r="715" ht="25" customHeight="1" spans="1:11">
      <c r="A715" s="106"/>
      <c r="B715" s="106"/>
      <c r="C715" s="126"/>
      <c r="D715" s="106"/>
      <c r="E715" s="106"/>
      <c r="F715" s="106"/>
      <c r="G715" s="106"/>
      <c r="H715" s="106"/>
      <c r="I715" s="106"/>
      <c r="J715" s="117" t="str">
        <f>IF(DGArchive[[#This Row],[目标]]="","",INDEX(幕间计算!$E$200:$E$1199,ROW()-ROW(DGArchive[#Headers])))</f>
        <v/>
      </c>
      <c r="K715" s="117" t="str">
        <f>IF(DGArchive[[#This Row],[目标]]="","",INDEX(幕间计算!$F$200:$F$1199,ROW()-ROW(DGArchive[#Headers])))</f>
        <v/>
      </c>
    </row>
    <row r="716" ht="25" customHeight="1" spans="1:11">
      <c r="A716" s="106"/>
      <c r="B716" s="106"/>
      <c r="C716" s="126"/>
      <c r="D716" s="106"/>
      <c r="E716" s="106"/>
      <c r="F716" s="106"/>
      <c r="G716" s="106"/>
      <c r="H716" s="106"/>
      <c r="I716" s="106"/>
      <c r="J716" s="117" t="str">
        <f>IF(DGArchive[[#This Row],[目标]]="","",INDEX(幕间计算!$E$200:$E$1199,ROW()-ROW(DGArchive[#Headers])))</f>
        <v/>
      </c>
      <c r="K716" s="117" t="str">
        <f>IF(DGArchive[[#This Row],[目标]]="","",INDEX(幕间计算!$F$200:$F$1199,ROW()-ROW(DGArchive[#Headers])))</f>
        <v/>
      </c>
    </row>
    <row r="717" ht="25" customHeight="1" spans="1:11">
      <c r="A717" s="106"/>
      <c r="B717" s="106"/>
      <c r="C717" s="126"/>
      <c r="D717" s="106"/>
      <c r="E717" s="106"/>
      <c r="F717" s="106"/>
      <c r="G717" s="106"/>
      <c r="H717" s="106"/>
      <c r="I717" s="106"/>
      <c r="J717" s="117" t="str">
        <f>IF(DGArchive[[#This Row],[目标]]="","",INDEX(幕间计算!$E$200:$E$1199,ROW()-ROW(DGArchive[#Headers])))</f>
        <v/>
      </c>
      <c r="K717" s="117" t="str">
        <f>IF(DGArchive[[#This Row],[目标]]="","",INDEX(幕间计算!$F$200:$F$1199,ROW()-ROW(DGArchive[#Headers])))</f>
        <v/>
      </c>
    </row>
    <row r="718" ht="25" customHeight="1" spans="1:11">
      <c r="A718" s="106"/>
      <c r="B718" s="106"/>
      <c r="C718" s="126"/>
      <c r="D718" s="106"/>
      <c r="E718" s="106"/>
      <c r="F718" s="106"/>
      <c r="G718" s="106"/>
      <c r="H718" s="106"/>
      <c r="I718" s="106"/>
      <c r="J718" s="117" t="str">
        <f>IF(DGArchive[[#This Row],[目标]]="","",INDEX(幕间计算!$E$200:$E$1199,ROW()-ROW(DGArchive[#Headers])))</f>
        <v/>
      </c>
      <c r="K718" s="117" t="str">
        <f>IF(DGArchive[[#This Row],[目标]]="","",INDEX(幕间计算!$F$200:$F$1199,ROW()-ROW(DGArchive[#Headers])))</f>
        <v/>
      </c>
    </row>
    <row r="719" ht="25" customHeight="1" spans="1:11">
      <c r="A719" s="106"/>
      <c r="B719" s="106"/>
      <c r="C719" s="126"/>
      <c r="D719" s="106"/>
      <c r="E719" s="106"/>
      <c r="F719" s="106"/>
      <c r="G719" s="106"/>
      <c r="H719" s="106"/>
      <c r="I719" s="106"/>
      <c r="J719" s="117" t="str">
        <f>IF(DGArchive[[#This Row],[目标]]="","",INDEX(幕间计算!$E$200:$E$1199,ROW()-ROW(DGArchive[#Headers])))</f>
        <v/>
      </c>
      <c r="K719" s="117" t="str">
        <f>IF(DGArchive[[#This Row],[目标]]="","",INDEX(幕间计算!$F$200:$F$1199,ROW()-ROW(DGArchive[#Headers])))</f>
        <v/>
      </c>
    </row>
    <row r="720" ht="25" customHeight="1" spans="1:11">
      <c r="A720" s="106"/>
      <c r="B720" s="106"/>
      <c r="C720" s="126"/>
      <c r="D720" s="106"/>
      <c r="E720" s="106"/>
      <c r="F720" s="106"/>
      <c r="G720" s="106"/>
      <c r="H720" s="106"/>
      <c r="I720" s="106"/>
      <c r="J720" s="117" t="str">
        <f>IF(DGArchive[[#This Row],[目标]]="","",INDEX(幕间计算!$E$200:$E$1199,ROW()-ROW(DGArchive[#Headers])))</f>
        <v/>
      </c>
      <c r="K720" s="117" t="str">
        <f>IF(DGArchive[[#This Row],[目标]]="","",INDEX(幕间计算!$F$200:$F$1199,ROW()-ROW(DGArchive[#Headers])))</f>
        <v/>
      </c>
    </row>
    <row r="721" ht="25" customHeight="1" spans="1:11">
      <c r="A721" s="106"/>
      <c r="B721" s="106"/>
      <c r="C721" s="126"/>
      <c r="D721" s="106"/>
      <c r="E721" s="106"/>
      <c r="F721" s="106"/>
      <c r="G721" s="106"/>
      <c r="H721" s="106"/>
      <c r="I721" s="106"/>
      <c r="J721" s="117" t="str">
        <f>IF(DGArchive[[#This Row],[目标]]="","",INDEX(幕间计算!$E$200:$E$1199,ROW()-ROW(DGArchive[#Headers])))</f>
        <v/>
      </c>
      <c r="K721" s="117" t="str">
        <f>IF(DGArchive[[#This Row],[目标]]="","",INDEX(幕间计算!$F$200:$F$1199,ROW()-ROW(DGArchive[#Headers])))</f>
        <v/>
      </c>
    </row>
    <row r="722" ht="25" customHeight="1" spans="1:11">
      <c r="A722" s="106"/>
      <c r="B722" s="106"/>
      <c r="C722" s="126"/>
      <c r="D722" s="106"/>
      <c r="E722" s="106"/>
      <c r="F722" s="106"/>
      <c r="G722" s="106"/>
      <c r="H722" s="106"/>
      <c r="I722" s="106"/>
      <c r="J722" s="117" t="str">
        <f>IF(DGArchive[[#This Row],[目标]]="","",INDEX(幕间计算!$E$200:$E$1199,ROW()-ROW(DGArchive[#Headers])))</f>
        <v/>
      </c>
      <c r="K722" s="117" t="str">
        <f>IF(DGArchive[[#This Row],[目标]]="","",INDEX(幕间计算!$F$200:$F$1199,ROW()-ROW(DGArchive[#Headers])))</f>
        <v/>
      </c>
    </row>
    <row r="723" ht="25" customHeight="1" spans="1:11">
      <c r="A723" s="106"/>
      <c r="B723" s="106"/>
      <c r="C723" s="126"/>
      <c r="D723" s="106"/>
      <c r="E723" s="106"/>
      <c r="F723" s="106"/>
      <c r="G723" s="106"/>
      <c r="H723" s="106"/>
      <c r="I723" s="106"/>
      <c r="J723" s="117" t="str">
        <f>IF(DGArchive[[#This Row],[目标]]="","",INDEX(幕间计算!$E$200:$E$1199,ROW()-ROW(DGArchive[#Headers])))</f>
        <v/>
      </c>
      <c r="K723" s="117" t="str">
        <f>IF(DGArchive[[#This Row],[目标]]="","",INDEX(幕间计算!$F$200:$F$1199,ROW()-ROW(DGArchive[#Headers])))</f>
        <v/>
      </c>
    </row>
    <row r="724" ht="25" customHeight="1" spans="1:11">
      <c r="A724" s="106"/>
      <c r="B724" s="106"/>
      <c r="C724" s="126"/>
      <c r="D724" s="106"/>
      <c r="E724" s="106"/>
      <c r="F724" s="106"/>
      <c r="G724" s="106"/>
      <c r="H724" s="106"/>
      <c r="I724" s="106"/>
      <c r="J724" s="117" t="str">
        <f>IF(DGArchive[[#This Row],[目标]]="","",INDEX(幕间计算!$E$200:$E$1199,ROW()-ROW(DGArchive[#Headers])))</f>
        <v/>
      </c>
      <c r="K724" s="117" t="str">
        <f>IF(DGArchive[[#This Row],[目标]]="","",INDEX(幕间计算!$F$200:$F$1199,ROW()-ROW(DGArchive[#Headers])))</f>
        <v/>
      </c>
    </row>
    <row r="725" ht="25" customHeight="1" spans="1:11">
      <c r="A725" s="106"/>
      <c r="B725" s="106"/>
      <c r="C725" s="126"/>
      <c r="D725" s="106"/>
      <c r="E725" s="106"/>
      <c r="F725" s="106"/>
      <c r="G725" s="106"/>
      <c r="H725" s="106"/>
      <c r="I725" s="106"/>
      <c r="J725" s="117" t="str">
        <f>IF(DGArchive[[#This Row],[目标]]="","",INDEX(幕间计算!$E$200:$E$1199,ROW()-ROW(DGArchive[#Headers])))</f>
        <v/>
      </c>
      <c r="K725" s="117" t="str">
        <f>IF(DGArchive[[#This Row],[目标]]="","",INDEX(幕间计算!$F$200:$F$1199,ROW()-ROW(DGArchive[#Headers])))</f>
        <v/>
      </c>
    </row>
    <row r="726" ht="25" customHeight="1" spans="1:11">
      <c r="A726" s="106"/>
      <c r="B726" s="106"/>
      <c r="C726" s="126"/>
      <c r="D726" s="106"/>
      <c r="E726" s="106"/>
      <c r="F726" s="106"/>
      <c r="G726" s="106"/>
      <c r="H726" s="106"/>
      <c r="I726" s="106"/>
      <c r="J726" s="117" t="str">
        <f>IF(DGArchive[[#This Row],[目标]]="","",INDEX(幕间计算!$E$200:$E$1199,ROW()-ROW(DGArchive[#Headers])))</f>
        <v/>
      </c>
      <c r="K726" s="117" t="str">
        <f>IF(DGArchive[[#This Row],[目标]]="","",INDEX(幕间计算!$F$200:$F$1199,ROW()-ROW(DGArchive[#Headers])))</f>
        <v/>
      </c>
    </row>
    <row r="727" ht="25" customHeight="1" spans="1:11">
      <c r="A727" s="106"/>
      <c r="B727" s="106"/>
      <c r="C727" s="126"/>
      <c r="D727" s="106"/>
      <c r="E727" s="106"/>
      <c r="F727" s="106"/>
      <c r="G727" s="106"/>
      <c r="H727" s="106"/>
      <c r="I727" s="106"/>
      <c r="J727" s="117" t="str">
        <f>IF(DGArchive[[#This Row],[目标]]="","",INDEX(幕间计算!$E$200:$E$1199,ROW()-ROW(DGArchive[#Headers])))</f>
        <v/>
      </c>
      <c r="K727" s="117" t="str">
        <f>IF(DGArchive[[#This Row],[目标]]="","",INDEX(幕间计算!$F$200:$F$1199,ROW()-ROW(DGArchive[#Headers])))</f>
        <v/>
      </c>
    </row>
    <row r="728" ht="25" customHeight="1" spans="1:11">
      <c r="A728" s="106"/>
      <c r="B728" s="106"/>
      <c r="C728" s="126"/>
      <c r="D728" s="106"/>
      <c r="E728" s="106"/>
      <c r="F728" s="106"/>
      <c r="G728" s="106"/>
      <c r="H728" s="106"/>
      <c r="I728" s="106"/>
      <c r="J728" s="117" t="str">
        <f>IF(DGArchive[[#This Row],[目标]]="","",INDEX(幕间计算!$E$200:$E$1199,ROW()-ROW(DGArchive[#Headers])))</f>
        <v/>
      </c>
      <c r="K728" s="117" t="str">
        <f>IF(DGArchive[[#This Row],[目标]]="","",INDEX(幕间计算!$F$200:$F$1199,ROW()-ROW(DGArchive[#Headers])))</f>
        <v/>
      </c>
    </row>
    <row r="729" ht="25" customHeight="1" spans="1:11">
      <c r="A729" s="106"/>
      <c r="B729" s="106"/>
      <c r="C729" s="126"/>
      <c r="D729" s="106"/>
      <c r="E729" s="106"/>
      <c r="F729" s="106"/>
      <c r="G729" s="106"/>
      <c r="H729" s="106"/>
      <c r="I729" s="106"/>
      <c r="J729" s="117" t="str">
        <f>IF(DGArchive[[#This Row],[目标]]="","",INDEX(幕间计算!$E$200:$E$1199,ROW()-ROW(DGArchive[#Headers])))</f>
        <v/>
      </c>
      <c r="K729" s="117" t="str">
        <f>IF(DGArchive[[#This Row],[目标]]="","",INDEX(幕间计算!$F$200:$F$1199,ROW()-ROW(DGArchive[#Headers])))</f>
        <v/>
      </c>
    </row>
    <row r="730" ht="25" customHeight="1" spans="1:11">
      <c r="A730" s="106"/>
      <c r="B730" s="106"/>
      <c r="C730" s="126"/>
      <c r="D730" s="106"/>
      <c r="E730" s="106"/>
      <c r="F730" s="106"/>
      <c r="G730" s="106"/>
      <c r="H730" s="106"/>
      <c r="I730" s="106"/>
      <c r="J730" s="117" t="str">
        <f>IF(DGArchive[[#This Row],[目标]]="","",INDEX(幕间计算!$E$200:$E$1199,ROW()-ROW(DGArchive[#Headers])))</f>
        <v/>
      </c>
      <c r="K730" s="117" t="str">
        <f>IF(DGArchive[[#This Row],[目标]]="","",INDEX(幕间计算!$F$200:$F$1199,ROW()-ROW(DGArchive[#Headers])))</f>
        <v/>
      </c>
    </row>
    <row r="731" ht="25" customHeight="1" spans="1:11">
      <c r="A731" s="106"/>
      <c r="B731" s="106"/>
      <c r="C731" s="126"/>
      <c r="D731" s="106"/>
      <c r="E731" s="106"/>
      <c r="F731" s="106"/>
      <c r="G731" s="106"/>
      <c r="H731" s="106"/>
      <c r="I731" s="106"/>
      <c r="J731" s="117" t="str">
        <f>IF(DGArchive[[#This Row],[目标]]="","",INDEX(幕间计算!$E$200:$E$1199,ROW()-ROW(DGArchive[#Headers])))</f>
        <v/>
      </c>
      <c r="K731" s="117" t="str">
        <f>IF(DGArchive[[#This Row],[目标]]="","",INDEX(幕间计算!$F$200:$F$1199,ROW()-ROW(DGArchive[#Headers])))</f>
        <v/>
      </c>
    </row>
    <row r="732" ht="25" customHeight="1" spans="1:11">
      <c r="A732" s="106"/>
      <c r="B732" s="106"/>
      <c r="C732" s="126"/>
      <c r="D732" s="106"/>
      <c r="E732" s="106"/>
      <c r="F732" s="106"/>
      <c r="G732" s="106"/>
      <c r="H732" s="106"/>
      <c r="I732" s="106"/>
      <c r="J732" s="117" t="str">
        <f>IF(DGArchive[[#This Row],[目标]]="","",INDEX(幕间计算!$E$200:$E$1199,ROW()-ROW(DGArchive[#Headers])))</f>
        <v/>
      </c>
      <c r="K732" s="117" t="str">
        <f>IF(DGArchive[[#This Row],[目标]]="","",INDEX(幕间计算!$F$200:$F$1199,ROW()-ROW(DGArchive[#Headers])))</f>
        <v/>
      </c>
    </row>
    <row r="733" ht="25" customHeight="1" spans="1:11">
      <c r="A733" s="106"/>
      <c r="B733" s="106"/>
      <c r="C733" s="126"/>
      <c r="D733" s="106"/>
      <c r="E733" s="106"/>
      <c r="F733" s="106"/>
      <c r="G733" s="106"/>
      <c r="H733" s="106"/>
      <c r="I733" s="106"/>
      <c r="J733" s="117" t="str">
        <f>IF(DGArchive[[#This Row],[目标]]="","",INDEX(幕间计算!$E$200:$E$1199,ROW()-ROW(DGArchive[#Headers])))</f>
        <v/>
      </c>
      <c r="K733" s="117" t="str">
        <f>IF(DGArchive[[#This Row],[目标]]="","",INDEX(幕间计算!$F$200:$F$1199,ROW()-ROW(DGArchive[#Headers])))</f>
        <v/>
      </c>
    </row>
    <row r="734" ht="25" customHeight="1" spans="1:11">
      <c r="A734" s="106"/>
      <c r="B734" s="106"/>
      <c r="C734" s="126"/>
      <c r="D734" s="106"/>
      <c r="E734" s="106"/>
      <c r="F734" s="106"/>
      <c r="G734" s="106"/>
      <c r="H734" s="106"/>
      <c r="I734" s="106"/>
      <c r="J734" s="117" t="str">
        <f>IF(DGArchive[[#This Row],[目标]]="","",INDEX(幕间计算!$E$200:$E$1199,ROW()-ROW(DGArchive[#Headers])))</f>
        <v/>
      </c>
      <c r="K734" s="117" t="str">
        <f>IF(DGArchive[[#This Row],[目标]]="","",INDEX(幕间计算!$F$200:$F$1199,ROW()-ROW(DGArchive[#Headers])))</f>
        <v/>
      </c>
    </row>
    <row r="735" ht="25" customHeight="1" spans="1:11">
      <c r="A735" s="106"/>
      <c r="B735" s="106"/>
      <c r="C735" s="126"/>
      <c r="D735" s="106"/>
      <c r="E735" s="106"/>
      <c r="F735" s="106"/>
      <c r="G735" s="106"/>
      <c r="H735" s="106"/>
      <c r="I735" s="106"/>
      <c r="J735" s="117" t="str">
        <f>IF(DGArchive[[#This Row],[目标]]="","",INDEX(幕间计算!$E$200:$E$1199,ROW()-ROW(DGArchive[#Headers])))</f>
        <v/>
      </c>
      <c r="K735" s="117" t="str">
        <f>IF(DGArchive[[#This Row],[目标]]="","",INDEX(幕间计算!$F$200:$F$1199,ROW()-ROW(DGArchive[#Headers])))</f>
        <v/>
      </c>
    </row>
    <row r="736" ht="25" customHeight="1" spans="1:11">
      <c r="A736" s="106"/>
      <c r="B736" s="106"/>
      <c r="C736" s="126"/>
      <c r="D736" s="106"/>
      <c r="E736" s="106"/>
      <c r="F736" s="106"/>
      <c r="G736" s="106"/>
      <c r="H736" s="106"/>
      <c r="I736" s="106"/>
      <c r="J736" s="117" t="str">
        <f>IF(DGArchive[[#This Row],[目标]]="","",INDEX(幕间计算!$E$200:$E$1199,ROW()-ROW(DGArchive[#Headers])))</f>
        <v/>
      </c>
      <c r="K736" s="117" t="str">
        <f>IF(DGArchive[[#This Row],[目标]]="","",INDEX(幕间计算!$F$200:$F$1199,ROW()-ROW(DGArchive[#Headers])))</f>
        <v/>
      </c>
    </row>
    <row r="737" ht="25" customHeight="1" spans="1:11">
      <c r="A737" s="106"/>
      <c r="B737" s="106"/>
      <c r="C737" s="126"/>
      <c r="D737" s="106"/>
      <c r="E737" s="106"/>
      <c r="F737" s="106"/>
      <c r="G737" s="106"/>
      <c r="H737" s="106"/>
      <c r="I737" s="106"/>
      <c r="J737" s="117" t="str">
        <f>IF(DGArchive[[#This Row],[目标]]="","",INDEX(幕间计算!$E$200:$E$1199,ROW()-ROW(DGArchive[#Headers])))</f>
        <v/>
      </c>
      <c r="K737" s="117" t="str">
        <f>IF(DGArchive[[#This Row],[目标]]="","",INDEX(幕间计算!$F$200:$F$1199,ROW()-ROW(DGArchive[#Headers])))</f>
        <v/>
      </c>
    </row>
    <row r="738" ht="25" customHeight="1" spans="1:11">
      <c r="A738" s="106"/>
      <c r="B738" s="106"/>
      <c r="C738" s="126"/>
      <c r="D738" s="106"/>
      <c r="E738" s="106"/>
      <c r="F738" s="106"/>
      <c r="G738" s="106"/>
      <c r="H738" s="106"/>
      <c r="I738" s="106"/>
      <c r="J738" s="117" t="str">
        <f>IF(DGArchive[[#This Row],[目标]]="","",INDEX(幕间计算!$E$200:$E$1199,ROW()-ROW(DGArchive[#Headers])))</f>
        <v/>
      </c>
      <c r="K738" s="117" t="str">
        <f>IF(DGArchive[[#This Row],[目标]]="","",INDEX(幕间计算!$F$200:$F$1199,ROW()-ROW(DGArchive[#Headers])))</f>
        <v/>
      </c>
    </row>
    <row r="739" ht="25" customHeight="1" spans="1:11">
      <c r="A739" s="106"/>
      <c r="B739" s="106"/>
      <c r="C739" s="126"/>
      <c r="D739" s="106"/>
      <c r="E739" s="106"/>
      <c r="F739" s="106"/>
      <c r="G739" s="106"/>
      <c r="H739" s="106"/>
      <c r="I739" s="106"/>
      <c r="J739" s="117" t="str">
        <f>IF(DGArchive[[#This Row],[目标]]="","",INDEX(幕间计算!$E$200:$E$1199,ROW()-ROW(DGArchive[#Headers])))</f>
        <v/>
      </c>
      <c r="K739" s="117" t="str">
        <f>IF(DGArchive[[#This Row],[目标]]="","",INDEX(幕间计算!$F$200:$F$1199,ROW()-ROW(DGArchive[#Headers])))</f>
        <v/>
      </c>
    </row>
    <row r="740" ht="25" customHeight="1" spans="1:11">
      <c r="A740" s="106"/>
      <c r="B740" s="106"/>
      <c r="C740" s="126"/>
      <c r="D740" s="106"/>
      <c r="E740" s="106"/>
      <c r="F740" s="106"/>
      <c r="G740" s="106"/>
      <c r="H740" s="106"/>
      <c r="I740" s="106"/>
      <c r="J740" s="117" t="str">
        <f>IF(DGArchive[[#This Row],[目标]]="","",INDEX(幕间计算!$E$200:$E$1199,ROW()-ROW(DGArchive[#Headers])))</f>
        <v/>
      </c>
      <c r="K740" s="117" t="str">
        <f>IF(DGArchive[[#This Row],[目标]]="","",INDEX(幕间计算!$F$200:$F$1199,ROW()-ROW(DGArchive[#Headers])))</f>
        <v/>
      </c>
    </row>
    <row r="741" ht="25" customHeight="1" spans="1:11">
      <c r="A741" s="106"/>
      <c r="B741" s="106"/>
      <c r="C741" s="126"/>
      <c r="D741" s="106"/>
      <c r="E741" s="106"/>
      <c r="F741" s="106"/>
      <c r="G741" s="106"/>
      <c r="H741" s="106"/>
      <c r="I741" s="106"/>
      <c r="J741" s="117" t="str">
        <f>IF(DGArchive[[#This Row],[目标]]="","",INDEX(幕间计算!$E$200:$E$1199,ROW()-ROW(DGArchive[#Headers])))</f>
        <v/>
      </c>
      <c r="K741" s="117" t="str">
        <f>IF(DGArchive[[#This Row],[目标]]="","",INDEX(幕间计算!$F$200:$F$1199,ROW()-ROW(DGArchive[#Headers])))</f>
        <v/>
      </c>
    </row>
    <row r="742" ht="25" customHeight="1" spans="1:11">
      <c r="A742" s="106"/>
      <c r="B742" s="106"/>
      <c r="C742" s="126"/>
      <c r="D742" s="106"/>
      <c r="E742" s="106"/>
      <c r="F742" s="106"/>
      <c r="G742" s="106"/>
      <c r="H742" s="106"/>
      <c r="I742" s="106"/>
      <c r="J742" s="117" t="str">
        <f>IF(DGArchive[[#This Row],[目标]]="","",INDEX(幕间计算!$E$200:$E$1199,ROW()-ROW(DGArchive[#Headers])))</f>
        <v/>
      </c>
      <c r="K742" s="117" t="str">
        <f>IF(DGArchive[[#This Row],[目标]]="","",INDEX(幕间计算!$F$200:$F$1199,ROW()-ROW(DGArchive[#Headers])))</f>
        <v/>
      </c>
    </row>
    <row r="743" ht="25" customHeight="1" spans="1:11">
      <c r="A743" s="106"/>
      <c r="B743" s="106"/>
      <c r="C743" s="126"/>
      <c r="D743" s="106"/>
      <c r="E743" s="106"/>
      <c r="F743" s="106"/>
      <c r="G743" s="106"/>
      <c r="H743" s="106"/>
      <c r="I743" s="106"/>
      <c r="J743" s="117" t="str">
        <f>IF(DGArchive[[#This Row],[目标]]="","",INDEX(幕间计算!$E$200:$E$1199,ROW()-ROW(DGArchive[#Headers])))</f>
        <v/>
      </c>
      <c r="K743" s="117" t="str">
        <f>IF(DGArchive[[#This Row],[目标]]="","",INDEX(幕间计算!$F$200:$F$1199,ROW()-ROW(DGArchive[#Headers])))</f>
        <v/>
      </c>
    </row>
    <row r="744" ht="25" customHeight="1" spans="1:11">
      <c r="A744" s="106"/>
      <c r="B744" s="106"/>
      <c r="C744" s="126"/>
      <c r="D744" s="106"/>
      <c r="E744" s="106"/>
      <c r="F744" s="106"/>
      <c r="G744" s="106"/>
      <c r="H744" s="106"/>
      <c r="I744" s="106"/>
      <c r="J744" s="117" t="str">
        <f>IF(DGArchive[[#This Row],[目标]]="","",INDEX(幕间计算!$E$200:$E$1199,ROW()-ROW(DGArchive[#Headers])))</f>
        <v/>
      </c>
      <c r="K744" s="117" t="str">
        <f>IF(DGArchive[[#This Row],[目标]]="","",INDEX(幕间计算!$F$200:$F$1199,ROW()-ROW(DGArchive[#Headers])))</f>
        <v/>
      </c>
    </row>
    <row r="745" ht="25" customHeight="1" spans="1:11">
      <c r="A745" s="106"/>
      <c r="B745" s="106"/>
      <c r="C745" s="126"/>
      <c r="D745" s="106"/>
      <c r="E745" s="106"/>
      <c r="F745" s="106"/>
      <c r="G745" s="106"/>
      <c r="H745" s="106"/>
      <c r="I745" s="106"/>
      <c r="J745" s="117" t="str">
        <f>IF(DGArchive[[#This Row],[目标]]="","",INDEX(幕间计算!$E$200:$E$1199,ROW()-ROW(DGArchive[#Headers])))</f>
        <v/>
      </c>
      <c r="K745" s="117" t="str">
        <f>IF(DGArchive[[#This Row],[目标]]="","",INDEX(幕间计算!$F$200:$F$1199,ROW()-ROW(DGArchive[#Headers])))</f>
        <v/>
      </c>
    </row>
    <row r="746" ht="25" customHeight="1" spans="1:11">
      <c r="A746" s="106"/>
      <c r="B746" s="106"/>
      <c r="C746" s="126"/>
      <c r="D746" s="106"/>
      <c r="E746" s="106"/>
      <c r="F746" s="106"/>
      <c r="G746" s="106"/>
      <c r="H746" s="106"/>
      <c r="I746" s="106"/>
      <c r="J746" s="117" t="str">
        <f>IF(DGArchive[[#This Row],[目标]]="","",INDEX(幕间计算!$E$200:$E$1199,ROW()-ROW(DGArchive[#Headers])))</f>
        <v/>
      </c>
      <c r="K746" s="117" t="str">
        <f>IF(DGArchive[[#This Row],[目标]]="","",INDEX(幕间计算!$F$200:$F$1199,ROW()-ROW(DGArchive[#Headers])))</f>
        <v/>
      </c>
    </row>
    <row r="747" ht="25" customHeight="1" spans="1:11">
      <c r="A747" s="106"/>
      <c r="B747" s="106"/>
      <c r="C747" s="126"/>
      <c r="D747" s="106"/>
      <c r="E747" s="106"/>
      <c r="F747" s="106"/>
      <c r="G747" s="106"/>
      <c r="H747" s="106"/>
      <c r="I747" s="106"/>
      <c r="J747" s="117" t="str">
        <f>IF(DGArchive[[#This Row],[目标]]="","",INDEX(幕间计算!$E$200:$E$1199,ROW()-ROW(DGArchive[#Headers])))</f>
        <v/>
      </c>
      <c r="K747" s="117" t="str">
        <f>IF(DGArchive[[#This Row],[目标]]="","",INDEX(幕间计算!$F$200:$F$1199,ROW()-ROW(DGArchive[#Headers])))</f>
        <v/>
      </c>
    </row>
    <row r="748" ht="25" customHeight="1" spans="1:11">
      <c r="A748" s="106"/>
      <c r="B748" s="106"/>
      <c r="C748" s="126"/>
      <c r="D748" s="106"/>
      <c r="E748" s="106"/>
      <c r="F748" s="106"/>
      <c r="G748" s="106"/>
      <c r="H748" s="106"/>
      <c r="I748" s="106"/>
      <c r="J748" s="117" t="str">
        <f>IF(DGArchive[[#This Row],[目标]]="","",INDEX(幕间计算!$E$200:$E$1199,ROW()-ROW(DGArchive[#Headers])))</f>
        <v/>
      </c>
      <c r="K748" s="117" t="str">
        <f>IF(DGArchive[[#This Row],[目标]]="","",INDEX(幕间计算!$F$200:$F$1199,ROW()-ROW(DGArchive[#Headers])))</f>
        <v/>
      </c>
    </row>
    <row r="749" ht="25" customHeight="1" spans="1:11">
      <c r="A749" s="106"/>
      <c r="B749" s="106"/>
      <c r="C749" s="126"/>
      <c r="D749" s="106"/>
      <c r="E749" s="106"/>
      <c r="F749" s="106"/>
      <c r="G749" s="106"/>
      <c r="H749" s="106"/>
      <c r="I749" s="106"/>
      <c r="J749" s="117" t="str">
        <f>IF(DGArchive[[#This Row],[目标]]="","",INDEX(幕间计算!$E$200:$E$1199,ROW()-ROW(DGArchive[#Headers])))</f>
        <v/>
      </c>
      <c r="K749" s="117" t="str">
        <f>IF(DGArchive[[#This Row],[目标]]="","",INDEX(幕间计算!$F$200:$F$1199,ROW()-ROW(DGArchive[#Headers])))</f>
        <v/>
      </c>
    </row>
    <row r="750" ht="25" customHeight="1" spans="1:11">
      <c r="A750" s="106"/>
      <c r="B750" s="106"/>
      <c r="C750" s="126"/>
      <c r="D750" s="106"/>
      <c r="E750" s="106"/>
      <c r="F750" s="106"/>
      <c r="G750" s="106"/>
      <c r="H750" s="106"/>
      <c r="I750" s="106"/>
      <c r="J750" s="117" t="str">
        <f>IF(DGArchive[[#This Row],[目标]]="","",INDEX(幕间计算!$E$200:$E$1199,ROW()-ROW(DGArchive[#Headers])))</f>
        <v/>
      </c>
      <c r="K750" s="117" t="str">
        <f>IF(DGArchive[[#This Row],[目标]]="","",INDEX(幕间计算!$F$200:$F$1199,ROW()-ROW(DGArchive[#Headers])))</f>
        <v/>
      </c>
    </row>
    <row r="751" ht="25" customHeight="1" spans="1:11">
      <c r="A751" s="106"/>
      <c r="B751" s="106"/>
      <c r="C751" s="126"/>
      <c r="D751" s="106"/>
      <c r="E751" s="106"/>
      <c r="F751" s="106"/>
      <c r="G751" s="106"/>
      <c r="H751" s="106"/>
      <c r="I751" s="106"/>
      <c r="J751" s="117" t="str">
        <f>IF(DGArchive[[#This Row],[目标]]="","",INDEX(幕间计算!$E$200:$E$1199,ROW()-ROW(DGArchive[#Headers])))</f>
        <v/>
      </c>
      <c r="K751" s="117" t="str">
        <f>IF(DGArchive[[#This Row],[目标]]="","",INDEX(幕间计算!$F$200:$F$1199,ROW()-ROW(DGArchive[#Headers])))</f>
        <v/>
      </c>
    </row>
    <row r="752" ht="25" customHeight="1" spans="1:11">
      <c r="A752" s="106"/>
      <c r="B752" s="106"/>
      <c r="C752" s="126"/>
      <c r="D752" s="106"/>
      <c r="E752" s="106"/>
      <c r="F752" s="106"/>
      <c r="G752" s="106"/>
      <c r="H752" s="106"/>
      <c r="I752" s="106"/>
      <c r="J752" s="117" t="str">
        <f>IF(DGArchive[[#This Row],[目标]]="","",INDEX(幕间计算!$E$200:$E$1199,ROW()-ROW(DGArchive[#Headers])))</f>
        <v/>
      </c>
      <c r="K752" s="117" t="str">
        <f>IF(DGArchive[[#This Row],[目标]]="","",INDEX(幕间计算!$F$200:$F$1199,ROW()-ROW(DGArchive[#Headers])))</f>
        <v/>
      </c>
    </row>
    <row r="753" ht="25" customHeight="1" spans="1:11">
      <c r="A753" s="106"/>
      <c r="B753" s="106"/>
      <c r="C753" s="126"/>
      <c r="D753" s="106"/>
      <c r="E753" s="106"/>
      <c r="F753" s="106"/>
      <c r="G753" s="106"/>
      <c r="H753" s="106"/>
      <c r="I753" s="106"/>
      <c r="J753" s="117" t="str">
        <f>IF(DGArchive[[#This Row],[目标]]="","",INDEX(幕间计算!$E$200:$E$1199,ROW()-ROW(DGArchive[#Headers])))</f>
        <v/>
      </c>
      <c r="K753" s="117" t="str">
        <f>IF(DGArchive[[#This Row],[目标]]="","",INDEX(幕间计算!$F$200:$F$1199,ROW()-ROW(DGArchive[#Headers])))</f>
        <v/>
      </c>
    </row>
    <row r="754" ht="25" customHeight="1" spans="1:11">
      <c r="A754" s="106"/>
      <c r="B754" s="106"/>
      <c r="C754" s="126"/>
      <c r="D754" s="106"/>
      <c r="E754" s="106"/>
      <c r="F754" s="106"/>
      <c r="G754" s="106"/>
      <c r="H754" s="106"/>
      <c r="I754" s="106"/>
      <c r="J754" s="117" t="str">
        <f>IF(DGArchive[[#This Row],[目标]]="","",INDEX(幕间计算!$E$200:$E$1199,ROW()-ROW(DGArchive[#Headers])))</f>
        <v/>
      </c>
      <c r="K754" s="117" t="str">
        <f>IF(DGArchive[[#This Row],[目标]]="","",INDEX(幕间计算!$F$200:$F$1199,ROW()-ROW(DGArchive[#Headers])))</f>
        <v/>
      </c>
    </row>
    <row r="755" ht="25" customHeight="1" spans="1:11">
      <c r="A755" s="106"/>
      <c r="B755" s="106"/>
      <c r="C755" s="126"/>
      <c r="D755" s="106"/>
      <c r="E755" s="106"/>
      <c r="F755" s="106"/>
      <c r="G755" s="106"/>
      <c r="H755" s="106"/>
      <c r="I755" s="106"/>
      <c r="J755" s="117" t="str">
        <f>IF(DGArchive[[#This Row],[目标]]="","",INDEX(幕间计算!$E$200:$E$1199,ROW()-ROW(DGArchive[#Headers])))</f>
        <v/>
      </c>
      <c r="K755" s="117" t="str">
        <f>IF(DGArchive[[#This Row],[目标]]="","",INDEX(幕间计算!$F$200:$F$1199,ROW()-ROW(DGArchive[#Headers])))</f>
        <v/>
      </c>
    </row>
    <row r="756" ht="25" customHeight="1" spans="1:11">
      <c r="A756" s="106"/>
      <c r="B756" s="106"/>
      <c r="C756" s="126"/>
      <c r="D756" s="106"/>
      <c r="E756" s="106"/>
      <c r="F756" s="106"/>
      <c r="G756" s="106"/>
      <c r="H756" s="106"/>
      <c r="I756" s="106"/>
      <c r="J756" s="117" t="str">
        <f>IF(DGArchive[[#This Row],[目标]]="","",INDEX(幕间计算!$E$200:$E$1199,ROW()-ROW(DGArchive[#Headers])))</f>
        <v/>
      </c>
      <c r="K756" s="117" t="str">
        <f>IF(DGArchive[[#This Row],[目标]]="","",INDEX(幕间计算!$F$200:$F$1199,ROW()-ROW(DGArchive[#Headers])))</f>
        <v/>
      </c>
    </row>
    <row r="757" ht="25" customHeight="1" spans="1:11">
      <c r="A757" s="106"/>
      <c r="B757" s="106"/>
      <c r="C757" s="126"/>
      <c r="D757" s="106"/>
      <c r="E757" s="106"/>
      <c r="F757" s="106"/>
      <c r="G757" s="106"/>
      <c r="H757" s="106"/>
      <c r="I757" s="106"/>
      <c r="J757" s="117" t="str">
        <f>IF(DGArchive[[#This Row],[目标]]="","",INDEX(幕间计算!$E$200:$E$1199,ROW()-ROW(DGArchive[#Headers])))</f>
        <v/>
      </c>
      <c r="K757" s="117" t="str">
        <f>IF(DGArchive[[#This Row],[目标]]="","",INDEX(幕间计算!$F$200:$F$1199,ROW()-ROW(DGArchive[#Headers])))</f>
        <v/>
      </c>
    </row>
    <row r="758" ht="25" customHeight="1" spans="1:11">
      <c r="A758" s="106"/>
      <c r="B758" s="106"/>
      <c r="C758" s="126"/>
      <c r="D758" s="106"/>
      <c r="E758" s="106"/>
      <c r="F758" s="106"/>
      <c r="G758" s="106"/>
      <c r="H758" s="106"/>
      <c r="I758" s="106"/>
      <c r="J758" s="117" t="str">
        <f>IF(DGArchive[[#This Row],[目标]]="","",INDEX(幕间计算!$E$200:$E$1199,ROW()-ROW(DGArchive[#Headers])))</f>
        <v/>
      </c>
      <c r="K758" s="117" t="str">
        <f>IF(DGArchive[[#This Row],[目标]]="","",INDEX(幕间计算!$F$200:$F$1199,ROW()-ROW(DGArchive[#Headers])))</f>
        <v/>
      </c>
    </row>
    <row r="759" ht="25" customHeight="1" spans="1:11">
      <c r="A759" s="106"/>
      <c r="B759" s="106"/>
      <c r="C759" s="126"/>
      <c r="D759" s="106"/>
      <c r="E759" s="106"/>
      <c r="F759" s="106"/>
      <c r="G759" s="106"/>
      <c r="H759" s="106"/>
      <c r="I759" s="106"/>
      <c r="J759" s="117" t="str">
        <f>IF(DGArchive[[#This Row],[目标]]="","",INDEX(幕间计算!$E$200:$E$1199,ROW()-ROW(DGArchive[#Headers])))</f>
        <v/>
      </c>
      <c r="K759" s="117" t="str">
        <f>IF(DGArchive[[#This Row],[目标]]="","",INDEX(幕间计算!$F$200:$F$1199,ROW()-ROW(DGArchive[#Headers])))</f>
        <v/>
      </c>
    </row>
    <row r="760" ht="25" customHeight="1" spans="1:11">
      <c r="A760" s="106"/>
      <c r="B760" s="106"/>
      <c r="C760" s="126"/>
      <c r="D760" s="106"/>
      <c r="E760" s="106"/>
      <c r="F760" s="106"/>
      <c r="G760" s="106"/>
      <c r="H760" s="106"/>
      <c r="I760" s="106"/>
      <c r="J760" s="117" t="str">
        <f>IF(DGArchive[[#This Row],[目标]]="","",INDEX(幕间计算!$E$200:$E$1199,ROW()-ROW(DGArchive[#Headers])))</f>
        <v/>
      </c>
      <c r="K760" s="117" t="str">
        <f>IF(DGArchive[[#This Row],[目标]]="","",INDEX(幕间计算!$F$200:$F$1199,ROW()-ROW(DGArchive[#Headers])))</f>
        <v/>
      </c>
    </row>
    <row r="761" ht="25" customHeight="1" spans="1:11">
      <c r="A761" s="106"/>
      <c r="B761" s="106"/>
      <c r="C761" s="126"/>
      <c r="D761" s="106"/>
      <c r="E761" s="106"/>
      <c r="F761" s="106"/>
      <c r="G761" s="106"/>
      <c r="H761" s="106"/>
      <c r="I761" s="106"/>
      <c r="J761" s="117" t="str">
        <f>IF(DGArchive[[#This Row],[目标]]="","",INDEX(幕间计算!$E$200:$E$1199,ROW()-ROW(DGArchive[#Headers])))</f>
        <v/>
      </c>
      <c r="K761" s="117" t="str">
        <f>IF(DGArchive[[#This Row],[目标]]="","",INDEX(幕间计算!$F$200:$F$1199,ROW()-ROW(DGArchive[#Headers])))</f>
        <v/>
      </c>
    </row>
    <row r="762" ht="25" customHeight="1" spans="1:11">
      <c r="A762" s="106"/>
      <c r="B762" s="106"/>
      <c r="C762" s="126"/>
      <c r="D762" s="106"/>
      <c r="E762" s="106"/>
      <c r="F762" s="106"/>
      <c r="G762" s="106"/>
      <c r="H762" s="106"/>
      <c r="I762" s="106"/>
      <c r="J762" s="117" t="str">
        <f>IF(DGArchive[[#This Row],[目标]]="","",INDEX(幕间计算!$E$200:$E$1199,ROW()-ROW(DGArchive[#Headers])))</f>
        <v/>
      </c>
      <c r="K762" s="117" t="str">
        <f>IF(DGArchive[[#This Row],[目标]]="","",INDEX(幕间计算!$F$200:$F$1199,ROW()-ROW(DGArchive[#Headers])))</f>
        <v/>
      </c>
    </row>
    <row r="763" ht="25" customHeight="1" spans="1:11">
      <c r="A763" s="106"/>
      <c r="B763" s="106"/>
      <c r="C763" s="126"/>
      <c r="D763" s="106"/>
      <c r="E763" s="106"/>
      <c r="F763" s="106"/>
      <c r="G763" s="106"/>
      <c r="H763" s="106"/>
      <c r="I763" s="106"/>
      <c r="J763" s="117" t="str">
        <f>IF(DGArchive[[#This Row],[目标]]="","",INDEX(幕间计算!$E$200:$E$1199,ROW()-ROW(DGArchive[#Headers])))</f>
        <v/>
      </c>
      <c r="K763" s="117" t="str">
        <f>IF(DGArchive[[#This Row],[目标]]="","",INDEX(幕间计算!$F$200:$F$1199,ROW()-ROW(DGArchive[#Headers])))</f>
        <v/>
      </c>
    </row>
    <row r="764" ht="25" customHeight="1" spans="1:11">
      <c r="A764" s="106"/>
      <c r="B764" s="106"/>
      <c r="C764" s="126"/>
      <c r="D764" s="106"/>
      <c r="E764" s="106"/>
      <c r="F764" s="106"/>
      <c r="G764" s="106"/>
      <c r="H764" s="106"/>
      <c r="I764" s="106"/>
      <c r="J764" s="117" t="str">
        <f>IF(DGArchive[[#This Row],[目标]]="","",INDEX(幕间计算!$E$200:$E$1199,ROW()-ROW(DGArchive[#Headers])))</f>
        <v/>
      </c>
      <c r="K764" s="117" t="str">
        <f>IF(DGArchive[[#This Row],[目标]]="","",INDEX(幕间计算!$F$200:$F$1199,ROW()-ROW(DGArchive[#Headers])))</f>
        <v/>
      </c>
    </row>
    <row r="765" ht="25" customHeight="1" spans="1:11">
      <c r="A765" s="106"/>
      <c r="B765" s="106"/>
      <c r="C765" s="126"/>
      <c r="D765" s="106"/>
      <c r="E765" s="106"/>
      <c r="F765" s="106"/>
      <c r="G765" s="106"/>
      <c r="H765" s="106"/>
      <c r="I765" s="106"/>
      <c r="J765" s="117" t="str">
        <f>IF(DGArchive[[#This Row],[目标]]="","",INDEX(幕间计算!$E$200:$E$1199,ROW()-ROW(DGArchive[#Headers])))</f>
        <v/>
      </c>
      <c r="K765" s="117" t="str">
        <f>IF(DGArchive[[#This Row],[目标]]="","",INDEX(幕间计算!$F$200:$F$1199,ROW()-ROW(DGArchive[#Headers])))</f>
        <v/>
      </c>
    </row>
    <row r="766" ht="25" customHeight="1" spans="1:11">
      <c r="A766" s="106"/>
      <c r="B766" s="106"/>
      <c r="C766" s="126"/>
      <c r="D766" s="106"/>
      <c r="E766" s="106"/>
      <c r="F766" s="106"/>
      <c r="G766" s="106"/>
      <c r="H766" s="106"/>
      <c r="I766" s="106"/>
      <c r="J766" s="117" t="str">
        <f>IF(DGArchive[[#This Row],[目标]]="","",INDEX(幕间计算!$E$200:$E$1199,ROW()-ROW(DGArchive[#Headers])))</f>
        <v/>
      </c>
      <c r="K766" s="117" t="str">
        <f>IF(DGArchive[[#This Row],[目标]]="","",INDEX(幕间计算!$F$200:$F$1199,ROW()-ROW(DGArchive[#Headers])))</f>
        <v/>
      </c>
    </row>
    <row r="767" ht="25" customHeight="1" spans="1:11">
      <c r="A767" s="106"/>
      <c r="B767" s="106"/>
      <c r="C767" s="126"/>
      <c r="D767" s="106"/>
      <c r="E767" s="106"/>
      <c r="F767" s="106"/>
      <c r="G767" s="106"/>
      <c r="H767" s="106"/>
      <c r="I767" s="106"/>
      <c r="J767" s="117" t="str">
        <f>IF(DGArchive[[#This Row],[目标]]="","",INDEX(幕间计算!$E$200:$E$1199,ROW()-ROW(DGArchive[#Headers])))</f>
        <v/>
      </c>
      <c r="K767" s="117" t="str">
        <f>IF(DGArchive[[#This Row],[目标]]="","",INDEX(幕间计算!$F$200:$F$1199,ROW()-ROW(DGArchive[#Headers])))</f>
        <v/>
      </c>
    </row>
    <row r="768" ht="25" customHeight="1" spans="1:11">
      <c r="A768" s="106"/>
      <c r="B768" s="106"/>
      <c r="C768" s="126"/>
      <c r="D768" s="106"/>
      <c r="E768" s="106"/>
      <c r="F768" s="106"/>
      <c r="G768" s="106"/>
      <c r="H768" s="106"/>
      <c r="I768" s="106"/>
      <c r="J768" s="117" t="str">
        <f>IF(DGArchive[[#This Row],[目标]]="","",INDEX(幕间计算!$E$200:$E$1199,ROW()-ROW(DGArchive[#Headers])))</f>
        <v/>
      </c>
      <c r="K768" s="117" t="str">
        <f>IF(DGArchive[[#This Row],[目标]]="","",INDEX(幕间计算!$F$200:$F$1199,ROW()-ROW(DGArchive[#Headers])))</f>
        <v/>
      </c>
    </row>
    <row r="769" ht="25" customHeight="1" spans="1:11">
      <c r="A769" s="106"/>
      <c r="B769" s="106"/>
      <c r="C769" s="126"/>
      <c r="D769" s="106"/>
      <c r="E769" s="106"/>
      <c r="F769" s="106"/>
      <c r="G769" s="106"/>
      <c r="H769" s="106"/>
      <c r="I769" s="106"/>
      <c r="J769" s="117" t="str">
        <f>IF(DGArchive[[#This Row],[目标]]="","",INDEX(幕间计算!$E$200:$E$1199,ROW()-ROW(DGArchive[#Headers])))</f>
        <v/>
      </c>
      <c r="K769" s="117" t="str">
        <f>IF(DGArchive[[#This Row],[目标]]="","",INDEX(幕间计算!$F$200:$F$1199,ROW()-ROW(DGArchive[#Headers])))</f>
        <v/>
      </c>
    </row>
    <row r="770" ht="25" customHeight="1" spans="1:11">
      <c r="A770" s="106"/>
      <c r="B770" s="106"/>
      <c r="C770" s="126"/>
      <c r="D770" s="106"/>
      <c r="E770" s="106"/>
      <c r="F770" s="106"/>
      <c r="G770" s="106"/>
      <c r="H770" s="106"/>
      <c r="I770" s="106"/>
      <c r="J770" s="117" t="str">
        <f>IF(DGArchive[[#This Row],[目标]]="","",INDEX(幕间计算!$E$200:$E$1199,ROW()-ROW(DGArchive[#Headers])))</f>
        <v/>
      </c>
      <c r="K770" s="117" t="str">
        <f>IF(DGArchive[[#This Row],[目标]]="","",INDEX(幕间计算!$F$200:$F$1199,ROW()-ROW(DGArchive[#Headers])))</f>
        <v/>
      </c>
    </row>
    <row r="771" ht="25" customHeight="1" spans="1:11">
      <c r="A771" s="106"/>
      <c r="B771" s="106"/>
      <c r="C771" s="126"/>
      <c r="D771" s="106"/>
      <c r="E771" s="106"/>
      <c r="F771" s="106"/>
      <c r="G771" s="106"/>
      <c r="H771" s="106"/>
      <c r="I771" s="106"/>
      <c r="J771" s="117" t="str">
        <f>IF(DGArchive[[#This Row],[目标]]="","",INDEX(幕间计算!$E$200:$E$1199,ROW()-ROW(DGArchive[#Headers])))</f>
        <v/>
      </c>
      <c r="K771" s="117" t="str">
        <f>IF(DGArchive[[#This Row],[目标]]="","",INDEX(幕间计算!$F$200:$F$1199,ROW()-ROW(DGArchive[#Headers])))</f>
        <v/>
      </c>
    </row>
    <row r="772" ht="25" customHeight="1" spans="1:11">
      <c r="A772" s="106"/>
      <c r="B772" s="106"/>
      <c r="C772" s="126"/>
      <c r="D772" s="106"/>
      <c r="E772" s="106"/>
      <c r="F772" s="106"/>
      <c r="G772" s="106"/>
      <c r="H772" s="106"/>
      <c r="I772" s="106"/>
      <c r="J772" s="117" t="str">
        <f>IF(DGArchive[[#This Row],[目标]]="","",INDEX(幕间计算!$E$200:$E$1199,ROW()-ROW(DGArchive[#Headers])))</f>
        <v/>
      </c>
      <c r="K772" s="117" t="str">
        <f>IF(DGArchive[[#This Row],[目标]]="","",INDEX(幕间计算!$F$200:$F$1199,ROW()-ROW(DGArchive[#Headers])))</f>
        <v/>
      </c>
    </row>
    <row r="773" ht="25" customHeight="1" spans="1:11">
      <c r="A773" s="106"/>
      <c r="B773" s="106"/>
      <c r="C773" s="126"/>
      <c r="D773" s="106"/>
      <c r="E773" s="106"/>
      <c r="F773" s="106"/>
      <c r="G773" s="106"/>
      <c r="H773" s="106"/>
      <c r="I773" s="106"/>
      <c r="J773" s="117" t="str">
        <f>IF(DGArchive[[#This Row],[目标]]="","",INDEX(幕间计算!$E$200:$E$1199,ROW()-ROW(DGArchive[#Headers])))</f>
        <v/>
      </c>
      <c r="K773" s="117" t="str">
        <f>IF(DGArchive[[#This Row],[目标]]="","",INDEX(幕间计算!$F$200:$F$1199,ROW()-ROW(DGArchive[#Headers])))</f>
        <v/>
      </c>
    </row>
    <row r="774" ht="25" customHeight="1" spans="1:11">
      <c r="A774" s="106"/>
      <c r="B774" s="106"/>
      <c r="C774" s="126"/>
      <c r="D774" s="106"/>
      <c r="E774" s="106"/>
      <c r="F774" s="106"/>
      <c r="G774" s="106"/>
      <c r="H774" s="106"/>
      <c r="I774" s="106"/>
      <c r="J774" s="117" t="str">
        <f>IF(DGArchive[[#This Row],[目标]]="","",INDEX(幕间计算!$E$200:$E$1199,ROW()-ROW(DGArchive[#Headers])))</f>
        <v/>
      </c>
      <c r="K774" s="117" t="str">
        <f>IF(DGArchive[[#This Row],[目标]]="","",INDEX(幕间计算!$F$200:$F$1199,ROW()-ROW(DGArchive[#Headers])))</f>
        <v/>
      </c>
    </row>
    <row r="775" ht="25" customHeight="1" spans="1:11">
      <c r="A775" s="106"/>
      <c r="B775" s="106"/>
      <c r="C775" s="126"/>
      <c r="D775" s="106"/>
      <c r="E775" s="106"/>
      <c r="F775" s="106"/>
      <c r="G775" s="106"/>
      <c r="H775" s="106"/>
      <c r="I775" s="106"/>
      <c r="J775" s="117" t="str">
        <f>IF(DGArchive[[#This Row],[目标]]="","",INDEX(幕间计算!$E$200:$E$1199,ROW()-ROW(DGArchive[#Headers])))</f>
        <v/>
      </c>
      <c r="K775" s="117" t="str">
        <f>IF(DGArchive[[#This Row],[目标]]="","",INDEX(幕间计算!$F$200:$F$1199,ROW()-ROW(DGArchive[#Headers])))</f>
        <v/>
      </c>
    </row>
    <row r="776" ht="25" customHeight="1" spans="1:11">
      <c r="A776" s="106"/>
      <c r="B776" s="106"/>
      <c r="C776" s="126"/>
      <c r="D776" s="106"/>
      <c r="E776" s="106"/>
      <c r="F776" s="106"/>
      <c r="G776" s="106"/>
      <c r="H776" s="106"/>
      <c r="I776" s="106"/>
      <c r="J776" s="117" t="str">
        <f>IF(DGArchive[[#This Row],[目标]]="","",INDEX(幕间计算!$E$200:$E$1199,ROW()-ROW(DGArchive[#Headers])))</f>
        <v/>
      </c>
      <c r="K776" s="117" t="str">
        <f>IF(DGArchive[[#This Row],[目标]]="","",INDEX(幕间计算!$F$200:$F$1199,ROW()-ROW(DGArchive[#Headers])))</f>
        <v/>
      </c>
    </row>
    <row r="777" ht="25" customHeight="1" spans="1:11">
      <c r="A777" s="106"/>
      <c r="B777" s="106"/>
      <c r="C777" s="126"/>
      <c r="D777" s="106"/>
      <c r="E777" s="106"/>
      <c r="F777" s="106"/>
      <c r="G777" s="106"/>
      <c r="H777" s="106"/>
      <c r="I777" s="106"/>
      <c r="J777" s="117" t="str">
        <f>IF(DGArchive[[#This Row],[目标]]="","",INDEX(幕间计算!$E$200:$E$1199,ROW()-ROW(DGArchive[#Headers])))</f>
        <v/>
      </c>
      <c r="K777" s="117" t="str">
        <f>IF(DGArchive[[#This Row],[目标]]="","",INDEX(幕间计算!$F$200:$F$1199,ROW()-ROW(DGArchive[#Headers])))</f>
        <v/>
      </c>
    </row>
    <row r="778" ht="25" customHeight="1" spans="1:11">
      <c r="A778" s="106"/>
      <c r="B778" s="106"/>
      <c r="C778" s="126"/>
      <c r="D778" s="106"/>
      <c r="E778" s="106"/>
      <c r="F778" s="106"/>
      <c r="G778" s="106"/>
      <c r="H778" s="106"/>
      <c r="I778" s="106"/>
      <c r="J778" s="117" t="str">
        <f>IF(DGArchive[[#This Row],[目标]]="","",INDEX(幕间计算!$E$200:$E$1199,ROW()-ROW(DGArchive[#Headers])))</f>
        <v/>
      </c>
      <c r="K778" s="117" t="str">
        <f>IF(DGArchive[[#This Row],[目标]]="","",INDEX(幕间计算!$F$200:$F$1199,ROW()-ROW(DGArchive[#Headers])))</f>
        <v/>
      </c>
    </row>
    <row r="779" ht="25" customHeight="1" spans="1:11">
      <c r="A779" s="106"/>
      <c r="B779" s="106"/>
      <c r="C779" s="126"/>
      <c r="D779" s="106"/>
      <c r="E779" s="106"/>
      <c r="F779" s="106"/>
      <c r="G779" s="106"/>
      <c r="H779" s="106"/>
      <c r="I779" s="106"/>
      <c r="J779" s="117" t="str">
        <f>IF(DGArchive[[#This Row],[目标]]="","",INDEX(幕间计算!$E$200:$E$1199,ROW()-ROW(DGArchive[#Headers])))</f>
        <v/>
      </c>
      <c r="K779" s="117" t="str">
        <f>IF(DGArchive[[#This Row],[目标]]="","",INDEX(幕间计算!$F$200:$F$1199,ROW()-ROW(DGArchive[#Headers])))</f>
        <v/>
      </c>
    </row>
    <row r="780" ht="25" customHeight="1" spans="1:11">
      <c r="A780" s="106"/>
      <c r="B780" s="106"/>
      <c r="C780" s="126"/>
      <c r="D780" s="106"/>
      <c r="E780" s="106"/>
      <c r="F780" s="106"/>
      <c r="G780" s="106"/>
      <c r="H780" s="106"/>
      <c r="I780" s="106"/>
      <c r="J780" s="117" t="str">
        <f>IF(DGArchive[[#This Row],[目标]]="","",INDEX(幕间计算!$E$200:$E$1199,ROW()-ROW(DGArchive[#Headers])))</f>
        <v/>
      </c>
      <c r="K780" s="117" t="str">
        <f>IF(DGArchive[[#This Row],[目标]]="","",INDEX(幕间计算!$F$200:$F$1199,ROW()-ROW(DGArchive[#Headers])))</f>
        <v/>
      </c>
    </row>
    <row r="781" ht="25" customHeight="1" spans="1:11">
      <c r="A781" s="106"/>
      <c r="B781" s="106"/>
      <c r="C781" s="126"/>
      <c r="D781" s="106"/>
      <c r="E781" s="106"/>
      <c r="F781" s="106"/>
      <c r="G781" s="106"/>
      <c r="H781" s="106"/>
      <c r="I781" s="106"/>
      <c r="J781" s="117" t="str">
        <f>IF(DGArchive[[#This Row],[目标]]="","",INDEX(幕间计算!$E$200:$E$1199,ROW()-ROW(DGArchive[#Headers])))</f>
        <v/>
      </c>
      <c r="K781" s="117" t="str">
        <f>IF(DGArchive[[#This Row],[目标]]="","",INDEX(幕间计算!$F$200:$F$1199,ROW()-ROW(DGArchive[#Headers])))</f>
        <v/>
      </c>
    </row>
    <row r="782" ht="25" customHeight="1" spans="1:11">
      <c r="A782" s="106"/>
      <c r="B782" s="106"/>
      <c r="C782" s="126"/>
      <c r="D782" s="106"/>
      <c r="E782" s="106"/>
      <c r="F782" s="106"/>
      <c r="G782" s="106"/>
      <c r="H782" s="106"/>
      <c r="I782" s="106"/>
      <c r="J782" s="117" t="str">
        <f>IF(DGArchive[[#This Row],[目标]]="","",INDEX(幕间计算!$E$200:$E$1199,ROW()-ROW(DGArchive[#Headers])))</f>
        <v/>
      </c>
      <c r="K782" s="117" t="str">
        <f>IF(DGArchive[[#This Row],[目标]]="","",INDEX(幕间计算!$F$200:$F$1199,ROW()-ROW(DGArchive[#Headers])))</f>
        <v/>
      </c>
    </row>
    <row r="783" ht="25" customHeight="1" spans="1:11">
      <c r="A783" s="106"/>
      <c r="B783" s="106"/>
      <c r="C783" s="126"/>
      <c r="D783" s="106"/>
      <c r="E783" s="106"/>
      <c r="F783" s="106"/>
      <c r="G783" s="106"/>
      <c r="H783" s="106"/>
      <c r="I783" s="106"/>
      <c r="J783" s="117" t="str">
        <f>IF(DGArchive[[#This Row],[目标]]="","",INDEX(幕间计算!$E$200:$E$1199,ROW()-ROW(DGArchive[#Headers])))</f>
        <v/>
      </c>
      <c r="K783" s="117" t="str">
        <f>IF(DGArchive[[#This Row],[目标]]="","",INDEX(幕间计算!$F$200:$F$1199,ROW()-ROW(DGArchive[#Headers])))</f>
        <v/>
      </c>
    </row>
    <row r="784" ht="25" customHeight="1" spans="1:11">
      <c r="A784" s="106"/>
      <c r="B784" s="106"/>
      <c r="C784" s="126"/>
      <c r="D784" s="106"/>
      <c r="E784" s="106"/>
      <c r="F784" s="106"/>
      <c r="G784" s="106"/>
      <c r="H784" s="106"/>
      <c r="I784" s="106"/>
      <c r="J784" s="117" t="str">
        <f>IF(DGArchive[[#This Row],[目标]]="","",INDEX(幕间计算!$E$200:$E$1199,ROW()-ROW(DGArchive[#Headers])))</f>
        <v/>
      </c>
      <c r="K784" s="117" t="str">
        <f>IF(DGArchive[[#This Row],[目标]]="","",INDEX(幕间计算!$F$200:$F$1199,ROW()-ROW(DGArchive[#Headers])))</f>
        <v/>
      </c>
    </row>
    <row r="785" ht="25" customHeight="1" spans="1:11">
      <c r="A785" s="106"/>
      <c r="B785" s="106"/>
      <c r="C785" s="126"/>
      <c r="D785" s="106"/>
      <c r="E785" s="106"/>
      <c r="F785" s="106"/>
      <c r="G785" s="106"/>
      <c r="H785" s="106"/>
      <c r="I785" s="106"/>
      <c r="J785" s="117" t="str">
        <f>IF(DGArchive[[#This Row],[目标]]="","",INDEX(幕间计算!$E$200:$E$1199,ROW()-ROW(DGArchive[#Headers])))</f>
        <v/>
      </c>
      <c r="K785" s="117" t="str">
        <f>IF(DGArchive[[#This Row],[目标]]="","",INDEX(幕间计算!$F$200:$F$1199,ROW()-ROW(DGArchive[#Headers])))</f>
        <v/>
      </c>
    </row>
    <row r="786" ht="25" customHeight="1" spans="1:11">
      <c r="A786" s="106"/>
      <c r="B786" s="106"/>
      <c r="C786" s="126"/>
      <c r="D786" s="106"/>
      <c r="E786" s="106"/>
      <c r="F786" s="106"/>
      <c r="G786" s="106"/>
      <c r="H786" s="106"/>
      <c r="I786" s="106"/>
      <c r="J786" s="117" t="str">
        <f>IF(DGArchive[[#This Row],[目标]]="","",INDEX(幕间计算!$E$200:$E$1199,ROW()-ROW(DGArchive[#Headers])))</f>
        <v/>
      </c>
      <c r="K786" s="117" t="str">
        <f>IF(DGArchive[[#This Row],[目标]]="","",INDEX(幕间计算!$F$200:$F$1199,ROW()-ROW(DGArchive[#Headers])))</f>
        <v/>
      </c>
    </row>
    <row r="787" ht="25" customHeight="1" spans="1:11">
      <c r="A787" s="106"/>
      <c r="B787" s="106"/>
      <c r="C787" s="126"/>
      <c r="D787" s="106"/>
      <c r="E787" s="106"/>
      <c r="F787" s="106"/>
      <c r="G787" s="106"/>
      <c r="H787" s="106"/>
      <c r="I787" s="106"/>
      <c r="J787" s="117" t="str">
        <f>IF(DGArchive[[#This Row],[目标]]="","",INDEX(幕间计算!$E$200:$E$1199,ROW()-ROW(DGArchive[#Headers])))</f>
        <v/>
      </c>
      <c r="K787" s="117" t="str">
        <f>IF(DGArchive[[#This Row],[目标]]="","",INDEX(幕间计算!$F$200:$F$1199,ROW()-ROW(DGArchive[#Headers])))</f>
        <v/>
      </c>
    </row>
    <row r="788" ht="25" customHeight="1" spans="1:11">
      <c r="A788" s="106"/>
      <c r="B788" s="106"/>
      <c r="C788" s="126"/>
      <c r="D788" s="106"/>
      <c r="E788" s="106"/>
      <c r="F788" s="106"/>
      <c r="G788" s="106"/>
      <c r="H788" s="106"/>
      <c r="I788" s="106"/>
      <c r="J788" s="117" t="str">
        <f>IF(DGArchive[[#This Row],[目标]]="","",INDEX(幕间计算!$E$200:$E$1199,ROW()-ROW(DGArchive[#Headers])))</f>
        <v/>
      </c>
      <c r="K788" s="117" t="str">
        <f>IF(DGArchive[[#This Row],[目标]]="","",INDEX(幕间计算!$F$200:$F$1199,ROW()-ROW(DGArchive[#Headers])))</f>
        <v/>
      </c>
    </row>
    <row r="789" ht="25" customHeight="1" spans="1:11">
      <c r="A789" s="106"/>
      <c r="B789" s="106"/>
      <c r="C789" s="126"/>
      <c r="D789" s="106"/>
      <c r="E789" s="106"/>
      <c r="F789" s="106"/>
      <c r="G789" s="106"/>
      <c r="H789" s="106"/>
      <c r="I789" s="106"/>
      <c r="J789" s="117" t="str">
        <f>IF(DGArchive[[#This Row],[目标]]="","",INDEX(幕间计算!$E$200:$E$1199,ROW()-ROW(DGArchive[#Headers])))</f>
        <v/>
      </c>
      <c r="K789" s="117" t="str">
        <f>IF(DGArchive[[#This Row],[目标]]="","",INDEX(幕间计算!$F$200:$F$1199,ROW()-ROW(DGArchive[#Headers])))</f>
        <v/>
      </c>
    </row>
    <row r="790" ht="25" customHeight="1" spans="1:11">
      <c r="A790" s="106"/>
      <c r="B790" s="106"/>
      <c r="C790" s="126"/>
      <c r="D790" s="106"/>
      <c r="E790" s="106"/>
      <c r="F790" s="106"/>
      <c r="G790" s="106"/>
      <c r="H790" s="106"/>
      <c r="I790" s="106"/>
      <c r="J790" s="117" t="str">
        <f>IF(DGArchive[[#This Row],[目标]]="","",INDEX(幕间计算!$E$200:$E$1199,ROW()-ROW(DGArchive[#Headers])))</f>
        <v/>
      </c>
      <c r="K790" s="117" t="str">
        <f>IF(DGArchive[[#This Row],[目标]]="","",INDEX(幕间计算!$F$200:$F$1199,ROW()-ROW(DGArchive[#Headers])))</f>
        <v/>
      </c>
    </row>
    <row r="791" ht="25" customHeight="1" spans="1:11">
      <c r="A791" s="106"/>
      <c r="B791" s="106"/>
      <c r="C791" s="126"/>
      <c r="D791" s="106"/>
      <c r="E791" s="106"/>
      <c r="F791" s="106"/>
      <c r="G791" s="106"/>
      <c r="H791" s="106"/>
      <c r="I791" s="106"/>
      <c r="J791" s="117" t="str">
        <f>IF(DGArchive[[#This Row],[目标]]="","",INDEX(幕间计算!$E$200:$E$1199,ROW()-ROW(DGArchive[#Headers])))</f>
        <v/>
      </c>
      <c r="K791" s="117" t="str">
        <f>IF(DGArchive[[#This Row],[目标]]="","",INDEX(幕间计算!$F$200:$F$1199,ROW()-ROW(DGArchive[#Headers])))</f>
        <v/>
      </c>
    </row>
    <row r="792" ht="25" customHeight="1" spans="1:11">
      <c r="A792" s="106"/>
      <c r="B792" s="106"/>
      <c r="C792" s="126"/>
      <c r="D792" s="106"/>
      <c r="E792" s="106"/>
      <c r="F792" s="106"/>
      <c r="G792" s="106"/>
      <c r="H792" s="106"/>
      <c r="I792" s="106"/>
      <c r="J792" s="117" t="str">
        <f>IF(DGArchive[[#This Row],[目标]]="","",INDEX(幕间计算!$E$200:$E$1199,ROW()-ROW(DGArchive[#Headers])))</f>
        <v/>
      </c>
      <c r="K792" s="117" t="str">
        <f>IF(DGArchive[[#This Row],[目标]]="","",INDEX(幕间计算!$F$200:$F$1199,ROW()-ROW(DGArchive[#Headers])))</f>
        <v/>
      </c>
    </row>
    <row r="793" ht="25" customHeight="1" spans="1:11">
      <c r="A793" s="106"/>
      <c r="B793" s="106"/>
      <c r="C793" s="126"/>
      <c r="D793" s="106"/>
      <c r="E793" s="106"/>
      <c r="F793" s="106"/>
      <c r="G793" s="106"/>
      <c r="H793" s="106"/>
      <c r="I793" s="106"/>
      <c r="J793" s="117" t="str">
        <f>IF(DGArchive[[#This Row],[目标]]="","",INDEX(幕间计算!$E$200:$E$1199,ROW()-ROW(DGArchive[#Headers])))</f>
        <v/>
      </c>
      <c r="K793" s="117" t="str">
        <f>IF(DGArchive[[#This Row],[目标]]="","",INDEX(幕间计算!$F$200:$F$1199,ROW()-ROW(DGArchive[#Headers])))</f>
        <v/>
      </c>
    </row>
    <row r="794" ht="25" customHeight="1" spans="1:11">
      <c r="A794" s="106"/>
      <c r="B794" s="106"/>
      <c r="C794" s="126"/>
      <c r="D794" s="106"/>
      <c r="E794" s="106"/>
      <c r="F794" s="106"/>
      <c r="G794" s="106"/>
      <c r="H794" s="106"/>
      <c r="I794" s="106"/>
      <c r="J794" s="117" t="str">
        <f>IF(DGArchive[[#This Row],[目标]]="","",INDEX(幕间计算!$E$200:$E$1199,ROW()-ROW(DGArchive[#Headers])))</f>
        <v/>
      </c>
      <c r="K794" s="117" t="str">
        <f>IF(DGArchive[[#This Row],[目标]]="","",INDEX(幕间计算!$F$200:$F$1199,ROW()-ROW(DGArchive[#Headers])))</f>
        <v/>
      </c>
    </row>
    <row r="795" ht="25" customHeight="1" spans="1:11">
      <c r="A795" s="106"/>
      <c r="B795" s="106"/>
      <c r="C795" s="126"/>
      <c r="D795" s="106"/>
      <c r="E795" s="106"/>
      <c r="F795" s="106"/>
      <c r="G795" s="106"/>
      <c r="H795" s="106"/>
      <c r="I795" s="106"/>
      <c r="J795" s="117" t="str">
        <f>IF(DGArchive[[#This Row],[目标]]="","",INDEX(幕间计算!$E$200:$E$1199,ROW()-ROW(DGArchive[#Headers])))</f>
        <v/>
      </c>
      <c r="K795" s="117" t="str">
        <f>IF(DGArchive[[#This Row],[目标]]="","",INDEX(幕间计算!$F$200:$F$1199,ROW()-ROW(DGArchive[#Headers])))</f>
        <v/>
      </c>
    </row>
    <row r="796" ht="25" customHeight="1" spans="1:11">
      <c r="A796" s="106"/>
      <c r="B796" s="106"/>
      <c r="C796" s="126"/>
      <c r="D796" s="106"/>
      <c r="E796" s="106"/>
      <c r="F796" s="106"/>
      <c r="G796" s="106"/>
      <c r="H796" s="106"/>
      <c r="I796" s="106"/>
      <c r="J796" s="117" t="str">
        <f>IF(DGArchive[[#This Row],[目标]]="","",INDEX(幕间计算!$E$200:$E$1199,ROW()-ROW(DGArchive[#Headers])))</f>
        <v/>
      </c>
      <c r="K796" s="117" t="str">
        <f>IF(DGArchive[[#This Row],[目标]]="","",INDEX(幕间计算!$F$200:$F$1199,ROW()-ROW(DGArchive[#Headers])))</f>
        <v/>
      </c>
    </row>
    <row r="797" ht="25" customHeight="1" spans="1:11">
      <c r="A797" s="106"/>
      <c r="B797" s="106"/>
      <c r="C797" s="126"/>
      <c r="D797" s="106"/>
      <c r="E797" s="106"/>
      <c r="F797" s="106"/>
      <c r="G797" s="106"/>
      <c r="H797" s="106"/>
      <c r="I797" s="106"/>
      <c r="J797" s="117" t="str">
        <f>IF(DGArchive[[#This Row],[目标]]="","",INDEX(幕间计算!$E$200:$E$1199,ROW()-ROW(DGArchive[#Headers])))</f>
        <v/>
      </c>
      <c r="K797" s="117" t="str">
        <f>IF(DGArchive[[#This Row],[目标]]="","",INDEX(幕间计算!$F$200:$F$1199,ROW()-ROW(DGArchive[#Headers])))</f>
        <v/>
      </c>
    </row>
    <row r="798" ht="25" customHeight="1" spans="1:11">
      <c r="A798" s="106"/>
      <c r="B798" s="106"/>
      <c r="C798" s="126"/>
      <c r="D798" s="106"/>
      <c r="E798" s="106"/>
      <c r="F798" s="106"/>
      <c r="G798" s="106"/>
      <c r="H798" s="106"/>
      <c r="I798" s="106"/>
      <c r="J798" s="117" t="str">
        <f>IF(DGArchive[[#This Row],[目标]]="","",INDEX(幕间计算!$E$200:$E$1199,ROW()-ROW(DGArchive[#Headers])))</f>
        <v/>
      </c>
      <c r="K798" s="117" t="str">
        <f>IF(DGArchive[[#This Row],[目标]]="","",INDEX(幕间计算!$F$200:$F$1199,ROW()-ROW(DGArchive[#Headers])))</f>
        <v/>
      </c>
    </row>
    <row r="799" ht="25" customHeight="1" spans="1:11">
      <c r="A799" s="106"/>
      <c r="B799" s="106"/>
      <c r="C799" s="126"/>
      <c r="D799" s="106"/>
      <c r="E799" s="106"/>
      <c r="F799" s="106"/>
      <c r="G799" s="106"/>
      <c r="H799" s="106"/>
      <c r="I799" s="106"/>
      <c r="J799" s="117" t="str">
        <f>IF(DGArchive[[#This Row],[目标]]="","",INDEX(幕间计算!$E$200:$E$1199,ROW()-ROW(DGArchive[#Headers])))</f>
        <v/>
      </c>
      <c r="K799" s="117" t="str">
        <f>IF(DGArchive[[#This Row],[目标]]="","",INDEX(幕间计算!$F$200:$F$1199,ROW()-ROW(DGArchive[#Headers])))</f>
        <v/>
      </c>
    </row>
    <row r="800" ht="25" customHeight="1" spans="1:11">
      <c r="A800" s="106"/>
      <c r="B800" s="106"/>
      <c r="C800" s="126"/>
      <c r="D800" s="106"/>
      <c r="E800" s="106"/>
      <c r="F800" s="106"/>
      <c r="G800" s="106"/>
      <c r="H800" s="106"/>
      <c r="I800" s="106"/>
      <c r="J800" s="117" t="str">
        <f>IF(DGArchive[[#This Row],[目标]]="","",INDEX(幕间计算!$E$200:$E$1199,ROW()-ROW(DGArchive[#Headers])))</f>
        <v/>
      </c>
      <c r="K800" s="117" t="str">
        <f>IF(DGArchive[[#This Row],[目标]]="","",INDEX(幕间计算!$F$200:$F$1199,ROW()-ROW(DGArchive[#Headers])))</f>
        <v/>
      </c>
    </row>
    <row r="801" ht="25" customHeight="1" spans="1:11">
      <c r="A801" s="106"/>
      <c r="B801" s="106"/>
      <c r="C801" s="126"/>
      <c r="D801" s="106"/>
      <c r="E801" s="106"/>
      <c r="F801" s="106"/>
      <c r="G801" s="106"/>
      <c r="H801" s="106"/>
      <c r="I801" s="106"/>
      <c r="J801" s="117" t="str">
        <f>IF(DGArchive[[#This Row],[目标]]="","",INDEX(幕间计算!$E$200:$E$1199,ROW()-ROW(DGArchive[#Headers])))</f>
        <v/>
      </c>
      <c r="K801" s="117" t="str">
        <f>IF(DGArchive[[#This Row],[目标]]="","",INDEX(幕间计算!$F$200:$F$1199,ROW()-ROW(DGArchive[#Headers])))</f>
        <v/>
      </c>
    </row>
    <row r="802" ht="25" customHeight="1" spans="1:11">
      <c r="A802" s="106"/>
      <c r="B802" s="106"/>
      <c r="C802" s="126"/>
      <c r="D802" s="106"/>
      <c r="E802" s="106"/>
      <c r="F802" s="106"/>
      <c r="G802" s="106"/>
      <c r="H802" s="106"/>
      <c r="I802" s="106"/>
      <c r="J802" s="117" t="str">
        <f>IF(DGArchive[[#This Row],[目标]]="","",INDEX(幕间计算!$E$200:$E$1199,ROW()-ROW(DGArchive[#Headers])))</f>
        <v/>
      </c>
      <c r="K802" s="117" t="str">
        <f>IF(DGArchive[[#This Row],[目标]]="","",INDEX(幕间计算!$F$200:$F$1199,ROW()-ROW(DGArchive[#Headers])))</f>
        <v/>
      </c>
    </row>
    <row r="803" ht="25" customHeight="1" spans="1:11">
      <c r="A803" s="106"/>
      <c r="B803" s="106"/>
      <c r="C803" s="126"/>
      <c r="D803" s="106"/>
      <c r="E803" s="106"/>
      <c r="F803" s="106"/>
      <c r="G803" s="106"/>
      <c r="H803" s="106"/>
      <c r="I803" s="106"/>
      <c r="J803" s="117" t="str">
        <f>IF(DGArchive[[#This Row],[目标]]="","",INDEX(幕间计算!$E$200:$E$1199,ROW()-ROW(DGArchive[#Headers])))</f>
        <v/>
      </c>
      <c r="K803" s="117" t="str">
        <f>IF(DGArchive[[#This Row],[目标]]="","",INDEX(幕间计算!$F$200:$F$1199,ROW()-ROW(DGArchive[#Headers])))</f>
        <v/>
      </c>
    </row>
    <row r="804" ht="25" customHeight="1" spans="1:11">
      <c r="A804" s="106"/>
      <c r="B804" s="106"/>
      <c r="C804" s="126"/>
      <c r="D804" s="106"/>
      <c r="E804" s="106"/>
      <c r="F804" s="106"/>
      <c r="G804" s="106"/>
      <c r="H804" s="106"/>
      <c r="I804" s="106"/>
      <c r="J804" s="117" t="str">
        <f>IF(DGArchive[[#This Row],[目标]]="","",INDEX(幕间计算!$E$200:$E$1199,ROW()-ROW(DGArchive[#Headers])))</f>
        <v/>
      </c>
      <c r="K804" s="117" t="str">
        <f>IF(DGArchive[[#This Row],[目标]]="","",INDEX(幕间计算!$F$200:$F$1199,ROW()-ROW(DGArchive[#Headers])))</f>
        <v/>
      </c>
    </row>
    <row r="805" ht="25" customHeight="1" spans="1:11">
      <c r="A805" s="106"/>
      <c r="B805" s="106"/>
      <c r="C805" s="126"/>
      <c r="D805" s="106"/>
      <c r="E805" s="106"/>
      <c r="F805" s="106"/>
      <c r="G805" s="106"/>
      <c r="H805" s="106"/>
      <c r="I805" s="106"/>
      <c r="J805" s="117" t="str">
        <f>IF(DGArchive[[#This Row],[目标]]="","",INDEX(幕间计算!$E$200:$E$1199,ROW()-ROW(DGArchive[#Headers])))</f>
        <v/>
      </c>
      <c r="K805" s="117" t="str">
        <f>IF(DGArchive[[#This Row],[目标]]="","",INDEX(幕间计算!$F$200:$F$1199,ROW()-ROW(DGArchive[#Headers])))</f>
        <v/>
      </c>
    </row>
    <row r="806" ht="25" customHeight="1" spans="1:11">
      <c r="A806" s="106"/>
      <c r="B806" s="106"/>
      <c r="C806" s="126"/>
      <c r="D806" s="106"/>
      <c r="E806" s="106"/>
      <c r="F806" s="106"/>
      <c r="G806" s="106"/>
      <c r="H806" s="106"/>
      <c r="I806" s="106"/>
      <c r="J806" s="117" t="str">
        <f>IF(DGArchive[[#This Row],[目标]]="","",INDEX(幕间计算!$E$200:$E$1199,ROW()-ROW(DGArchive[#Headers])))</f>
        <v/>
      </c>
      <c r="K806" s="117" t="str">
        <f>IF(DGArchive[[#This Row],[目标]]="","",INDEX(幕间计算!$F$200:$F$1199,ROW()-ROW(DGArchive[#Headers])))</f>
        <v/>
      </c>
    </row>
    <row r="807" ht="25" customHeight="1" spans="1:11">
      <c r="A807" s="106"/>
      <c r="B807" s="106"/>
      <c r="C807" s="126"/>
      <c r="D807" s="106"/>
      <c r="E807" s="106"/>
      <c r="F807" s="106"/>
      <c r="G807" s="106"/>
      <c r="H807" s="106"/>
      <c r="I807" s="106"/>
      <c r="J807" s="117" t="str">
        <f>IF(DGArchive[[#This Row],[目标]]="","",INDEX(幕间计算!$E$200:$E$1199,ROW()-ROW(DGArchive[#Headers])))</f>
        <v/>
      </c>
      <c r="K807" s="117" t="str">
        <f>IF(DGArchive[[#This Row],[目标]]="","",INDEX(幕间计算!$F$200:$F$1199,ROW()-ROW(DGArchive[#Headers])))</f>
        <v/>
      </c>
    </row>
    <row r="808" ht="25" customHeight="1" spans="1:11">
      <c r="A808" s="106"/>
      <c r="B808" s="106"/>
      <c r="C808" s="126"/>
      <c r="D808" s="106"/>
      <c r="E808" s="106"/>
      <c r="F808" s="106"/>
      <c r="G808" s="106"/>
      <c r="H808" s="106"/>
      <c r="I808" s="106"/>
      <c r="J808" s="117" t="str">
        <f>IF(DGArchive[[#This Row],[目标]]="","",INDEX(幕间计算!$E$200:$E$1199,ROW()-ROW(DGArchive[#Headers])))</f>
        <v/>
      </c>
      <c r="K808" s="117" t="str">
        <f>IF(DGArchive[[#This Row],[目标]]="","",INDEX(幕间计算!$F$200:$F$1199,ROW()-ROW(DGArchive[#Headers])))</f>
        <v/>
      </c>
    </row>
    <row r="809" ht="25" customHeight="1" spans="1:11">
      <c r="A809" s="106"/>
      <c r="B809" s="106"/>
      <c r="C809" s="126"/>
      <c r="D809" s="106"/>
      <c r="E809" s="106"/>
      <c r="F809" s="106"/>
      <c r="G809" s="106"/>
      <c r="H809" s="106"/>
      <c r="I809" s="106"/>
      <c r="J809" s="117" t="str">
        <f>IF(DGArchive[[#This Row],[目标]]="","",INDEX(幕间计算!$E$200:$E$1199,ROW()-ROW(DGArchive[#Headers])))</f>
        <v/>
      </c>
      <c r="K809" s="117" t="str">
        <f>IF(DGArchive[[#This Row],[目标]]="","",INDEX(幕间计算!$F$200:$F$1199,ROW()-ROW(DGArchive[#Headers])))</f>
        <v/>
      </c>
    </row>
    <row r="810" ht="25" customHeight="1" spans="1:11">
      <c r="A810" s="106"/>
      <c r="B810" s="106"/>
      <c r="C810" s="126"/>
      <c r="D810" s="106"/>
      <c r="E810" s="106"/>
      <c r="F810" s="106"/>
      <c r="G810" s="106"/>
      <c r="H810" s="106"/>
      <c r="I810" s="106"/>
      <c r="J810" s="117" t="str">
        <f>IF(DGArchive[[#This Row],[目标]]="","",INDEX(幕间计算!$E$200:$E$1199,ROW()-ROW(DGArchive[#Headers])))</f>
        <v/>
      </c>
      <c r="K810" s="117" t="str">
        <f>IF(DGArchive[[#This Row],[目标]]="","",INDEX(幕间计算!$F$200:$F$1199,ROW()-ROW(DGArchive[#Headers])))</f>
        <v/>
      </c>
    </row>
    <row r="811" ht="25" customHeight="1" spans="1:11">
      <c r="A811" s="106"/>
      <c r="B811" s="106"/>
      <c r="C811" s="126"/>
      <c r="D811" s="106"/>
      <c r="E811" s="106"/>
      <c r="F811" s="106"/>
      <c r="G811" s="106"/>
      <c r="H811" s="106"/>
      <c r="I811" s="106"/>
      <c r="J811" s="117" t="str">
        <f>IF(DGArchive[[#This Row],[目标]]="","",INDEX(幕间计算!$E$200:$E$1199,ROW()-ROW(DGArchive[#Headers])))</f>
        <v/>
      </c>
      <c r="K811" s="117" t="str">
        <f>IF(DGArchive[[#This Row],[目标]]="","",INDEX(幕间计算!$F$200:$F$1199,ROW()-ROW(DGArchive[#Headers])))</f>
        <v/>
      </c>
    </row>
    <row r="812" ht="25" customHeight="1" spans="1:11">
      <c r="A812" s="106"/>
      <c r="B812" s="106"/>
      <c r="C812" s="126"/>
      <c r="D812" s="106"/>
      <c r="E812" s="106"/>
      <c r="F812" s="106"/>
      <c r="G812" s="106"/>
      <c r="H812" s="106"/>
      <c r="I812" s="106"/>
      <c r="J812" s="117" t="str">
        <f>IF(DGArchive[[#This Row],[目标]]="","",INDEX(幕间计算!$E$200:$E$1199,ROW()-ROW(DGArchive[#Headers])))</f>
        <v/>
      </c>
      <c r="K812" s="117" t="str">
        <f>IF(DGArchive[[#This Row],[目标]]="","",INDEX(幕间计算!$F$200:$F$1199,ROW()-ROW(DGArchive[#Headers])))</f>
        <v/>
      </c>
    </row>
    <row r="813" ht="25" customHeight="1" spans="1:11">
      <c r="A813" s="106"/>
      <c r="B813" s="106"/>
      <c r="C813" s="126"/>
      <c r="D813" s="106"/>
      <c r="E813" s="106"/>
      <c r="F813" s="106"/>
      <c r="G813" s="106"/>
      <c r="H813" s="106"/>
      <c r="I813" s="106"/>
      <c r="J813" s="117" t="str">
        <f>IF(DGArchive[[#This Row],[目标]]="","",INDEX(幕间计算!$E$200:$E$1199,ROW()-ROW(DGArchive[#Headers])))</f>
        <v/>
      </c>
      <c r="K813" s="117" t="str">
        <f>IF(DGArchive[[#This Row],[目标]]="","",INDEX(幕间计算!$F$200:$F$1199,ROW()-ROW(DGArchive[#Headers])))</f>
        <v/>
      </c>
    </row>
    <row r="814" ht="25" customHeight="1" spans="1:11">
      <c r="A814" s="106"/>
      <c r="B814" s="106"/>
      <c r="C814" s="126"/>
      <c r="D814" s="106"/>
      <c r="E814" s="106"/>
      <c r="F814" s="106"/>
      <c r="G814" s="106"/>
      <c r="H814" s="106"/>
      <c r="I814" s="106"/>
      <c r="J814" s="117" t="str">
        <f>IF(DGArchive[[#This Row],[目标]]="","",INDEX(幕间计算!$E$200:$E$1199,ROW()-ROW(DGArchive[#Headers])))</f>
        <v/>
      </c>
      <c r="K814" s="117" t="str">
        <f>IF(DGArchive[[#This Row],[目标]]="","",INDEX(幕间计算!$F$200:$F$1199,ROW()-ROW(DGArchive[#Headers])))</f>
        <v/>
      </c>
    </row>
    <row r="815" ht="25" customHeight="1" spans="1:11">
      <c r="A815" s="106"/>
      <c r="B815" s="106"/>
      <c r="C815" s="126"/>
      <c r="D815" s="106"/>
      <c r="E815" s="106"/>
      <c r="F815" s="106"/>
      <c r="G815" s="106"/>
      <c r="H815" s="106"/>
      <c r="I815" s="106"/>
      <c r="J815" s="117" t="str">
        <f>IF(DGArchive[[#This Row],[目标]]="","",INDEX(幕间计算!$E$200:$E$1199,ROW()-ROW(DGArchive[#Headers])))</f>
        <v/>
      </c>
      <c r="K815" s="117" t="str">
        <f>IF(DGArchive[[#This Row],[目标]]="","",INDEX(幕间计算!$F$200:$F$1199,ROW()-ROW(DGArchive[#Headers])))</f>
        <v/>
      </c>
    </row>
    <row r="816" ht="25" customHeight="1" spans="1:11">
      <c r="A816" s="106"/>
      <c r="B816" s="106"/>
      <c r="C816" s="126"/>
      <c r="D816" s="106"/>
      <c r="E816" s="106"/>
      <c r="F816" s="106"/>
      <c r="G816" s="106"/>
      <c r="H816" s="106"/>
      <c r="I816" s="106"/>
      <c r="J816" s="117" t="str">
        <f>IF(DGArchive[[#This Row],[目标]]="","",INDEX(幕间计算!$E$200:$E$1199,ROW()-ROW(DGArchive[#Headers])))</f>
        <v/>
      </c>
      <c r="K816" s="117" t="str">
        <f>IF(DGArchive[[#This Row],[目标]]="","",INDEX(幕间计算!$F$200:$F$1199,ROW()-ROW(DGArchive[#Headers])))</f>
        <v/>
      </c>
    </row>
    <row r="817" ht="25" customHeight="1" spans="1:11">
      <c r="A817" s="106"/>
      <c r="B817" s="106"/>
      <c r="C817" s="126"/>
      <c r="D817" s="106"/>
      <c r="E817" s="106"/>
      <c r="F817" s="106"/>
      <c r="G817" s="106"/>
      <c r="H817" s="106"/>
      <c r="I817" s="106"/>
      <c r="J817" s="117" t="str">
        <f>IF(DGArchive[[#This Row],[目标]]="","",INDEX(幕间计算!$E$200:$E$1199,ROW()-ROW(DGArchive[#Headers])))</f>
        <v/>
      </c>
      <c r="K817" s="117" t="str">
        <f>IF(DGArchive[[#This Row],[目标]]="","",INDEX(幕间计算!$F$200:$F$1199,ROW()-ROW(DGArchive[#Headers])))</f>
        <v/>
      </c>
    </row>
    <row r="818" ht="25" customHeight="1" spans="1:11">
      <c r="A818" s="106"/>
      <c r="B818" s="106"/>
      <c r="C818" s="126"/>
      <c r="D818" s="106"/>
      <c r="E818" s="106"/>
      <c r="F818" s="106"/>
      <c r="G818" s="106"/>
      <c r="H818" s="106"/>
      <c r="I818" s="106"/>
      <c r="J818" s="117" t="str">
        <f>IF(DGArchive[[#This Row],[目标]]="","",INDEX(幕间计算!$E$200:$E$1199,ROW()-ROW(DGArchive[#Headers])))</f>
        <v/>
      </c>
      <c r="K818" s="117" t="str">
        <f>IF(DGArchive[[#This Row],[目标]]="","",INDEX(幕间计算!$F$200:$F$1199,ROW()-ROW(DGArchive[#Headers])))</f>
        <v/>
      </c>
    </row>
    <row r="819" ht="25" customHeight="1" spans="1:11">
      <c r="A819" s="106"/>
      <c r="B819" s="106"/>
      <c r="C819" s="126"/>
      <c r="D819" s="106"/>
      <c r="E819" s="106"/>
      <c r="F819" s="106"/>
      <c r="G819" s="106"/>
      <c r="H819" s="106"/>
      <c r="I819" s="106"/>
      <c r="J819" s="117" t="str">
        <f>IF(DGArchive[[#This Row],[目标]]="","",INDEX(幕间计算!$E$200:$E$1199,ROW()-ROW(DGArchive[#Headers])))</f>
        <v/>
      </c>
      <c r="K819" s="117" t="str">
        <f>IF(DGArchive[[#This Row],[目标]]="","",INDEX(幕间计算!$F$200:$F$1199,ROW()-ROW(DGArchive[#Headers])))</f>
        <v/>
      </c>
    </row>
    <row r="820" ht="25" customHeight="1" spans="1:11">
      <c r="A820" s="106"/>
      <c r="B820" s="106"/>
      <c r="C820" s="126"/>
      <c r="D820" s="106"/>
      <c r="E820" s="106"/>
      <c r="F820" s="106"/>
      <c r="G820" s="106"/>
      <c r="H820" s="106"/>
      <c r="I820" s="106"/>
      <c r="J820" s="117" t="str">
        <f>IF(DGArchive[[#This Row],[目标]]="","",INDEX(幕间计算!$E$200:$E$1199,ROW()-ROW(DGArchive[#Headers])))</f>
        <v/>
      </c>
      <c r="K820" s="117" t="str">
        <f>IF(DGArchive[[#This Row],[目标]]="","",INDEX(幕间计算!$F$200:$F$1199,ROW()-ROW(DGArchive[#Headers])))</f>
        <v/>
      </c>
    </row>
    <row r="821" ht="25" customHeight="1" spans="1:11">
      <c r="A821" s="106"/>
      <c r="B821" s="106"/>
      <c r="C821" s="126"/>
      <c r="D821" s="106"/>
      <c r="E821" s="106"/>
      <c r="F821" s="106"/>
      <c r="G821" s="106"/>
      <c r="H821" s="106"/>
      <c r="I821" s="106"/>
      <c r="J821" s="117" t="str">
        <f>IF(DGArchive[[#This Row],[目标]]="","",INDEX(幕间计算!$E$200:$E$1199,ROW()-ROW(DGArchive[#Headers])))</f>
        <v/>
      </c>
      <c r="K821" s="117" t="str">
        <f>IF(DGArchive[[#This Row],[目标]]="","",INDEX(幕间计算!$F$200:$F$1199,ROW()-ROW(DGArchive[#Headers])))</f>
        <v/>
      </c>
    </row>
    <row r="822" ht="25" customHeight="1" spans="1:11">
      <c r="A822" s="106"/>
      <c r="B822" s="106"/>
      <c r="C822" s="126"/>
      <c r="D822" s="106"/>
      <c r="E822" s="106"/>
      <c r="F822" s="106"/>
      <c r="G822" s="106"/>
      <c r="H822" s="106"/>
      <c r="I822" s="106"/>
      <c r="J822" s="117" t="str">
        <f>IF(DGArchive[[#This Row],[目标]]="","",INDEX(幕间计算!$E$200:$E$1199,ROW()-ROW(DGArchive[#Headers])))</f>
        <v/>
      </c>
      <c r="K822" s="117" t="str">
        <f>IF(DGArchive[[#This Row],[目标]]="","",INDEX(幕间计算!$F$200:$F$1199,ROW()-ROW(DGArchive[#Headers])))</f>
        <v/>
      </c>
    </row>
    <row r="823" ht="25" customHeight="1" spans="1:11">
      <c r="A823" s="106"/>
      <c r="B823" s="106"/>
      <c r="C823" s="126"/>
      <c r="D823" s="106"/>
      <c r="E823" s="106"/>
      <c r="F823" s="106"/>
      <c r="G823" s="106"/>
      <c r="H823" s="106"/>
      <c r="I823" s="106"/>
      <c r="J823" s="117" t="str">
        <f>IF(DGArchive[[#This Row],[目标]]="","",INDEX(幕间计算!$E$200:$E$1199,ROW()-ROW(DGArchive[#Headers])))</f>
        <v/>
      </c>
      <c r="K823" s="117" t="str">
        <f>IF(DGArchive[[#This Row],[目标]]="","",INDEX(幕间计算!$F$200:$F$1199,ROW()-ROW(DGArchive[#Headers])))</f>
        <v/>
      </c>
    </row>
    <row r="824" ht="25" customHeight="1" spans="1:11">
      <c r="A824" s="106"/>
      <c r="B824" s="106"/>
      <c r="C824" s="126"/>
      <c r="D824" s="106"/>
      <c r="E824" s="106"/>
      <c r="F824" s="106"/>
      <c r="G824" s="106"/>
      <c r="H824" s="106"/>
      <c r="I824" s="106"/>
      <c r="J824" s="117" t="str">
        <f>IF(DGArchive[[#This Row],[目标]]="","",INDEX(幕间计算!$E$200:$E$1199,ROW()-ROW(DGArchive[#Headers])))</f>
        <v/>
      </c>
      <c r="K824" s="117" t="str">
        <f>IF(DGArchive[[#This Row],[目标]]="","",INDEX(幕间计算!$F$200:$F$1199,ROW()-ROW(DGArchive[#Headers])))</f>
        <v/>
      </c>
    </row>
    <row r="825" ht="25" customHeight="1" spans="1:11">
      <c r="A825" s="106"/>
      <c r="B825" s="106"/>
      <c r="C825" s="126"/>
      <c r="D825" s="106"/>
      <c r="E825" s="106"/>
      <c r="F825" s="106"/>
      <c r="G825" s="106"/>
      <c r="H825" s="106"/>
      <c r="I825" s="106"/>
      <c r="J825" s="117" t="str">
        <f>IF(DGArchive[[#This Row],[目标]]="","",INDEX(幕间计算!$E$200:$E$1199,ROW()-ROW(DGArchive[#Headers])))</f>
        <v/>
      </c>
      <c r="K825" s="117" t="str">
        <f>IF(DGArchive[[#This Row],[目标]]="","",INDEX(幕间计算!$F$200:$F$1199,ROW()-ROW(DGArchive[#Headers])))</f>
        <v/>
      </c>
    </row>
    <row r="826" ht="25" customHeight="1" spans="1:11">
      <c r="A826" s="106"/>
      <c r="B826" s="106"/>
      <c r="C826" s="126"/>
      <c r="D826" s="106"/>
      <c r="E826" s="106"/>
      <c r="F826" s="106"/>
      <c r="G826" s="106"/>
      <c r="H826" s="106"/>
      <c r="I826" s="106"/>
      <c r="J826" s="117" t="str">
        <f>IF(DGArchive[[#This Row],[目标]]="","",INDEX(幕间计算!$E$200:$E$1199,ROW()-ROW(DGArchive[#Headers])))</f>
        <v/>
      </c>
      <c r="K826" s="117" t="str">
        <f>IF(DGArchive[[#This Row],[目标]]="","",INDEX(幕间计算!$F$200:$F$1199,ROW()-ROW(DGArchive[#Headers])))</f>
        <v/>
      </c>
    </row>
    <row r="827" ht="25" customHeight="1" spans="1:11">
      <c r="A827" s="106"/>
      <c r="B827" s="106"/>
      <c r="C827" s="126"/>
      <c r="D827" s="106"/>
      <c r="E827" s="106"/>
      <c r="F827" s="106"/>
      <c r="G827" s="106"/>
      <c r="H827" s="106"/>
      <c r="I827" s="106"/>
      <c r="J827" s="117" t="str">
        <f>IF(DGArchive[[#This Row],[目标]]="","",INDEX(幕间计算!$E$200:$E$1199,ROW()-ROW(DGArchive[#Headers])))</f>
        <v/>
      </c>
      <c r="K827" s="117" t="str">
        <f>IF(DGArchive[[#This Row],[目标]]="","",INDEX(幕间计算!$F$200:$F$1199,ROW()-ROW(DGArchive[#Headers])))</f>
        <v/>
      </c>
    </row>
    <row r="828" ht="25" customHeight="1" spans="1:11">
      <c r="A828" s="106"/>
      <c r="B828" s="106"/>
      <c r="C828" s="126"/>
      <c r="D828" s="106"/>
      <c r="E828" s="106"/>
      <c r="F828" s="106"/>
      <c r="G828" s="106"/>
      <c r="H828" s="106"/>
      <c r="I828" s="106"/>
      <c r="J828" s="117" t="str">
        <f>IF(DGArchive[[#This Row],[目标]]="","",INDEX(幕间计算!$E$200:$E$1199,ROW()-ROW(DGArchive[#Headers])))</f>
        <v/>
      </c>
      <c r="K828" s="117" t="str">
        <f>IF(DGArchive[[#This Row],[目标]]="","",INDEX(幕间计算!$F$200:$F$1199,ROW()-ROW(DGArchive[#Headers])))</f>
        <v/>
      </c>
    </row>
    <row r="829" ht="25" customHeight="1" spans="1:11">
      <c r="A829" s="106"/>
      <c r="B829" s="106"/>
      <c r="C829" s="126"/>
      <c r="D829" s="106"/>
      <c r="E829" s="106"/>
      <c r="F829" s="106"/>
      <c r="G829" s="106"/>
      <c r="H829" s="106"/>
      <c r="I829" s="106"/>
      <c r="J829" s="117" t="str">
        <f>IF(DGArchive[[#This Row],[目标]]="","",INDEX(幕间计算!$E$200:$E$1199,ROW()-ROW(DGArchive[#Headers])))</f>
        <v/>
      </c>
      <c r="K829" s="117" t="str">
        <f>IF(DGArchive[[#This Row],[目标]]="","",INDEX(幕间计算!$F$200:$F$1199,ROW()-ROW(DGArchive[#Headers])))</f>
        <v/>
      </c>
    </row>
    <row r="830" ht="25" customHeight="1" spans="1:11">
      <c r="A830" s="106"/>
      <c r="B830" s="106"/>
      <c r="C830" s="126"/>
      <c r="D830" s="106"/>
      <c r="E830" s="106"/>
      <c r="F830" s="106"/>
      <c r="G830" s="106"/>
      <c r="H830" s="106"/>
      <c r="I830" s="106"/>
      <c r="J830" s="117" t="str">
        <f>IF(DGArchive[[#This Row],[目标]]="","",INDEX(幕间计算!$E$200:$E$1199,ROW()-ROW(DGArchive[#Headers])))</f>
        <v/>
      </c>
      <c r="K830" s="117" t="str">
        <f>IF(DGArchive[[#This Row],[目标]]="","",INDEX(幕间计算!$F$200:$F$1199,ROW()-ROW(DGArchive[#Headers])))</f>
        <v/>
      </c>
    </row>
    <row r="831" ht="25" customHeight="1" spans="1:11">
      <c r="A831" s="106"/>
      <c r="B831" s="106"/>
      <c r="C831" s="126"/>
      <c r="D831" s="106"/>
      <c r="E831" s="106"/>
      <c r="F831" s="106"/>
      <c r="G831" s="106"/>
      <c r="H831" s="106"/>
      <c r="I831" s="106"/>
      <c r="J831" s="117" t="str">
        <f>IF(DGArchive[[#This Row],[目标]]="","",INDEX(幕间计算!$E$200:$E$1199,ROW()-ROW(DGArchive[#Headers])))</f>
        <v/>
      </c>
      <c r="K831" s="117" t="str">
        <f>IF(DGArchive[[#This Row],[目标]]="","",INDEX(幕间计算!$F$200:$F$1199,ROW()-ROW(DGArchive[#Headers])))</f>
        <v/>
      </c>
    </row>
    <row r="832" ht="25" customHeight="1" spans="1:11">
      <c r="A832" s="106"/>
      <c r="B832" s="106"/>
      <c r="C832" s="126"/>
      <c r="D832" s="106"/>
      <c r="E832" s="106"/>
      <c r="F832" s="106"/>
      <c r="G832" s="106"/>
      <c r="H832" s="106"/>
      <c r="I832" s="106"/>
      <c r="J832" s="117" t="str">
        <f>IF(DGArchive[[#This Row],[目标]]="","",INDEX(幕间计算!$E$200:$E$1199,ROW()-ROW(DGArchive[#Headers])))</f>
        <v/>
      </c>
      <c r="K832" s="117" t="str">
        <f>IF(DGArchive[[#This Row],[目标]]="","",INDEX(幕间计算!$F$200:$F$1199,ROW()-ROW(DGArchive[#Headers])))</f>
        <v/>
      </c>
    </row>
    <row r="833" ht="25" customHeight="1" spans="1:11">
      <c r="A833" s="106"/>
      <c r="B833" s="106"/>
      <c r="C833" s="126"/>
      <c r="D833" s="106"/>
      <c r="E833" s="106"/>
      <c r="F833" s="106"/>
      <c r="G833" s="106"/>
      <c r="H833" s="106"/>
      <c r="I833" s="106"/>
      <c r="J833" s="117" t="str">
        <f>IF(DGArchive[[#This Row],[目标]]="","",INDEX(幕间计算!$E$200:$E$1199,ROW()-ROW(DGArchive[#Headers])))</f>
        <v/>
      </c>
      <c r="K833" s="117" t="str">
        <f>IF(DGArchive[[#This Row],[目标]]="","",INDEX(幕间计算!$F$200:$F$1199,ROW()-ROW(DGArchive[#Headers])))</f>
        <v/>
      </c>
    </row>
    <row r="834" ht="25" customHeight="1" spans="1:11">
      <c r="A834" s="106"/>
      <c r="B834" s="106"/>
      <c r="C834" s="126"/>
      <c r="D834" s="106"/>
      <c r="E834" s="106"/>
      <c r="F834" s="106"/>
      <c r="G834" s="106"/>
      <c r="H834" s="106"/>
      <c r="I834" s="106"/>
      <c r="J834" s="117" t="str">
        <f>IF(DGArchive[[#This Row],[目标]]="","",INDEX(幕间计算!$E$200:$E$1199,ROW()-ROW(DGArchive[#Headers])))</f>
        <v/>
      </c>
      <c r="K834" s="117" t="str">
        <f>IF(DGArchive[[#This Row],[目标]]="","",INDEX(幕间计算!$F$200:$F$1199,ROW()-ROW(DGArchive[#Headers])))</f>
        <v/>
      </c>
    </row>
    <row r="835" ht="25" customHeight="1" spans="1:11">
      <c r="A835" s="106"/>
      <c r="B835" s="106"/>
      <c r="C835" s="126"/>
      <c r="D835" s="106"/>
      <c r="E835" s="106"/>
      <c r="F835" s="106"/>
      <c r="G835" s="106"/>
      <c r="H835" s="106"/>
      <c r="I835" s="106"/>
      <c r="J835" s="117" t="str">
        <f>IF(DGArchive[[#This Row],[目标]]="","",INDEX(幕间计算!$E$200:$E$1199,ROW()-ROW(DGArchive[#Headers])))</f>
        <v/>
      </c>
      <c r="K835" s="117" t="str">
        <f>IF(DGArchive[[#This Row],[目标]]="","",INDEX(幕间计算!$F$200:$F$1199,ROW()-ROW(DGArchive[#Headers])))</f>
        <v/>
      </c>
    </row>
    <row r="836" ht="25" customHeight="1" spans="1:11">
      <c r="A836" s="106"/>
      <c r="B836" s="106"/>
      <c r="C836" s="126"/>
      <c r="D836" s="106"/>
      <c r="E836" s="106"/>
      <c r="F836" s="106"/>
      <c r="G836" s="106"/>
      <c r="H836" s="106"/>
      <c r="I836" s="106"/>
      <c r="J836" s="117" t="str">
        <f>IF(DGArchive[[#This Row],[目标]]="","",INDEX(幕间计算!$E$200:$E$1199,ROW()-ROW(DGArchive[#Headers])))</f>
        <v/>
      </c>
      <c r="K836" s="117" t="str">
        <f>IF(DGArchive[[#This Row],[目标]]="","",INDEX(幕间计算!$F$200:$F$1199,ROW()-ROW(DGArchive[#Headers])))</f>
        <v/>
      </c>
    </row>
    <row r="837" ht="25" customHeight="1" spans="1:11">
      <c r="A837" s="106"/>
      <c r="B837" s="106"/>
      <c r="C837" s="126"/>
      <c r="D837" s="106"/>
      <c r="E837" s="106"/>
      <c r="F837" s="106"/>
      <c r="G837" s="106"/>
      <c r="H837" s="106"/>
      <c r="I837" s="106"/>
      <c r="J837" s="117" t="str">
        <f>IF(DGArchive[[#This Row],[目标]]="","",INDEX(幕间计算!$E$200:$E$1199,ROW()-ROW(DGArchive[#Headers])))</f>
        <v/>
      </c>
      <c r="K837" s="117" t="str">
        <f>IF(DGArchive[[#This Row],[目标]]="","",INDEX(幕间计算!$F$200:$F$1199,ROW()-ROW(DGArchive[#Headers])))</f>
        <v/>
      </c>
    </row>
    <row r="838" ht="25" customHeight="1" spans="1:11">
      <c r="A838" s="106"/>
      <c r="B838" s="106"/>
      <c r="C838" s="126"/>
      <c r="D838" s="106"/>
      <c r="E838" s="106"/>
      <c r="F838" s="106"/>
      <c r="G838" s="106"/>
      <c r="H838" s="106"/>
      <c r="I838" s="106"/>
      <c r="J838" s="117" t="str">
        <f>IF(DGArchive[[#This Row],[目标]]="","",INDEX(幕间计算!$E$200:$E$1199,ROW()-ROW(DGArchive[#Headers])))</f>
        <v/>
      </c>
      <c r="K838" s="117" t="str">
        <f>IF(DGArchive[[#This Row],[目标]]="","",INDEX(幕间计算!$F$200:$F$1199,ROW()-ROW(DGArchive[#Headers])))</f>
        <v/>
      </c>
    </row>
    <row r="839" ht="25" customHeight="1" spans="1:11">
      <c r="A839" s="106"/>
      <c r="B839" s="106"/>
      <c r="C839" s="126"/>
      <c r="D839" s="106"/>
      <c r="E839" s="106"/>
      <c r="F839" s="106"/>
      <c r="G839" s="106"/>
      <c r="H839" s="106"/>
      <c r="I839" s="106"/>
      <c r="J839" s="117" t="str">
        <f>IF(DGArchive[[#This Row],[目标]]="","",INDEX(幕间计算!$E$200:$E$1199,ROW()-ROW(DGArchive[#Headers])))</f>
        <v/>
      </c>
      <c r="K839" s="117" t="str">
        <f>IF(DGArchive[[#This Row],[目标]]="","",INDEX(幕间计算!$F$200:$F$1199,ROW()-ROW(DGArchive[#Headers])))</f>
        <v/>
      </c>
    </row>
    <row r="840" ht="25" customHeight="1" spans="1:11">
      <c r="A840" s="106"/>
      <c r="B840" s="106"/>
      <c r="C840" s="126"/>
      <c r="D840" s="106"/>
      <c r="E840" s="106"/>
      <c r="F840" s="106"/>
      <c r="G840" s="106"/>
      <c r="H840" s="106"/>
      <c r="I840" s="106"/>
      <c r="J840" s="117" t="str">
        <f>IF(DGArchive[[#This Row],[目标]]="","",INDEX(幕间计算!$E$200:$E$1199,ROW()-ROW(DGArchive[#Headers])))</f>
        <v/>
      </c>
      <c r="K840" s="117" t="str">
        <f>IF(DGArchive[[#This Row],[目标]]="","",INDEX(幕间计算!$F$200:$F$1199,ROW()-ROW(DGArchive[#Headers])))</f>
        <v/>
      </c>
    </row>
    <row r="841" ht="25" customHeight="1" spans="1:11">
      <c r="A841" s="106"/>
      <c r="B841" s="106"/>
      <c r="C841" s="126"/>
      <c r="D841" s="106"/>
      <c r="E841" s="106"/>
      <c r="F841" s="106"/>
      <c r="G841" s="106"/>
      <c r="H841" s="106"/>
      <c r="I841" s="106"/>
      <c r="J841" s="117" t="str">
        <f>IF(DGArchive[[#This Row],[目标]]="","",INDEX(幕间计算!$E$200:$E$1199,ROW()-ROW(DGArchive[#Headers])))</f>
        <v/>
      </c>
      <c r="K841" s="117" t="str">
        <f>IF(DGArchive[[#This Row],[目标]]="","",INDEX(幕间计算!$F$200:$F$1199,ROW()-ROW(DGArchive[#Headers])))</f>
        <v/>
      </c>
    </row>
    <row r="842" ht="25" customHeight="1" spans="1:11">
      <c r="A842" s="106"/>
      <c r="B842" s="106"/>
      <c r="C842" s="126"/>
      <c r="D842" s="106"/>
      <c r="E842" s="106"/>
      <c r="F842" s="106"/>
      <c r="G842" s="106"/>
      <c r="H842" s="106"/>
      <c r="I842" s="106"/>
      <c r="J842" s="117" t="str">
        <f>IF(DGArchive[[#This Row],[目标]]="","",INDEX(幕间计算!$E$200:$E$1199,ROW()-ROW(DGArchive[#Headers])))</f>
        <v/>
      </c>
      <c r="K842" s="117" t="str">
        <f>IF(DGArchive[[#This Row],[目标]]="","",INDEX(幕间计算!$F$200:$F$1199,ROW()-ROW(DGArchive[#Headers])))</f>
        <v/>
      </c>
    </row>
    <row r="843" ht="25" customHeight="1" spans="1:11">
      <c r="A843" s="106"/>
      <c r="B843" s="106"/>
      <c r="C843" s="126"/>
      <c r="D843" s="106"/>
      <c r="E843" s="106"/>
      <c r="F843" s="106"/>
      <c r="G843" s="106"/>
      <c r="H843" s="106"/>
      <c r="I843" s="106"/>
      <c r="J843" s="117" t="str">
        <f>IF(DGArchive[[#This Row],[目标]]="","",INDEX(幕间计算!$E$200:$E$1199,ROW()-ROW(DGArchive[#Headers])))</f>
        <v/>
      </c>
      <c r="K843" s="117" t="str">
        <f>IF(DGArchive[[#This Row],[目标]]="","",INDEX(幕间计算!$F$200:$F$1199,ROW()-ROW(DGArchive[#Headers])))</f>
        <v/>
      </c>
    </row>
    <row r="844" ht="25" customHeight="1" spans="1:11">
      <c r="A844" s="106"/>
      <c r="B844" s="106"/>
      <c r="C844" s="126"/>
      <c r="D844" s="106"/>
      <c r="E844" s="106"/>
      <c r="F844" s="106"/>
      <c r="G844" s="106"/>
      <c r="H844" s="106"/>
      <c r="I844" s="106"/>
      <c r="J844" s="117" t="str">
        <f>IF(DGArchive[[#This Row],[目标]]="","",INDEX(幕间计算!$E$200:$E$1199,ROW()-ROW(DGArchive[#Headers])))</f>
        <v/>
      </c>
      <c r="K844" s="117" t="str">
        <f>IF(DGArchive[[#This Row],[目标]]="","",INDEX(幕间计算!$F$200:$F$1199,ROW()-ROW(DGArchive[#Headers])))</f>
        <v/>
      </c>
    </row>
    <row r="845" ht="25" customHeight="1" spans="1:11">
      <c r="A845" s="106"/>
      <c r="B845" s="106"/>
      <c r="C845" s="126"/>
      <c r="D845" s="106"/>
      <c r="E845" s="106"/>
      <c r="F845" s="106"/>
      <c r="G845" s="106"/>
      <c r="H845" s="106"/>
      <c r="I845" s="106"/>
      <c r="J845" s="117" t="str">
        <f>IF(DGArchive[[#This Row],[目标]]="","",INDEX(幕间计算!$E$200:$E$1199,ROW()-ROW(DGArchive[#Headers])))</f>
        <v/>
      </c>
      <c r="K845" s="117" t="str">
        <f>IF(DGArchive[[#This Row],[目标]]="","",INDEX(幕间计算!$F$200:$F$1199,ROW()-ROW(DGArchive[#Headers])))</f>
        <v/>
      </c>
    </row>
    <row r="846" ht="25" customHeight="1" spans="1:11">
      <c r="A846" s="106"/>
      <c r="B846" s="106"/>
      <c r="C846" s="126"/>
      <c r="D846" s="106"/>
      <c r="E846" s="106"/>
      <c r="F846" s="106"/>
      <c r="G846" s="106"/>
      <c r="H846" s="106"/>
      <c r="I846" s="106"/>
      <c r="J846" s="117" t="str">
        <f>IF(DGArchive[[#This Row],[目标]]="","",INDEX(幕间计算!$E$200:$E$1199,ROW()-ROW(DGArchive[#Headers])))</f>
        <v/>
      </c>
      <c r="K846" s="117" t="str">
        <f>IF(DGArchive[[#This Row],[目标]]="","",INDEX(幕间计算!$F$200:$F$1199,ROW()-ROW(DGArchive[#Headers])))</f>
        <v/>
      </c>
    </row>
    <row r="847" ht="25" customHeight="1" spans="1:11">
      <c r="A847" s="106"/>
      <c r="B847" s="106"/>
      <c r="C847" s="126"/>
      <c r="D847" s="106"/>
      <c r="E847" s="106"/>
      <c r="F847" s="106"/>
      <c r="G847" s="106"/>
      <c r="H847" s="106"/>
      <c r="I847" s="106"/>
      <c r="J847" s="117" t="str">
        <f>IF(DGArchive[[#This Row],[目标]]="","",INDEX(幕间计算!$E$200:$E$1199,ROW()-ROW(DGArchive[#Headers])))</f>
        <v/>
      </c>
      <c r="K847" s="117" t="str">
        <f>IF(DGArchive[[#This Row],[目标]]="","",INDEX(幕间计算!$F$200:$F$1199,ROW()-ROW(DGArchive[#Headers])))</f>
        <v/>
      </c>
    </row>
    <row r="848" ht="25" customHeight="1" spans="1:11">
      <c r="A848" s="106"/>
      <c r="B848" s="106"/>
      <c r="C848" s="126"/>
      <c r="D848" s="106"/>
      <c r="E848" s="106"/>
      <c r="F848" s="106"/>
      <c r="G848" s="106"/>
      <c r="H848" s="106"/>
      <c r="I848" s="106"/>
      <c r="J848" s="117" t="str">
        <f>IF(DGArchive[[#This Row],[目标]]="","",INDEX(幕间计算!$E$200:$E$1199,ROW()-ROW(DGArchive[#Headers])))</f>
        <v/>
      </c>
      <c r="K848" s="117" t="str">
        <f>IF(DGArchive[[#This Row],[目标]]="","",INDEX(幕间计算!$F$200:$F$1199,ROW()-ROW(DGArchive[#Headers])))</f>
        <v/>
      </c>
    </row>
    <row r="849" ht="25" customHeight="1" spans="1:11">
      <c r="A849" s="106"/>
      <c r="B849" s="106"/>
      <c r="C849" s="126"/>
      <c r="D849" s="106"/>
      <c r="E849" s="106"/>
      <c r="F849" s="106"/>
      <c r="G849" s="106"/>
      <c r="H849" s="106"/>
      <c r="I849" s="106"/>
      <c r="J849" s="117" t="str">
        <f>IF(DGArchive[[#This Row],[目标]]="","",INDEX(幕间计算!$E$200:$E$1199,ROW()-ROW(DGArchive[#Headers])))</f>
        <v/>
      </c>
      <c r="K849" s="117" t="str">
        <f>IF(DGArchive[[#This Row],[目标]]="","",INDEX(幕间计算!$F$200:$F$1199,ROW()-ROW(DGArchive[#Headers])))</f>
        <v/>
      </c>
    </row>
    <row r="850" ht="25" customHeight="1" spans="1:11">
      <c r="A850" s="106"/>
      <c r="B850" s="106"/>
      <c r="C850" s="126"/>
      <c r="D850" s="106"/>
      <c r="E850" s="106"/>
      <c r="F850" s="106"/>
      <c r="G850" s="106"/>
      <c r="H850" s="106"/>
      <c r="I850" s="106"/>
      <c r="J850" s="117" t="str">
        <f>IF(DGArchive[[#This Row],[目标]]="","",INDEX(幕间计算!$E$200:$E$1199,ROW()-ROW(DGArchive[#Headers])))</f>
        <v/>
      </c>
      <c r="K850" s="117" t="str">
        <f>IF(DGArchive[[#This Row],[目标]]="","",INDEX(幕间计算!$F$200:$F$1199,ROW()-ROW(DGArchive[#Headers])))</f>
        <v/>
      </c>
    </row>
    <row r="851" ht="25" customHeight="1" spans="1:11">
      <c r="A851" s="106"/>
      <c r="B851" s="106"/>
      <c r="C851" s="126"/>
      <c r="D851" s="106"/>
      <c r="E851" s="106"/>
      <c r="F851" s="106"/>
      <c r="G851" s="106"/>
      <c r="H851" s="106"/>
      <c r="I851" s="106"/>
      <c r="J851" s="117" t="str">
        <f>IF(DGArchive[[#This Row],[目标]]="","",INDEX(幕间计算!$E$200:$E$1199,ROW()-ROW(DGArchive[#Headers])))</f>
        <v/>
      </c>
      <c r="K851" s="117" t="str">
        <f>IF(DGArchive[[#This Row],[目标]]="","",INDEX(幕间计算!$F$200:$F$1199,ROW()-ROW(DGArchive[#Headers])))</f>
        <v/>
      </c>
    </row>
    <row r="852" ht="25" customHeight="1" spans="1:11">
      <c r="A852" s="106"/>
      <c r="B852" s="106"/>
      <c r="C852" s="126"/>
      <c r="D852" s="106"/>
      <c r="E852" s="106"/>
      <c r="F852" s="106"/>
      <c r="G852" s="106"/>
      <c r="H852" s="106"/>
      <c r="I852" s="106"/>
      <c r="J852" s="117" t="str">
        <f>IF(DGArchive[[#This Row],[目标]]="","",INDEX(幕间计算!$E$200:$E$1199,ROW()-ROW(DGArchive[#Headers])))</f>
        <v/>
      </c>
      <c r="K852" s="117" t="str">
        <f>IF(DGArchive[[#This Row],[目标]]="","",INDEX(幕间计算!$F$200:$F$1199,ROW()-ROW(DGArchive[#Headers])))</f>
        <v/>
      </c>
    </row>
    <row r="853" ht="25" customHeight="1" spans="1:11">
      <c r="A853" s="106"/>
      <c r="B853" s="106"/>
      <c r="C853" s="126"/>
      <c r="D853" s="106"/>
      <c r="E853" s="106"/>
      <c r="F853" s="106"/>
      <c r="G853" s="106"/>
      <c r="H853" s="106"/>
      <c r="I853" s="106"/>
      <c r="J853" s="117" t="str">
        <f>IF(DGArchive[[#This Row],[目标]]="","",INDEX(幕间计算!$E$200:$E$1199,ROW()-ROW(DGArchive[#Headers])))</f>
        <v/>
      </c>
      <c r="K853" s="117" t="str">
        <f>IF(DGArchive[[#This Row],[目标]]="","",INDEX(幕间计算!$F$200:$F$1199,ROW()-ROW(DGArchive[#Headers])))</f>
        <v/>
      </c>
    </row>
    <row r="854" ht="25" customHeight="1" spans="1:11">
      <c r="A854" s="106"/>
      <c r="B854" s="106"/>
      <c r="C854" s="126"/>
      <c r="D854" s="106"/>
      <c r="E854" s="106"/>
      <c r="F854" s="106"/>
      <c r="G854" s="106"/>
      <c r="H854" s="106"/>
      <c r="I854" s="106"/>
      <c r="J854" s="117" t="str">
        <f>IF(DGArchive[[#This Row],[目标]]="","",INDEX(幕间计算!$E$200:$E$1199,ROW()-ROW(DGArchive[#Headers])))</f>
        <v/>
      </c>
      <c r="K854" s="117" t="str">
        <f>IF(DGArchive[[#This Row],[目标]]="","",INDEX(幕间计算!$F$200:$F$1199,ROW()-ROW(DGArchive[#Headers])))</f>
        <v/>
      </c>
    </row>
    <row r="855" ht="25" customHeight="1" spans="1:11">
      <c r="A855" s="106"/>
      <c r="B855" s="106"/>
      <c r="C855" s="126"/>
      <c r="D855" s="106"/>
      <c r="E855" s="106"/>
      <c r="F855" s="106"/>
      <c r="G855" s="106"/>
      <c r="H855" s="106"/>
      <c r="I855" s="106"/>
      <c r="J855" s="117" t="str">
        <f>IF(DGArchive[[#This Row],[目标]]="","",INDEX(幕间计算!$E$200:$E$1199,ROW()-ROW(DGArchive[#Headers])))</f>
        <v/>
      </c>
      <c r="K855" s="117" t="str">
        <f>IF(DGArchive[[#This Row],[目标]]="","",INDEX(幕间计算!$F$200:$F$1199,ROW()-ROW(DGArchive[#Headers])))</f>
        <v/>
      </c>
    </row>
    <row r="856" ht="25" customHeight="1" spans="1:11">
      <c r="A856" s="106"/>
      <c r="B856" s="106"/>
      <c r="C856" s="126"/>
      <c r="D856" s="106"/>
      <c r="E856" s="106"/>
      <c r="F856" s="106"/>
      <c r="G856" s="106"/>
      <c r="H856" s="106"/>
      <c r="I856" s="106"/>
      <c r="J856" s="117" t="str">
        <f>IF(DGArchive[[#This Row],[目标]]="","",INDEX(幕间计算!$E$200:$E$1199,ROW()-ROW(DGArchive[#Headers])))</f>
        <v/>
      </c>
      <c r="K856" s="117" t="str">
        <f>IF(DGArchive[[#This Row],[目标]]="","",INDEX(幕间计算!$F$200:$F$1199,ROW()-ROW(DGArchive[#Headers])))</f>
        <v/>
      </c>
    </row>
    <row r="857" ht="25" customHeight="1" spans="1:11">
      <c r="A857" s="106"/>
      <c r="B857" s="106"/>
      <c r="C857" s="126"/>
      <c r="D857" s="106"/>
      <c r="E857" s="106"/>
      <c r="F857" s="106"/>
      <c r="G857" s="106"/>
      <c r="H857" s="106"/>
      <c r="I857" s="106"/>
      <c r="J857" s="117" t="str">
        <f>IF(DGArchive[[#This Row],[目标]]="","",INDEX(幕间计算!$E$200:$E$1199,ROW()-ROW(DGArchive[#Headers])))</f>
        <v/>
      </c>
      <c r="K857" s="117" t="str">
        <f>IF(DGArchive[[#This Row],[目标]]="","",INDEX(幕间计算!$F$200:$F$1199,ROW()-ROW(DGArchive[#Headers])))</f>
        <v/>
      </c>
    </row>
    <row r="858" ht="25" customHeight="1" spans="1:11">
      <c r="A858" s="106"/>
      <c r="B858" s="106"/>
      <c r="C858" s="126"/>
      <c r="D858" s="106"/>
      <c r="E858" s="106"/>
      <c r="F858" s="106"/>
      <c r="G858" s="106"/>
      <c r="H858" s="106"/>
      <c r="I858" s="106"/>
      <c r="J858" s="117" t="str">
        <f>IF(DGArchive[[#This Row],[目标]]="","",INDEX(幕间计算!$E$200:$E$1199,ROW()-ROW(DGArchive[#Headers])))</f>
        <v/>
      </c>
      <c r="K858" s="117" t="str">
        <f>IF(DGArchive[[#This Row],[目标]]="","",INDEX(幕间计算!$F$200:$F$1199,ROW()-ROW(DGArchive[#Headers])))</f>
        <v/>
      </c>
    </row>
    <row r="859" ht="25" customHeight="1" spans="1:11">
      <c r="A859" s="106"/>
      <c r="B859" s="106"/>
      <c r="C859" s="126"/>
      <c r="D859" s="106"/>
      <c r="E859" s="106"/>
      <c r="F859" s="106"/>
      <c r="G859" s="106"/>
      <c r="H859" s="106"/>
      <c r="I859" s="106"/>
      <c r="J859" s="117" t="str">
        <f>IF(DGArchive[[#This Row],[目标]]="","",INDEX(幕间计算!$E$200:$E$1199,ROW()-ROW(DGArchive[#Headers])))</f>
        <v/>
      </c>
      <c r="K859" s="117" t="str">
        <f>IF(DGArchive[[#This Row],[目标]]="","",INDEX(幕间计算!$F$200:$F$1199,ROW()-ROW(DGArchive[#Headers])))</f>
        <v/>
      </c>
    </row>
    <row r="860" ht="25" customHeight="1" spans="1:11">
      <c r="A860" s="106"/>
      <c r="B860" s="106"/>
      <c r="C860" s="126"/>
      <c r="D860" s="106"/>
      <c r="E860" s="106"/>
      <c r="F860" s="106"/>
      <c r="G860" s="106"/>
      <c r="H860" s="106"/>
      <c r="I860" s="106"/>
      <c r="J860" s="117" t="str">
        <f>IF(DGArchive[[#This Row],[目标]]="","",INDEX(幕间计算!$E$200:$E$1199,ROW()-ROW(DGArchive[#Headers])))</f>
        <v/>
      </c>
      <c r="K860" s="117" t="str">
        <f>IF(DGArchive[[#This Row],[目标]]="","",INDEX(幕间计算!$F$200:$F$1199,ROW()-ROW(DGArchive[#Headers])))</f>
        <v/>
      </c>
    </row>
    <row r="861" ht="25" customHeight="1" spans="1:11">
      <c r="A861" s="106"/>
      <c r="B861" s="106"/>
      <c r="C861" s="126"/>
      <c r="D861" s="106"/>
      <c r="E861" s="106"/>
      <c r="F861" s="106"/>
      <c r="G861" s="106"/>
      <c r="H861" s="106"/>
      <c r="I861" s="106"/>
      <c r="J861" s="117" t="str">
        <f>IF(DGArchive[[#This Row],[目标]]="","",INDEX(幕间计算!$E$200:$E$1199,ROW()-ROW(DGArchive[#Headers])))</f>
        <v/>
      </c>
      <c r="K861" s="117" t="str">
        <f>IF(DGArchive[[#This Row],[目标]]="","",INDEX(幕间计算!$F$200:$F$1199,ROW()-ROW(DGArchive[#Headers])))</f>
        <v/>
      </c>
    </row>
    <row r="862" ht="25" customHeight="1" spans="1:11">
      <c r="A862" s="106"/>
      <c r="B862" s="106"/>
      <c r="C862" s="126"/>
      <c r="D862" s="106"/>
      <c r="E862" s="106"/>
      <c r="F862" s="106"/>
      <c r="G862" s="106"/>
      <c r="H862" s="106"/>
      <c r="I862" s="106"/>
      <c r="J862" s="117" t="str">
        <f>IF(DGArchive[[#This Row],[目标]]="","",INDEX(幕间计算!$E$200:$E$1199,ROW()-ROW(DGArchive[#Headers])))</f>
        <v/>
      </c>
      <c r="K862" s="117" t="str">
        <f>IF(DGArchive[[#This Row],[目标]]="","",INDEX(幕间计算!$F$200:$F$1199,ROW()-ROW(DGArchive[#Headers])))</f>
        <v/>
      </c>
    </row>
    <row r="863" ht="25" customHeight="1" spans="1:11">
      <c r="A863" s="106"/>
      <c r="B863" s="106"/>
      <c r="C863" s="126"/>
      <c r="D863" s="106"/>
      <c r="E863" s="106"/>
      <c r="F863" s="106"/>
      <c r="G863" s="106"/>
      <c r="H863" s="106"/>
      <c r="I863" s="106"/>
      <c r="J863" s="117" t="str">
        <f>IF(DGArchive[[#This Row],[目标]]="","",INDEX(幕间计算!$E$200:$E$1199,ROW()-ROW(DGArchive[#Headers])))</f>
        <v/>
      </c>
      <c r="K863" s="117" t="str">
        <f>IF(DGArchive[[#This Row],[目标]]="","",INDEX(幕间计算!$F$200:$F$1199,ROW()-ROW(DGArchive[#Headers])))</f>
        <v/>
      </c>
    </row>
    <row r="864" ht="25" customHeight="1" spans="1:11">
      <c r="A864" s="106"/>
      <c r="B864" s="106"/>
      <c r="C864" s="126"/>
      <c r="D864" s="106"/>
      <c r="E864" s="106"/>
      <c r="F864" s="106"/>
      <c r="G864" s="106"/>
      <c r="H864" s="106"/>
      <c r="I864" s="106"/>
      <c r="J864" s="117" t="str">
        <f>IF(DGArchive[[#This Row],[目标]]="","",INDEX(幕间计算!$E$200:$E$1199,ROW()-ROW(DGArchive[#Headers])))</f>
        <v/>
      </c>
      <c r="K864" s="117" t="str">
        <f>IF(DGArchive[[#This Row],[目标]]="","",INDEX(幕间计算!$F$200:$F$1199,ROW()-ROW(DGArchive[#Headers])))</f>
        <v/>
      </c>
    </row>
    <row r="865" ht="25" customHeight="1" spans="1:11">
      <c r="A865" s="106"/>
      <c r="B865" s="106"/>
      <c r="C865" s="126"/>
      <c r="D865" s="106"/>
      <c r="E865" s="106"/>
      <c r="F865" s="106"/>
      <c r="G865" s="106"/>
      <c r="H865" s="106"/>
      <c r="I865" s="106"/>
      <c r="J865" s="117" t="str">
        <f>IF(DGArchive[[#This Row],[目标]]="","",INDEX(幕间计算!$E$200:$E$1199,ROW()-ROW(DGArchive[#Headers])))</f>
        <v/>
      </c>
      <c r="K865" s="117" t="str">
        <f>IF(DGArchive[[#This Row],[目标]]="","",INDEX(幕间计算!$F$200:$F$1199,ROW()-ROW(DGArchive[#Headers])))</f>
        <v/>
      </c>
    </row>
    <row r="866" ht="25" customHeight="1" spans="1:11">
      <c r="A866" s="106"/>
      <c r="B866" s="106"/>
      <c r="C866" s="126"/>
      <c r="D866" s="106"/>
      <c r="E866" s="106"/>
      <c r="F866" s="106"/>
      <c r="G866" s="106"/>
      <c r="H866" s="106"/>
      <c r="I866" s="106"/>
      <c r="J866" s="117" t="str">
        <f>IF(DGArchive[[#This Row],[目标]]="","",INDEX(幕间计算!$E$200:$E$1199,ROW()-ROW(DGArchive[#Headers])))</f>
        <v/>
      </c>
      <c r="K866" s="117" t="str">
        <f>IF(DGArchive[[#This Row],[目标]]="","",INDEX(幕间计算!$F$200:$F$1199,ROW()-ROW(DGArchive[#Headers])))</f>
        <v/>
      </c>
    </row>
    <row r="867" ht="25" customHeight="1" spans="1:11">
      <c r="A867" s="106"/>
      <c r="B867" s="106"/>
      <c r="C867" s="126"/>
      <c r="D867" s="106"/>
      <c r="E867" s="106"/>
      <c r="F867" s="106"/>
      <c r="G867" s="106"/>
      <c r="H867" s="106"/>
      <c r="I867" s="106"/>
      <c r="J867" s="117" t="str">
        <f>IF(DGArchive[[#This Row],[目标]]="","",INDEX(幕间计算!$E$200:$E$1199,ROW()-ROW(DGArchive[#Headers])))</f>
        <v/>
      </c>
      <c r="K867" s="117" t="str">
        <f>IF(DGArchive[[#This Row],[目标]]="","",INDEX(幕间计算!$F$200:$F$1199,ROW()-ROW(DGArchive[#Headers])))</f>
        <v/>
      </c>
    </row>
    <row r="868" ht="25" customHeight="1" spans="1:11">
      <c r="A868" s="106"/>
      <c r="B868" s="106"/>
      <c r="C868" s="126"/>
      <c r="D868" s="106"/>
      <c r="E868" s="106"/>
      <c r="F868" s="106"/>
      <c r="G868" s="106"/>
      <c r="H868" s="106"/>
      <c r="I868" s="106"/>
      <c r="J868" s="117" t="str">
        <f>IF(DGArchive[[#This Row],[目标]]="","",INDEX(幕间计算!$E$200:$E$1199,ROW()-ROW(DGArchive[#Headers])))</f>
        <v/>
      </c>
      <c r="K868" s="117" t="str">
        <f>IF(DGArchive[[#This Row],[目标]]="","",INDEX(幕间计算!$F$200:$F$1199,ROW()-ROW(DGArchive[#Headers])))</f>
        <v/>
      </c>
    </row>
    <row r="869" ht="25" customHeight="1" spans="1:11">
      <c r="A869" s="106"/>
      <c r="B869" s="106"/>
      <c r="C869" s="126"/>
      <c r="D869" s="106"/>
      <c r="E869" s="106"/>
      <c r="F869" s="106"/>
      <c r="G869" s="106"/>
      <c r="H869" s="106"/>
      <c r="I869" s="106"/>
      <c r="J869" s="117" t="str">
        <f>IF(DGArchive[[#This Row],[目标]]="","",INDEX(幕间计算!$E$200:$E$1199,ROW()-ROW(DGArchive[#Headers])))</f>
        <v/>
      </c>
      <c r="K869" s="117" t="str">
        <f>IF(DGArchive[[#This Row],[目标]]="","",INDEX(幕间计算!$F$200:$F$1199,ROW()-ROW(DGArchive[#Headers])))</f>
        <v/>
      </c>
    </row>
    <row r="870" ht="25" customHeight="1" spans="1:11">
      <c r="A870" s="106"/>
      <c r="B870" s="106"/>
      <c r="C870" s="126"/>
      <c r="D870" s="106"/>
      <c r="E870" s="106"/>
      <c r="F870" s="106"/>
      <c r="G870" s="106"/>
      <c r="H870" s="106"/>
      <c r="I870" s="106"/>
      <c r="J870" s="117" t="str">
        <f>IF(DGArchive[[#This Row],[目标]]="","",INDEX(幕间计算!$E$200:$E$1199,ROW()-ROW(DGArchive[#Headers])))</f>
        <v/>
      </c>
      <c r="K870" s="117" t="str">
        <f>IF(DGArchive[[#This Row],[目标]]="","",INDEX(幕间计算!$F$200:$F$1199,ROW()-ROW(DGArchive[#Headers])))</f>
        <v/>
      </c>
    </row>
    <row r="871" ht="25" customHeight="1" spans="1:11">
      <c r="A871" s="106"/>
      <c r="B871" s="106"/>
      <c r="C871" s="126"/>
      <c r="D871" s="106"/>
      <c r="E871" s="106"/>
      <c r="F871" s="106"/>
      <c r="G871" s="106"/>
      <c r="H871" s="106"/>
      <c r="I871" s="106"/>
      <c r="J871" s="117" t="str">
        <f>IF(DGArchive[[#This Row],[目标]]="","",INDEX(幕间计算!$E$200:$E$1199,ROW()-ROW(DGArchive[#Headers])))</f>
        <v/>
      </c>
      <c r="K871" s="117" t="str">
        <f>IF(DGArchive[[#This Row],[目标]]="","",INDEX(幕间计算!$F$200:$F$1199,ROW()-ROW(DGArchive[#Headers])))</f>
        <v/>
      </c>
    </row>
    <row r="872" ht="25" customHeight="1" spans="1:11">
      <c r="A872" s="106"/>
      <c r="B872" s="106"/>
      <c r="C872" s="126"/>
      <c r="D872" s="106"/>
      <c r="E872" s="106"/>
      <c r="F872" s="106"/>
      <c r="G872" s="106"/>
      <c r="H872" s="106"/>
      <c r="I872" s="106"/>
      <c r="J872" s="117" t="str">
        <f>IF(DGArchive[[#This Row],[目标]]="","",INDEX(幕间计算!$E$200:$E$1199,ROW()-ROW(DGArchive[#Headers])))</f>
        <v/>
      </c>
      <c r="K872" s="117" t="str">
        <f>IF(DGArchive[[#This Row],[目标]]="","",INDEX(幕间计算!$F$200:$F$1199,ROW()-ROW(DGArchive[#Headers])))</f>
        <v/>
      </c>
    </row>
    <row r="873" ht="25" customHeight="1" spans="1:11">
      <c r="A873" s="106"/>
      <c r="B873" s="106"/>
      <c r="C873" s="126"/>
      <c r="D873" s="106"/>
      <c r="E873" s="106"/>
      <c r="F873" s="106"/>
      <c r="G873" s="106"/>
      <c r="H873" s="106"/>
      <c r="I873" s="106"/>
      <c r="J873" s="117" t="str">
        <f>IF(DGArchive[[#This Row],[目标]]="","",INDEX(幕间计算!$E$200:$E$1199,ROW()-ROW(DGArchive[#Headers])))</f>
        <v/>
      </c>
      <c r="K873" s="117" t="str">
        <f>IF(DGArchive[[#This Row],[目标]]="","",INDEX(幕间计算!$F$200:$F$1199,ROW()-ROW(DGArchive[#Headers])))</f>
        <v/>
      </c>
    </row>
    <row r="874" ht="25" customHeight="1" spans="1:11">
      <c r="A874" s="106"/>
      <c r="B874" s="106"/>
      <c r="C874" s="126"/>
      <c r="D874" s="106"/>
      <c r="E874" s="106"/>
      <c r="F874" s="106"/>
      <c r="G874" s="106"/>
      <c r="H874" s="106"/>
      <c r="I874" s="106"/>
      <c r="J874" s="117" t="str">
        <f>IF(DGArchive[[#This Row],[目标]]="","",INDEX(幕间计算!$E$200:$E$1199,ROW()-ROW(DGArchive[#Headers])))</f>
        <v/>
      </c>
      <c r="K874" s="117" t="str">
        <f>IF(DGArchive[[#This Row],[目标]]="","",INDEX(幕间计算!$F$200:$F$1199,ROW()-ROW(DGArchive[#Headers])))</f>
        <v/>
      </c>
    </row>
    <row r="875" ht="25" customHeight="1" spans="1:11">
      <c r="A875" s="106"/>
      <c r="B875" s="106"/>
      <c r="C875" s="126"/>
      <c r="D875" s="106"/>
      <c r="E875" s="106"/>
      <c r="F875" s="106"/>
      <c r="G875" s="106"/>
      <c r="H875" s="106"/>
      <c r="I875" s="106"/>
      <c r="J875" s="117" t="str">
        <f>IF(DGArchive[[#This Row],[目标]]="","",INDEX(幕间计算!$E$200:$E$1199,ROW()-ROW(DGArchive[#Headers])))</f>
        <v/>
      </c>
      <c r="K875" s="117" t="str">
        <f>IF(DGArchive[[#This Row],[目标]]="","",INDEX(幕间计算!$F$200:$F$1199,ROW()-ROW(DGArchive[#Headers])))</f>
        <v/>
      </c>
    </row>
    <row r="876" ht="25" customHeight="1" spans="1:11">
      <c r="A876" s="106"/>
      <c r="B876" s="106"/>
      <c r="C876" s="126"/>
      <c r="D876" s="106"/>
      <c r="E876" s="106"/>
      <c r="F876" s="106"/>
      <c r="G876" s="106"/>
      <c r="H876" s="106"/>
      <c r="I876" s="106"/>
      <c r="J876" s="117" t="str">
        <f>IF(DGArchive[[#This Row],[目标]]="","",INDEX(幕间计算!$E$200:$E$1199,ROW()-ROW(DGArchive[#Headers])))</f>
        <v/>
      </c>
      <c r="K876" s="117" t="str">
        <f>IF(DGArchive[[#This Row],[目标]]="","",INDEX(幕间计算!$F$200:$F$1199,ROW()-ROW(DGArchive[#Headers])))</f>
        <v/>
      </c>
    </row>
    <row r="877" ht="25" customHeight="1" spans="1:11">
      <c r="A877" s="106"/>
      <c r="B877" s="106"/>
      <c r="C877" s="126"/>
      <c r="D877" s="106"/>
      <c r="E877" s="106"/>
      <c r="F877" s="106"/>
      <c r="G877" s="106"/>
      <c r="H877" s="106"/>
      <c r="I877" s="106"/>
      <c r="J877" s="117" t="str">
        <f>IF(DGArchive[[#This Row],[目标]]="","",INDEX(幕间计算!$E$200:$E$1199,ROW()-ROW(DGArchive[#Headers])))</f>
        <v/>
      </c>
      <c r="K877" s="117" t="str">
        <f>IF(DGArchive[[#This Row],[目标]]="","",INDEX(幕间计算!$F$200:$F$1199,ROW()-ROW(DGArchive[#Headers])))</f>
        <v/>
      </c>
    </row>
    <row r="878" ht="25" customHeight="1" spans="1:11">
      <c r="A878" s="106"/>
      <c r="B878" s="106"/>
      <c r="C878" s="126"/>
      <c r="D878" s="106"/>
      <c r="E878" s="106"/>
      <c r="F878" s="106"/>
      <c r="G878" s="106"/>
      <c r="H878" s="106"/>
      <c r="I878" s="106"/>
      <c r="J878" s="117" t="str">
        <f>IF(DGArchive[[#This Row],[目标]]="","",INDEX(幕间计算!$E$200:$E$1199,ROW()-ROW(DGArchive[#Headers])))</f>
        <v/>
      </c>
      <c r="K878" s="117" t="str">
        <f>IF(DGArchive[[#This Row],[目标]]="","",INDEX(幕间计算!$F$200:$F$1199,ROW()-ROW(DGArchive[#Headers])))</f>
        <v/>
      </c>
    </row>
    <row r="879" ht="25" customHeight="1" spans="1:11">
      <c r="A879" s="106"/>
      <c r="B879" s="106"/>
      <c r="C879" s="126"/>
      <c r="D879" s="106"/>
      <c r="E879" s="106"/>
      <c r="F879" s="106"/>
      <c r="G879" s="106"/>
      <c r="H879" s="106"/>
      <c r="I879" s="106"/>
      <c r="J879" s="117" t="str">
        <f>IF(DGArchive[[#This Row],[目标]]="","",INDEX(幕间计算!$E$200:$E$1199,ROW()-ROW(DGArchive[#Headers])))</f>
        <v/>
      </c>
      <c r="K879" s="117" t="str">
        <f>IF(DGArchive[[#This Row],[目标]]="","",INDEX(幕间计算!$F$200:$F$1199,ROW()-ROW(DGArchive[#Headers])))</f>
        <v/>
      </c>
    </row>
    <row r="880" ht="25" customHeight="1" spans="1:11">
      <c r="A880" s="106"/>
      <c r="B880" s="106"/>
      <c r="C880" s="126"/>
      <c r="D880" s="106"/>
      <c r="E880" s="106"/>
      <c r="F880" s="106"/>
      <c r="G880" s="106"/>
      <c r="H880" s="106"/>
      <c r="I880" s="106"/>
      <c r="J880" s="117" t="str">
        <f>IF(DGArchive[[#This Row],[目标]]="","",INDEX(幕间计算!$E$200:$E$1199,ROW()-ROW(DGArchive[#Headers])))</f>
        <v/>
      </c>
      <c r="K880" s="117" t="str">
        <f>IF(DGArchive[[#This Row],[目标]]="","",INDEX(幕间计算!$F$200:$F$1199,ROW()-ROW(DGArchive[#Headers])))</f>
        <v/>
      </c>
    </row>
    <row r="881" ht="25" customHeight="1" spans="1:11">
      <c r="A881" s="106"/>
      <c r="B881" s="106"/>
      <c r="C881" s="126"/>
      <c r="D881" s="106"/>
      <c r="E881" s="106"/>
      <c r="F881" s="106"/>
      <c r="G881" s="106"/>
      <c r="H881" s="106"/>
      <c r="I881" s="106"/>
      <c r="J881" s="117" t="str">
        <f>IF(DGArchive[[#This Row],[目标]]="","",INDEX(幕间计算!$E$200:$E$1199,ROW()-ROW(DGArchive[#Headers])))</f>
        <v/>
      </c>
      <c r="K881" s="117" t="str">
        <f>IF(DGArchive[[#This Row],[目标]]="","",INDEX(幕间计算!$F$200:$F$1199,ROW()-ROW(DGArchive[#Headers])))</f>
        <v/>
      </c>
    </row>
    <row r="882" ht="25" customHeight="1" spans="1:11">
      <c r="A882" s="106"/>
      <c r="B882" s="106"/>
      <c r="C882" s="126"/>
      <c r="D882" s="106"/>
      <c r="E882" s="106"/>
      <c r="F882" s="106"/>
      <c r="G882" s="106"/>
      <c r="H882" s="106"/>
      <c r="I882" s="106"/>
      <c r="J882" s="117" t="str">
        <f>IF(DGArchive[[#This Row],[目标]]="","",INDEX(幕间计算!$E$200:$E$1199,ROW()-ROW(DGArchive[#Headers])))</f>
        <v/>
      </c>
      <c r="K882" s="117" t="str">
        <f>IF(DGArchive[[#This Row],[目标]]="","",INDEX(幕间计算!$F$200:$F$1199,ROW()-ROW(DGArchive[#Headers])))</f>
        <v/>
      </c>
    </row>
    <row r="883" ht="25" customHeight="1" spans="1:11">
      <c r="A883" s="106"/>
      <c r="B883" s="106"/>
      <c r="C883" s="126"/>
      <c r="D883" s="106"/>
      <c r="E883" s="106"/>
      <c r="F883" s="106"/>
      <c r="G883" s="106"/>
      <c r="H883" s="106"/>
      <c r="I883" s="106"/>
      <c r="J883" s="117" t="str">
        <f>IF(DGArchive[[#This Row],[目标]]="","",INDEX(幕间计算!$E$200:$E$1199,ROW()-ROW(DGArchive[#Headers])))</f>
        <v/>
      </c>
      <c r="K883" s="117" t="str">
        <f>IF(DGArchive[[#This Row],[目标]]="","",INDEX(幕间计算!$F$200:$F$1199,ROW()-ROW(DGArchive[#Headers])))</f>
        <v/>
      </c>
    </row>
    <row r="884" ht="25" customHeight="1" spans="1:11">
      <c r="A884" s="106"/>
      <c r="B884" s="106"/>
      <c r="C884" s="126"/>
      <c r="D884" s="106"/>
      <c r="E884" s="106"/>
      <c r="F884" s="106"/>
      <c r="G884" s="106"/>
      <c r="H884" s="106"/>
      <c r="I884" s="106"/>
      <c r="J884" s="117" t="str">
        <f>IF(DGArchive[[#This Row],[目标]]="","",INDEX(幕间计算!$E$200:$E$1199,ROW()-ROW(DGArchive[#Headers])))</f>
        <v/>
      </c>
      <c r="K884" s="117" t="str">
        <f>IF(DGArchive[[#This Row],[目标]]="","",INDEX(幕间计算!$F$200:$F$1199,ROW()-ROW(DGArchive[#Headers])))</f>
        <v/>
      </c>
    </row>
    <row r="885" ht="25" customHeight="1" spans="1:11">
      <c r="A885" s="106"/>
      <c r="B885" s="106"/>
      <c r="C885" s="126"/>
      <c r="D885" s="106"/>
      <c r="E885" s="106"/>
      <c r="F885" s="106"/>
      <c r="G885" s="106"/>
      <c r="H885" s="106"/>
      <c r="I885" s="106"/>
      <c r="J885" s="117" t="str">
        <f>IF(DGArchive[[#This Row],[目标]]="","",INDEX(幕间计算!$E$200:$E$1199,ROW()-ROW(DGArchive[#Headers])))</f>
        <v/>
      </c>
      <c r="K885" s="117" t="str">
        <f>IF(DGArchive[[#This Row],[目标]]="","",INDEX(幕间计算!$F$200:$F$1199,ROW()-ROW(DGArchive[#Headers])))</f>
        <v/>
      </c>
    </row>
    <row r="886" ht="25" customHeight="1" spans="1:11">
      <c r="A886" s="106"/>
      <c r="B886" s="106"/>
      <c r="C886" s="126"/>
      <c r="D886" s="106"/>
      <c r="E886" s="106"/>
      <c r="F886" s="106"/>
      <c r="G886" s="106"/>
      <c r="H886" s="106"/>
      <c r="I886" s="106"/>
      <c r="J886" s="117" t="str">
        <f>IF(DGArchive[[#This Row],[目标]]="","",INDEX(幕间计算!$E$200:$E$1199,ROW()-ROW(DGArchive[#Headers])))</f>
        <v/>
      </c>
      <c r="K886" s="117" t="str">
        <f>IF(DGArchive[[#This Row],[目标]]="","",INDEX(幕间计算!$F$200:$F$1199,ROW()-ROW(DGArchive[#Headers])))</f>
        <v/>
      </c>
    </row>
    <row r="887" ht="25" customHeight="1" spans="1:11">
      <c r="A887" s="106"/>
      <c r="B887" s="106"/>
      <c r="C887" s="126"/>
      <c r="D887" s="106"/>
      <c r="E887" s="106"/>
      <c r="F887" s="106"/>
      <c r="G887" s="106"/>
      <c r="H887" s="106"/>
      <c r="I887" s="106"/>
      <c r="J887" s="117" t="str">
        <f>IF(DGArchive[[#This Row],[目标]]="","",INDEX(幕间计算!$E$200:$E$1199,ROW()-ROW(DGArchive[#Headers])))</f>
        <v/>
      </c>
      <c r="K887" s="117" t="str">
        <f>IF(DGArchive[[#This Row],[目标]]="","",INDEX(幕间计算!$F$200:$F$1199,ROW()-ROW(DGArchive[#Headers])))</f>
        <v/>
      </c>
    </row>
    <row r="888" ht="25" customHeight="1" spans="1:11">
      <c r="A888" s="106"/>
      <c r="B888" s="106"/>
      <c r="C888" s="126"/>
      <c r="D888" s="106"/>
      <c r="E888" s="106"/>
      <c r="F888" s="106"/>
      <c r="G888" s="106"/>
      <c r="H888" s="106"/>
      <c r="I888" s="106"/>
      <c r="J888" s="117" t="str">
        <f>IF(DGArchive[[#This Row],[目标]]="","",INDEX(幕间计算!$E$200:$E$1199,ROW()-ROW(DGArchive[#Headers])))</f>
        <v/>
      </c>
      <c r="K888" s="117" t="str">
        <f>IF(DGArchive[[#This Row],[目标]]="","",INDEX(幕间计算!$F$200:$F$1199,ROW()-ROW(DGArchive[#Headers])))</f>
        <v/>
      </c>
    </row>
    <row r="889" ht="25" customHeight="1" spans="1:11">
      <c r="A889" s="106"/>
      <c r="B889" s="106"/>
      <c r="C889" s="126"/>
      <c r="D889" s="106"/>
      <c r="E889" s="106"/>
      <c r="F889" s="106"/>
      <c r="G889" s="106"/>
      <c r="H889" s="106"/>
      <c r="I889" s="106"/>
      <c r="J889" s="117" t="str">
        <f>IF(DGArchive[[#This Row],[目标]]="","",INDEX(幕间计算!$E$200:$E$1199,ROW()-ROW(DGArchive[#Headers])))</f>
        <v/>
      </c>
      <c r="K889" s="117" t="str">
        <f>IF(DGArchive[[#This Row],[目标]]="","",INDEX(幕间计算!$F$200:$F$1199,ROW()-ROW(DGArchive[#Headers])))</f>
        <v/>
      </c>
    </row>
    <row r="890" ht="25" customHeight="1" spans="1:11">
      <c r="A890" s="106"/>
      <c r="B890" s="106"/>
      <c r="C890" s="126"/>
      <c r="D890" s="106"/>
      <c r="E890" s="106"/>
      <c r="F890" s="106"/>
      <c r="G890" s="106"/>
      <c r="H890" s="106"/>
      <c r="I890" s="106"/>
      <c r="J890" s="117" t="str">
        <f>IF(DGArchive[[#This Row],[目标]]="","",INDEX(幕间计算!$E$200:$E$1199,ROW()-ROW(DGArchive[#Headers])))</f>
        <v/>
      </c>
      <c r="K890" s="117" t="str">
        <f>IF(DGArchive[[#This Row],[目标]]="","",INDEX(幕间计算!$F$200:$F$1199,ROW()-ROW(DGArchive[#Headers])))</f>
        <v/>
      </c>
    </row>
    <row r="891" ht="25" customHeight="1" spans="1:11">
      <c r="A891" s="106"/>
      <c r="B891" s="106"/>
      <c r="C891" s="126"/>
      <c r="D891" s="106"/>
      <c r="E891" s="106"/>
      <c r="F891" s="106"/>
      <c r="G891" s="106"/>
      <c r="H891" s="106"/>
      <c r="I891" s="106"/>
      <c r="J891" s="117" t="str">
        <f>IF(DGArchive[[#This Row],[目标]]="","",INDEX(幕间计算!$E$200:$E$1199,ROW()-ROW(DGArchive[#Headers])))</f>
        <v/>
      </c>
      <c r="K891" s="117" t="str">
        <f>IF(DGArchive[[#This Row],[目标]]="","",INDEX(幕间计算!$F$200:$F$1199,ROW()-ROW(DGArchive[#Headers])))</f>
        <v/>
      </c>
    </row>
    <row r="892" ht="25" customHeight="1" spans="1:11">
      <c r="A892" s="106"/>
      <c r="B892" s="106"/>
      <c r="C892" s="126"/>
      <c r="D892" s="106"/>
      <c r="E892" s="106"/>
      <c r="F892" s="106"/>
      <c r="G892" s="106"/>
      <c r="H892" s="106"/>
      <c r="I892" s="106"/>
      <c r="J892" s="117" t="str">
        <f>IF(DGArchive[[#This Row],[目标]]="","",INDEX(幕间计算!$E$200:$E$1199,ROW()-ROW(DGArchive[#Headers])))</f>
        <v/>
      </c>
      <c r="K892" s="117" t="str">
        <f>IF(DGArchive[[#This Row],[目标]]="","",INDEX(幕间计算!$F$200:$F$1199,ROW()-ROW(DGArchive[#Headers])))</f>
        <v/>
      </c>
    </row>
    <row r="893" ht="25" customHeight="1" spans="1:11">
      <c r="A893" s="106"/>
      <c r="B893" s="106"/>
      <c r="C893" s="126"/>
      <c r="D893" s="106"/>
      <c r="E893" s="106"/>
      <c r="F893" s="106"/>
      <c r="G893" s="106"/>
      <c r="H893" s="106"/>
      <c r="I893" s="106"/>
      <c r="J893" s="117" t="str">
        <f>IF(DGArchive[[#This Row],[目标]]="","",INDEX(幕间计算!$E$200:$E$1199,ROW()-ROW(DGArchive[#Headers])))</f>
        <v/>
      </c>
      <c r="K893" s="117" t="str">
        <f>IF(DGArchive[[#This Row],[目标]]="","",INDEX(幕间计算!$F$200:$F$1199,ROW()-ROW(DGArchive[#Headers])))</f>
        <v/>
      </c>
    </row>
    <row r="894" ht="25" customHeight="1" spans="1:11">
      <c r="A894" s="106"/>
      <c r="B894" s="106"/>
      <c r="C894" s="126"/>
      <c r="D894" s="106"/>
      <c r="E894" s="106"/>
      <c r="F894" s="106"/>
      <c r="G894" s="106"/>
      <c r="H894" s="106"/>
      <c r="I894" s="106"/>
      <c r="J894" s="117" t="str">
        <f>IF(DGArchive[[#This Row],[目标]]="","",INDEX(幕间计算!$E$200:$E$1199,ROW()-ROW(DGArchive[#Headers])))</f>
        <v/>
      </c>
      <c r="K894" s="117" t="str">
        <f>IF(DGArchive[[#This Row],[目标]]="","",INDEX(幕间计算!$F$200:$F$1199,ROW()-ROW(DGArchive[#Headers])))</f>
        <v/>
      </c>
    </row>
    <row r="895" ht="25" customHeight="1" spans="1:11">
      <c r="A895" s="106"/>
      <c r="B895" s="106"/>
      <c r="C895" s="126"/>
      <c r="D895" s="106"/>
      <c r="E895" s="106"/>
      <c r="F895" s="106"/>
      <c r="G895" s="106"/>
      <c r="H895" s="106"/>
      <c r="I895" s="106"/>
      <c r="J895" s="117" t="str">
        <f>IF(DGArchive[[#This Row],[目标]]="","",INDEX(幕间计算!$E$200:$E$1199,ROW()-ROW(DGArchive[#Headers])))</f>
        <v/>
      </c>
      <c r="K895" s="117" t="str">
        <f>IF(DGArchive[[#This Row],[目标]]="","",INDEX(幕间计算!$F$200:$F$1199,ROW()-ROW(DGArchive[#Headers])))</f>
        <v/>
      </c>
    </row>
    <row r="896" ht="25" customHeight="1" spans="1:11">
      <c r="A896" s="106"/>
      <c r="B896" s="106"/>
      <c r="C896" s="126"/>
      <c r="D896" s="106"/>
      <c r="E896" s="106"/>
      <c r="F896" s="106"/>
      <c r="G896" s="106"/>
      <c r="H896" s="106"/>
      <c r="I896" s="106"/>
      <c r="J896" s="117" t="str">
        <f>IF(DGArchive[[#This Row],[目标]]="","",INDEX(幕间计算!$E$200:$E$1199,ROW()-ROW(DGArchive[#Headers])))</f>
        <v/>
      </c>
      <c r="K896" s="117" t="str">
        <f>IF(DGArchive[[#This Row],[目标]]="","",INDEX(幕间计算!$F$200:$F$1199,ROW()-ROW(DGArchive[#Headers])))</f>
        <v/>
      </c>
    </row>
    <row r="897" ht="25" customHeight="1" spans="1:11">
      <c r="A897" s="106"/>
      <c r="B897" s="106"/>
      <c r="C897" s="126"/>
      <c r="D897" s="106"/>
      <c r="E897" s="106"/>
      <c r="F897" s="106"/>
      <c r="G897" s="106"/>
      <c r="H897" s="106"/>
      <c r="I897" s="106"/>
      <c r="J897" s="117" t="str">
        <f>IF(DGArchive[[#This Row],[目标]]="","",INDEX(幕间计算!$E$200:$E$1199,ROW()-ROW(DGArchive[#Headers])))</f>
        <v/>
      </c>
      <c r="K897" s="117" t="str">
        <f>IF(DGArchive[[#This Row],[目标]]="","",INDEX(幕间计算!$F$200:$F$1199,ROW()-ROW(DGArchive[#Headers])))</f>
        <v/>
      </c>
    </row>
    <row r="898" ht="25" customHeight="1" spans="1:11">
      <c r="A898" s="106"/>
      <c r="B898" s="106"/>
      <c r="C898" s="126"/>
      <c r="D898" s="106"/>
      <c r="E898" s="106"/>
      <c r="F898" s="106"/>
      <c r="G898" s="106"/>
      <c r="H898" s="106"/>
      <c r="I898" s="106"/>
      <c r="J898" s="117" t="str">
        <f>IF(DGArchive[[#This Row],[目标]]="","",INDEX(幕间计算!$E$200:$E$1199,ROW()-ROW(DGArchive[#Headers])))</f>
        <v/>
      </c>
      <c r="K898" s="117" t="str">
        <f>IF(DGArchive[[#This Row],[目标]]="","",INDEX(幕间计算!$F$200:$F$1199,ROW()-ROW(DGArchive[#Headers])))</f>
        <v/>
      </c>
    </row>
    <row r="899" ht="25" customHeight="1" spans="1:11">
      <c r="A899" s="106"/>
      <c r="B899" s="106"/>
      <c r="C899" s="126"/>
      <c r="D899" s="106"/>
      <c r="E899" s="106"/>
      <c r="F899" s="106"/>
      <c r="G899" s="106"/>
      <c r="H899" s="106"/>
      <c r="I899" s="106"/>
      <c r="J899" s="117" t="str">
        <f>IF(DGArchive[[#This Row],[目标]]="","",INDEX(幕间计算!$E$200:$E$1199,ROW()-ROW(DGArchive[#Headers])))</f>
        <v/>
      </c>
      <c r="K899" s="117" t="str">
        <f>IF(DGArchive[[#This Row],[目标]]="","",INDEX(幕间计算!$F$200:$F$1199,ROW()-ROW(DGArchive[#Headers])))</f>
        <v/>
      </c>
    </row>
    <row r="900" ht="25" customHeight="1" spans="1:11">
      <c r="A900" s="106"/>
      <c r="B900" s="106"/>
      <c r="C900" s="126"/>
      <c r="D900" s="106"/>
      <c r="E900" s="106"/>
      <c r="F900" s="106"/>
      <c r="G900" s="106"/>
      <c r="H900" s="106"/>
      <c r="I900" s="106"/>
      <c r="J900" s="117" t="str">
        <f>IF(DGArchive[[#This Row],[目标]]="","",INDEX(幕间计算!$E$200:$E$1199,ROW()-ROW(DGArchive[#Headers])))</f>
        <v/>
      </c>
      <c r="K900" s="117" t="str">
        <f>IF(DGArchive[[#This Row],[目标]]="","",INDEX(幕间计算!$F$200:$F$1199,ROW()-ROW(DGArchive[#Headers])))</f>
        <v/>
      </c>
    </row>
    <row r="901" ht="25" customHeight="1" spans="1:11">
      <c r="A901" s="106"/>
      <c r="B901" s="106"/>
      <c r="C901" s="126"/>
      <c r="D901" s="106"/>
      <c r="E901" s="106"/>
      <c r="F901" s="106"/>
      <c r="G901" s="106"/>
      <c r="H901" s="106"/>
      <c r="I901" s="106"/>
      <c r="J901" s="117" t="str">
        <f>IF(DGArchive[[#This Row],[目标]]="","",INDEX(幕间计算!$E$200:$E$1199,ROW()-ROW(DGArchive[#Headers])))</f>
        <v/>
      </c>
      <c r="K901" s="117" t="str">
        <f>IF(DGArchive[[#This Row],[目标]]="","",INDEX(幕间计算!$F$200:$F$1199,ROW()-ROW(DGArchive[#Headers])))</f>
        <v/>
      </c>
    </row>
    <row r="902" ht="25" customHeight="1" spans="1:11">
      <c r="A902" s="106"/>
      <c r="B902" s="106"/>
      <c r="C902" s="126"/>
      <c r="D902" s="106"/>
      <c r="E902" s="106"/>
      <c r="F902" s="106"/>
      <c r="G902" s="106"/>
      <c r="H902" s="106"/>
      <c r="I902" s="106"/>
      <c r="J902" s="117" t="str">
        <f>IF(DGArchive[[#This Row],[目标]]="","",INDEX(幕间计算!$E$200:$E$1199,ROW()-ROW(DGArchive[#Headers])))</f>
        <v/>
      </c>
      <c r="K902" s="117" t="str">
        <f>IF(DGArchive[[#This Row],[目标]]="","",INDEX(幕间计算!$F$200:$F$1199,ROW()-ROW(DGArchive[#Headers])))</f>
        <v/>
      </c>
    </row>
    <row r="903" ht="25" customHeight="1" spans="1:11">
      <c r="A903" s="106"/>
      <c r="B903" s="106"/>
      <c r="C903" s="126"/>
      <c r="D903" s="106"/>
      <c r="E903" s="106"/>
      <c r="F903" s="106"/>
      <c r="G903" s="106"/>
      <c r="H903" s="106"/>
      <c r="I903" s="106"/>
      <c r="J903" s="117" t="str">
        <f>IF(DGArchive[[#This Row],[目标]]="","",INDEX(幕间计算!$E$200:$E$1199,ROW()-ROW(DGArchive[#Headers])))</f>
        <v/>
      </c>
      <c r="K903" s="117" t="str">
        <f>IF(DGArchive[[#This Row],[目标]]="","",INDEX(幕间计算!$F$200:$F$1199,ROW()-ROW(DGArchive[#Headers])))</f>
        <v/>
      </c>
    </row>
    <row r="904" ht="25" customHeight="1" spans="1:11">
      <c r="A904" s="106"/>
      <c r="B904" s="106"/>
      <c r="C904" s="126"/>
      <c r="D904" s="106"/>
      <c r="E904" s="106"/>
      <c r="F904" s="106"/>
      <c r="G904" s="106"/>
      <c r="H904" s="106"/>
      <c r="I904" s="106"/>
      <c r="J904" s="117" t="str">
        <f>IF(DGArchive[[#This Row],[目标]]="","",INDEX(幕间计算!$E$200:$E$1199,ROW()-ROW(DGArchive[#Headers])))</f>
        <v/>
      </c>
      <c r="K904" s="117" t="str">
        <f>IF(DGArchive[[#This Row],[目标]]="","",INDEX(幕间计算!$F$200:$F$1199,ROW()-ROW(DGArchive[#Headers])))</f>
        <v/>
      </c>
    </row>
    <row r="905" ht="25" customHeight="1" spans="1:11">
      <c r="A905" s="106"/>
      <c r="B905" s="106"/>
      <c r="C905" s="126"/>
      <c r="D905" s="106"/>
      <c r="E905" s="106"/>
      <c r="F905" s="106"/>
      <c r="G905" s="106"/>
      <c r="H905" s="106"/>
      <c r="I905" s="106"/>
      <c r="J905" s="117" t="str">
        <f>IF(DGArchive[[#This Row],[目标]]="","",INDEX(幕间计算!$E$200:$E$1199,ROW()-ROW(DGArchive[#Headers])))</f>
        <v/>
      </c>
      <c r="K905" s="117" t="str">
        <f>IF(DGArchive[[#This Row],[目标]]="","",INDEX(幕间计算!$F$200:$F$1199,ROW()-ROW(DGArchive[#Headers])))</f>
        <v/>
      </c>
    </row>
    <row r="906" ht="25" customHeight="1" spans="1:11">
      <c r="A906" s="106"/>
      <c r="B906" s="106"/>
      <c r="C906" s="126"/>
      <c r="D906" s="106"/>
      <c r="E906" s="106"/>
      <c r="F906" s="106"/>
      <c r="G906" s="106"/>
      <c r="H906" s="106"/>
      <c r="I906" s="106"/>
      <c r="J906" s="117" t="str">
        <f>IF(DGArchive[[#This Row],[目标]]="","",INDEX(幕间计算!$E$200:$E$1199,ROW()-ROW(DGArchive[#Headers])))</f>
        <v/>
      </c>
      <c r="K906" s="117" t="str">
        <f>IF(DGArchive[[#This Row],[目标]]="","",INDEX(幕间计算!$F$200:$F$1199,ROW()-ROW(DGArchive[#Headers])))</f>
        <v/>
      </c>
    </row>
    <row r="907" ht="25" customHeight="1" spans="1:11">
      <c r="A907" s="106"/>
      <c r="B907" s="106"/>
      <c r="C907" s="126"/>
      <c r="D907" s="106"/>
      <c r="E907" s="106"/>
      <c r="F907" s="106"/>
      <c r="G907" s="106"/>
      <c r="H907" s="106"/>
      <c r="I907" s="106"/>
      <c r="J907" s="117" t="str">
        <f>IF(DGArchive[[#This Row],[目标]]="","",INDEX(幕间计算!$E$200:$E$1199,ROW()-ROW(DGArchive[#Headers])))</f>
        <v/>
      </c>
      <c r="K907" s="117" t="str">
        <f>IF(DGArchive[[#This Row],[目标]]="","",INDEX(幕间计算!$F$200:$F$1199,ROW()-ROW(DGArchive[#Headers])))</f>
        <v/>
      </c>
    </row>
    <row r="908" ht="25" customHeight="1" spans="1:11">
      <c r="A908" s="106"/>
      <c r="B908" s="106"/>
      <c r="C908" s="126"/>
      <c r="D908" s="106"/>
      <c r="E908" s="106"/>
      <c r="F908" s="106"/>
      <c r="G908" s="106"/>
      <c r="H908" s="106"/>
      <c r="I908" s="106"/>
      <c r="J908" s="117" t="str">
        <f>IF(DGArchive[[#This Row],[目标]]="","",INDEX(幕间计算!$E$200:$E$1199,ROW()-ROW(DGArchive[#Headers])))</f>
        <v/>
      </c>
      <c r="K908" s="117" t="str">
        <f>IF(DGArchive[[#This Row],[目标]]="","",INDEX(幕间计算!$F$200:$F$1199,ROW()-ROW(DGArchive[#Headers])))</f>
        <v/>
      </c>
    </row>
    <row r="909" ht="25" customHeight="1" spans="1:11">
      <c r="A909" s="106"/>
      <c r="B909" s="106"/>
      <c r="C909" s="126"/>
      <c r="D909" s="106"/>
      <c r="E909" s="106"/>
      <c r="F909" s="106"/>
      <c r="G909" s="106"/>
      <c r="H909" s="106"/>
      <c r="I909" s="106"/>
      <c r="J909" s="117" t="str">
        <f>IF(DGArchive[[#This Row],[目标]]="","",INDEX(幕间计算!$E$200:$E$1199,ROW()-ROW(DGArchive[#Headers])))</f>
        <v/>
      </c>
      <c r="K909" s="117" t="str">
        <f>IF(DGArchive[[#This Row],[目标]]="","",INDEX(幕间计算!$F$200:$F$1199,ROW()-ROW(DGArchive[#Headers])))</f>
        <v/>
      </c>
    </row>
    <row r="910" ht="25" customHeight="1" spans="1:11">
      <c r="A910" s="106"/>
      <c r="B910" s="106"/>
      <c r="C910" s="126"/>
      <c r="D910" s="106"/>
      <c r="E910" s="106"/>
      <c r="F910" s="106"/>
      <c r="G910" s="106"/>
      <c r="H910" s="106"/>
      <c r="I910" s="106"/>
      <c r="J910" s="117" t="str">
        <f>IF(DGArchive[[#This Row],[目标]]="","",INDEX(幕间计算!$E$200:$E$1199,ROW()-ROW(DGArchive[#Headers])))</f>
        <v/>
      </c>
      <c r="K910" s="117" t="str">
        <f>IF(DGArchive[[#This Row],[目标]]="","",INDEX(幕间计算!$F$200:$F$1199,ROW()-ROW(DGArchive[#Headers])))</f>
        <v/>
      </c>
    </row>
    <row r="911" ht="25" customHeight="1" spans="1:11">
      <c r="A911" s="106"/>
      <c r="B911" s="106"/>
      <c r="C911" s="126"/>
      <c r="D911" s="106"/>
      <c r="E911" s="106"/>
      <c r="F911" s="106"/>
      <c r="G911" s="106"/>
      <c r="H911" s="106"/>
      <c r="I911" s="106"/>
      <c r="J911" s="117" t="str">
        <f>IF(DGArchive[[#This Row],[目标]]="","",INDEX(幕间计算!$E$200:$E$1199,ROW()-ROW(DGArchive[#Headers])))</f>
        <v/>
      </c>
      <c r="K911" s="117" t="str">
        <f>IF(DGArchive[[#This Row],[目标]]="","",INDEX(幕间计算!$F$200:$F$1199,ROW()-ROW(DGArchive[#Headers])))</f>
        <v/>
      </c>
    </row>
    <row r="912" ht="25" customHeight="1" spans="1:11">
      <c r="A912" s="106"/>
      <c r="B912" s="106"/>
      <c r="C912" s="126"/>
      <c r="D912" s="106"/>
      <c r="E912" s="106"/>
      <c r="F912" s="106"/>
      <c r="G912" s="106"/>
      <c r="H912" s="106"/>
      <c r="I912" s="106"/>
      <c r="J912" s="117" t="str">
        <f>IF(DGArchive[[#This Row],[目标]]="","",INDEX(幕间计算!$E$200:$E$1199,ROW()-ROW(DGArchive[#Headers])))</f>
        <v/>
      </c>
      <c r="K912" s="117" t="str">
        <f>IF(DGArchive[[#This Row],[目标]]="","",INDEX(幕间计算!$F$200:$F$1199,ROW()-ROW(DGArchive[#Headers])))</f>
        <v/>
      </c>
    </row>
    <row r="913" ht="25" customHeight="1" spans="1:11">
      <c r="A913" s="106"/>
      <c r="B913" s="106"/>
      <c r="C913" s="126"/>
      <c r="D913" s="106"/>
      <c r="E913" s="106"/>
      <c r="F913" s="106"/>
      <c r="G913" s="106"/>
      <c r="H913" s="106"/>
      <c r="I913" s="106"/>
      <c r="J913" s="117" t="str">
        <f>IF(DGArchive[[#This Row],[目标]]="","",INDEX(幕间计算!$E$200:$E$1199,ROW()-ROW(DGArchive[#Headers])))</f>
        <v/>
      </c>
      <c r="K913" s="117" t="str">
        <f>IF(DGArchive[[#This Row],[目标]]="","",INDEX(幕间计算!$F$200:$F$1199,ROW()-ROW(DGArchive[#Headers])))</f>
        <v/>
      </c>
    </row>
    <row r="914" ht="25" customHeight="1" spans="1:11">
      <c r="A914" s="106"/>
      <c r="B914" s="106"/>
      <c r="C914" s="126"/>
      <c r="D914" s="106"/>
      <c r="E914" s="106"/>
      <c r="F914" s="106"/>
      <c r="G914" s="106"/>
      <c r="H914" s="106"/>
      <c r="I914" s="106"/>
      <c r="J914" s="117" t="str">
        <f>IF(DGArchive[[#This Row],[目标]]="","",INDEX(幕间计算!$E$200:$E$1199,ROW()-ROW(DGArchive[#Headers])))</f>
        <v/>
      </c>
      <c r="K914" s="117" t="str">
        <f>IF(DGArchive[[#This Row],[目标]]="","",INDEX(幕间计算!$F$200:$F$1199,ROW()-ROW(DGArchive[#Headers])))</f>
        <v/>
      </c>
    </row>
    <row r="915" ht="25" customHeight="1" spans="1:11">
      <c r="A915" s="106"/>
      <c r="B915" s="106"/>
      <c r="C915" s="126"/>
      <c r="D915" s="106"/>
      <c r="E915" s="106"/>
      <c r="F915" s="106"/>
      <c r="G915" s="106"/>
      <c r="H915" s="106"/>
      <c r="I915" s="106"/>
      <c r="J915" s="117" t="str">
        <f>IF(DGArchive[[#This Row],[目标]]="","",INDEX(幕间计算!$E$200:$E$1199,ROW()-ROW(DGArchive[#Headers])))</f>
        <v/>
      </c>
      <c r="K915" s="117" t="str">
        <f>IF(DGArchive[[#This Row],[目标]]="","",INDEX(幕间计算!$F$200:$F$1199,ROW()-ROW(DGArchive[#Headers])))</f>
        <v/>
      </c>
    </row>
    <row r="916" ht="25" customHeight="1" spans="1:11">
      <c r="A916" s="106"/>
      <c r="B916" s="106"/>
      <c r="C916" s="126"/>
      <c r="D916" s="106"/>
      <c r="E916" s="106"/>
      <c r="F916" s="106"/>
      <c r="G916" s="106"/>
      <c r="H916" s="106"/>
      <c r="I916" s="106"/>
      <c r="J916" s="117" t="str">
        <f>IF(DGArchive[[#This Row],[目标]]="","",INDEX(幕间计算!$E$200:$E$1199,ROW()-ROW(DGArchive[#Headers])))</f>
        <v/>
      </c>
      <c r="K916" s="117" t="str">
        <f>IF(DGArchive[[#This Row],[目标]]="","",INDEX(幕间计算!$F$200:$F$1199,ROW()-ROW(DGArchive[#Headers])))</f>
        <v/>
      </c>
    </row>
    <row r="917" ht="25" customHeight="1" spans="1:11">
      <c r="A917" s="106"/>
      <c r="B917" s="106"/>
      <c r="C917" s="126"/>
      <c r="D917" s="106"/>
      <c r="E917" s="106"/>
      <c r="F917" s="106"/>
      <c r="G917" s="106"/>
      <c r="H917" s="106"/>
      <c r="I917" s="106"/>
      <c r="J917" s="117" t="str">
        <f>IF(DGArchive[[#This Row],[目标]]="","",INDEX(幕间计算!$E$200:$E$1199,ROW()-ROW(DGArchive[#Headers])))</f>
        <v/>
      </c>
      <c r="K917" s="117" t="str">
        <f>IF(DGArchive[[#This Row],[目标]]="","",INDEX(幕间计算!$F$200:$F$1199,ROW()-ROW(DGArchive[#Headers])))</f>
        <v/>
      </c>
    </row>
    <row r="918" ht="25" customHeight="1" spans="1:11">
      <c r="A918" s="106"/>
      <c r="B918" s="106"/>
      <c r="C918" s="126"/>
      <c r="D918" s="106"/>
      <c r="E918" s="106"/>
      <c r="F918" s="106"/>
      <c r="G918" s="106"/>
      <c r="H918" s="106"/>
      <c r="I918" s="106"/>
      <c r="J918" s="117" t="str">
        <f>IF(DGArchive[[#This Row],[目标]]="","",INDEX(幕间计算!$E$200:$E$1199,ROW()-ROW(DGArchive[#Headers])))</f>
        <v/>
      </c>
      <c r="K918" s="117" t="str">
        <f>IF(DGArchive[[#This Row],[目标]]="","",INDEX(幕间计算!$F$200:$F$1199,ROW()-ROW(DGArchive[#Headers])))</f>
        <v/>
      </c>
    </row>
    <row r="919" ht="25" customHeight="1" spans="1:11">
      <c r="A919" s="106"/>
      <c r="B919" s="106"/>
      <c r="C919" s="126"/>
      <c r="D919" s="106"/>
      <c r="E919" s="106"/>
      <c r="F919" s="106"/>
      <c r="G919" s="106"/>
      <c r="H919" s="106"/>
      <c r="I919" s="106"/>
      <c r="J919" s="117" t="str">
        <f>IF(DGArchive[[#This Row],[目标]]="","",INDEX(幕间计算!$E$200:$E$1199,ROW()-ROW(DGArchive[#Headers])))</f>
        <v/>
      </c>
      <c r="K919" s="117" t="str">
        <f>IF(DGArchive[[#This Row],[目标]]="","",INDEX(幕间计算!$F$200:$F$1199,ROW()-ROW(DGArchive[#Headers])))</f>
        <v/>
      </c>
    </row>
    <row r="920" ht="25" customHeight="1" spans="1:11">
      <c r="A920" s="106"/>
      <c r="B920" s="106"/>
      <c r="C920" s="126"/>
      <c r="D920" s="106"/>
      <c r="E920" s="106"/>
      <c r="F920" s="106"/>
      <c r="G920" s="106"/>
      <c r="H920" s="106"/>
      <c r="I920" s="106"/>
      <c r="J920" s="117" t="str">
        <f>IF(DGArchive[[#This Row],[目标]]="","",INDEX(幕间计算!$E$200:$E$1199,ROW()-ROW(DGArchive[#Headers])))</f>
        <v/>
      </c>
      <c r="K920" s="117" t="str">
        <f>IF(DGArchive[[#This Row],[目标]]="","",INDEX(幕间计算!$F$200:$F$1199,ROW()-ROW(DGArchive[#Headers])))</f>
        <v/>
      </c>
    </row>
    <row r="921" ht="25" customHeight="1" spans="1:11">
      <c r="A921" s="106"/>
      <c r="B921" s="106"/>
      <c r="C921" s="126"/>
      <c r="D921" s="106"/>
      <c r="E921" s="106"/>
      <c r="F921" s="106"/>
      <c r="G921" s="106"/>
      <c r="H921" s="106"/>
      <c r="I921" s="106"/>
      <c r="J921" s="117" t="str">
        <f>IF(DGArchive[[#This Row],[目标]]="","",INDEX(幕间计算!$E$200:$E$1199,ROW()-ROW(DGArchive[#Headers])))</f>
        <v/>
      </c>
      <c r="K921" s="117" t="str">
        <f>IF(DGArchive[[#This Row],[目标]]="","",INDEX(幕间计算!$F$200:$F$1199,ROW()-ROW(DGArchive[#Headers])))</f>
        <v/>
      </c>
    </row>
    <row r="922" ht="25" customHeight="1" spans="1:11">
      <c r="A922" s="106"/>
      <c r="B922" s="106"/>
      <c r="C922" s="126"/>
      <c r="D922" s="106"/>
      <c r="E922" s="106"/>
      <c r="F922" s="106"/>
      <c r="G922" s="106"/>
      <c r="H922" s="106"/>
      <c r="I922" s="106"/>
      <c r="J922" s="117" t="str">
        <f>IF(DGArchive[[#This Row],[目标]]="","",INDEX(幕间计算!$E$200:$E$1199,ROW()-ROW(DGArchive[#Headers])))</f>
        <v/>
      </c>
      <c r="K922" s="117" t="str">
        <f>IF(DGArchive[[#This Row],[目标]]="","",INDEX(幕间计算!$F$200:$F$1199,ROW()-ROW(DGArchive[#Headers])))</f>
        <v/>
      </c>
    </row>
    <row r="923" ht="25" customHeight="1" spans="1:11">
      <c r="A923" s="106"/>
      <c r="B923" s="106"/>
      <c r="C923" s="126"/>
      <c r="D923" s="106"/>
      <c r="E923" s="106"/>
      <c r="F923" s="106"/>
      <c r="G923" s="106"/>
      <c r="H923" s="106"/>
      <c r="I923" s="106"/>
      <c r="J923" s="117" t="str">
        <f>IF(DGArchive[[#This Row],[目标]]="","",INDEX(幕间计算!$E$200:$E$1199,ROW()-ROW(DGArchive[#Headers])))</f>
        <v/>
      </c>
      <c r="K923" s="117" t="str">
        <f>IF(DGArchive[[#This Row],[目标]]="","",INDEX(幕间计算!$F$200:$F$1199,ROW()-ROW(DGArchive[#Headers])))</f>
        <v/>
      </c>
    </row>
    <row r="924" ht="25" customHeight="1" spans="1:11">
      <c r="A924" s="106"/>
      <c r="B924" s="106"/>
      <c r="C924" s="126"/>
      <c r="D924" s="106"/>
      <c r="E924" s="106"/>
      <c r="F924" s="106"/>
      <c r="G924" s="106"/>
      <c r="H924" s="106"/>
      <c r="I924" s="106"/>
      <c r="J924" s="117" t="str">
        <f>IF(DGArchive[[#This Row],[目标]]="","",INDEX(幕间计算!$E$200:$E$1199,ROW()-ROW(DGArchive[#Headers])))</f>
        <v/>
      </c>
      <c r="K924" s="117" t="str">
        <f>IF(DGArchive[[#This Row],[目标]]="","",INDEX(幕间计算!$F$200:$F$1199,ROW()-ROW(DGArchive[#Headers])))</f>
        <v/>
      </c>
    </row>
    <row r="925" ht="25" customHeight="1" spans="1:11">
      <c r="A925" s="106"/>
      <c r="B925" s="106"/>
      <c r="C925" s="126"/>
      <c r="D925" s="106"/>
      <c r="E925" s="106"/>
      <c r="F925" s="106"/>
      <c r="G925" s="106"/>
      <c r="H925" s="106"/>
      <c r="I925" s="106"/>
      <c r="J925" s="117" t="str">
        <f>IF(DGArchive[[#This Row],[目标]]="","",INDEX(幕间计算!$E$200:$E$1199,ROW()-ROW(DGArchive[#Headers])))</f>
        <v/>
      </c>
      <c r="K925" s="117" t="str">
        <f>IF(DGArchive[[#This Row],[目标]]="","",INDEX(幕间计算!$F$200:$F$1199,ROW()-ROW(DGArchive[#Headers])))</f>
        <v/>
      </c>
    </row>
    <row r="926" ht="25" customHeight="1" spans="1:11">
      <c r="A926" s="106"/>
      <c r="B926" s="106"/>
      <c r="C926" s="126"/>
      <c r="D926" s="106"/>
      <c r="E926" s="106"/>
      <c r="F926" s="106"/>
      <c r="G926" s="106"/>
      <c r="H926" s="106"/>
      <c r="I926" s="106"/>
      <c r="J926" s="117" t="str">
        <f>IF(DGArchive[[#This Row],[目标]]="","",INDEX(幕间计算!$E$200:$E$1199,ROW()-ROW(DGArchive[#Headers])))</f>
        <v/>
      </c>
      <c r="K926" s="117" t="str">
        <f>IF(DGArchive[[#This Row],[目标]]="","",INDEX(幕间计算!$F$200:$F$1199,ROW()-ROW(DGArchive[#Headers])))</f>
        <v/>
      </c>
    </row>
    <row r="927" ht="25" customHeight="1" spans="1:11">
      <c r="A927" s="106"/>
      <c r="B927" s="106"/>
      <c r="C927" s="126"/>
      <c r="D927" s="106"/>
      <c r="E927" s="106"/>
      <c r="F927" s="106"/>
      <c r="G927" s="106"/>
      <c r="H927" s="106"/>
      <c r="I927" s="106"/>
      <c r="J927" s="117" t="str">
        <f>IF(DGArchive[[#This Row],[目标]]="","",INDEX(幕间计算!$E$200:$E$1199,ROW()-ROW(DGArchive[#Headers])))</f>
        <v/>
      </c>
      <c r="K927" s="117" t="str">
        <f>IF(DGArchive[[#This Row],[目标]]="","",INDEX(幕间计算!$F$200:$F$1199,ROW()-ROW(DGArchive[#Headers])))</f>
        <v/>
      </c>
    </row>
    <row r="928" ht="25" customHeight="1" spans="1:11">
      <c r="A928" s="106"/>
      <c r="B928" s="106"/>
      <c r="C928" s="126"/>
      <c r="D928" s="106"/>
      <c r="E928" s="106"/>
      <c r="F928" s="106"/>
      <c r="G928" s="106"/>
      <c r="H928" s="106"/>
      <c r="I928" s="106"/>
      <c r="J928" s="117" t="str">
        <f>IF(DGArchive[[#This Row],[目标]]="","",INDEX(幕间计算!$E$200:$E$1199,ROW()-ROW(DGArchive[#Headers])))</f>
        <v/>
      </c>
      <c r="K928" s="117" t="str">
        <f>IF(DGArchive[[#This Row],[目标]]="","",INDEX(幕间计算!$F$200:$F$1199,ROW()-ROW(DGArchive[#Headers])))</f>
        <v/>
      </c>
    </row>
    <row r="929" ht="25" customHeight="1" spans="1:11">
      <c r="A929" s="106"/>
      <c r="B929" s="106"/>
      <c r="C929" s="126"/>
      <c r="D929" s="106"/>
      <c r="E929" s="106"/>
      <c r="F929" s="106"/>
      <c r="G929" s="106"/>
      <c r="H929" s="106"/>
      <c r="I929" s="106"/>
      <c r="J929" s="117" t="str">
        <f>IF(DGArchive[[#This Row],[目标]]="","",INDEX(幕间计算!$E$200:$E$1199,ROW()-ROW(DGArchive[#Headers])))</f>
        <v/>
      </c>
      <c r="K929" s="117" t="str">
        <f>IF(DGArchive[[#This Row],[目标]]="","",INDEX(幕间计算!$F$200:$F$1199,ROW()-ROW(DGArchive[#Headers])))</f>
        <v/>
      </c>
    </row>
    <row r="930" ht="25" customHeight="1" spans="1:11">
      <c r="A930" s="106"/>
      <c r="B930" s="106"/>
      <c r="C930" s="126"/>
      <c r="D930" s="106"/>
      <c r="E930" s="106"/>
      <c r="F930" s="106"/>
      <c r="G930" s="106"/>
      <c r="H930" s="106"/>
      <c r="I930" s="106"/>
      <c r="J930" s="117" t="str">
        <f>IF(DGArchive[[#This Row],[目标]]="","",INDEX(幕间计算!$E$200:$E$1199,ROW()-ROW(DGArchive[#Headers])))</f>
        <v/>
      </c>
      <c r="K930" s="117" t="str">
        <f>IF(DGArchive[[#This Row],[目标]]="","",INDEX(幕间计算!$F$200:$F$1199,ROW()-ROW(DGArchive[#Headers])))</f>
        <v/>
      </c>
    </row>
    <row r="931" ht="25" customHeight="1" spans="1:11">
      <c r="A931" s="106"/>
      <c r="B931" s="106"/>
      <c r="C931" s="126"/>
      <c r="D931" s="106"/>
      <c r="E931" s="106"/>
      <c r="F931" s="106"/>
      <c r="G931" s="106"/>
      <c r="H931" s="106"/>
      <c r="I931" s="106"/>
      <c r="J931" s="117" t="str">
        <f>IF(DGArchive[[#This Row],[目标]]="","",INDEX(幕间计算!$E$200:$E$1199,ROW()-ROW(DGArchive[#Headers])))</f>
        <v/>
      </c>
      <c r="K931" s="117" t="str">
        <f>IF(DGArchive[[#This Row],[目标]]="","",INDEX(幕间计算!$F$200:$F$1199,ROW()-ROW(DGArchive[#Headers])))</f>
        <v/>
      </c>
    </row>
    <row r="932" ht="25" customHeight="1" spans="1:11">
      <c r="A932" s="106"/>
      <c r="B932" s="106"/>
      <c r="C932" s="126"/>
      <c r="D932" s="106"/>
      <c r="E932" s="106"/>
      <c r="F932" s="106"/>
      <c r="G932" s="106"/>
      <c r="H932" s="106"/>
      <c r="I932" s="106"/>
      <c r="J932" s="117" t="str">
        <f>IF(DGArchive[[#This Row],[目标]]="","",INDEX(幕间计算!$E$200:$E$1199,ROW()-ROW(DGArchive[#Headers])))</f>
        <v/>
      </c>
      <c r="K932" s="117" t="str">
        <f>IF(DGArchive[[#This Row],[目标]]="","",INDEX(幕间计算!$F$200:$F$1199,ROW()-ROW(DGArchive[#Headers])))</f>
        <v/>
      </c>
    </row>
    <row r="933" ht="25" customHeight="1" spans="1:11">
      <c r="A933" s="106"/>
      <c r="B933" s="106"/>
      <c r="C933" s="126"/>
      <c r="D933" s="106"/>
      <c r="E933" s="106"/>
      <c r="F933" s="106"/>
      <c r="G933" s="106"/>
      <c r="H933" s="106"/>
      <c r="I933" s="106"/>
      <c r="J933" s="117" t="str">
        <f>IF(DGArchive[[#This Row],[目标]]="","",INDEX(幕间计算!$E$200:$E$1199,ROW()-ROW(DGArchive[#Headers])))</f>
        <v/>
      </c>
      <c r="K933" s="117" t="str">
        <f>IF(DGArchive[[#This Row],[目标]]="","",INDEX(幕间计算!$F$200:$F$1199,ROW()-ROW(DGArchive[#Headers])))</f>
        <v/>
      </c>
    </row>
    <row r="934" ht="25" customHeight="1" spans="1:11">
      <c r="A934" s="106"/>
      <c r="B934" s="106"/>
      <c r="C934" s="126"/>
      <c r="D934" s="106"/>
      <c r="E934" s="106"/>
      <c r="F934" s="106"/>
      <c r="G934" s="106"/>
      <c r="H934" s="106"/>
      <c r="I934" s="106"/>
      <c r="J934" s="117" t="str">
        <f>IF(DGArchive[[#This Row],[目标]]="","",INDEX(幕间计算!$E$200:$E$1199,ROW()-ROW(DGArchive[#Headers])))</f>
        <v/>
      </c>
      <c r="K934" s="117" t="str">
        <f>IF(DGArchive[[#This Row],[目标]]="","",INDEX(幕间计算!$F$200:$F$1199,ROW()-ROW(DGArchive[#Headers])))</f>
        <v/>
      </c>
    </row>
    <row r="935" ht="25" customHeight="1" spans="1:11">
      <c r="A935" s="106"/>
      <c r="B935" s="106"/>
      <c r="C935" s="126"/>
      <c r="D935" s="106"/>
      <c r="E935" s="106"/>
      <c r="F935" s="106"/>
      <c r="G935" s="106"/>
      <c r="H935" s="106"/>
      <c r="I935" s="106"/>
      <c r="J935" s="117" t="str">
        <f>IF(DGArchive[[#This Row],[目标]]="","",INDEX(幕间计算!$E$200:$E$1199,ROW()-ROW(DGArchive[#Headers])))</f>
        <v/>
      </c>
      <c r="K935" s="117" t="str">
        <f>IF(DGArchive[[#This Row],[目标]]="","",INDEX(幕间计算!$F$200:$F$1199,ROW()-ROW(DGArchive[#Headers])))</f>
        <v/>
      </c>
    </row>
    <row r="936" ht="25" customHeight="1" spans="1:11">
      <c r="A936" s="106"/>
      <c r="B936" s="106"/>
      <c r="C936" s="126"/>
      <c r="D936" s="106"/>
      <c r="E936" s="106"/>
      <c r="F936" s="106"/>
      <c r="G936" s="106"/>
      <c r="H936" s="106"/>
      <c r="I936" s="106"/>
      <c r="J936" s="117" t="str">
        <f>IF(DGArchive[[#This Row],[目标]]="","",INDEX(幕间计算!$E$200:$E$1199,ROW()-ROW(DGArchive[#Headers])))</f>
        <v/>
      </c>
      <c r="K936" s="117" t="str">
        <f>IF(DGArchive[[#This Row],[目标]]="","",INDEX(幕间计算!$F$200:$F$1199,ROW()-ROW(DGArchive[#Headers])))</f>
        <v/>
      </c>
    </row>
    <row r="937" ht="25" customHeight="1" spans="1:11">
      <c r="A937" s="106"/>
      <c r="B937" s="106"/>
      <c r="C937" s="126"/>
      <c r="D937" s="106"/>
      <c r="E937" s="106"/>
      <c r="F937" s="106"/>
      <c r="G937" s="106"/>
      <c r="H937" s="106"/>
      <c r="I937" s="106"/>
      <c r="J937" s="117" t="str">
        <f>IF(DGArchive[[#This Row],[目标]]="","",INDEX(幕间计算!$E$200:$E$1199,ROW()-ROW(DGArchive[#Headers])))</f>
        <v/>
      </c>
      <c r="K937" s="117" t="str">
        <f>IF(DGArchive[[#This Row],[目标]]="","",INDEX(幕间计算!$F$200:$F$1199,ROW()-ROW(DGArchive[#Headers])))</f>
        <v/>
      </c>
    </row>
    <row r="938" ht="25" customHeight="1" spans="1:11">
      <c r="A938" s="106"/>
      <c r="B938" s="106"/>
      <c r="C938" s="126"/>
      <c r="D938" s="106"/>
      <c r="E938" s="106"/>
      <c r="F938" s="106"/>
      <c r="G938" s="106"/>
      <c r="H938" s="106"/>
      <c r="I938" s="106"/>
      <c r="J938" s="117" t="str">
        <f>IF(DGArchive[[#This Row],[目标]]="","",INDEX(幕间计算!$E$200:$E$1199,ROW()-ROW(DGArchive[#Headers])))</f>
        <v/>
      </c>
      <c r="K938" s="117" t="str">
        <f>IF(DGArchive[[#This Row],[目标]]="","",INDEX(幕间计算!$F$200:$F$1199,ROW()-ROW(DGArchive[#Headers])))</f>
        <v/>
      </c>
    </row>
    <row r="939" ht="25" customHeight="1" spans="1:11">
      <c r="A939" s="106"/>
      <c r="B939" s="106"/>
      <c r="C939" s="126"/>
      <c r="D939" s="106"/>
      <c r="E939" s="106"/>
      <c r="F939" s="106"/>
      <c r="G939" s="106"/>
      <c r="H939" s="106"/>
      <c r="I939" s="106"/>
      <c r="J939" s="117" t="str">
        <f>IF(DGArchive[[#This Row],[目标]]="","",INDEX(幕间计算!$E$200:$E$1199,ROW()-ROW(DGArchive[#Headers])))</f>
        <v/>
      </c>
      <c r="K939" s="117" t="str">
        <f>IF(DGArchive[[#This Row],[目标]]="","",INDEX(幕间计算!$F$200:$F$1199,ROW()-ROW(DGArchive[#Headers])))</f>
        <v/>
      </c>
    </row>
    <row r="940" ht="25" customHeight="1" spans="1:11">
      <c r="A940" s="106"/>
      <c r="B940" s="106"/>
      <c r="C940" s="126"/>
      <c r="D940" s="106"/>
      <c r="E940" s="106"/>
      <c r="F940" s="106"/>
      <c r="G940" s="106"/>
      <c r="H940" s="106"/>
      <c r="I940" s="106"/>
      <c r="J940" s="117" t="str">
        <f>IF(DGArchive[[#This Row],[目标]]="","",INDEX(幕间计算!$E$200:$E$1199,ROW()-ROW(DGArchive[#Headers])))</f>
        <v/>
      </c>
      <c r="K940" s="117" t="str">
        <f>IF(DGArchive[[#This Row],[目标]]="","",INDEX(幕间计算!$F$200:$F$1199,ROW()-ROW(DGArchive[#Headers])))</f>
        <v/>
      </c>
    </row>
    <row r="941" ht="25" customHeight="1" spans="1:11">
      <c r="A941" s="106"/>
      <c r="B941" s="106"/>
      <c r="C941" s="126"/>
      <c r="D941" s="106"/>
      <c r="E941" s="106"/>
      <c r="F941" s="106"/>
      <c r="G941" s="106"/>
      <c r="H941" s="106"/>
      <c r="I941" s="106"/>
      <c r="J941" s="117" t="str">
        <f>IF(DGArchive[[#This Row],[目标]]="","",INDEX(幕间计算!$E$200:$E$1199,ROW()-ROW(DGArchive[#Headers])))</f>
        <v/>
      </c>
      <c r="K941" s="117" t="str">
        <f>IF(DGArchive[[#This Row],[目标]]="","",INDEX(幕间计算!$F$200:$F$1199,ROW()-ROW(DGArchive[#Headers])))</f>
        <v/>
      </c>
    </row>
    <row r="942" ht="25" customHeight="1" spans="1:11">
      <c r="A942" s="106"/>
      <c r="B942" s="106"/>
      <c r="C942" s="126"/>
      <c r="D942" s="106"/>
      <c r="E942" s="106"/>
      <c r="F942" s="106"/>
      <c r="G942" s="106"/>
      <c r="H942" s="106"/>
      <c r="I942" s="106"/>
      <c r="J942" s="117" t="str">
        <f>IF(DGArchive[[#This Row],[目标]]="","",INDEX(幕间计算!$E$200:$E$1199,ROW()-ROW(DGArchive[#Headers])))</f>
        <v/>
      </c>
      <c r="K942" s="117" t="str">
        <f>IF(DGArchive[[#This Row],[目标]]="","",INDEX(幕间计算!$F$200:$F$1199,ROW()-ROW(DGArchive[#Headers])))</f>
        <v/>
      </c>
    </row>
    <row r="943" ht="25" customHeight="1" spans="1:11">
      <c r="A943" s="106"/>
      <c r="B943" s="106"/>
      <c r="C943" s="126"/>
      <c r="D943" s="106"/>
      <c r="E943" s="106"/>
      <c r="F943" s="106"/>
      <c r="G943" s="106"/>
      <c r="H943" s="106"/>
      <c r="I943" s="106"/>
      <c r="J943" s="117" t="str">
        <f>IF(DGArchive[[#This Row],[目标]]="","",INDEX(幕间计算!$E$200:$E$1199,ROW()-ROW(DGArchive[#Headers])))</f>
        <v/>
      </c>
      <c r="K943" s="117" t="str">
        <f>IF(DGArchive[[#This Row],[目标]]="","",INDEX(幕间计算!$F$200:$F$1199,ROW()-ROW(DGArchive[#Headers])))</f>
        <v/>
      </c>
    </row>
    <row r="944" ht="25" customHeight="1" spans="1:11">
      <c r="A944" s="106"/>
      <c r="B944" s="106"/>
      <c r="C944" s="126"/>
      <c r="D944" s="106"/>
      <c r="E944" s="106"/>
      <c r="F944" s="106"/>
      <c r="G944" s="106"/>
      <c r="H944" s="106"/>
      <c r="I944" s="106"/>
      <c r="J944" s="117" t="str">
        <f>IF(DGArchive[[#This Row],[目标]]="","",INDEX(幕间计算!$E$200:$E$1199,ROW()-ROW(DGArchive[#Headers])))</f>
        <v/>
      </c>
      <c r="K944" s="117" t="str">
        <f>IF(DGArchive[[#This Row],[目标]]="","",INDEX(幕间计算!$F$200:$F$1199,ROW()-ROW(DGArchive[#Headers])))</f>
        <v/>
      </c>
    </row>
    <row r="945" ht="25" customHeight="1" spans="1:11">
      <c r="A945" s="106"/>
      <c r="B945" s="106"/>
      <c r="C945" s="126"/>
      <c r="D945" s="106"/>
      <c r="E945" s="106"/>
      <c r="F945" s="106"/>
      <c r="G945" s="106"/>
      <c r="H945" s="106"/>
      <c r="I945" s="106"/>
      <c r="J945" s="117" t="str">
        <f>IF(DGArchive[[#This Row],[目标]]="","",INDEX(幕间计算!$E$200:$E$1199,ROW()-ROW(DGArchive[#Headers])))</f>
        <v/>
      </c>
      <c r="K945" s="117" t="str">
        <f>IF(DGArchive[[#This Row],[目标]]="","",INDEX(幕间计算!$F$200:$F$1199,ROW()-ROW(DGArchive[#Headers])))</f>
        <v/>
      </c>
    </row>
    <row r="946" ht="25" customHeight="1" spans="1:11">
      <c r="A946" s="106"/>
      <c r="B946" s="106"/>
      <c r="C946" s="126"/>
      <c r="D946" s="106"/>
      <c r="E946" s="106"/>
      <c r="F946" s="106"/>
      <c r="G946" s="106"/>
      <c r="H946" s="106"/>
      <c r="I946" s="106"/>
      <c r="J946" s="117" t="str">
        <f>IF(DGArchive[[#This Row],[目标]]="","",INDEX(幕间计算!$E$200:$E$1199,ROW()-ROW(DGArchive[#Headers])))</f>
        <v/>
      </c>
      <c r="K946" s="117" t="str">
        <f>IF(DGArchive[[#This Row],[目标]]="","",INDEX(幕间计算!$F$200:$F$1199,ROW()-ROW(DGArchive[#Headers])))</f>
        <v/>
      </c>
    </row>
    <row r="947" ht="25" customHeight="1" spans="1:11">
      <c r="A947" s="106"/>
      <c r="B947" s="106"/>
      <c r="C947" s="126"/>
      <c r="D947" s="106"/>
      <c r="E947" s="106"/>
      <c r="F947" s="106"/>
      <c r="G947" s="106"/>
      <c r="H947" s="106"/>
      <c r="I947" s="106"/>
      <c r="J947" s="117" t="str">
        <f>IF(DGArchive[[#This Row],[目标]]="","",INDEX(幕间计算!$E$200:$E$1199,ROW()-ROW(DGArchive[#Headers])))</f>
        <v/>
      </c>
      <c r="K947" s="117" t="str">
        <f>IF(DGArchive[[#This Row],[目标]]="","",INDEX(幕间计算!$F$200:$F$1199,ROW()-ROW(DGArchive[#Headers])))</f>
        <v/>
      </c>
    </row>
    <row r="948" ht="25" customHeight="1" spans="1:11">
      <c r="A948" s="106"/>
      <c r="B948" s="106"/>
      <c r="C948" s="126"/>
      <c r="D948" s="106"/>
      <c r="E948" s="106"/>
      <c r="F948" s="106"/>
      <c r="G948" s="106"/>
      <c r="H948" s="106"/>
      <c r="I948" s="106"/>
      <c r="J948" s="117" t="str">
        <f>IF(DGArchive[[#This Row],[目标]]="","",INDEX(幕间计算!$E$200:$E$1199,ROW()-ROW(DGArchive[#Headers])))</f>
        <v/>
      </c>
      <c r="K948" s="117" t="str">
        <f>IF(DGArchive[[#This Row],[目标]]="","",INDEX(幕间计算!$F$200:$F$1199,ROW()-ROW(DGArchive[#Headers])))</f>
        <v/>
      </c>
    </row>
    <row r="949" ht="25" customHeight="1" spans="1:11">
      <c r="A949" s="106"/>
      <c r="B949" s="106"/>
      <c r="C949" s="126"/>
      <c r="D949" s="106"/>
      <c r="E949" s="106"/>
      <c r="F949" s="106"/>
      <c r="G949" s="106"/>
      <c r="H949" s="106"/>
      <c r="I949" s="106"/>
      <c r="J949" s="117" t="str">
        <f>IF(DGArchive[[#This Row],[目标]]="","",INDEX(幕间计算!$E$200:$E$1199,ROW()-ROW(DGArchive[#Headers])))</f>
        <v/>
      </c>
      <c r="K949" s="117" t="str">
        <f>IF(DGArchive[[#This Row],[目标]]="","",INDEX(幕间计算!$F$200:$F$1199,ROW()-ROW(DGArchive[#Headers])))</f>
        <v/>
      </c>
    </row>
    <row r="950" ht="25" customHeight="1" spans="1:11">
      <c r="A950" s="106"/>
      <c r="B950" s="106"/>
      <c r="C950" s="126"/>
      <c r="D950" s="106"/>
      <c r="E950" s="106"/>
      <c r="F950" s="106"/>
      <c r="G950" s="106"/>
      <c r="H950" s="106"/>
      <c r="I950" s="106"/>
      <c r="J950" s="117" t="str">
        <f>IF(DGArchive[[#This Row],[目标]]="","",INDEX(幕间计算!$E$200:$E$1199,ROW()-ROW(DGArchive[#Headers])))</f>
        <v/>
      </c>
      <c r="K950" s="117" t="str">
        <f>IF(DGArchive[[#This Row],[目标]]="","",INDEX(幕间计算!$F$200:$F$1199,ROW()-ROW(DGArchive[#Headers])))</f>
        <v/>
      </c>
    </row>
    <row r="951" ht="25" customHeight="1" spans="1:11">
      <c r="A951" s="106"/>
      <c r="B951" s="106"/>
      <c r="C951" s="126"/>
      <c r="D951" s="106"/>
      <c r="E951" s="106"/>
      <c r="F951" s="106"/>
      <c r="G951" s="106"/>
      <c r="H951" s="106"/>
      <c r="I951" s="106"/>
      <c r="J951" s="117" t="str">
        <f>IF(DGArchive[[#This Row],[目标]]="","",INDEX(幕间计算!$E$200:$E$1199,ROW()-ROW(DGArchive[#Headers])))</f>
        <v/>
      </c>
      <c r="K951" s="117" t="str">
        <f>IF(DGArchive[[#This Row],[目标]]="","",INDEX(幕间计算!$F$200:$F$1199,ROW()-ROW(DGArchive[#Headers])))</f>
        <v/>
      </c>
    </row>
    <row r="952" ht="25" customHeight="1" spans="1:11">
      <c r="A952" s="106"/>
      <c r="B952" s="106"/>
      <c r="C952" s="126"/>
      <c r="D952" s="106"/>
      <c r="E952" s="106"/>
      <c r="F952" s="106"/>
      <c r="G952" s="106"/>
      <c r="H952" s="106"/>
      <c r="I952" s="106"/>
      <c r="J952" s="117" t="str">
        <f>IF(DGArchive[[#This Row],[目标]]="","",INDEX(幕间计算!$E$200:$E$1199,ROW()-ROW(DGArchive[#Headers])))</f>
        <v/>
      </c>
      <c r="K952" s="117" t="str">
        <f>IF(DGArchive[[#This Row],[目标]]="","",INDEX(幕间计算!$F$200:$F$1199,ROW()-ROW(DGArchive[#Headers])))</f>
        <v/>
      </c>
    </row>
    <row r="953" ht="25" customHeight="1" spans="1:11">
      <c r="A953" s="106"/>
      <c r="B953" s="106"/>
      <c r="C953" s="126"/>
      <c r="D953" s="106"/>
      <c r="E953" s="106"/>
      <c r="F953" s="106"/>
      <c r="G953" s="106"/>
      <c r="H953" s="106"/>
      <c r="I953" s="106"/>
      <c r="J953" s="117" t="str">
        <f>IF(DGArchive[[#This Row],[目标]]="","",INDEX(幕间计算!$E$200:$E$1199,ROW()-ROW(DGArchive[#Headers])))</f>
        <v/>
      </c>
      <c r="K953" s="117" t="str">
        <f>IF(DGArchive[[#This Row],[目标]]="","",INDEX(幕间计算!$F$200:$F$1199,ROW()-ROW(DGArchive[#Headers])))</f>
        <v/>
      </c>
    </row>
    <row r="954" ht="25" customHeight="1" spans="1:11">
      <c r="A954" s="106"/>
      <c r="B954" s="106"/>
      <c r="C954" s="126"/>
      <c r="D954" s="106"/>
      <c r="E954" s="106"/>
      <c r="F954" s="106"/>
      <c r="G954" s="106"/>
      <c r="H954" s="106"/>
      <c r="I954" s="106"/>
      <c r="J954" s="117" t="str">
        <f>IF(DGArchive[[#This Row],[目标]]="","",INDEX(幕间计算!$E$200:$E$1199,ROW()-ROW(DGArchive[#Headers])))</f>
        <v/>
      </c>
      <c r="K954" s="117" t="str">
        <f>IF(DGArchive[[#This Row],[目标]]="","",INDEX(幕间计算!$F$200:$F$1199,ROW()-ROW(DGArchive[#Headers])))</f>
        <v/>
      </c>
    </row>
    <row r="955" ht="25" customHeight="1" spans="1:11">
      <c r="A955" s="106"/>
      <c r="B955" s="106"/>
      <c r="C955" s="126"/>
      <c r="D955" s="106"/>
      <c r="E955" s="106"/>
      <c r="F955" s="106"/>
      <c r="G955" s="106"/>
      <c r="H955" s="106"/>
      <c r="I955" s="106"/>
      <c r="J955" s="117" t="str">
        <f>IF(DGArchive[[#This Row],[目标]]="","",INDEX(幕间计算!$E$200:$E$1199,ROW()-ROW(DGArchive[#Headers])))</f>
        <v/>
      </c>
      <c r="K955" s="117" t="str">
        <f>IF(DGArchive[[#This Row],[目标]]="","",INDEX(幕间计算!$F$200:$F$1199,ROW()-ROW(DGArchive[#Headers])))</f>
        <v/>
      </c>
    </row>
    <row r="956" ht="25" customHeight="1" spans="1:11">
      <c r="A956" s="106"/>
      <c r="B956" s="106"/>
      <c r="C956" s="126"/>
      <c r="D956" s="106"/>
      <c r="E956" s="106"/>
      <c r="F956" s="106"/>
      <c r="G956" s="106"/>
      <c r="H956" s="106"/>
      <c r="I956" s="106"/>
      <c r="J956" s="117" t="str">
        <f>IF(DGArchive[[#This Row],[目标]]="","",INDEX(幕间计算!$E$200:$E$1199,ROW()-ROW(DGArchive[#Headers])))</f>
        <v/>
      </c>
      <c r="K956" s="117" t="str">
        <f>IF(DGArchive[[#This Row],[目标]]="","",INDEX(幕间计算!$F$200:$F$1199,ROW()-ROW(DGArchive[#Headers])))</f>
        <v/>
      </c>
    </row>
    <row r="957" ht="25" customHeight="1" spans="1:11">
      <c r="A957" s="106"/>
      <c r="B957" s="106"/>
      <c r="C957" s="126"/>
      <c r="D957" s="106"/>
      <c r="E957" s="106"/>
      <c r="F957" s="106"/>
      <c r="G957" s="106"/>
      <c r="H957" s="106"/>
      <c r="I957" s="106"/>
      <c r="J957" s="117" t="str">
        <f>IF(DGArchive[[#This Row],[目标]]="","",INDEX(幕间计算!$E$200:$E$1199,ROW()-ROW(DGArchive[#Headers])))</f>
        <v/>
      </c>
      <c r="K957" s="117" t="str">
        <f>IF(DGArchive[[#This Row],[目标]]="","",INDEX(幕间计算!$F$200:$F$1199,ROW()-ROW(DGArchive[#Headers])))</f>
        <v/>
      </c>
    </row>
    <row r="958" ht="25" customHeight="1" spans="1:11">
      <c r="A958" s="106"/>
      <c r="B958" s="106"/>
      <c r="C958" s="126"/>
      <c r="D958" s="106"/>
      <c r="E958" s="106"/>
      <c r="F958" s="106"/>
      <c r="G958" s="106"/>
      <c r="H958" s="106"/>
      <c r="I958" s="106"/>
      <c r="J958" s="117" t="str">
        <f>IF(DGArchive[[#This Row],[目标]]="","",INDEX(幕间计算!$E$200:$E$1199,ROW()-ROW(DGArchive[#Headers])))</f>
        <v/>
      </c>
      <c r="K958" s="117" t="str">
        <f>IF(DGArchive[[#This Row],[目标]]="","",INDEX(幕间计算!$F$200:$F$1199,ROW()-ROW(DGArchive[#Headers])))</f>
        <v/>
      </c>
    </row>
    <row r="959" ht="25" customHeight="1" spans="1:11">
      <c r="A959" s="106"/>
      <c r="B959" s="106"/>
      <c r="C959" s="126"/>
      <c r="D959" s="106"/>
      <c r="E959" s="106"/>
      <c r="F959" s="106"/>
      <c r="G959" s="106"/>
      <c r="H959" s="106"/>
      <c r="I959" s="106"/>
      <c r="J959" s="117" t="str">
        <f>IF(DGArchive[[#This Row],[目标]]="","",INDEX(幕间计算!$E$200:$E$1199,ROW()-ROW(DGArchive[#Headers])))</f>
        <v/>
      </c>
      <c r="K959" s="117" t="str">
        <f>IF(DGArchive[[#This Row],[目标]]="","",INDEX(幕间计算!$F$200:$F$1199,ROW()-ROW(DGArchive[#Headers])))</f>
        <v/>
      </c>
    </row>
    <row r="960" ht="25" customHeight="1" spans="1:11">
      <c r="A960" s="106"/>
      <c r="B960" s="106"/>
      <c r="C960" s="126"/>
      <c r="D960" s="106"/>
      <c r="E960" s="106"/>
      <c r="F960" s="106"/>
      <c r="G960" s="106"/>
      <c r="H960" s="106"/>
      <c r="I960" s="106"/>
      <c r="J960" s="117" t="str">
        <f>IF(DGArchive[[#This Row],[目标]]="","",INDEX(幕间计算!$E$200:$E$1199,ROW()-ROW(DGArchive[#Headers])))</f>
        <v/>
      </c>
      <c r="K960" s="117" t="str">
        <f>IF(DGArchive[[#This Row],[目标]]="","",INDEX(幕间计算!$F$200:$F$1199,ROW()-ROW(DGArchive[#Headers])))</f>
        <v/>
      </c>
    </row>
    <row r="961" ht="25" customHeight="1" spans="1:11">
      <c r="A961" s="106"/>
      <c r="B961" s="106"/>
      <c r="C961" s="126"/>
      <c r="D961" s="106"/>
      <c r="E961" s="106"/>
      <c r="F961" s="106"/>
      <c r="G961" s="106"/>
      <c r="H961" s="106"/>
      <c r="I961" s="106"/>
      <c r="J961" s="117" t="str">
        <f>IF(DGArchive[[#This Row],[目标]]="","",INDEX(幕间计算!$E$200:$E$1199,ROW()-ROW(DGArchive[#Headers])))</f>
        <v/>
      </c>
      <c r="K961" s="117" t="str">
        <f>IF(DGArchive[[#This Row],[目标]]="","",INDEX(幕间计算!$F$200:$F$1199,ROW()-ROW(DGArchive[#Headers])))</f>
        <v/>
      </c>
    </row>
    <row r="962" ht="25" customHeight="1" spans="1:11">
      <c r="A962" s="106"/>
      <c r="B962" s="106"/>
      <c r="C962" s="126"/>
      <c r="D962" s="106"/>
      <c r="E962" s="106"/>
      <c r="F962" s="106"/>
      <c r="G962" s="106"/>
      <c r="H962" s="106"/>
      <c r="I962" s="106"/>
      <c r="J962" s="117" t="str">
        <f>IF(DGArchive[[#This Row],[目标]]="","",INDEX(幕间计算!$E$200:$E$1199,ROW()-ROW(DGArchive[#Headers])))</f>
        <v/>
      </c>
      <c r="K962" s="117" t="str">
        <f>IF(DGArchive[[#This Row],[目标]]="","",INDEX(幕间计算!$F$200:$F$1199,ROW()-ROW(DGArchive[#Headers])))</f>
        <v/>
      </c>
    </row>
    <row r="963" ht="25" customHeight="1" spans="1:11">
      <c r="A963" s="106"/>
      <c r="B963" s="106"/>
      <c r="C963" s="126"/>
      <c r="D963" s="106"/>
      <c r="E963" s="106"/>
      <c r="F963" s="106"/>
      <c r="G963" s="106"/>
      <c r="H963" s="106"/>
      <c r="I963" s="106"/>
      <c r="J963" s="117" t="str">
        <f>IF(DGArchive[[#This Row],[目标]]="","",INDEX(幕间计算!$E$200:$E$1199,ROW()-ROW(DGArchive[#Headers])))</f>
        <v/>
      </c>
      <c r="K963" s="117" t="str">
        <f>IF(DGArchive[[#This Row],[目标]]="","",INDEX(幕间计算!$F$200:$F$1199,ROW()-ROW(DGArchive[#Headers])))</f>
        <v/>
      </c>
    </row>
    <row r="964" ht="25" customHeight="1" spans="1:11">
      <c r="A964" s="106"/>
      <c r="B964" s="106"/>
      <c r="C964" s="126"/>
      <c r="D964" s="106"/>
      <c r="E964" s="106"/>
      <c r="F964" s="106"/>
      <c r="G964" s="106"/>
      <c r="H964" s="106"/>
      <c r="I964" s="106"/>
      <c r="J964" s="117" t="str">
        <f>IF(DGArchive[[#This Row],[目标]]="","",INDEX(幕间计算!$E$200:$E$1199,ROW()-ROW(DGArchive[#Headers])))</f>
        <v/>
      </c>
      <c r="K964" s="117" t="str">
        <f>IF(DGArchive[[#This Row],[目标]]="","",INDEX(幕间计算!$F$200:$F$1199,ROW()-ROW(DGArchive[#Headers])))</f>
        <v/>
      </c>
    </row>
    <row r="965" ht="25" customHeight="1" spans="1:11">
      <c r="A965" s="106"/>
      <c r="B965" s="106"/>
      <c r="C965" s="126"/>
      <c r="D965" s="106"/>
      <c r="E965" s="106"/>
      <c r="F965" s="106"/>
      <c r="G965" s="106"/>
      <c r="H965" s="106"/>
      <c r="I965" s="106"/>
      <c r="J965" s="117" t="str">
        <f>IF(DGArchive[[#This Row],[目标]]="","",INDEX(幕间计算!$E$200:$E$1199,ROW()-ROW(DGArchive[#Headers])))</f>
        <v/>
      </c>
      <c r="K965" s="117" t="str">
        <f>IF(DGArchive[[#This Row],[目标]]="","",INDEX(幕间计算!$F$200:$F$1199,ROW()-ROW(DGArchive[#Headers])))</f>
        <v/>
      </c>
    </row>
    <row r="966" ht="25" customHeight="1" spans="1:11">
      <c r="A966" s="106"/>
      <c r="B966" s="106"/>
      <c r="C966" s="126"/>
      <c r="D966" s="106"/>
      <c r="E966" s="106"/>
      <c r="F966" s="106"/>
      <c r="G966" s="106"/>
      <c r="H966" s="106"/>
      <c r="I966" s="106"/>
      <c r="J966" s="117" t="str">
        <f>IF(DGArchive[[#This Row],[目标]]="","",INDEX(幕间计算!$E$200:$E$1199,ROW()-ROW(DGArchive[#Headers])))</f>
        <v/>
      </c>
      <c r="K966" s="117" t="str">
        <f>IF(DGArchive[[#This Row],[目标]]="","",INDEX(幕间计算!$F$200:$F$1199,ROW()-ROW(DGArchive[#Headers])))</f>
        <v/>
      </c>
    </row>
    <row r="967" ht="25" customHeight="1" spans="1:11">
      <c r="A967" s="106"/>
      <c r="B967" s="106"/>
      <c r="C967" s="126"/>
      <c r="D967" s="106"/>
      <c r="E967" s="106"/>
      <c r="F967" s="106"/>
      <c r="G967" s="106"/>
      <c r="H967" s="106"/>
      <c r="I967" s="106"/>
      <c r="J967" s="117" t="str">
        <f>IF(DGArchive[[#This Row],[目标]]="","",INDEX(幕间计算!$E$200:$E$1199,ROW()-ROW(DGArchive[#Headers])))</f>
        <v/>
      </c>
      <c r="K967" s="117" t="str">
        <f>IF(DGArchive[[#This Row],[目标]]="","",INDEX(幕间计算!$F$200:$F$1199,ROW()-ROW(DGArchive[#Headers])))</f>
        <v/>
      </c>
    </row>
    <row r="968" ht="25" customHeight="1" spans="1:11">
      <c r="A968" s="106"/>
      <c r="B968" s="106"/>
      <c r="C968" s="126"/>
      <c r="D968" s="106"/>
      <c r="E968" s="106"/>
      <c r="F968" s="106"/>
      <c r="G968" s="106"/>
      <c r="H968" s="106"/>
      <c r="I968" s="106"/>
      <c r="J968" s="117" t="str">
        <f>IF(DGArchive[[#This Row],[目标]]="","",INDEX(幕间计算!$E$200:$E$1199,ROW()-ROW(DGArchive[#Headers])))</f>
        <v/>
      </c>
      <c r="K968" s="117" t="str">
        <f>IF(DGArchive[[#This Row],[目标]]="","",INDEX(幕间计算!$F$200:$F$1199,ROW()-ROW(DGArchive[#Headers])))</f>
        <v/>
      </c>
    </row>
    <row r="969" ht="25" customHeight="1" spans="1:11">
      <c r="A969" s="106"/>
      <c r="B969" s="106"/>
      <c r="C969" s="126"/>
      <c r="D969" s="106"/>
      <c r="E969" s="106"/>
      <c r="F969" s="106"/>
      <c r="G969" s="106"/>
      <c r="H969" s="106"/>
      <c r="I969" s="106"/>
      <c r="J969" s="117" t="str">
        <f>IF(DGArchive[[#This Row],[目标]]="","",INDEX(幕间计算!$E$200:$E$1199,ROW()-ROW(DGArchive[#Headers])))</f>
        <v/>
      </c>
      <c r="K969" s="117" t="str">
        <f>IF(DGArchive[[#This Row],[目标]]="","",INDEX(幕间计算!$F$200:$F$1199,ROW()-ROW(DGArchive[#Headers])))</f>
        <v/>
      </c>
    </row>
    <row r="970" ht="25" customHeight="1" spans="1:11">
      <c r="A970" s="106"/>
      <c r="B970" s="106"/>
      <c r="C970" s="126"/>
      <c r="D970" s="106"/>
      <c r="E970" s="106"/>
      <c r="F970" s="106"/>
      <c r="G970" s="106"/>
      <c r="H970" s="106"/>
      <c r="I970" s="106"/>
      <c r="J970" s="117" t="str">
        <f>IF(DGArchive[[#This Row],[目标]]="","",INDEX(幕间计算!$E$200:$E$1199,ROW()-ROW(DGArchive[#Headers])))</f>
        <v/>
      </c>
      <c r="K970" s="117" t="str">
        <f>IF(DGArchive[[#This Row],[目标]]="","",INDEX(幕间计算!$F$200:$F$1199,ROW()-ROW(DGArchive[#Headers])))</f>
        <v/>
      </c>
    </row>
    <row r="971" ht="25" customHeight="1" spans="1:11">
      <c r="A971" s="106"/>
      <c r="B971" s="106"/>
      <c r="C971" s="126"/>
      <c r="D971" s="106"/>
      <c r="E971" s="106"/>
      <c r="F971" s="106"/>
      <c r="G971" s="106"/>
      <c r="H971" s="106"/>
      <c r="I971" s="106"/>
      <c r="J971" s="117" t="str">
        <f>IF(DGArchive[[#This Row],[目标]]="","",INDEX(幕间计算!$E$200:$E$1199,ROW()-ROW(DGArchive[#Headers])))</f>
        <v/>
      </c>
      <c r="K971" s="117" t="str">
        <f>IF(DGArchive[[#This Row],[目标]]="","",INDEX(幕间计算!$F$200:$F$1199,ROW()-ROW(DGArchive[#Headers])))</f>
        <v/>
      </c>
    </row>
    <row r="972" ht="25" customHeight="1" spans="1:11">
      <c r="A972" s="106"/>
      <c r="B972" s="106"/>
      <c r="C972" s="126"/>
      <c r="D972" s="106"/>
      <c r="E972" s="106"/>
      <c r="F972" s="106"/>
      <c r="G972" s="106"/>
      <c r="H972" s="106"/>
      <c r="I972" s="106"/>
      <c r="J972" s="117" t="str">
        <f>IF(DGArchive[[#This Row],[目标]]="","",INDEX(幕间计算!$E$200:$E$1199,ROW()-ROW(DGArchive[#Headers])))</f>
        <v/>
      </c>
      <c r="K972" s="117" t="str">
        <f>IF(DGArchive[[#This Row],[目标]]="","",INDEX(幕间计算!$F$200:$F$1199,ROW()-ROW(DGArchive[#Headers])))</f>
        <v/>
      </c>
    </row>
    <row r="973" ht="25" customHeight="1" spans="1:11">
      <c r="A973" s="106"/>
      <c r="B973" s="106"/>
      <c r="C973" s="126"/>
      <c r="D973" s="106"/>
      <c r="E973" s="106"/>
      <c r="F973" s="106"/>
      <c r="G973" s="106"/>
      <c r="H973" s="106"/>
      <c r="I973" s="106"/>
      <c r="J973" s="117" t="str">
        <f>IF(DGArchive[[#This Row],[目标]]="","",INDEX(幕间计算!$E$200:$E$1199,ROW()-ROW(DGArchive[#Headers])))</f>
        <v/>
      </c>
      <c r="K973" s="117" t="str">
        <f>IF(DGArchive[[#This Row],[目标]]="","",INDEX(幕间计算!$F$200:$F$1199,ROW()-ROW(DGArchive[#Headers])))</f>
        <v/>
      </c>
    </row>
    <row r="974" ht="25" customHeight="1" spans="1:11">
      <c r="A974" s="106"/>
      <c r="B974" s="106"/>
      <c r="C974" s="126"/>
      <c r="D974" s="106"/>
      <c r="E974" s="106"/>
      <c r="F974" s="106"/>
      <c r="G974" s="106"/>
      <c r="H974" s="106"/>
      <c r="I974" s="106"/>
      <c r="J974" s="117" t="str">
        <f>IF(DGArchive[[#This Row],[目标]]="","",INDEX(幕间计算!$E$200:$E$1199,ROW()-ROW(DGArchive[#Headers])))</f>
        <v/>
      </c>
      <c r="K974" s="117" t="str">
        <f>IF(DGArchive[[#This Row],[目标]]="","",INDEX(幕间计算!$F$200:$F$1199,ROW()-ROW(DGArchive[#Headers])))</f>
        <v/>
      </c>
    </row>
    <row r="975" ht="25" customHeight="1" spans="1:11">
      <c r="A975" s="106"/>
      <c r="B975" s="106"/>
      <c r="C975" s="126"/>
      <c r="D975" s="106"/>
      <c r="E975" s="106"/>
      <c r="F975" s="106"/>
      <c r="G975" s="106"/>
      <c r="H975" s="106"/>
      <c r="I975" s="106"/>
      <c r="J975" s="117" t="str">
        <f>IF(DGArchive[[#This Row],[目标]]="","",INDEX(幕间计算!$E$200:$E$1199,ROW()-ROW(DGArchive[#Headers])))</f>
        <v/>
      </c>
      <c r="K975" s="117" t="str">
        <f>IF(DGArchive[[#This Row],[目标]]="","",INDEX(幕间计算!$F$200:$F$1199,ROW()-ROW(DGArchive[#Headers])))</f>
        <v/>
      </c>
    </row>
    <row r="976" ht="25" customHeight="1" spans="1:11">
      <c r="A976" s="106"/>
      <c r="B976" s="106"/>
      <c r="C976" s="126"/>
      <c r="D976" s="106"/>
      <c r="E976" s="106"/>
      <c r="F976" s="106"/>
      <c r="G976" s="106"/>
      <c r="H976" s="106"/>
      <c r="I976" s="106"/>
      <c r="J976" s="117" t="str">
        <f>IF(DGArchive[[#This Row],[目标]]="","",INDEX(幕间计算!$E$200:$E$1199,ROW()-ROW(DGArchive[#Headers])))</f>
        <v/>
      </c>
      <c r="K976" s="117" t="str">
        <f>IF(DGArchive[[#This Row],[目标]]="","",INDEX(幕间计算!$F$200:$F$1199,ROW()-ROW(DGArchive[#Headers])))</f>
        <v/>
      </c>
    </row>
    <row r="977" ht="25" customHeight="1" spans="1:11">
      <c r="A977" s="106"/>
      <c r="B977" s="106"/>
      <c r="C977" s="126"/>
      <c r="D977" s="106"/>
      <c r="E977" s="106"/>
      <c r="F977" s="106"/>
      <c r="G977" s="106"/>
      <c r="H977" s="106"/>
      <c r="I977" s="106"/>
      <c r="J977" s="117" t="str">
        <f>IF(DGArchive[[#This Row],[目标]]="","",INDEX(幕间计算!$E$200:$E$1199,ROW()-ROW(DGArchive[#Headers])))</f>
        <v/>
      </c>
      <c r="K977" s="117" t="str">
        <f>IF(DGArchive[[#This Row],[目标]]="","",INDEX(幕间计算!$F$200:$F$1199,ROW()-ROW(DGArchive[#Headers])))</f>
        <v/>
      </c>
    </row>
    <row r="978" ht="25" customHeight="1" spans="1:11">
      <c r="A978" s="106"/>
      <c r="B978" s="106"/>
      <c r="C978" s="126"/>
      <c r="D978" s="106"/>
      <c r="E978" s="106"/>
      <c r="F978" s="106"/>
      <c r="G978" s="106"/>
      <c r="H978" s="106"/>
      <c r="I978" s="106"/>
      <c r="J978" s="117" t="str">
        <f>IF(DGArchive[[#This Row],[目标]]="","",INDEX(幕间计算!$E$200:$E$1199,ROW()-ROW(DGArchive[#Headers])))</f>
        <v/>
      </c>
      <c r="K978" s="117" t="str">
        <f>IF(DGArchive[[#This Row],[目标]]="","",INDEX(幕间计算!$F$200:$F$1199,ROW()-ROW(DGArchive[#Headers])))</f>
        <v/>
      </c>
    </row>
    <row r="979" ht="25" customHeight="1" spans="1:11">
      <c r="A979" s="106"/>
      <c r="B979" s="106"/>
      <c r="C979" s="126"/>
      <c r="D979" s="106"/>
      <c r="E979" s="106"/>
      <c r="F979" s="106"/>
      <c r="G979" s="106"/>
      <c r="H979" s="106"/>
      <c r="I979" s="106"/>
      <c r="J979" s="117" t="str">
        <f>IF(DGArchive[[#This Row],[目标]]="","",INDEX(幕间计算!$E$200:$E$1199,ROW()-ROW(DGArchive[#Headers])))</f>
        <v/>
      </c>
      <c r="K979" s="117" t="str">
        <f>IF(DGArchive[[#This Row],[目标]]="","",INDEX(幕间计算!$F$200:$F$1199,ROW()-ROW(DGArchive[#Headers])))</f>
        <v/>
      </c>
    </row>
    <row r="980" ht="25" customHeight="1" spans="1:11">
      <c r="A980" s="106"/>
      <c r="B980" s="106"/>
      <c r="C980" s="126"/>
      <c r="D980" s="106"/>
      <c r="E980" s="106"/>
      <c r="F980" s="106"/>
      <c r="G980" s="106"/>
      <c r="H980" s="106"/>
      <c r="I980" s="106"/>
      <c r="J980" s="117" t="str">
        <f>IF(DGArchive[[#This Row],[目标]]="","",INDEX(幕间计算!$E$200:$E$1199,ROW()-ROW(DGArchive[#Headers])))</f>
        <v/>
      </c>
      <c r="K980" s="117" t="str">
        <f>IF(DGArchive[[#This Row],[目标]]="","",INDEX(幕间计算!$F$200:$F$1199,ROW()-ROW(DGArchive[#Headers])))</f>
        <v/>
      </c>
    </row>
    <row r="981" ht="25" customHeight="1" spans="1:11">
      <c r="A981" s="106"/>
      <c r="B981" s="106"/>
      <c r="C981" s="126"/>
      <c r="D981" s="106"/>
      <c r="E981" s="106"/>
      <c r="F981" s="106"/>
      <c r="G981" s="106"/>
      <c r="H981" s="106"/>
      <c r="I981" s="106"/>
      <c r="J981" s="117" t="str">
        <f>IF(DGArchive[[#This Row],[目标]]="","",INDEX(幕间计算!$E$200:$E$1199,ROW()-ROW(DGArchive[#Headers])))</f>
        <v/>
      </c>
      <c r="K981" s="117" t="str">
        <f>IF(DGArchive[[#This Row],[目标]]="","",INDEX(幕间计算!$F$200:$F$1199,ROW()-ROW(DGArchive[#Headers])))</f>
        <v/>
      </c>
    </row>
    <row r="982" ht="25" customHeight="1" spans="1:11">
      <c r="A982" s="106"/>
      <c r="B982" s="106"/>
      <c r="C982" s="126"/>
      <c r="D982" s="106"/>
      <c r="E982" s="106"/>
      <c r="F982" s="106"/>
      <c r="G982" s="106"/>
      <c r="H982" s="106"/>
      <c r="I982" s="106"/>
      <c r="J982" s="117" t="str">
        <f>IF(DGArchive[[#This Row],[目标]]="","",INDEX(幕间计算!$E$200:$E$1199,ROW()-ROW(DGArchive[#Headers])))</f>
        <v/>
      </c>
      <c r="K982" s="117" t="str">
        <f>IF(DGArchive[[#This Row],[目标]]="","",INDEX(幕间计算!$F$200:$F$1199,ROW()-ROW(DGArchive[#Headers])))</f>
        <v/>
      </c>
    </row>
    <row r="983" ht="25" customHeight="1" spans="1:11">
      <c r="A983" s="106"/>
      <c r="B983" s="106"/>
      <c r="C983" s="126"/>
      <c r="D983" s="106"/>
      <c r="E983" s="106"/>
      <c r="F983" s="106"/>
      <c r="G983" s="106"/>
      <c r="H983" s="106"/>
      <c r="I983" s="106"/>
      <c r="J983" s="117" t="str">
        <f>IF(DGArchive[[#This Row],[目标]]="","",INDEX(幕间计算!$E$200:$E$1199,ROW()-ROW(DGArchive[#Headers])))</f>
        <v/>
      </c>
      <c r="K983" s="117" t="str">
        <f>IF(DGArchive[[#This Row],[目标]]="","",INDEX(幕间计算!$F$200:$F$1199,ROW()-ROW(DGArchive[#Headers])))</f>
        <v/>
      </c>
    </row>
    <row r="984" ht="25" customHeight="1" spans="1:11">
      <c r="A984" s="106"/>
      <c r="B984" s="106"/>
      <c r="C984" s="126"/>
      <c r="D984" s="106"/>
      <c r="E984" s="106"/>
      <c r="F984" s="106"/>
      <c r="G984" s="106"/>
      <c r="H984" s="106"/>
      <c r="I984" s="106"/>
      <c r="J984" s="117" t="str">
        <f>IF(DGArchive[[#This Row],[目标]]="","",INDEX(幕间计算!$E$200:$E$1199,ROW()-ROW(DGArchive[#Headers])))</f>
        <v/>
      </c>
      <c r="K984" s="117" t="str">
        <f>IF(DGArchive[[#This Row],[目标]]="","",INDEX(幕间计算!$F$200:$F$1199,ROW()-ROW(DGArchive[#Headers])))</f>
        <v/>
      </c>
    </row>
    <row r="985" ht="25" customHeight="1" spans="1:11">
      <c r="A985" s="106"/>
      <c r="B985" s="106"/>
      <c r="C985" s="126"/>
      <c r="D985" s="106"/>
      <c r="E985" s="106"/>
      <c r="F985" s="106"/>
      <c r="G985" s="106"/>
      <c r="H985" s="106"/>
      <c r="I985" s="106"/>
      <c r="J985" s="117" t="str">
        <f>IF(DGArchive[[#This Row],[目标]]="","",INDEX(幕间计算!$E$200:$E$1199,ROW()-ROW(DGArchive[#Headers])))</f>
        <v/>
      </c>
      <c r="K985" s="117" t="str">
        <f>IF(DGArchive[[#This Row],[目标]]="","",INDEX(幕间计算!$F$200:$F$1199,ROW()-ROW(DGArchive[#Headers])))</f>
        <v/>
      </c>
    </row>
    <row r="986" ht="25" customHeight="1" spans="1:11">
      <c r="A986" s="106"/>
      <c r="B986" s="106"/>
      <c r="C986" s="126"/>
      <c r="D986" s="106"/>
      <c r="E986" s="106"/>
      <c r="F986" s="106"/>
      <c r="G986" s="106"/>
      <c r="H986" s="106"/>
      <c r="I986" s="106"/>
      <c r="J986" s="117" t="str">
        <f>IF(DGArchive[[#This Row],[目标]]="","",INDEX(幕间计算!$E$200:$E$1199,ROW()-ROW(DGArchive[#Headers])))</f>
        <v/>
      </c>
      <c r="K986" s="117" t="str">
        <f>IF(DGArchive[[#This Row],[目标]]="","",INDEX(幕间计算!$F$200:$F$1199,ROW()-ROW(DGArchive[#Headers])))</f>
        <v/>
      </c>
    </row>
    <row r="987" ht="25" customHeight="1" spans="1:11">
      <c r="A987" s="106"/>
      <c r="B987" s="106"/>
      <c r="C987" s="126"/>
      <c r="D987" s="106"/>
      <c r="E987" s="106"/>
      <c r="F987" s="106"/>
      <c r="G987" s="106"/>
      <c r="H987" s="106"/>
      <c r="I987" s="106"/>
      <c r="J987" s="117" t="str">
        <f>IF(DGArchive[[#This Row],[目标]]="","",INDEX(幕间计算!$E$200:$E$1199,ROW()-ROW(DGArchive[#Headers])))</f>
        <v/>
      </c>
      <c r="K987" s="117" t="str">
        <f>IF(DGArchive[[#This Row],[目标]]="","",INDEX(幕间计算!$F$200:$F$1199,ROW()-ROW(DGArchive[#Headers])))</f>
        <v/>
      </c>
    </row>
    <row r="988" ht="25" customHeight="1" spans="1:11">
      <c r="A988" s="106"/>
      <c r="B988" s="106"/>
      <c r="C988" s="126"/>
      <c r="D988" s="106"/>
      <c r="E988" s="106"/>
      <c r="F988" s="106"/>
      <c r="G988" s="106"/>
      <c r="H988" s="106"/>
      <c r="I988" s="106"/>
      <c r="J988" s="117" t="str">
        <f>IF(DGArchive[[#This Row],[目标]]="","",INDEX(幕间计算!$E$200:$E$1199,ROW()-ROW(DGArchive[#Headers])))</f>
        <v/>
      </c>
      <c r="K988" s="117" t="str">
        <f>IF(DGArchive[[#This Row],[目标]]="","",INDEX(幕间计算!$F$200:$F$1199,ROW()-ROW(DGArchive[#Headers])))</f>
        <v/>
      </c>
    </row>
    <row r="989" ht="25" customHeight="1" spans="1:11">
      <c r="A989" s="106"/>
      <c r="B989" s="106"/>
      <c r="C989" s="126"/>
      <c r="D989" s="106"/>
      <c r="E989" s="106"/>
      <c r="F989" s="106"/>
      <c r="G989" s="106"/>
      <c r="H989" s="106"/>
      <c r="I989" s="106"/>
      <c r="J989" s="117" t="str">
        <f>IF(DGArchive[[#This Row],[目标]]="","",INDEX(幕间计算!$E$200:$E$1199,ROW()-ROW(DGArchive[#Headers])))</f>
        <v/>
      </c>
      <c r="K989" s="117" t="str">
        <f>IF(DGArchive[[#This Row],[目标]]="","",INDEX(幕间计算!$F$200:$F$1199,ROW()-ROW(DGArchive[#Headers])))</f>
        <v/>
      </c>
    </row>
    <row r="990" ht="25" customHeight="1" spans="1:11">
      <c r="A990" s="106"/>
      <c r="B990" s="106"/>
      <c r="C990" s="126"/>
      <c r="D990" s="106"/>
      <c r="E990" s="106"/>
      <c r="F990" s="106"/>
      <c r="G990" s="106"/>
      <c r="H990" s="106"/>
      <c r="I990" s="106"/>
      <c r="J990" s="117" t="str">
        <f>IF(DGArchive[[#This Row],[目标]]="","",INDEX(幕间计算!$E$200:$E$1199,ROW()-ROW(DGArchive[#Headers])))</f>
        <v/>
      </c>
      <c r="K990" s="117" t="str">
        <f>IF(DGArchive[[#This Row],[目标]]="","",INDEX(幕间计算!$F$200:$F$1199,ROW()-ROW(DGArchive[#Headers])))</f>
        <v/>
      </c>
    </row>
    <row r="991" ht="25" customHeight="1" spans="1:11">
      <c r="A991" s="106"/>
      <c r="B991" s="106"/>
      <c r="C991" s="126"/>
      <c r="D991" s="106"/>
      <c r="E991" s="106"/>
      <c r="F991" s="106"/>
      <c r="G991" s="106"/>
      <c r="H991" s="106"/>
      <c r="I991" s="106"/>
      <c r="J991" s="117" t="str">
        <f>IF(DGArchive[[#This Row],[目标]]="","",INDEX(幕间计算!$E$200:$E$1199,ROW()-ROW(DGArchive[#Headers])))</f>
        <v/>
      </c>
      <c r="K991" s="117" t="str">
        <f>IF(DGArchive[[#This Row],[目标]]="","",INDEX(幕间计算!$F$200:$F$1199,ROW()-ROW(DGArchive[#Headers])))</f>
        <v/>
      </c>
    </row>
    <row r="992" ht="25" customHeight="1" spans="1:11">
      <c r="A992" s="106"/>
      <c r="B992" s="106"/>
      <c r="C992" s="126"/>
      <c r="D992" s="106"/>
      <c r="E992" s="106"/>
      <c r="F992" s="106"/>
      <c r="G992" s="106"/>
      <c r="H992" s="106"/>
      <c r="I992" s="106"/>
      <c r="J992" s="117" t="str">
        <f>IF(DGArchive[[#This Row],[目标]]="","",INDEX(幕间计算!$E$200:$E$1199,ROW()-ROW(DGArchive[#Headers])))</f>
        <v/>
      </c>
      <c r="K992" s="117" t="str">
        <f>IF(DGArchive[[#This Row],[目标]]="","",INDEX(幕间计算!$F$200:$F$1199,ROW()-ROW(DGArchive[#Headers])))</f>
        <v/>
      </c>
    </row>
    <row r="993" ht="25" customHeight="1" spans="1:11">
      <c r="A993" s="106"/>
      <c r="B993" s="106"/>
      <c r="C993" s="126"/>
      <c r="D993" s="106"/>
      <c r="E993" s="106"/>
      <c r="F993" s="106"/>
      <c r="G993" s="106"/>
      <c r="H993" s="106"/>
      <c r="I993" s="106"/>
      <c r="J993" s="117" t="str">
        <f>IF(DGArchive[[#This Row],[目标]]="","",INDEX(幕间计算!$E$200:$E$1199,ROW()-ROW(DGArchive[#Headers])))</f>
        <v/>
      </c>
      <c r="K993" s="117" t="str">
        <f>IF(DGArchive[[#This Row],[目标]]="","",INDEX(幕间计算!$F$200:$F$1199,ROW()-ROW(DGArchive[#Headers])))</f>
        <v/>
      </c>
    </row>
    <row r="994" ht="25" customHeight="1" spans="1:11">
      <c r="A994" s="106"/>
      <c r="B994" s="106"/>
      <c r="C994" s="126"/>
      <c r="D994" s="106"/>
      <c r="E994" s="106"/>
      <c r="F994" s="106"/>
      <c r="G994" s="106"/>
      <c r="H994" s="106"/>
      <c r="I994" s="106"/>
      <c r="J994" s="117" t="str">
        <f>IF(DGArchive[[#This Row],[目标]]="","",INDEX(幕间计算!$E$200:$E$1199,ROW()-ROW(DGArchive[#Headers])))</f>
        <v/>
      </c>
      <c r="K994" s="117" t="str">
        <f>IF(DGArchive[[#This Row],[目标]]="","",INDEX(幕间计算!$F$200:$F$1199,ROW()-ROW(DGArchive[#Headers])))</f>
        <v/>
      </c>
    </row>
    <row r="995" ht="25" customHeight="1" spans="1:11">
      <c r="A995" s="106"/>
      <c r="B995" s="106"/>
      <c r="C995" s="126"/>
      <c r="D995" s="106"/>
      <c r="E995" s="106"/>
      <c r="F995" s="106"/>
      <c r="G995" s="106"/>
      <c r="H995" s="106"/>
      <c r="I995" s="106"/>
      <c r="J995" s="117" t="str">
        <f>IF(DGArchive[[#This Row],[目标]]="","",INDEX(幕间计算!$E$200:$E$1199,ROW()-ROW(DGArchive[#Headers])))</f>
        <v/>
      </c>
      <c r="K995" s="117" t="str">
        <f>IF(DGArchive[[#This Row],[目标]]="","",INDEX(幕间计算!$F$200:$F$1199,ROW()-ROW(DGArchive[#Headers])))</f>
        <v/>
      </c>
    </row>
    <row r="996" ht="25" customHeight="1" spans="1:11">
      <c r="A996" s="106"/>
      <c r="B996" s="106"/>
      <c r="C996" s="126"/>
      <c r="D996" s="106"/>
      <c r="E996" s="106"/>
      <c r="F996" s="106"/>
      <c r="G996" s="106"/>
      <c r="H996" s="106"/>
      <c r="I996" s="106"/>
      <c r="J996" s="117" t="str">
        <f>IF(DGArchive[[#This Row],[目标]]="","",INDEX(幕间计算!$E$200:$E$1199,ROW()-ROW(DGArchive[#Headers])))</f>
        <v/>
      </c>
      <c r="K996" s="117" t="str">
        <f>IF(DGArchive[[#This Row],[目标]]="","",INDEX(幕间计算!$F$200:$F$1199,ROW()-ROW(DGArchive[#Headers])))</f>
        <v/>
      </c>
    </row>
    <row r="997" ht="25" customHeight="1" spans="1:11">
      <c r="A997" s="106"/>
      <c r="B997" s="106"/>
      <c r="C997" s="126"/>
      <c r="D997" s="106"/>
      <c r="E997" s="106"/>
      <c r="F997" s="106"/>
      <c r="G997" s="106"/>
      <c r="H997" s="106"/>
      <c r="I997" s="106"/>
      <c r="J997" s="117" t="str">
        <f>IF(DGArchive[[#This Row],[目标]]="","",INDEX(幕间计算!$E$200:$E$1199,ROW()-ROW(DGArchive[#Headers])))</f>
        <v/>
      </c>
      <c r="K997" s="117" t="str">
        <f>IF(DGArchive[[#This Row],[目标]]="","",INDEX(幕间计算!$F$200:$F$1199,ROW()-ROW(DGArchive[#Headers])))</f>
        <v/>
      </c>
    </row>
    <row r="998" ht="25" customHeight="1" spans="1:11">
      <c r="A998" s="106"/>
      <c r="B998" s="106"/>
      <c r="C998" s="126"/>
      <c r="D998" s="106"/>
      <c r="E998" s="106"/>
      <c r="F998" s="106"/>
      <c r="G998" s="106"/>
      <c r="H998" s="106"/>
      <c r="I998" s="106"/>
      <c r="J998" s="117" t="str">
        <f>IF(DGArchive[[#This Row],[目标]]="","",INDEX(幕间计算!$E$200:$E$1199,ROW()-ROW(DGArchive[#Headers])))</f>
        <v/>
      </c>
      <c r="K998" s="117" t="str">
        <f>IF(DGArchive[[#This Row],[目标]]="","",INDEX(幕间计算!$F$200:$F$1199,ROW()-ROW(DGArchive[#Headers])))</f>
        <v/>
      </c>
    </row>
    <row r="999" ht="25" customHeight="1" spans="1:11">
      <c r="A999" s="106"/>
      <c r="B999" s="106"/>
      <c r="C999" s="126"/>
      <c r="D999" s="106"/>
      <c r="E999" s="106"/>
      <c r="F999" s="106"/>
      <c r="G999" s="106"/>
      <c r="H999" s="106"/>
      <c r="I999" s="106"/>
      <c r="J999" s="117" t="str">
        <f>IF(DGArchive[[#This Row],[目标]]="","",INDEX(幕间计算!$E$200:$E$1199,ROW()-ROW(DGArchive[#Headers])))</f>
        <v/>
      </c>
      <c r="K999" s="117" t="str">
        <f>IF(DGArchive[[#This Row],[目标]]="","",INDEX(幕间计算!$F$200:$F$1199,ROW()-ROW(DGArchive[#Headers])))</f>
        <v/>
      </c>
    </row>
    <row r="1000" ht="25" customHeight="1" spans="1:11">
      <c r="A1000" s="106"/>
      <c r="B1000" s="106"/>
      <c r="C1000" s="126"/>
      <c r="D1000" s="106"/>
      <c r="E1000" s="106"/>
      <c r="F1000" s="106"/>
      <c r="G1000" s="106"/>
      <c r="H1000" s="106"/>
      <c r="I1000" s="106"/>
      <c r="J1000" s="117" t="str">
        <f>IF(DGArchive[[#This Row],[目标]]="","",INDEX(幕间计算!$E$200:$E$1199,ROW()-ROW(DGArchive[#Headers])))</f>
        <v/>
      </c>
      <c r="K1000" s="117" t="str">
        <f>IF(DGArchive[[#This Row],[目标]]="","",INDEX(幕间计算!$F$200:$F$1199,ROW()-ROW(DGArchive[#Headers])))</f>
        <v/>
      </c>
    </row>
    <row r="1001" ht="25" customHeight="1" spans="1:11">
      <c r="A1001" s="106"/>
      <c r="B1001" s="106"/>
      <c r="C1001" s="126"/>
      <c r="D1001" s="106"/>
      <c r="E1001" s="106"/>
      <c r="F1001" s="106"/>
      <c r="G1001" s="106"/>
      <c r="H1001" s="106"/>
      <c r="I1001" s="106"/>
      <c r="J1001" s="117" t="str">
        <f>IF(DGArchive[[#This Row],[目标]]="","",INDEX(幕间计算!$E$200:$E$1199,ROW()-ROW(DGArchive[#Headers])))</f>
        <v/>
      </c>
      <c r="K1001" s="117" t="str">
        <f>IF(DGArchive[[#This Row],[目标]]="","",INDEX(幕间计算!$F$200:$F$1199,ROW()-ROW(DGArchive[#Headers])))</f>
        <v/>
      </c>
    </row>
    <row r="1002" ht="25" customHeight="1" spans="1:11">
      <c r="A1002" s="106"/>
      <c r="B1002" s="106"/>
      <c r="C1002" s="126"/>
      <c r="D1002" s="106"/>
      <c r="E1002" s="106"/>
      <c r="F1002" s="106"/>
      <c r="G1002" s="106"/>
      <c r="H1002" s="106"/>
      <c r="I1002" s="106"/>
      <c r="J1002" s="117" t="str">
        <f>IF(DGArchive[[#This Row],[目标]]="","",INDEX(幕间计算!$E$200:$E$1199,ROW()-ROW(DGArchive[#Headers])))</f>
        <v/>
      </c>
      <c r="K1002" s="117" t="str">
        <f>IF(DGArchive[[#This Row],[目标]]="","",INDEX(幕间计算!$F$200:$F$1199,ROW()-ROW(DGArchive[#Headers])))</f>
        <v/>
      </c>
    </row>
    <row r="1003" ht="25" customHeight="1" spans="1:11">
      <c r="A1003" s="106"/>
      <c r="B1003" s="106"/>
      <c r="C1003" s="126"/>
      <c r="D1003" s="106"/>
      <c r="E1003" s="106"/>
      <c r="F1003" s="106"/>
      <c r="G1003" s="106"/>
      <c r="H1003" s="106"/>
      <c r="I1003" s="106"/>
      <c r="J1003" s="117" t="str">
        <f>IF(DGArchive[[#This Row],[目标]]="","",INDEX(幕间计算!$E$200:$E$1199,ROW()-ROW(DGArchive[#Headers])))</f>
        <v/>
      </c>
      <c r="K1003" s="117" t="str">
        <f>IF(DGArchive[[#This Row],[目标]]="","",INDEX(幕间计算!$F$200:$F$1199,ROW()-ROW(DGArchive[#Headers])))</f>
        <v/>
      </c>
    </row>
    <row r="1004" ht="25" customHeight="1" spans="1:11">
      <c r="A1004" s="106"/>
      <c r="B1004" s="106"/>
      <c r="C1004" s="126"/>
      <c r="D1004" s="106"/>
      <c r="E1004" s="106"/>
      <c r="F1004" s="106"/>
      <c r="G1004" s="106"/>
      <c r="H1004" s="106"/>
      <c r="I1004" s="106"/>
      <c r="J1004" s="117" t="str">
        <f>IF(DGArchive[[#This Row],[目标]]="","",INDEX(幕间计算!$E$200:$E$1199,ROW()-ROW(DGArchive[#Headers])))</f>
        <v/>
      </c>
      <c r="K1004" s="117" t="str">
        <f>IF(DGArchive[[#This Row],[目标]]="","",INDEX(幕间计算!$F$200:$F$1199,ROW()-ROW(DGArchive[#Headers])))</f>
        <v/>
      </c>
    </row>
    <row r="1005" ht="25" customHeight="1" spans="1:11">
      <c r="A1005" s="106"/>
      <c r="B1005" s="106"/>
      <c r="C1005" s="126"/>
      <c r="D1005" s="106"/>
      <c r="E1005" s="106"/>
      <c r="F1005" s="106"/>
      <c r="G1005" s="106"/>
      <c r="H1005" s="106"/>
      <c r="I1005" s="106"/>
      <c r="J1005" s="117" t="str">
        <f>IF(DGArchive[[#This Row],[目标]]="","",INDEX(幕间计算!$E$200:$E$1199,ROW()-ROW(DGArchive[#Headers])))</f>
        <v/>
      </c>
      <c r="K1005" s="117" t="str">
        <f>IF(DGArchive[[#This Row],[目标]]="","",INDEX(幕间计算!$F$200:$F$1199,ROW()-ROW(DGArchive[#Headers])))</f>
        <v/>
      </c>
    </row>
    <row r="1006" ht="25" customHeight="1" spans="1:11">
      <c r="A1006" s="106"/>
      <c r="B1006" s="106"/>
      <c r="C1006" s="126"/>
      <c r="D1006" s="106"/>
      <c r="E1006" s="106"/>
      <c r="F1006" s="106"/>
      <c r="G1006" s="106"/>
      <c r="H1006" s="106"/>
      <c r="I1006" s="106"/>
      <c r="J1006" s="117" t="str">
        <f>IF(DGArchive[[#This Row],[目标]]="","",INDEX(幕间计算!$E$200:$E$1199,ROW()-ROW(DGArchive[#Headers])))</f>
        <v/>
      </c>
      <c r="K1006" s="117" t="str">
        <f>IF(DGArchive[[#This Row],[目标]]="","",INDEX(幕间计算!$F$200:$F$1199,ROW()-ROW(DGArchive[#Headers])))</f>
        <v/>
      </c>
    </row>
    <row r="1007" ht="25" customHeight="1" spans="1:11">
      <c r="A1007" s="106"/>
      <c r="B1007" s="106"/>
      <c r="C1007" s="126"/>
      <c r="D1007" s="106"/>
      <c r="E1007" s="106"/>
      <c r="F1007" s="106"/>
      <c r="G1007" s="106"/>
      <c r="H1007" s="106"/>
      <c r="I1007" s="106"/>
      <c r="J1007" s="117" t="str">
        <f>IF(DGArchive[[#This Row],[目标]]="","",INDEX(幕间计算!$E$200:$E$1199,ROW()-ROW(DGArchive[#Headers])))</f>
        <v/>
      </c>
      <c r="K1007" s="117" t="str">
        <f>IF(DGArchive[[#This Row],[目标]]="","",INDEX(幕间计算!$F$200:$F$1199,ROW()-ROW(DGArchive[#Headers])))</f>
        <v/>
      </c>
    </row>
    <row r="1008" ht="25" customHeight="1" spans="1:11">
      <c r="A1008" s="106"/>
      <c r="B1008" s="106"/>
      <c r="C1008" s="126"/>
      <c r="D1008" s="106"/>
      <c r="E1008" s="106"/>
      <c r="F1008" s="106"/>
      <c r="G1008" s="106"/>
      <c r="H1008" s="106"/>
      <c r="I1008" s="106"/>
      <c r="J1008" s="117" t="str">
        <f>IF(DGArchive[[#This Row],[目标]]="","",INDEX(幕间计算!$E$200:$E$1199,ROW()-ROW(DGArchive[#Headers])))</f>
        <v/>
      </c>
      <c r="K1008" s="117" t="str">
        <f>IF(DGArchive[[#This Row],[目标]]="","",INDEX(幕间计算!$F$200:$F$1199,ROW()-ROW(DGArchive[#Headers])))</f>
        <v/>
      </c>
    </row>
    <row r="1009" ht="25" customHeight="1" spans="1:11">
      <c r="A1009" s="106"/>
      <c r="B1009" s="106"/>
      <c r="C1009" s="126"/>
      <c r="D1009" s="106"/>
      <c r="E1009" s="106"/>
      <c r="F1009" s="106"/>
      <c r="G1009" s="106"/>
      <c r="H1009" s="106"/>
      <c r="I1009" s="106"/>
      <c r="J1009" s="117" t="str">
        <f>IF(DGArchive[[#This Row],[目标]]="","",INDEX(幕间计算!$E$200:$E$1199,ROW()-ROW(DGArchive[#Headers])))</f>
        <v/>
      </c>
      <c r="K1009" s="117" t="str">
        <f>IF(DGArchive[[#This Row],[目标]]="","",INDEX(幕间计算!$F$200:$F$1199,ROW()-ROW(DGArchive[#Headers])))</f>
        <v/>
      </c>
    </row>
    <row r="1010" ht="25" customHeight="1" spans="1:11">
      <c r="A1010" s="106"/>
      <c r="B1010" s="106"/>
      <c r="C1010" s="126"/>
      <c r="D1010" s="106"/>
      <c r="E1010" s="106"/>
      <c r="F1010" s="106"/>
      <c r="G1010" s="106"/>
      <c r="H1010" s="106"/>
      <c r="I1010" s="106"/>
      <c r="J1010" s="117" t="str">
        <f>IF(DGArchive[[#This Row],[目标]]="","",INDEX(幕间计算!$E$200:$E$1199,ROW()-ROW(DGArchive[#Headers])))</f>
        <v/>
      </c>
      <c r="K1010" s="117" t="str">
        <f>IF(DGArchive[[#This Row],[目标]]="","",INDEX(幕间计算!$F$200:$F$1199,ROW()-ROW(DGArchive[#Headers])))</f>
        <v/>
      </c>
    </row>
    <row r="1011" ht="25" customHeight="1" spans="1:11">
      <c r="A1011" s="106"/>
      <c r="B1011" s="106"/>
      <c r="C1011" s="126"/>
      <c r="D1011" s="106"/>
      <c r="E1011" s="106"/>
      <c r="F1011" s="106"/>
      <c r="G1011" s="106"/>
      <c r="H1011" s="106"/>
      <c r="I1011" s="106"/>
      <c r="J1011" s="117" t="str">
        <f>IF(DGArchive[[#This Row],[目标]]="","",INDEX(幕间计算!$E$200:$E$1199,ROW()-ROW(DGArchive[#Headers])))</f>
        <v/>
      </c>
      <c r="K1011" s="117" t="str">
        <f>IF(DGArchive[[#This Row],[目标]]="","",INDEX(幕间计算!$F$200:$F$1199,ROW()-ROW(DGArchive[#Headers])))</f>
        <v/>
      </c>
    </row>
    <row r="1012" ht="25" customHeight="1" spans="1:11">
      <c r="A1012" s="106"/>
      <c r="B1012" s="106"/>
      <c r="C1012" s="126"/>
      <c r="D1012" s="106"/>
      <c r="E1012" s="106"/>
      <c r="F1012" s="106"/>
      <c r="G1012" s="106"/>
      <c r="H1012" s="106"/>
      <c r="I1012" s="106"/>
      <c r="J1012" s="117" t="str">
        <f>IF(DGArchive[[#This Row],[目标]]="","",INDEX(幕间计算!$E$200:$E$1199,ROW()-ROW(DGArchive[#Headers])))</f>
        <v/>
      </c>
      <c r="K1012" s="117" t="str">
        <f>IF(DGArchive[[#This Row],[目标]]="","",INDEX(幕间计算!$F$200:$F$1199,ROW()-ROW(DGArchive[#Headers])))</f>
        <v/>
      </c>
    </row>
    <row r="1013" ht="25" customHeight="1" spans="1:11">
      <c r="A1013" s="106"/>
      <c r="B1013" s="106"/>
      <c r="C1013" s="126"/>
      <c r="D1013" s="106"/>
      <c r="E1013" s="106"/>
      <c r="F1013" s="106"/>
      <c r="G1013" s="106"/>
      <c r="H1013" s="106"/>
      <c r="I1013" s="106"/>
      <c r="J1013" s="117" t="str">
        <f>IF(DGArchive[[#This Row],[目标]]="","",INDEX(幕间计算!$E$200:$E$1199,ROW()-ROW(DGArchive[#Headers])))</f>
        <v/>
      </c>
      <c r="K1013" s="117" t="str">
        <f>IF(DGArchive[[#This Row],[目标]]="","",INDEX(幕间计算!$F$200:$F$1199,ROW()-ROW(DGArchive[#Headers])))</f>
        <v/>
      </c>
    </row>
    <row r="1014" ht="25" customHeight="1" spans="1:11">
      <c r="A1014" s="106"/>
      <c r="B1014" s="106"/>
      <c r="C1014" s="126"/>
      <c r="D1014" s="106"/>
      <c r="E1014" s="106"/>
      <c r="F1014" s="106"/>
      <c r="G1014" s="106"/>
      <c r="H1014" s="106"/>
      <c r="I1014" s="106"/>
      <c r="J1014" s="117" t="str">
        <f>IF(DGArchive[[#This Row],[目标]]="","",INDEX(幕间计算!$E$200:$E$1199,ROW()-ROW(DGArchive[#Headers])))</f>
        <v/>
      </c>
      <c r="K1014" s="117" t="str">
        <f>IF(DGArchive[[#This Row],[目标]]="","",INDEX(幕间计算!$F$200:$F$1199,ROW()-ROW(DGArchive[#Headers])))</f>
        <v/>
      </c>
    </row>
    <row r="1015" ht="25" customHeight="1" spans="1:11">
      <c r="A1015" s="106"/>
      <c r="B1015" s="106"/>
      <c r="C1015" s="126"/>
      <c r="D1015" s="106"/>
      <c r="E1015" s="106"/>
      <c r="F1015" s="106"/>
      <c r="G1015" s="106"/>
      <c r="H1015" s="106"/>
      <c r="I1015" s="106"/>
      <c r="J1015" s="117" t="str">
        <f>IF(DGArchive[[#This Row],[目标]]="","",INDEX(幕间计算!$E$200:$E$1199,ROW()-ROW(DGArchive[#Headers])))</f>
        <v/>
      </c>
      <c r="K1015" s="117" t="str">
        <f>IF(DGArchive[[#This Row],[目标]]="","",INDEX(幕间计算!$F$200:$F$1199,ROW()-ROW(DGArchive[#Headers])))</f>
        <v/>
      </c>
    </row>
    <row r="1016" ht="25" customHeight="1" spans="1:11">
      <c r="A1016" s="106"/>
      <c r="B1016" s="106"/>
      <c r="C1016" s="126"/>
      <c r="D1016" s="106"/>
      <c r="E1016" s="106"/>
      <c r="F1016" s="106"/>
      <c r="G1016" s="106"/>
      <c r="H1016" s="106"/>
      <c r="I1016" s="106"/>
      <c r="J1016" s="117" t="str">
        <f>IF(DGArchive[[#This Row],[目标]]="","",INDEX(幕间计算!$E$200:$E$1199,ROW()-ROW(DGArchive[#Headers])))</f>
        <v/>
      </c>
      <c r="K1016" s="117" t="str">
        <f>IF(DGArchive[[#This Row],[目标]]="","",INDEX(幕间计算!$F$200:$F$1199,ROW()-ROW(DGArchive[#Headers])))</f>
        <v/>
      </c>
    </row>
    <row r="1017" ht="25" customHeight="1" spans="1:11">
      <c r="A1017" s="106"/>
      <c r="B1017" s="106"/>
      <c r="C1017" s="126"/>
      <c r="D1017" s="106"/>
      <c r="E1017" s="106"/>
      <c r="F1017" s="106"/>
      <c r="G1017" s="106"/>
      <c r="H1017" s="106"/>
      <c r="I1017" s="106"/>
      <c r="J1017" s="117" t="str">
        <f>IF(DGArchive[[#This Row],[目标]]="","",INDEX(幕间计算!$E$200:$E$1199,ROW()-ROW(DGArchive[#Headers])))</f>
        <v/>
      </c>
      <c r="K1017" s="117" t="str">
        <f>IF(DGArchive[[#This Row],[目标]]="","",INDEX(幕间计算!$F$200:$F$1199,ROW()-ROW(DGArchive[#Headers])))</f>
        <v/>
      </c>
    </row>
    <row r="1018" ht="25" customHeight="1" spans="1:11">
      <c r="A1018" s="106"/>
      <c r="B1018" s="106"/>
      <c r="C1018" s="126"/>
      <c r="D1018" s="106"/>
      <c r="E1018" s="106"/>
      <c r="F1018" s="106"/>
      <c r="G1018" s="106"/>
      <c r="H1018" s="106"/>
      <c r="I1018" s="106"/>
      <c r="J1018" s="117" t="str">
        <f>IF(DGArchive[[#This Row],[目标]]="","",INDEX(幕间计算!$E$200:$E$1199,ROW()-ROW(DGArchive[#Headers])))</f>
        <v/>
      </c>
      <c r="K1018" s="117" t="str">
        <f>IF(DGArchive[[#This Row],[目标]]="","",INDEX(幕间计算!$F$200:$F$1199,ROW()-ROW(DGArchive[#Headers])))</f>
        <v/>
      </c>
    </row>
    <row r="1019" ht="25" customHeight="1" spans="1:11">
      <c r="A1019" s="106"/>
      <c r="B1019" s="106"/>
      <c r="C1019" s="126"/>
      <c r="D1019" s="106"/>
      <c r="E1019" s="106"/>
      <c r="F1019" s="106"/>
      <c r="G1019" s="106"/>
      <c r="H1019" s="106"/>
      <c r="I1019" s="106"/>
      <c r="J1019" s="117" t="str">
        <f>IF(DGArchive[[#This Row],[目标]]="","",INDEX(幕间计算!$E$200:$E$1199,ROW()-ROW(DGArchive[#Headers])))</f>
        <v/>
      </c>
      <c r="K1019" s="117" t="str">
        <f>IF(DGArchive[[#This Row],[目标]]="","",INDEX(幕间计算!$F$200:$F$1199,ROW()-ROW(DGArchive[#Headers])))</f>
        <v/>
      </c>
    </row>
    <row r="1020" ht="25" customHeight="1" spans="1:11">
      <c r="A1020" s="106"/>
      <c r="B1020" s="106"/>
      <c r="C1020" s="126"/>
      <c r="D1020" s="106"/>
      <c r="E1020" s="106"/>
      <c r="F1020" s="106"/>
      <c r="G1020" s="106"/>
      <c r="H1020" s="106"/>
      <c r="I1020" s="106"/>
      <c r="J1020" s="117" t="str">
        <f>IF(DGArchive[[#This Row],[目标]]="","",INDEX(幕间计算!$E$200:$E$1199,ROW()-ROW(DGArchive[#Headers])))</f>
        <v/>
      </c>
      <c r="K1020" s="117" t="str">
        <f>IF(DGArchive[[#This Row],[目标]]="","",INDEX(幕间计算!$F$200:$F$1199,ROW()-ROW(DGArchive[#Headers])))</f>
        <v/>
      </c>
    </row>
    <row r="1021" ht="25" customHeight="1" spans="1:11">
      <c r="A1021" s="106"/>
      <c r="B1021" s="106"/>
      <c r="C1021" s="126"/>
      <c r="D1021" s="106"/>
      <c r="E1021" s="106"/>
      <c r="F1021" s="106"/>
      <c r="G1021" s="106"/>
      <c r="H1021" s="106"/>
      <c r="I1021" s="106"/>
      <c r="J1021" s="117" t="str">
        <f>IF(DGArchive[[#This Row],[目标]]="","",INDEX(幕间计算!$E$200:$E$1199,ROW()-ROW(DGArchive[#Headers])))</f>
        <v/>
      </c>
      <c r="K1021" s="117" t="str">
        <f>IF(DGArchive[[#This Row],[目标]]="","",INDEX(幕间计算!$F$200:$F$1199,ROW()-ROW(DGArchive[#Headers])))</f>
        <v/>
      </c>
    </row>
    <row r="1022" ht="25" customHeight="1" spans="1:11">
      <c r="A1022" s="106"/>
      <c r="B1022" s="106"/>
      <c r="C1022" s="126"/>
      <c r="D1022" s="106"/>
      <c r="E1022" s="106"/>
      <c r="F1022" s="106"/>
      <c r="G1022" s="106"/>
      <c r="H1022" s="106"/>
      <c r="I1022" s="106"/>
      <c r="J1022" s="117" t="str">
        <f>IF(DGArchive[[#This Row],[目标]]="","",INDEX(幕间计算!$E$200:$E$1199,ROW()-ROW(DGArchive[#Headers])))</f>
        <v/>
      </c>
      <c r="K1022" s="117" t="str">
        <f>IF(DGArchive[[#This Row],[目标]]="","",INDEX(幕间计算!$F$200:$F$1199,ROW()-ROW(DGArchive[#Headers])))</f>
        <v/>
      </c>
    </row>
    <row r="1023" ht="25" customHeight="1" spans="1:11">
      <c r="A1023" s="106"/>
      <c r="B1023" s="106"/>
      <c r="C1023" s="126"/>
      <c r="D1023" s="106"/>
      <c r="E1023" s="106"/>
      <c r="F1023" s="106"/>
      <c r="G1023" s="106"/>
      <c r="H1023" s="106"/>
      <c r="I1023" s="106"/>
      <c r="J1023" s="117" t="str">
        <f>IF(DGArchive[[#This Row],[目标]]="","",INDEX(幕间计算!$E$200:$E$1199,ROW()-ROW(DGArchive[#Headers])))</f>
        <v/>
      </c>
      <c r="K1023" s="117" t="str">
        <f>IF(DGArchive[[#This Row],[目标]]="","",INDEX(幕间计算!$F$200:$F$1199,ROW()-ROW(DGArchive[#Headers])))</f>
        <v/>
      </c>
    </row>
    <row r="1024" ht="25" customHeight="1" spans="1:11">
      <c r="A1024" s="106"/>
      <c r="B1024" s="106"/>
      <c r="C1024" s="126"/>
      <c r="D1024" s="106"/>
      <c r="E1024" s="106"/>
      <c r="F1024" s="106"/>
      <c r="G1024" s="106"/>
      <c r="H1024" s="106"/>
      <c r="I1024" s="106"/>
      <c r="J1024" s="117" t="str">
        <f>IF(DGArchive[[#This Row],[目标]]="","",INDEX(幕间计算!$E$200:$E$1199,ROW()-ROW(DGArchive[#Headers])))</f>
        <v/>
      </c>
      <c r="K1024" s="117" t="str">
        <f>IF(DGArchive[[#This Row],[目标]]="","",INDEX(幕间计算!$F$200:$F$1199,ROW()-ROW(DGArchive[#Headers])))</f>
        <v/>
      </c>
    </row>
    <row r="1025" ht="25" customHeight="1" spans="1:11">
      <c r="A1025" s="106"/>
      <c r="B1025" s="106"/>
      <c r="C1025" s="126"/>
      <c r="D1025" s="106"/>
      <c r="E1025" s="106"/>
      <c r="F1025" s="106"/>
      <c r="G1025" s="106"/>
      <c r="H1025" s="106"/>
      <c r="I1025" s="106"/>
      <c r="J1025" s="117" t="str">
        <f>IF(DGArchive[[#This Row],[目标]]="","",INDEX(幕间计算!$E$200:$E$1199,ROW()-ROW(DGArchive[#Headers])))</f>
        <v/>
      </c>
      <c r="K1025" s="117" t="str">
        <f>IF(DGArchive[[#This Row],[目标]]="","",INDEX(幕间计算!$F$200:$F$1199,ROW()-ROW(DGArchive[#Headers])))</f>
        <v/>
      </c>
    </row>
    <row r="1026" ht="25" customHeight="1" spans="1:11">
      <c r="A1026" s="106"/>
      <c r="B1026" s="106"/>
      <c r="C1026" s="126"/>
      <c r="D1026" s="106"/>
      <c r="E1026" s="106"/>
      <c r="F1026" s="106"/>
      <c r="G1026" s="106"/>
      <c r="H1026" s="106"/>
      <c r="I1026" s="106"/>
      <c r="J1026" s="117" t="str">
        <f>IF(DGArchive[[#This Row],[目标]]="","",INDEX(幕间计算!$E$200:$E$1199,ROW()-ROW(DGArchive[#Headers])))</f>
        <v/>
      </c>
      <c r="K1026" s="117" t="str">
        <f>IF(DGArchive[[#This Row],[目标]]="","",INDEX(幕间计算!$F$200:$F$1199,ROW()-ROW(DGArchive[#Headers])))</f>
        <v/>
      </c>
    </row>
    <row r="1027" ht="25" customHeight="1" spans="1:11">
      <c r="A1027" s="106"/>
      <c r="B1027" s="106"/>
      <c r="C1027" s="126"/>
      <c r="D1027" s="106"/>
      <c r="E1027" s="106"/>
      <c r="F1027" s="106"/>
      <c r="G1027" s="106"/>
      <c r="H1027" s="106"/>
      <c r="I1027" s="106"/>
      <c r="J1027" s="117" t="str">
        <f>IF(DGArchive[[#This Row],[目标]]="","",INDEX(幕间计算!$E$200:$E$1199,ROW()-ROW(DGArchive[#Headers])))</f>
        <v/>
      </c>
      <c r="K1027" s="117" t="str">
        <f>IF(DGArchive[[#This Row],[目标]]="","",INDEX(幕间计算!$F$200:$F$1199,ROW()-ROW(DGArchive[#Headers])))</f>
        <v/>
      </c>
    </row>
    <row r="1028" ht="25" customHeight="1" spans="1:11">
      <c r="A1028" s="106"/>
      <c r="B1028" s="106"/>
      <c r="C1028" s="126"/>
      <c r="D1028" s="106"/>
      <c r="E1028" s="106"/>
      <c r="F1028" s="106"/>
      <c r="G1028" s="106"/>
      <c r="H1028" s="106"/>
      <c r="I1028" s="106"/>
      <c r="J1028" s="117" t="str">
        <f>IF(DGArchive[[#This Row],[目标]]="","",INDEX(幕间计算!$E$200:$E$1199,ROW()-ROW(DGArchive[#Headers])))</f>
        <v/>
      </c>
      <c r="K1028" s="117" t="str">
        <f>IF(DGArchive[[#This Row],[目标]]="","",INDEX(幕间计算!$F$200:$F$1199,ROW()-ROW(DGArchive[#Headers])))</f>
        <v/>
      </c>
    </row>
    <row r="1029" ht="25" customHeight="1" spans="1:11">
      <c r="A1029" s="106"/>
      <c r="B1029" s="106"/>
      <c r="C1029" s="126"/>
      <c r="D1029" s="106"/>
      <c r="E1029" s="106"/>
      <c r="F1029" s="106"/>
      <c r="G1029" s="106"/>
      <c r="H1029" s="106"/>
      <c r="I1029" s="106"/>
      <c r="J1029" s="117" t="str">
        <f>IF(DGArchive[[#This Row],[目标]]="","",INDEX(幕间计算!$E$200:$E$1199,ROW()-ROW(DGArchive[#Headers])))</f>
        <v/>
      </c>
      <c r="K1029" s="117" t="str">
        <f>IF(DGArchive[[#This Row],[目标]]="","",INDEX(幕间计算!$F$200:$F$1199,ROW()-ROW(DGArchive[#Headers])))</f>
        <v/>
      </c>
    </row>
    <row r="1030" ht="25" customHeight="1" spans="1:11">
      <c r="A1030" s="106"/>
      <c r="B1030" s="106"/>
      <c r="C1030" s="126"/>
      <c r="D1030" s="106"/>
      <c r="E1030" s="106"/>
      <c r="F1030" s="106"/>
      <c r="G1030" s="106"/>
      <c r="H1030" s="106"/>
      <c r="I1030" s="106"/>
      <c r="J1030" s="117" t="str">
        <f>IF(DGArchive[[#This Row],[目标]]="","",INDEX(幕间计算!$E$200:$E$1199,ROW()-ROW(DGArchive[#Headers])))</f>
        <v/>
      </c>
      <c r="K1030" s="117" t="str">
        <f>IF(DGArchive[[#This Row],[目标]]="","",INDEX(幕间计算!$F$200:$F$1199,ROW()-ROW(DGArchive[#Headers])))</f>
        <v/>
      </c>
    </row>
    <row r="1031" ht="25" customHeight="1" spans="1:11">
      <c r="A1031" s="106"/>
      <c r="B1031" s="106"/>
      <c r="C1031" s="126"/>
      <c r="D1031" s="106"/>
      <c r="E1031" s="106"/>
      <c r="F1031" s="106"/>
      <c r="G1031" s="106"/>
      <c r="H1031" s="106"/>
      <c r="I1031" s="106"/>
      <c r="J1031" s="117" t="str">
        <f>IF(DGArchive[[#This Row],[目标]]="","",INDEX(幕间计算!$E$200:$E$1199,ROW()-ROW(DGArchive[#Headers])))</f>
        <v/>
      </c>
      <c r="K1031" s="117" t="str">
        <f>IF(DGArchive[[#This Row],[目标]]="","",INDEX(幕间计算!$F$200:$F$1199,ROW()-ROW(DGArchive[#Headers])))</f>
        <v/>
      </c>
    </row>
    <row r="1032" ht="25" customHeight="1" spans="1:11">
      <c r="A1032" s="106"/>
      <c r="B1032" s="106"/>
      <c r="C1032" s="126"/>
      <c r="D1032" s="106"/>
      <c r="E1032" s="106"/>
      <c r="F1032" s="106"/>
      <c r="G1032" s="106"/>
      <c r="H1032" s="106"/>
      <c r="I1032" s="106"/>
      <c r="J1032" s="117" t="str">
        <f>IF(DGArchive[[#This Row],[目标]]="","",INDEX(幕间计算!$E$200:$E$1199,ROW()-ROW(DGArchive[#Headers])))</f>
        <v/>
      </c>
      <c r="K1032" s="117" t="str">
        <f>IF(DGArchive[[#This Row],[目标]]="","",INDEX(幕间计算!$F$200:$F$1199,ROW()-ROW(DGArchive[#Headers])))</f>
        <v/>
      </c>
    </row>
    <row r="1033" ht="25" customHeight="1" spans="1:11">
      <c r="A1033" s="106"/>
      <c r="B1033" s="106"/>
      <c r="C1033" s="126"/>
      <c r="D1033" s="106"/>
      <c r="E1033" s="106"/>
      <c r="F1033" s="106"/>
      <c r="G1033" s="106"/>
      <c r="H1033" s="106"/>
      <c r="I1033" s="106"/>
      <c r="J1033" s="117" t="str">
        <f>IF(DGArchive[[#This Row],[目标]]="","",INDEX(幕间计算!$E$200:$E$1199,ROW()-ROW(DGArchive[#Headers])))</f>
        <v/>
      </c>
      <c r="K1033" s="117" t="str">
        <f>IF(DGArchive[[#This Row],[目标]]="","",INDEX(幕间计算!$F$200:$F$1199,ROW()-ROW(DGArchive[#Headers])))</f>
        <v/>
      </c>
    </row>
    <row r="1034" ht="25" customHeight="1" spans="1:11">
      <c r="A1034" s="106"/>
      <c r="B1034" s="106"/>
      <c r="C1034" s="126"/>
      <c r="D1034" s="106"/>
      <c r="E1034" s="106"/>
      <c r="F1034" s="106"/>
      <c r="G1034" s="106"/>
      <c r="H1034" s="106"/>
      <c r="I1034" s="106"/>
      <c r="J1034" s="117" t="str">
        <f>IF(DGArchive[[#This Row],[目标]]="","",INDEX(幕间计算!$E$200:$E$1199,ROW()-ROW(DGArchive[#Headers])))</f>
        <v/>
      </c>
      <c r="K1034" s="117" t="str">
        <f>IF(DGArchive[[#This Row],[目标]]="","",INDEX(幕间计算!$F$200:$F$1199,ROW()-ROW(DGArchive[#Headers])))</f>
        <v/>
      </c>
    </row>
    <row r="1035" ht="25" customHeight="1" spans="1:11">
      <c r="A1035" s="106"/>
      <c r="B1035" s="106"/>
      <c r="C1035" s="126"/>
      <c r="D1035" s="106"/>
      <c r="E1035" s="106"/>
      <c r="F1035" s="106"/>
      <c r="G1035" s="106"/>
      <c r="H1035" s="106"/>
      <c r="I1035" s="106"/>
      <c r="J1035" s="117" t="str">
        <f>IF(DGArchive[[#This Row],[目标]]="","",INDEX(幕间计算!$E$200:$E$1199,ROW()-ROW(DGArchive[#Headers])))</f>
        <v/>
      </c>
      <c r="K1035" s="117" t="str">
        <f>IF(DGArchive[[#This Row],[目标]]="","",INDEX(幕间计算!$F$200:$F$1199,ROW()-ROW(DGArchive[#Headers])))</f>
        <v/>
      </c>
    </row>
    <row r="1036" ht="25" customHeight="1" spans="1:11">
      <c r="A1036" s="106"/>
      <c r="B1036" s="106"/>
      <c r="C1036" s="126"/>
      <c r="D1036" s="106"/>
      <c r="E1036" s="106"/>
      <c r="F1036" s="106"/>
      <c r="G1036" s="106"/>
      <c r="H1036" s="106"/>
      <c r="I1036" s="106"/>
      <c r="J1036" s="117" t="str">
        <f>IF(DGArchive[[#This Row],[目标]]="","",INDEX(幕间计算!$E$200:$E$1199,ROW()-ROW(DGArchive[#Headers])))</f>
        <v/>
      </c>
      <c r="K1036" s="117" t="str">
        <f>IF(DGArchive[[#This Row],[目标]]="","",INDEX(幕间计算!$F$200:$F$1199,ROW()-ROW(DGArchive[#Headers])))</f>
        <v/>
      </c>
    </row>
    <row r="1037" ht="25" customHeight="1" spans="1:11">
      <c r="A1037" s="106"/>
      <c r="B1037" s="106"/>
      <c r="C1037" s="126"/>
      <c r="D1037" s="106"/>
      <c r="E1037" s="106"/>
      <c r="F1037" s="106"/>
      <c r="G1037" s="106"/>
      <c r="H1037" s="106"/>
      <c r="I1037" s="106"/>
      <c r="J1037" s="117" t="str">
        <f>IF(DGArchive[[#This Row],[目标]]="","",INDEX(幕间计算!$E$200:$E$1199,ROW()-ROW(DGArchive[#Headers])))</f>
        <v/>
      </c>
      <c r="K1037" s="117" t="str">
        <f>IF(DGArchive[[#This Row],[目标]]="","",INDEX(幕间计算!$F$200:$F$1199,ROW()-ROW(DGArchive[#Headers])))</f>
        <v/>
      </c>
    </row>
    <row r="1038" ht="25" customHeight="1" spans="1:11">
      <c r="A1038" s="106"/>
      <c r="B1038" s="106"/>
      <c r="C1038" s="126"/>
      <c r="D1038" s="106"/>
      <c r="E1038" s="106"/>
      <c r="F1038" s="106"/>
      <c r="G1038" s="106"/>
      <c r="H1038" s="106"/>
      <c r="I1038" s="106"/>
      <c r="J1038" s="117" t="str">
        <f>IF(DGArchive[[#This Row],[目标]]="","",INDEX(幕间计算!$E$200:$E$1199,ROW()-ROW(DGArchive[#Headers])))</f>
        <v/>
      </c>
      <c r="K1038" s="117" t="str">
        <f>IF(DGArchive[[#This Row],[目标]]="","",INDEX(幕间计算!$F$200:$F$1199,ROW()-ROW(DGArchive[#Headers])))</f>
        <v/>
      </c>
    </row>
    <row r="1039" ht="25" customHeight="1" spans="1:11">
      <c r="A1039" s="106"/>
      <c r="B1039" s="106"/>
      <c r="C1039" s="126"/>
      <c r="D1039" s="106"/>
      <c r="E1039" s="106"/>
      <c r="F1039" s="106"/>
      <c r="G1039" s="106"/>
      <c r="H1039" s="106"/>
      <c r="I1039" s="106"/>
      <c r="J1039" s="117" t="str">
        <f>IF(DGArchive[[#This Row],[目标]]="","",INDEX(幕间计算!$E$200:$E$1199,ROW()-ROW(DGArchive[#Headers])))</f>
        <v/>
      </c>
      <c r="K1039" s="117" t="str">
        <f>IF(DGArchive[[#This Row],[目标]]="","",INDEX(幕间计算!$F$200:$F$1199,ROW()-ROW(DGArchive[#Headers])))</f>
        <v/>
      </c>
    </row>
    <row r="1040" ht="25" customHeight="1" spans="1:11">
      <c r="A1040" s="106"/>
      <c r="B1040" s="106"/>
      <c r="C1040" s="126"/>
      <c r="D1040" s="106"/>
      <c r="E1040" s="106"/>
      <c r="F1040" s="106"/>
      <c r="G1040" s="106"/>
      <c r="H1040" s="106"/>
      <c r="I1040" s="106"/>
      <c r="J1040" s="117" t="str">
        <f>IF(DGArchive[[#This Row],[目标]]="","",INDEX(幕间计算!$E$200:$E$1199,ROW()-ROW(DGArchive[#Headers])))</f>
        <v/>
      </c>
      <c r="K1040" s="117" t="str">
        <f>IF(DGArchive[[#This Row],[目标]]="","",INDEX(幕间计算!$F$200:$F$1199,ROW()-ROW(DGArchive[#Headers])))</f>
        <v/>
      </c>
    </row>
    <row r="1041" ht="25" customHeight="1" spans="1:11">
      <c r="A1041" s="106"/>
      <c r="B1041" s="106"/>
      <c r="C1041" s="126"/>
      <c r="D1041" s="106"/>
      <c r="E1041" s="106"/>
      <c r="F1041" s="106"/>
      <c r="G1041" s="106"/>
      <c r="H1041" s="106"/>
      <c r="I1041" s="106"/>
      <c r="J1041" s="117" t="str">
        <f>IF(DGArchive[[#This Row],[目标]]="","",INDEX(幕间计算!$E$200:$E$1199,ROW()-ROW(DGArchive[#Headers])))</f>
        <v/>
      </c>
      <c r="K1041" s="117" t="str">
        <f>IF(DGArchive[[#This Row],[目标]]="","",INDEX(幕间计算!$F$200:$F$1199,ROW()-ROW(DGArchive[#Headers])))</f>
        <v/>
      </c>
    </row>
    <row r="1042" ht="25" customHeight="1" spans="1:11">
      <c r="A1042" s="106"/>
      <c r="B1042" s="106"/>
      <c r="C1042" s="126"/>
      <c r="D1042" s="106"/>
      <c r="E1042" s="106"/>
      <c r="F1042" s="106"/>
      <c r="G1042" s="106"/>
      <c r="H1042" s="106"/>
      <c r="I1042" s="106"/>
      <c r="J1042" s="117" t="str">
        <f>IF(DGArchive[[#This Row],[目标]]="","",INDEX(幕间计算!$E$200:$E$1199,ROW()-ROW(DGArchive[#Headers])))</f>
        <v/>
      </c>
      <c r="K1042" s="117" t="str">
        <f>IF(DGArchive[[#This Row],[目标]]="","",INDEX(幕间计算!$F$200:$F$1199,ROW()-ROW(DGArchive[#Headers])))</f>
        <v/>
      </c>
    </row>
    <row r="1043" ht="25" customHeight="1" spans="1:11">
      <c r="A1043" s="106"/>
      <c r="B1043" s="106"/>
      <c r="C1043" s="126"/>
      <c r="D1043" s="106"/>
      <c r="E1043" s="106"/>
      <c r="F1043" s="106"/>
      <c r="G1043" s="106"/>
      <c r="H1043" s="106"/>
      <c r="I1043" s="106"/>
      <c r="J1043" s="117" t="str">
        <f>IF(DGArchive[[#This Row],[目标]]="","",INDEX(幕间计算!$E$200:$E$1199,ROW()-ROW(DGArchive[#Headers])))</f>
        <v/>
      </c>
      <c r="K1043" s="117" t="str">
        <f>IF(DGArchive[[#This Row],[目标]]="","",INDEX(幕间计算!$F$200:$F$1199,ROW()-ROW(DGArchive[#Headers])))</f>
        <v/>
      </c>
    </row>
    <row r="1044" ht="25" customHeight="1" spans="1:11">
      <c r="A1044" s="106"/>
      <c r="B1044" s="106"/>
      <c r="C1044" s="126"/>
      <c r="D1044" s="106"/>
      <c r="E1044" s="106"/>
      <c r="F1044" s="106"/>
      <c r="G1044" s="106"/>
      <c r="H1044" s="106"/>
      <c r="I1044" s="106"/>
      <c r="J1044" s="117" t="str">
        <f>IF(DGArchive[[#This Row],[目标]]="","",INDEX(幕间计算!$E$200:$E$1199,ROW()-ROW(DGArchive[#Headers])))</f>
        <v/>
      </c>
      <c r="K1044" s="117" t="str">
        <f>IF(DGArchive[[#This Row],[目标]]="","",INDEX(幕间计算!$F$200:$F$1199,ROW()-ROW(DGArchive[#Headers])))</f>
        <v/>
      </c>
    </row>
    <row r="1045" ht="25" customHeight="1" spans="1:11">
      <c r="A1045" s="106"/>
      <c r="B1045" s="106"/>
      <c r="C1045" s="126"/>
      <c r="D1045" s="106"/>
      <c r="E1045" s="106"/>
      <c r="F1045" s="106"/>
      <c r="G1045" s="106"/>
      <c r="H1045" s="106"/>
      <c r="I1045" s="106"/>
      <c r="J1045" s="117" t="str">
        <f>IF(DGArchive[[#This Row],[目标]]="","",INDEX(幕间计算!$E$200:$E$1199,ROW()-ROW(DGArchive[#Headers])))</f>
        <v/>
      </c>
      <c r="K1045" s="117" t="str">
        <f>IF(DGArchive[[#This Row],[目标]]="","",INDEX(幕间计算!$F$200:$F$1199,ROW()-ROW(DGArchive[#Headers])))</f>
        <v/>
      </c>
    </row>
    <row r="1046" ht="25" customHeight="1" spans="1:11">
      <c r="A1046" s="106"/>
      <c r="B1046" s="106"/>
      <c r="C1046" s="126"/>
      <c r="D1046" s="106"/>
      <c r="E1046" s="106"/>
      <c r="F1046" s="106"/>
      <c r="G1046" s="106"/>
      <c r="H1046" s="106"/>
      <c r="I1046" s="106"/>
      <c r="J1046" s="117" t="str">
        <f>IF(DGArchive[[#This Row],[目标]]="","",INDEX(幕间计算!$E$200:$E$1199,ROW()-ROW(DGArchive[#Headers])))</f>
        <v/>
      </c>
      <c r="K1046" s="117" t="str">
        <f>IF(DGArchive[[#This Row],[目标]]="","",INDEX(幕间计算!$F$200:$F$1199,ROW()-ROW(DGArchive[#Headers])))</f>
        <v/>
      </c>
    </row>
    <row r="1047" ht="25" customHeight="1" spans="1:11">
      <c r="A1047" s="106"/>
      <c r="B1047" s="106"/>
      <c r="C1047" s="126"/>
      <c r="D1047" s="106"/>
      <c r="E1047" s="106"/>
      <c r="F1047" s="106"/>
      <c r="G1047" s="106"/>
      <c r="H1047" s="106"/>
      <c r="I1047" s="106"/>
      <c r="J1047" s="117" t="str">
        <f>IF(DGArchive[[#This Row],[目标]]="","",INDEX(幕间计算!$E$200:$E$1199,ROW()-ROW(DGArchive[#Headers])))</f>
        <v/>
      </c>
      <c r="K1047" s="117" t="str">
        <f>IF(DGArchive[[#This Row],[目标]]="","",INDEX(幕间计算!$F$200:$F$1199,ROW()-ROW(DGArchive[#Headers])))</f>
        <v/>
      </c>
    </row>
    <row r="1048" ht="25" customHeight="1" spans="1:11">
      <c r="A1048" s="106"/>
      <c r="B1048" s="106"/>
      <c r="C1048" s="126"/>
      <c r="D1048" s="106"/>
      <c r="E1048" s="106"/>
      <c r="F1048" s="106"/>
      <c r="G1048" s="106"/>
      <c r="H1048" s="106"/>
      <c r="I1048" s="106"/>
      <c r="J1048" s="117" t="str">
        <f>IF(DGArchive[[#This Row],[目标]]="","",INDEX(幕间计算!$E$200:$E$1199,ROW()-ROW(DGArchive[#Headers])))</f>
        <v/>
      </c>
      <c r="K1048" s="117" t="str">
        <f>IF(DGArchive[[#This Row],[目标]]="","",INDEX(幕间计算!$F$200:$F$1199,ROW()-ROW(DGArchive[#Headers])))</f>
        <v/>
      </c>
    </row>
    <row r="1049" ht="25" customHeight="1" spans="1:11">
      <c r="A1049" s="106"/>
      <c r="B1049" s="106"/>
      <c r="C1049" s="126"/>
      <c r="D1049" s="106"/>
      <c r="E1049" s="106"/>
      <c r="F1049" s="106"/>
      <c r="G1049" s="106"/>
      <c r="H1049" s="106"/>
      <c r="I1049" s="106"/>
      <c r="J1049" s="117" t="str">
        <f>IF(DGArchive[[#This Row],[目标]]="","",INDEX(幕间计算!$E$200:$E$1199,ROW()-ROW(DGArchive[#Headers])))</f>
        <v/>
      </c>
      <c r="K1049" s="117" t="str">
        <f>IF(DGArchive[[#This Row],[目标]]="","",INDEX(幕间计算!$F$200:$F$1199,ROW()-ROW(DGArchive[#Headers])))</f>
        <v/>
      </c>
    </row>
    <row r="1050" ht="25" customHeight="1" spans="1:11">
      <c r="A1050" s="106"/>
      <c r="B1050" s="106"/>
      <c r="C1050" s="126"/>
      <c r="D1050" s="106"/>
      <c r="E1050" s="106"/>
      <c r="F1050" s="106"/>
      <c r="G1050" s="106"/>
      <c r="H1050" s="106"/>
      <c r="I1050" s="106"/>
      <c r="J1050" s="117" t="str">
        <f>IF(DGArchive[[#This Row],[目标]]="","",INDEX(幕间计算!$E$200:$E$1199,ROW()-ROW(DGArchive[#Headers])))</f>
        <v/>
      </c>
      <c r="K1050" s="117" t="str">
        <f>IF(DGArchive[[#This Row],[目标]]="","",INDEX(幕间计算!$F$200:$F$1199,ROW()-ROW(DGArchive[#Headers])))</f>
        <v/>
      </c>
    </row>
    <row r="1051" ht="25" customHeight="1" spans="1:11">
      <c r="A1051" s="106"/>
      <c r="B1051" s="106"/>
      <c r="C1051" s="126"/>
      <c r="D1051" s="106"/>
      <c r="E1051" s="106"/>
      <c r="F1051" s="106"/>
      <c r="G1051" s="106"/>
      <c r="H1051" s="106"/>
      <c r="I1051" s="106"/>
      <c r="J1051" s="117" t="str">
        <f>IF(DGArchive[[#This Row],[目标]]="","",INDEX(幕间计算!$E$200:$E$1199,ROW()-ROW(DGArchive[#Headers])))</f>
        <v/>
      </c>
      <c r="K1051" s="117" t="str">
        <f>IF(DGArchive[[#This Row],[目标]]="","",INDEX(幕间计算!$F$200:$F$1199,ROW()-ROW(DGArchive[#Headers])))</f>
        <v/>
      </c>
    </row>
    <row r="1052" ht="25" customHeight="1" spans="1:11">
      <c r="A1052" s="106"/>
      <c r="B1052" s="106"/>
      <c r="C1052" s="126"/>
      <c r="D1052" s="106"/>
      <c r="E1052" s="106"/>
      <c r="F1052" s="106"/>
      <c r="G1052" s="106"/>
      <c r="H1052" s="106"/>
      <c r="I1052" s="106"/>
      <c r="J1052" s="117" t="str">
        <f>IF(DGArchive[[#This Row],[目标]]="","",INDEX(幕间计算!$E$200:$E$1199,ROW()-ROW(DGArchive[#Headers])))</f>
        <v/>
      </c>
      <c r="K1052" s="117" t="str">
        <f>IF(DGArchive[[#This Row],[目标]]="","",INDEX(幕间计算!$F$200:$F$1199,ROW()-ROW(DGArchive[#Headers])))</f>
        <v/>
      </c>
    </row>
    <row r="1053" ht="25" customHeight="1" spans="1:11">
      <c r="A1053" s="106"/>
      <c r="B1053" s="106"/>
      <c r="C1053" s="126"/>
      <c r="D1053" s="106"/>
      <c r="E1053" s="106"/>
      <c r="F1053" s="106"/>
      <c r="G1053" s="106"/>
      <c r="H1053" s="106"/>
      <c r="I1053" s="106"/>
      <c r="J1053" s="117" t="str">
        <f>IF(DGArchive[[#This Row],[目标]]="","",INDEX(幕间计算!$E$200:$E$1199,ROW()-ROW(DGArchive[#Headers])))</f>
        <v/>
      </c>
      <c r="K1053" s="117" t="str">
        <f>IF(DGArchive[[#This Row],[目标]]="","",INDEX(幕间计算!$F$200:$F$1199,ROW()-ROW(DGArchive[#Headers])))</f>
        <v/>
      </c>
    </row>
    <row r="1054" ht="25" customHeight="1" spans="1:11">
      <c r="A1054" s="106"/>
      <c r="B1054" s="106"/>
      <c r="C1054" s="126"/>
      <c r="D1054" s="106"/>
      <c r="E1054" s="106"/>
      <c r="F1054" s="106"/>
      <c r="G1054" s="106"/>
      <c r="H1054" s="106"/>
      <c r="I1054" s="106"/>
      <c r="J1054" s="117" t="str">
        <f>IF(DGArchive[[#This Row],[目标]]="","",INDEX(幕间计算!$E$200:$E$1199,ROW()-ROW(DGArchive[#Headers])))</f>
        <v/>
      </c>
      <c r="K1054" s="117" t="str">
        <f>IF(DGArchive[[#This Row],[目标]]="","",INDEX(幕间计算!$F$200:$F$1199,ROW()-ROW(DGArchive[#Headers])))</f>
        <v/>
      </c>
    </row>
    <row r="1055" ht="25" customHeight="1" spans="1:11">
      <c r="A1055" s="106"/>
      <c r="B1055" s="106"/>
      <c r="C1055" s="126"/>
      <c r="D1055" s="106"/>
      <c r="E1055" s="106"/>
      <c r="F1055" s="106"/>
      <c r="G1055" s="106"/>
      <c r="H1055" s="106"/>
      <c r="I1055" s="106"/>
      <c r="J1055" s="117" t="str">
        <f>IF(DGArchive[[#This Row],[目标]]="","",INDEX(幕间计算!$E$200:$E$1199,ROW()-ROW(DGArchive[#Headers])))</f>
        <v/>
      </c>
      <c r="K1055" s="117" t="str">
        <f>IF(DGArchive[[#This Row],[目标]]="","",INDEX(幕间计算!$F$200:$F$1199,ROW()-ROW(DGArchive[#Headers])))</f>
        <v/>
      </c>
    </row>
    <row r="1056" ht="25" customHeight="1" spans="1:11">
      <c r="A1056" s="106"/>
      <c r="B1056" s="106"/>
      <c r="C1056" s="126"/>
      <c r="D1056" s="106"/>
      <c r="E1056" s="106"/>
      <c r="F1056" s="106"/>
      <c r="G1056" s="106"/>
      <c r="H1056" s="106"/>
      <c r="I1056" s="106"/>
      <c r="J1056" s="117" t="str">
        <f>IF(DGArchive[[#This Row],[目标]]="","",INDEX(幕间计算!$E$200:$E$1199,ROW()-ROW(DGArchive[#Headers])))</f>
        <v/>
      </c>
      <c r="K1056" s="117" t="str">
        <f>IF(DGArchive[[#This Row],[目标]]="","",INDEX(幕间计算!$F$200:$F$1199,ROW()-ROW(DGArchive[#Headers])))</f>
        <v/>
      </c>
    </row>
    <row r="1057" ht="25" customHeight="1" spans="1:11">
      <c r="A1057" s="106"/>
      <c r="B1057" s="106"/>
      <c r="C1057" s="126"/>
      <c r="D1057" s="106"/>
      <c r="E1057" s="106"/>
      <c r="F1057" s="106"/>
      <c r="G1057" s="106"/>
      <c r="H1057" s="106"/>
      <c r="I1057" s="106"/>
      <c r="J1057" s="117" t="str">
        <f>IF(DGArchive[[#This Row],[目标]]="","",INDEX(幕间计算!$E$200:$E$1199,ROW()-ROW(DGArchive[#Headers])))</f>
        <v/>
      </c>
      <c r="K1057" s="117" t="str">
        <f>IF(DGArchive[[#This Row],[目标]]="","",INDEX(幕间计算!$F$200:$F$1199,ROW()-ROW(DGArchive[#Headers])))</f>
        <v/>
      </c>
    </row>
    <row r="1058" ht="25" customHeight="1" spans="1:11">
      <c r="A1058" s="106"/>
      <c r="B1058" s="106"/>
      <c r="C1058" s="126"/>
      <c r="D1058" s="106"/>
      <c r="E1058" s="106"/>
      <c r="F1058" s="106"/>
      <c r="G1058" s="106"/>
      <c r="H1058" s="106"/>
      <c r="I1058" s="106"/>
      <c r="J1058" s="117" t="str">
        <f>IF(DGArchive[[#This Row],[目标]]="","",INDEX(幕间计算!$E$200:$E$1199,ROW()-ROW(DGArchive[#Headers])))</f>
        <v/>
      </c>
      <c r="K1058" s="117" t="str">
        <f>IF(DGArchive[[#This Row],[目标]]="","",INDEX(幕间计算!$F$200:$F$1199,ROW()-ROW(DGArchive[#Headers])))</f>
        <v/>
      </c>
    </row>
    <row r="1059" ht="25" customHeight="1" spans="1:11">
      <c r="A1059" s="106"/>
      <c r="B1059" s="106"/>
      <c r="C1059" s="126"/>
      <c r="D1059" s="106"/>
      <c r="E1059" s="106"/>
      <c r="F1059" s="106"/>
      <c r="G1059" s="106"/>
      <c r="H1059" s="106"/>
      <c r="I1059" s="106"/>
      <c r="J1059" s="117" t="str">
        <f>IF(DGArchive[[#This Row],[目标]]="","",INDEX(幕间计算!$E$200:$E$1199,ROW()-ROW(DGArchive[#Headers])))</f>
        <v/>
      </c>
      <c r="K1059" s="117" t="str">
        <f>IF(DGArchive[[#This Row],[目标]]="","",INDEX(幕间计算!$F$200:$F$1199,ROW()-ROW(DGArchive[#Headers])))</f>
        <v/>
      </c>
    </row>
    <row r="1060" ht="25" customHeight="1" spans="1:11">
      <c r="A1060" s="106"/>
      <c r="B1060" s="106"/>
      <c r="C1060" s="126"/>
      <c r="D1060" s="106"/>
      <c r="E1060" s="106"/>
      <c r="F1060" s="106"/>
      <c r="G1060" s="106"/>
      <c r="H1060" s="106"/>
      <c r="I1060" s="106"/>
      <c r="J1060" s="117" t="str">
        <f>IF(DGArchive[[#This Row],[目标]]="","",INDEX(幕间计算!$E$200:$E$1199,ROW()-ROW(DGArchive[#Headers])))</f>
        <v/>
      </c>
      <c r="K1060" s="117" t="str">
        <f>IF(DGArchive[[#This Row],[目标]]="","",INDEX(幕间计算!$F$200:$F$1199,ROW()-ROW(DGArchive[#Headers])))</f>
        <v/>
      </c>
    </row>
    <row r="1061" ht="25" customHeight="1" spans="1:11">
      <c r="A1061" s="106"/>
      <c r="B1061" s="106"/>
      <c r="C1061" s="126"/>
      <c r="D1061" s="106"/>
      <c r="E1061" s="106"/>
      <c r="F1061" s="106"/>
      <c r="G1061" s="106"/>
      <c r="H1061" s="106"/>
      <c r="I1061" s="106"/>
      <c r="J1061" s="117" t="str">
        <f>IF(DGArchive[[#This Row],[目标]]="","",INDEX(幕间计算!$E$200:$E$1199,ROW()-ROW(DGArchive[#Headers])))</f>
        <v/>
      </c>
      <c r="K1061" s="117" t="str">
        <f>IF(DGArchive[[#This Row],[目标]]="","",INDEX(幕间计算!$F$200:$F$1199,ROW()-ROW(DGArchive[#Headers])))</f>
        <v/>
      </c>
    </row>
    <row r="1062" ht="25" customHeight="1" spans="1:11">
      <c r="A1062" s="106"/>
      <c r="B1062" s="106"/>
      <c r="C1062" s="126"/>
      <c r="D1062" s="106"/>
      <c r="E1062" s="106"/>
      <c r="F1062" s="106"/>
      <c r="G1062" s="106"/>
      <c r="H1062" s="106"/>
      <c r="I1062" s="106"/>
      <c r="J1062" s="117" t="str">
        <f>IF(DGArchive[[#This Row],[目标]]="","",INDEX(幕间计算!$E$200:$E$1199,ROW()-ROW(DGArchive[#Headers])))</f>
        <v/>
      </c>
      <c r="K1062" s="117" t="str">
        <f>IF(DGArchive[[#This Row],[目标]]="","",INDEX(幕间计算!$F$200:$F$1199,ROW()-ROW(DGArchive[#Headers])))</f>
        <v/>
      </c>
    </row>
    <row r="1063" ht="25" customHeight="1" spans="1:11">
      <c r="A1063" s="106"/>
      <c r="B1063" s="106"/>
      <c r="C1063" s="126"/>
      <c r="D1063" s="106"/>
      <c r="E1063" s="106"/>
      <c r="F1063" s="106"/>
      <c r="G1063" s="106"/>
      <c r="H1063" s="106"/>
      <c r="I1063" s="106"/>
      <c r="J1063" s="117" t="str">
        <f>IF(DGArchive[[#This Row],[目标]]="","",INDEX(幕间计算!$E$200:$E$1199,ROW()-ROW(DGArchive[#Headers])))</f>
        <v/>
      </c>
      <c r="K1063" s="117" t="str">
        <f>IF(DGArchive[[#This Row],[目标]]="","",INDEX(幕间计算!$F$200:$F$1199,ROW()-ROW(DGArchive[#Headers])))</f>
        <v/>
      </c>
    </row>
    <row r="1064" ht="25" customHeight="1" spans="1:11">
      <c r="A1064" s="106"/>
      <c r="B1064" s="106"/>
      <c r="C1064" s="126"/>
      <c r="D1064" s="106"/>
      <c r="E1064" s="106"/>
      <c r="F1064" s="106"/>
      <c r="G1064" s="106"/>
      <c r="H1064" s="106"/>
      <c r="I1064" s="106"/>
      <c r="J1064" s="117" t="str">
        <f>IF(DGArchive[[#This Row],[目标]]="","",INDEX(幕间计算!$E$200:$E$1199,ROW()-ROW(DGArchive[#Headers])))</f>
        <v/>
      </c>
      <c r="K1064" s="117" t="str">
        <f>IF(DGArchive[[#This Row],[目标]]="","",INDEX(幕间计算!$F$200:$F$1199,ROW()-ROW(DGArchive[#Headers])))</f>
        <v/>
      </c>
    </row>
    <row r="1065" ht="25" customHeight="1" spans="1:11">
      <c r="A1065" s="106"/>
      <c r="B1065" s="106"/>
      <c r="C1065" s="126"/>
      <c r="D1065" s="106"/>
      <c r="E1065" s="106"/>
      <c r="F1065" s="106"/>
      <c r="G1065" s="106"/>
      <c r="H1065" s="106"/>
      <c r="I1065" s="106"/>
      <c r="J1065" s="117" t="str">
        <f>IF(DGArchive[[#This Row],[目标]]="","",INDEX(幕间计算!$E$200:$E$1199,ROW()-ROW(DGArchive[#Headers])))</f>
        <v/>
      </c>
      <c r="K1065" s="117" t="str">
        <f>IF(DGArchive[[#This Row],[目标]]="","",INDEX(幕间计算!$F$200:$F$1199,ROW()-ROW(DGArchive[#Headers])))</f>
        <v/>
      </c>
    </row>
    <row r="1066" ht="25" customHeight="1" spans="1:11">
      <c r="A1066" s="106"/>
      <c r="B1066" s="106"/>
      <c r="C1066" s="126"/>
      <c r="D1066" s="106"/>
      <c r="E1066" s="106"/>
      <c r="F1066" s="106"/>
      <c r="G1066" s="106"/>
      <c r="H1066" s="106"/>
      <c r="I1066" s="106"/>
      <c r="J1066" s="117" t="str">
        <f>IF(DGArchive[[#This Row],[目标]]="","",INDEX(幕间计算!$E$200:$E$1199,ROW()-ROW(DGArchive[#Headers])))</f>
        <v/>
      </c>
      <c r="K1066" s="117" t="str">
        <f>IF(DGArchive[[#This Row],[目标]]="","",INDEX(幕间计算!$F$200:$F$1199,ROW()-ROW(DGArchive[#Headers])))</f>
        <v/>
      </c>
    </row>
    <row r="1067" ht="25" customHeight="1" spans="1:11">
      <c r="A1067" s="106"/>
      <c r="B1067" s="106"/>
      <c r="C1067" s="126"/>
      <c r="D1067" s="106"/>
      <c r="E1067" s="106"/>
      <c r="F1067" s="106"/>
      <c r="G1067" s="106"/>
      <c r="H1067" s="106"/>
      <c r="I1067" s="106"/>
      <c r="J1067" s="117" t="str">
        <f>IF(DGArchive[[#This Row],[目标]]="","",INDEX(幕间计算!$E$200:$E$1199,ROW()-ROW(DGArchive[#Headers])))</f>
        <v/>
      </c>
      <c r="K1067" s="117" t="str">
        <f>IF(DGArchive[[#This Row],[目标]]="","",INDEX(幕间计算!$F$200:$F$1199,ROW()-ROW(DGArchive[#Headers])))</f>
        <v/>
      </c>
    </row>
    <row r="1068" ht="25" customHeight="1" spans="1:11">
      <c r="A1068" s="106"/>
      <c r="B1068" s="106"/>
      <c r="C1068" s="126"/>
      <c r="D1068" s="106"/>
      <c r="E1068" s="106"/>
      <c r="F1068" s="106"/>
      <c r="G1068" s="106"/>
      <c r="H1068" s="106"/>
      <c r="I1068" s="106"/>
      <c r="J1068" s="117" t="str">
        <f>IF(DGArchive[[#This Row],[目标]]="","",INDEX(幕间计算!$E$200:$E$1199,ROW()-ROW(DGArchive[#Headers])))</f>
        <v/>
      </c>
      <c r="K1068" s="117" t="str">
        <f>IF(DGArchive[[#This Row],[目标]]="","",INDEX(幕间计算!$F$200:$F$1199,ROW()-ROW(DGArchive[#Headers])))</f>
        <v/>
      </c>
    </row>
    <row r="1069" ht="25" customHeight="1" spans="1:11">
      <c r="A1069" s="106"/>
      <c r="B1069" s="106"/>
      <c r="C1069" s="126"/>
      <c r="D1069" s="106"/>
      <c r="E1069" s="106"/>
      <c r="F1069" s="106"/>
      <c r="G1069" s="106"/>
      <c r="H1069" s="106"/>
      <c r="I1069" s="106"/>
      <c r="J1069" s="117" t="str">
        <f>IF(DGArchive[[#This Row],[目标]]="","",INDEX(幕间计算!$E$200:$E$1199,ROW()-ROW(DGArchive[#Headers])))</f>
        <v/>
      </c>
      <c r="K1069" s="117" t="str">
        <f>IF(DGArchive[[#This Row],[目标]]="","",INDEX(幕间计算!$F$200:$F$1199,ROW()-ROW(DGArchive[#Headers])))</f>
        <v/>
      </c>
    </row>
    <row r="1070" ht="25" customHeight="1" spans="1:11">
      <c r="A1070" s="106"/>
      <c r="B1070" s="106"/>
      <c r="C1070" s="126"/>
      <c r="D1070" s="106"/>
      <c r="E1070" s="106"/>
      <c r="F1070" s="106"/>
      <c r="G1070" s="106"/>
      <c r="H1070" s="106"/>
      <c r="I1070" s="106"/>
      <c r="J1070" s="117" t="str">
        <f>IF(DGArchive[[#This Row],[目标]]="","",INDEX(幕间计算!$E$200:$E$1199,ROW()-ROW(DGArchive[#Headers])))</f>
        <v/>
      </c>
      <c r="K1070" s="117" t="str">
        <f>IF(DGArchive[[#This Row],[目标]]="","",INDEX(幕间计算!$F$200:$F$1199,ROW()-ROW(DGArchive[#Headers])))</f>
        <v/>
      </c>
    </row>
    <row r="1071" ht="25" customHeight="1" spans="1:11">
      <c r="A1071" s="106"/>
      <c r="B1071" s="106"/>
      <c r="C1071" s="126"/>
      <c r="D1071" s="106"/>
      <c r="E1071" s="106"/>
      <c r="F1071" s="106"/>
      <c r="G1071" s="106"/>
      <c r="H1071" s="106"/>
      <c r="I1071" s="106"/>
      <c r="J1071" s="117" t="str">
        <f>IF(DGArchive[[#This Row],[目标]]="","",INDEX(幕间计算!$E$200:$E$1199,ROW()-ROW(DGArchive[#Headers])))</f>
        <v/>
      </c>
      <c r="K1071" s="117" t="str">
        <f>IF(DGArchive[[#This Row],[目标]]="","",INDEX(幕间计算!$F$200:$F$1199,ROW()-ROW(DGArchive[#Headers])))</f>
        <v/>
      </c>
    </row>
    <row r="1072" ht="25" customHeight="1" spans="1:11">
      <c r="A1072" s="106"/>
      <c r="B1072" s="106"/>
      <c r="C1072" s="126"/>
      <c r="D1072" s="106"/>
      <c r="E1072" s="106"/>
      <c r="F1072" s="106"/>
      <c r="G1072" s="106"/>
      <c r="H1072" s="106"/>
      <c r="I1072" s="106"/>
      <c r="J1072" s="117" t="str">
        <f>IF(DGArchive[[#This Row],[目标]]="","",INDEX(幕间计算!$E$200:$E$1199,ROW()-ROW(DGArchive[#Headers])))</f>
        <v/>
      </c>
      <c r="K1072" s="117" t="str">
        <f>IF(DGArchive[[#This Row],[目标]]="","",INDEX(幕间计算!$F$200:$F$1199,ROW()-ROW(DGArchive[#Headers])))</f>
        <v/>
      </c>
    </row>
    <row r="1073" ht="25" customHeight="1" spans="1:11">
      <c r="A1073" s="106"/>
      <c r="B1073" s="106"/>
      <c r="C1073" s="126"/>
      <c r="D1073" s="106"/>
      <c r="E1073" s="106"/>
      <c r="F1073" s="106"/>
      <c r="G1073" s="106"/>
      <c r="H1073" s="106"/>
      <c r="I1073" s="106"/>
      <c r="J1073" s="117" t="str">
        <f>IF(DGArchive[[#This Row],[目标]]="","",INDEX(幕间计算!$E$200:$E$1199,ROW()-ROW(DGArchive[#Headers])))</f>
        <v/>
      </c>
      <c r="K1073" s="117" t="str">
        <f>IF(DGArchive[[#This Row],[目标]]="","",INDEX(幕间计算!$F$200:$F$1199,ROW()-ROW(DGArchive[#Headers])))</f>
        <v/>
      </c>
    </row>
    <row r="1074" ht="25" customHeight="1" spans="1:11">
      <c r="A1074" s="106"/>
      <c r="B1074" s="106"/>
      <c r="C1074" s="126"/>
      <c r="D1074" s="106"/>
      <c r="E1074" s="106"/>
      <c r="F1074" s="106"/>
      <c r="G1074" s="106"/>
      <c r="H1074" s="106"/>
      <c r="I1074" s="106"/>
      <c r="J1074" s="117" t="str">
        <f>IF(DGArchive[[#This Row],[目标]]="","",INDEX(幕间计算!$E$200:$E$1199,ROW()-ROW(DGArchive[#Headers])))</f>
        <v/>
      </c>
      <c r="K1074" s="117" t="str">
        <f>IF(DGArchive[[#This Row],[目标]]="","",INDEX(幕间计算!$F$200:$F$1199,ROW()-ROW(DGArchive[#Headers])))</f>
        <v/>
      </c>
    </row>
    <row r="1075" ht="25" customHeight="1" spans="1:11">
      <c r="A1075" s="106"/>
      <c r="B1075" s="106"/>
      <c r="C1075" s="126"/>
      <c r="D1075" s="106"/>
      <c r="E1075" s="106"/>
      <c r="F1075" s="106"/>
      <c r="G1075" s="106"/>
      <c r="H1075" s="106"/>
      <c r="I1075" s="106"/>
      <c r="J1075" s="117" t="str">
        <f>IF(DGArchive[[#This Row],[目标]]="","",INDEX(幕间计算!$E$200:$E$1199,ROW()-ROW(DGArchive[#Headers])))</f>
        <v/>
      </c>
      <c r="K1075" s="117" t="str">
        <f>IF(DGArchive[[#This Row],[目标]]="","",INDEX(幕间计算!$F$200:$F$1199,ROW()-ROW(DGArchive[#Headers])))</f>
        <v/>
      </c>
    </row>
    <row r="1076" ht="25" customHeight="1" spans="1:11">
      <c r="A1076" s="106"/>
      <c r="B1076" s="106"/>
      <c r="C1076" s="126"/>
      <c r="D1076" s="106"/>
      <c r="E1076" s="106"/>
      <c r="F1076" s="106"/>
      <c r="G1076" s="106"/>
      <c r="H1076" s="106"/>
      <c r="I1076" s="106"/>
      <c r="J1076" s="117" t="str">
        <f>IF(DGArchive[[#This Row],[目标]]="","",INDEX(幕间计算!$E$200:$E$1199,ROW()-ROW(DGArchive[#Headers])))</f>
        <v/>
      </c>
      <c r="K1076" s="117" t="str">
        <f>IF(DGArchive[[#This Row],[目标]]="","",INDEX(幕间计算!$F$200:$F$1199,ROW()-ROW(DGArchive[#Headers])))</f>
        <v/>
      </c>
    </row>
    <row r="1077" ht="25" customHeight="1" spans="1:11">
      <c r="A1077" s="106"/>
      <c r="B1077" s="106"/>
      <c r="C1077" s="126"/>
      <c r="D1077" s="106"/>
      <c r="E1077" s="106"/>
      <c r="F1077" s="106"/>
      <c r="G1077" s="106"/>
      <c r="H1077" s="106"/>
      <c r="I1077" s="106"/>
      <c r="J1077" s="117" t="str">
        <f>IF(DGArchive[[#This Row],[目标]]="","",INDEX(幕间计算!$E$200:$E$1199,ROW()-ROW(DGArchive[#Headers])))</f>
        <v/>
      </c>
      <c r="K1077" s="117" t="str">
        <f>IF(DGArchive[[#This Row],[目标]]="","",INDEX(幕间计算!$F$200:$F$1199,ROW()-ROW(DGArchive[#Headers])))</f>
        <v/>
      </c>
    </row>
    <row r="1078" ht="25" customHeight="1" spans="1:11">
      <c r="A1078" s="106"/>
      <c r="B1078" s="106"/>
      <c r="C1078" s="126"/>
      <c r="D1078" s="106"/>
      <c r="E1078" s="106"/>
      <c r="F1078" s="106"/>
      <c r="G1078" s="106"/>
      <c r="H1078" s="106"/>
      <c r="I1078" s="106"/>
      <c r="J1078" s="117" t="str">
        <f>IF(DGArchive[[#This Row],[目标]]="","",INDEX(幕间计算!$E$200:$E$1199,ROW()-ROW(DGArchive[#Headers])))</f>
        <v/>
      </c>
      <c r="K1078" s="117" t="str">
        <f>IF(DGArchive[[#This Row],[目标]]="","",INDEX(幕间计算!$F$200:$F$1199,ROW()-ROW(DGArchive[#Headers])))</f>
        <v/>
      </c>
    </row>
    <row r="1079" ht="25" customHeight="1" spans="1:11">
      <c r="A1079" s="106"/>
      <c r="B1079" s="106"/>
      <c r="C1079" s="126"/>
      <c r="D1079" s="106"/>
      <c r="E1079" s="106"/>
      <c r="F1079" s="106"/>
      <c r="G1079" s="106"/>
      <c r="H1079" s="106"/>
      <c r="I1079" s="106"/>
      <c r="J1079" s="117" t="str">
        <f>IF(DGArchive[[#This Row],[目标]]="","",INDEX(幕间计算!$E$200:$E$1199,ROW()-ROW(DGArchive[#Headers])))</f>
        <v/>
      </c>
      <c r="K1079" s="117" t="str">
        <f>IF(DGArchive[[#This Row],[目标]]="","",INDEX(幕间计算!$F$200:$F$1199,ROW()-ROW(DGArchive[#Headers])))</f>
        <v/>
      </c>
    </row>
    <row r="1080" ht="25" customHeight="1" spans="1:11">
      <c r="A1080" s="106"/>
      <c r="B1080" s="106"/>
      <c r="C1080" s="126"/>
      <c r="D1080" s="106"/>
      <c r="E1080" s="106"/>
      <c r="F1080" s="106"/>
      <c r="G1080" s="106"/>
      <c r="H1080" s="106"/>
      <c r="I1080" s="106"/>
      <c r="J1080" s="117" t="str">
        <f>IF(DGArchive[[#This Row],[目标]]="","",INDEX(幕间计算!$E$200:$E$1199,ROW()-ROW(DGArchive[#Headers])))</f>
        <v/>
      </c>
      <c r="K1080" s="117" t="str">
        <f>IF(DGArchive[[#This Row],[目标]]="","",INDEX(幕间计算!$F$200:$F$1199,ROW()-ROW(DGArchive[#Headers])))</f>
        <v/>
      </c>
    </row>
    <row r="1081" ht="25" customHeight="1" spans="1:11">
      <c r="A1081" s="106"/>
      <c r="B1081" s="106"/>
      <c r="C1081" s="126"/>
      <c r="D1081" s="106"/>
      <c r="E1081" s="106"/>
      <c r="F1081" s="106"/>
      <c r="G1081" s="106"/>
      <c r="H1081" s="106"/>
      <c r="I1081" s="106"/>
      <c r="J1081" s="117" t="str">
        <f>IF(DGArchive[[#This Row],[目标]]="","",INDEX(幕间计算!$E$200:$E$1199,ROW()-ROW(DGArchive[#Headers])))</f>
        <v/>
      </c>
      <c r="K1081" s="117" t="str">
        <f>IF(DGArchive[[#This Row],[目标]]="","",INDEX(幕间计算!$F$200:$F$1199,ROW()-ROW(DGArchive[#Headers])))</f>
        <v/>
      </c>
    </row>
    <row r="1082" ht="25" customHeight="1" spans="1:11">
      <c r="A1082" s="106"/>
      <c r="B1082" s="106"/>
      <c r="C1082" s="126"/>
      <c r="D1082" s="106"/>
      <c r="E1082" s="106"/>
      <c r="F1082" s="106"/>
      <c r="G1082" s="106"/>
      <c r="H1082" s="106"/>
      <c r="I1082" s="106"/>
      <c r="J1082" s="117" t="str">
        <f>IF(DGArchive[[#This Row],[目标]]="","",INDEX(幕间计算!$E$200:$E$1199,ROW()-ROW(DGArchive[#Headers])))</f>
        <v/>
      </c>
      <c r="K1082" s="117" t="str">
        <f>IF(DGArchive[[#This Row],[目标]]="","",INDEX(幕间计算!$F$200:$F$1199,ROW()-ROW(DGArchive[#Headers])))</f>
        <v/>
      </c>
    </row>
    <row r="1083" ht="25" customHeight="1" spans="1:11">
      <c r="A1083" s="106"/>
      <c r="B1083" s="106"/>
      <c r="C1083" s="126"/>
      <c r="D1083" s="106"/>
      <c r="E1083" s="106"/>
      <c r="F1083" s="106"/>
      <c r="G1083" s="106"/>
      <c r="H1083" s="106"/>
      <c r="I1083" s="106"/>
      <c r="J1083" s="117" t="str">
        <f>IF(DGArchive[[#This Row],[目标]]="","",INDEX(幕间计算!$E$200:$E$1199,ROW()-ROW(DGArchive[#Headers])))</f>
        <v/>
      </c>
      <c r="K1083" s="117" t="str">
        <f>IF(DGArchive[[#This Row],[目标]]="","",INDEX(幕间计算!$F$200:$F$1199,ROW()-ROW(DGArchive[#Headers])))</f>
        <v/>
      </c>
    </row>
    <row r="1084" ht="25" customHeight="1" spans="1:11">
      <c r="A1084" s="106"/>
      <c r="B1084" s="106"/>
      <c r="C1084" s="126"/>
      <c r="D1084" s="106"/>
      <c r="E1084" s="106"/>
      <c r="F1084" s="106"/>
      <c r="G1084" s="106"/>
      <c r="H1084" s="106"/>
      <c r="I1084" s="106"/>
      <c r="J1084" s="117" t="str">
        <f>IF(DGArchive[[#This Row],[目标]]="","",INDEX(幕间计算!$E$200:$E$1199,ROW()-ROW(DGArchive[#Headers])))</f>
        <v/>
      </c>
      <c r="K1084" s="117" t="str">
        <f>IF(DGArchive[[#This Row],[目标]]="","",INDEX(幕间计算!$F$200:$F$1199,ROW()-ROW(DGArchive[#Headers])))</f>
        <v/>
      </c>
    </row>
    <row r="1085" ht="25" customHeight="1" spans="1:11">
      <c r="A1085" s="106"/>
      <c r="B1085" s="106"/>
      <c r="C1085" s="126"/>
      <c r="D1085" s="106"/>
      <c r="E1085" s="106"/>
      <c r="F1085" s="106"/>
      <c r="G1085" s="106"/>
      <c r="H1085" s="106"/>
      <c r="I1085" s="106"/>
      <c r="J1085" s="117" t="str">
        <f>IF(DGArchive[[#This Row],[目标]]="","",INDEX(幕间计算!$E$200:$E$1199,ROW()-ROW(DGArchive[#Headers])))</f>
        <v/>
      </c>
      <c r="K1085" s="117" t="str">
        <f>IF(DGArchive[[#This Row],[目标]]="","",INDEX(幕间计算!$F$200:$F$1199,ROW()-ROW(DGArchive[#Headers])))</f>
        <v/>
      </c>
    </row>
    <row r="1086" ht="25" customHeight="1" spans="1:11">
      <c r="A1086" s="106"/>
      <c r="B1086" s="106"/>
      <c r="C1086" s="126"/>
      <c r="D1086" s="106"/>
      <c r="E1086" s="106"/>
      <c r="F1086" s="106"/>
      <c r="G1086" s="106"/>
      <c r="H1086" s="106"/>
      <c r="I1086" s="106"/>
      <c r="J1086" s="117" t="str">
        <f>IF(DGArchive[[#This Row],[目标]]="","",INDEX(幕间计算!$E$200:$E$1199,ROW()-ROW(DGArchive[#Headers])))</f>
        <v/>
      </c>
      <c r="K1086" s="117" t="str">
        <f>IF(DGArchive[[#This Row],[目标]]="","",INDEX(幕间计算!$F$200:$F$1199,ROW()-ROW(DGArchive[#Headers])))</f>
        <v/>
      </c>
    </row>
    <row r="1087" ht="25" customHeight="1" spans="1:11">
      <c r="A1087" s="106"/>
      <c r="B1087" s="106"/>
      <c r="C1087" s="126"/>
      <c r="D1087" s="106"/>
      <c r="E1087" s="106"/>
      <c r="F1087" s="106"/>
      <c r="G1087" s="106"/>
      <c r="H1087" s="106"/>
      <c r="I1087" s="106"/>
      <c r="J1087" s="117" t="str">
        <f>IF(DGArchive[[#This Row],[目标]]="","",INDEX(幕间计算!$E$200:$E$1199,ROW()-ROW(DGArchive[#Headers])))</f>
        <v/>
      </c>
      <c r="K1087" s="117" t="str">
        <f>IF(DGArchive[[#This Row],[目标]]="","",INDEX(幕间计算!$F$200:$F$1199,ROW()-ROW(DGArchive[#Headers])))</f>
        <v/>
      </c>
    </row>
    <row r="1088" ht="25" customHeight="1" spans="1:11">
      <c r="A1088" s="106"/>
      <c r="B1088" s="106"/>
      <c r="C1088" s="126"/>
      <c r="D1088" s="106"/>
      <c r="E1088" s="106"/>
      <c r="F1088" s="106"/>
      <c r="G1088" s="106"/>
      <c r="H1088" s="106"/>
      <c r="I1088" s="106"/>
      <c r="J1088" s="117" t="str">
        <f>IF(DGArchive[[#This Row],[目标]]="","",INDEX(幕间计算!$E$200:$E$1199,ROW()-ROW(DGArchive[#Headers])))</f>
        <v/>
      </c>
      <c r="K1088" s="117" t="str">
        <f>IF(DGArchive[[#This Row],[目标]]="","",INDEX(幕间计算!$F$200:$F$1199,ROW()-ROW(DGArchive[#Headers])))</f>
        <v/>
      </c>
    </row>
    <row r="1089" ht="25" customHeight="1" spans="1:11">
      <c r="A1089" s="106"/>
      <c r="B1089" s="106"/>
      <c r="C1089" s="126"/>
      <c r="D1089" s="106"/>
      <c r="E1089" s="106"/>
      <c r="F1089" s="106"/>
      <c r="G1089" s="106"/>
      <c r="H1089" s="106"/>
      <c r="I1089" s="106"/>
      <c r="J1089" s="117" t="str">
        <f>IF(DGArchive[[#This Row],[目标]]="","",INDEX(幕间计算!$E$200:$E$1199,ROW()-ROW(DGArchive[#Headers])))</f>
        <v/>
      </c>
      <c r="K1089" s="117" t="str">
        <f>IF(DGArchive[[#This Row],[目标]]="","",INDEX(幕间计算!$F$200:$F$1199,ROW()-ROW(DGArchive[#Headers])))</f>
        <v/>
      </c>
    </row>
    <row r="1090" ht="25" customHeight="1" spans="1:11">
      <c r="A1090" s="106"/>
      <c r="B1090" s="106"/>
      <c r="C1090" s="126"/>
      <c r="D1090" s="106"/>
      <c r="E1090" s="106"/>
      <c r="F1090" s="106"/>
      <c r="G1090" s="106"/>
      <c r="H1090" s="106"/>
      <c r="I1090" s="106"/>
      <c r="J1090" s="117" t="str">
        <f>IF(DGArchive[[#This Row],[目标]]="","",INDEX(幕间计算!$E$200:$E$1199,ROW()-ROW(DGArchive[#Headers])))</f>
        <v/>
      </c>
      <c r="K1090" s="117" t="str">
        <f>IF(DGArchive[[#This Row],[目标]]="","",INDEX(幕间计算!$F$200:$F$1199,ROW()-ROW(DGArchive[#Headers])))</f>
        <v/>
      </c>
    </row>
    <row r="1091" ht="25" customHeight="1" spans="1:11">
      <c r="A1091" s="106"/>
      <c r="B1091" s="106"/>
      <c r="C1091" s="126"/>
      <c r="D1091" s="106"/>
      <c r="E1091" s="106"/>
      <c r="F1091" s="106"/>
      <c r="G1091" s="106"/>
      <c r="H1091" s="106"/>
      <c r="I1091" s="106"/>
      <c r="J1091" s="117" t="str">
        <f>IF(DGArchive[[#This Row],[目标]]="","",INDEX(幕间计算!$E$200:$E$1199,ROW()-ROW(DGArchive[#Headers])))</f>
        <v/>
      </c>
      <c r="K1091" s="117" t="str">
        <f>IF(DGArchive[[#This Row],[目标]]="","",INDEX(幕间计算!$F$200:$F$1199,ROW()-ROW(DGArchive[#Headers])))</f>
        <v/>
      </c>
    </row>
    <row r="1092" ht="25" customHeight="1" spans="1:11">
      <c r="A1092" s="106"/>
      <c r="B1092" s="106"/>
      <c r="C1092" s="126"/>
      <c r="D1092" s="106"/>
      <c r="E1092" s="106"/>
      <c r="F1092" s="106"/>
      <c r="G1092" s="106"/>
      <c r="H1092" s="106"/>
      <c r="I1092" s="106"/>
      <c r="J1092" s="117" t="str">
        <f>IF(DGArchive[[#This Row],[目标]]="","",INDEX(幕间计算!$E$200:$E$1199,ROW()-ROW(DGArchive[#Headers])))</f>
        <v/>
      </c>
      <c r="K1092" s="117" t="str">
        <f>IF(DGArchive[[#This Row],[目标]]="","",INDEX(幕间计算!$F$200:$F$1199,ROW()-ROW(DGArchive[#Headers])))</f>
        <v/>
      </c>
    </row>
    <row r="1093" ht="25" customHeight="1" spans="1:11">
      <c r="A1093" s="106"/>
      <c r="B1093" s="106"/>
      <c r="C1093" s="126"/>
      <c r="D1093" s="106"/>
      <c r="E1093" s="106"/>
      <c r="F1093" s="106"/>
      <c r="G1093" s="106"/>
      <c r="H1093" s="106"/>
      <c r="I1093" s="106"/>
      <c r="J1093" s="117" t="str">
        <f>IF(DGArchive[[#This Row],[目标]]="","",INDEX(幕间计算!$E$200:$E$1199,ROW()-ROW(DGArchive[#Headers])))</f>
        <v/>
      </c>
      <c r="K1093" s="117" t="str">
        <f>IF(DGArchive[[#This Row],[目标]]="","",INDEX(幕间计算!$F$200:$F$1199,ROW()-ROW(DGArchive[#Headers])))</f>
        <v/>
      </c>
    </row>
    <row r="1094" ht="25" customHeight="1" spans="1:11">
      <c r="A1094" s="106"/>
      <c r="B1094" s="106"/>
      <c r="C1094" s="126"/>
      <c r="D1094" s="106"/>
      <c r="E1094" s="106"/>
      <c r="F1094" s="106"/>
      <c r="G1094" s="106"/>
      <c r="H1094" s="106"/>
      <c r="I1094" s="106"/>
      <c r="J1094" s="117" t="str">
        <f>IF(DGArchive[[#This Row],[目标]]="","",INDEX(幕间计算!$E$200:$E$1199,ROW()-ROW(DGArchive[#Headers])))</f>
        <v/>
      </c>
      <c r="K1094" s="117" t="str">
        <f>IF(DGArchive[[#This Row],[目标]]="","",INDEX(幕间计算!$F$200:$F$1199,ROW()-ROW(DGArchive[#Headers])))</f>
        <v/>
      </c>
    </row>
    <row r="1095" ht="25" customHeight="1" spans="1:11">
      <c r="A1095" s="106"/>
      <c r="B1095" s="106"/>
      <c r="C1095" s="126"/>
      <c r="D1095" s="106"/>
      <c r="E1095" s="106"/>
      <c r="F1095" s="106"/>
      <c r="G1095" s="106"/>
      <c r="H1095" s="106"/>
      <c r="I1095" s="106"/>
      <c r="J1095" s="117" t="str">
        <f>IF(DGArchive[[#This Row],[目标]]="","",INDEX(幕间计算!$E$200:$E$1199,ROW()-ROW(DGArchive[#Headers])))</f>
        <v/>
      </c>
      <c r="K1095" s="117" t="str">
        <f>IF(DGArchive[[#This Row],[目标]]="","",INDEX(幕间计算!$F$200:$F$1199,ROW()-ROW(DGArchive[#Headers])))</f>
        <v/>
      </c>
    </row>
  </sheetData>
  <sheetProtection password="CC25" sheet="1" autoFilter="0" objects="1" scenarios="1"/>
  <mergeCells count="51">
    <mergeCell ref="A1:K1"/>
    <mergeCell ref="A2:B2"/>
    <mergeCell ref="C2:D2"/>
    <mergeCell ref="E2:G2"/>
    <mergeCell ref="H2:I2"/>
    <mergeCell ref="J2:K2"/>
    <mergeCell ref="C3:D3"/>
    <mergeCell ref="F3:H3"/>
    <mergeCell ref="I3:K3"/>
    <mergeCell ref="A6:K6"/>
    <mergeCell ref="A7:K7"/>
    <mergeCell ref="C8:D8"/>
    <mergeCell ref="F8:K8"/>
    <mergeCell ref="B9:D9"/>
    <mergeCell ref="F9:K9"/>
    <mergeCell ref="A10:D10"/>
    <mergeCell ref="E10:G10"/>
    <mergeCell ref="H10:I10"/>
    <mergeCell ref="J10:K10"/>
    <mergeCell ref="A11:D11"/>
    <mergeCell ref="E11:G11"/>
    <mergeCell ref="H11:K11"/>
    <mergeCell ref="A12:D12"/>
    <mergeCell ref="E12:G12"/>
    <mergeCell ref="H12:I12"/>
    <mergeCell ref="J12:K12"/>
    <mergeCell ref="A13:D13"/>
    <mergeCell ref="E13:G13"/>
    <mergeCell ref="H13:I13"/>
    <mergeCell ref="J13:K13"/>
    <mergeCell ref="A14:D14"/>
    <mergeCell ref="E14:G14"/>
    <mergeCell ref="H14:I14"/>
    <mergeCell ref="J14:K14"/>
    <mergeCell ref="A15:D15"/>
    <mergeCell ref="E15:G15"/>
    <mergeCell ref="H15:K15"/>
    <mergeCell ref="A18:K18"/>
    <mergeCell ref="A25:D25"/>
    <mergeCell ref="E25:G25"/>
    <mergeCell ref="H25:K25"/>
    <mergeCell ref="A26:K26"/>
    <mergeCell ref="A27:K27"/>
    <mergeCell ref="A28:K28"/>
    <mergeCell ref="A91:C91"/>
    <mergeCell ref="E91:G91"/>
    <mergeCell ref="H91:K91"/>
    <mergeCell ref="A93:K93"/>
    <mergeCell ref="A94:K94"/>
    <mergeCell ref="A16:A17"/>
    <mergeCell ref="B16:K17"/>
  </mergeCells>
  <conditionalFormatting sqref="A9:D9">
    <cfRule type="expression" dxfId="31" priority="1">
      <formula>幕间计算!$AQ$10=0</formula>
    </cfRule>
  </conditionalFormatting>
  <conditionalFormatting sqref="E9:K9">
    <cfRule type="expression" dxfId="31" priority="2">
      <formula>幕间计算!$AQ$11=0</formula>
    </cfRule>
  </conditionalFormatting>
  <conditionalFormatting sqref="A10:G10">
    <cfRule type="expression" dxfId="31" priority="3">
      <formula>幕间计算!$AQ$12=0</formula>
    </cfRule>
  </conditionalFormatting>
  <conditionalFormatting sqref="A11:G11">
    <cfRule type="expression" dxfId="31" priority="4">
      <formula>幕间计算!$AQ$13=0</formula>
    </cfRule>
  </conditionalFormatting>
  <conditionalFormatting sqref="A12:G12">
    <cfRule type="expression" dxfId="31" priority="5">
      <formula>幕间计算!$AQ$14=0</formula>
    </cfRule>
  </conditionalFormatting>
  <conditionalFormatting sqref="H12:K12">
    <cfRule type="expression" dxfId="31" priority="6">
      <formula>幕间计算!$AQ$15=0</formula>
    </cfRule>
  </conditionalFormatting>
  <conditionalFormatting sqref="A13:G13">
    <cfRule type="expression" dxfId="31" priority="7">
      <formula>幕间计算!$AQ$16=0</formula>
    </cfRule>
  </conditionalFormatting>
  <conditionalFormatting sqref="H13:K13">
    <cfRule type="expression" dxfId="31" priority="8">
      <formula>幕间计算!$AQ$15=0</formula>
    </cfRule>
  </conditionalFormatting>
  <conditionalFormatting sqref="A14:G14">
    <cfRule type="expression" dxfId="31" priority="9">
      <formula>幕间计算!$AQ$17=0</formula>
    </cfRule>
  </conditionalFormatting>
  <conditionalFormatting sqref="H14:K14">
    <cfRule type="expression" dxfId="31" priority="10">
      <formula>幕间计算!$AQ$19=0</formula>
    </cfRule>
  </conditionalFormatting>
  <conditionalFormatting sqref="A15:G15">
    <cfRule type="expression" dxfId="31" priority="11">
      <formula>幕间计算!$AQ$18=0</formula>
    </cfRule>
  </conditionalFormatting>
  <dataValidations count="12">
    <dataValidation type="list" allowBlank="1" showErrorMessage="1" errorTitle="请检查输入" error="请选择列表项目或填写允许的数值。" sqref="B3">
      <formula1>模组编号</formula1>
    </dataValidation>
    <dataValidation type="whole" operator="between" allowBlank="1" showErrorMessage="1" errorTitle="请检查输入" error="请选择列表项目或填写允许的数值。" sqref="B8">
      <formula1>1</formula1>
      <formula2>9999</formula2>
    </dataValidation>
    <dataValidation type="list" allowBlank="1" showErrorMessage="1" errorTitle="请检查输入" error="请选择列表项目或填写允许的数值。" sqref="F8:K8">
      <formula1>幕间事项</formula1>
    </dataValidation>
    <dataValidation type="list" allowBlank="1" showErrorMessage="1" errorTitle="请检查输入" error="请选择列表项目或填写允许的数值。" sqref="B9:D9">
      <formula1>IF(幕间计算!$AQ$10=1,幕间结果,空白选项)</formula1>
    </dataValidation>
    <dataValidation type="list" allowBlank="1" showErrorMessage="1" errorTitle="请检查输入" error="请选择列表项目或填写允许的数值。" sqref="F9:K9">
      <formula1>IF(幕间计算!$AQ$11=1,治疗告知,空白选项)</formula1>
    </dataValidation>
    <dataValidation type="list" allowBlank="1" showErrorMessage="1" errorTitle="请检查输入" error="请选择列表项目或填写允许的数值。" sqref="E10:G10">
      <formula1>IF($F$8="提升技能或属性",训练目标,IF($F$8="建立新的重要关系",关系编号,IF($F$8="按部就班",有效非DG关系,空白选项)))</formula1>
    </dataValidation>
    <dataValidation type="whole" operator="between" allowBlank="1" showErrorMessage="1" errorTitle="请检查输入" error="请选择列表项目或填写允许的数值。" sqref="E11:G11 E13:G13">
      <formula1>0</formula1>
      <formula2>99</formula2>
    </dataValidation>
    <dataValidation type="list" allowBlank="1" showErrorMessage="1" errorTitle="请检查输入" error="请选择列表项目或填写允许的数值。" sqref="E12:G12">
      <formula1>IF($F$8="提升技能或属性",训练目标,空白选项)</formula1>
    </dataValidation>
    <dataValidation type="list" allowBlank="1" showErrorMessage="1" errorTitle="请检查输入" error="请选择列表项目或填写允许的数值。" sqref="J12:K12">
      <formula1>IF(幕间计算!$AQ$15=1,幕间结果,空白选项)</formula1>
    </dataValidation>
    <dataValidation type="list" allowBlank="1" showErrorMessage="1" errorTitle="请检查输入" error="请选择列表项目或填写允许的数值。" sqref="E14:G14">
      <formula1>IF(幕间计算!$AQ$17=0,空白选项,IF($F$8="研究非自然知识",有效关系,有效非DG关系))</formula1>
    </dataValidation>
    <dataValidation type="whole" operator="between" allowBlank="1" showErrorMessage="1" errorTitle="请检查输入" error="请选择列表项目或填写允许的数值。" sqref="J14:K14 J30:J89">
      <formula1>1</formula1>
      <formula2>4</formula2>
    </dataValidation>
    <dataValidation type="list" allowBlank="1" showErrorMessage="1" errorTitle="请检查输入" error="请选择列表项目或填写允许的数值。" sqref="E15:G15">
      <formula1>IF(幕间计算!$AQ$18=1,有效非DG关系,空白选项)</formula1>
    </dataValidation>
  </dataValidations>
  <hyperlinks>
    <hyperlink ref="A2" location="'人物卡'!B2" display="返回人物卡"/>
    <hyperlink ref="C2" location="'模组经历备忘录'!A1" display="模组经历"/>
    <hyperlink ref="E2" location="'幕间与结算'!A27" display="技能成长"/>
    <hyperlink ref="H2" location="'幕间与结算'!A104" display="归档记录"/>
    <hyperlink ref="J2" location="失败标记" display="选择失败标记"/>
    <hyperlink ref="A25" location="本次幕间记录" display="选取本次幕间记录"/>
    <hyperlink ref="E25" location="归档空行" display="前往归档空行"/>
    <hyperlink ref="H25" location="本次幕间输入" display="选取本次输入（Delete清空）"/>
    <hyperlink ref="A91" location="本次成长记录" display="选取本次成长记录"/>
    <hyperlink ref="E91" location="归档空行" display="前往归档空行"/>
    <hyperlink ref="D91" location="'理智与关系记录'!A1" display="理智与关系记录"/>
    <hyperlink ref="H91" location="本次骰点" display="选取本次骰点（Delete清空）"/>
  </hyperlink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99"/>
  <sheetViews>
    <sheetView showGridLines="0" zoomScale="85" zoomScaleNormal="85" topLeftCell="A20" workbookViewId="0">
      <selection activeCell="A52" sqref="A52:AJ56"/>
    </sheetView>
  </sheetViews>
  <sheetFormatPr defaultColWidth="2.58333333333333" defaultRowHeight="14"/>
  <cols>
    <col min="1" max="36" width="2.58333333333333" customWidth="1"/>
  </cols>
  <sheetData>
    <row r="1" spans="1:36">
      <c r="A1" s="29" t="s">
        <v>2669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1"/>
    </row>
    <row r="2" spans="1:36">
      <c r="A2" s="32"/>
      <c r="AJ2" s="33"/>
    </row>
    <row r="3" spans="1:36">
      <c r="A3" s="34"/>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6"/>
    </row>
    <row r="4" ht="16.5" spans="1:36">
      <c r="A4" s="37" t="s">
        <v>2670</v>
      </c>
      <c r="B4" s="38"/>
      <c r="C4" s="38"/>
      <c r="D4" s="38"/>
      <c r="E4" s="38"/>
      <c r="F4" s="38"/>
      <c r="G4" s="38"/>
      <c r="H4" s="38"/>
      <c r="I4" s="38"/>
      <c r="J4" s="38"/>
      <c r="K4" s="38"/>
      <c r="L4" s="38"/>
      <c r="M4" s="38"/>
      <c r="N4" s="38"/>
      <c r="O4" s="38"/>
      <c r="P4" s="38"/>
      <c r="Q4" s="38"/>
      <c r="R4" s="39"/>
      <c r="S4" s="37" t="s">
        <v>2671</v>
      </c>
      <c r="T4" s="38"/>
      <c r="U4" s="38"/>
      <c r="V4" s="38"/>
      <c r="W4" s="38"/>
      <c r="X4" s="38"/>
      <c r="Y4" s="38"/>
      <c r="Z4" s="38"/>
      <c r="AA4" s="38"/>
      <c r="AB4" s="38"/>
      <c r="AC4" s="38"/>
      <c r="AD4" s="38"/>
      <c r="AE4" s="38"/>
      <c r="AF4" s="38"/>
      <c r="AG4" s="38"/>
      <c r="AH4" s="38"/>
      <c r="AI4" s="38"/>
      <c r="AJ4" s="39"/>
    </row>
    <row r="5" ht="16.5" spans="1:36">
      <c r="A5" s="40" t="str">
        <f>IF(人物卡!E4="","",人物卡!E4)</f>
        <v/>
      </c>
      <c r="B5" s="38"/>
      <c r="C5" s="38"/>
      <c r="D5" s="38"/>
      <c r="E5" s="38"/>
      <c r="F5" s="38"/>
      <c r="G5" s="38"/>
      <c r="H5" s="38"/>
      <c r="I5" s="38"/>
      <c r="J5" s="38"/>
      <c r="K5" s="38"/>
      <c r="L5" s="38"/>
      <c r="M5" s="38"/>
      <c r="N5" s="38"/>
      <c r="O5" s="38"/>
      <c r="P5" s="38"/>
      <c r="Q5" s="38"/>
      <c r="R5" s="39"/>
      <c r="S5" s="40" t="str">
        <f>IF(人物卡!E8&lt;&gt;"",人物卡!E8,IF(OR(人物卡!H46="（创建新职业）",人物卡!H46=""),"",人物卡!H46))</f>
        <v/>
      </c>
      <c r="T5" s="38"/>
      <c r="U5" s="38"/>
      <c r="V5" s="38"/>
      <c r="W5" s="38"/>
      <c r="X5" s="38"/>
      <c r="Y5" s="38"/>
      <c r="Z5" s="38"/>
      <c r="AA5" s="38"/>
      <c r="AB5" s="38"/>
      <c r="AC5" s="38"/>
      <c r="AD5" s="38"/>
      <c r="AE5" s="38"/>
      <c r="AF5" s="38"/>
      <c r="AG5" s="38"/>
      <c r="AH5" s="38"/>
      <c r="AI5" s="38"/>
      <c r="AJ5" s="39"/>
    </row>
    <row r="6" ht="16.5" spans="1:36">
      <c r="A6" s="37" t="s">
        <v>2672</v>
      </c>
      <c r="B6" s="38"/>
      <c r="C6" s="38"/>
      <c r="D6" s="38"/>
      <c r="E6" s="38"/>
      <c r="F6" s="38"/>
      <c r="G6" s="38"/>
      <c r="H6" s="38"/>
      <c r="I6" s="38"/>
      <c r="J6" s="38"/>
      <c r="K6" s="38"/>
      <c r="L6" s="38"/>
      <c r="M6" s="38"/>
      <c r="N6" s="38"/>
      <c r="O6" s="38"/>
      <c r="P6" s="38"/>
      <c r="Q6" s="38"/>
      <c r="R6" s="39"/>
      <c r="S6" s="37" t="s">
        <v>2673</v>
      </c>
      <c r="T6" s="38"/>
      <c r="U6" s="38"/>
      <c r="V6" s="38"/>
      <c r="W6" s="38"/>
      <c r="X6" s="38"/>
      <c r="Y6" s="38"/>
      <c r="Z6" s="38"/>
      <c r="AA6" s="38"/>
      <c r="AB6" s="38"/>
      <c r="AC6" s="38"/>
      <c r="AD6" s="38"/>
      <c r="AE6" s="38"/>
      <c r="AF6" s="38"/>
      <c r="AG6" s="38"/>
      <c r="AH6" s="38"/>
      <c r="AI6" s="38"/>
      <c r="AJ6" s="39"/>
    </row>
    <row r="7" ht="16.5" spans="1:36">
      <c r="A7" s="40" t="str">
        <f>IF(人物卡!E7="","",人物卡!E7)</f>
        <v/>
      </c>
      <c r="B7" s="38"/>
      <c r="C7" s="38"/>
      <c r="D7" s="38"/>
      <c r="E7" s="38"/>
      <c r="F7" s="38"/>
      <c r="G7" s="38"/>
      <c r="H7" s="38"/>
      <c r="I7" s="38"/>
      <c r="J7" s="38"/>
      <c r="K7" s="38"/>
      <c r="L7" s="38"/>
      <c r="M7" s="38"/>
      <c r="N7" s="38"/>
      <c r="O7" s="38"/>
      <c r="P7" s="38"/>
      <c r="Q7" s="38"/>
      <c r="R7" s="39"/>
      <c r="S7" s="40" t="str">
        <f>IF(人物卡!E6="","",人物卡!E6)</f>
        <v/>
      </c>
      <c r="T7" s="38"/>
      <c r="U7" s="38"/>
      <c r="V7" s="38"/>
      <c r="W7" s="38"/>
      <c r="X7" s="38"/>
      <c r="Y7" s="38"/>
      <c r="Z7" s="38"/>
      <c r="AA7" s="38"/>
      <c r="AB7" s="38"/>
      <c r="AC7" s="38"/>
      <c r="AD7" s="38"/>
      <c r="AE7" s="38"/>
      <c r="AF7" s="38"/>
      <c r="AG7" s="38"/>
      <c r="AH7" s="38"/>
      <c r="AI7" s="38"/>
      <c r="AJ7" s="39"/>
    </row>
    <row r="8" ht="16.5" spans="1:36">
      <c r="A8" s="37" t="s">
        <v>2674</v>
      </c>
      <c r="B8" s="38"/>
      <c r="C8" s="38"/>
      <c r="D8" s="38"/>
      <c r="E8" s="38"/>
      <c r="F8" s="38"/>
      <c r="G8" s="39"/>
      <c r="H8" s="37" t="s">
        <v>2675</v>
      </c>
      <c r="I8" s="38"/>
      <c r="J8" s="38"/>
      <c r="K8" s="38"/>
      <c r="L8" s="38"/>
      <c r="M8" s="39"/>
      <c r="N8" s="37" t="s">
        <v>2676</v>
      </c>
      <c r="O8" s="38"/>
      <c r="P8" s="38"/>
      <c r="Q8" s="38"/>
      <c r="R8" s="38"/>
      <c r="S8" s="38"/>
      <c r="T8" s="38"/>
      <c r="U8" s="38"/>
      <c r="V8" s="38"/>
      <c r="W8" s="38"/>
      <c r="X8" s="38"/>
      <c r="Y8" s="38"/>
      <c r="Z8" s="38"/>
      <c r="AA8" s="38"/>
      <c r="AB8" s="38"/>
      <c r="AC8" s="38"/>
      <c r="AD8" s="38"/>
      <c r="AE8" s="38"/>
      <c r="AF8" s="38"/>
      <c r="AG8" s="38"/>
      <c r="AH8" s="38"/>
      <c r="AI8" s="38"/>
      <c r="AJ8" s="39"/>
    </row>
    <row r="9" ht="16.5" spans="1:36">
      <c r="A9" s="40" t="str">
        <f>IF(人物卡!E5="","",人物卡!E5)</f>
        <v/>
      </c>
      <c r="B9" s="38"/>
      <c r="C9" s="38"/>
      <c r="D9" s="38"/>
      <c r="E9" s="38"/>
      <c r="F9" s="38"/>
      <c r="G9" s="39"/>
      <c r="H9" s="40" t="str">
        <f>IF(人物卡!Q5="","",人物卡!Q5)</f>
        <v/>
      </c>
      <c r="I9" s="38"/>
      <c r="J9" s="38"/>
      <c r="K9" s="38"/>
      <c r="L9" s="38"/>
      <c r="M9" s="39"/>
      <c r="N9" s="40" t="str">
        <f>IF(人物卡!BI28="","",IF(LEN(人物卡!BI28)&gt;35,"详见背面个人详情及备注",人物卡!BI28))</f>
        <v/>
      </c>
      <c r="O9" s="38"/>
      <c r="P9" s="38"/>
      <c r="Q9" s="38"/>
      <c r="R9" s="38"/>
      <c r="S9" s="38"/>
      <c r="T9" s="38"/>
      <c r="U9" s="38"/>
      <c r="V9" s="38"/>
      <c r="W9" s="38"/>
      <c r="X9" s="38"/>
      <c r="Y9" s="38"/>
      <c r="Z9" s="38"/>
      <c r="AA9" s="38"/>
      <c r="AB9" s="38"/>
      <c r="AC9" s="38"/>
      <c r="AD9" s="38"/>
      <c r="AE9" s="38"/>
      <c r="AF9" s="38"/>
      <c r="AG9" s="38"/>
      <c r="AH9" s="38"/>
      <c r="AI9" s="38"/>
      <c r="AJ9" s="39"/>
    </row>
    <row r="10" ht="16.5" spans="1:36">
      <c r="A10" s="37" t="s">
        <v>2677</v>
      </c>
      <c r="B10" s="38"/>
      <c r="C10" s="38"/>
      <c r="D10" s="38"/>
      <c r="E10" s="38"/>
      <c r="F10" s="39"/>
      <c r="G10" s="37" t="s">
        <v>88</v>
      </c>
      <c r="H10" s="38"/>
      <c r="I10" s="39"/>
      <c r="J10" s="37" t="s">
        <v>4</v>
      </c>
      <c r="K10" s="38"/>
      <c r="L10" s="39"/>
      <c r="M10" s="37" t="s">
        <v>2678</v>
      </c>
      <c r="N10" s="38"/>
      <c r="O10" s="38"/>
      <c r="P10" s="38"/>
      <c r="Q10" s="38"/>
      <c r="R10" s="38"/>
      <c r="S10" s="39"/>
      <c r="T10" s="37" t="s">
        <v>2679</v>
      </c>
      <c r="U10" s="38"/>
      <c r="V10" s="38"/>
      <c r="W10" s="38"/>
      <c r="X10" s="38"/>
      <c r="Y10" s="38"/>
      <c r="Z10" s="38"/>
      <c r="AA10" s="38"/>
      <c r="AB10" s="38"/>
      <c r="AC10" s="38"/>
      <c r="AD10" s="38"/>
      <c r="AE10" s="38"/>
      <c r="AF10" s="39"/>
      <c r="AG10" s="41" t="s">
        <v>2680</v>
      </c>
      <c r="AH10" s="42"/>
      <c r="AI10" s="42"/>
      <c r="AJ10" s="43"/>
    </row>
    <row r="11" ht="16.5" spans="1:36">
      <c r="A11" s="40" t="s">
        <v>2681</v>
      </c>
      <c r="B11" s="38"/>
      <c r="C11" s="38"/>
      <c r="D11" s="38"/>
      <c r="E11" s="38"/>
      <c r="F11" s="39"/>
      <c r="G11" s="44">
        <f>IF(人物卡!AN3="",0,人物卡!AN3)</f>
        <v>0</v>
      </c>
      <c r="H11" s="38"/>
      <c r="I11" s="39"/>
      <c r="J11" s="44">
        <f>IF(人物卡!AK3="",0,人物卡!AK3)</f>
        <v>0</v>
      </c>
      <c r="K11" s="38"/>
      <c r="L11" s="39"/>
      <c r="M11" s="40" t="str">
        <f>IF(人物卡!AQ3="","",人物卡!AQ3)</f>
        <v/>
      </c>
      <c r="N11" s="38"/>
      <c r="O11" s="38"/>
      <c r="P11" s="38"/>
      <c r="Q11" s="38"/>
      <c r="R11" s="38"/>
      <c r="S11" s="39"/>
      <c r="T11" s="45" t="s">
        <v>62</v>
      </c>
      <c r="U11" s="46" t="str">
        <f>IF(人物卡!CZ23="","",IF(人物卡!EF24="√","[DG] ","")&amp;人物卡!CZ23)</f>
        <v>父母或祖父母之一</v>
      </c>
      <c r="V11" s="46"/>
      <c r="W11" s="46"/>
      <c r="X11" s="46"/>
      <c r="Y11" s="46"/>
      <c r="Z11" s="46"/>
      <c r="AA11" s="46"/>
      <c r="AB11" s="46"/>
      <c r="AC11" s="46"/>
      <c r="AD11" s="46"/>
      <c r="AE11" s="46"/>
      <c r="AF11" s="47"/>
      <c r="AG11" s="44">
        <f>IF(人物卡!ED24="","",人物卡!ED24)</f>
        <v>0</v>
      </c>
      <c r="AH11" s="38"/>
      <c r="AI11" s="38"/>
      <c r="AJ11" s="39"/>
    </row>
    <row r="12" ht="16.5" spans="1:36">
      <c r="A12" s="40" t="s">
        <v>2682</v>
      </c>
      <c r="B12" s="38"/>
      <c r="C12" s="38"/>
      <c r="D12" s="38"/>
      <c r="E12" s="38"/>
      <c r="F12" s="39"/>
      <c r="G12" s="44">
        <f>IF(人物卡!AN4="",0,人物卡!AN4)</f>
        <v>0</v>
      </c>
      <c r="H12" s="38"/>
      <c r="I12" s="39"/>
      <c r="J12" s="44">
        <f>IF(人物卡!AK4="",0,人物卡!AK4)</f>
        <v>0</v>
      </c>
      <c r="K12" s="38"/>
      <c r="L12" s="39"/>
      <c r="M12" s="40" t="str">
        <f>IF(人物卡!AQ4="","",人物卡!AQ4)</f>
        <v/>
      </c>
      <c r="N12" s="38"/>
      <c r="O12" s="38"/>
      <c r="P12" s="38"/>
      <c r="Q12" s="38"/>
      <c r="R12" s="38"/>
      <c r="S12" s="39"/>
      <c r="T12" s="45" t="s">
        <v>62</v>
      </c>
      <c r="U12" s="46" t="str">
        <f>IF(人物卡!CZ26="","",IF(人物卡!EF27="√","[DG] ","")&amp;人物卡!CZ26)</f>
        <v>儿子或女儿</v>
      </c>
      <c r="V12" s="46"/>
      <c r="W12" s="46"/>
      <c r="X12" s="46"/>
      <c r="Y12" s="46"/>
      <c r="Z12" s="46"/>
      <c r="AA12" s="46"/>
      <c r="AB12" s="46"/>
      <c r="AC12" s="46"/>
      <c r="AD12" s="46"/>
      <c r="AE12" s="46"/>
      <c r="AF12" s="47"/>
      <c r="AG12" s="44">
        <f>IF(人物卡!ED27="","",人物卡!ED27)</f>
        <v>0</v>
      </c>
      <c r="AH12" s="38"/>
      <c r="AI12" s="38"/>
      <c r="AJ12" s="39"/>
    </row>
    <row r="13" ht="16.5" spans="1:36">
      <c r="A13" s="40" t="s">
        <v>2683</v>
      </c>
      <c r="B13" s="38"/>
      <c r="C13" s="38"/>
      <c r="D13" s="38"/>
      <c r="E13" s="38"/>
      <c r="F13" s="39"/>
      <c r="G13" s="44">
        <f>IF(人物卡!AN5="",0,人物卡!AN5)</f>
        <v>0</v>
      </c>
      <c r="H13" s="38"/>
      <c r="I13" s="39"/>
      <c r="J13" s="44">
        <f>IF(人物卡!AK5="",0,人物卡!AK5)</f>
        <v>0</v>
      </c>
      <c r="K13" s="38"/>
      <c r="L13" s="39"/>
      <c r="M13" s="40" t="str">
        <f>IF(人物卡!AQ5="","",人物卡!AQ5)</f>
        <v/>
      </c>
      <c r="N13" s="38"/>
      <c r="O13" s="38"/>
      <c r="P13" s="38"/>
      <c r="Q13" s="38"/>
      <c r="R13" s="38"/>
      <c r="S13" s="39"/>
      <c r="T13" s="45" t="s">
        <v>62</v>
      </c>
      <c r="U13" s="46" t="str">
        <f>IF(人物卡!CZ29="","",IF(人物卡!EF30="√","[DG] ","")&amp;人物卡!CZ29)</f>
        <v>父母或祖父母之一</v>
      </c>
      <c r="V13" s="46"/>
      <c r="W13" s="46"/>
      <c r="X13" s="46"/>
      <c r="Y13" s="46"/>
      <c r="Z13" s="46"/>
      <c r="AA13" s="46"/>
      <c r="AB13" s="46"/>
      <c r="AC13" s="46"/>
      <c r="AD13" s="46"/>
      <c r="AE13" s="46"/>
      <c r="AF13" s="47"/>
      <c r="AG13" s="44">
        <f>IF(人物卡!ED30="","",人物卡!ED30)</f>
        <v>0</v>
      </c>
      <c r="AH13" s="38"/>
      <c r="AI13" s="38"/>
      <c r="AJ13" s="39"/>
    </row>
    <row r="14" ht="16.5" spans="1:36">
      <c r="A14" s="40" t="s">
        <v>2684</v>
      </c>
      <c r="B14" s="38"/>
      <c r="C14" s="38"/>
      <c r="D14" s="38"/>
      <c r="E14" s="38"/>
      <c r="F14" s="39"/>
      <c r="G14" s="44">
        <f>IF(人物卡!AN6="",0,人物卡!AN6)</f>
        <v>0</v>
      </c>
      <c r="H14" s="38"/>
      <c r="I14" s="39"/>
      <c r="J14" s="44">
        <f>IF(人物卡!AK6="",0,人物卡!AK6)</f>
        <v>0</v>
      </c>
      <c r="K14" s="38"/>
      <c r="L14" s="39"/>
      <c r="M14" s="40" t="str">
        <f>IF(人物卡!AQ6="","",人物卡!AQ6)</f>
        <v/>
      </c>
      <c r="N14" s="38"/>
      <c r="O14" s="38"/>
      <c r="P14" s="38"/>
      <c r="Q14" s="38"/>
      <c r="R14" s="38"/>
      <c r="S14" s="39"/>
      <c r="T14" s="45" t="s">
        <v>62</v>
      </c>
      <c r="U14" s="46" t="str">
        <f>IF(人物卡!CZ32="","",IF(人物卡!EF33="√","[DG] ","")&amp;人物卡!CZ32)</f>
        <v/>
      </c>
      <c r="V14" s="46"/>
      <c r="W14" s="46"/>
      <c r="X14" s="46"/>
      <c r="Y14" s="46"/>
      <c r="Z14" s="46"/>
      <c r="AA14" s="46"/>
      <c r="AB14" s="46"/>
      <c r="AC14" s="46"/>
      <c r="AD14" s="46"/>
      <c r="AE14" s="46"/>
      <c r="AF14" s="47"/>
      <c r="AG14" s="44" t="str">
        <f>IF(人物卡!ED33="","",人物卡!ED33)</f>
        <v/>
      </c>
      <c r="AH14" s="38"/>
      <c r="AI14" s="38"/>
      <c r="AJ14" s="39"/>
    </row>
    <row r="15" ht="16.5" spans="1:36">
      <c r="A15" s="40" t="s">
        <v>2685</v>
      </c>
      <c r="B15" s="38"/>
      <c r="C15" s="38"/>
      <c r="D15" s="38"/>
      <c r="E15" s="38"/>
      <c r="F15" s="39"/>
      <c r="G15" s="44">
        <f>IF(人物卡!AN7="",0,人物卡!AN7)</f>
        <v>0</v>
      </c>
      <c r="H15" s="38"/>
      <c r="I15" s="39"/>
      <c r="J15" s="44">
        <f>IF(人物卡!AK7="",0,人物卡!AK7)</f>
        <v>0</v>
      </c>
      <c r="K15" s="38"/>
      <c r="L15" s="39"/>
      <c r="M15" s="40" t="str">
        <f>IF(人物卡!AQ7="","",人物卡!AQ7)</f>
        <v/>
      </c>
      <c r="N15" s="38"/>
      <c r="O15" s="38"/>
      <c r="P15" s="38"/>
      <c r="Q15" s="38"/>
      <c r="R15" s="38"/>
      <c r="S15" s="39"/>
      <c r="T15" s="45" t="s">
        <v>62</v>
      </c>
      <c r="U15" s="46" t="str">
        <f>IF(人物卡!CZ35="","",IF(人物卡!EF36="√","[DG] ","")&amp;人物卡!CZ35)</f>
        <v/>
      </c>
      <c r="V15" s="46"/>
      <c r="W15" s="46"/>
      <c r="X15" s="46"/>
      <c r="Y15" s="46"/>
      <c r="Z15" s="46"/>
      <c r="AA15" s="46"/>
      <c r="AB15" s="46"/>
      <c r="AC15" s="46"/>
      <c r="AD15" s="46"/>
      <c r="AE15" s="46"/>
      <c r="AF15" s="47"/>
      <c r="AG15" s="44" t="str">
        <f>IF(人物卡!ED36="","",人物卡!ED36)</f>
        <v/>
      </c>
      <c r="AH15" s="38"/>
      <c r="AI15" s="38"/>
      <c r="AJ15" s="39"/>
    </row>
    <row r="16" ht="16.5" spans="1:36">
      <c r="A16" s="40" t="s">
        <v>2686</v>
      </c>
      <c r="B16" s="38"/>
      <c r="C16" s="38"/>
      <c r="D16" s="38"/>
      <c r="E16" s="38"/>
      <c r="F16" s="39"/>
      <c r="G16" s="44">
        <f>IF(人物卡!AN8="",0,人物卡!AN8)</f>
        <v>0</v>
      </c>
      <c r="H16" s="38"/>
      <c r="I16" s="39"/>
      <c r="J16" s="44">
        <f>IF(人物卡!AK8="",0,人物卡!AK8)</f>
        <v>0</v>
      </c>
      <c r="K16" s="38"/>
      <c r="L16" s="39"/>
      <c r="M16" s="40" t="str">
        <f>IF(人物卡!AQ8="","",人物卡!AQ8)</f>
        <v/>
      </c>
      <c r="N16" s="38"/>
      <c r="O16" s="38"/>
      <c r="P16" s="38"/>
      <c r="Q16" s="38"/>
      <c r="R16" s="38"/>
      <c r="S16" s="39"/>
      <c r="T16" s="40" t="s">
        <v>2687</v>
      </c>
      <c r="U16" s="38"/>
      <c r="V16" s="38"/>
      <c r="W16" s="38"/>
      <c r="X16" s="38"/>
      <c r="Y16" s="38"/>
      <c r="Z16" s="38"/>
      <c r="AA16" s="38"/>
      <c r="AB16" s="38"/>
      <c r="AC16" s="38"/>
      <c r="AD16" s="38"/>
      <c r="AE16" s="38"/>
      <c r="AF16" s="38"/>
      <c r="AG16" s="38"/>
      <c r="AH16" s="38"/>
      <c r="AI16" s="38"/>
      <c r="AJ16" s="39"/>
    </row>
    <row r="17" ht="16.5" spans="1:36">
      <c r="A17" s="37" t="s">
        <v>2688</v>
      </c>
      <c r="B17" s="38"/>
      <c r="C17" s="38"/>
      <c r="D17" s="38"/>
      <c r="E17" s="38"/>
      <c r="F17" s="38"/>
      <c r="G17" s="38"/>
      <c r="H17" s="39"/>
      <c r="I17" s="41" t="s">
        <v>2689</v>
      </c>
      <c r="J17" s="42"/>
      <c r="K17" s="42"/>
      <c r="L17" s="42"/>
      <c r="M17" s="42"/>
      <c r="N17" s="43"/>
      <c r="O17" s="37" t="s">
        <v>2690</v>
      </c>
      <c r="P17" s="38"/>
      <c r="Q17" s="38"/>
      <c r="R17" s="38"/>
      <c r="S17" s="39"/>
      <c r="T17" s="37" t="s">
        <v>2691</v>
      </c>
      <c r="U17" s="38"/>
      <c r="V17" s="38"/>
      <c r="W17" s="38"/>
      <c r="X17" s="38"/>
      <c r="Y17" s="38"/>
      <c r="Z17" s="38"/>
      <c r="AA17" s="38"/>
      <c r="AB17" s="38"/>
      <c r="AC17" s="38"/>
      <c r="AD17" s="38"/>
      <c r="AE17" s="38"/>
      <c r="AF17" s="38"/>
      <c r="AG17" s="38"/>
      <c r="AH17" s="38"/>
      <c r="AI17" s="38"/>
      <c r="AJ17" s="39"/>
    </row>
    <row r="18" ht="16.5" spans="1:36">
      <c r="A18" s="40" t="s">
        <v>2692</v>
      </c>
      <c r="B18" s="38"/>
      <c r="C18" s="38"/>
      <c r="D18" s="38"/>
      <c r="E18" s="38"/>
      <c r="F18" s="38"/>
      <c r="G18" s="38"/>
      <c r="H18" s="39"/>
      <c r="I18" s="44">
        <f>IF(人物卡!K10="",0,人物卡!K10)</f>
        <v>0</v>
      </c>
      <c r="J18" s="38"/>
      <c r="K18" s="38"/>
      <c r="L18" s="38"/>
      <c r="M18" s="38"/>
      <c r="N18" s="39"/>
      <c r="O18" s="44">
        <f>IF(人物卡!H10="",0,人物卡!H10)</f>
        <v>0</v>
      </c>
      <c r="P18" s="38"/>
      <c r="Q18" s="38"/>
      <c r="R18" s="38"/>
      <c r="S18" s="39"/>
      <c r="T18" s="48" t="str">
        <f>人物卡!BN17&amp;CHAR(10)&amp;人物卡!BN19&amp;CHAR(10)&amp;人物卡!BN21&amp;CHAR(10)&amp;人物卡!BN23&amp;CHAR(10)&amp;人物卡!BN25</f>
        <v>
</v>
      </c>
      <c r="U18" s="49"/>
      <c r="V18" s="49"/>
      <c r="W18" s="49"/>
      <c r="X18" s="49"/>
      <c r="Y18" s="49"/>
      <c r="Z18" s="49"/>
      <c r="AA18" s="49"/>
      <c r="AB18" s="49"/>
      <c r="AC18" s="49"/>
      <c r="AD18" s="49"/>
      <c r="AE18" s="49"/>
      <c r="AF18" s="49"/>
      <c r="AG18" s="49"/>
      <c r="AH18" s="49"/>
      <c r="AI18" s="49"/>
      <c r="AJ18" s="50"/>
    </row>
    <row r="19" ht="16.5" spans="1:36">
      <c r="A19" s="40" t="s">
        <v>2693</v>
      </c>
      <c r="B19" s="38"/>
      <c r="C19" s="38"/>
      <c r="D19" s="38"/>
      <c r="E19" s="38"/>
      <c r="F19" s="38"/>
      <c r="G19" s="38"/>
      <c r="H19" s="39"/>
      <c r="I19" s="44">
        <f>IF(人物卡!Y10="",0,人物卡!Y10)</f>
        <v>0</v>
      </c>
      <c r="J19" s="38"/>
      <c r="K19" s="38"/>
      <c r="L19" s="38"/>
      <c r="M19" s="38"/>
      <c r="N19" s="39"/>
      <c r="O19" s="44">
        <f>IF(人物卡!V10="",0,人物卡!V10)</f>
        <v>0</v>
      </c>
      <c r="P19" s="38"/>
      <c r="Q19" s="38"/>
      <c r="R19" s="38"/>
      <c r="S19" s="39"/>
      <c r="T19" s="51"/>
      <c r="U19" s="52"/>
      <c r="V19" s="52"/>
      <c r="W19" s="52"/>
      <c r="X19" s="52"/>
      <c r="Y19" s="52"/>
      <c r="Z19" s="52"/>
      <c r="AA19" s="52"/>
      <c r="AB19" s="52"/>
      <c r="AC19" s="52"/>
      <c r="AD19" s="52"/>
      <c r="AE19" s="52"/>
      <c r="AF19" s="52"/>
      <c r="AG19" s="52"/>
      <c r="AH19" s="52"/>
      <c r="AI19" s="52"/>
      <c r="AJ19" s="53"/>
    </row>
    <row r="20" ht="16.5" spans="1:36">
      <c r="A20" s="40" t="s">
        <v>2694</v>
      </c>
      <c r="B20" s="38"/>
      <c r="C20" s="38"/>
      <c r="D20" s="38"/>
      <c r="E20" s="38"/>
      <c r="F20" s="38"/>
      <c r="G20" s="38"/>
      <c r="H20" s="39"/>
      <c r="I20" s="44">
        <f ca="1">IF(人物卡!AK10="",0,人物卡!AK10)</f>
        <v>99</v>
      </c>
      <c r="J20" s="38"/>
      <c r="K20" s="38"/>
      <c r="L20" s="38"/>
      <c r="M20" s="38"/>
      <c r="N20" s="39"/>
      <c r="O20" s="44">
        <f>IF(人物卡!AH10="",0,人物卡!AH10)</f>
        <v>0</v>
      </c>
      <c r="P20" s="38"/>
      <c r="Q20" s="38"/>
      <c r="R20" s="38"/>
      <c r="S20" s="39"/>
      <c r="T20" s="51"/>
      <c r="U20" s="52"/>
      <c r="V20" s="52"/>
      <c r="W20" s="52"/>
      <c r="X20" s="52"/>
      <c r="Y20" s="52"/>
      <c r="Z20" s="52"/>
      <c r="AA20" s="52"/>
      <c r="AB20" s="52"/>
      <c r="AC20" s="52"/>
      <c r="AD20" s="52"/>
      <c r="AE20" s="52"/>
      <c r="AF20" s="52"/>
      <c r="AG20" s="52"/>
      <c r="AH20" s="52"/>
      <c r="AI20" s="52"/>
      <c r="AJ20" s="53"/>
    </row>
    <row r="21" ht="16.5" spans="1:36">
      <c r="A21" s="40" t="s">
        <v>2695</v>
      </c>
      <c r="B21" s="38"/>
      <c r="C21" s="38"/>
      <c r="D21" s="38"/>
      <c r="E21" s="38"/>
      <c r="F21" s="38"/>
      <c r="G21" s="38"/>
      <c r="H21" s="39"/>
      <c r="I21" s="44" t="s">
        <v>2403</v>
      </c>
      <c r="J21" s="38"/>
      <c r="K21" s="38"/>
      <c r="L21" s="38"/>
      <c r="M21" s="38"/>
      <c r="N21" s="39"/>
      <c r="O21" s="44">
        <f>IF(人物卡!AU10="",0,人物卡!AU10)</f>
        <v>0</v>
      </c>
      <c r="P21" s="38"/>
      <c r="Q21" s="38"/>
      <c r="R21" s="38"/>
      <c r="S21" s="39"/>
      <c r="T21" s="51"/>
      <c r="U21" s="52"/>
      <c r="V21" s="52"/>
      <c r="W21" s="52"/>
      <c r="X21" s="52"/>
      <c r="Y21" s="52"/>
      <c r="Z21" s="52"/>
      <c r="AA21" s="52"/>
      <c r="AB21" s="52"/>
      <c r="AC21" s="52"/>
      <c r="AD21" s="52"/>
      <c r="AE21" s="52"/>
      <c r="AF21" s="52"/>
      <c r="AG21" s="52"/>
      <c r="AH21" s="52"/>
      <c r="AI21" s="52"/>
      <c r="AJ21" s="53"/>
    </row>
    <row r="22" ht="16.5" spans="1:36">
      <c r="A22" s="54" t="s">
        <v>2696</v>
      </c>
      <c r="B22" s="46"/>
      <c r="C22" s="46"/>
      <c r="D22" s="46"/>
      <c r="E22" s="46"/>
      <c r="F22" s="46"/>
      <c r="G22" s="46"/>
      <c r="H22" s="46"/>
      <c r="I22" s="46"/>
      <c r="J22" s="46"/>
      <c r="K22" s="46"/>
      <c r="L22" s="46"/>
      <c r="M22" s="46"/>
      <c r="N22" s="46"/>
      <c r="O22" s="46"/>
      <c r="P22" s="46"/>
      <c r="Q22" s="46"/>
      <c r="R22" s="46"/>
      <c r="S22" s="47"/>
      <c r="T22" s="55"/>
      <c r="U22" s="56"/>
      <c r="V22" s="56"/>
      <c r="W22" s="56"/>
      <c r="X22" s="56"/>
      <c r="Y22" s="56"/>
      <c r="Z22" s="56"/>
      <c r="AA22" s="56"/>
      <c r="AB22" s="56"/>
      <c r="AC22" s="56"/>
      <c r="AD22" s="56"/>
      <c r="AE22" s="56"/>
      <c r="AF22" s="56"/>
      <c r="AG22" s="56"/>
      <c r="AH22" s="56"/>
      <c r="AI22" s="56"/>
      <c r="AJ22" s="57"/>
    </row>
    <row r="23" ht="16.5" spans="1:36">
      <c r="A23" s="37" t="s">
        <v>2697</v>
      </c>
      <c r="B23" s="38"/>
      <c r="C23" s="38"/>
      <c r="D23" s="38"/>
      <c r="E23" s="38"/>
      <c r="F23" s="38"/>
      <c r="G23" s="38"/>
      <c r="H23" s="38"/>
      <c r="I23" s="38"/>
      <c r="J23" s="38"/>
      <c r="K23" s="38"/>
      <c r="L23" s="38"/>
      <c r="M23" s="38"/>
      <c r="N23" s="38"/>
      <c r="O23" s="38"/>
      <c r="P23" s="38"/>
      <c r="Q23" s="38"/>
      <c r="R23" s="38"/>
      <c r="S23" s="39"/>
      <c r="T23" s="58" t="str">
        <f>人物卡!BN27</f>
        <v/>
      </c>
      <c r="U23" s="59"/>
      <c r="V23" s="59"/>
      <c r="W23" s="59"/>
      <c r="X23" s="59"/>
      <c r="Y23" s="59"/>
      <c r="Z23" s="59"/>
      <c r="AA23" s="59"/>
      <c r="AB23" s="59"/>
      <c r="AC23" s="59"/>
      <c r="AD23" s="59"/>
      <c r="AE23" s="59"/>
      <c r="AF23" s="59"/>
      <c r="AG23" s="59"/>
      <c r="AH23" s="59"/>
      <c r="AI23" s="59"/>
      <c r="AJ23" s="60"/>
    </row>
    <row r="24" spans="1:36">
      <c r="A24" s="61" t="str">
        <f>IF(人物卡!BN14="","",人物卡!BN14)</f>
        <v/>
      </c>
      <c r="B24" s="62"/>
      <c r="C24" s="62"/>
      <c r="D24" s="62"/>
      <c r="E24" s="62"/>
      <c r="F24" s="62"/>
      <c r="G24" s="62"/>
      <c r="H24" s="62"/>
      <c r="I24" s="62"/>
      <c r="J24" s="62"/>
      <c r="K24" s="62"/>
      <c r="L24" s="62"/>
      <c r="M24" s="62"/>
      <c r="N24" s="62"/>
      <c r="O24" s="62"/>
      <c r="P24" s="62"/>
      <c r="Q24" s="62"/>
      <c r="R24" s="62"/>
      <c r="S24" s="63"/>
      <c r="T24" s="64"/>
      <c r="U24" s="52"/>
      <c r="V24" s="52"/>
      <c r="W24" s="52"/>
      <c r="X24" s="52"/>
      <c r="Y24" s="52"/>
      <c r="Z24" s="52"/>
      <c r="AA24" s="52"/>
      <c r="AB24" s="52"/>
      <c r="AC24" s="52"/>
      <c r="AD24" s="52"/>
      <c r="AE24" s="52"/>
      <c r="AF24" s="52"/>
      <c r="AG24" s="52"/>
      <c r="AH24" s="52"/>
      <c r="AI24" s="52"/>
      <c r="AJ24" s="65"/>
    </row>
    <row r="25" spans="1:36">
      <c r="A25" s="66"/>
      <c r="B25" s="67"/>
      <c r="C25" s="67"/>
      <c r="D25" s="67"/>
      <c r="E25" s="67"/>
      <c r="F25" s="67"/>
      <c r="G25" s="67"/>
      <c r="H25" s="67"/>
      <c r="I25" s="67"/>
      <c r="J25" s="67"/>
      <c r="K25" s="67"/>
      <c r="L25" s="67"/>
      <c r="M25" s="67"/>
      <c r="N25" s="67"/>
      <c r="O25" s="67"/>
      <c r="P25" s="67"/>
      <c r="Q25" s="67"/>
      <c r="R25" s="67"/>
      <c r="S25" s="68"/>
      <c r="T25" s="69"/>
      <c r="U25" s="70"/>
      <c r="V25" s="70"/>
      <c r="W25" s="70"/>
      <c r="X25" s="70"/>
      <c r="Y25" s="70"/>
      <c r="Z25" s="70"/>
      <c r="AA25" s="70"/>
      <c r="AB25" s="70"/>
      <c r="AC25" s="70"/>
      <c r="AD25" s="70"/>
      <c r="AE25" s="70"/>
      <c r="AF25" s="70"/>
      <c r="AG25" s="70"/>
      <c r="AH25" s="70"/>
      <c r="AI25" s="70"/>
      <c r="AJ25" s="71"/>
    </row>
    <row r="26" ht="16.5" spans="1:36">
      <c r="A26" s="66"/>
      <c r="B26" s="67"/>
      <c r="C26" s="67"/>
      <c r="D26" s="67"/>
      <c r="E26" s="67"/>
      <c r="F26" s="67"/>
      <c r="G26" s="67"/>
      <c r="H26" s="67"/>
      <c r="I26" s="67"/>
      <c r="J26" s="67"/>
      <c r="K26" s="67"/>
      <c r="L26" s="67"/>
      <c r="M26" s="67"/>
      <c r="N26" s="67"/>
      <c r="O26" s="67"/>
      <c r="P26" s="67"/>
      <c r="Q26" s="67"/>
      <c r="R26" s="67"/>
      <c r="S26" s="68"/>
      <c r="T26" s="37" t="s">
        <v>2698</v>
      </c>
      <c r="U26" s="38"/>
      <c r="V26" s="38"/>
      <c r="W26" s="38"/>
      <c r="X26" s="38"/>
      <c r="Y26" s="38"/>
      <c r="Z26" s="38"/>
      <c r="AA26" s="38"/>
      <c r="AB26" s="38"/>
      <c r="AC26" s="38"/>
      <c r="AD26" s="38"/>
      <c r="AE26" s="38"/>
      <c r="AF26" s="38"/>
      <c r="AG26" s="38"/>
      <c r="AH26" s="38"/>
      <c r="AI26" s="38"/>
      <c r="AJ26" s="39"/>
    </row>
    <row r="27" ht="16.5" spans="1:36">
      <c r="A27" s="72"/>
      <c r="B27" s="73"/>
      <c r="C27" s="73"/>
      <c r="D27" s="73"/>
      <c r="E27" s="73"/>
      <c r="F27" s="73"/>
      <c r="G27" s="73"/>
      <c r="H27" s="73"/>
      <c r="I27" s="73"/>
      <c r="J27" s="73"/>
      <c r="K27" s="73"/>
      <c r="L27" s="73"/>
      <c r="M27" s="73"/>
      <c r="N27" s="73"/>
      <c r="O27" s="73"/>
      <c r="P27" s="73"/>
      <c r="Q27" s="73"/>
      <c r="R27" s="73"/>
      <c r="S27" s="74"/>
      <c r="T27" s="40" t="str">
        <f>"暴力行为  "&amp;IF(人物卡!BD10="","",人物卡!BD10)</f>
        <v>暴力行为  ☐☐☐</v>
      </c>
      <c r="U27" s="38"/>
      <c r="V27" s="38"/>
      <c r="W27" s="38"/>
      <c r="X27" s="38"/>
      <c r="Y27" s="38"/>
      <c r="Z27" s="38"/>
      <c r="AA27" s="38"/>
      <c r="AB27" s="39"/>
      <c r="AC27" s="40" t="str">
        <f>"无力感  "&amp;IF(人物卡!BD11="","",人物卡!BD11)</f>
        <v>无力感  ☐☐☐</v>
      </c>
      <c r="AD27" s="38"/>
      <c r="AE27" s="38"/>
      <c r="AF27" s="38"/>
      <c r="AG27" s="38"/>
      <c r="AH27" s="38"/>
      <c r="AI27" s="38"/>
      <c r="AJ27" s="39"/>
    </row>
    <row r="28" ht="16.5" spans="1:36">
      <c r="A28" s="37" t="s">
        <v>2699</v>
      </c>
      <c r="B28" s="38"/>
      <c r="C28" s="38"/>
      <c r="D28" s="38"/>
      <c r="E28" s="38"/>
      <c r="F28" s="38"/>
      <c r="G28" s="38"/>
      <c r="H28" s="38"/>
      <c r="I28" s="38"/>
      <c r="J28" s="39"/>
      <c r="K28" s="37" t="s">
        <v>2700</v>
      </c>
      <c r="L28" s="39"/>
      <c r="M28" s="37" t="s">
        <v>2699</v>
      </c>
      <c r="N28" s="38"/>
      <c r="O28" s="38"/>
      <c r="P28" s="38"/>
      <c r="Q28" s="38"/>
      <c r="R28" s="38"/>
      <c r="S28" s="38"/>
      <c r="T28" s="38"/>
      <c r="U28" s="38"/>
      <c r="V28" s="39"/>
      <c r="W28" s="37" t="s">
        <v>2700</v>
      </c>
      <c r="X28" s="39"/>
      <c r="Y28" s="37" t="s">
        <v>2699</v>
      </c>
      <c r="Z28" s="38"/>
      <c r="AA28" s="38"/>
      <c r="AB28" s="38"/>
      <c r="AC28" s="38"/>
      <c r="AD28" s="38"/>
      <c r="AE28" s="38"/>
      <c r="AF28" s="38"/>
      <c r="AG28" s="38"/>
      <c r="AH28" s="39"/>
      <c r="AI28" s="37" t="s">
        <v>2700</v>
      </c>
      <c r="AJ28" s="39"/>
    </row>
    <row r="29" ht="16.5" spans="1:36">
      <c r="A29" s="75" t="str">
        <f>IF(OR(人物卡!B14="√",人物卡!B14="✓",人物卡!B14="☑"),"☑","☐")</f>
        <v>☐</v>
      </c>
      <c r="B29" s="40" t="str">
        <f>人物卡!D14&amp;" ("&amp;IF(人物卡!S14="",0,人物卡!S14)&amp;"%)"</f>
        <v>会计学 (10%)</v>
      </c>
      <c r="C29" s="38"/>
      <c r="D29" s="38"/>
      <c r="E29" s="38"/>
      <c r="F29" s="38"/>
      <c r="G29" s="38"/>
      <c r="H29" s="38"/>
      <c r="I29" s="38"/>
      <c r="J29" s="39"/>
      <c r="K29" s="44">
        <f ca="1">IF(人物卡!P14="",0,人物卡!P14)</f>
        <v>10</v>
      </c>
      <c r="L29" s="39"/>
      <c r="M29" s="75" t="str">
        <f>IF(OR(人物卡!B34="√",人物卡!B34="✓",人物卡!B34="☑"),"☑","☐")</f>
        <v>☐</v>
      </c>
      <c r="N29" s="40" t="str">
        <f>人物卡!D34&amp;" ("&amp;IF(人物卡!S34="",0,人物卡!S34)&amp;"%)"</f>
        <v>射击 (20%)</v>
      </c>
      <c r="O29" s="38"/>
      <c r="P29" s="38"/>
      <c r="Q29" s="38"/>
      <c r="R29" s="38"/>
      <c r="S29" s="38"/>
      <c r="T29" s="38"/>
      <c r="U29" s="38"/>
      <c r="V29" s="39"/>
      <c r="W29" s="44">
        <f ca="1">IF(人物卡!P34="",0,人物卡!P34)</f>
        <v>20</v>
      </c>
      <c r="X29" s="39"/>
      <c r="Y29" s="75" t="str">
        <f>IF(OR(人物卡!AE24="√",人物卡!AE24="✓",人物卡!AE24="☑"),"☑","☐")</f>
        <v>☐</v>
      </c>
      <c r="Z29" s="40" t="str">
        <f ca="1">人物卡!AG24&amp;IF(人物卡!AM24="","________",人物卡!AM24)&amp;" ("&amp;IF(人物卡!AV24="",0,人物卡!AV24)&amp;"%)"</f>
        <v>特种载具：________ (0%)</v>
      </c>
      <c r="AA29" s="38"/>
      <c r="AB29" s="38"/>
      <c r="AC29" s="38"/>
      <c r="AD29" s="38"/>
      <c r="AE29" s="38"/>
      <c r="AF29" s="38"/>
      <c r="AG29" s="38"/>
      <c r="AH29" s="39"/>
      <c r="AI29" s="44">
        <f ca="1">IF(人物卡!AS24="",0,人物卡!AS24)</f>
        <v>0</v>
      </c>
      <c r="AJ29" s="39"/>
    </row>
    <row r="30" ht="16.5" spans="1:36">
      <c r="A30" s="75" t="str">
        <f>IF(OR(人物卡!B15="√",人物卡!B15="✓",人物卡!B15="☑"),"☑","☐")</f>
        <v>☐</v>
      </c>
      <c r="B30" s="40" t="str">
        <f>人物卡!D15&amp;" ("&amp;IF(人物卡!S15="",0,人物卡!S15)&amp;"%)"</f>
        <v>警觉 (20%)</v>
      </c>
      <c r="C30" s="38"/>
      <c r="D30" s="38"/>
      <c r="E30" s="38"/>
      <c r="F30" s="38"/>
      <c r="G30" s="38"/>
      <c r="H30" s="38"/>
      <c r="I30" s="38"/>
      <c r="J30" s="39"/>
      <c r="K30" s="44">
        <f ca="1">IF(人物卡!P15="",0,人物卡!P15)</f>
        <v>20</v>
      </c>
      <c r="L30" s="39"/>
      <c r="M30" s="75" t="str">
        <f>IF(OR(人物卡!B35="√",人物卡!B35="✓",人物卡!B35="☑"),"☑","☐")</f>
        <v>☐</v>
      </c>
      <c r="N30" s="40" t="str">
        <f>人物卡!D35&amp;" ("&amp;IF(人物卡!S35="",0,人物卡!S35)&amp;"%)"</f>
        <v>急救 (10%)</v>
      </c>
      <c r="O30" s="38"/>
      <c r="P30" s="38"/>
      <c r="Q30" s="38"/>
      <c r="R30" s="38"/>
      <c r="S30" s="38"/>
      <c r="T30" s="38"/>
      <c r="U30" s="38"/>
      <c r="V30" s="39"/>
      <c r="W30" s="44">
        <f ca="1">IF(人物卡!P35="",0,人物卡!P35)</f>
        <v>10</v>
      </c>
      <c r="X30" s="39"/>
      <c r="Y30" s="75" t="str">
        <f>IF(OR(人物卡!AE25="√",人物卡!AE25="✓",人物卡!AE25="☑"),"☑","☐")</f>
        <v>☐</v>
      </c>
      <c r="Z30" s="40" t="str">
        <f ca="1">人物卡!AG25&amp;IF(人物卡!AM25="","________",人物卡!AM25)&amp;" ("&amp;IF(人物卡!AV25="",0,人物卡!AV25)&amp;"%)"</f>
        <v>特种载具：________ (0%)</v>
      </c>
      <c r="AA30" s="38"/>
      <c r="AB30" s="38"/>
      <c r="AC30" s="38"/>
      <c r="AD30" s="38"/>
      <c r="AE30" s="38"/>
      <c r="AF30" s="38"/>
      <c r="AG30" s="38"/>
      <c r="AH30" s="39"/>
      <c r="AI30" s="44">
        <f ca="1">IF(人物卡!AS25="",0,人物卡!AS25)</f>
        <v>0</v>
      </c>
      <c r="AJ30" s="39"/>
    </row>
    <row r="31" ht="16.5" spans="1:36">
      <c r="A31" s="75" t="str">
        <f>IF(OR(人物卡!B16="√",人物卡!B16="✓",人物卡!B16="☑"),"☑","☐")</f>
        <v>☐</v>
      </c>
      <c r="B31" s="40" t="str">
        <f>人物卡!D16&amp;" ("&amp;IF(人物卡!S16="",0,人物卡!S16)&amp;"%)"</f>
        <v>人类学 (0%)</v>
      </c>
      <c r="C31" s="38"/>
      <c r="D31" s="38"/>
      <c r="E31" s="38"/>
      <c r="F31" s="38"/>
      <c r="G31" s="38"/>
      <c r="H31" s="38"/>
      <c r="I31" s="38"/>
      <c r="J31" s="39"/>
      <c r="K31" s="44">
        <f ca="1">IF(人物卡!P16="",0,人物卡!P16)</f>
        <v>0</v>
      </c>
      <c r="L31" s="39"/>
      <c r="M31" s="75" t="str">
        <f>IF(OR(人物卡!B36="√",人物卡!B36="✓",人物卡!B36="☑"),"☑","☐")</f>
        <v>☐</v>
      </c>
      <c r="N31" s="40" t="str">
        <f ca="1">人物卡!D36&amp;IF(人物卡!J36="","________",人物卡!J36)&amp;" ("&amp;IF(人物卡!S36="",0,人物卡!S36)&amp;"%)"</f>
        <v>外语：________ (0%)</v>
      </c>
      <c r="O31" s="38"/>
      <c r="P31" s="38"/>
      <c r="Q31" s="38"/>
      <c r="R31" s="38"/>
      <c r="S31" s="38"/>
      <c r="T31" s="38"/>
      <c r="U31" s="38"/>
      <c r="V31" s="39"/>
      <c r="W31" s="44">
        <f ca="1">IF(人物卡!P36="",0,人物卡!P36)</f>
        <v>0</v>
      </c>
      <c r="X31" s="39"/>
      <c r="Y31" s="75" t="str">
        <f>IF(OR(人物卡!AE26="√",人物卡!AE26="✓",人物卡!AE26="☑"),"☑","☐")</f>
        <v>☐</v>
      </c>
      <c r="Z31" s="40" t="str">
        <f ca="1">人物卡!AG26&amp;IF(人物卡!AM26="","________",人物卡!AM26)&amp;" ("&amp;IF(人物卡!AV26="",0,人物卡!AV26)&amp;"%)"</f>
        <v>特种载具：________ (0%)</v>
      </c>
      <c r="AA31" s="38"/>
      <c r="AB31" s="38"/>
      <c r="AC31" s="38"/>
      <c r="AD31" s="38"/>
      <c r="AE31" s="38"/>
      <c r="AF31" s="38"/>
      <c r="AG31" s="38"/>
      <c r="AH31" s="39"/>
      <c r="AI31" s="44">
        <f ca="1">IF(人物卡!AS26="",0,人物卡!AS26)</f>
        <v>0</v>
      </c>
      <c r="AJ31" s="39"/>
    </row>
    <row r="32" ht="16.5" spans="1:36">
      <c r="A32" s="75" t="str">
        <f>IF(OR(人物卡!B17="√",人物卡!B17="✓",人物卡!B17="☑"),"☑","☐")</f>
        <v>☐</v>
      </c>
      <c r="B32" s="40" t="str">
        <f>人物卡!D17&amp;" ("&amp;IF(人物卡!S17="",0,人物卡!S17)&amp;"%)"</f>
        <v>考古学 (0%)</v>
      </c>
      <c r="C32" s="38"/>
      <c r="D32" s="38"/>
      <c r="E32" s="38"/>
      <c r="F32" s="38"/>
      <c r="G32" s="38"/>
      <c r="H32" s="38"/>
      <c r="I32" s="38"/>
      <c r="J32" s="39"/>
      <c r="K32" s="44">
        <f ca="1">IF(人物卡!P17="",0,人物卡!P17)</f>
        <v>0</v>
      </c>
      <c r="L32" s="39"/>
      <c r="M32" s="75" t="str">
        <f>IF(OR(人物卡!B37="√",人物卡!B37="✓",人物卡!B37="☑"),"☑","☐")</f>
        <v>☐</v>
      </c>
      <c r="N32" s="40" t="str">
        <f ca="1">人物卡!D37&amp;IF(人物卡!J37="","________",人物卡!J37)&amp;" ("&amp;IF(人物卡!S37="",0,人物卡!S37)&amp;"%)"</f>
        <v>外语：________ (0%)</v>
      </c>
      <c r="O32" s="38"/>
      <c r="P32" s="38"/>
      <c r="Q32" s="38"/>
      <c r="R32" s="38"/>
      <c r="S32" s="38"/>
      <c r="T32" s="38"/>
      <c r="U32" s="38"/>
      <c r="V32" s="39"/>
      <c r="W32" s="44">
        <f ca="1">IF(人物卡!P37="",0,人物卡!P37)</f>
        <v>0</v>
      </c>
      <c r="X32" s="39"/>
      <c r="Y32" s="75" t="str">
        <f>IF(OR(人物卡!AE27="√",人物卡!AE27="✓",人物卡!AE27="☑"),"☑","☐")</f>
        <v>☐</v>
      </c>
      <c r="Z32" s="40" t="str">
        <f>人物卡!AG27&amp;" ("&amp;IF(人物卡!AV27="",0,人物卡!AV27)&amp;"%)"</f>
        <v>精神治疗 (10%)</v>
      </c>
      <c r="AA32" s="38"/>
      <c r="AB32" s="38"/>
      <c r="AC32" s="38"/>
      <c r="AD32" s="38"/>
      <c r="AE32" s="38"/>
      <c r="AF32" s="38"/>
      <c r="AG32" s="38"/>
      <c r="AH32" s="39"/>
      <c r="AI32" s="44">
        <f ca="1">IF(人物卡!AS27="",0,人物卡!AS27)</f>
        <v>10</v>
      </c>
      <c r="AJ32" s="39"/>
    </row>
    <row r="33" ht="16.5" spans="1:36">
      <c r="A33" s="75" t="str">
        <f>IF(OR(人物卡!B18="√",人物卡!B18="✓",人物卡!B18="☑"),"☑","☐")</f>
        <v>☐</v>
      </c>
      <c r="B33" s="40" t="str">
        <f ca="1">人物卡!D18&amp;IF(人物卡!J18="","________",人物卡!J18)&amp;" ("&amp;IF(人物卡!S18="",0,人物卡!S18)&amp;"%)"</f>
        <v>艺术：________ (0%)</v>
      </c>
      <c r="C33" s="38"/>
      <c r="D33" s="38"/>
      <c r="E33" s="38"/>
      <c r="F33" s="38"/>
      <c r="G33" s="38"/>
      <c r="H33" s="38"/>
      <c r="I33" s="38"/>
      <c r="J33" s="39"/>
      <c r="K33" s="44">
        <f ca="1">IF(人物卡!P18="",0,人物卡!P18)</f>
        <v>0</v>
      </c>
      <c r="L33" s="39"/>
      <c r="M33" s="75" t="str">
        <f>IF(OR(人物卡!B38="√",人物卡!B38="✓",人物卡!B38="☑"),"☑","☐")</f>
        <v>☐</v>
      </c>
      <c r="N33" s="40" t="str">
        <f ca="1">人物卡!D38&amp;IF(人物卡!J38="","________",人物卡!J38)&amp;" ("&amp;IF(人物卡!S38="",0,人物卡!S38)&amp;"%)"</f>
        <v>外语：________ (0%)</v>
      </c>
      <c r="O33" s="38"/>
      <c r="P33" s="38"/>
      <c r="Q33" s="38"/>
      <c r="R33" s="38"/>
      <c r="S33" s="38"/>
      <c r="T33" s="38"/>
      <c r="U33" s="38"/>
      <c r="V33" s="39"/>
      <c r="W33" s="44">
        <f ca="1">IF(人物卡!P38="",0,人物卡!P38)</f>
        <v>0</v>
      </c>
      <c r="X33" s="39"/>
      <c r="Y33" s="75" t="str">
        <f>IF(OR(人物卡!AE28="√",人物卡!AE28="✓",人物卡!AE28="☑"),"☑","☐")</f>
        <v>☐</v>
      </c>
      <c r="Z33" s="40" t="str">
        <f>人物卡!AG28&amp;" ("&amp;IF(人物卡!AV28="",0,人物卡!AV28)&amp;"%)"</f>
        <v>骑术 (10%)</v>
      </c>
      <c r="AA33" s="38"/>
      <c r="AB33" s="38"/>
      <c r="AC33" s="38"/>
      <c r="AD33" s="38"/>
      <c r="AE33" s="38"/>
      <c r="AF33" s="38"/>
      <c r="AG33" s="38"/>
      <c r="AH33" s="39"/>
      <c r="AI33" s="44">
        <f ca="1">IF(人物卡!AS28="",0,人物卡!AS28)</f>
        <v>10</v>
      </c>
      <c r="AJ33" s="39"/>
    </row>
    <row r="34" ht="16.5" spans="1:36">
      <c r="A34" s="75" t="str">
        <f>IF(OR(人物卡!B19="√",人物卡!B19="✓",人物卡!B19="☑"),"☑","☐")</f>
        <v>☐</v>
      </c>
      <c r="B34" s="40" t="str">
        <f ca="1">人物卡!D19&amp;IF(人物卡!J19="","________",人物卡!J19)&amp;" ("&amp;IF(人物卡!S19="",0,人物卡!S19)&amp;"%)"</f>
        <v>艺术：________ (0%)</v>
      </c>
      <c r="C34" s="38"/>
      <c r="D34" s="38"/>
      <c r="E34" s="38"/>
      <c r="F34" s="38"/>
      <c r="G34" s="38"/>
      <c r="H34" s="38"/>
      <c r="I34" s="38"/>
      <c r="J34" s="39"/>
      <c r="K34" s="44">
        <f ca="1">IF(人物卡!P19="",0,人物卡!P19)</f>
        <v>0</v>
      </c>
      <c r="L34" s="39"/>
      <c r="M34" s="75" t="str">
        <f>IF(OR(人物卡!B39="√",人物卡!B39="✓",人物卡!B39="☑"),"☑","☐")</f>
        <v>☐</v>
      </c>
      <c r="N34" s="40" t="str">
        <f>人物卡!D39&amp;" ("&amp;IF(人物卡!S39="",0,人物卡!S39)&amp;"%)"</f>
        <v>法证学 (0%)</v>
      </c>
      <c r="O34" s="38"/>
      <c r="P34" s="38"/>
      <c r="Q34" s="38"/>
      <c r="R34" s="38"/>
      <c r="S34" s="38"/>
      <c r="T34" s="38"/>
      <c r="U34" s="38"/>
      <c r="V34" s="39"/>
      <c r="W34" s="44">
        <f ca="1">IF(人物卡!P39="",0,人物卡!P39)</f>
        <v>0</v>
      </c>
      <c r="X34" s="39"/>
      <c r="Y34" s="75" t="str">
        <f>IF(OR(人物卡!AE29="√",人物卡!AE29="✓",人物卡!AE29="☑"),"☑","☐")</f>
        <v>☐</v>
      </c>
      <c r="Z34" s="40" t="str">
        <f ca="1">人物卡!AG29&amp;IF(人物卡!AM29="","________",人物卡!AM29)&amp;" ("&amp;IF(人物卡!AV29="",0,人物卡!AV29)&amp;"%)"</f>
        <v>科学：________ (0%)</v>
      </c>
      <c r="AA34" s="38"/>
      <c r="AB34" s="38"/>
      <c r="AC34" s="38"/>
      <c r="AD34" s="38"/>
      <c r="AE34" s="38"/>
      <c r="AF34" s="38"/>
      <c r="AG34" s="38"/>
      <c r="AH34" s="39"/>
      <c r="AI34" s="44">
        <f ca="1">IF(人物卡!AS29="",0,人物卡!AS29)</f>
        <v>0</v>
      </c>
      <c r="AJ34" s="39"/>
    </row>
    <row r="35" ht="16.5" spans="1:36">
      <c r="A35" s="75" t="str">
        <f>IF(OR(人物卡!B20="√",人物卡!B20="✓",人物卡!B20="☑"),"☑","☐")</f>
        <v>☐</v>
      </c>
      <c r="B35" s="40" t="str">
        <f ca="1">人物卡!D20&amp;IF(人物卡!J20="","________",人物卡!J20)&amp;" ("&amp;IF(人物卡!S20="",0,人物卡!S20)&amp;"%)"</f>
        <v>艺术：________ (0%)</v>
      </c>
      <c r="C35" s="38"/>
      <c r="D35" s="38"/>
      <c r="E35" s="38"/>
      <c r="F35" s="38"/>
      <c r="G35" s="38"/>
      <c r="H35" s="38"/>
      <c r="I35" s="38"/>
      <c r="J35" s="39"/>
      <c r="K35" s="44">
        <f ca="1">IF(人物卡!P20="",0,人物卡!P20)</f>
        <v>0</v>
      </c>
      <c r="L35" s="39"/>
      <c r="M35" s="75" t="str">
        <f>IF(OR(人物卡!B40="√",人物卡!B40="✓",人物卡!B40="☑"),"☑","☐")</f>
        <v>☐</v>
      </c>
      <c r="N35" s="40" t="str">
        <f>人物卡!D40&amp;" ("&amp;IF(人物卡!S40="",0,人物卡!S40)&amp;"%)"</f>
        <v>重型机械 (10%)</v>
      </c>
      <c r="O35" s="38"/>
      <c r="P35" s="38"/>
      <c r="Q35" s="38"/>
      <c r="R35" s="38"/>
      <c r="S35" s="38"/>
      <c r="T35" s="38"/>
      <c r="U35" s="38"/>
      <c r="V35" s="39"/>
      <c r="W35" s="44">
        <f ca="1">IF(人物卡!P40="",0,人物卡!P40)</f>
        <v>10</v>
      </c>
      <c r="X35" s="39"/>
      <c r="Y35" s="75" t="str">
        <f>IF(OR(人物卡!AE30="√",人物卡!AE30="✓",人物卡!AE30="☑"),"☑","☐")</f>
        <v>☐</v>
      </c>
      <c r="Z35" s="40" t="str">
        <f ca="1">人物卡!AG30&amp;IF(人物卡!AM30="","________",人物卡!AM30)&amp;" ("&amp;IF(人物卡!AV30="",0,人物卡!AV30)&amp;"%)"</f>
        <v>科学：________ (0%)</v>
      </c>
      <c r="AA35" s="38"/>
      <c r="AB35" s="38"/>
      <c r="AC35" s="38"/>
      <c r="AD35" s="38"/>
      <c r="AE35" s="38"/>
      <c r="AF35" s="38"/>
      <c r="AG35" s="38"/>
      <c r="AH35" s="39"/>
      <c r="AI35" s="44">
        <f ca="1">IF(人物卡!AS30="",0,人物卡!AS30)</f>
        <v>0</v>
      </c>
      <c r="AJ35" s="39"/>
    </row>
    <row r="36" ht="16.5" spans="1:36">
      <c r="A36" s="75" t="str">
        <f>IF(OR(人物卡!B21="√",人物卡!B21="✓",人物卡!B21="☑"),"☑","☐")</f>
        <v>☐</v>
      </c>
      <c r="B36" s="40" t="str">
        <f>人物卡!D21&amp;" ("&amp;IF(人物卡!S21="",0,人物卡!S21)&amp;"%)"</f>
        <v>炮术 (0%)</v>
      </c>
      <c r="C36" s="38"/>
      <c r="D36" s="38"/>
      <c r="E36" s="38"/>
      <c r="F36" s="38"/>
      <c r="G36" s="38"/>
      <c r="H36" s="38"/>
      <c r="I36" s="38"/>
      <c r="J36" s="39"/>
      <c r="K36" s="44">
        <f ca="1">IF(人物卡!P21="",0,人物卡!P21)</f>
        <v>0</v>
      </c>
      <c r="L36" s="39"/>
      <c r="M36" s="75" t="str">
        <f>IF(OR(人物卡!B41="√",人物卡!B41="✓",人物卡!B41="☑"),"☑","☐")</f>
        <v>☐</v>
      </c>
      <c r="N36" s="40" t="str">
        <f>人物卡!D41&amp;" ("&amp;IF(人物卡!S41="",0,人物卡!S41)&amp;"%)"</f>
        <v>重型武器 (0%)</v>
      </c>
      <c r="O36" s="38"/>
      <c r="P36" s="38"/>
      <c r="Q36" s="38"/>
      <c r="R36" s="38"/>
      <c r="S36" s="38"/>
      <c r="T36" s="38"/>
      <c r="U36" s="38"/>
      <c r="V36" s="39"/>
      <c r="W36" s="44">
        <f ca="1">IF(人物卡!P41="",0,人物卡!P41)</f>
        <v>0</v>
      </c>
      <c r="X36" s="39"/>
      <c r="Y36" s="75" t="str">
        <f>IF(OR(人物卡!AE31="√",人物卡!AE31="✓",人物卡!AE31="☑"),"☑","☐")</f>
        <v>☐</v>
      </c>
      <c r="Z36" s="40" t="str">
        <f ca="1">人物卡!AG31&amp;IF(人物卡!AM31="","________",人物卡!AM31)&amp;" ("&amp;IF(人物卡!AV31="",0,人物卡!AV31)&amp;"%)"</f>
        <v>科学：________ (0%)</v>
      </c>
      <c r="AA36" s="38"/>
      <c r="AB36" s="38"/>
      <c r="AC36" s="38"/>
      <c r="AD36" s="38"/>
      <c r="AE36" s="38"/>
      <c r="AF36" s="38"/>
      <c r="AG36" s="38"/>
      <c r="AH36" s="39"/>
      <c r="AI36" s="44">
        <f ca="1">IF(人物卡!AS31="",0,人物卡!AS31)</f>
        <v>0</v>
      </c>
      <c r="AJ36" s="39"/>
    </row>
    <row r="37" ht="16.5" spans="1:36">
      <c r="A37" s="75" t="str">
        <f>IF(OR(人物卡!B22="√",人物卡!B22="✓",人物卡!B22="☑"),"☑","☐")</f>
        <v>☐</v>
      </c>
      <c r="B37" s="40" t="str">
        <f>人物卡!D22&amp;" ("&amp;IF(人物卡!S22="",0,人物卡!S22)&amp;"%)"</f>
        <v>运动 (30%)</v>
      </c>
      <c r="C37" s="38"/>
      <c r="D37" s="38"/>
      <c r="E37" s="38"/>
      <c r="F37" s="38"/>
      <c r="G37" s="38"/>
      <c r="H37" s="38"/>
      <c r="I37" s="38"/>
      <c r="J37" s="39"/>
      <c r="K37" s="44">
        <f ca="1">IF(人物卡!P22="",0,人物卡!P22)</f>
        <v>30</v>
      </c>
      <c r="L37" s="39"/>
      <c r="M37" s="75" t="str">
        <f>IF(OR(人物卡!B42="√",人物卡!B42="✓",人物卡!B42="☑"),"☑","☐")</f>
        <v>☐</v>
      </c>
      <c r="N37" s="40" t="str">
        <f>人物卡!D42&amp;" ("&amp;IF(人物卡!S42="",0,人物卡!S42)&amp;"%)"</f>
        <v>历史 (10%)</v>
      </c>
      <c r="O37" s="38"/>
      <c r="P37" s="38"/>
      <c r="Q37" s="38"/>
      <c r="R37" s="38"/>
      <c r="S37" s="38"/>
      <c r="T37" s="38"/>
      <c r="U37" s="38"/>
      <c r="V37" s="39"/>
      <c r="W37" s="44">
        <f ca="1">IF(人物卡!P42="",0,人物卡!P42)</f>
        <v>10</v>
      </c>
      <c r="X37" s="39"/>
      <c r="Y37" s="75" t="str">
        <f>IF(OR(人物卡!AE32="√",人物卡!AE32="✓",人物卡!AE32="☑"),"☑","☐")</f>
        <v>☐</v>
      </c>
      <c r="Z37" s="40" t="str">
        <f>人物卡!AG32&amp;" ("&amp;IF(人物卡!AV32="",0,人物卡!AV32)&amp;"%)"</f>
        <v>搜寻 (20%)</v>
      </c>
      <c r="AA37" s="38"/>
      <c r="AB37" s="38"/>
      <c r="AC37" s="38"/>
      <c r="AD37" s="38"/>
      <c r="AE37" s="38"/>
      <c r="AF37" s="38"/>
      <c r="AG37" s="38"/>
      <c r="AH37" s="39"/>
      <c r="AI37" s="44">
        <f ca="1">IF(人物卡!AS32="",0,人物卡!AS32)</f>
        <v>20</v>
      </c>
      <c r="AJ37" s="39"/>
    </row>
    <row r="38" ht="16.5" spans="1:36">
      <c r="A38" s="75" t="str">
        <f>IF(OR(人物卡!B23="√",人物卡!B23="✓",人物卡!B23="☑"),"☑","☐")</f>
        <v>☐</v>
      </c>
      <c r="B38" s="40" t="str">
        <f>人物卡!D23&amp;" ("&amp;IF(人物卡!S23="",0,人物卡!S23)&amp;"%)"</f>
        <v>行政 (10%)</v>
      </c>
      <c r="C38" s="38"/>
      <c r="D38" s="38"/>
      <c r="E38" s="38"/>
      <c r="F38" s="38"/>
      <c r="G38" s="38"/>
      <c r="H38" s="38"/>
      <c r="I38" s="38"/>
      <c r="J38" s="39"/>
      <c r="K38" s="44">
        <f ca="1">IF(人物卡!P23="",0,人物卡!P23)</f>
        <v>10</v>
      </c>
      <c r="L38" s="39"/>
      <c r="M38" s="75" t="str">
        <f>IF(OR(人物卡!B43="√",人物卡!B43="✓",人物卡!B43="☑"),"☑","☐")</f>
        <v>☐</v>
      </c>
      <c r="N38" s="40" t="str">
        <f>人物卡!D43&amp;" ("&amp;IF(人物卡!S43="",0,人物卡!S43)&amp;"%)"</f>
        <v>人源情报 (10%)</v>
      </c>
      <c r="O38" s="38"/>
      <c r="P38" s="38"/>
      <c r="Q38" s="38"/>
      <c r="R38" s="38"/>
      <c r="S38" s="38"/>
      <c r="T38" s="38"/>
      <c r="U38" s="38"/>
      <c r="V38" s="39"/>
      <c r="W38" s="44">
        <f ca="1">IF(人物卡!P43="",0,人物卡!P43)</f>
        <v>10</v>
      </c>
      <c r="X38" s="39"/>
      <c r="Y38" s="75" t="str">
        <f>IF(OR(人物卡!AE33="√",人物卡!AE33="✓",人物卡!AE33="☑"),"☑","☐")</f>
        <v>☐</v>
      </c>
      <c r="Z38" s="40" t="str">
        <f>人物卡!AG33&amp;" ("&amp;IF(人物卡!AV33="",0,人物卡!AV33)&amp;"%)"</f>
        <v>信号情报 (0%)</v>
      </c>
      <c r="AA38" s="38"/>
      <c r="AB38" s="38"/>
      <c r="AC38" s="38"/>
      <c r="AD38" s="38"/>
      <c r="AE38" s="38"/>
      <c r="AF38" s="38"/>
      <c r="AG38" s="38"/>
      <c r="AH38" s="39"/>
      <c r="AI38" s="44">
        <f ca="1">IF(人物卡!AS33="",0,人物卡!AS33)</f>
        <v>0</v>
      </c>
      <c r="AJ38" s="39"/>
    </row>
    <row r="39" ht="16.5" spans="1:36">
      <c r="A39" s="75" t="str">
        <f>IF(OR(人物卡!B24="√",人物卡!B24="✓",人物卡!B24="☑"),"☑","☐")</f>
        <v>☐</v>
      </c>
      <c r="B39" s="40" t="str">
        <f>人物卡!D24&amp;" ("&amp;IF(人物卡!S24="",0,人物卡!S24)&amp;"%)"</f>
        <v>计算机科学 (0%)</v>
      </c>
      <c r="C39" s="38"/>
      <c r="D39" s="38"/>
      <c r="E39" s="38"/>
      <c r="F39" s="38"/>
      <c r="G39" s="38"/>
      <c r="H39" s="38"/>
      <c r="I39" s="38"/>
      <c r="J39" s="39"/>
      <c r="K39" s="44">
        <f ca="1">IF(人物卡!P24="",0,人物卡!P24)</f>
        <v>0</v>
      </c>
      <c r="L39" s="39"/>
      <c r="M39" s="75" t="str">
        <f>IF(OR(人物卡!AE14="√",人物卡!AE14="✓",人物卡!AE14="☑"),"☑","☐")</f>
        <v>☐</v>
      </c>
      <c r="N39" s="40" t="str">
        <f>人物卡!AG14&amp;" ("&amp;IF(人物卡!AV14="",0,人物卡!AV14)&amp;"%)"</f>
        <v>法律 (0%)</v>
      </c>
      <c r="O39" s="38"/>
      <c r="P39" s="38"/>
      <c r="Q39" s="38"/>
      <c r="R39" s="38"/>
      <c r="S39" s="38"/>
      <c r="T39" s="38"/>
      <c r="U39" s="38"/>
      <c r="V39" s="39"/>
      <c r="W39" s="44">
        <f ca="1">IF(人物卡!AS14="",0,人物卡!AS14)</f>
        <v>0</v>
      </c>
      <c r="X39" s="39"/>
      <c r="Y39" s="75" t="str">
        <f>IF(OR(人物卡!AE34="√",人物卡!AE34="✓",人物卡!AE34="☑"),"☑","☐")</f>
        <v>☐</v>
      </c>
      <c r="Z39" s="40" t="str">
        <f>人物卡!AG34&amp;" ("&amp;IF(人物卡!AV34="",0,人物卡!AV34)&amp;"%)"</f>
        <v>潜藏 (10%)</v>
      </c>
      <c r="AA39" s="38"/>
      <c r="AB39" s="38"/>
      <c r="AC39" s="38"/>
      <c r="AD39" s="38"/>
      <c r="AE39" s="38"/>
      <c r="AF39" s="38"/>
      <c r="AG39" s="38"/>
      <c r="AH39" s="39"/>
      <c r="AI39" s="44">
        <f ca="1">IF(人物卡!AS34="",0,人物卡!AS34)</f>
        <v>10</v>
      </c>
      <c r="AJ39" s="39"/>
    </row>
    <row r="40" ht="16.5" spans="1:36">
      <c r="A40" s="75" t="str">
        <f>IF(OR(人物卡!B25="√",人物卡!B25="✓",人物卡!B25="☑"),"☑","☐")</f>
        <v>☐</v>
      </c>
      <c r="B40" s="40" t="str">
        <f ca="1">人物卡!D25&amp;IF(人物卡!J25="","________",人物卡!J25)&amp;" ("&amp;IF(人物卡!S25="",0,人物卡!S25)&amp;"%)"</f>
        <v>工艺：________ (0%)</v>
      </c>
      <c r="C40" s="38"/>
      <c r="D40" s="38"/>
      <c r="E40" s="38"/>
      <c r="F40" s="38"/>
      <c r="G40" s="38"/>
      <c r="H40" s="38"/>
      <c r="I40" s="38"/>
      <c r="J40" s="39"/>
      <c r="K40" s="44">
        <f ca="1">IF(人物卡!P25="",0,人物卡!P25)</f>
        <v>0</v>
      </c>
      <c r="L40" s="39"/>
      <c r="M40" s="75" t="str">
        <f>IF(OR(人物卡!AE15="√",人物卡!AE15="✓",人物卡!AE15="☑"),"☑","☐")</f>
        <v>☐</v>
      </c>
      <c r="N40" s="40" t="str">
        <f>人物卡!AG15&amp;" ("&amp;IF(人物卡!AV15="",0,人物卡!AV15)&amp;"%)"</f>
        <v>医学 (0%)</v>
      </c>
      <c r="O40" s="38"/>
      <c r="P40" s="38"/>
      <c r="Q40" s="38"/>
      <c r="R40" s="38"/>
      <c r="S40" s="38"/>
      <c r="T40" s="38"/>
      <c r="U40" s="38"/>
      <c r="V40" s="39"/>
      <c r="W40" s="44">
        <f ca="1">IF(人物卡!AS15="",0,人物卡!AS15)</f>
        <v>0</v>
      </c>
      <c r="X40" s="39"/>
      <c r="Y40" s="75" t="str">
        <f>IF(OR(人物卡!AE35="√",人物卡!AE35="✓",人物卡!AE35="☑"),"☑","☐")</f>
        <v>☐</v>
      </c>
      <c r="Z40" s="40" t="str">
        <f>人物卡!AG35&amp;" ("&amp;IF(人物卡!AV35="",0,人物卡!AV35)&amp;"%)"</f>
        <v>手术 (0%)</v>
      </c>
      <c r="AA40" s="38"/>
      <c r="AB40" s="38"/>
      <c r="AC40" s="38"/>
      <c r="AD40" s="38"/>
      <c r="AE40" s="38"/>
      <c r="AF40" s="38"/>
      <c r="AG40" s="38"/>
      <c r="AH40" s="39"/>
      <c r="AI40" s="44">
        <f ca="1">IF(人物卡!AS35="",0,人物卡!AS35)</f>
        <v>0</v>
      </c>
      <c r="AJ40" s="39"/>
    </row>
    <row r="41" ht="16.5" spans="1:36">
      <c r="A41" s="75" t="str">
        <f>IF(OR(人物卡!B26="√",人物卡!B26="✓",人物卡!B26="☑"),"☑","☐")</f>
        <v>☐</v>
      </c>
      <c r="B41" s="40" t="str">
        <f ca="1">人物卡!D26&amp;IF(人物卡!J26="","________",人物卡!J26)&amp;" ("&amp;IF(人物卡!S26="",0,人物卡!S26)&amp;"%)"</f>
        <v>工艺：________ (0%)</v>
      </c>
      <c r="C41" s="38"/>
      <c r="D41" s="38"/>
      <c r="E41" s="38"/>
      <c r="F41" s="38"/>
      <c r="G41" s="38"/>
      <c r="H41" s="38"/>
      <c r="I41" s="38"/>
      <c r="J41" s="39"/>
      <c r="K41" s="44">
        <f ca="1">IF(人物卡!P26="",0,人物卡!P26)</f>
        <v>0</v>
      </c>
      <c r="L41" s="39"/>
      <c r="M41" s="75" t="str">
        <f>IF(OR(人物卡!AE16="√",人物卡!AE16="✓",人物卡!AE16="☑"),"☑","☐")</f>
        <v>☐</v>
      </c>
      <c r="N41" s="40" t="str">
        <f>人物卡!AG16&amp;" ("&amp;IF(人物卡!AV16="",0,人物卡!AV16)&amp;"%)"</f>
        <v>近战武器 (30%)</v>
      </c>
      <c r="O41" s="38"/>
      <c r="P41" s="38"/>
      <c r="Q41" s="38"/>
      <c r="R41" s="38"/>
      <c r="S41" s="38"/>
      <c r="T41" s="38"/>
      <c r="U41" s="38"/>
      <c r="V41" s="39"/>
      <c r="W41" s="44">
        <f ca="1">IF(人物卡!AS16="",0,人物卡!AS16)</f>
        <v>30</v>
      </c>
      <c r="X41" s="39"/>
      <c r="Y41" s="75" t="str">
        <f>IF(OR(人物卡!AE36="√",人物卡!AE36="✓",人物卡!AE36="☑"),"☑","☐")</f>
        <v>☐</v>
      </c>
      <c r="Z41" s="40" t="str">
        <f>人物卡!AG36&amp;" ("&amp;IF(人物卡!AV36="",0,人物卡!AV36)&amp;"%)"</f>
        <v>生存 (10%)</v>
      </c>
      <c r="AA41" s="38"/>
      <c r="AB41" s="38"/>
      <c r="AC41" s="38"/>
      <c r="AD41" s="38"/>
      <c r="AE41" s="38"/>
      <c r="AF41" s="38"/>
      <c r="AG41" s="38"/>
      <c r="AH41" s="39"/>
      <c r="AI41" s="44">
        <f ca="1">IF(人物卡!AS36="",0,人物卡!AS36)</f>
        <v>10</v>
      </c>
      <c r="AJ41" s="39"/>
    </row>
    <row r="42" ht="16.5" spans="1:36">
      <c r="A42" s="75" t="str">
        <f>IF(OR(人物卡!B27="√",人物卡!B27="✓",人物卡!B27="☑"),"☑","☐")</f>
        <v>☐</v>
      </c>
      <c r="B42" s="40" t="str">
        <f ca="1">人物卡!D27&amp;IF(人物卡!J27="","________",人物卡!J27)&amp;" ("&amp;IF(人物卡!S27="",0,人物卡!S27)&amp;"%)"</f>
        <v>工艺：________ (0%)</v>
      </c>
      <c r="C42" s="38"/>
      <c r="D42" s="38"/>
      <c r="E42" s="38"/>
      <c r="F42" s="38"/>
      <c r="G42" s="38"/>
      <c r="H42" s="38"/>
      <c r="I42" s="38"/>
      <c r="J42" s="39"/>
      <c r="K42" s="44">
        <f ca="1">IF(人物卡!P27="",0,人物卡!P27)</f>
        <v>0</v>
      </c>
      <c r="L42" s="39"/>
      <c r="M42" s="75" t="str">
        <f>IF(OR(人物卡!AE17="√",人物卡!AE17="✓",人物卡!AE17="☑"),"☑","☐")</f>
        <v>☐</v>
      </c>
      <c r="N42" s="40" t="str">
        <f ca="1">人物卡!AG17&amp;IF(人物卡!AM17="","________",人物卡!AM17)&amp;" ("&amp;IF(人物卡!AV17="",0,人物卡!AV17)&amp;"%)"</f>
        <v>军事科学：________ (0%)</v>
      </c>
      <c r="O42" s="38"/>
      <c r="P42" s="38"/>
      <c r="Q42" s="38"/>
      <c r="R42" s="38"/>
      <c r="S42" s="38"/>
      <c r="T42" s="38"/>
      <c r="U42" s="38"/>
      <c r="V42" s="39"/>
      <c r="W42" s="44">
        <f ca="1">IF(人物卡!AS17="",0,人物卡!AS17)</f>
        <v>0</v>
      </c>
      <c r="X42" s="39"/>
      <c r="Y42" s="75" t="str">
        <f>IF(OR(人物卡!AE37="√",人物卡!AE37="✓",人物卡!AE37="☑"),"☑","☐")</f>
        <v>☐</v>
      </c>
      <c r="Z42" s="40" t="str">
        <f>人物卡!AG37&amp;" ("&amp;IF(人物卡!AV37="",0,人物卡!AV37)&amp;"%)"</f>
        <v>游泳 (20%)</v>
      </c>
      <c r="AA42" s="38"/>
      <c r="AB42" s="38"/>
      <c r="AC42" s="38"/>
      <c r="AD42" s="38"/>
      <c r="AE42" s="38"/>
      <c r="AF42" s="38"/>
      <c r="AG42" s="38"/>
      <c r="AH42" s="39"/>
      <c r="AI42" s="44">
        <f ca="1">IF(人物卡!AS37="",0,人物卡!AS37)</f>
        <v>20</v>
      </c>
      <c r="AJ42" s="39"/>
    </row>
    <row r="43" ht="16.5" spans="1:36">
      <c r="A43" s="75" t="str">
        <f>IF(OR(人物卡!B28="√",人物卡!B28="✓",人物卡!B28="☑"),"☑","☐")</f>
        <v>☐</v>
      </c>
      <c r="B43" s="40" t="str">
        <f ca="1">人物卡!D28&amp;IF(人物卡!J28="","________",人物卡!J28)&amp;" ("&amp;IF(人物卡!S28="",0,人物卡!S28)&amp;"%)"</f>
        <v>工艺：________ (0%)</v>
      </c>
      <c r="C43" s="38"/>
      <c r="D43" s="38"/>
      <c r="E43" s="38"/>
      <c r="F43" s="38"/>
      <c r="G43" s="38"/>
      <c r="H43" s="38"/>
      <c r="I43" s="38"/>
      <c r="J43" s="39"/>
      <c r="K43" s="44">
        <f ca="1">IF(人物卡!P28="",0,人物卡!P28)</f>
        <v>0</v>
      </c>
      <c r="L43" s="39"/>
      <c r="M43" s="75" t="str">
        <f>IF(OR(人物卡!AE18="√",人物卡!AE18="✓",人物卡!AE18="☑"),"☑","☐")</f>
        <v>☐</v>
      </c>
      <c r="N43" s="40" t="str">
        <f ca="1">人物卡!AG18&amp;IF(人物卡!AM18="","________",人物卡!AM18)&amp;" ("&amp;IF(人物卡!AV18="",0,人物卡!AV18)&amp;"%)"</f>
        <v>军事科学：________ (0%)</v>
      </c>
      <c r="O43" s="38"/>
      <c r="P43" s="38"/>
      <c r="Q43" s="38"/>
      <c r="R43" s="38"/>
      <c r="S43" s="38"/>
      <c r="T43" s="38"/>
      <c r="U43" s="38"/>
      <c r="V43" s="39"/>
      <c r="W43" s="44">
        <f ca="1">IF(人物卡!AS18="",0,人物卡!AS18)</f>
        <v>0</v>
      </c>
      <c r="X43" s="39"/>
      <c r="Y43" s="75" t="str">
        <f>IF(OR(人物卡!AE38="√",人物卡!AE38="✓",人物卡!AE38="☑"),"☑","☐")</f>
        <v>☐</v>
      </c>
      <c r="Z43" s="40" t="str">
        <f>人物卡!AG38&amp;" ("&amp;IF(人物卡!AV38="",0,人物卡!AV38)&amp;"%)"</f>
        <v>徒手搏斗 (40%)</v>
      </c>
      <c r="AA43" s="38"/>
      <c r="AB43" s="38"/>
      <c r="AC43" s="38"/>
      <c r="AD43" s="38"/>
      <c r="AE43" s="38"/>
      <c r="AF43" s="38"/>
      <c r="AG43" s="38"/>
      <c r="AH43" s="39"/>
      <c r="AI43" s="44">
        <f ca="1">IF(人物卡!AS38="",0,人物卡!AS38)</f>
        <v>40</v>
      </c>
      <c r="AJ43" s="39"/>
    </row>
    <row r="44" ht="16.5" spans="1:36">
      <c r="A44" s="75" t="str">
        <f>IF(OR(人物卡!B29="√",人物卡!B29="✓",人物卡!B29="☑"),"☑","☐")</f>
        <v>☐</v>
      </c>
      <c r="B44" s="40" t="str">
        <f>人物卡!D29&amp;" ("&amp;IF(人物卡!S29="",0,人物卡!S29)&amp;"%)"</f>
        <v>犯罪学 (10%)</v>
      </c>
      <c r="C44" s="38"/>
      <c r="D44" s="38"/>
      <c r="E44" s="38"/>
      <c r="F44" s="38"/>
      <c r="G44" s="38"/>
      <c r="H44" s="38"/>
      <c r="I44" s="38"/>
      <c r="J44" s="39"/>
      <c r="K44" s="44">
        <f ca="1">IF(人物卡!P29="",0,人物卡!P29)</f>
        <v>10</v>
      </c>
      <c r="L44" s="39"/>
      <c r="M44" s="75" t="str">
        <f>IF(OR(人物卡!AE19="√",人物卡!AE19="✓",人物卡!AE19="☑"),"☑","☐")</f>
        <v>☐</v>
      </c>
      <c r="N44" s="40" t="str">
        <f ca="1">人物卡!AG19&amp;IF(人物卡!AM19="","________",人物卡!AM19)&amp;" ("&amp;IF(人物卡!AV19="",0,人物卡!AV19)&amp;"%)"</f>
        <v>军事科学：________ (0%)</v>
      </c>
      <c r="O44" s="38"/>
      <c r="P44" s="38"/>
      <c r="Q44" s="38"/>
      <c r="R44" s="38"/>
      <c r="S44" s="38"/>
      <c r="T44" s="38"/>
      <c r="U44" s="38"/>
      <c r="V44" s="39"/>
      <c r="W44" s="44">
        <f ca="1">IF(人物卡!AS19="",0,人物卡!AS19)</f>
        <v>0</v>
      </c>
      <c r="X44" s="39"/>
      <c r="Y44" s="44"/>
      <c r="Z44" s="40" t="str">
        <f>人物卡!AG39&amp;" ("&amp;IF(人物卡!AV39="",0,人物卡!AV39)&amp;"%)"</f>
        <v>非自然知识 (0%)</v>
      </c>
      <c r="AA44" s="38"/>
      <c r="AB44" s="38"/>
      <c r="AC44" s="38"/>
      <c r="AD44" s="38"/>
      <c r="AE44" s="38"/>
      <c r="AF44" s="38"/>
      <c r="AG44" s="38"/>
      <c r="AH44" s="39"/>
      <c r="AI44" s="44">
        <f ca="1">IF(人物卡!AS39="",0,人物卡!AS39)</f>
        <v>0</v>
      </c>
      <c r="AJ44" s="39"/>
    </row>
    <row r="45" ht="16.5" spans="1:36">
      <c r="A45" s="75" t="str">
        <f>IF(OR(人物卡!B30="√",人物卡!B30="✓",人物卡!B30="☑"),"☑","☐")</f>
        <v>☐</v>
      </c>
      <c r="B45" s="40" t="str">
        <f>人物卡!D30&amp;" ("&amp;IF(人物卡!S30="",0,人物卡!S30)&amp;"%)"</f>
        <v>爆破 (0%)</v>
      </c>
      <c r="C45" s="38"/>
      <c r="D45" s="38"/>
      <c r="E45" s="38"/>
      <c r="F45" s="38"/>
      <c r="G45" s="38"/>
      <c r="H45" s="38"/>
      <c r="I45" s="38"/>
      <c r="J45" s="39"/>
      <c r="K45" s="44">
        <f ca="1">IF(人物卡!P30="",0,人物卡!P30)</f>
        <v>0</v>
      </c>
      <c r="L45" s="39"/>
      <c r="M45" s="75" t="str">
        <f>IF(OR(人物卡!AE20="√",人物卡!AE20="✓",人物卡!AE20="☑"),"☑","☐")</f>
        <v>☐</v>
      </c>
      <c r="N45" s="40" t="str">
        <f>人物卡!AG20&amp;" ("&amp;IF(人物卡!AV20="",0,人物卡!AV20)&amp;"%)"</f>
        <v>导航 (10%)</v>
      </c>
      <c r="O45" s="38"/>
      <c r="P45" s="38"/>
      <c r="Q45" s="38"/>
      <c r="R45" s="38"/>
      <c r="S45" s="38"/>
      <c r="T45" s="38"/>
      <c r="U45" s="38"/>
      <c r="V45" s="39"/>
      <c r="W45" s="44">
        <f ca="1">IF(人物卡!AS20="",0,人物卡!AS20)</f>
        <v>10</v>
      </c>
      <c r="X45" s="39"/>
      <c r="Y45" s="75" t="str">
        <f>IF(OR(人物卡!AE40="√",人物卡!AE40="✓",人物卡!AE40="☑"),"☑","☐")</f>
        <v>☐</v>
      </c>
      <c r="Z45" s="40" t="str">
        <f ca="1">IF(人物卡!AG40="","其他技能：________",人物卡!AG40)</f>
        <v>其他技能：________</v>
      </c>
      <c r="AA45" s="38"/>
      <c r="AB45" s="38"/>
      <c r="AC45" s="38"/>
      <c r="AD45" s="38"/>
      <c r="AE45" s="38"/>
      <c r="AF45" s="38"/>
      <c r="AG45" s="38"/>
      <c r="AH45" s="39"/>
      <c r="AI45" s="44">
        <f ca="1">IF(人物卡!AS40="",0,人物卡!AS40)</f>
        <v>0</v>
      </c>
      <c r="AJ45" s="39"/>
    </row>
    <row r="46" ht="16.5" spans="1:36">
      <c r="A46" s="75" t="str">
        <f>IF(OR(人物卡!B31="√",人物卡!B31="✓",人物卡!B31="☑"),"☑","☐")</f>
        <v>☐</v>
      </c>
      <c r="B46" s="40" t="str">
        <f>人物卡!D31&amp;" ("&amp;IF(人物卡!S31="",0,人物卡!S31)&amp;"%)"</f>
        <v>乔装 (10%)</v>
      </c>
      <c r="C46" s="38"/>
      <c r="D46" s="38"/>
      <c r="E46" s="38"/>
      <c r="F46" s="38"/>
      <c r="G46" s="38"/>
      <c r="H46" s="38"/>
      <c r="I46" s="38"/>
      <c r="J46" s="39"/>
      <c r="K46" s="44">
        <f ca="1">IF(人物卡!P31="",0,人物卡!P31)</f>
        <v>10</v>
      </c>
      <c r="L46" s="39"/>
      <c r="M46" s="75" t="str">
        <f>IF(OR(人物卡!AE21="√",人物卡!AE21="✓",人物卡!AE21="☑"),"☑","☐")</f>
        <v>☐</v>
      </c>
      <c r="N46" s="40" t="str">
        <f>人物卡!AG21&amp;" ("&amp;IF(人物卡!AV21="",0,人物卡!AV21)&amp;"%)"</f>
        <v>神秘学 (10%)</v>
      </c>
      <c r="O46" s="38"/>
      <c r="P46" s="38"/>
      <c r="Q46" s="38"/>
      <c r="R46" s="38"/>
      <c r="S46" s="38"/>
      <c r="T46" s="38"/>
      <c r="U46" s="38"/>
      <c r="V46" s="39"/>
      <c r="W46" s="44">
        <f ca="1">IF(人物卡!AS21="",0,人物卡!AS21)</f>
        <v>10</v>
      </c>
      <c r="X46" s="39"/>
      <c r="Y46" s="75" t="str">
        <f>IF(OR(人物卡!AE41="√",人物卡!AE41="✓",人物卡!AE41="☑"),"☑","☐")</f>
        <v>☐</v>
      </c>
      <c r="Z46" s="40" t="str">
        <f ca="1">IF(人物卡!AG41="","其他技能：________",人物卡!AG41)</f>
        <v>其他技能：________</v>
      </c>
      <c r="AA46" s="38"/>
      <c r="AB46" s="38"/>
      <c r="AC46" s="38"/>
      <c r="AD46" s="38"/>
      <c r="AE46" s="38"/>
      <c r="AF46" s="38"/>
      <c r="AG46" s="38"/>
      <c r="AH46" s="39"/>
      <c r="AI46" s="44">
        <f ca="1">IF(人物卡!AS41="",0,人物卡!AS41)</f>
        <v>0</v>
      </c>
      <c r="AJ46" s="39"/>
    </row>
    <row r="47" ht="16.5" spans="1:36">
      <c r="A47" s="75" t="str">
        <f>IF(OR(人物卡!B32="√",人物卡!B32="✓",人物卡!B32="☑"),"☑","☐")</f>
        <v>☐</v>
      </c>
      <c r="B47" s="40" t="str">
        <f>人物卡!D32&amp;" ("&amp;IF(人物卡!S32="",0,人物卡!S32)&amp;"%)"</f>
        <v>闪避 (30%)</v>
      </c>
      <c r="C47" s="38"/>
      <c r="D47" s="38"/>
      <c r="E47" s="38"/>
      <c r="F47" s="38"/>
      <c r="G47" s="38"/>
      <c r="H47" s="38"/>
      <c r="I47" s="38"/>
      <c r="J47" s="39"/>
      <c r="K47" s="44">
        <f ca="1">IF(人物卡!P32="",0,人物卡!P32)</f>
        <v>30</v>
      </c>
      <c r="L47" s="39"/>
      <c r="M47" s="75" t="str">
        <f>IF(OR(人物卡!AE22="√",人物卡!AE22="✓",人物卡!AE22="☑"),"☑","☐")</f>
        <v>☐</v>
      </c>
      <c r="N47" s="40" t="str">
        <f>人物卡!AG22&amp;" ("&amp;IF(人物卡!AV22="",0,人物卡!AV22)&amp;"%)"</f>
        <v>说服 (20%)</v>
      </c>
      <c r="O47" s="38"/>
      <c r="P47" s="38"/>
      <c r="Q47" s="38"/>
      <c r="R47" s="38"/>
      <c r="S47" s="38"/>
      <c r="T47" s="38"/>
      <c r="U47" s="38"/>
      <c r="V47" s="39"/>
      <c r="W47" s="44">
        <f ca="1">IF(人物卡!AS22="",0,人物卡!AS22)</f>
        <v>20</v>
      </c>
      <c r="X47" s="39"/>
      <c r="Y47" s="75" t="str">
        <f>IF(OR(人物卡!AE42="√",人物卡!AE42="✓",人物卡!AE42="☑"),"☑","☐")</f>
        <v>☐</v>
      </c>
      <c r="Z47" s="40" t="str">
        <f ca="1">IF(人物卡!AG42="","其他技能：________",人物卡!AG42)</f>
        <v>其他技能：________</v>
      </c>
      <c r="AA47" s="38"/>
      <c r="AB47" s="38"/>
      <c r="AC47" s="38"/>
      <c r="AD47" s="38"/>
      <c r="AE47" s="38"/>
      <c r="AF47" s="38"/>
      <c r="AG47" s="38"/>
      <c r="AH47" s="39"/>
      <c r="AI47" s="44">
        <f ca="1">IF(人物卡!AS42="",0,人物卡!AS42)</f>
        <v>0</v>
      </c>
      <c r="AJ47" s="39"/>
    </row>
    <row r="48" ht="16.5" spans="1:36">
      <c r="A48" s="75" t="str">
        <f>IF(OR(人物卡!B33="√",人物卡!B33="✓",人物卡!B33="☑"),"☑","☐")</f>
        <v>☐</v>
      </c>
      <c r="B48" s="40" t="str">
        <f>人物卡!D33&amp;" ("&amp;IF(人物卡!S33="",0,人物卡!S33)&amp;"%)"</f>
        <v>机动车驾驶 (20%)</v>
      </c>
      <c r="C48" s="38"/>
      <c r="D48" s="38"/>
      <c r="E48" s="38"/>
      <c r="F48" s="38"/>
      <c r="G48" s="38"/>
      <c r="H48" s="38"/>
      <c r="I48" s="38"/>
      <c r="J48" s="39"/>
      <c r="K48" s="44">
        <f ca="1">IF(人物卡!P33="",0,人物卡!P33)</f>
        <v>20</v>
      </c>
      <c r="L48" s="39"/>
      <c r="M48" s="75" t="str">
        <f>IF(OR(人物卡!AE23="√",人物卡!AE23="✓",人物卡!AE23="☑"),"☑","☐")</f>
        <v>☐</v>
      </c>
      <c r="N48" s="40" t="str">
        <f>人物卡!AG23&amp;" ("&amp;IF(人物卡!AV23="",0,人物卡!AV23)&amp;"%)"</f>
        <v>药学 (0%)</v>
      </c>
      <c r="O48" s="38"/>
      <c r="P48" s="38"/>
      <c r="Q48" s="38"/>
      <c r="R48" s="38"/>
      <c r="S48" s="38"/>
      <c r="T48" s="38"/>
      <c r="U48" s="38"/>
      <c r="V48" s="39"/>
      <c r="W48" s="44">
        <f ca="1">IF(人物卡!AS23="",0,人物卡!AS23)</f>
        <v>0</v>
      </c>
      <c r="X48" s="39"/>
      <c r="Y48" s="75" t="str">
        <f>IF(OR(人物卡!AE43="√",人物卡!AE43="✓",人物卡!AE43="☑"),"☑","☐")</f>
        <v>☐</v>
      </c>
      <c r="Z48" s="40" t="str">
        <f ca="1">IF(人物卡!AG43="","其他技能：________",人物卡!AG43)</f>
        <v>其他技能：________</v>
      </c>
      <c r="AA48" s="38"/>
      <c r="AB48" s="38"/>
      <c r="AC48" s="38"/>
      <c r="AD48" s="38"/>
      <c r="AE48" s="38"/>
      <c r="AF48" s="38"/>
      <c r="AG48" s="38"/>
      <c r="AH48" s="39"/>
      <c r="AI48" s="44">
        <f ca="1">IF(人物卡!AS43="",0,人物卡!AS43)</f>
        <v>0</v>
      </c>
      <c r="AJ48" s="39"/>
    </row>
    <row r="49" spans="1:36">
      <c r="A49" s="76" t="s">
        <v>2701</v>
      </c>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3"/>
    </row>
    <row r="50" spans="1:36">
      <c r="A50" s="72"/>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4"/>
    </row>
    <row r="51" ht="16.5" spans="1:36">
      <c r="A51" s="37" t="s">
        <v>2702</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9"/>
    </row>
    <row r="52" spans="1:36">
      <c r="A52" s="77" t="str">
        <f>IF(人物卡!EI17="","",人物卡!EI17)</f>
        <v/>
      </c>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9"/>
    </row>
    <row r="53" spans="1:36">
      <c r="A53" s="80"/>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2"/>
    </row>
    <row r="54" spans="1:36">
      <c r="A54" s="80"/>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2"/>
    </row>
    <row r="55" spans="1:36">
      <c r="A55" s="80"/>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2"/>
    </row>
    <row r="56" spans="1:36">
      <c r="A56" s="83"/>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5"/>
    </row>
    <row r="57" ht="16.5" spans="1:36">
      <c r="A57" s="40" t="s">
        <v>2703</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9"/>
    </row>
    <row r="58" ht="16.5" spans="1:36">
      <c r="A58" s="37" t="s">
        <v>2704</v>
      </c>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9"/>
    </row>
    <row r="59" spans="1:36">
      <c r="A59" s="61"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3"/>
    </row>
    <row r="60" spans="1:36">
      <c r="A60" s="66"/>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8"/>
    </row>
    <row r="61" spans="1:36">
      <c r="A61" s="66"/>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8"/>
    </row>
    <row r="62" spans="1:36">
      <c r="A62" s="66"/>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8"/>
    </row>
    <row r="63" spans="1:36">
      <c r="A63" s="66"/>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8"/>
    </row>
    <row r="64" spans="1:36">
      <c r="A64" s="72"/>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4"/>
    </row>
    <row r="65" ht="16.5" spans="1:36">
      <c r="A65" s="40" t="s">
        <v>2705</v>
      </c>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9"/>
    </row>
    <row r="66" ht="16.5" spans="1:36">
      <c r="A66" s="41" t="s">
        <v>2706</v>
      </c>
      <c r="B66" s="86"/>
      <c r="C66" s="41" t="s">
        <v>2707</v>
      </c>
      <c r="D66" s="87"/>
      <c r="E66" s="87"/>
      <c r="F66" s="87"/>
      <c r="G66" s="87"/>
      <c r="H66" s="86"/>
      <c r="I66" s="41" t="s">
        <v>2708</v>
      </c>
      <c r="J66" s="87"/>
      <c r="K66" s="87"/>
      <c r="L66" s="86"/>
      <c r="M66" s="41" t="s">
        <v>59</v>
      </c>
      <c r="N66" s="87"/>
      <c r="O66" s="87"/>
      <c r="P66" s="87"/>
      <c r="Q66" s="86"/>
      <c r="R66" s="41" t="s">
        <v>2709</v>
      </c>
      <c r="S66" s="87"/>
      <c r="T66" s="87"/>
      <c r="U66" s="87"/>
      <c r="V66" s="86"/>
      <c r="W66" s="41" t="s">
        <v>2710</v>
      </c>
      <c r="X66" s="87"/>
      <c r="Y66" s="87"/>
      <c r="Z66" s="87"/>
      <c r="AA66" s="86"/>
      <c r="AB66" s="41" t="s">
        <v>2711</v>
      </c>
      <c r="AC66" s="87"/>
      <c r="AD66" s="87"/>
      <c r="AE66" s="86"/>
      <c r="AF66" s="41" t="s">
        <v>2712</v>
      </c>
      <c r="AG66" s="87"/>
      <c r="AH66" s="87"/>
      <c r="AI66" s="41" t="s">
        <v>2713</v>
      </c>
      <c r="AJ66" s="86"/>
    </row>
    <row r="67" ht="16.5" spans="1:36">
      <c r="A67" s="44" t="s">
        <v>2714</v>
      </c>
      <c r="B67" s="39"/>
      <c r="C67" s="40" t="str">
        <f>IF(人物卡!CZ14="","",人物卡!CZ14)</f>
        <v/>
      </c>
      <c r="D67" s="38"/>
      <c r="E67" s="38"/>
      <c r="F67" s="38"/>
      <c r="G67" s="38"/>
      <c r="H67" s="39"/>
      <c r="I67" s="44" t="str">
        <f ca="1">IF(人物卡!DM14="","",人物卡!DM14)</f>
        <v/>
      </c>
      <c r="J67" s="38"/>
      <c r="K67" s="38"/>
      <c r="L67" s="39"/>
      <c r="M67" s="44" t="str">
        <f>IF(人物卡!DZ14="","",人物卡!DZ14)</f>
        <v/>
      </c>
      <c r="N67" s="38"/>
      <c r="O67" s="38"/>
      <c r="P67" s="38"/>
      <c r="Q67" s="39"/>
      <c r="R67" s="44"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67" s="38"/>
      <c r="T67" s="38"/>
      <c r="U67" s="38"/>
      <c r="V67" s="39"/>
      <c r="W67" s="44" t="str">
        <f>IF(人物卡!DW14="","",人物卡!DW14)</f>
        <v/>
      </c>
      <c r="X67" s="38"/>
      <c r="Y67" s="38"/>
      <c r="Z67" s="38"/>
      <c r="AA67" s="39"/>
      <c r="AB67" s="44"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67" s="38"/>
      <c r="AD67" s="38"/>
      <c r="AE67" s="39"/>
      <c r="AF67" s="44" t="str">
        <f>IF(人物卡!ED14="","",人物卡!ED14)</f>
        <v/>
      </c>
      <c r="AG67" s="38"/>
      <c r="AH67" s="39"/>
      <c r="AI67" s="44"/>
      <c r="AJ67" s="39"/>
    </row>
    <row r="68" ht="16.5" spans="1:36">
      <c r="A68" s="44" t="s">
        <v>2715</v>
      </c>
      <c r="B68" s="39"/>
      <c r="C68" s="40" t="str">
        <f>IF(人物卡!CZ15="","",人物卡!CZ15)</f>
        <v/>
      </c>
      <c r="D68" s="38"/>
      <c r="E68" s="38"/>
      <c r="F68" s="38"/>
      <c r="G68" s="38"/>
      <c r="H68" s="39"/>
      <c r="I68" s="44" t="str">
        <f ca="1">IF(人物卡!DM15="","",人物卡!DM15)</f>
        <v/>
      </c>
      <c r="J68" s="38"/>
      <c r="K68" s="38"/>
      <c r="L68" s="39"/>
      <c r="M68" s="44" t="str">
        <f>IF(人物卡!DZ15="","",人物卡!DZ15)</f>
        <v/>
      </c>
      <c r="N68" s="38"/>
      <c r="O68" s="38"/>
      <c r="P68" s="38"/>
      <c r="Q68" s="39"/>
      <c r="R68" s="44"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68" s="38"/>
      <c r="T68" s="38"/>
      <c r="U68" s="38"/>
      <c r="V68" s="39"/>
      <c r="W68" s="44" t="str">
        <f>IF(人物卡!DW15="","",人物卡!DW15)</f>
        <v/>
      </c>
      <c r="X68" s="38"/>
      <c r="Y68" s="38"/>
      <c r="Z68" s="38"/>
      <c r="AA68" s="39"/>
      <c r="AB68" s="44"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68" s="38"/>
      <c r="AD68" s="38"/>
      <c r="AE68" s="39"/>
      <c r="AF68" s="44" t="str">
        <f>IF(人物卡!ED15="","",人物卡!ED15)</f>
        <v/>
      </c>
      <c r="AG68" s="38"/>
      <c r="AH68" s="39"/>
      <c r="AI68" s="44"/>
      <c r="AJ68" s="39"/>
    </row>
    <row r="69" ht="16.5" spans="1:36">
      <c r="A69" s="44" t="s">
        <v>2716</v>
      </c>
      <c r="B69" s="39"/>
      <c r="C69" s="40" t="str">
        <f>IF(人物卡!CZ16="","",人物卡!CZ16)</f>
        <v/>
      </c>
      <c r="D69" s="38"/>
      <c r="E69" s="38"/>
      <c r="F69" s="38"/>
      <c r="G69" s="38"/>
      <c r="H69" s="39"/>
      <c r="I69" s="44" t="str">
        <f ca="1">IF(人物卡!DM16="","",人物卡!DM16)</f>
        <v/>
      </c>
      <c r="J69" s="38"/>
      <c r="K69" s="38"/>
      <c r="L69" s="39"/>
      <c r="M69" s="44" t="str">
        <f>IF(人物卡!DZ16="","",人物卡!DZ16)</f>
        <v/>
      </c>
      <c r="N69" s="38"/>
      <c r="O69" s="38"/>
      <c r="P69" s="38"/>
      <c r="Q69" s="39"/>
      <c r="R69" s="44"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69" s="38"/>
      <c r="T69" s="38"/>
      <c r="U69" s="38"/>
      <c r="V69" s="39"/>
      <c r="W69" s="44" t="str">
        <f>IF(人物卡!DW16="","",人物卡!DW16)</f>
        <v/>
      </c>
      <c r="X69" s="38"/>
      <c r="Y69" s="38"/>
      <c r="Z69" s="38"/>
      <c r="AA69" s="39"/>
      <c r="AB69" s="44"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69" s="38"/>
      <c r="AD69" s="38"/>
      <c r="AE69" s="39"/>
      <c r="AF69" s="44" t="str">
        <f>IF(人物卡!ED16="","",人物卡!ED16)</f>
        <v/>
      </c>
      <c r="AG69" s="38"/>
      <c r="AH69" s="39"/>
      <c r="AI69" s="44"/>
      <c r="AJ69" s="39"/>
    </row>
    <row r="70" ht="16.5" spans="1:36">
      <c r="A70" s="44" t="s">
        <v>2717</v>
      </c>
      <c r="B70" s="39"/>
      <c r="C70" s="40" t="str">
        <f>IF(人物卡!CZ17="","",人物卡!CZ17)</f>
        <v/>
      </c>
      <c r="D70" s="38"/>
      <c r="E70" s="38"/>
      <c r="F70" s="38"/>
      <c r="G70" s="38"/>
      <c r="H70" s="39"/>
      <c r="I70" s="44" t="str">
        <f ca="1">IF(人物卡!DM17="","",人物卡!DM17)</f>
        <v/>
      </c>
      <c r="J70" s="38"/>
      <c r="K70" s="38"/>
      <c r="L70" s="39"/>
      <c r="M70" s="44" t="str">
        <f>IF(人物卡!DZ17="","",人物卡!DZ17)</f>
        <v/>
      </c>
      <c r="N70" s="38"/>
      <c r="O70" s="38"/>
      <c r="P70" s="38"/>
      <c r="Q70" s="39"/>
      <c r="R70" s="44"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0" s="38"/>
      <c r="T70" s="38"/>
      <c r="U70" s="38"/>
      <c r="V70" s="39"/>
      <c r="W70" s="44" t="str">
        <f>IF(人物卡!DW17="","",人物卡!DW17)</f>
        <v/>
      </c>
      <c r="X70" s="38"/>
      <c r="Y70" s="38"/>
      <c r="Z70" s="38"/>
      <c r="AA70" s="39"/>
      <c r="AB70" s="44"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0" s="38"/>
      <c r="AD70" s="38"/>
      <c r="AE70" s="39"/>
      <c r="AF70" s="44" t="str">
        <f>IF(人物卡!ED17="","",人物卡!ED17)</f>
        <v/>
      </c>
      <c r="AG70" s="38"/>
      <c r="AH70" s="39"/>
      <c r="AI70" s="44"/>
      <c r="AJ70" s="39"/>
    </row>
    <row r="71" ht="16.5" spans="1:36">
      <c r="A71" s="44" t="s">
        <v>2718</v>
      </c>
      <c r="B71" s="39"/>
      <c r="C71" s="40" t="str">
        <f>IF(人物卡!CZ18="","",人物卡!CZ18)</f>
        <v/>
      </c>
      <c r="D71" s="38"/>
      <c r="E71" s="38"/>
      <c r="F71" s="38"/>
      <c r="G71" s="38"/>
      <c r="H71" s="39"/>
      <c r="I71" s="44" t="str">
        <f ca="1">IF(人物卡!DM18="","",人物卡!DM18)</f>
        <v/>
      </c>
      <c r="J71" s="38"/>
      <c r="K71" s="38"/>
      <c r="L71" s="39"/>
      <c r="M71" s="44" t="str">
        <f>IF(人物卡!DZ18="","",人物卡!DZ18)</f>
        <v/>
      </c>
      <c r="N71" s="38"/>
      <c r="O71" s="38"/>
      <c r="P71" s="38"/>
      <c r="Q71" s="39"/>
      <c r="R71" s="44"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1" s="38"/>
      <c r="T71" s="38"/>
      <c r="U71" s="38"/>
      <c r="V71" s="39"/>
      <c r="W71" s="44" t="str">
        <f>IF(人物卡!DW18="","",人物卡!DW18)</f>
        <v/>
      </c>
      <c r="X71" s="38"/>
      <c r="Y71" s="38"/>
      <c r="Z71" s="38"/>
      <c r="AA71" s="39"/>
      <c r="AB71" s="44"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1" s="38"/>
      <c r="AD71" s="38"/>
      <c r="AE71" s="39"/>
      <c r="AF71" s="44" t="str">
        <f>IF(人物卡!ED18="","",人物卡!ED18)</f>
        <v/>
      </c>
      <c r="AG71" s="38"/>
      <c r="AH71" s="39"/>
      <c r="AI71" s="44"/>
      <c r="AJ71" s="39"/>
    </row>
    <row r="72" ht="16.5" spans="1:36">
      <c r="A72" s="44" t="s">
        <v>2719</v>
      </c>
      <c r="B72" s="39"/>
      <c r="C72" s="40" t="str">
        <f>IF(人物卡!CZ19="","",人物卡!CZ19)</f>
        <v/>
      </c>
      <c r="D72" s="38"/>
      <c r="E72" s="38"/>
      <c r="F72" s="38"/>
      <c r="G72" s="38"/>
      <c r="H72" s="39"/>
      <c r="I72" s="44" t="str">
        <f ca="1">IF(人物卡!DM19="","",人物卡!DM19)</f>
        <v/>
      </c>
      <c r="J72" s="38"/>
      <c r="K72" s="38"/>
      <c r="L72" s="39"/>
      <c r="M72" s="44" t="str">
        <f>IF(人物卡!DZ19="","",人物卡!DZ19)</f>
        <v/>
      </c>
      <c r="N72" s="38"/>
      <c r="O72" s="38"/>
      <c r="P72" s="38"/>
      <c r="Q72" s="39"/>
      <c r="R72" s="44"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2" s="38"/>
      <c r="T72" s="38"/>
      <c r="U72" s="38"/>
      <c r="V72" s="39"/>
      <c r="W72" s="44" t="str">
        <f>IF(人物卡!DW19="","",人物卡!DW19)</f>
        <v/>
      </c>
      <c r="X72" s="38"/>
      <c r="Y72" s="38"/>
      <c r="Z72" s="38"/>
      <c r="AA72" s="39"/>
      <c r="AB72" s="44"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2" s="38"/>
      <c r="AD72" s="38"/>
      <c r="AE72" s="39"/>
      <c r="AF72" s="44" t="str">
        <f>IF(人物卡!ED19="","",人物卡!ED19)</f>
        <v/>
      </c>
      <c r="AG72" s="38"/>
      <c r="AH72" s="39"/>
      <c r="AI72" s="44"/>
      <c r="AJ72" s="39"/>
    </row>
    <row r="73" ht="16.5" spans="1:36">
      <c r="A73" s="44" t="s">
        <v>2720</v>
      </c>
      <c r="B73" s="39"/>
      <c r="C73" s="40" t="str">
        <f>IF(人物卡!CZ20="","",人物卡!CZ20)</f>
        <v/>
      </c>
      <c r="D73" s="38"/>
      <c r="E73" s="38"/>
      <c r="F73" s="38"/>
      <c r="G73" s="38"/>
      <c r="H73" s="39"/>
      <c r="I73" s="44" t="str">
        <f ca="1">IF(人物卡!DM20="","",人物卡!DM20)</f>
        <v/>
      </c>
      <c r="J73" s="38"/>
      <c r="K73" s="38"/>
      <c r="L73" s="39"/>
      <c r="M73" s="44" t="str">
        <f>IF(人物卡!DZ20="","",人物卡!DZ20)</f>
        <v/>
      </c>
      <c r="N73" s="38"/>
      <c r="O73" s="38"/>
      <c r="P73" s="38"/>
      <c r="Q73" s="39"/>
      <c r="R73" s="44"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3" s="38"/>
      <c r="T73" s="38"/>
      <c r="U73" s="38"/>
      <c r="V73" s="39"/>
      <c r="W73" s="44" t="str">
        <f>IF(人物卡!DW20="","",人物卡!DW20)</f>
        <v/>
      </c>
      <c r="X73" s="38"/>
      <c r="Y73" s="38"/>
      <c r="Z73" s="38"/>
      <c r="AA73" s="39"/>
      <c r="AB73" s="44"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3" s="38"/>
      <c r="AD73" s="38"/>
      <c r="AE73" s="39"/>
      <c r="AF73" s="44" t="str">
        <f>IF(人物卡!ED20="","",人物卡!ED20)</f>
        <v/>
      </c>
      <c r="AG73" s="38"/>
      <c r="AH73" s="39"/>
      <c r="AI73" s="44"/>
      <c r="AJ73" s="39"/>
    </row>
    <row r="74" ht="16.5" spans="1:36">
      <c r="A74" s="37" t="s">
        <v>2721</v>
      </c>
      <c r="B74" s="38"/>
      <c r="C74" s="38"/>
      <c r="D74" s="38"/>
      <c r="E74" s="38"/>
      <c r="F74" s="38"/>
      <c r="G74" s="38"/>
      <c r="H74" s="38"/>
      <c r="I74" s="38"/>
      <c r="J74" s="38"/>
      <c r="K74" s="38"/>
      <c r="L74" s="38"/>
      <c r="M74" s="38"/>
      <c r="N74" s="38"/>
      <c r="O74" s="38"/>
      <c r="P74" s="38"/>
      <c r="Q74" s="38"/>
      <c r="R74" s="39"/>
      <c r="S74" s="37" t="s">
        <v>2722</v>
      </c>
      <c r="T74" s="38"/>
      <c r="U74" s="38"/>
      <c r="V74" s="38"/>
      <c r="W74" s="38"/>
      <c r="X74" s="38"/>
      <c r="Y74" s="38"/>
      <c r="Z74" s="38"/>
      <c r="AA74" s="38"/>
      <c r="AB74" s="38"/>
      <c r="AC74" s="38"/>
      <c r="AD74" s="38"/>
      <c r="AE74" s="38"/>
      <c r="AF74" s="38"/>
      <c r="AG74" s="38"/>
      <c r="AH74" s="38"/>
      <c r="AI74" s="38"/>
      <c r="AJ74" s="39"/>
    </row>
    <row r="75" spans="1:36">
      <c r="A75" s="88"/>
      <c r="B75" s="89"/>
      <c r="C75" s="89"/>
      <c r="D75" s="89"/>
      <c r="E75" s="89"/>
      <c r="F75" s="89"/>
      <c r="G75" s="89"/>
      <c r="H75" s="89"/>
      <c r="I75" s="89"/>
      <c r="J75" s="89"/>
      <c r="K75" s="89"/>
      <c r="L75" s="89"/>
      <c r="M75" s="89"/>
      <c r="N75" s="89"/>
      <c r="O75" s="89"/>
      <c r="P75" s="89"/>
      <c r="Q75" s="89"/>
      <c r="R75" s="90"/>
      <c r="S75" s="77"/>
      <c r="T75" s="78"/>
      <c r="U75" s="78"/>
      <c r="V75" s="78"/>
      <c r="W75" s="78"/>
      <c r="X75" s="78"/>
      <c r="Y75" s="78"/>
      <c r="Z75" s="78"/>
      <c r="AA75" s="78"/>
      <c r="AB75" s="78"/>
      <c r="AC75" s="78"/>
      <c r="AD75" s="78"/>
      <c r="AE75" s="78"/>
      <c r="AF75" s="78"/>
      <c r="AG75" s="78"/>
      <c r="AH75" s="78"/>
      <c r="AI75" s="78"/>
      <c r="AJ75" s="79"/>
    </row>
    <row r="76" spans="1:36">
      <c r="A76" s="91"/>
      <c r="B76" s="92"/>
      <c r="C76" s="92"/>
      <c r="D76" s="92"/>
      <c r="E76" s="92"/>
      <c r="F76" s="92"/>
      <c r="G76" s="92"/>
      <c r="H76" s="92"/>
      <c r="I76" s="92"/>
      <c r="J76" s="92"/>
      <c r="K76" s="92"/>
      <c r="L76" s="92"/>
      <c r="M76" s="92"/>
      <c r="N76" s="92"/>
      <c r="O76" s="92"/>
      <c r="P76" s="92"/>
      <c r="Q76" s="92"/>
      <c r="R76" s="93"/>
      <c r="S76" s="80"/>
      <c r="T76" s="81"/>
      <c r="U76" s="81"/>
      <c r="V76" s="81"/>
      <c r="W76" s="81"/>
      <c r="X76" s="81"/>
      <c r="Y76" s="81"/>
      <c r="Z76" s="81"/>
      <c r="AA76" s="81"/>
      <c r="AB76" s="81"/>
      <c r="AC76" s="81"/>
      <c r="AD76" s="81"/>
      <c r="AE76" s="81"/>
      <c r="AF76" s="81"/>
      <c r="AG76" s="81"/>
      <c r="AH76" s="81"/>
      <c r="AI76" s="81"/>
      <c r="AJ76" s="82"/>
    </row>
    <row r="77" spans="1:36">
      <c r="A77" s="91"/>
      <c r="B77" s="92"/>
      <c r="C77" s="92"/>
      <c r="D77" s="92"/>
      <c r="E77" s="92"/>
      <c r="F77" s="92"/>
      <c r="G77" s="92"/>
      <c r="H77" s="92"/>
      <c r="I77" s="92"/>
      <c r="J77" s="92"/>
      <c r="K77" s="92"/>
      <c r="L77" s="92"/>
      <c r="M77" s="92"/>
      <c r="N77" s="92"/>
      <c r="O77" s="92"/>
      <c r="P77" s="92"/>
      <c r="Q77" s="92"/>
      <c r="R77" s="93"/>
      <c r="S77" s="80"/>
      <c r="T77" s="81"/>
      <c r="U77" s="81"/>
      <c r="V77" s="81"/>
      <c r="W77" s="81"/>
      <c r="X77" s="81"/>
      <c r="Y77" s="81"/>
      <c r="Z77" s="81"/>
      <c r="AA77" s="81"/>
      <c r="AB77" s="81"/>
      <c r="AC77" s="81"/>
      <c r="AD77" s="81"/>
      <c r="AE77" s="81"/>
      <c r="AF77" s="81"/>
      <c r="AG77" s="81"/>
      <c r="AH77" s="81"/>
      <c r="AI77" s="81"/>
      <c r="AJ77" s="82"/>
    </row>
    <row r="78" spans="1:36">
      <c r="A78" s="91"/>
      <c r="B78" s="92"/>
      <c r="C78" s="92"/>
      <c r="D78" s="92"/>
      <c r="E78" s="92"/>
      <c r="F78" s="92"/>
      <c r="G78" s="92"/>
      <c r="H78" s="92"/>
      <c r="I78" s="92"/>
      <c r="J78" s="92"/>
      <c r="K78" s="92"/>
      <c r="L78" s="92"/>
      <c r="M78" s="92"/>
      <c r="N78" s="92"/>
      <c r="O78" s="92"/>
      <c r="P78" s="92"/>
      <c r="Q78" s="92"/>
      <c r="R78" s="93"/>
      <c r="S78" s="83"/>
      <c r="T78" s="84"/>
      <c r="U78" s="84"/>
      <c r="V78" s="84"/>
      <c r="W78" s="84"/>
      <c r="X78" s="84"/>
      <c r="Y78" s="84"/>
      <c r="Z78" s="84"/>
      <c r="AA78" s="84"/>
      <c r="AB78" s="84"/>
      <c r="AC78" s="84"/>
      <c r="AD78" s="84"/>
      <c r="AE78" s="84"/>
      <c r="AF78" s="84"/>
      <c r="AG78" s="84"/>
      <c r="AH78" s="84"/>
      <c r="AI78" s="84"/>
      <c r="AJ78" s="85"/>
    </row>
    <row r="79" ht="16.5" spans="1:36">
      <c r="A79" s="91"/>
      <c r="B79" s="92"/>
      <c r="C79" s="92"/>
      <c r="D79" s="92"/>
      <c r="E79" s="92"/>
      <c r="F79" s="92"/>
      <c r="G79" s="92"/>
      <c r="H79" s="92"/>
      <c r="I79" s="92"/>
      <c r="J79" s="92"/>
      <c r="K79" s="92"/>
      <c r="L79" s="92"/>
      <c r="M79" s="92"/>
      <c r="N79" s="92"/>
      <c r="O79" s="92"/>
      <c r="P79" s="92"/>
      <c r="Q79" s="92"/>
      <c r="R79" s="93"/>
      <c r="S79" s="37" t="s">
        <v>2723</v>
      </c>
      <c r="T79" s="38"/>
      <c r="U79" s="38"/>
      <c r="V79" s="38"/>
      <c r="W79" s="38"/>
      <c r="X79" s="38"/>
      <c r="Y79" s="38"/>
      <c r="Z79" s="38"/>
      <c r="AA79" s="39"/>
      <c r="AB79" s="37" t="s">
        <v>9</v>
      </c>
      <c r="AC79" s="38"/>
      <c r="AD79" s="38"/>
      <c r="AE79" s="38"/>
      <c r="AF79" s="38"/>
      <c r="AG79" s="38"/>
      <c r="AH79" s="38"/>
      <c r="AI79" s="38"/>
      <c r="AJ79" s="39"/>
    </row>
    <row r="80" ht="16.5" spans="1:36">
      <c r="A80" s="91"/>
      <c r="B80" s="92"/>
      <c r="C80" s="92"/>
      <c r="D80" s="92"/>
      <c r="E80" s="92"/>
      <c r="F80" s="92"/>
      <c r="G80" s="92"/>
      <c r="H80" s="92"/>
      <c r="I80" s="92"/>
      <c r="J80" s="92"/>
      <c r="K80" s="92"/>
      <c r="L80" s="92"/>
      <c r="M80" s="92"/>
      <c r="N80" s="92"/>
      <c r="O80" s="92"/>
      <c r="P80" s="92"/>
      <c r="Q80" s="92"/>
      <c r="R80" s="93"/>
      <c r="S80" s="40" t="str">
        <f>IF(人物卡!BX3="","",人物卡!BX3)</f>
        <v/>
      </c>
      <c r="T80" s="38"/>
      <c r="U80" s="38"/>
      <c r="V80" s="38"/>
      <c r="W80" s="38"/>
      <c r="X80" s="38"/>
      <c r="Y80" s="38"/>
      <c r="Z80" s="38"/>
      <c r="AA80" s="39"/>
      <c r="AB80" s="40" t="str">
        <f>IF(人物卡!CP3="","",人物卡!CP3)</f>
        <v/>
      </c>
      <c r="AC80" s="38"/>
      <c r="AD80" s="38"/>
      <c r="AE80" s="38"/>
      <c r="AF80" s="38"/>
      <c r="AG80" s="38"/>
      <c r="AH80" s="38"/>
      <c r="AI80" s="38"/>
      <c r="AJ80" s="39"/>
    </row>
    <row r="81" ht="16.5" spans="1:36">
      <c r="A81" s="91"/>
      <c r="B81" s="92"/>
      <c r="C81" s="92"/>
      <c r="D81" s="92"/>
      <c r="E81" s="92"/>
      <c r="F81" s="92"/>
      <c r="G81" s="92"/>
      <c r="H81" s="92"/>
      <c r="I81" s="92"/>
      <c r="J81" s="92"/>
      <c r="K81" s="92"/>
      <c r="L81" s="92"/>
      <c r="M81" s="92"/>
      <c r="N81" s="92"/>
      <c r="O81" s="92"/>
      <c r="P81" s="92"/>
      <c r="Q81" s="92"/>
      <c r="R81" s="93"/>
      <c r="S81" s="40" t="str">
        <f>IF(人物卡!BX4="","",人物卡!BX4)</f>
        <v/>
      </c>
      <c r="T81" s="38"/>
      <c r="U81" s="38"/>
      <c r="V81" s="38"/>
      <c r="W81" s="38"/>
      <c r="X81" s="38"/>
      <c r="Y81" s="38"/>
      <c r="Z81" s="38"/>
      <c r="AA81" s="39"/>
      <c r="AB81" s="40" t="str">
        <f>IF(人物卡!CP4="","",人物卡!CP4)</f>
        <v/>
      </c>
      <c r="AC81" s="38"/>
      <c r="AD81" s="38"/>
      <c r="AE81" s="38"/>
      <c r="AF81" s="38"/>
      <c r="AG81" s="38"/>
      <c r="AH81" s="38"/>
      <c r="AI81" s="38"/>
      <c r="AJ81" s="39"/>
    </row>
    <row r="82" ht="16.5" spans="1:36">
      <c r="A82" s="91"/>
      <c r="B82" s="92"/>
      <c r="C82" s="92"/>
      <c r="D82" s="92"/>
      <c r="E82" s="92"/>
      <c r="F82" s="92"/>
      <c r="G82" s="92"/>
      <c r="H82" s="92"/>
      <c r="I82" s="92"/>
      <c r="J82" s="92"/>
      <c r="K82" s="92"/>
      <c r="L82" s="92"/>
      <c r="M82" s="92"/>
      <c r="N82" s="92"/>
      <c r="O82" s="92"/>
      <c r="P82" s="92"/>
      <c r="Q82" s="92"/>
      <c r="R82" s="93"/>
      <c r="S82" s="40" t="str">
        <f>IF(人物卡!BX5="","",人物卡!BX5)</f>
        <v/>
      </c>
      <c r="T82" s="38"/>
      <c r="U82" s="38"/>
      <c r="V82" s="38"/>
      <c r="W82" s="38"/>
      <c r="X82" s="38"/>
      <c r="Y82" s="38"/>
      <c r="Z82" s="38"/>
      <c r="AA82" s="39"/>
      <c r="AB82" s="40" t="str">
        <f>IF(人物卡!CP5="","",人物卡!CP5)</f>
        <v/>
      </c>
      <c r="AC82" s="38"/>
      <c r="AD82" s="38"/>
      <c r="AE82" s="38"/>
      <c r="AF82" s="38"/>
      <c r="AG82" s="38"/>
      <c r="AH82" s="38"/>
      <c r="AI82" s="38"/>
      <c r="AJ82" s="39"/>
    </row>
    <row r="83" ht="16.5" spans="1:36">
      <c r="A83" s="91"/>
      <c r="B83" s="92"/>
      <c r="C83" s="92"/>
      <c r="D83" s="92"/>
      <c r="E83" s="92"/>
      <c r="F83" s="92"/>
      <c r="G83" s="92"/>
      <c r="H83" s="92"/>
      <c r="I83" s="92"/>
      <c r="J83" s="92"/>
      <c r="K83" s="92"/>
      <c r="L83" s="92"/>
      <c r="M83" s="92"/>
      <c r="N83" s="92"/>
      <c r="O83" s="92"/>
      <c r="P83" s="92"/>
      <c r="Q83" s="92"/>
      <c r="R83" s="93"/>
      <c r="S83" s="40" t="str">
        <f>IF(人物卡!BX6="","",人物卡!BX6)</f>
        <v/>
      </c>
      <c r="T83" s="38"/>
      <c r="U83" s="38"/>
      <c r="V83" s="38"/>
      <c r="W83" s="38"/>
      <c r="X83" s="38"/>
      <c r="Y83" s="38"/>
      <c r="Z83" s="38"/>
      <c r="AA83" s="39"/>
      <c r="AB83" s="40" t="str">
        <f>IF(人物卡!CP6="","",人物卡!CP6)</f>
        <v/>
      </c>
      <c r="AC83" s="38"/>
      <c r="AD83" s="38"/>
      <c r="AE83" s="38"/>
      <c r="AF83" s="38"/>
      <c r="AG83" s="38"/>
      <c r="AH83" s="38"/>
      <c r="AI83" s="38"/>
      <c r="AJ83" s="39"/>
    </row>
    <row r="84" ht="16.5" spans="1:36">
      <c r="A84" s="91"/>
      <c r="B84" s="92"/>
      <c r="C84" s="92"/>
      <c r="D84" s="92"/>
      <c r="E84" s="92"/>
      <c r="F84" s="92"/>
      <c r="G84" s="92"/>
      <c r="H84" s="92"/>
      <c r="I84" s="92"/>
      <c r="J84" s="92"/>
      <c r="K84" s="92"/>
      <c r="L84" s="92"/>
      <c r="M84" s="92"/>
      <c r="N84" s="92"/>
      <c r="O84" s="92"/>
      <c r="P84" s="92"/>
      <c r="Q84" s="92"/>
      <c r="R84" s="93"/>
      <c r="S84" s="40" t="str">
        <f>IF(人物卡!BX7="","",人物卡!BX7)</f>
        <v/>
      </c>
      <c r="T84" s="38"/>
      <c r="U84" s="38"/>
      <c r="V84" s="38"/>
      <c r="W84" s="38"/>
      <c r="X84" s="38"/>
      <c r="Y84" s="38"/>
      <c r="Z84" s="38"/>
      <c r="AA84" s="39"/>
      <c r="AB84" s="40" t="str">
        <f>IF(人物卡!CP7="","",人物卡!CP7)</f>
        <v/>
      </c>
      <c r="AC84" s="38"/>
      <c r="AD84" s="38"/>
      <c r="AE84" s="38"/>
      <c r="AF84" s="38"/>
      <c r="AG84" s="38"/>
      <c r="AH84" s="38"/>
      <c r="AI84" s="38"/>
      <c r="AJ84" s="39"/>
    </row>
    <row r="85" ht="16.5" spans="1:36">
      <c r="A85" s="91"/>
      <c r="B85" s="92"/>
      <c r="C85" s="92"/>
      <c r="D85" s="92"/>
      <c r="E85" s="92"/>
      <c r="F85" s="92"/>
      <c r="G85" s="92"/>
      <c r="H85" s="92"/>
      <c r="I85" s="92"/>
      <c r="J85" s="92"/>
      <c r="K85" s="92"/>
      <c r="L85" s="92"/>
      <c r="M85" s="92"/>
      <c r="N85" s="92"/>
      <c r="O85" s="92"/>
      <c r="P85" s="92"/>
      <c r="Q85" s="92"/>
      <c r="R85" s="93"/>
      <c r="S85" s="40" t="str">
        <f>IF(人物卡!BX8="","",人物卡!BX8)</f>
        <v/>
      </c>
      <c r="T85" s="38"/>
      <c r="U85" s="38"/>
      <c r="V85" s="38"/>
      <c r="W85" s="38"/>
      <c r="X85" s="38"/>
      <c r="Y85" s="38"/>
      <c r="Z85" s="38"/>
      <c r="AA85" s="39"/>
      <c r="AB85" s="40" t="str">
        <f>IF(人物卡!CP8="","",人物卡!CP8)</f>
        <v/>
      </c>
      <c r="AC85" s="38"/>
      <c r="AD85" s="38"/>
      <c r="AE85" s="38"/>
      <c r="AF85" s="38"/>
      <c r="AG85" s="38"/>
      <c r="AH85" s="38"/>
      <c r="AI85" s="38"/>
      <c r="AJ85" s="39"/>
    </row>
    <row r="86" ht="16.5" spans="1:36">
      <c r="A86" s="91"/>
      <c r="B86" s="92"/>
      <c r="C86" s="92"/>
      <c r="D86" s="92"/>
      <c r="E86" s="92"/>
      <c r="F86" s="92"/>
      <c r="G86" s="92"/>
      <c r="H86" s="92"/>
      <c r="I86" s="92"/>
      <c r="J86" s="92"/>
      <c r="K86" s="92"/>
      <c r="L86" s="92"/>
      <c r="M86" s="92"/>
      <c r="N86" s="92"/>
      <c r="O86" s="92"/>
      <c r="P86" s="92"/>
      <c r="Q86" s="92"/>
      <c r="R86" s="93"/>
      <c r="S86" s="40" t="str">
        <f>IF(人物卡!BX9="","",人物卡!BX9)</f>
        <v/>
      </c>
      <c r="T86" s="38"/>
      <c r="U86" s="38"/>
      <c r="V86" s="38"/>
      <c r="W86" s="38"/>
      <c r="X86" s="38"/>
      <c r="Y86" s="38"/>
      <c r="Z86" s="38"/>
      <c r="AA86" s="39"/>
      <c r="AB86" s="40" t="str">
        <f>IF(人物卡!CP9="","",人物卡!CP9)</f>
        <v/>
      </c>
      <c r="AC86" s="38"/>
      <c r="AD86" s="38"/>
      <c r="AE86" s="38"/>
      <c r="AF86" s="38"/>
      <c r="AG86" s="38"/>
      <c r="AH86" s="38"/>
      <c r="AI86" s="38"/>
      <c r="AJ86" s="39"/>
    </row>
    <row r="87" ht="16.5" spans="1:36">
      <c r="A87" s="91"/>
      <c r="B87" s="92"/>
      <c r="C87" s="92"/>
      <c r="D87" s="92"/>
      <c r="E87" s="92"/>
      <c r="F87" s="92"/>
      <c r="G87" s="92"/>
      <c r="H87" s="92"/>
      <c r="I87" s="92"/>
      <c r="J87" s="92"/>
      <c r="K87" s="92"/>
      <c r="L87" s="92"/>
      <c r="M87" s="92"/>
      <c r="N87" s="92"/>
      <c r="O87" s="92"/>
      <c r="P87" s="92"/>
      <c r="Q87" s="92"/>
      <c r="R87" s="93"/>
      <c r="S87" s="40" t="str">
        <f>IF(人物卡!BX10="","",人物卡!BX10)</f>
        <v/>
      </c>
      <c r="T87" s="38"/>
      <c r="U87" s="38"/>
      <c r="V87" s="38"/>
      <c r="W87" s="38"/>
      <c r="X87" s="38"/>
      <c r="Y87" s="38"/>
      <c r="Z87" s="38"/>
      <c r="AA87" s="39"/>
      <c r="AB87" s="40" t="str">
        <f>IF(人物卡!CP10="","",人物卡!CP10)</f>
        <v/>
      </c>
      <c r="AC87" s="38"/>
      <c r="AD87" s="38"/>
      <c r="AE87" s="38"/>
      <c r="AF87" s="38"/>
      <c r="AG87" s="38"/>
      <c r="AH87" s="38"/>
      <c r="AI87" s="38"/>
      <c r="AJ87" s="39"/>
    </row>
    <row r="88" ht="16.5" spans="1:36">
      <c r="A88" s="94"/>
      <c r="B88" s="95"/>
      <c r="C88" s="95"/>
      <c r="D88" s="95"/>
      <c r="E88" s="95"/>
      <c r="F88" s="95"/>
      <c r="G88" s="95"/>
      <c r="H88" s="95"/>
      <c r="I88" s="95"/>
      <c r="J88" s="95"/>
      <c r="K88" s="95"/>
      <c r="L88" s="95"/>
      <c r="M88" s="95"/>
      <c r="N88" s="95"/>
      <c r="O88" s="95"/>
      <c r="P88" s="95"/>
      <c r="Q88" s="95"/>
      <c r="R88" s="96"/>
      <c r="S88" s="40" t="str">
        <f>IF(人物卡!BX11="","",人物卡!BX11)</f>
        <v/>
      </c>
      <c r="T88" s="38"/>
      <c r="U88" s="38"/>
      <c r="V88" s="38"/>
      <c r="W88" s="38"/>
      <c r="X88" s="38"/>
      <c r="Y88" s="38"/>
      <c r="Z88" s="38"/>
      <c r="AA88" s="39"/>
      <c r="AB88" s="40" t="str">
        <f>IF(人物卡!CP11="","",人物卡!CP11)</f>
        <v/>
      </c>
      <c r="AC88" s="38"/>
      <c r="AD88" s="38"/>
      <c r="AE88" s="38"/>
      <c r="AF88" s="38"/>
      <c r="AG88" s="38"/>
      <c r="AH88" s="38"/>
      <c r="AI88" s="38"/>
      <c r="AJ88" s="39"/>
    </row>
    <row r="89" ht="16.5" spans="1:36">
      <c r="A89" s="37" t="s">
        <v>2724</v>
      </c>
      <c r="B89" s="38"/>
      <c r="C89" s="38"/>
      <c r="D89" s="38"/>
      <c r="E89" s="38"/>
      <c r="F89" s="38"/>
      <c r="G89" s="38"/>
      <c r="H89" s="38"/>
      <c r="I89" s="38"/>
      <c r="J89" s="38"/>
      <c r="K89" s="38"/>
      <c r="L89" s="38"/>
      <c r="M89" s="38"/>
      <c r="N89" s="39"/>
      <c r="O89" s="37" t="s">
        <v>2680</v>
      </c>
      <c r="P89" s="38"/>
      <c r="Q89" s="38"/>
      <c r="R89" s="39"/>
      <c r="S89" s="76" t="s">
        <v>2725</v>
      </c>
      <c r="T89" s="62"/>
      <c r="U89" s="62"/>
      <c r="V89" s="62"/>
      <c r="W89" s="62"/>
      <c r="X89" s="62"/>
      <c r="Y89" s="62"/>
      <c r="Z89" s="62"/>
      <c r="AA89" s="62"/>
      <c r="AB89" s="62"/>
      <c r="AC89" s="62"/>
      <c r="AD89" s="62"/>
      <c r="AE89" s="62"/>
      <c r="AF89" s="62"/>
      <c r="AG89" s="62"/>
      <c r="AH89" s="62"/>
      <c r="AI89" s="62"/>
      <c r="AJ89" s="63"/>
    </row>
    <row r="90" ht="16.5" spans="1:36">
      <c r="A90" s="40" t="str">
        <f>IF(人物卡!CZ38="","",IF(人物卡!EF39="√","[DG] ","")&amp;人物卡!CZ38)</f>
        <v/>
      </c>
      <c r="B90" s="38"/>
      <c r="C90" s="38"/>
      <c r="D90" s="38"/>
      <c r="E90" s="38"/>
      <c r="F90" s="38"/>
      <c r="G90" s="38"/>
      <c r="H90" s="38"/>
      <c r="I90" s="38"/>
      <c r="J90" s="38"/>
      <c r="K90" s="38"/>
      <c r="L90" s="38"/>
      <c r="M90" s="38"/>
      <c r="N90" s="39"/>
      <c r="O90" s="44" t="str">
        <f>IF(人物卡!ED39="","",人物卡!ED39)</f>
        <v/>
      </c>
      <c r="P90" s="38"/>
      <c r="Q90" s="38"/>
      <c r="R90" s="39"/>
      <c r="S90" s="66"/>
      <c r="T90" s="67"/>
      <c r="U90" s="67"/>
      <c r="V90" s="67"/>
      <c r="W90" s="67"/>
      <c r="X90" s="67"/>
      <c r="Y90" s="67"/>
      <c r="Z90" s="67"/>
      <c r="AA90" s="67"/>
      <c r="AB90" s="67"/>
      <c r="AC90" s="67"/>
      <c r="AD90" s="67"/>
      <c r="AE90" s="67"/>
      <c r="AF90" s="67"/>
      <c r="AG90" s="67"/>
      <c r="AH90" s="67"/>
      <c r="AI90" s="67"/>
      <c r="AJ90" s="68"/>
    </row>
    <row r="91" ht="16.5" spans="1:36">
      <c r="A91" s="40" t="str">
        <f>IF(人物卡!CZ41="","",IF(人物卡!EF42="√","[DG] ","")&amp;人物卡!CZ41)</f>
        <v/>
      </c>
      <c r="B91" s="38"/>
      <c r="C91" s="38"/>
      <c r="D91" s="38"/>
      <c r="E91" s="38"/>
      <c r="F91" s="38"/>
      <c r="G91" s="38"/>
      <c r="H91" s="38"/>
      <c r="I91" s="38"/>
      <c r="J91" s="38"/>
      <c r="K91" s="38"/>
      <c r="L91" s="38"/>
      <c r="M91" s="38"/>
      <c r="N91" s="39"/>
      <c r="O91" s="44" t="str">
        <f>IF(人物卡!ED42="","",人物卡!ED42)</f>
        <v/>
      </c>
      <c r="P91" s="38"/>
      <c r="Q91" s="38"/>
      <c r="R91" s="39"/>
      <c r="S91" s="72"/>
      <c r="T91" s="73"/>
      <c r="U91" s="73"/>
      <c r="V91" s="73"/>
      <c r="W91" s="73"/>
      <c r="X91" s="73"/>
      <c r="Y91" s="73"/>
      <c r="Z91" s="73"/>
      <c r="AA91" s="73"/>
      <c r="AB91" s="73"/>
      <c r="AC91" s="73"/>
      <c r="AD91" s="73"/>
      <c r="AE91" s="73"/>
      <c r="AF91" s="73"/>
      <c r="AG91" s="73"/>
      <c r="AH91" s="73"/>
      <c r="AI91" s="73"/>
      <c r="AJ91" s="74"/>
    </row>
    <row r="92" ht="16.5" spans="1:36">
      <c r="A92" s="37" t="s">
        <v>2726</v>
      </c>
      <c r="B92" s="38"/>
      <c r="C92" s="38"/>
      <c r="D92" s="38"/>
      <c r="E92" s="38"/>
      <c r="F92" s="38"/>
      <c r="G92" s="38"/>
      <c r="H92" s="38"/>
      <c r="I92" s="38"/>
      <c r="J92" s="38"/>
      <c r="K92" s="38"/>
      <c r="L92" s="38"/>
      <c r="M92" s="38"/>
      <c r="N92" s="38"/>
      <c r="O92" s="38"/>
      <c r="P92" s="38"/>
      <c r="Q92" s="38"/>
      <c r="R92" s="39"/>
      <c r="S92" s="37" t="s">
        <v>2727</v>
      </c>
      <c r="T92" s="38"/>
      <c r="U92" s="38"/>
      <c r="V92" s="38"/>
      <c r="W92" s="38"/>
      <c r="X92" s="38"/>
      <c r="Y92" s="38"/>
      <c r="Z92" s="38"/>
      <c r="AA92" s="38"/>
      <c r="AB92" s="38"/>
      <c r="AC92" s="38"/>
      <c r="AD92" s="38"/>
      <c r="AE92" s="38"/>
      <c r="AF92" s="38"/>
      <c r="AG92" s="38"/>
      <c r="AH92" s="38"/>
      <c r="AI92" s="38"/>
      <c r="AJ92" s="39"/>
    </row>
    <row r="93" spans="1:36">
      <c r="A93" s="97"/>
      <c r="B93" s="78"/>
      <c r="C93" s="78"/>
      <c r="D93" s="78"/>
      <c r="E93" s="78"/>
      <c r="F93" s="78"/>
      <c r="G93" s="78"/>
      <c r="H93" s="78"/>
      <c r="I93" s="78"/>
      <c r="J93" s="78"/>
      <c r="K93" s="78"/>
      <c r="L93" s="78"/>
      <c r="M93" s="78"/>
      <c r="N93" s="78"/>
      <c r="O93" s="78"/>
      <c r="P93" s="78"/>
      <c r="Q93" s="78"/>
      <c r="R93" s="79"/>
      <c r="S93" s="97"/>
      <c r="T93" s="78"/>
      <c r="U93" s="78"/>
      <c r="V93" s="78"/>
      <c r="W93" s="78"/>
      <c r="X93" s="78"/>
      <c r="Y93" s="78"/>
      <c r="Z93" s="78"/>
      <c r="AA93" s="78"/>
      <c r="AB93" s="78"/>
      <c r="AC93" s="78"/>
      <c r="AD93" s="78"/>
      <c r="AE93" s="78"/>
      <c r="AF93" s="78"/>
      <c r="AG93" s="78"/>
      <c r="AH93" s="78"/>
      <c r="AI93" s="78"/>
      <c r="AJ93" s="79"/>
    </row>
    <row r="94" spans="1:36">
      <c r="A94" s="80"/>
      <c r="B94" s="81"/>
      <c r="C94" s="81"/>
      <c r="D94" s="81"/>
      <c r="E94" s="81"/>
      <c r="F94" s="81"/>
      <c r="G94" s="81"/>
      <c r="H94" s="81"/>
      <c r="I94" s="81"/>
      <c r="J94" s="81"/>
      <c r="K94" s="81"/>
      <c r="L94" s="81"/>
      <c r="M94" s="81"/>
      <c r="N94" s="81"/>
      <c r="O94" s="81"/>
      <c r="P94" s="81"/>
      <c r="Q94" s="81"/>
      <c r="R94" s="82"/>
      <c r="S94" s="80"/>
      <c r="T94" s="81"/>
      <c r="U94" s="81"/>
      <c r="V94" s="81"/>
      <c r="W94" s="81"/>
      <c r="X94" s="81"/>
      <c r="Y94" s="81"/>
      <c r="Z94" s="81"/>
      <c r="AA94" s="81"/>
      <c r="AB94" s="81"/>
      <c r="AC94" s="81"/>
      <c r="AD94" s="81"/>
      <c r="AE94" s="81"/>
      <c r="AF94" s="81"/>
      <c r="AG94" s="81"/>
      <c r="AH94" s="81"/>
      <c r="AI94" s="81"/>
      <c r="AJ94" s="82"/>
    </row>
    <row r="95" spans="1:36">
      <c r="A95" s="83"/>
      <c r="B95" s="84"/>
      <c r="C95" s="84"/>
      <c r="D95" s="84"/>
      <c r="E95" s="84"/>
      <c r="F95" s="84"/>
      <c r="G95" s="84"/>
      <c r="H95" s="84"/>
      <c r="I95" s="84"/>
      <c r="J95" s="84"/>
      <c r="K95" s="84"/>
      <c r="L95" s="84"/>
      <c r="M95" s="84"/>
      <c r="N95" s="84"/>
      <c r="O95" s="84"/>
      <c r="P95" s="84"/>
      <c r="Q95" s="84"/>
      <c r="R95" s="85"/>
      <c r="S95" s="83"/>
      <c r="T95" s="84"/>
      <c r="U95" s="84"/>
      <c r="V95" s="84"/>
      <c r="W95" s="84"/>
      <c r="X95" s="84"/>
      <c r="Y95" s="84"/>
      <c r="Z95" s="84"/>
      <c r="AA95" s="84"/>
      <c r="AB95" s="84"/>
      <c r="AC95" s="84"/>
      <c r="AD95" s="84"/>
      <c r="AE95" s="84"/>
      <c r="AF95" s="84"/>
      <c r="AG95" s="84"/>
      <c r="AH95" s="84"/>
      <c r="AI95" s="84"/>
      <c r="AJ95" s="85"/>
    </row>
    <row r="96" ht="24" customHeight="1" spans="1:36">
      <c r="A96" s="98" t="s">
        <v>2728</v>
      </c>
      <c r="B96" s="62"/>
      <c r="C96" s="62"/>
      <c r="D96" s="62"/>
      <c r="E96" s="62"/>
      <c r="F96" s="62"/>
      <c r="G96" s="63"/>
      <c r="H96" s="98" t="s">
        <v>2729</v>
      </c>
      <c r="I96" s="62"/>
      <c r="J96" s="62"/>
      <c r="K96" s="62"/>
      <c r="L96" s="62"/>
      <c r="M96" s="63"/>
      <c r="N96" s="99" t="s">
        <v>2730</v>
      </c>
      <c r="O96" s="62"/>
      <c r="P96" s="62"/>
      <c r="Q96" s="62"/>
      <c r="R96" s="62"/>
      <c r="S96" s="62"/>
      <c r="T96" s="62"/>
      <c r="U96" s="62"/>
      <c r="V96" s="62"/>
      <c r="W96" s="62"/>
      <c r="X96" s="62"/>
      <c r="Y96" s="62"/>
      <c r="Z96" s="62"/>
      <c r="AA96" s="62"/>
      <c r="AB96" s="62"/>
      <c r="AC96" s="63"/>
      <c r="AD96" s="98" t="s">
        <v>2731</v>
      </c>
      <c r="AE96" s="62"/>
      <c r="AF96" s="62"/>
      <c r="AG96" s="62"/>
      <c r="AH96" s="62"/>
      <c r="AI96" s="62"/>
      <c r="AJ96" s="63"/>
    </row>
    <row r="97" ht="24" customHeight="1" spans="1:36">
      <c r="A97" s="72"/>
      <c r="B97" s="73"/>
      <c r="C97" s="73"/>
      <c r="D97" s="73"/>
      <c r="E97" s="73"/>
      <c r="F97" s="73"/>
      <c r="G97" s="74"/>
      <c r="H97" s="72"/>
      <c r="I97" s="73"/>
      <c r="J97" s="73"/>
      <c r="K97" s="73"/>
      <c r="L97" s="73"/>
      <c r="M97" s="74"/>
      <c r="N97" s="72"/>
      <c r="O97" s="73"/>
      <c r="P97" s="73"/>
      <c r="Q97" s="73"/>
      <c r="R97" s="73"/>
      <c r="S97" s="73"/>
      <c r="T97" s="73"/>
      <c r="U97" s="73"/>
      <c r="V97" s="73"/>
      <c r="W97" s="73"/>
      <c r="X97" s="73"/>
      <c r="Y97" s="73"/>
      <c r="Z97" s="73"/>
      <c r="AA97" s="73"/>
      <c r="AB97" s="73"/>
      <c r="AC97" s="74"/>
      <c r="AD97" s="72"/>
      <c r="AE97" s="73"/>
      <c r="AF97" s="73"/>
      <c r="AG97" s="73"/>
      <c r="AH97" s="73"/>
      <c r="AI97" s="73"/>
      <c r="AJ97" s="74"/>
    </row>
    <row r="98" spans="1:36">
      <c r="A98" s="100" t="s">
        <v>2732</v>
      </c>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row>
    <row r="99" spans="1:36">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row>
  </sheetData>
  <sheetProtection algorithmName="SHA-512" hashValue="X7MIE0mWBwgFFqyctAmwf7BWXa6hYf7b/y2v/pRYPyTXEE3ApiDErkP6VQ3NLykg7HmF/WR+4Q07QAbqByU7CA==" saltValue="3UiIk2jmP7Za2ibb2e+K3g==" spinCount="100000" sheet="1" autoFilter="0" objects="1"/>
  <mergeCells count="325">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U11:AF11"/>
    <mergeCell ref="AG11:AJ11"/>
    <mergeCell ref="A12:F12"/>
    <mergeCell ref="G12:I12"/>
    <mergeCell ref="J12:L12"/>
    <mergeCell ref="M12:S12"/>
    <mergeCell ref="U12:AF12"/>
    <mergeCell ref="AG12:AJ12"/>
    <mergeCell ref="A13:F13"/>
    <mergeCell ref="G13:I13"/>
    <mergeCell ref="J13:L13"/>
    <mergeCell ref="M13:S13"/>
    <mergeCell ref="U13:AF13"/>
    <mergeCell ref="AG13:AJ13"/>
    <mergeCell ref="A14:F14"/>
    <mergeCell ref="G14:I14"/>
    <mergeCell ref="J14:L14"/>
    <mergeCell ref="M14:S14"/>
    <mergeCell ref="U14:AF14"/>
    <mergeCell ref="AG14:AJ14"/>
    <mergeCell ref="A15:F15"/>
    <mergeCell ref="G15:I15"/>
    <mergeCell ref="J15:L15"/>
    <mergeCell ref="M15:S15"/>
    <mergeCell ref="U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A23:S23"/>
    <mergeCell ref="T26:AJ26"/>
    <mergeCell ref="T27:AB27"/>
    <mergeCell ref="AC27:AJ27"/>
    <mergeCell ref="A28:J28"/>
    <mergeCell ref="K28:L28"/>
    <mergeCell ref="M28:V28"/>
    <mergeCell ref="W28:X28"/>
    <mergeCell ref="Y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B48:J48"/>
    <mergeCell ref="K48:L48"/>
    <mergeCell ref="N48:V48"/>
    <mergeCell ref="W48:X48"/>
    <mergeCell ref="Z48:AH48"/>
    <mergeCell ref="AI48:AJ48"/>
    <mergeCell ref="A51:AJ51"/>
    <mergeCell ref="A57:AJ57"/>
    <mergeCell ref="A58:AJ58"/>
    <mergeCell ref="A65:AJ65"/>
    <mergeCell ref="A66:B66"/>
    <mergeCell ref="C66:H66"/>
    <mergeCell ref="I66:L66"/>
    <mergeCell ref="M66:Q66"/>
    <mergeCell ref="R66:V66"/>
    <mergeCell ref="W66:AA66"/>
    <mergeCell ref="AB66:AE66"/>
    <mergeCell ref="AF66:AH66"/>
    <mergeCell ref="AI66:AJ66"/>
    <mergeCell ref="A67:B67"/>
    <mergeCell ref="C67:H67"/>
    <mergeCell ref="I67:L67"/>
    <mergeCell ref="M67:Q67"/>
    <mergeCell ref="R67:V67"/>
    <mergeCell ref="W67:AA67"/>
    <mergeCell ref="AB67:AE67"/>
    <mergeCell ref="AF67:AH67"/>
    <mergeCell ref="AI67:AJ67"/>
    <mergeCell ref="A68:B68"/>
    <mergeCell ref="C68:H68"/>
    <mergeCell ref="I68:L68"/>
    <mergeCell ref="M68:Q68"/>
    <mergeCell ref="R68:V68"/>
    <mergeCell ref="W68:AA68"/>
    <mergeCell ref="AB68:AE68"/>
    <mergeCell ref="AF68:AH68"/>
    <mergeCell ref="AI68:AJ68"/>
    <mergeCell ref="A69:B69"/>
    <mergeCell ref="C69:H69"/>
    <mergeCell ref="I69:L69"/>
    <mergeCell ref="M69:Q69"/>
    <mergeCell ref="R69:V69"/>
    <mergeCell ref="W69:AA69"/>
    <mergeCell ref="AB69:AE69"/>
    <mergeCell ref="AF69:AH69"/>
    <mergeCell ref="AI69:AJ69"/>
    <mergeCell ref="A70:B70"/>
    <mergeCell ref="C70:H70"/>
    <mergeCell ref="I70:L70"/>
    <mergeCell ref="M70:Q70"/>
    <mergeCell ref="R70:V70"/>
    <mergeCell ref="W70:AA70"/>
    <mergeCell ref="AB70:AE70"/>
    <mergeCell ref="AF70:AH70"/>
    <mergeCell ref="AI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R74"/>
    <mergeCell ref="S74:AJ74"/>
    <mergeCell ref="S79:AA79"/>
    <mergeCell ref="AB79:AJ79"/>
    <mergeCell ref="S80:AA80"/>
    <mergeCell ref="AB80:AJ80"/>
    <mergeCell ref="S81:AA81"/>
    <mergeCell ref="AB81:AJ81"/>
    <mergeCell ref="S82:AA82"/>
    <mergeCell ref="AB82:AJ82"/>
    <mergeCell ref="S83:AA83"/>
    <mergeCell ref="AB83:AJ83"/>
    <mergeCell ref="S84:AA84"/>
    <mergeCell ref="AB84:AJ84"/>
    <mergeCell ref="S85:AA85"/>
    <mergeCell ref="AB85:AJ85"/>
    <mergeCell ref="S86:AA86"/>
    <mergeCell ref="AB86:AJ86"/>
    <mergeCell ref="S87:AA87"/>
    <mergeCell ref="AB87:AJ87"/>
    <mergeCell ref="S88:AA88"/>
    <mergeCell ref="AB88:AJ88"/>
    <mergeCell ref="A89:N89"/>
    <mergeCell ref="O89:R89"/>
    <mergeCell ref="A90:N90"/>
    <mergeCell ref="O90:R90"/>
    <mergeCell ref="A91:N91"/>
    <mergeCell ref="O91:R91"/>
    <mergeCell ref="A92:R92"/>
    <mergeCell ref="S92:AJ92"/>
    <mergeCell ref="A1:AJ3"/>
    <mergeCell ref="S75:AJ78"/>
    <mergeCell ref="N96:AC97"/>
    <mergeCell ref="A52:AJ56"/>
    <mergeCell ref="AD96:AJ97"/>
    <mergeCell ref="A75:R88"/>
    <mergeCell ref="A96:G97"/>
    <mergeCell ref="A59:AJ64"/>
    <mergeCell ref="S89:AJ91"/>
    <mergeCell ref="H96:M97"/>
    <mergeCell ref="A93:R95"/>
    <mergeCell ref="S93:AJ95"/>
    <mergeCell ref="A98:AJ99"/>
    <mergeCell ref="A24:S27"/>
    <mergeCell ref="A49:AJ50"/>
    <mergeCell ref="T23:AJ25"/>
    <mergeCell ref="T18:AJ22"/>
  </mergeCells>
  <printOptions horizontalCentered="1"/>
  <pageMargins left="0.32" right="0.32" top="0.34" bottom="0.34" header="0.1" footer="0.1"/>
  <pageSetup paperSize="9" fitToHeight="0" orientation="portrait" useFirstPageNumber="1"/>
  <headerFooter>
    <oddFooter>&amp;C&amp;"微软雅黑"&amp;7 绿色三角洲 · v2.0 · 第 &amp;P / &amp;N 页</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pane ySplit="8" topLeftCell="A525" activePane="bottomLeft" state="frozen"/>
      <selection/>
      <selection pane="bottomLeft" activeCell="C546" sqref="C546"/>
    </sheetView>
  </sheetViews>
  <sheetFormatPr defaultColWidth="9" defaultRowHeight="14" outlineLevelCol="2"/>
  <cols>
    <col min="1" max="1" width="15" customWidth="1"/>
    <col min="2" max="2" width="25" customWidth="1"/>
    <col min="3" max="3" width="59" customWidth="1"/>
  </cols>
  <sheetData>
    <row r="1" ht="27.5" spans="1:3">
      <c r="A1" s="20" t="s">
        <v>2733</v>
      </c>
    </row>
    <row r="2" spans="1:3">
      <c r="A2" s="21" t="s">
        <v>2734</v>
      </c>
    </row>
    <row r="3" spans="1:3">
      <c r="A3" s="22" t="s">
        <v>2735</v>
      </c>
      <c r="B3" s="22" t="s">
        <v>2736</v>
      </c>
      <c r="C3" s="22" t="s">
        <v>2737</v>
      </c>
    </row>
    <row r="4" spans="1:3">
      <c r="A4" s="22" t="s">
        <v>2738</v>
      </c>
      <c r="B4" s="22" t="s">
        <v>2739</v>
      </c>
      <c r="C4" s="22" t="s">
        <v>2740</v>
      </c>
    </row>
    <row r="5" spans="1:3">
      <c r="A5" s="22" t="s">
        <v>2741</v>
      </c>
      <c r="B5" s="22" t="s">
        <v>2742</v>
      </c>
      <c r="C5" s="22" t="s">
        <v>2743</v>
      </c>
    </row>
    <row r="6" spans="1:3">
      <c r="A6" s="22" t="s">
        <v>2744</v>
      </c>
      <c r="B6" s="22" t="s">
        <v>2745</v>
      </c>
      <c r="C6" s="22" t="s">
        <v>2746</v>
      </c>
    </row>
    <row r="7" spans="1:3">
      <c r="A7" s="22" t="s">
        <v>2553</v>
      </c>
      <c r="B7" s="22" t="s">
        <v>141</v>
      </c>
      <c r="C7" s="22" t="s">
        <v>142</v>
      </c>
    </row>
    <row r="8" ht="14.5" spans="1:3">
      <c r="A8" s="23" t="s">
        <v>2747</v>
      </c>
      <c r="B8" s="23" t="s">
        <v>2748</v>
      </c>
      <c r="C8" s="23" t="s">
        <v>2749</v>
      </c>
    </row>
    <row r="9" ht="29" spans="1:3">
      <c r="A9" s="24" t="s">
        <v>2735</v>
      </c>
      <c r="B9" s="25" t="s">
        <v>2750</v>
      </c>
      <c r="C9" s="24" t="s">
        <v>2751</v>
      </c>
    </row>
    <row r="10" ht="29" spans="1:3">
      <c r="A10" s="24" t="s">
        <v>2735</v>
      </c>
      <c r="B10" s="25" t="s">
        <v>2752</v>
      </c>
      <c r="C10" s="24" t="s">
        <v>2753</v>
      </c>
    </row>
    <row r="11" ht="29" spans="1:3">
      <c r="A11" s="24" t="s">
        <v>2735</v>
      </c>
      <c r="B11" s="25" t="s">
        <v>2754</v>
      </c>
      <c r="C11" s="24" t="s">
        <v>2755</v>
      </c>
    </row>
    <row r="12" ht="29" spans="1:3">
      <c r="A12" s="24" t="s">
        <v>2735</v>
      </c>
      <c r="B12" s="25" t="s">
        <v>2756</v>
      </c>
      <c r="C12" s="24" t="s">
        <v>2757</v>
      </c>
    </row>
    <row r="13" ht="29" spans="1:3">
      <c r="A13" s="24" t="s">
        <v>2735</v>
      </c>
      <c r="B13" s="25" t="s">
        <v>2758</v>
      </c>
      <c r="C13" s="24" t="s">
        <v>2759</v>
      </c>
    </row>
    <row r="14" ht="29" spans="1:3">
      <c r="A14" s="24" t="s">
        <v>2735</v>
      </c>
      <c r="B14" s="25" t="s">
        <v>2760</v>
      </c>
      <c r="C14" s="24" t="s">
        <v>2761</v>
      </c>
    </row>
    <row r="15" ht="14.5" spans="1:3">
      <c r="A15" s="24" t="s">
        <v>2735</v>
      </c>
      <c r="B15" s="25" t="s">
        <v>2762</v>
      </c>
      <c r="C15" s="24" t="s">
        <v>2763</v>
      </c>
    </row>
    <row r="16" ht="29" spans="1:3">
      <c r="A16" s="24" t="s">
        <v>2735</v>
      </c>
      <c r="B16" s="25" t="s">
        <v>2764</v>
      </c>
      <c r="C16" s="24" t="s">
        <v>2765</v>
      </c>
    </row>
    <row r="17" ht="29" spans="1:3">
      <c r="A17" s="24" t="s">
        <v>2735</v>
      </c>
      <c r="B17" s="25" t="s">
        <v>2766</v>
      </c>
      <c r="C17" s="24" t="s">
        <v>2767</v>
      </c>
    </row>
    <row r="18" ht="29" spans="1:3">
      <c r="A18" s="24" t="s">
        <v>2768</v>
      </c>
      <c r="B18" s="25" t="s">
        <v>2769</v>
      </c>
      <c r="C18" s="24" t="s">
        <v>2770</v>
      </c>
    </row>
    <row r="19" ht="29" spans="1:3">
      <c r="A19" s="24" t="s">
        <v>2768</v>
      </c>
      <c r="B19" s="25" t="s">
        <v>2771</v>
      </c>
      <c r="C19" s="24" t="s">
        <v>2772</v>
      </c>
    </row>
    <row r="20" ht="29" spans="1:3">
      <c r="A20" s="24" t="s">
        <v>2773</v>
      </c>
      <c r="B20" s="25" t="s">
        <v>2774</v>
      </c>
      <c r="C20" s="24" t="s">
        <v>2775</v>
      </c>
    </row>
    <row r="21" ht="29" spans="1:3">
      <c r="A21" s="24" t="s">
        <v>2776</v>
      </c>
      <c r="B21" s="25" t="s">
        <v>2777</v>
      </c>
      <c r="C21" s="24" t="s">
        <v>2778</v>
      </c>
    </row>
    <row r="22" ht="29" spans="1:3">
      <c r="A22" s="24" t="s">
        <v>2776</v>
      </c>
      <c r="B22" s="25" t="s">
        <v>2779</v>
      </c>
      <c r="C22" s="24" t="s">
        <v>2780</v>
      </c>
    </row>
    <row r="23" ht="29" spans="1:3">
      <c r="A23" s="24" t="s">
        <v>2776</v>
      </c>
      <c r="B23" s="25" t="s">
        <v>2781</v>
      </c>
      <c r="C23" s="24" t="s">
        <v>2782</v>
      </c>
    </row>
    <row r="24" ht="29" spans="1:3">
      <c r="A24" s="24" t="s">
        <v>2776</v>
      </c>
      <c r="B24" s="25" t="s">
        <v>2783</v>
      </c>
      <c r="C24" s="24" t="s">
        <v>2784</v>
      </c>
    </row>
    <row r="25" ht="29" spans="1:3">
      <c r="A25" s="24" t="s">
        <v>2776</v>
      </c>
      <c r="B25" s="25" t="s">
        <v>2785</v>
      </c>
      <c r="C25" s="24" t="s">
        <v>2786</v>
      </c>
    </row>
    <row r="26" ht="29" spans="1:3">
      <c r="A26" s="24" t="s">
        <v>2776</v>
      </c>
      <c r="B26" s="25" t="s">
        <v>2787</v>
      </c>
      <c r="C26" s="24" t="s">
        <v>2788</v>
      </c>
    </row>
    <row r="27" ht="29" spans="1:3">
      <c r="A27" s="24" t="s">
        <v>2776</v>
      </c>
      <c r="B27" s="25" t="s">
        <v>2789</v>
      </c>
      <c r="C27" s="24" t="s">
        <v>2790</v>
      </c>
    </row>
    <row r="28" ht="29" spans="1:3">
      <c r="A28" s="24" t="s">
        <v>2776</v>
      </c>
      <c r="B28" s="25" t="s">
        <v>2791</v>
      </c>
      <c r="C28" s="24" t="s">
        <v>2792</v>
      </c>
    </row>
    <row r="29" ht="29" spans="1:3">
      <c r="A29" s="24" t="s">
        <v>2793</v>
      </c>
      <c r="B29" s="25" t="s">
        <v>2794</v>
      </c>
      <c r="C29" s="24" t="s">
        <v>2795</v>
      </c>
    </row>
    <row r="30" ht="29" spans="1:3">
      <c r="A30" s="24" t="s">
        <v>2793</v>
      </c>
      <c r="B30" s="25" t="s">
        <v>2796</v>
      </c>
      <c r="C30" s="24" t="s">
        <v>2797</v>
      </c>
    </row>
    <row r="31" ht="43.5" spans="1:3">
      <c r="A31" s="24" t="s">
        <v>2793</v>
      </c>
      <c r="B31" s="25" t="s">
        <v>2798</v>
      </c>
      <c r="C31" s="24" t="s">
        <v>2799</v>
      </c>
    </row>
    <row r="32" ht="29" spans="1:3">
      <c r="A32" s="24" t="s">
        <v>2793</v>
      </c>
      <c r="B32" s="25" t="s">
        <v>2800</v>
      </c>
      <c r="C32" s="24" t="s">
        <v>2801</v>
      </c>
    </row>
    <row r="33" ht="29" spans="1:3">
      <c r="A33" s="24" t="s">
        <v>2737</v>
      </c>
      <c r="B33" s="25" t="s">
        <v>2802</v>
      </c>
      <c r="C33" s="24" t="s">
        <v>2803</v>
      </c>
    </row>
    <row r="34" ht="29" spans="1:3">
      <c r="A34" s="24" t="s">
        <v>2737</v>
      </c>
      <c r="B34" s="25" t="s">
        <v>2804</v>
      </c>
      <c r="C34" s="24" t="s">
        <v>2805</v>
      </c>
    </row>
    <row r="35" ht="29" spans="1:3">
      <c r="A35" s="24" t="s">
        <v>2737</v>
      </c>
      <c r="B35" s="25" t="s">
        <v>2429</v>
      </c>
      <c r="C35" s="24" t="s">
        <v>2806</v>
      </c>
    </row>
    <row r="36" ht="29" spans="1:3">
      <c r="A36" s="24" t="s">
        <v>2737</v>
      </c>
      <c r="B36" s="25" t="s">
        <v>2807</v>
      </c>
      <c r="C36" s="24" t="s">
        <v>2808</v>
      </c>
    </row>
    <row r="37" ht="29" spans="1:3">
      <c r="A37" s="24" t="s">
        <v>2737</v>
      </c>
      <c r="B37" s="25" t="s">
        <v>2809</v>
      </c>
      <c r="C37" s="24" t="s">
        <v>2810</v>
      </c>
    </row>
    <row r="38" ht="29" spans="1:3">
      <c r="A38" s="24" t="s">
        <v>2737</v>
      </c>
      <c r="B38" s="25" t="s">
        <v>2811</v>
      </c>
      <c r="C38" s="24" t="s">
        <v>2812</v>
      </c>
    </row>
    <row r="39" ht="29" spans="1:3">
      <c r="A39" s="24" t="s">
        <v>2737</v>
      </c>
      <c r="B39" s="25" t="s">
        <v>2813</v>
      </c>
      <c r="C39" s="24" t="s">
        <v>2814</v>
      </c>
    </row>
    <row r="40" ht="29" spans="1:3">
      <c r="A40" s="24" t="s">
        <v>2737</v>
      </c>
      <c r="B40" s="25" t="s">
        <v>2815</v>
      </c>
      <c r="C40" s="24" t="s">
        <v>2816</v>
      </c>
    </row>
    <row r="41" ht="29" spans="1:3">
      <c r="A41" s="24" t="s">
        <v>2737</v>
      </c>
      <c r="B41" s="25" t="s">
        <v>2817</v>
      </c>
      <c r="C41" s="24" t="s">
        <v>2818</v>
      </c>
    </row>
    <row r="42" ht="29" spans="1:3">
      <c r="A42" s="24" t="s">
        <v>2737</v>
      </c>
      <c r="B42" s="25" t="s">
        <v>2819</v>
      </c>
      <c r="C42" s="24" t="s">
        <v>2820</v>
      </c>
    </row>
    <row r="43" ht="29" spans="1:3">
      <c r="A43" s="24" t="s">
        <v>2738</v>
      </c>
      <c r="B43" s="25" t="s">
        <v>2821</v>
      </c>
      <c r="C43" s="24" t="s">
        <v>2822</v>
      </c>
    </row>
    <row r="44" ht="29" spans="1:3">
      <c r="A44" s="24" t="s">
        <v>2738</v>
      </c>
      <c r="B44" s="25" t="s">
        <v>2712</v>
      </c>
      <c r="C44" s="24" t="s">
        <v>2823</v>
      </c>
    </row>
    <row r="45" ht="29" spans="1:3">
      <c r="A45" s="24" t="s">
        <v>2738</v>
      </c>
      <c r="B45" s="25" t="s">
        <v>2824</v>
      </c>
      <c r="C45" s="24" t="s">
        <v>2825</v>
      </c>
    </row>
    <row r="46" ht="29" spans="1:3">
      <c r="A46" s="24" t="s">
        <v>2738</v>
      </c>
      <c r="B46" s="25" t="s">
        <v>2826</v>
      </c>
      <c r="C46" s="24" t="s">
        <v>2827</v>
      </c>
    </row>
    <row r="47" ht="29" spans="1:3">
      <c r="A47" s="24" t="s">
        <v>2738</v>
      </c>
      <c r="B47" s="25" t="s">
        <v>2828</v>
      </c>
      <c r="C47" s="24" t="s">
        <v>2829</v>
      </c>
    </row>
    <row r="48" ht="14.5" spans="1:3">
      <c r="A48" s="24" t="s">
        <v>2830</v>
      </c>
      <c r="B48" s="25" t="s">
        <v>2831</v>
      </c>
      <c r="C48" s="24" t="s">
        <v>2832</v>
      </c>
    </row>
    <row r="49" ht="29" spans="1:3">
      <c r="A49" s="24" t="s">
        <v>2830</v>
      </c>
      <c r="B49" s="25" t="s">
        <v>2833</v>
      </c>
      <c r="C49" s="24" t="s">
        <v>2834</v>
      </c>
    </row>
    <row r="50" ht="29" spans="1:3">
      <c r="A50" s="24" t="s">
        <v>2835</v>
      </c>
      <c r="B50" s="25" t="s">
        <v>2836</v>
      </c>
      <c r="C50" s="24" t="s">
        <v>2837</v>
      </c>
    </row>
    <row r="51" ht="29" spans="1:3">
      <c r="A51" s="24" t="s">
        <v>2835</v>
      </c>
      <c r="B51" s="25" t="s">
        <v>2838</v>
      </c>
      <c r="C51" s="24" t="s">
        <v>2839</v>
      </c>
    </row>
    <row r="52" ht="29" spans="1:3">
      <c r="A52" s="24" t="s">
        <v>2835</v>
      </c>
      <c r="B52" s="25" t="s">
        <v>2840</v>
      </c>
      <c r="C52" s="24" t="s">
        <v>2841</v>
      </c>
    </row>
    <row r="53" ht="29" spans="1:3">
      <c r="A53" s="24" t="s">
        <v>2835</v>
      </c>
      <c r="B53" s="25" t="s">
        <v>2842</v>
      </c>
      <c r="C53" s="24" t="s">
        <v>2843</v>
      </c>
    </row>
    <row r="54" ht="29" spans="1:3">
      <c r="A54" s="24" t="s">
        <v>2835</v>
      </c>
      <c r="B54" s="25" t="s">
        <v>2844</v>
      </c>
      <c r="C54" s="24" t="s">
        <v>2845</v>
      </c>
    </row>
    <row r="55" ht="29" spans="1:3">
      <c r="A55" s="24" t="s">
        <v>2835</v>
      </c>
      <c r="B55" s="25" t="s">
        <v>2846</v>
      </c>
      <c r="C55" s="24" t="s">
        <v>2847</v>
      </c>
    </row>
    <row r="56" ht="29" spans="1:3">
      <c r="A56" s="24" t="s">
        <v>2835</v>
      </c>
      <c r="B56" s="25" t="s">
        <v>2848</v>
      </c>
      <c r="C56" s="24" t="s">
        <v>2849</v>
      </c>
    </row>
    <row r="57" ht="29" spans="1:3">
      <c r="A57" s="24" t="s">
        <v>2739</v>
      </c>
      <c r="B57" s="25" t="s">
        <v>2850</v>
      </c>
      <c r="C57" s="24" t="s">
        <v>2851</v>
      </c>
    </row>
    <row r="58" ht="29" spans="1:3">
      <c r="A58" s="24" t="s">
        <v>2739</v>
      </c>
      <c r="B58" s="25" t="s">
        <v>2852</v>
      </c>
      <c r="C58" s="24" t="s">
        <v>2853</v>
      </c>
    </row>
    <row r="59" ht="29" spans="1:3">
      <c r="A59" s="24" t="s">
        <v>2739</v>
      </c>
      <c r="B59" s="25" t="s">
        <v>2854</v>
      </c>
      <c r="C59" s="24" t="s">
        <v>2855</v>
      </c>
    </row>
    <row r="60" ht="14.5" spans="1:3">
      <c r="A60" s="24" t="s">
        <v>2739</v>
      </c>
      <c r="B60" s="25" t="s">
        <v>2856</v>
      </c>
      <c r="C60" s="24" t="s">
        <v>2857</v>
      </c>
    </row>
    <row r="61" ht="29" spans="1:3">
      <c r="A61" s="24" t="s">
        <v>2739</v>
      </c>
      <c r="B61" s="25" t="s">
        <v>2858</v>
      </c>
      <c r="C61" s="24" t="s">
        <v>2859</v>
      </c>
    </row>
    <row r="62" ht="29" spans="1:3">
      <c r="A62" s="24" t="s">
        <v>2739</v>
      </c>
      <c r="B62" s="25" t="s">
        <v>2860</v>
      </c>
      <c r="C62" s="24" t="s">
        <v>2861</v>
      </c>
    </row>
    <row r="63" ht="29" spans="1:3">
      <c r="A63" s="24" t="s">
        <v>2739</v>
      </c>
      <c r="B63" s="25" t="s">
        <v>2862</v>
      </c>
      <c r="C63" s="24" t="s">
        <v>2863</v>
      </c>
    </row>
    <row r="64" ht="29" spans="1:3">
      <c r="A64" s="24" t="s">
        <v>2739</v>
      </c>
      <c r="B64" s="25" t="s">
        <v>2864</v>
      </c>
      <c r="C64" s="24" t="s">
        <v>2865</v>
      </c>
    </row>
    <row r="65" ht="29" spans="1:3">
      <c r="A65" s="24" t="s">
        <v>2739</v>
      </c>
      <c r="B65" s="25" t="s">
        <v>2866</v>
      </c>
      <c r="C65" s="24" t="s">
        <v>2867</v>
      </c>
    </row>
    <row r="66" ht="29" spans="1:3">
      <c r="A66" s="24" t="s">
        <v>2868</v>
      </c>
      <c r="B66" s="25" t="s">
        <v>653</v>
      </c>
      <c r="C66" s="24" t="s">
        <v>2869</v>
      </c>
    </row>
    <row r="67" ht="29" spans="1:3">
      <c r="A67" s="24" t="s">
        <v>2868</v>
      </c>
      <c r="B67" s="25" t="s">
        <v>660</v>
      </c>
      <c r="C67" s="24" t="s">
        <v>2870</v>
      </c>
    </row>
    <row r="68" ht="29" spans="1:3">
      <c r="A68" s="24" t="s">
        <v>2868</v>
      </c>
      <c r="B68" s="25" t="s">
        <v>663</v>
      </c>
      <c r="C68" s="24" t="s">
        <v>2871</v>
      </c>
    </row>
    <row r="69" ht="29" spans="1:3">
      <c r="A69" s="24" t="s">
        <v>2868</v>
      </c>
      <c r="B69" s="25" t="s">
        <v>667</v>
      </c>
      <c r="C69" s="24" t="s">
        <v>2872</v>
      </c>
    </row>
    <row r="70" ht="29" spans="1:3">
      <c r="A70" s="24" t="s">
        <v>2868</v>
      </c>
      <c r="B70" s="25" t="s">
        <v>2873</v>
      </c>
      <c r="C70" s="24" t="s">
        <v>2874</v>
      </c>
    </row>
    <row r="71" ht="29" spans="1:3">
      <c r="A71" s="24" t="s">
        <v>2875</v>
      </c>
      <c r="B71" s="25" t="s">
        <v>2876</v>
      </c>
      <c r="C71" s="24" t="s">
        <v>2877</v>
      </c>
    </row>
    <row r="72" ht="29" spans="1:3">
      <c r="A72" s="24" t="s">
        <v>2875</v>
      </c>
      <c r="B72" s="25" t="s">
        <v>2878</v>
      </c>
      <c r="C72" s="24" t="s">
        <v>2879</v>
      </c>
    </row>
    <row r="73" ht="29" spans="1:3">
      <c r="A73" s="26" t="s">
        <v>2880</v>
      </c>
      <c r="B73" s="27" t="s">
        <v>2881</v>
      </c>
      <c r="C73" s="26" t="s">
        <v>2882</v>
      </c>
    </row>
    <row r="74" ht="29" spans="1:3">
      <c r="A74" s="18" t="s">
        <v>2880</v>
      </c>
      <c r="B74" s="19" t="s">
        <v>2881</v>
      </c>
      <c r="C74" s="18" t="s">
        <v>2883</v>
      </c>
    </row>
    <row r="75" ht="14.5" spans="1:3">
      <c r="A75" s="26" t="s">
        <v>2880</v>
      </c>
      <c r="B75" s="27" t="s">
        <v>2881</v>
      </c>
      <c r="C75" s="26" t="s">
        <v>2884</v>
      </c>
    </row>
    <row r="76" ht="14.5" spans="1:3">
      <c r="A76" s="18" t="s">
        <v>2880</v>
      </c>
      <c r="B76" s="19" t="s">
        <v>2881</v>
      </c>
      <c r="C76" s="18" t="s">
        <v>2885</v>
      </c>
    </row>
    <row r="77" ht="14.5" spans="1:3">
      <c r="A77" s="26" t="s">
        <v>2880</v>
      </c>
      <c r="B77" s="27" t="s">
        <v>2881</v>
      </c>
      <c r="C77" s="26" t="s">
        <v>2886</v>
      </c>
    </row>
    <row r="78" ht="14.5" spans="1:3">
      <c r="A78" s="18" t="s">
        <v>2880</v>
      </c>
      <c r="B78" s="19" t="s">
        <v>2881</v>
      </c>
      <c r="C78" s="18" t="s">
        <v>2887</v>
      </c>
    </row>
    <row r="79" ht="14.5" spans="1:3">
      <c r="A79" s="26" t="s">
        <v>2880</v>
      </c>
      <c r="B79" s="27" t="s">
        <v>2881</v>
      </c>
      <c r="C79" s="26" t="s">
        <v>2888</v>
      </c>
    </row>
    <row r="80" ht="43.5" spans="1:3">
      <c r="A80" s="18" t="s">
        <v>2880</v>
      </c>
      <c r="B80" s="19" t="s">
        <v>2881</v>
      </c>
      <c r="C80" s="18" t="s">
        <v>2889</v>
      </c>
    </row>
    <row r="81" ht="58" spans="1:3">
      <c r="A81" s="26" t="s">
        <v>2880</v>
      </c>
      <c r="B81" s="27" t="s">
        <v>2881</v>
      </c>
      <c r="C81" s="26" t="s">
        <v>2890</v>
      </c>
    </row>
    <row r="82" ht="29" spans="1:3">
      <c r="A82" s="18" t="s">
        <v>2880</v>
      </c>
      <c r="B82" s="19" t="s">
        <v>2881</v>
      </c>
      <c r="C82" s="18" t="s">
        <v>2891</v>
      </c>
    </row>
    <row r="83" ht="58" spans="1:3">
      <c r="A83" s="26" t="s">
        <v>2880</v>
      </c>
      <c r="B83" s="27" t="s">
        <v>2881</v>
      </c>
      <c r="C83" s="26" t="s">
        <v>2892</v>
      </c>
    </row>
    <row r="84" ht="29" spans="1:3">
      <c r="A84" s="18" t="s">
        <v>2880</v>
      </c>
      <c r="B84" s="19" t="s">
        <v>2893</v>
      </c>
      <c r="C84" s="18" t="s">
        <v>2894</v>
      </c>
    </row>
    <row r="85" ht="43.5" spans="1:3">
      <c r="A85" s="26" t="s">
        <v>39</v>
      </c>
      <c r="B85" s="27" t="s">
        <v>2895</v>
      </c>
      <c r="C85" s="26" t="s">
        <v>2896</v>
      </c>
    </row>
    <row r="86" ht="43.5" spans="1:3">
      <c r="A86" s="18" t="s">
        <v>39</v>
      </c>
      <c r="B86" s="19" t="s">
        <v>2895</v>
      </c>
      <c r="C86" s="18" t="s">
        <v>2897</v>
      </c>
    </row>
    <row r="87" ht="43.5" spans="1:3">
      <c r="A87" s="26" t="s">
        <v>2898</v>
      </c>
      <c r="B87" s="27" t="s">
        <v>2899</v>
      </c>
      <c r="C87" s="26" t="s">
        <v>2900</v>
      </c>
    </row>
    <row r="88" ht="14.5" spans="1:3">
      <c r="A88" s="18" t="s">
        <v>2898</v>
      </c>
      <c r="B88" s="19" t="s">
        <v>2901</v>
      </c>
      <c r="C88" s="18" t="s">
        <v>2902</v>
      </c>
    </row>
    <row r="89" ht="14.5" spans="1:3">
      <c r="A89" s="26" t="s">
        <v>2898</v>
      </c>
      <c r="B89" s="27" t="s">
        <v>2903</v>
      </c>
      <c r="C89" s="26" t="s">
        <v>2904</v>
      </c>
    </row>
    <row r="90" ht="29" spans="1:3">
      <c r="A90" s="18" t="s">
        <v>2898</v>
      </c>
      <c r="B90" s="19" t="s">
        <v>2905</v>
      </c>
      <c r="C90" s="18" t="s">
        <v>2906</v>
      </c>
    </row>
    <row r="91" ht="14.5" spans="1:3">
      <c r="A91" s="26" t="s">
        <v>2898</v>
      </c>
      <c r="B91" s="27" t="s">
        <v>2774</v>
      </c>
      <c r="C91" s="26" t="s">
        <v>2907</v>
      </c>
    </row>
    <row r="92" ht="14.5" spans="1:3">
      <c r="A92" s="18" t="s">
        <v>2898</v>
      </c>
      <c r="B92" s="19" t="s">
        <v>2908</v>
      </c>
      <c r="C92" s="18" t="s">
        <v>2909</v>
      </c>
    </row>
    <row r="93" ht="14.5" spans="1:3">
      <c r="A93" s="26" t="s">
        <v>2898</v>
      </c>
      <c r="B93" s="27" t="s">
        <v>2910</v>
      </c>
      <c r="C93" s="26" t="s">
        <v>2911</v>
      </c>
    </row>
    <row r="94" ht="29" spans="1:3">
      <c r="A94" s="18" t="s">
        <v>2768</v>
      </c>
      <c r="B94" s="19" t="s">
        <v>2912</v>
      </c>
      <c r="C94" s="18" t="s">
        <v>2913</v>
      </c>
    </row>
    <row r="95" ht="58" spans="1:3">
      <c r="A95" s="26" t="s">
        <v>2768</v>
      </c>
      <c r="B95" s="27" t="s">
        <v>2914</v>
      </c>
      <c r="C95" s="26" t="s">
        <v>2915</v>
      </c>
    </row>
    <row r="96" ht="58" spans="1:3">
      <c r="A96" s="18" t="s">
        <v>2768</v>
      </c>
      <c r="B96" s="19" t="s">
        <v>2916</v>
      </c>
      <c r="C96" s="18" t="s">
        <v>2917</v>
      </c>
    </row>
    <row r="97" ht="40.5" spans="1:3">
      <c r="A97" s="26" t="s">
        <v>2768</v>
      </c>
      <c r="B97" s="27" t="s">
        <v>2918</v>
      </c>
      <c r="C97" s="28" t="s">
        <v>2919</v>
      </c>
    </row>
    <row r="98" ht="29" spans="1:3">
      <c r="A98" s="18" t="s">
        <v>2920</v>
      </c>
      <c r="B98" s="19" t="s">
        <v>2921</v>
      </c>
      <c r="C98" s="18" t="s">
        <v>2922</v>
      </c>
    </row>
    <row r="99" ht="14.5" spans="1:3">
      <c r="A99" s="26" t="s">
        <v>2923</v>
      </c>
      <c r="B99" s="27" t="s">
        <v>2924</v>
      </c>
      <c r="C99" s="26" t="s">
        <v>2925</v>
      </c>
    </row>
    <row r="100" ht="14.5" spans="1:3">
      <c r="A100" s="18" t="s">
        <v>2923</v>
      </c>
      <c r="B100" s="19" t="s">
        <v>2926</v>
      </c>
      <c r="C100" s="18" t="s">
        <v>2927</v>
      </c>
    </row>
    <row r="101" ht="14.5" spans="1:3">
      <c r="A101" s="26" t="s">
        <v>2928</v>
      </c>
      <c r="B101" s="27" t="s">
        <v>2929</v>
      </c>
      <c r="C101" s="26" t="s">
        <v>2930</v>
      </c>
    </row>
    <row r="102" ht="29" spans="1:3">
      <c r="A102" s="18" t="s">
        <v>2928</v>
      </c>
      <c r="B102" s="19" t="s">
        <v>2931</v>
      </c>
      <c r="C102" s="18" t="s">
        <v>2932</v>
      </c>
    </row>
    <row r="103" ht="29" spans="1:3">
      <c r="A103" s="26" t="s">
        <v>2928</v>
      </c>
      <c r="B103" s="27" t="s">
        <v>2933</v>
      </c>
      <c r="C103" s="26" t="s">
        <v>2934</v>
      </c>
    </row>
    <row r="104" ht="29" spans="1:3">
      <c r="A104" s="18" t="s">
        <v>2928</v>
      </c>
      <c r="B104" s="19" t="s">
        <v>2935</v>
      </c>
      <c r="C104" s="18" t="s">
        <v>2936</v>
      </c>
    </row>
    <row r="105" ht="14.5" spans="1:3">
      <c r="A105" s="26" t="s">
        <v>2937</v>
      </c>
      <c r="B105" s="27" t="s">
        <v>2938</v>
      </c>
      <c r="C105" s="26" t="s">
        <v>2939</v>
      </c>
    </row>
    <row r="106" ht="14.5" spans="1:3">
      <c r="A106" s="18" t="s">
        <v>2937</v>
      </c>
      <c r="B106" s="19" t="s">
        <v>2940</v>
      </c>
      <c r="C106" s="18" t="s">
        <v>2941</v>
      </c>
    </row>
    <row r="107" ht="14.5" spans="1:3">
      <c r="A107" s="26" t="s">
        <v>2937</v>
      </c>
      <c r="B107" s="27" t="s">
        <v>2942</v>
      </c>
      <c r="C107" s="26" t="s">
        <v>2943</v>
      </c>
    </row>
    <row r="108" ht="29" spans="1:3">
      <c r="A108" s="18" t="s">
        <v>2937</v>
      </c>
      <c r="B108" s="19" t="s">
        <v>2944</v>
      </c>
      <c r="C108" s="18" t="s">
        <v>2945</v>
      </c>
    </row>
    <row r="109" ht="29" spans="1:3">
      <c r="A109" s="26" t="s">
        <v>2946</v>
      </c>
      <c r="B109" s="27" t="s">
        <v>2947</v>
      </c>
      <c r="C109" s="26" t="s">
        <v>2948</v>
      </c>
    </row>
    <row r="110" ht="29" spans="1:3">
      <c r="A110" s="18" t="s">
        <v>2946</v>
      </c>
      <c r="B110" s="19" t="s">
        <v>2949</v>
      </c>
      <c r="C110" s="18" t="s">
        <v>2950</v>
      </c>
    </row>
    <row r="111" ht="14.5" spans="1:3">
      <c r="A111" s="26" t="s">
        <v>2946</v>
      </c>
      <c r="B111" s="27" t="s">
        <v>2951</v>
      </c>
      <c r="C111" s="26" t="s">
        <v>2952</v>
      </c>
    </row>
    <row r="112" ht="29" spans="1:3">
      <c r="A112" s="18" t="s">
        <v>2946</v>
      </c>
      <c r="B112" s="19" t="s">
        <v>2953</v>
      </c>
      <c r="C112" s="18" t="s">
        <v>2943</v>
      </c>
    </row>
    <row r="113" ht="14.5" spans="1:3">
      <c r="A113" s="26" t="s">
        <v>2946</v>
      </c>
      <c r="B113" s="27" t="s">
        <v>2954</v>
      </c>
      <c r="C113" s="26" t="s">
        <v>2955</v>
      </c>
    </row>
    <row r="114" ht="14.5" spans="1:3">
      <c r="A114" s="18" t="s">
        <v>2946</v>
      </c>
      <c r="B114" s="19" t="s">
        <v>2956</v>
      </c>
      <c r="C114" s="18" t="s">
        <v>2957</v>
      </c>
    </row>
    <row r="115" ht="14.5" spans="1:3">
      <c r="A115" s="26" t="s">
        <v>2958</v>
      </c>
      <c r="B115" s="27" t="s">
        <v>2959</v>
      </c>
      <c r="C115" s="26" t="s">
        <v>2960</v>
      </c>
    </row>
    <row r="116" ht="14.5" spans="1:3">
      <c r="A116" s="18" t="s">
        <v>2958</v>
      </c>
      <c r="B116" s="19" t="s">
        <v>2961</v>
      </c>
      <c r="C116" s="18" t="s">
        <v>2962</v>
      </c>
    </row>
    <row r="117" ht="14.5" spans="1:3">
      <c r="A117" s="26" t="s">
        <v>2958</v>
      </c>
      <c r="B117" s="27" t="s">
        <v>2963</v>
      </c>
      <c r="C117" s="26" t="s">
        <v>2964</v>
      </c>
    </row>
    <row r="118" ht="14.5" spans="1:3">
      <c r="A118" s="18" t="s">
        <v>2958</v>
      </c>
      <c r="B118" s="19" t="s">
        <v>2965</v>
      </c>
      <c r="C118" s="18" t="s">
        <v>2966</v>
      </c>
    </row>
    <row r="119" ht="14.5" spans="1:3">
      <c r="A119" s="26" t="s">
        <v>2958</v>
      </c>
      <c r="B119" s="27" t="s">
        <v>2967</v>
      </c>
      <c r="C119" s="26" t="s">
        <v>2968</v>
      </c>
    </row>
    <row r="120" ht="14.5" spans="1:3">
      <c r="A120" s="18" t="s">
        <v>2742</v>
      </c>
      <c r="B120" s="19" t="s">
        <v>2969</v>
      </c>
      <c r="C120" s="18" t="s">
        <v>2922</v>
      </c>
    </row>
    <row r="121" ht="14.5" spans="1:3">
      <c r="A121" s="26" t="s">
        <v>2742</v>
      </c>
      <c r="B121" s="27" t="s">
        <v>2970</v>
      </c>
      <c r="C121" s="26" t="s">
        <v>2932</v>
      </c>
    </row>
    <row r="122" ht="14.5" spans="1:3">
      <c r="A122" s="18" t="s">
        <v>2742</v>
      </c>
      <c r="B122" s="19" t="s">
        <v>2971</v>
      </c>
      <c r="C122" s="18" t="s">
        <v>2972</v>
      </c>
    </row>
    <row r="123" ht="14.5" spans="1:3">
      <c r="A123" s="26" t="s">
        <v>2742</v>
      </c>
      <c r="B123" s="27" t="s">
        <v>2973</v>
      </c>
      <c r="C123" s="26" t="s">
        <v>2974</v>
      </c>
    </row>
    <row r="124" ht="14.5" spans="1:3">
      <c r="A124" s="18" t="s">
        <v>2742</v>
      </c>
      <c r="B124" s="19" t="s">
        <v>2975</v>
      </c>
      <c r="C124" s="18" t="s">
        <v>2976</v>
      </c>
    </row>
    <row r="125" ht="14.5" spans="1:3">
      <c r="A125" s="26" t="s">
        <v>2742</v>
      </c>
      <c r="B125" s="27" t="s">
        <v>2977</v>
      </c>
      <c r="C125" s="26" t="s">
        <v>2927</v>
      </c>
    </row>
    <row r="126" ht="14.5" spans="1:3">
      <c r="A126" s="18" t="s">
        <v>2742</v>
      </c>
      <c r="B126" s="19" t="s">
        <v>2978</v>
      </c>
      <c r="C126" s="18" t="s">
        <v>2939</v>
      </c>
    </row>
    <row r="127" ht="14.5" spans="1:3">
      <c r="A127" s="26" t="s">
        <v>2742</v>
      </c>
      <c r="B127" s="27" t="s">
        <v>2979</v>
      </c>
      <c r="C127" s="26" t="s">
        <v>2943</v>
      </c>
    </row>
    <row r="128" ht="14.5" spans="1:3">
      <c r="A128" s="18" t="s">
        <v>2980</v>
      </c>
      <c r="B128" s="19" t="s">
        <v>2981</v>
      </c>
      <c r="C128" s="18" t="s">
        <v>2982</v>
      </c>
    </row>
    <row r="129" ht="14.5" spans="1:3">
      <c r="A129" s="26" t="s">
        <v>2980</v>
      </c>
      <c r="B129" s="27" t="s">
        <v>2983</v>
      </c>
      <c r="C129" s="26" t="s">
        <v>2939</v>
      </c>
    </row>
    <row r="130" ht="14.5" spans="1:3">
      <c r="A130" s="18" t="s">
        <v>2980</v>
      </c>
      <c r="B130" s="19" t="s">
        <v>2984</v>
      </c>
      <c r="C130" s="18" t="s">
        <v>2985</v>
      </c>
    </row>
    <row r="131" ht="14.5" spans="1:3">
      <c r="A131" s="26" t="s">
        <v>2980</v>
      </c>
      <c r="B131" s="27" t="s">
        <v>2986</v>
      </c>
      <c r="C131" s="26" t="s">
        <v>2939</v>
      </c>
    </row>
    <row r="132" ht="14.5" spans="1:3">
      <c r="A132" s="18" t="s">
        <v>2980</v>
      </c>
      <c r="B132" s="19" t="s">
        <v>2987</v>
      </c>
      <c r="C132" s="18" t="s">
        <v>2988</v>
      </c>
    </row>
    <row r="133" ht="14.5" spans="1:3">
      <c r="A133" s="26" t="s">
        <v>2980</v>
      </c>
      <c r="B133" s="27" t="s">
        <v>2989</v>
      </c>
      <c r="C133" s="26" t="s">
        <v>2974</v>
      </c>
    </row>
    <row r="134" ht="14.5" spans="1:3">
      <c r="A134" s="18" t="s">
        <v>2980</v>
      </c>
      <c r="B134" s="19" t="s">
        <v>2990</v>
      </c>
      <c r="C134" s="18" t="s">
        <v>2991</v>
      </c>
    </row>
    <row r="135" ht="14.5" spans="1:3">
      <c r="A135" s="26" t="s">
        <v>2980</v>
      </c>
      <c r="B135" s="27" t="s">
        <v>2992</v>
      </c>
      <c r="C135" s="26" t="s">
        <v>2991</v>
      </c>
    </row>
    <row r="136" ht="43.5" spans="1:3">
      <c r="A136" s="18" t="s">
        <v>2980</v>
      </c>
      <c r="B136" s="19" t="s">
        <v>2993</v>
      </c>
      <c r="C136" s="18" t="s">
        <v>2994</v>
      </c>
    </row>
    <row r="137" ht="14.5" spans="1:3">
      <c r="A137" s="26" t="s">
        <v>2995</v>
      </c>
      <c r="B137" s="27" t="s">
        <v>2996</v>
      </c>
      <c r="C137" s="26" t="s">
        <v>2997</v>
      </c>
    </row>
    <row r="138" ht="14.5" spans="1:3">
      <c r="A138" s="18" t="s">
        <v>2995</v>
      </c>
      <c r="B138" s="19" t="s">
        <v>2998</v>
      </c>
      <c r="C138" s="18" t="s">
        <v>2999</v>
      </c>
    </row>
    <row r="139" ht="14.5" spans="1:3">
      <c r="A139" s="26" t="s">
        <v>3000</v>
      </c>
      <c r="B139" s="27" t="s">
        <v>3001</v>
      </c>
      <c r="C139" s="26" t="s">
        <v>2939</v>
      </c>
    </row>
    <row r="140" ht="14.5" spans="1:3">
      <c r="A140" s="18" t="s">
        <v>3000</v>
      </c>
      <c r="B140" s="19" t="s">
        <v>3002</v>
      </c>
      <c r="C140" s="18" t="s">
        <v>3003</v>
      </c>
    </row>
    <row r="141" ht="14.5" spans="1:3">
      <c r="A141" s="26" t="s">
        <v>3000</v>
      </c>
      <c r="B141" s="27" t="s">
        <v>3004</v>
      </c>
      <c r="C141" s="26" t="s">
        <v>3005</v>
      </c>
    </row>
    <row r="142" ht="14.5" spans="1:3">
      <c r="A142" s="18" t="s">
        <v>3000</v>
      </c>
      <c r="B142" s="19" t="s">
        <v>3006</v>
      </c>
      <c r="C142" s="18" t="s">
        <v>3007</v>
      </c>
    </row>
    <row r="143" ht="14.5" spans="1:3">
      <c r="A143" s="26" t="s">
        <v>3000</v>
      </c>
      <c r="B143" s="27" t="s">
        <v>3008</v>
      </c>
      <c r="C143" s="26" t="s">
        <v>2943</v>
      </c>
    </row>
    <row r="144" ht="29" spans="1:3">
      <c r="A144" s="18" t="s">
        <v>3009</v>
      </c>
      <c r="B144" s="19" t="s">
        <v>3010</v>
      </c>
      <c r="C144" s="18" t="s">
        <v>3011</v>
      </c>
    </row>
    <row r="145" ht="43.5" spans="1:3">
      <c r="A145" s="26" t="s">
        <v>3009</v>
      </c>
      <c r="B145" s="27" t="s">
        <v>3012</v>
      </c>
      <c r="C145" s="26" t="s">
        <v>3013</v>
      </c>
    </row>
    <row r="146" ht="43.5" spans="1:3">
      <c r="A146" s="18" t="s">
        <v>3009</v>
      </c>
      <c r="B146" s="19" t="s">
        <v>3014</v>
      </c>
      <c r="C146" s="18" t="s">
        <v>3015</v>
      </c>
    </row>
    <row r="147" ht="43.5" spans="1:3">
      <c r="A147" s="26" t="s">
        <v>3009</v>
      </c>
      <c r="B147" s="27" t="s">
        <v>3016</v>
      </c>
      <c r="C147" s="26" t="s">
        <v>3017</v>
      </c>
    </row>
    <row r="148" ht="29" spans="1:3">
      <c r="A148" s="18" t="s">
        <v>3009</v>
      </c>
      <c r="B148" s="19" t="s">
        <v>3018</v>
      </c>
      <c r="C148" s="18" t="s">
        <v>3019</v>
      </c>
    </row>
    <row r="149" ht="14.5" spans="1:3">
      <c r="A149" s="26" t="s">
        <v>3020</v>
      </c>
      <c r="B149" s="27" t="s">
        <v>3021</v>
      </c>
      <c r="C149" s="26" t="s">
        <v>3022</v>
      </c>
    </row>
    <row r="150" ht="14.5" spans="1:3">
      <c r="A150" s="18" t="s">
        <v>3020</v>
      </c>
      <c r="B150" s="19" t="s">
        <v>3023</v>
      </c>
      <c r="C150" s="18" t="s">
        <v>3024</v>
      </c>
    </row>
    <row r="151" ht="14.5" spans="1:3">
      <c r="A151" s="26" t="s">
        <v>3020</v>
      </c>
      <c r="B151" s="27" t="s">
        <v>3025</v>
      </c>
      <c r="C151" s="26" t="s">
        <v>3026</v>
      </c>
    </row>
    <row r="152" ht="14.5" spans="1:3">
      <c r="A152" s="18" t="s">
        <v>3020</v>
      </c>
      <c r="B152" s="19" t="s">
        <v>2483</v>
      </c>
      <c r="C152" s="18" t="s">
        <v>3027</v>
      </c>
    </row>
    <row r="153" ht="14.5" spans="1:3">
      <c r="A153" s="26" t="s">
        <v>3028</v>
      </c>
      <c r="B153" s="27" t="s">
        <v>3029</v>
      </c>
      <c r="C153" s="26" t="s">
        <v>3030</v>
      </c>
    </row>
    <row r="154" ht="14.5" spans="1:3">
      <c r="A154" s="18" t="s">
        <v>3028</v>
      </c>
      <c r="B154" s="19" t="s">
        <v>3029</v>
      </c>
      <c r="C154" s="18" t="s">
        <v>3031</v>
      </c>
    </row>
    <row r="155" ht="14.5" spans="1:3">
      <c r="A155" s="26" t="s">
        <v>3028</v>
      </c>
      <c r="B155" s="27" t="s">
        <v>3032</v>
      </c>
      <c r="C155" s="26" t="s">
        <v>3030</v>
      </c>
    </row>
    <row r="156" ht="14.5" spans="1:3">
      <c r="A156" s="18" t="s">
        <v>3028</v>
      </c>
      <c r="B156" s="19" t="s">
        <v>3032</v>
      </c>
      <c r="C156" s="18" t="s">
        <v>3033</v>
      </c>
    </row>
    <row r="157" ht="14.5" spans="1:3">
      <c r="A157" s="26" t="s">
        <v>3028</v>
      </c>
      <c r="B157" s="27" t="s">
        <v>3034</v>
      </c>
      <c r="C157" s="26" t="s">
        <v>3035</v>
      </c>
    </row>
    <row r="158" ht="14.5" spans="1:3">
      <c r="A158" s="18" t="s">
        <v>3028</v>
      </c>
      <c r="B158" s="19" t="s">
        <v>3034</v>
      </c>
      <c r="C158" s="18" t="s">
        <v>3036</v>
      </c>
    </row>
    <row r="159" ht="14.5" spans="1:3">
      <c r="A159" s="26" t="s">
        <v>3028</v>
      </c>
      <c r="B159" s="27" t="s">
        <v>3037</v>
      </c>
      <c r="C159" s="26" t="s">
        <v>3038</v>
      </c>
    </row>
    <row r="160" ht="14.5" spans="1:3">
      <c r="A160" s="18" t="s">
        <v>3028</v>
      </c>
      <c r="B160" s="19" t="s">
        <v>3037</v>
      </c>
      <c r="C160" s="18" t="s">
        <v>3039</v>
      </c>
    </row>
    <row r="161" ht="14.5" spans="1:3">
      <c r="A161" s="26" t="s">
        <v>3028</v>
      </c>
      <c r="B161" s="27" t="s">
        <v>3040</v>
      </c>
      <c r="C161" s="26" t="s">
        <v>3041</v>
      </c>
    </row>
    <row r="162" ht="14.5" spans="1:3">
      <c r="A162" s="18" t="s">
        <v>3028</v>
      </c>
      <c r="B162" s="19" t="s">
        <v>3040</v>
      </c>
      <c r="C162" s="18" t="s">
        <v>3042</v>
      </c>
    </row>
    <row r="163" ht="14.5" spans="1:3">
      <c r="A163" s="26" t="s">
        <v>3028</v>
      </c>
      <c r="B163" s="27" t="s">
        <v>3043</v>
      </c>
      <c r="C163" s="26" t="s">
        <v>3044</v>
      </c>
    </row>
    <row r="164" ht="14.5" spans="1:3">
      <c r="A164" s="18" t="s">
        <v>3028</v>
      </c>
      <c r="B164" s="19" t="s">
        <v>3043</v>
      </c>
      <c r="C164" s="18" t="s">
        <v>3045</v>
      </c>
    </row>
    <row r="165" ht="14.5" spans="1:3">
      <c r="A165" s="26" t="s">
        <v>3046</v>
      </c>
      <c r="B165" s="27" t="s">
        <v>3047</v>
      </c>
      <c r="C165" s="26" t="s">
        <v>3048</v>
      </c>
    </row>
    <row r="166" ht="14.5" spans="1:3">
      <c r="A166" s="18" t="s">
        <v>3046</v>
      </c>
      <c r="B166" s="19" t="s">
        <v>3049</v>
      </c>
      <c r="C166" s="18" t="s">
        <v>3050</v>
      </c>
    </row>
    <row r="167" ht="14.5" spans="1:3">
      <c r="A167" s="26" t="s">
        <v>3046</v>
      </c>
      <c r="B167" s="27" t="s">
        <v>3051</v>
      </c>
      <c r="C167" s="26" t="s">
        <v>3052</v>
      </c>
    </row>
    <row r="168" ht="14.5" spans="1:3">
      <c r="A168" s="18" t="s">
        <v>3046</v>
      </c>
      <c r="B168" s="19" t="s">
        <v>3053</v>
      </c>
      <c r="C168" s="18" t="s">
        <v>3054</v>
      </c>
    </row>
    <row r="169" ht="14.5" spans="1:3">
      <c r="A169" s="26" t="s">
        <v>3046</v>
      </c>
      <c r="B169" s="27" t="s">
        <v>3055</v>
      </c>
      <c r="C169" s="26" t="s">
        <v>3056</v>
      </c>
    </row>
    <row r="170" ht="14.5" spans="1:3">
      <c r="A170" s="18" t="s">
        <v>3046</v>
      </c>
      <c r="B170" s="19" t="s">
        <v>3057</v>
      </c>
      <c r="C170" s="18" t="s">
        <v>3058</v>
      </c>
    </row>
    <row r="171" ht="14.5" spans="1:3">
      <c r="A171" s="26" t="s">
        <v>3046</v>
      </c>
      <c r="B171" s="27" t="s">
        <v>3059</v>
      </c>
      <c r="C171" s="26" t="s">
        <v>3060</v>
      </c>
    </row>
    <row r="172" ht="14.5" spans="1:3">
      <c r="A172" s="18" t="s">
        <v>3046</v>
      </c>
      <c r="B172" s="19" t="s">
        <v>3061</v>
      </c>
      <c r="C172" s="18" t="s">
        <v>3062</v>
      </c>
    </row>
    <row r="173" ht="14.5" spans="1:3">
      <c r="A173" s="26" t="s">
        <v>3046</v>
      </c>
      <c r="B173" s="27" t="s">
        <v>3063</v>
      </c>
      <c r="C173" s="26" t="s">
        <v>3064</v>
      </c>
    </row>
    <row r="174" ht="14.5" spans="1:3">
      <c r="A174" s="18" t="s">
        <v>3046</v>
      </c>
      <c r="B174" s="19" t="s">
        <v>3065</v>
      </c>
      <c r="C174" s="18" t="s">
        <v>3066</v>
      </c>
    </row>
    <row r="175" ht="14.5" spans="1:3">
      <c r="A175" s="26" t="s">
        <v>3046</v>
      </c>
      <c r="B175" s="27" t="s">
        <v>3067</v>
      </c>
      <c r="C175" s="26" t="s">
        <v>3068</v>
      </c>
    </row>
    <row r="176" ht="14.5" spans="1:3">
      <c r="A176" s="18" t="s">
        <v>3069</v>
      </c>
      <c r="B176" s="19" t="s">
        <v>3070</v>
      </c>
      <c r="C176" s="18" t="s">
        <v>3071</v>
      </c>
    </row>
    <row r="177" ht="14.5" spans="1:3">
      <c r="A177" s="26" t="s">
        <v>3069</v>
      </c>
      <c r="B177" s="27" t="s">
        <v>3072</v>
      </c>
      <c r="C177" s="26" t="s">
        <v>3073</v>
      </c>
    </row>
    <row r="178" ht="14.5" spans="1:3">
      <c r="A178" s="18" t="s">
        <v>3069</v>
      </c>
      <c r="B178" s="19" t="s">
        <v>3074</v>
      </c>
      <c r="C178" s="18" t="s">
        <v>3075</v>
      </c>
    </row>
    <row r="179" ht="14.5" spans="1:3">
      <c r="A179" s="26" t="s">
        <v>3069</v>
      </c>
      <c r="B179" s="27" t="s">
        <v>3076</v>
      </c>
      <c r="C179" s="26" t="s">
        <v>3077</v>
      </c>
    </row>
    <row r="180" ht="14.5" spans="1:3">
      <c r="A180" s="18" t="s">
        <v>3078</v>
      </c>
      <c r="B180" s="19" t="s">
        <v>3079</v>
      </c>
      <c r="C180" s="18" t="s">
        <v>3080</v>
      </c>
    </row>
    <row r="181" ht="14.5" spans="1:3">
      <c r="A181" s="26" t="s">
        <v>3078</v>
      </c>
      <c r="B181" s="27" t="s">
        <v>3081</v>
      </c>
      <c r="C181" s="26" t="s">
        <v>3077</v>
      </c>
    </row>
    <row r="182" ht="14.5" spans="1:3">
      <c r="A182" s="18" t="s">
        <v>3078</v>
      </c>
      <c r="B182" s="19" t="s">
        <v>3082</v>
      </c>
      <c r="C182" s="18" t="s">
        <v>3083</v>
      </c>
    </row>
    <row r="183" ht="14.5" spans="1:3">
      <c r="A183" s="26" t="s">
        <v>3078</v>
      </c>
      <c r="B183" s="27" t="s">
        <v>3084</v>
      </c>
      <c r="C183" s="26" t="s">
        <v>3085</v>
      </c>
    </row>
    <row r="184" ht="14.5" spans="1:3">
      <c r="A184" s="18" t="s">
        <v>3078</v>
      </c>
      <c r="B184" s="19" t="s">
        <v>3086</v>
      </c>
      <c r="C184" s="18" t="s">
        <v>3087</v>
      </c>
    </row>
    <row r="185" ht="14.5" spans="1:3">
      <c r="A185" s="26" t="s">
        <v>3078</v>
      </c>
      <c r="B185" s="27" t="s">
        <v>3088</v>
      </c>
      <c r="C185" s="26" t="s">
        <v>3089</v>
      </c>
    </row>
    <row r="186" ht="29" spans="1:3">
      <c r="A186" s="18" t="s">
        <v>3090</v>
      </c>
      <c r="B186" s="19" t="s">
        <v>3091</v>
      </c>
      <c r="C186" s="18" t="s">
        <v>3092</v>
      </c>
    </row>
    <row r="187" ht="14.5" spans="1:3">
      <c r="A187" s="26" t="s">
        <v>3090</v>
      </c>
      <c r="B187" s="27" t="s">
        <v>3093</v>
      </c>
      <c r="C187" s="26" t="s">
        <v>3094</v>
      </c>
    </row>
    <row r="188" ht="29" spans="1:3">
      <c r="A188" s="18" t="s">
        <v>3090</v>
      </c>
      <c r="B188" s="19" t="s">
        <v>3095</v>
      </c>
      <c r="C188" s="18" t="s">
        <v>3096</v>
      </c>
    </row>
    <row r="189" ht="29" spans="1:3">
      <c r="A189" s="26" t="s">
        <v>3090</v>
      </c>
      <c r="B189" s="27" t="s">
        <v>3097</v>
      </c>
      <c r="C189" s="26" t="s">
        <v>3098</v>
      </c>
    </row>
    <row r="190" ht="29" spans="1:3">
      <c r="A190" s="18" t="s">
        <v>3090</v>
      </c>
      <c r="B190" s="19" t="s">
        <v>3099</v>
      </c>
      <c r="C190" s="18" t="s">
        <v>3100</v>
      </c>
    </row>
    <row r="191" ht="29" spans="1:3">
      <c r="A191" s="26" t="s">
        <v>3090</v>
      </c>
      <c r="B191" s="27" t="s">
        <v>3101</v>
      </c>
      <c r="C191" s="26" t="s">
        <v>3102</v>
      </c>
    </row>
    <row r="192" ht="14.5" spans="1:3">
      <c r="A192" s="18" t="s">
        <v>3090</v>
      </c>
      <c r="B192" s="19" t="s">
        <v>3103</v>
      </c>
      <c r="C192" s="18" t="s">
        <v>3104</v>
      </c>
    </row>
    <row r="193" ht="14.5" spans="1:3">
      <c r="A193" s="26" t="s">
        <v>3090</v>
      </c>
      <c r="B193" s="27" t="s">
        <v>3105</v>
      </c>
      <c r="C193" s="26" t="s">
        <v>3106</v>
      </c>
    </row>
    <row r="194" ht="29" spans="1:3">
      <c r="A194" s="18" t="s">
        <v>3107</v>
      </c>
      <c r="B194" s="19" t="s">
        <v>2422</v>
      </c>
      <c r="C194" s="18" t="s">
        <v>3108</v>
      </c>
    </row>
    <row r="195" ht="29" spans="1:3">
      <c r="A195" s="26" t="s">
        <v>3107</v>
      </c>
      <c r="B195" s="27" t="s">
        <v>2474</v>
      </c>
      <c r="C195" s="26" t="s">
        <v>3109</v>
      </c>
    </row>
    <row r="196" ht="29" spans="1:3">
      <c r="A196" s="18" t="s">
        <v>3107</v>
      </c>
      <c r="B196" s="19" t="s">
        <v>2483</v>
      </c>
      <c r="C196" s="18" t="s">
        <v>3110</v>
      </c>
    </row>
    <row r="197" ht="29" spans="1:3">
      <c r="A197" s="26" t="s">
        <v>3107</v>
      </c>
      <c r="B197" s="27" t="s">
        <v>2509</v>
      </c>
      <c r="C197" s="26" t="s">
        <v>3111</v>
      </c>
    </row>
    <row r="198" ht="14.5" spans="1:3">
      <c r="A198" s="18" t="s">
        <v>3107</v>
      </c>
      <c r="B198" s="19" t="s">
        <v>2509</v>
      </c>
      <c r="C198" s="18" t="s">
        <v>3112</v>
      </c>
    </row>
    <row r="199" ht="14.5" spans="1:3">
      <c r="A199" s="26" t="s">
        <v>3107</v>
      </c>
      <c r="B199" s="27" t="s">
        <v>2509</v>
      </c>
      <c r="C199" s="26" t="s">
        <v>3113</v>
      </c>
    </row>
    <row r="200" ht="14.5" spans="1:3">
      <c r="A200" s="18" t="s">
        <v>3114</v>
      </c>
      <c r="B200" s="19" t="s">
        <v>2399</v>
      </c>
      <c r="C200" s="18" t="s">
        <v>3115</v>
      </c>
    </row>
    <row r="201" ht="14.5" spans="1:3">
      <c r="A201" s="26" t="s">
        <v>3114</v>
      </c>
      <c r="B201" s="27" t="s">
        <v>2404</v>
      </c>
      <c r="C201" s="26" t="s">
        <v>3116</v>
      </c>
    </row>
    <row r="202" ht="14.5" spans="1:3">
      <c r="A202" s="18" t="s">
        <v>3114</v>
      </c>
      <c r="B202" s="19" t="s">
        <v>2407</v>
      </c>
      <c r="C202" s="18" t="s">
        <v>3117</v>
      </c>
    </row>
    <row r="203" ht="43.5" spans="1:3">
      <c r="A203" s="26" t="s">
        <v>3114</v>
      </c>
      <c r="B203" s="27" t="s">
        <v>2407</v>
      </c>
      <c r="C203" s="26" t="s">
        <v>3118</v>
      </c>
    </row>
    <row r="204" ht="14.5" spans="1:3">
      <c r="A204" s="18" t="s">
        <v>3114</v>
      </c>
      <c r="B204" s="19" t="s">
        <v>2409</v>
      </c>
      <c r="C204" s="18" t="s">
        <v>3119</v>
      </c>
    </row>
    <row r="205" ht="14.5" spans="1:3">
      <c r="A205" s="26" t="s">
        <v>3114</v>
      </c>
      <c r="B205" s="27" t="s">
        <v>2411</v>
      </c>
      <c r="C205" s="26" t="s">
        <v>3120</v>
      </c>
    </row>
    <row r="206" ht="14.5" spans="1:3">
      <c r="A206" s="18" t="s">
        <v>3114</v>
      </c>
      <c r="B206" s="19" t="s">
        <v>2412</v>
      </c>
      <c r="C206" s="18" t="s">
        <v>3121</v>
      </c>
    </row>
    <row r="207" ht="29" spans="1:3">
      <c r="A207" s="26" t="s">
        <v>3114</v>
      </c>
      <c r="B207" s="27" t="s">
        <v>2414</v>
      </c>
      <c r="C207" s="26" t="s">
        <v>3122</v>
      </c>
    </row>
    <row r="208" ht="14.5" spans="1:3">
      <c r="A208" s="18" t="s">
        <v>3114</v>
      </c>
      <c r="B208" s="19" t="s">
        <v>2415</v>
      </c>
      <c r="C208" s="18" t="s">
        <v>3123</v>
      </c>
    </row>
    <row r="209" ht="14.5" spans="1:3">
      <c r="A209" s="26" t="s">
        <v>3114</v>
      </c>
      <c r="B209" s="27" t="s">
        <v>2417</v>
      </c>
      <c r="C209" s="26" t="s">
        <v>3123</v>
      </c>
    </row>
    <row r="210" ht="14.5" spans="1:3">
      <c r="A210" s="18" t="s">
        <v>3114</v>
      </c>
      <c r="B210" s="19" t="s">
        <v>2418</v>
      </c>
      <c r="C210" s="18" t="s">
        <v>3124</v>
      </c>
    </row>
    <row r="211" ht="14.5" spans="1:3">
      <c r="A211" s="26" t="s">
        <v>3114</v>
      </c>
      <c r="B211" s="27" t="s">
        <v>2419</v>
      </c>
      <c r="C211" s="26" t="s">
        <v>3125</v>
      </c>
    </row>
    <row r="212" ht="14.5" spans="1:3">
      <c r="A212" s="18" t="s">
        <v>3114</v>
      </c>
      <c r="B212" s="19" t="s">
        <v>2421</v>
      </c>
      <c r="C212" s="18" t="s">
        <v>3126</v>
      </c>
    </row>
    <row r="213" ht="14.5" spans="1:3">
      <c r="A213" s="26" t="s">
        <v>3114</v>
      </c>
      <c r="B213" s="27" t="s">
        <v>2423</v>
      </c>
      <c r="C213" s="26" t="s">
        <v>3127</v>
      </c>
    </row>
    <row r="214" ht="14.5" spans="1:3">
      <c r="A214" s="18" t="s">
        <v>3114</v>
      </c>
      <c r="B214" s="19" t="s">
        <v>2423</v>
      </c>
      <c r="C214" s="18" t="s">
        <v>2425</v>
      </c>
    </row>
    <row r="215" ht="29" spans="1:3">
      <c r="A215" s="26" t="s">
        <v>3128</v>
      </c>
      <c r="B215" s="27" t="s">
        <v>2426</v>
      </c>
      <c r="C215" s="26" t="s">
        <v>3129</v>
      </c>
    </row>
    <row r="216" ht="29" spans="1:3">
      <c r="A216" s="18" t="s">
        <v>3128</v>
      </c>
      <c r="B216" s="19" t="s">
        <v>2433</v>
      </c>
      <c r="C216" s="18" t="s">
        <v>3130</v>
      </c>
    </row>
    <row r="217" ht="29" spans="1:3">
      <c r="A217" s="26" t="s">
        <v>3128</v>
      </c>
      <c r="B217" s="27" t="s">
        <v>2436</v>
      </c>
      <c r="C217" s="26" t="s">
        <v>3131</v>
      </c>
    </row>
    <row r="218" ht="29" spans="1:3">
      <c r="A218" s="18" t="s">
        <v>3128</v>
      </c>
      <c r="B218" s="19" t="s">
        <v>2436</v>
      </c>
      <c r="C218" s="18" t="s">
        <v>3132</v>
      </c>
    </row>
    <row r="219" ht="29" spans="1:3">
      <c r="A219" s="26" t="s">
        <v>3128</v>
      </c>
      <c r="B219" s="27" t="s">
        <v>2440</v>
      </c>
      <c r="C219" s="26" t="s">
        <v>3133</v>
      </c>
    </row>
    <row r="220" ht="29" spans="1:3">
      <c r="A220" s="18" t="s">
        <v>3128</v>
      </c>
      <c r="B220" s="19" t="s">
        <v>2440</v>
      </c>
      <c r="C220" s="18" t="s">
        <v>3134</v>
      </c>
    </row>
    <row r="221" ht="29" spans="1:3">
      <c r="A221" s="26" t="s">
        <v>3135</v>
      </c>
      <c r="B221" s="27" t="s">
        <v>2443</v>
      </c>
      <c r="C221" s="26" t="s">
        <v>3136</v>
      </c>
    </row>
    <row r="222" ht="14.5" spans="1:3">
      <c r="A222" s="18" t="s">
        <v>3135</v>
      </c>
      <c r="B222" s="19" t="s">
        <v>2443</v>
      </c>
      <c r="C222" s="18" t="s">
        <v>3137</v>
      </c>
    </row>
    <row r="223" ht="29" spans="1:3">
      <c r="A223" s="26" t="s">
        <v>3135</v>
      </c>
      <c r="B223" s="27" t="s">
        <v>2445</v>
      </c>
      <c r="C223" s="26" t="s">
        <v>3138</v>
      </c>
    </row>
    <row r="224" ht="14.5" spans="1:3">
      <c r="A224" s="18" t="s">
        <v>3135</v>
      </c>
      <c r="B224" s="19" t="s">
        <v>2445</v>
      </c>
      <c r="C224" s="18" t="s">
        <v>3139</v>
      </c>
    </row>
    <row r="225" ht="29" spans="1:3">
      <c r="A225" s="26" t="s">
        <v>3140</v>
      </c>
      <c r="B225" s="27" t="s">
        <v>2447</v>
      </c>
      <c r="C225" s="26" t="s">
        <v>3141</v>
      </c>
    </row>
    <row r="226" ht="29" spans="1:3">
      <c r="A226" s="18" t="s">
        <v>3140</v>
      </c>
      <c r="B226" s="19" t="s">
        <v>2449</v>
      </c>
      <c r="C226" s="18" t="s">
        <v>3142</v>
      </c>
    </row>
    <row r="227" ht="29" spans="1:3">
      <c r="A227" s="26" t="s">
        <v>3140</v>
      </c>
      <c r="B227" s="27" t="s">
        <v>2450</v>
      </c>
      <c r="C227" s="26" t="s">
        <v>3143</v>
      </c>
    </row>
    <row r="228" ht="14.5" spans="1:3">
      <c r="A228" s="18" t="s">
        <v>3140</v>
      </c>
      <c r="B228" s="19" t="s">
        <v>2450</v>
      </c>
      <c r="C228" s="18" t="s">
        <v>2425</v>
      </c>
    </row>
    <row r="229" ht="29" spans="1:3">
      <c r="A229" s="26" t="s">
        <v>3144</v>
      </c>
      <c r="B229" s="27" t="s">
        <v>2453</v>
      </c>
      <c r="C229" s="26" t="s">
        <v>3145</v>
      </c>
    </row>
    <row r="230" ht="29" spans="1:3">
      <c r="A230" s="18" t="s">
        <v>3144</v>
      </c>
      <c r="B230" s="19" t="s">
        <v>2453</v>
      </c>
      <c r="C230" s="18" t="s">
        <v>3146</v>
      </c>
    </row>
    <row r="231" ht="29" spans="1:3">
      <c r="A231" s="26" t="s">
        <v>3144</v>
      </c>
      <c r="B231" s="27" t="s">
        <v>2455</v>
      </c>
      <c r="C231" s="26" t="s">
        <v>3147</v>
      </c>
    </row>
    <row r="232" ht="29" spans="1:3">
      <c r="A232" s="18" t="s">
        <v>3144</v>
      </c>
      <c r="B232" s="19" t="s">
        <v>2455</v>
      </c>
      <c r="C232" s="18" t="s">
        <v>3148</v>
      </c>
    </row>
    <row r="233" ht="29" spans="1:3">
      <c r="A233" s="26" t="s">
        <v>3144</v>
      </c>
      <c r="B233" s="27" t="s">
        <v>2457</v>
      </c>
      <c r="C233" s="26" t="s">
        <v>3149</v>
      </c>
    </row>
    <row r="234" ht="29" spans="1:3">
      <c r="A234" s="18" t="s">
        <v>3144</v>
      </c>
      <c r="B234" s="19" t="s">
        <v>2457</v>
      </c>
      <c r="C234" s="18" t="s">
        <v>3150</v>
      </c>
    </row>
    <row r="235" ht="29" spans="1:3">
      <c r="A235" s="26" t="s">
        <v>3144</v>
      </c>
      <c r="B235" s="27" t="s">
        <v>2458</v>
      </c>
      <c r="C235" s="26" t="s">
        <v>3151</v>
      </c>
    </row>
    <row r="236" ht="29" spans="1:3">
      <c r="A236" s="18" t="s">
        <v>3144</v>
      </c>
      <c r="B236" s="19" t="s">
        <v>2458</v>
      </c>
      <c r="C236" s="18" t="s">
        <v>3152</v>
      </c>
    </row>
    <row r="237" ht="29" spans="1:3">
      <c r="A237" s="26" t="s">
        <v>3144</v>
      </c>
      <c r="B237" s="27" t="s">
        <v>2462</v>
      </c>
      <c r="C237" s="26" t="s">
        <v>3153</v>
      </c>
    </row>
    <row r="238" ht="14.5" spans="1:3">
      <c r="A238" s="18" t="s">
        <v>3144</v>
      </c>
      <c r="B238" s="19" t="s">
        <v>2462</v>
      </c>
      <c r="C238" s="18" t="s">
        <v>3154</v>
      </c>
    </row>
    <row r="239" ht="29" spans="1:3">
      <c r="A239" s="26" t="s">
        <v>3144</v>
      </c>
      <c r="B239" s="27" t="s">
        <v>2464</v>
      </c>
      <c r="C239" s="26" t="s">
        <v>3155</v>
      </c>
    </row>
    <row r="240" ht="29" spans="1:3">
      <c r="A240" s="18" t="s">
        <v>3144</v>
      </c>
      <c r="B240" s="19" t="s">
        <v>2467</v>
      </c>
      <c r="C240" s="18" t="s">
        <v>3156</v>
      </c>
    </row>
    <row r="241" ht="43.5" spans="1:3">
      <c r="A241" s="26" t="s">
        <v>3144</v>
      </c>
      <c r="B241" s="27" t="s">
        <v>2467</v>
      </c>
      <c r="C241" s="26" t="s">
        <v>3157</v>
      </c>
    </row>
    <row r="242" ht="29" spans="1:3">
      <c r="A242" s="18" t="s">
        <v>3144</v>
      </c>
      <c r="B242" s="19" t="s">
        <v>2471</v>
      </c>
      <c r="C242" s="18" t="s">
        <v>3158</v>
      </c>
    </row>
    <row r="243" ht="43.5" spans="1:3">
      <c r="A243" s="26" t="s">
        <v>3144</v>
      </c>
      <c r="B243" s="27" t="s">
        <v>2471</v>
      </c>
      <c r="C243" s="26" t="s">
        <v>3159</v>
      </c>
    </row>
    <row r="244" ht="29" spans="1:3">
      <c r="A244" s="18" t="s">
        <v>3144</v>
      </c>
      <c r="B244" s="19" t="s">
        <v>2475</v>
      </c>
      <c r="C244" s="18" t="s">
        <v>3160</v>
      </c>
    </row>
    <row r="245" ht="43.5" spans="1:3">
      <c r="A245" s="26" t="s">
        <v>3144</v>
      </c>
      <c r="B245" s="27" t="s">
        <v>2475</v>
      </c>
      <c r="C245" s="26" t="s">
        <v>3161</v>
      </c>
    </row>
    <row r="246" ht="29" spans="1:3">
      <c r="A246" s="18" t="s">
        <v>3144</v>
      </c>
      <c r="B246" s="19" t="s">
        <v>2480</v>
      </c>
      <c r="C246" s="18" t="s">
        <v>3162</v>
      </c>
    </row>
    <row r="247" ht="29" spans="1:3">
      <c r="A247" s="26" t="s">
        <v>3144</v>
      </c>
      <c r="B247" s="27" t="s">
        <v>2480</v>
      </c>
      <c r="C247" s="26" t="s">
        <v>3163</v>
      </c>
    </row>
    <row r="248" ht="29" spans="1:3">
      <c r="A248" s="18" t="s">
        <v>117</v>
      </c>
      <c r="B248" s="19" t="s">
        <v>2484</v>
      </c>
      <c r="C248" s="18" t="s">
        <v>3164</v>
      </c>
    </row>
    <row r="249" ht="14.5" spans="1:3">
      <c r="A249" s="26" t="s">
        <v>117</v>
      </c>
      <c r="B249" s="27" t="s">
        <v>2484</v>
      </c>
      <c r="C249" s="26" t="s">
        <v>3165</v>
      </c>
    </row>
    <row r="250" ht="29" spans="1:3">
      <c r="A250" s="18" t="s">
        <v>117</v>
      </c>
      <c r="B250" s="19" t="s">
        <v>2486</v>
      </c>
      <c r="C250" s="18" t="s">
        <v>3166</v>
      </c>
    </row>
    <row r="251" ht="14.5" spans="1:3">
      <c r="A251" s="26" t="s">
        <v>117</v>
      </c>
      <c r="B251" s="27" t="s">
        <v>2486</v>
      </c>
      <c r="C251" s="26" t="s">
        <v>3167</v>
      </c>
    </row>
    <row r="252" ht="29" spans="1:3">
      <c r="A252" s="18" t="s">
        <v>117</v>
      </c>
      <c r="B252" s="19" t="s">
        <v>2490</v>
      </c>
      <c r="C252" s="18" t="s">
        <v>3168</v>
      </c>
    </row>
    <row r="253" ht="14.5" spans="1:3">
      <c r="A253" s="26" t="s">
        <v>117</v>
      </c>
      <c r="B253" s="27" t="s">
        <v>2490</v>
      </c>
      <c r="C253" s="26" t="s">
        <v>3169</v>
      </c>
    </row>
    <row r="254" ht="29" spans="1:3">
      <c r="A254" s="18" t="s">
        <v>117</v>
      </c>
      <c r="B254" s="19" t="s">
        <v>2493</v>
      </c>
      <c r="C254" s="18" t="s">
        <v>3170</v>
      </c>
    </row>
    <row r="255" ht="14.5" spans="1:3">
      <c r="A255" s="26" t="s">
        <v>117</v>
      </c>
      <c r="B255" s="27" t="s">
        <v>2493</v>
      </c>
      <c r="C255" s="26" t="s">
        <v>3171</v>
      </c>
    </row>
    <row r="256" ht="29" spans="1:3">
      <c r="A256" s="18" t="s">
        <v>117</v>
      </c>
      <c r="B256" s="19" t="s">
        <v>3172</v>
      </c>
      <c r="C256" s="18" t="s">
        <v>3173</v>
      </c>
    </row>
    <row r="257" ht="14.5" spans="1:3">
      <c r="A257" s="26" t="s">
        <v>117</v>
      </c>
      <c r="B257" s="27" t="s">
        <v>3172</v>
      </c>
      <c r="C257" s="26" t="s">
        <v>3174</v>
      </c>
    </row>
    <row r="258" ht="29" spans="1:3">
      <c r="A258" s="18" t="s">
        <v>117</v>
      </c>
      <c r="B258" s="19" t="s">
        <v>2499</v>
      </c>
      <c r="C258" s="18" t="s">
        <v>3175</v>
      </c>
    </row>
    <row r="259" ht="29" spans="1:3">
      <c r="A259" s="26" t="s">
        <v>117</v>
      </c>
      <c r="B259" s="27" t="s">
        <v>2499</v>
      </c>
      <c r="C259" s="26" t="s">
        <v>3176</v>
      </c>
    </row>
    <row r="260" ht="29" spans="1:3">
      <c r="A260" s="18" t="s">
        <v>117</v>
      </c>
      <c r="B260" s="19" t="s">
        <v>2501</v>
      </c>
      <c r="C260" s="18" t="s">
        <v>3177</v>
      </c>
    </row>
    <row r="261" ht="29" spans="1:3">
      <c r="A261" s="26" t="s">
        <v>117</v>
      </c>
      <c r="B261" s="27" t="s">
        <v>2501</v>
      </c>
      <c r="C261" s="26" t="s">
        <v>3178</v>
      </c>
    </row>
    <row r="262" ht="29" spans="1:3">
      <c r="A262" s="18" t="s">
        <v>3179</v>
      </c>
      <c r="B262" s="19" t="s">
        <v>2504</v>
      </c>
      <c r="C262" s="18" t="s">
        <v>3180</v>
      </c>
    </row>
    <row r="263" ht="14.5" spans="1:3">
      <c r="A263" s="26" t="s">
        <v>3179</v>
      </c>
      <c r="B263" s="27" t="s">
        <v>2504</v>
      </c>
      <c r="C263" s="26" t="s">
        <v>3181</v>
      </c>
    </row>
    <row r="264" ht="29" spans="1:3">
      <c r="A264" s="18" t="s">
        <v>3179</v>
      </c>
      <c r="B264" s="19" t="s">
        <v>2507</v>
      </c>
      <c r="C264" s="18" t="s">
        <v>3182</v>
      </c>
    </row>
    <row r="265" ht="14.5" spans="1:3">
      <c r="A265" s="26" t="s">
        <v>3179</v>
      </c>
      <c r="B265" s="27" t="s">
        <v>2507</v>
      </c>
      <c r="C265" s="26" t="s">
        <v>3183</v>
      </c>
    </row>
    <row r="266" ht="29" spans="1:3">
      <c r="A266" s="18" t="s">
        <v>3179</v>
      </c>
      <c r="B266" s="19" t="s">
        <v>2508</v>
      </c>
      <c r="C266" s="18" t="s">
        <v>3184</v>
      </c>
    </row>
    <row r="267" ht="14.5" spans="1:3">
      <c r="A267" s="26" t="s">
        <v>3179</v>
      </c>
      <c r="B267" s="27" t="s">
        <v>2508</v>
      </c>
      <c r="C267" s="26" t="s">
        <v>3185</v>
      </c>
    </row>
    <row r="268" ht="29" spans="1:3">
      <c r="A268" s="18" t="s">
        <v>3179</v>
      </c>
      <c r="B268" s="19" t="s">
        <v>2510</v>
      </c>
      <c r="C268" s="18" t="s">
        <v>3186</v>
      </c>
    </row>
    <row r="269" ht="14.5" spans="1:3">
      <c r="A269" s="26" t="s">
        <v>3179</v>
      </c>
      <c r="B269" s="27" t="s">
        <v>2510</v>
      </c>
      <c r="C269" s="26" t="s">
        <v>3187</v>
      </c>
    </row>
    <row r="270" ht="29" spans="1:3">
      <c r="A270" s="18" t="s">
        <v>3188</v>
      </c>
      <c r="B270" s="19" t="s">
        <v>2513</v>
      </c>
      <c r="C270" s="18" t="s">
        <v>3189</v>
      </c>
    </row>
    <row r="271" ht="14.5" spans="1:3">
      <c r="A271" s="26" t="s">
        <v>3188</v>
      </c>
      <c r="B271" s="27" t="s">
        <v>2513</v>
      </c>
      <c r="C271" s="26" t="s">
        <v>3190</v>
      </c>
    </row>
    <row r="272" ht="29" spans="1:3">
      <c r="A272" s="18" t="s">
        <v>3188</v>
      </c>
      <c r="B272" s="19" t="s">
        <v>2514</v>
      </c>
      <c r="C272" s="18" t="s">
        <v>3191</v>
      </c>
    </row>
    <row r="273" ht="14.5" spans="1:3">
      <c r="A273" s="26" t="s">
        <v>3188</v>
      </c>
      <c r="B273" s="27" t="s">
        <v>2514</v>
      </c>
      <c r="C273" s="26" t="s">
        <v>3192</v>
      </c>
    </row>
    <row r="274" ht="29" spans="1:3">
      <c r="A274" s="18" t="s">
        <v>3188</v>
      </c>
      <c r="B274" s="19" t="s">
        <v>2515</v>
      </c>
      <c r="C274" s="18" t="s">
        <v>3193</v>
      </c>
    </row>
    <row r="275" ht="29" spans="1:3">
      <c r="A275" s="26" t="s">
        <v>3188</v>
      </c>
      <c r="B275" s="27" t="s">
        <v>2515</v>
      </c>
      <c r="C275" s="26" t="s">
        <v>3194</v>
      </c>
    </row>
    <row r="276" ht="29" spans="1:3">
      <c r="A276" s="18" t="s">
        <v>3188</v>
      </c>
      <c r="B276" s="19" t="s">
        <v>2517</v>
      </c>
      <c r="C276" s="18" t="s">
        <v>3195</v>
      </c>
    </row>
    <row r="277" ht="14.5" spans="1:3">
      <c r="A277" s="26" t="s">
        <v>3188</v>
      </c>
      <c r="B277" s="27" t="s">
        <v>2517</v>
      </c>
      <c r="C277" s="26" t="s">
        <v>3196</v>
      </c>
    </row>
    <row r="278" ht="29" spans="1:3">
      <c r="A278" s="18" t="s">
        <v>3188</v>
      </c>
      <c r="B278" s="19" t="s">
        <v>2519</v>
      </c>
      <c r="C278" s="18" t="s">
        <v>3197</v>
      </c>
    </row>
    <row r="279" ht="14.5" spans="1:3">
      <c r="A279" s="26" t="s">
        <v>3188</v>
      </c>
      <c r="B279" s="27" t="s">
        <v>2519</v>
      </c>
      <c r="C279" s="26" t="s">
        <v>3198</v>
      </c>
    </row>
    <row r="280" ht="29" spans="1:3">
      <c r="A280" s="18" t="s">
        <v>2535</v>
      </c>
      <c r="B280" s="19" t="s">
        <v>2521</v>
      </c>
      <c r="C280" s="18" t="s">
        <v>3199</v>
      </c>
    </row>
    <row r="281" ht="14.5" spans="1:3">
      <c r="A281" s="26" t="s">
        <v>2535</v>
      </c>
      <c r="B281" s="27" t="s">
        <v>2521</v>
      </c>
      <c r="C281" s="26" t="s">
        <v>3200</v>
      </c>
    </row>
    <row r="282" ht="29" spans="1:3">
      <c r="A282" s="18" t="s">
        <v>2535</v>
      </c>
      <c r="B282" s="19" t="s">
        <v>2526</v>
      </c>
      <c r="C282" s="18" t="s">
        <v>3201</v>
      </c>
    </row>
    <row r="283" ht="14.5" spans="1:3">
      <c r="A283" s="26" t="s">
        <v>2535</v>
      </c>
      <c r="B283" s="27" t="s">
        <v>2526</v>
      </c>
      <c r="C283" s="26" t="s">
        <v>3202</v>
      </c>
    </row>
    <row r="284" ht="29" spans="1:3">
      <c r="A284" s="18" t="s">
        <v>2535</v>
      </c>
      <c r="B284" s="19" t="s">
        <v>2529</v>
      </c>
      <c r="C284" s="18" t="s">
        <v>3203</v>
      </c>
    </row>
    <row r="285" ht="14.5" spans="1:3">
      <c r="A285" s="26" t="s">
        <v>2535</v>
      </c>
      <c r="B285" s="27" t="s">
        <v>2529</v>
      </c>
      <c r="C285" s="26" t="s">
        <v>3204</v>
      </c>
    </row>
    <row r="286" ht="29" spans="1:3">
      <c r="A286" s="18" t="s">
        <v>2535</v>
      </c>
      <c r="B286" s="19" t="s">
        <v>2532</v>
      </c>
      <c r="C286" s="18" t="s">
        <v>3205</v>
      </c>
    </row>
    <row r="287" ht="14.5" spans="1:3">
      <c r="A287" s="26" t="s">
        <v>2535</v>
      </c>
      <c r="B287" s="27" t="s">
        <v>2532</v>
      </c>
      <c r="C287" s="26" t="s">
        <v>3206</v>
      </c>
    </row>
    <row r="288" ht="29" spans="1:3">
      <c r="A288" s="18" t="s">
        <v>2535</v>
      </c>
      <c r="B288" s="19" t="s">
        <v>2535</v>
      </c>
      <c r="C288" s="18" t="s">
        <v>3207</v>
      </c>
    </row>
    <row r="289" ht="14.5" spans="1:3">
      <c r="A289" s="26" t="s">
        <v>2535</v>
      </c>
      <c r="B289" s="27" t="s">
        <v>2535</v>
      </c>
      <c r="C289" s="26" t="s">
        <v>3208</v>
      </c>
    </row>
    <row r="290" ht="29" spans="1:3">
      <c r="A290" s="18" t="s">
        <v>2535</v>
      </c>
      <c r="B290" s="19" t="s">
        <v>2538</v>
      </c>
      <c r="C290" s="18" t="s">
        <v>3209</v>
      </c>
    </row>
    <row r="291" ht="14.5" spans="1:3">
      <c r="A291" s="26" t="s">
        <v>2535</v>
      </c>
      <c r="B291" s="27" t="s">
        <v>2538</v>
      </c>
      <c r="C291" s="26" t="s">
        <v>3210</v>
      </c>
    </row>
    <row r="292" ht="29" spans="1:3">
      <c r="A292" s="18" t="s">
        <v>3211</v>
      </c>
      <c r="B292" s="19" t="s">
        <v>3212</v>
      </c>
      <c r="C292" s="18" t="s">
        <v>3213</v>
      </c>
    </row>
    <row r="293" ht="29" spans="1:3">
      <c r="A293" s="26" t="s">
        <v>3211</v>
      </c>
      <c r="B293" s="27" t="s">
        <v>3214</v>
      </c>
      <c r="C293" s="26" t="s">
        <v>3213</v>
      </c>
    </row>
    <row r="294" ht="29" spans="1:3">
      <c r="A294" s="18" t="s">
        <v>3211</v>
      </c>
      <c r="B294" s="19" t="s">
        <v>3215</v>
      </c>
      <c r="C294" s="18" t="s">
        <v>3216</v>
      </c>
    </row>
    <row r="295" ht="29" spans="1:3">
      <c r="A295" s="26" t="s">
        <v>3211</v>
      </c>
      <c r="B295" s="27" t="s">
        <v>3217</v>
      </c>
      <c r="C295" s="26" t="s">
        <v>3216</v>
      </c>
    </row>
    <row r="296" ht="29" spans="1:3">
      <c r="A296" s="18" t="s">
        <v>3211</v>
      </c>
      <c r="B296" s="19" t="s">
        <v>3218</v>
      </c>
      <c r="C296" s="18" t="s">
        <v>3216</v>
      </c>
    </row>
    <row r="297" ht="29" spans="1:3">
      <c r="A297" s="26" t="s">
        <v>3211</v>
      </c>
      <c r="B297" s="27" t="s">
        <v>3219</v>
      </c>
      <c r="C297" s="26" t="s">
        <v>3220</v>
      </c>
    </row>
    <row r="298" ht="29" spans="1:3">
      <c r="A298" s="18" t="s">
        <v>3221</v>
      </c>
      <c r="B298" s="19" t="s">
        <v>3222</v>
      </c>
      <c r="C298" s="18" t="s">
        <v>3213</v>
      </c>
    </row>
    <row r="299" ht="29" spans="1:3">
      <c r="A299" s="26" t="s">
        <v>3221</v>
      </c>
      <c r="B299" s="27" t="s">
        <v>3223</v>
      </c>
      <c r="C299" s="26" t="s">
        <v>3213</v>
      </c>
    </row>
    <row r="300" ht="29" spans="1:3">
      <c r="A300" s="18" t="s">
        <v>3221</v>
      </c>
      <c r="B300" s="19" t="s">
        <v>3224</v>
      </c>
      <c r="C300" s="18" t="s">
        <v>3225</v>
      </c>
    </row>
    <row r="301" ht="29" spans="1:3">
      <c r="A301" s="26" t="s">
        <v>3221</v>
      </c>
      <c r="B301" s="27" t="s">
        <v>3226</v>
      </c>
      <c r="C301" s="26" t="s">
        <v>3225</v>
      </c>
    </row>
    <row r="302" ht="29" spans="1:3">
      <c r="A302" s="18" t="s">
        <v>3221</v>
      </c>
      <c r="B302" s="19" t="s">
        <v>3227</v>
      </c>
      <c r="C302" s="18" t="s">
        <v>3216</v>
      </c>
    </row>
    <row r="303" ht="29" spans="1:3">
      <c r="A303" s="26" t="s">
        <v>3221</v>
      </c>
      <c r="B303" s="27" t="s">
        <v>2848</v>
      </c>
      <c r="C303" s="26" t="s">
        <v>3216</v>
      </c>
    </row>
    <row r="304" ht="29" spans="1:3">
      <c r="A304" s="18" t="s">
        <v>3221</v>
      </c>
      <c r="B304" s="19" t="s">
        <v>3228</v>
      </c>
      <c r="C304" s="18" t="s">
        <v>3216</v>
      </c>
    </row>
    <row r="305" ht="29" spans="1:3">
      <c r="A305" s="26" t="s">
        <v>3221</v>
      </c>
      <c r="B305" s="27" t="s">
        <v>3229</v>
      </c>
      <c r="C305" s="26" t="s">
        <v>3230</v>
      </c>
    </row>
    <row r="306" ht="29" spans="1:3">
      <c r="A306" s="18" t="s">
        <v>3231</v>
      </c>
      <c r="B306" s="19" t="s">
        <v>3232</v>
      </c>
      <c r="C306" s="18" t="s">
        <v>3225</v>
      </c>
    </row>
    <row r="307" ht="29" spans="1:3">
      <c r="A307" s="26" t="s">
        <v>3231</v>
      </c>
      <c r="B307" s="27" t="s">
        <v>3233</v>
      </c>
      <c r="C307" s="26" t="s">
        <v>3225</v>
      </c>
    </row>
    <row r="308" ht="29" spans="1:3">
      <c r="A308" s="18" t="s">
        <v>3231</v>
      </c>
      <c r="B308" s="19" t="s">
        <v>3234</v>
      </c>
      <c r="C308" s="18" t="s">
        <v>3225</v>
      </c>
    </row>
    <row r="309" ht="29" spans="1:3">
      <c r="A309" s="26" t="s">
        <v>3231</v>
      </c>
      <c r="B309" s="27" t="s">
        <v>3235</v>
      </c>
      <c r="C309" s="26" t="s">
        <v>3216</v>
      </c>
    </row>
    <row r="310" ht="29" spans="1:3">
      <c r="A310" s="18" t="s">
        <v>3231</v>
      </c>
      <c r="B310" s="19" t="s">
        <v>3236</v>
      </c>
      <c r="C310" s="18" t="s">
        <v>3230</v>
      </c>
    </row>
    <row r="311" ht="29" spans="1:3">
      <c r="A311" s="26" t="s">
        <v>3231</v>
      </c>
      <c r="B311" s="27" t="s">
        <v>3237</v>
      </c>
      <c r="C311" s="26" t="s">
        <v>3230</v>
      </c>
    </row>
    <row r="312" ht="29" spans="1:3">
      <c r="A312" s="18" t="s">
        <v>3231</v>
      </c>
      <c r="B312" s="19" t="s">
        <v>3238</v>
      </c>
      <c r="C312" s="18" t="s">
        <v>3239</v>
      </c>
    </row>
    <row r="313" ht="29" spans="1:3">
      <c r="A313" s="26" t="s">
        <v>3231</v>
      </c>
      <c r="B313" s="27" t="s">
        <v>3238</v>
      </c>
      <c r="C313" s="26" t="s">
        <v>3240</v>
      </c>
    </row>
    <row r="314" ht="29" spans="1:3">
      <c r="A314" s="18" t="s">
        <v>3241</v>
      </c>
      <c r="B314" s="19" t="s">
        <v>3242</v>
      </c>
      <c r="C314" s="18" t="s">
        <v>3213</v>
      </c>
    </row>
    <row r="315" ht="29" spans="1:3">
      <c r="A315" s="26" t="s">
        <v>3241</v>
      </c>
      <c r="B315" s="27" t="s">
        <v>3243</v>
      </c>
      <c r="C315" s="26" t="s">
        <v>3213</v>
      </c>
    </row>
    <row r="316" ht="29" spans="1:3">
      <c r="A316" s="18" t="s">
        <v>3241</v>
      </c>
      <c r="B316" s="19" t="s">
        <v>3244</v>
      </c>
      <c r="C316" s="18" t="s">
        <v>3225</v>
      </c>
    </row>
    <row r="317" ht="29" spans="1:3">
      <c r="A317" s="26" t="s">
        <v>3241</v>
      </c>
      <c r="B317" s="27" t="s">
        <v>3245</v>
      </c>
      <c r="C317" s="26" t="s">
        <v>3213</v>
      </c>
    </row>
    <row r="318" ht="29" spans="1:3">
      <c r="A318" s="18" t="s">
        <v>3241</v>
      </c>
      <c r="B318" s="19" t="s">
        <v>3246</v>
      </c>
      <c r="C318" s="18" t="s">
        <v>3225</v>
      </c>
    </row>
    <row r="319" ht="29" spans="1:3">
      <c r="A319" s="26" t="s">
        <v>3241</v>
      </c>
      <c r="B319" s="27" t="s">
        <v>3247</v>
      </c>
      <c r="C319" s="26" t="s">
        <v>3225</v>
      </c>
    </row>
    <row r="320" ht="29" spans="1:3">
      <c r="A320" s="18" t="s">
        <v>3241</v>
      </c>
      <c r="B320" s="19" t="s">
        <v>3248</v>
      </c>
      <c r="C320" s="18" t="s">
        <v>3225</v>
      </c>
    </row>
    <row r="321" ht="29" spans="1:3">
      <c r="A321" s="26" t="s">
        <v>3241</v>
      </c>
      <c r="B321" s="27" t="s">
        <v>3249</v>
      </c>
      <c r="C321" s="26" t="s">
        <v>3225</v>
      </c>
    </row>
    <row r="322" ht="29" spans="1:3">
      <c r="A322" s="18" t="s">
        <v>3241</v>
      </c>
      <c r="B322" s="19" t="s">
        <v>3250</v>
      </c>
      <c r="C322" s="18" t="s">
        <v>3251</v>
      </c>
    </row>
    <row r="323" ht="29" spans="1:3">
      <c r="A323" s="26" t="s">
        <v>3241</v>
      </c>
      <c r="B323" s="27" t="s">
        <v>3252</v>
      </c>
      <c r="C323" s="26" t="s">
        <v>3225</v>
      </c>
    </row>
    <row r="324" ht="29" spans="1:3">
      <c r="A324" s="18" t="s">
        <v>3241</v>
      </c>
      <c r="B324" s="19" t="s">
        <v>3253</v>
      </c>
      <c r="C324" s="18" t="s">
        <v>3216</v>
      </c>
    </row>
    <row r="325" ht="29" spans="1:3">
      <c r="A325" s="26" t="s">
        <v>3241</v>
      </c>
      <c r="B325" s="27" t="s">
        <v>3254</v>
      </c>
      <c r="C325" s="26" t="s">
        <v>3255</v>
      </c>
    </row>
    <row r="326" ht="29" spans="1:3">
      <c r="A326" s="18" t="s">
        <v>3241</v>
      </c>
      <c r="B326" s="19" t="s">
        <v>3256</v>
      </c>
      <c r="C326" s="18" t="s">
        <v>3257</v>
      </c>
    </row>
    <row r="327" ht="29" spans="1:3">
      <c r="A327" s="26" t="s">
        <v>2745</v>
      </c>
      <c r="B327" s="27" t="s">
        <v>3258</v>
      </c>
      <c r="C327" s="26" t="s">
        <v>3259</v>
      </c>
    </row>
    <row r="328" ht="29" spans="1:3">
      <c r="A328" s="18" t="s">
        <v>2745</v>
      </c>
      <c r="B328" s="19" t="s">
        <v>3260</v>
      </c>
      <c r="C328" s="18" t="s">
        <v>3261</v>
      </c>
    </row>
    <row r="329" ht="29" spans="1:3">
      <c r="A329" s="26" t="s">
        <v>2745</v>
      </c>
      <c r="B329" s="27" t="s">
        <v>3262</v>
      </c>
      <c r="C329" s="26" t="s">
        <v>3263</v>
      </c>
    </row>
    <row r="330" ht="29" spans="1:3">
      <c r="A330" s="18" t="s">
        <v>2745</v>
      </c>
      <c r="B330" s="19" t="s">
        <v>3264</v>
      </c>
      <c r="C330" s="18" t="s">
        <v>3265</v>
      </c>
    </row>
    <row r="331" ht="29" spans="1:3">
      <c r="A331" s="26" t="s">
        <v>2745</v>
      </c>
      <c r="B331" s="27" t="s">
        <v>3266</v>
      </c>
      <c r="C331" s="26" t="s">
        <v>3267</v>
      </c>
    </row>
    <row r="332" ht="29" spans="1:3">
      <c r="A332" s="18" t="s">
        <v>2745</v>
      </c>
      <c r="B332" s="19" t="s">
        <v>3268</v>
      </c>
      <c r="C332" s="18" t="s">
        <v>3269</v>
      </c>
    </row>
    <row r="333" ht="29" spans="1:3">
      <c r="A333" s="26" t="s">
        <v>3270</v>
      </c>
      <c r="B333" s="27" t="s">
        <v>3271</v>
      </c>
      <c r="C333" s="26" t="s">
        <v>3272</v>
      </c>
    </row>
    <row r="334" ht="29" spans="1:3">
      <c r="A334" s="18" t="s">
        <v>3270</v>
      </c>
      <c r="B334" s="19" t="s">
        <v>3273</v>
      </c>
      <c r="C334" s="18" t="s">
        <v>3274</v>
      </c>
    </row>
    <row r="335" ht="29" spans="1:3">
      <c r="A335" s="26" t="s">
        <v>3270</v>
      </c>
      <c r="B335" s="27" t="s">
        <v>3275</v>
      </c>
      <c r="C335" s="26" t="s">
        <v>3276</v>
      </c>
    </row>
    <row r="336" ht="29" spans="1:3">
      <c r="A336" s="18" t="s">
        <v>3270</v>
      </c>
      <c r="B336" s="19" t="s">
        <v>3277</v>
      </c>
      <c r="C336" s="18" t="s">
        <v>3278</v>
      </c>
    </row>
    <row r="337" ht="29" spans="1:3">
      <c r="A337" s="26" t="s">
        <v>3270</v>
      </c>
      <c r="B337" s="27" t="s">
        <v>3279</v>
      </c>
      <c r="C337" s="26" t="s">
        <v>3280</v>
      </c>
    </row>
    <row r="338" ht="29" spans="1:3">
      <c r="A338" s="18" t="s">
        <v>3270</v>
      </c>
      <c r="B338" s="19" t="s">
        <v>3281</v>
      </c>
      <c r="C338" s="18" t="s">
        <v>3282</v>
      </c>
    </row>
    <row r="339" ht="29" spans="1:3">
      <c r="A339" s="26" t="s">
        <v>3270</v>
      </c>
      <c r="B339" s="27" t="s">
        <v>3283</v>
      </c>
      <c r="C339" s="26" t="s">
        <v>3284</v>
      </c>
    </row>
    <row r="340" ht="29" spans="1:3">
      <c r="A340" s="18" t="s">
        <v>3270</v>
      </c>
      <c r="B340" s="19" t="s">
        <v>3285</v>
      </c>
      <c r="C340" s="18" t="s">
        <v>3286</v>
      </c>
    </row>
    <row r="341" ht="29" spans="1:3">
      <c r="A341" s="26" t="s">
        <v>3287</v>
      </c>
      <c r="B341" s="27" t="s">
        <v>3288</v>
      </c>
      <c r="C341" s="26" t="s">
        <v>3289</v>
      </c>
    </row>
    <row r="342" ht="29" spans="1:3">
      <c r="A342" s="18" t="s">
        <v>3287</v>
      </c>
      <c r="B342" s="19" t="s">
        <v>3290</v>
      </c>
      <c r="C342" s="18" t="s">
        <v>3291</v>
      </c>
    </row>
    <row r="343" ht="29" spans="1:3">
      <c r="A343" s="26" t="s">
        <v>3287</v>
      </c>
      <c r="B343" s="27" t="s">
        <v>3292</v>
      </c>
      <c r="C343" s="26" t="s">
        <v>3293</v>
      </c>
    </row>
    <row r="344" ht="43.5" spans="1:3">
      <c r="A344" s="18" t="s">
        <v>3287</v>
      </c>
      <c r="B344" s="19" t="s">
        <v>3294</v>
      </c>
      <c r="C344" s="18" t="s">
        <v>3295</v>
      </c>
    </row>
    <row r="345" ht="43.5" spans="1:3">
      <c r="A345" s="26" t="s">
        <v>3287</v>
      </c>
      <c r="B345" s="27" t="s">
        <v>3296</v>
      </c>
      <c r="C345" s="26" t="s">
        <v>3297</v>
      </c>
    </row>
    <row r="346" ht="29" spans="1:3">
      <c r="A346" s="18" t="s">
        <v>3287</v>
      </c>
      <c r="B346" s="19" t="s">
        <v>3298</v>
      </c>
      <c r="C346" s="18" t="s">
        <v>3299</v>
      </c>
    </row>
    <row r="347" ht="58" spans="1:3">
      <c r="A347" s="26" t="s">
        <v>3300</v>
      </c>
      <c r="B347" s="27" t="s">
        <v>3301</v>
      </c>
      <c r="C347" s="26" t="s">
        <v>3302</v>
      </c>
    </row>
    <row r="348" ht="58" spans="1:3">
      <c r="A348" s="18" t="s">
        <v>3300</v>
      </c>
      <c r="B348" s="19" t="s">
        <v>3303</v>
      </c>
      <c r="C348" s="18" t="s">
        <v>3304</v>
      </c>
    </row>
    <row r="349" ht="72.5" spans="1:3">
      <c r="A349" s="26" t="s">
        <v>3300</v>
      </c>
      <c r="B349" s="27" t="s">
        <v>3305</v>
      </c>
      <c r="C349" s="26" t="s">
        <v>3306</v>
      </c>
    </row>
    <row r="350" ht="58" spans="1:3">
      <c r="A350" s="18" t="s">
        <v>3300</v>
      </c>
      <c r="B350" s="19" t="s">
        <v>3307</v>
      </c>
      <c r="C350" s="18" t="s">
        <v>3308</v>
      </c>
    </row>
    <row r="351" ht="58" spans="1:3">
      <c r="A351" s="26" t="s">
        <v>3300</v>
      </c>
      <c r="B351" s="27" t="s">
        <v>224</v>
      </c>
      <c r="C351" s="26" t="s">
        <v>3309</v>
      </c>
    </row>
    <row r="352" ht="14.5" spans="1:3">
      <c r="A352" s="18" t="s">
        <v>3300</v>
      </c>
      <c r="B352" s="19" t="s">
        <v>3310</v>
      </c>
      <c r="C352" s="18" t="s">
        <v>3311</v>
      </c>
    </row>
    <row r="353" ht="58" spans="1:3">
      <c r="A353" s="26" t="s">
        <v>3300</v>
      </c>
      <c r="B353" s="27" t="s">
        <v>3312</v>
      </c>
      <c r="C353" s="26" t="s">
        <v>3313</v>
      </c>
    </row>
    <row r="354" ht="29" spans="1:3">
      <c r="A354" s="18" t="s">
        <v>3300</v>
      </c>
      <c r="B354" s="19" t="s">
        <v>3314</v>
      </c>
      <c r="C354" s="18" t="s">
        <v>3315</v>
      </c>
    </row>
    <row r="355" ht="58" spans="1:3">
      <c r="A355" s="26" t="s">
        <v>3300</v>
      </c>
      <c r="B355" s="27" t="s">
        <v>3316</v>
      </c>
      <c r="C355" s="26" t="s">
        <v>3317</v>
      </c>
    </row>
    <row r="356" ht="43.5" spans="1:3">
      <c r="A356" s="18" t="s">
        <v>3300</v>
      </c>
      <c r="B356" s="19" t="s">
        <v>3318</v>
      </c>
      <c r="C356" s="18" t="s">
        <v>3319</v>
      </c>
    </row>
    <row r="357" ht="43.5" spans="1:3">
      <c r="A357" s="26" t="s">
        <v>3300</v>
      </c>
      <c r="B357" s="27" t="s">
        <v>3320</v>
      </c>
      <c r="C357" s="26" t="s">
        <v>3321</v>
      </c>
    </row>
    <row r="358" ht="14.5" spans="1:3">
      <c r="A358" s="18" t="s">
        <v>3322</v>
      </c>
      <c r="B358" s="19" t="s">
        <v>3323</v>
      </c>
      <c r="C358" s="18" t="s">
        <v>3324</v>
      </c>
    </row>
    <row r="359" ht="14.5" spans="1:3">
      <c r="A359" s="26" t="s">
        <v>3322</v>
      </c>
      <c r="B359" s="27" t="s">
        <v>3323</v>
      </c>
      <c r="C359" s="26" t="s">
        <v>3325</v>
      </c>
    </row>
    <row r="360" ht="14.5" spans="1:3">
      <c r="A360" s="18" t="s">
        <v>3322</v>
      </c>
      <c r="B360" s="19" t="s">
        <v>3326</v>
      </c>
      <c r="C360" s="18" t="s">
        <v>3327</v>
      </c>
    </row>
    <row r="361" ht="14.5" spans="1:3">
      <c r="A361" s="26" t="s">
        <v>3322</v>
      </c>
      <c r="B361" s="27" t="s">
        <v>3328</v>
      </c>
      <c r="C361" s="26" t="s">
        <v>3327</v>
      </c>
    </row>
    <row r="362" ht="14.5" spans="1:3">
      <c r="A362" s="18" t="s">
        <v>3322</v>
      </c>
      <c r="B362" s="19" t="s">
        <v>3329</v>
      </c>
      <c r="C362" s="18" t="s">
        <v>3327</v>
      </c>
    </row>
    <row r="363" ht="14.5" spans="1:3">
      <c r="A363" s="26" t="s">
        <v>3322</v>
      </c>
      <c r="B363" s="27" t="s">
        <v>3330</v>
      </c>
      <c r="C363" s="26" t="s">
        <v>3327</v>
      </c>
    </row>
    <row r="364" ht="14.5" spans="1:3">
      <c r="A364" s="18" t="s">
        <v>3322</v>
      </c>
      <c r="B364" s="19" t="s">
        <v>3331</v>
      </c>
      <c r="C364" s="18" t="s">
        <v>3327</v>
      </c>
    </row>
    <row r="365" ht="29" spans="1:3">
      <c r="A365" s="26" t="s">
        <v>3322</v>
      </c>
      <c r="B365" s="27" t="s">
        <v>3331</v>
      </c>
      <c r="C365" s="26" t="s">
        <v>3332</v>
      </c>
    </row>
    <row r="366" ht="14.5" spans="1:3">
      <c r="A366" s="18" t="s">
        <v>3322</v>
      </c>
      <c r="B366" s="19" t="s">
        <v>3333</v>
      </c>
      <c r="C366" s="18" t="s">
        <v>3327</v>
      </c>
    </row>
    <row r="367" ht="14.5" spans="1:3">
      <c r="A367" s="26" t="s">
        <v>3322</v>
      </c>
      <c r="B367" s="27" t="s">
        <v>3333</v>
      </c>
      <c r="C367" s="26" t="s">
        <v>3334</v>
      </c>
    </row>
    <row r="368" ht="14.5" spans="1:3">
      <c r="A368" s="18" t="s">
        <v>3322</v>
      </c>
      <c r="B368" s="19" t="s">
        <v>3335</v>
      </c>
      <c r="C368" s="18" t="s">
        <v>3336</v>
      </c>
    </row>
    <row r="369" ht="14.5" spans="1:3">
      <c r="A369" s="26" t="s">
        <v>3322</v>
      </c>
      <c r="B369" s="27" t="s">
        <v>3337</v>
      </c>
      <c r="C369" s="26" t="s">
        <v>3336</v>
      </c>
    </row>
    <row r="370" ht="14.5" spans="1:3">
      <c r="A370" s="18" t="s">
        <v>3322</v>
      </c>
      <c r="B370" s="19" t="s">
        <v>3338</v>
      </c>
      <c r="C370" s="18" t="s">
        <v>3336</v>
      </c>
    </row>
    <row r="371" ht="14.5" spans="1:3">
      <c r="A371" s="26" t="s">
        <v>3322</v>
      </c>
      <c r="B371" s="27" t="s">
        <v>3338</v>
      </c>
      <c r="C371" s="26" t="s">
        <v>3339</v>
      </c>
    </row>
    <row r="372" ht="14.5" spans="1:3">
      <c r="A372" s="18" t="s">
        <v>3322</v>
      </c>
      <c r="B372" s="19" t="s">
        <v>3340</v>
      </c>
      <c r="C372" s="18" t="s">
        <v>3341</v>
      </c>
    </row>
    <row r="373" ht="14.5" spans="1:3">
      <c r="A373" s="26" t="s">
        <v>3322</v>
      </c>
      <c r="B373" s="27" t="s">
        <v>3340</v>
      </c>
      <c r="C373" s="26" t="s">
        <v>3342</v>
      </c>
    </row>
    <row r="374" ht="14.5" spans="1:3">
      <c r="A374" s="18" t="s">
        <v>3322</v>
      </c>
      <c r="B374" s="19" t="s">
        <v>3343</v>
      </c>
      <c r="C374" s="18" t="s">
        <v>3344</v>
      </c>
    </row>
    <row r="375" ht="14.5" spans="1:3">
      <c r="A375" s="26" t="s">
        <v>3322</v>
      </c>
      <c r="B375" s="27" t="s">
        <v>3343</v>
      </c>
      <c r="C375" s="26" t="s">
        <v>3345</v>
      </c>
    </row>
    <row r="376" ht="14.5" spans="1:3">
      <c r="A376" s="18" t="s">
        <v>3346</v>
      </c>
      <c r="B376" s="19" t="s">
        <v>3347</v>
      </c>
      <c r="C376" s="18" t="s">
        <v>3324</v>
      </c>
    </row>
    <row r="377" ht="14.5" spans="1:3">
      <c r="A377" s="26" t="s">
        <v>3346</v>
      </c>
      <c r="B377" s="27" t="s">
        <v>3347</v>
      </c>
      <c r="C377" s="26" t="s">
        <v>3348</v>
      </c>
    </row>
    <row r="378" ht="14.5" spans="1:3">
      <c r="A378" s="18" t="s">
        <v>3346</v>
      </c>
      <c r="B378" s="19" t="s">
        <v>3349</v>
      </c>
      <c r="C378" s="18" t="s">
        <v>3324</v>
      </c>
    </row>
    <row r="379" ht="43.5" spans="1:3">
      <c r="A379" s="26" t="s">
        <v>3346</v>
      </c>
      <c r="B379" s="27" t="s">
        <v>3349</v>
      </c>
      <c r="C379" s="26" t="s">
        <v>3350</v>
      </c>
    </row>
    <row r="380" ht="14.5" spans="1:3">
      <c r="A380" s="18" t="s">
        <v>3346</v>
      </c>
      <c r="B380" s="19" t="s">
        <v>3351</v>
      </c>
      <c r="C380" s="18" t="s">
        <v>3324</v>
      </c>
    </row>
    <row r="381" ht="14.5" spans="1:3">
      <c r="A381" s="26" t="s">
        <v>3346</v>
      </c>
      <c r="B381" s="27" t="s">
        <v>3351</v>
      </c>
      <c r="C381" s="26" t="s">
        <v>3352</v>
      </c>
    </row>
    <row r="382" ht="14.5" spans="1:3">
      <c r="A382" s="18" t="s">
        <v>3346</v>
      </c>
      <c r="B382" s="19" t="s">
        <v>3353</v>
      </c>
      <c r="C382" s="18" t="s">
        <v>3327</v>
      </c>
    </row>
    <row r="383" ht="43.5" spans="1:3">
      <c r="A383" s="26" t="s">
        <v>3346</v>
      </c>
      <c r="B383" s="27" t="s">
        <v>3353</v>
      </c>
      <c r="C383" s="26" t="s">
        <v>3354</v>
      </c>
    </row>
    <row r="384" ht="14.5" spans="1:3">
      <c r="A384" s="18" t="s">
        <v>3346</v>
      </c>
      <c r="B384" s="19" t="s">
        <v>3355</v>
      </c>
      <c r="C384" s="18" t="s">
        <v>3327</v>
      </c>
    </row>
    <row r="385" ht="14.5" spans="1:3">
      <c r="A385" s="26" t="s">
        <v>3346</v>
      </c>
      <c r="B385" s="27" t="s">
        <v>3355</v>
      </c>
      <c r="C385" s="26" t="s">
        <v>3356</v>
      </c>
    </row>
    <row r="386" ht="14.5" spans="1:3">
      <c r="A386" s="18" t="s">
        <v>3346</v>
      </c>
      <c r="B386" s="19" t="s">
        <v>3357</v>
      </c>
      <c r="C386" s="18" t="s">
        <v>3336</v>
      </c>
    </row>
    <row r="387" ht="14.5" spans="1:3">
      <c r="A387" s="26" t="s">
        <v>3346</v>
      </c>
      <c r="B387" s="27" t="s">
        <v>3357</v>
      </c>
      <c r="C387" s="26" t="s">
        <v>3358</v>
      </c>
    </row>
    <row r="388" ht="14.5" spans="1:3">
      <c r="A388" s="18" t="s">
        <v>3346</v>
      </c>
      <c r="B388" s="19" t="s">
        <v>3359</v>
      </c>
      <c r="C388" s="18" t="s">
        <v>3341</v>
      </c>
    </row>
    <row r="389" ht="29" spans="1:3">
      <c r="A389" s="26" t="s">
        <v>3346</v>
      </c>
      <c r="B389" s="27" t="s">
        <v>3359</v>
      </c>
      <c r="C389" s="26" t="s">
        <v>3360</v>
      </c>
    </row>
    <row r="390" ht="14.5" spans="1:3">
      <c r="A390" s="18" t="s">
        <v>3361</v>
      </c>
      <c r="B390" s="19" t="s">
        <v>3362</v>
      </c>
      <c r="C390" s="18" t="s">
        <v>3324</v>
      </c>
    </row>
    <row r="391" ht="14.5" spans="1:3">
      <c r="A391" s="26" t="s">
        <v>3361</v>
      </c>
      <c r="B391" s="27" t="s">
        <v>3362</v>
      </c>
      <c r="C391" s="26" t="s">
        <v>3334</v>
      </c>
    </row>
    <row r="392" ht="14.5" spans="1:3">
      <c r="A392" s="18" t="s">
        <v>3361</v>
      </c>
      <c r="B392" s="19" t="s">
        <v>3363</v>
      </c>
      <c r="C392" s="18" t="s">
        <v>3327</v>
      </c>
    </row>
    <row r="393" ht="14.5" spans="1:3">
      <c r="A393" s="26" t="s">
        <v>3361</v>
      </c>
      <c r="B393" s="27" t="s">
        <v>3363</v>
      </c>
      <c r="C393" s="26" t="s">
        <v>3364</v>
      </c>
    </row>
    <row r="394" ht="14.5" spans="1:3">
      <c r="A394" s="18" t="s">
        <v>3361</v>
      </c>
      <c r="B394" s="19" t="s">
        <v>3365</v>
      </c>
      <c r="C394" s="18" t="s">
        <v>3327</v>
      </c>
    </row>
    <row r="395" ht="14.5" spans="1:3">
      <c r="A395" s="26" t="s">
        <v>3361</v>
      </c>
      <c r="B395" s="27" t="s">
        <v>3365</v>
      </c>
      <c r="C395" s="26" t="s">
        <v>3366</v>
      </c>
    </row>
    <row r="396" ht="14.5" spans="1:3">
      <c r="A396" s="18" t="s">
        <v>3367</v>
      </c>
      <c r="B396" s="19" t="s">
        <v>3368</v>
      </c>
      <c r="C396" s="18" t="s">
        <v>3324</v>
      </c>
    </row>
    <row r="397" ht="14.5" spans="1:3">
      <c r="A397" s="26" t="s">
        <v>3367</v>
      </c>
      <c r="B397" s="27" t="s">
        <v>3368</v>
      </c>
      <c r="C397" s="26" t="s">
        <v>3369</v>
      </c>
    </row>
    <row r="398" ht="14.5" spans="1:3">
      <c r="A398" s="18" t="s">
        <v>3367</v>
      </c>
      <c r="B398" s="19" t="s">
        <v>3370</v>
      </c>
      <c r="C398" s="18" t="s">
        <v>3324</v>
      </c>
    </row>
    <row r="399" ht="29" spans="1:3">
      <c r="A399" s="26" t="s">
        <v>3367</v>
      </c>
      <c r="B399" s="27" t="s">
        <v>3370</v>
      </c>
      <c r="C399" s="26" t="s">
        <v>3371</v>
      </c>
    </row>
    <row r="400" ht="14.5" spans="1:3">
      <c r="A400" s="18" t="s">
        <v>3367</v>
      </c>
      <c r="B400" s="19" t="s">
        <v>3372</v>
      </c>
      <c r="C400" s="18" t="s">
        <v>3324</v>
      </c>
    </row>
    <row r="401" ht="14.5" spans="1:3">
      <c r="A401" s="26" t="s">
        <v>3367</v>
      </c>
      <c r="B401" s="27" t="s">
        <v>3372</v>
      </c>
      <c r="C401" s="26" t="s">
        <v>3373</v>
      </c>
    </row>
    <row r="402" ht="14.5" spans="1:3">
      <c r="A402" s="18" t="s">
        <v>3367</v>
      </c>
      <c r="B402" s="19" t="s">
        <v>3374</v>
      </c>
      <c r="C402" s="18" t="s">
        <v>3324</v>
      </c>
    </row>
    <row r="403" ht="29" spans="1:3">
      <c r="A403" s="26" t="s">
        <v>3367</v>
      </c>
      <c r="B403" s="27" t="s">
        <v>3374</v>
      </c>
      <c r="C403" s="26" t="s">
        <v>3375</v>
      </c>
    </row>
    <row r="404" ht="14.5" spans="1:3">
      <c r="A404" s="18" t="s">
        <v>3367</v>
      </c>
      <c r="B404" s="19" t="s">
        <v>3376</v>
      </c>
      <c r="C404" s="18" t="s">
        <v>3324</v>
      </c>
    </row>
    <row r="405" ht="29" spans="1:3">
      <c r="A405" s="26" t="s">
        <v>3367</v>
      </c>
      <c r="B405" s="27" t="s">
        <v>3376</v>
      </c>
      <c r="C405" s="26" t="s">
        <v>3377</v>
      </c>
    </row>
    <row r="406" ht="14.5" spans="1:3">
      <c r="A406" s="18" t="s">
        <v>3367</v>
      </c>
      <c r="B406" s="19" t="s">
        <v>3378</v>
      </c>
      <c r="C406" s="18" t="s">
        <v>3327</v>
      </c>
    </row>
    <row r="407" ht="14.5" spans="1:3">
      <c r="A407" s="26" t="s">
        <v>3367</v>
      </c>
      <c r="B407" s="27" t="s">
        <v>3378</v>
      </c>
      <c r="C407" s="26" t="s">
        <v>3379</v>
      </c>
    </row>
    <row r="408" ht="14.5" spans="1:3">
      <c r="A408" s="18" t="s">
        <v>3367</v>
      </c>
      <c r="B408" s="19" t="s">
        <v>3380</v>
      </c>
      <c r="C408" s="18" t="s">
        <v>3327</v>
      </c>
    </row>
    <row r="409" ht="14.5" spans="1:3">
      <c r="A409" s="26" t="s">
        <v>3367</v>
      </c>
      <c r="B409" s="27" t="s">
        <v>3380</v>
      </c>
      <c r="C409" s="26" t="s">
        <v>3381</v>
      </c>
    </row>
    <row r="410" ht="14.5" spans="1:3">
      <c r="A410" s="18" t="s">
        <v>3367</v>
      </c>
      <c r="B410" s="19" t="s">
        <v>3382</v>
      </c>
      <c r="C410" s="18" t="s">
        <v>3327</v>
      </c>
    </row>
    <row r="411" ht="29" spans="1:3">
      <c r="A411" s="26" t="s">
        <v>3367</v>
      </c>
      <c r="B411" s="27" t="s">
        <v>3382</v>
      </c>
      <c r="C411" s="26" t="s">
        <v>3383</v>
      </c>
    </row>
    <row r="412" ht="14.5" spans="1:3">
      <c r="A412" s="18" t="s">
        <v>3367</v>
      </c>
      <c r="B412" s="19" t="s">
        <v>3384</v>
      </c>
      <c r="C412" s="18" t="s">
        <v>3327</v>
      </c>
    </row>
    <row r="413" ht="58" spans="1:3">
      <c r="A413" s="26" t="s">
        <v>3367</v>
      </c>
      <c r="B413" s="27" t="s">
        <v>3384</v>
      </c>
      <c r="C413" s="26" t="s">
        <v>3385</v>
      </c>
    </row>
    <row r="414" ht="14.5" spans="1:3">
      <c r="A414" s="18" t="s">
        <v>3367</v>
      </c>
      <c r="B414" s="19" t="s">
        <v>3386</v>
      </c>
      <c r="C414" s="18" t="s">
        <v>3327</v>
      </c>
    </row>
    <row r="415" ht="29" spans="1:3">
      <c r="A415" s="26" t="s">
        <v>3367</v>
      </c>
      <c r="B415" s="27" t="s">
        <v>3386</v>
      </c>
      <c r="C415" s="26" t="s">
        <v>3387</v>
      </c>
    </row>
    <row r="416" ht="14.5" spans="1:3">
      <c r="A416" s="18" t="s">
        <v>3367</v>
      </c>
      <c r="B416" s="19" t="s">
        <v>3388</v>
      </c>
      <c r="C416" s="18" t="s">
        <v>3336</v>
      </c>
    </row>
    <row r="417" ht="14.5" spans="1:3">
      <c r="A417" s="26" t="s">
        <v>3367</v>
      </c>
      <c r="B417" s="27" t="s">
        <v>3388</v>
      </c>
      <c r="C417" s="26" t="s">
        <v>3389</v>
      </c>
    </row>
    <row r="418" ht="14.5" spans="1:3">
      <c r="A418" s="18" t="s">
        <v>3367</v>
      </c>
      <c r="B418" s="19" t="s">
        <v>3390</v>
      </c>
      <c r="C418" s="18" t="s">
        <v>3336</v>
      </c>
    </row>
    <row r="419" ht="14.5" spans="1:3">
      <c r="A419" s="26" t="s">
        <v>3367</v>
      </c>
      <c r="B419" s="27" t="s">
        <v>3390</v>
      </c>
      <c r="C419" s="26" t="s">
        <v>3391</v>
      </c>
    </row>
    <row r="420" ht="14.5" spans="1:3">
      <c r="A420" s="18" t="s">
        <v>3392</v>
      </c>
      <c r="B420" s="19" t="s">
        <v>3393</v>
      </c>
      <c r="C420" s="18" t="s">
        <v>3327</v>
      </c>
    </row>
    <row r="421" ht="14.5" spans="1:3">
      <c r="A421" s="26" t="s">
        <v>3392</v>
      </c>
      <c r="B421" s="27" t="s">
        <v>3393</v>
      </c>
      <c r="C421" s="26" t="s">
        <v>3394</v>
      </c>
    </row>
    <row r="422" ht="14.5" spans="1:3">
      <c r="A422" s="18" t="s">
        <v>3392</v>
      </c>
      <c r="B422" s="19" t="s">
        <v>3395</v>
      </c>
      <c r="C422" s="18" t="s">
        <v>3336</v>
      </c>
    </row>
    <row r="423" ht="14.5" spans="1:3">
      <c r="A423" s="26" t="s">
        <v>3392</v>
      </c>
      <c r="B423" s="27" t="s">
        <v>3395</v>
      </c>
      <c r="C423" s="26" t="s">
        <v>3394</v>
      </c>
    </row>
    <row r="424" ht="14.5" spans="1:3">
      <c r="A424" s="18" t="s">
        <v>3392</v>
      </c>
      <c r="B424" s="19" t="s">
        <v>3396</v>
      </c>
      <c r="C424" s="18" t="s">
        <v>3341</v>
      </c>
    </row>
    <row r="425" ht="14.5" spans="1:3">
      <c r="A425" s="26" t="s">
        <v>3392</v>
      </c>
      <c r="B425" s="27" t="s">
        <v>3396</v>
      </c>
      <c r="C425" s="26" t="s">
        <v>3394</v>
      </c>
    </row>
    <row r="426" ht="43.5" spans="1:3">
      <c r="A426" s="18" t="s">
        <v>3392</v>
      </c>
      <c r="B426" s="19" t="s">
        <v>3397</v>
      </c>
      <c r="C426" s="18" t="s">
        <v>3341</v>
      </c>
    </row>
    <row r="427" ht="43.5" spans="1:3">
      <c r="A427" s="26" t="s">
        <v>3392</v>
      </c>
      <c r="B427" s="27" t="s">
        <v>3397</v>
      </c>
      <c r="C427" s="26" t="s">
        <v>3398</v>
      </c>
    </row>
    <row r="428" ht="14.5" spans="1:3">
      <c r="A428" s="18" t="s">
        <v>3399</v>
      </c>
      <c r="B428" s="19" t="s">
        <v>3400</v>
      </c>
      <c r="C428" s="18" t="s">
        <v>3327</v>
      </c>
    </row>
    <row r="429" ht="14.5" spans="1:3">
      <c r="A429" s="26" t="s">
        <v>3399</v>
      </c>
      <c r="B429" s="27" t="s">
        <v>3400</v>
      </c>
      <c r="C429" s="26" t="s">
        <v>3401</v>
      </c>
    </row>
    <row r="430" ht="14.5" spans="1:3">
      <c r="A430" s="18" t="s">
        <v>3399</v>
      </c>
      <c r="B430" s="19" t="s">
        <v>3402</v>
      </c>
      <c r="C430" s="18" t="s">
        <v>3327</v>
      </c>
    </row>
    <row r="431" ht="43.5" spans="1:3">
      <c r="A431" s="26" t="s">
        <v>3399</v>
      </c>
      <c r="B431" s="27" t="s">
        <v>3402</v>
      </c>
      <c r="C431" s="26" t="s">
        <v>3403</v>
      </c>
    </row>
    <row r="432" ht="14.5" spans="1:3">
      <c r="A432" s="18" t="s">
        <v>3399</v>
      </c>
      <c r="B432" s="19" t="s">
        <v>3404</v>
      </c>
      <c r="C432" s="18" t="s">
        <v>3327</v>
      </c>
    </row>
    <row r="433" ht="29" spans="1:3">
      <c r="A433" s="26" t="s">
        <v>3399</v>
      </c>
      <c r="B433" s="27" t="s">
        <v>3404</v>
      </c>
      <c r="C433" s="26" t="s">
        <v>3405</v>
      </c>
    </row>
    <row r="434" ht="14.5" spans="1:3">
      <c r="A434" s="18" t="s">
        <v>3399</v>
      </c>
      <c r="B434" s="19" t="s">
        <v>3406</v>
      </c>
      <c r="C434" s="18" t="s">
        <v>3327</v>
      </c>
    </row>
    <row r="435" ht="58" spans="1:3">
      <c r="A435" s="26" t="s">
        <v>3399</v>
      </c>
      <c r="B435" s="27" t="s">
        <v>3406</v>
      </c>
      <c r="C435" s="26" t="s">
        <v>3407</v>
      </c>
    </row>
    <row r="436" ht="14.5" spans="1:3">
      <c r="A436" s="18" t="s">
        <v>3399</v>
      </c>
      <c r="B436" s="19" t="s">
        <v>3408</v>
      </c>
      <c r="C436" s="18" t="s">
        <v>3327</v>
      </c>
    </row>
    <row r="437" ht="14.5" spans="1:3">
      <c r="A437" s="26" t="s">
        <v>3399</v>
      </c>
      <c r="B437" s="27" t="s">
        <v>3408</v>
      </c>
      <c r="C437" s="26" t="s">
        <v>3409</v>
      </c>
    </row>
    <row r="438" ht="14.5" spans="1:3">
      <c r="A438" s="18" t="s">
        <v>3399</v>
      </c>
      <c r="B438" s="19" t="s">
        <v>3410</v>
      </c>
      <c r="C438" s="18" t="s">
        <v>3336</v>
      </c>
    </row>
    <row r="439" ht="14.5" spans="1:3">
      <c r="A439" s="26" t="s">
        <v>3399</v>
      </c>
      <c r="B439" s="27" t="s">
        <v>3410</v>
      </c>
      <c r="C439" s="26" t="s">
        <v>3411</v>
      </c>
    </row>
    <row r="440" ht="14.5" spans="1:3">
      <c r="A440" s="18" t="s">
        <v>3399</v>
      </c>
      <c r="B440" s="19" t="s">
        <v>3412</v>
      </c>
      <c r="C440" s="18" t="s">
        <v>3336</v>
      </c>
    </row>
    <row r="441" ht="29" spans="1:3">
      <c r="A441" s="26" t="s">
        <v>3399</v>
      </c>
      <c r="B441" s="27" t="s">
        <v>3412</v>
      </c>
      <c r="C441" s="26" t="s">
        <v>3413</v>
      </c>
    </row>
    <row r="442" ht="29" spans="1:3">
      <c r="A442" s="18" t="s">
        <v>3399</v>
      </c>
      <c r="B442" s="19" t="s">
        <v>3414</v>
      </c>
      <c r="C442" s="18" t="s">
        <v>3341</v>
      </c>
    </row>
    <row r="443" ht="43.5" spans="1:3">
      <c r="A443" s="26" t="s">
        <v>3399</v>
      </c>
      <c r="B443" s="27" t="s">
        <v>3414</v>
      </c>
      <c r="C443" s="26" t="s">
        <v>3415</v>
      </c>
    </row>
    <row r="444" ht="29" spans="1:3">
      <c r="A444" s="18" t="s">
        <v>3416</v>
      </c>
      <c r="B444" s="19" t="s">
        <v>3417</v>
      </c>
      <c r="C444" s="18" t="s">
        <v>3324</v>
      </c>
    </row>
    <row r="445" ht="29" spans="1:3">
      <c r="A445" s="26" t="s">
        <v>3416</v>
      </c>
      <c r="B445" s="27" t="s">
        <v>3417</v>
      </c>
      <c r="C445" s="26" t="s">
        <v>3418</v>
      </c>
    </row>
    <row r="446" ht="29" spans="1:3">
      <c r="A446" s="18" t="s">
        <v>3416</v>
      </c>
      <c r="B446" s="19" t="s">
        <v>3419</v>
      </c>
      <c r="C446" s="18" t="s">
        <v>3327</v>
      </c>
    </row>
    <row r="447" ht="29" spans="1:3">
      <c r="A447" s="26" t="s">
        <v>3416</v>
      </c>
      <c r="B447" s="27" t="s">
        <v>3419</v>
      </c>
      <c r="C447" s="26" t="s">
        <v>3418</v>
      </c>
    </row>
    <row r="448" ht="29" spans="1:3">
      <c r="A448" s="18" t="s">
        <v>3416</v>
      </c>
      <c r="B448" s="19" t="s">
        <v>3420</v>
      </c>
      <c r="C448" s="18" t="s">
        <v>3327</v>
      </c>
    </row>
    <row r="449" ht="14.5" spans="1:3">
      <c r="A449" s="26" t="s">
        <v>3416</v>
      </c>
      <c r="B449" s="27" t="s">
        <v>3421</v>
      </c>
      <c r="C449" s="26" t="s">
        <v>3327</v>
      </c>
    </row>
    <row r="450" ht="14.5" spans="1:3">
      <c r="A450" s="18" t="s">
        <v>3416</v>
      </c>
      <c r="B450" s="19" t="s">
        <v>3422</v>
      </c>
      <c r="C450" s="18" t="s">
        <v>3336</v>
      </c>
    </row>
    <row r="451" ht="14.5" spans="1:3">
      <c r="A451" s="26" t="s">
        <v>3416</v>
      </c>
      <c r="B451" s="27" t="s">
        <v>3422</v>
      </c>
      <c r="C451" s="26" t="s">
        <v>3423</v>
      </c>
    </row>
    <row r="452" ht="14.5" spans="1:3">
      <c r="A452" s="18" t="s">
        <v>3424</v>
      </c>
      <c r="B452" s="19" t="s">
        <v>3425</v>
      </c>
      <c r="C452" s="18" t="s">
        <v>3324</v>
      </c>
    </row>
    <row r="453" ht="14.5" spans="1:3">
      <c r="A453" s="26" t="s">
        <v>3424</v>
      </c>
      <c r="B453" s="27" t="s">
        <v>3426</v>
      </c>
      <c r="C453" s="26" t="s">
        <v>3327</v>
      </c>
    </row>
    <row r="454" ht="14.5" spans="1:3">
      <c r="A454" s="18" t="s">
        <v>3424</v>
      </c>
      <c r="B454" s="19" t="s">
        <v>3427</v>
      </c>
      <c r="C454" s="18" t="s">
        <v>3327</v>
      </c>
    </row>
    <row r="455" ht="29" spans="1:3">
      <c r="A455" s="26" t="s">
        <v>3424</v>
      </c>
      <c r="B455" s="27" t="s">
        <v>3428</v>
      </c>
      <c r="C455" s="26" t="s">
        <v>3336</v>
      </c>
    </row>
    <row r="456" ht="14.5" spans="1:3">
      <c r="A456" s="18" t="s">
        <v>3424</v>
      </c>
      <c r="B456" s="19" t="s">
        <v>3429</v>
      </c>
      <c r="C456" s="18" t="s">
        <v>3336</v>
      </c>
    </row>
    <row r="457" ht="29" spans="1:3">
      <c r="A457" s="26" t="s">
        <v>3424</v>
      </c>
      <c r="B457" s="27" t="s">
        <v>3430</v>
      </c>
      <c r="C457" s="26" t="s">
        <v>3341</v>
      </c>
    </row>
    <row r="458" ht="14.5" spans="1:3">
      <c r="A458" s="18" t="s">
        <v>3424</v>
      </c>
      <c r="B458" s="19" t="s">
        <v>3431</v>
      </c>
      <c r="C458" s="18" t="s">
        <v>3344</v>
      </c>
    </row>
    <row r="459" ht="14.5" spans="1:3">
      <c r="A459" s="26" t="s">
        <v>3432</v>
      </c>
      <c r="B459" s="27" t="s">
        <v>3433</v>
      </c>
      <c r="C459" s="26" t="s">
        <v>3324</v>
      </c>
    </row>
    <row r="460" ht="14.5" spans="1:3">
      <c r="A460" s="18" t="s">
        <v>3432</v>
      </c>
      <c r="B460" s="19" t="s">
        <v>3434</v>
      </c>
      <c r="C460" s="18" t="s">
        <v>3327</v>
      </c>
    </row>
    <row r="461" ht="14.5" spans="1:3">
      <c r="A461" s="26" t="s">
        <v>3432</v>
      </c>
      <c r="B461" s="27" t="s">
        <v>3435</v>
      </c>
      <c r="C461" s="26" t="s">
        <v>3336</v>
      </c>
    </row>
    <row r="462" ht="14.5" spans="1:3">
      <c r="A462" s="18" t="s">
        <v>3432</v>
      </c>
      <c r="B462" s="19" t="s">
        <v>3436</v>
      </c>
      <c r="C462" s="18" t="s">
        <v>3341</v>
      </c>
    </row>
    <row r="463" ht="14.5" spans="1:3">
      <c r="A463" s="26" t="s">
        <v>3432</v>
      </c>
      <c r="B463" s="27" t="s">
        <v>3437</v>
      </c>
      <c r="C463" s="26" t="s">
        <v>3344</v>
      </c>
    </row>
    <row r="464" ht="14.5" spans="1:3">
      <c r="A464" s="18" t="s">
        <v>3438</v>
      </c>
      <c r="B464" s="19" t="s">
        <v>3439</v>
      </c>
      <c r="C464" s="18" t="s">
        <v>3336</v>
      </c>
    </row>
    <row r="465" ht="14.5" spans="1:3">
      <c r="A465" s="26" t="s">
        <v>3438</v>
      </c>
      <c r="B465" s="27" t="s">
        <v>3439</v>
      </c>
      <c r="C465" s="26" t="s">
        <v>3440</v>
      </c>
    </row>
    <row r="466" ht="29" spans="1:3">
      <c r="A466" s="18" t="s">
        <v>3438</v>
      </c>
      <c r="B466" s="19" t="s">
        <v>3441</v>
      </c>
      <c r="C466" s="18" t="s">
        <v>3341</v>
      </c>
    </row>
    <row r="467" ht="29" spans="1:3">
      <c r="A467" s="26" t="s">
        <v>3438</v>
      </c>
      <c r="B467" s="27" t="s">
        <v>3441</v>
      </c>
      <c r="C467" s="26" t="s">
        <v>3440</v>
      </c>
    </row>
    <row r="468" ht="14.5" spans="1:3">
      <c r="A468" s="18" t="s">
        <v>3438</v>
      </c>
      <c r="B468" s="19" t="s">
        <v>3442</v>
      </c>
      <c r="C468" s="18" t="s">
        <v>3344</v>
      </c>
    </row>
    <row r="469" ht="14.5" spans="1:3">
      <c r="A469" s="26" t="s">
        <v>3438</v>
      </c>
      <c r="B469" s="27" t="s">
        <v>3442</v>
      </c>
      <c r="C469" s="26" t="s">
        <v>3440</v>
      </c>
    </row>
    <row r="470" ht="14.5" spans="1:3">
      <c r="A470" s="18" t="s">
        <v>3443</v>
      </c>
      <c r="B470" s="19" t="s">
        <v>3444</v>
      </c>
      <c r="C470" s="18" t="s">
        <v>3324</v>
      </c>
    </row>
    <row r="471" ht="14.5" spans="1:3">
      <c r="A471" s="26" t="s">
        <v>3443</v>
      </c>
      <c r="B471" s="27" t="s">
        <v>3445</v>
      </c>
      <c r="C471" s="26" t="s">
        <v>3327</v>
      </c>
    </row>
    <row r="472" ht="14.5" spans="1:3">
      <c r="A472" s="18" t="s">
        <v>3443</v>
      </c>
      <c r="B472" s="19" t="s">
        <v>3446</v>
      </c>
      <c r="C472" s="18" t="s">
        <v>3336</v>
      </c>
    </row>
    <row r="473" ht="14.5" spans="1:3">
      <c r="A473" s="26" t="s">
        <v>3447</v>
      </c>
      <c r="B473" s="27" t="s">
        <v>3448</v>
      </c>
      <c r="C473" s="26" t="s">
        <v>3324</v>
      </c>
    </row>
    <row r="474" ht="29" spans="1:3">
      <c r="A474" s="18" t="s">
        <v>3447</v>
      </c>
      <c r="B474" s="19" t="s">
        <v>3448</v>
      </c>
      <c r="C474" s="18" t="s">
        <v>3449</v>
      </c>
    </row>
    <row r="475" ht="14.5" spans="1:3">
      <c r="A475" s="26" t="s">
        <v>3447</v>
      </c>
      <c r="B475" s="27" t="s">
        <v>3450</v>
      </c>
      <c r="C475" s="26" t="s">
        <v>3324</v>
      </c>
    </row>
    <row r="476" ht="29" spans="1:3">
      <c r="A476" s="18" t="s">
        <v>3447</v>
      </c>
      <c r="B476" s="19" t="s">
        <v>3450</v>
      </c>
      <c r="C476" s="18" t="s">
        <v>3451</v>
      </c>
    </row>
    <row r="477" ht="14.5" spans="1:3">
      <c r="A477" s="26" t="s">
        <v>3452</v>
      </c>
      <c r="B477" s="27" t="s">
        <v>3453</v>
      </c>
      <c r="C477" s="26" t="s">
        <v>3324</v>
      </c>
    </row>
    <row r="478" ht="29" spans="1:3">
      <c r="A478" s="18" t="s">
        <v>3452</v>
      </c>
      <c r="B478" s="19" t="s">
        <v>3454</v>
      </c>
      <c r="C478" s="18" t="s">
        <v>3324</v>
      </c>
    </row>
    <row r="479" ht="14.5" spans="1:3">
      <c r="A479" s="26" t="s">
        <v>3452</v>
      </c>
      <c r="B479" s="27" t="s">
        <v>3455</v>
      </c>
      <c r="C479" s="26" t="s">
        <v>3327</v>
      </c>
    </row>
    <row r="480" ht="29" spans="1:3">
      <c r="A480" s="18" t="s">
        <v>3452</v>
      </c>
      <c r="B480" s="19" t="s">
        <v>3456</v>
      </c>
      <c r="C480" s="18" t="s">
        <v>3327</v>
      </c>
    </row>
    <row r="481" ht="29" spans="1:3">
      <c r="A481" s="26" t="s">
        <v>3452</v>
      </c>
      <c r="B481" s="27" t="s">
        <v>3457</v>
      </c>
      <c r="C481" s="26" t="s">
        <v>3341</v>
      </c>
    </row>
    <row r="482" ht="14.5" spans="1:3">
      <c r="A482" s="18" t="s">
        <v>3458</v>
      </c>
      <c r="B482" s="19" t="s">
        <v>3459</v>
      </c>
      <c r="C482" s="18" t="s">
        <v>3324</v>
      </c>
    </row>
    <row r="483" ht="14.5" spans="1:3">
      <c r="A483" s="26" t="s">
        <v>3458</v>
      </c>
      <c r="B483" s="27" t="s">
        <v>3460</v>
      </c>
      <c r="C483" s="26" t="s">
        <v>3324</v>
      </c>
    </row>
    <row r="484" ht="14.5" spans="1:3">
      <c r="A484" s="18" t="s">
        <v>3458</v>
      </c>
      <c r="B484" s="19" t="s">
        <v>3461</v>
      </c>
      <c r="C484" s="18" t="s">
        <v>3324</v>
      </c>
    </row>
    <row r="485" ht="14.5" spans="1:3">
      <c r="A485" s="26" t="s">
        <v>3458</v>
      </c>
      <c r="B485" s="27" t="s">
        <v>3461</v>
      </c>
      <c r="C485" s="26" t="s">
        <v>3462</v>
      </c>
    </row>
    <row r="486" ht="14.5" spans="1:3">
      <c r="A486" s="18" t="s">
        <v>3458</v>
      </c>
      <c r="B486" s="19" t="s">
        <v>3463</v>
      </c>
      <c r="C486" s="18" t="s">
        <v>3327</v>
      </c>
    </row>
    <row r="487" ht="14.5" spans="1:3">
      <c r="A487" s="26" t="s">
        <v>3458</v>
      </c>
      <c r="B487" s="27" t="s">
        <v>3464</v>
      </c>
      <c r="C487" s="26" t="s">
        <v>3327</v>
      </c>
    </row>
    <row r="488" ht="14.5" spans="1:3">
      <c r="A488" s="18" t="s">
        <v>3458</v>
      </c>
      <c r="B488" s="19" t="s">
        <v>3465</v>
      </c>
      <c r="C488" s="18" t="s">
        <v>3327</v>
      </c>
    </row>
    <row r="489" ht="14.5" spans="1:3">
      <c r="A489" s="26" t="s">
        <v>3458</v>
      </c>
      <c r="B489" s="27" t="s">
        <v>3466</v>
      </c>
      <c r="C489" s="26" t="s">
        <v>3327</v>
      </c>
    </row>
    <row r="490" ht="14.5" spans="1:3">
      <c r="A490" s="18" t="s">
        <v>3458</v>
      </c>
      <c r="B490" s="19" t="s">
        <v>3467</v>
      </c>
      <c r="C490" s="18" t="s">
        <v>3336</v>
      </c>
    </row>
    <row r="491" ht="14.5" spans="1:3">
      <c r="A491" s="26" t="s">
        <v>3458</v>
      </c>
      <c r="B491" s="27" t="s">
        <v>3468</v>
      </c>
      <c r="C491" s="26" t="s">
        <v>3336</v>
      </c>
    </row>
    <row r="492" ht="14.5" spans="1:3">
      <c r="A492" s="18" t="s">
        <v>3458</v>
      </c>
      <c r="B492" s="19" t="s">
        <v>3468</v>
      </c>
      <c r="C492" s="18" t="s">
        <v>3469</v>
      </c>
    </row>
    <row r="493" ht="14.5" spans="1:3">
      <c r="A493" s="26" t="s">
        <v>3458</v>
      </c>
      <c r="B493" s="27" t="s">
        <v>3470</v>
      </c>
      <c r="C493" s="26" t="s">
        <v>3341</v>
      </c>
    </row>
    <row r="494" ht="14.5" spans="1:3">
      <c r="A494" s="18" t="s">
        <v>3458</v>
      </c>
      <c r="B494" s="19" t="s">
        <v>3471</v>
      </c>
      <c r="C494" s="18" t="s">
        <v>3341</v>
      </c>
    </row>
    <row r="495" ht="14.5" spans="1:3">
      <c r="A495" s="26" t="s">
        <v>3458</v>
      </c>
      <c r="B495" s="27" t="s">
        <v>3471</v>
      </c>
      <c r="C495" s="26" t="s">
        <v>3472</v>
      </c>
    </row>
    <row r="496" ht="14.5" spans="1:3">
      <c r="A496" s="18" t="s">
        <v>3458</v>
      </c>
      <c r="B496" s="19" t="s">
        <v>3473</v>
      </c>
      <c r="C496" s="18" t="s">
        <v>3341</v>
      </c>
    </row>
    <row r="497" ht="14.5" spans="1:3">
      <c r="A497" s="26" t="s">
        <v>3458</v>
      </c>
      <c r="B497" s="27" t="s">
        <v>3473</v>
      </c>
      <c r="C497" s="26" t="s">
        <v>3474</v>
      </c>
    </row>
    <row r="498" ht="14.5" spans="1:3">
      <c r="A498" s="18" t="s">
        <v>3458</v>
      </c>
      <c r="B498" s="19" t="s">
        <v>3475</v>
      </c>
      <c r="C498" s="18" t="s">
        <v>3341</v>
      </c>
    </row>
    <row r="499" ht="14.5" spans="1:3">
      <c r="A499" s="26" t="s">
        <v>3458</v>
      </c>
      <c r="B499" s="27" t="s">
        <v>3476</v>
      </c>
      <c r="C499" s="26" t="s">
        <v>3341</v>
      </c>
    </row>
    <row r="500" ht="14.5" spans="1:3">
      <c r="A500" s="18" t="s">
        <v>3458</v>
      </c>
      <c r="B500" s="19" t="s">
        <v>3476</v>
      </c>
      <c r="C500" s="18" t="s">
        <v>3477</v>
      </c>
    </row>
    <row r="501" ht="29" spans="1:3">
      <c r="A501" s="26" t="s">
        <v>3458</v>
      </c>
      <c r="B501" s="27" t="s">
        <v>3478</v>
      </c>
      <c r="C501" s="26" t="s">
        <v>3341</v>
      </c>
    </row>
    <row r="502" ht="43.5" spans="1:3">
      <c r="A502" s="18" t="s">
        <v>3458</v>
      </c>
      <c r="B502" s="19" t="s">
        <v>3478</v>
      </c>
      <c r="C502" s="18" t="s">
        <v>3479</v>
      </c>
    </row>
    <row r="503" ht="14.5" spans="1:3">
      <c r="A503" s="26" t="s">
        <v>3458</v>
      </c>
      <c r="B503" s="27" t="s">
        <v>3480</v>
      </c>
      <c r="C503" s="26" t="s">
        <v>3344</v>
      </c>
    </row>
    <row r="504" ht="14.5" spans="1:3">
      <c r="A504" s="18" t="s">
        <v>3458</v>
      </c>
      <c r="B504" s="19" t="s">
        <v>3480</v>
      </c>
      <c r="C504" s="18" t="s">
        <v>3472</v>
      </c>
    </row>
    <row r="505" ht="29" spans="1:3">
      <c r="A505" s="26" t="s">
        <v>3416</v>
      </c>
      <c r="B505" s="27" t="s">
        <v>3481</v>
      </c>
      <c r="C505" s="26" t="s">
        <v>3336</v>
      </c>
    </row>
    <row r="506" ht="14.5" spans="1:3">
      <c r="A506" s="18" t="s">
        <v>3416</v>
      </c>
      <c r="B506" s="19" t="s">
        <v>3482</v>
      </c>
      <c r="C506" s="18" t="s">
        <v>3336</v>
      </c>
    </row>
    <row r="507" ht="14.5" spans="1:3">
      <c r="A507" s="26" t="s">
        <v>3416</v>
      </c>
      <c r="B507" s="27" t="s">
        <v>3482</v>
      </c>
      <c r="C507" s="26" t="s">
        <v>3423</v>
      </c>
    </row>
    <row r="508" ht="14.5" spans="1:3">
      <c r="A508" s="18" t="s">
        <v>3416</v>
      </c>
      <c r="B508" s="19" t="s">
        <v>3483</v>
      </c>
      <c r="C508" s="18" t="s">
        <v>3336</v>
      </c>
    </row>
    <row r="509" ht="14.5" spans="1:3">
      <c r="A509" s="26" t="s">
        <v>3416</v>
      </c>
      <c r="B509" s="27" t="s">
        <v>3484</v>
      </c>
      <c r="C509" s="26" t="s">
        <v>3336</v>
      </c>
    </row>
    <row r="510" ht="14.5" spans="1:3">
      <c r="A510" s="18" t="s">
        <v>3416</v>
      </c>
      <c r="B510" s="19" t="s">
        <v>3485</v>
      </c>
      <c r="C510" s="18" t="s">
        <v>3336</v>
      </c>
    </row>
    <row r="511" ht="29" spans="1:3">
      <c r="A511" s="26" t="s">
        <v>3416</v>
      </c>
      <c r="B511" s="27" t="s">
        <v>3486</v>
      </c>
      <c r="C511" s="26" t="s">
        <v>3344</v>
      </c>
    </row>
    <row r="512" ht="29" spans="1:3">
      <c r="A512" s="18" t="s">
        <v>3416</v>
      </c>
      <c r="B512" s="19" t="s">
        <v>3486</v>
      </c>
      <c r="C512" s="18" t="s">
        <v>3423</v>
      </c>
    </row>
    <row r="513" ht="29" spans="1:3">
      <c r="A513" s="26" t="s">
        <v>3487</v>
      </c>
      <c r="B513" s="27" t="s">
        <v>3488</v>
      </c>
      <c r="C513" s="26" t="s">
        <v>3324</v>
      </c>
    </row>
    <row r="514" ht="29" spans="1:3">
      <c r="A514" s="18" t="s">
        <v>3487</v>
      </c>
      <c r="B514" s="19" t="s">
        <v>3489</v>
      </c>
      <c r="C514" s="18" t="s">
        <v>3344</v>
      </c>
    </row>
    <row r="515" ht="29" spans="1:3">
      <c r="A515" s="26" t="s">
        <v>3487</v>
      </c>
      <c r="B515" s="27" t="s">
        <v>3489</v>
      </c>
      <c r="C515" s="26" t="s">
        <v>3423</v>
      </c>
    </row>
    <row r="516" ht="14.5" spans="1:3">
      <c r="A516" s="18" t="s">
        <v>3487</v>
      </c>
      <c r="B516" s="19" t="s">
        <v>3490</v>
      </c>
      <c r="C516" s="18" t="s">
        <v>3344</v>
      </c>
    </row>
    <row r="517" ht="14.5" spans="1:3">
      <c r="A517" s="26" t="s">
        <v>3487</v>
      </c>
      <c r="B517" s="27" t="s">
        <v>3490</v>
      </c>
      <c r="C517" s="26" t="s">
        <v>3423</v>
      </c>
    </row>
    <row r="518" ht="14.5" spans="1:3">
      <c r="A518" s="18" t="s">
        <v>3487</v>
      </c>
      <c r="B518" s="19" t="s">
        <v>3491</v>
      </c>
      <c r="C518" s="18" t="s">
        <v>3344</v>
      </c>
    </row>
    <row r="519" ht="14.5" spans="1:3">
      <c r="A519" s="26" t="s">
        <v>3487</v>
      </c>
      <c r="B519" s="27" t="s">
        <v>3491</v>
      </c>
      <c r="C519" s="26" t="s">
        <v>3492</v>
      </c>
    </row>
    <row r="520" ht="43.5" spans="1:3">
      <c r="A520" s="18" t="s">
        <v>3493</v>
      </c>
      <c r="B520" s="19" t="s">
        <v>3493</v>
      </c>
      <c r="C520" s="18" t="s">
        <v>3494</v>
      </c>
    </row>
    <row r="521" ht="29" spans="1:3">
      <c r="A521" s="26" t="s">
        <v>3495</v>
      </c>
      <c r="B521" s="27" t="s">
        <v>3496</v>
      </c>
      <c r="C521" s="26" t="s">
        <v>3336</v>
      </c>
    </row>
    <row r="522" ht="43.5" spans="1:3">
      <c r="A522" s="18" t="s">
        <v>3495</v>
      </c>
      <c r="B522" s="19" t="s">
        <v>3496</v>
      </c>
      <c r="C522" s="18" t="s">
        <v>3497</v>
      </c>
    </row>
    <row r="523" ht="29" spans="1:3">
      <c r="A523" s="26" t="s">
        <v>3495</v>
      </c>
      <c r="B523" s="27" t="s">
        <v>3498</v>
      </c>
      <c r="C523" s="26" t="s">
        <v>3336</v>
      </c>
    </row>
    <row r="524" ht="29" spans="1:3">
      <c r="A524" s="18" t="s">
        <v>3495</v>
      </c>
      <c r="B524" s="19" t="s">
        <v>3498</v>
      </c>
      <c r="C524" s="18" t="s">
        <v>3423</v>
      </c>
    </row>
    <row r="525" ht="29" spans="1:3">
      <c r="A525" s="26" t="s">
        <v>3495</v>
      </c>
      <c r="B525" s="27" t="s">
        <v>3499</v>
      </c>
      <c r="C525" s="26" t="s">
        <v>3341</v>
      </c>
    </row>
    <row r="526" ht="29" spans="1:3">
      <c r="A526" s="18" t="s">
        <v>3495</v>
      </c>
      <c r="B526" s="19" t="s">
        <v>3499</v>
      </c>
      <c r="C526" s="18" t="s">
        <v>3500</v>
      </c>
    </row>
    <row r="527" ht="14.5" spans="1:3">
      <c r="A527" s="26" t="s">
        <v>3495</v>
      </c>
      <c r="B527" s="27" t="s">
        <v>3501</v>
      </c>
      <c r="C527" s="26" t="s">
        <v>3341</v>
      </c>
    </row>
    <row r="528" ht="14.5" spans="1:3">
      <c r="A528" s="18" t="s">
        <v>3495</v>
      </c>
      <c r="B528" s="19" t="s">
        <v>3502</v>
      </c>
      <c r="C528" s="18" t="s">
        <v>3341</v>
      </c>
    </row>
    <row r="529" ht="29" spans="1:3">
      <c r="A529" s="26" t="s">
        <v>3495</v>
      </c>
      <c r="B529" s="27" t="s">
        <v>3503</v>
      </c>
      <c r="C529" s="26" t="s">
        <v>3341</v>
      </c>
    </row>
    <row r="530" ht="29" spans="1:3">
      <c r="A530" s="18" t="s">
        <v>3495</v>
      </c>
      <c r="B530" s="19" t="s">
        <v>3503</v>
      </c>
      <c r="C530" s="18" t="s">
        <v>3504</v>
      </c>
    </row>
    <row r="531" ht="43.5" spans="1:3">
      <c r="A531" s="26" t="s">
        <v>3495</v>
      </c>
      <c r="B531" s="27" t="s">
        <v>3505</v>
      </c>
      <c r="C531" s="26" t="s">
        <v>3344</v>
      </c>
    </row>
    <row r="532" ht="43.5" spans="1:3">
      <c r="A532" s="18" t="s">
        <v>3495</v>
      </c>
      <c r="B532" s="19" t="s">
        <v>3505</v>
      </c>
      <c r="C532" s="18" t="s">
        <v>3423</v>
      </c>
    </row>
    <row r="533" ht="29" spans="1:3">
      <c r="A533" s="26" t="s">
        <v>3495</v>
      </c>
      <c r="B533" s="27" t="s">
        <v>3506</v>
      </c>
      <c r="C533" s="26" t="s">
        <v>3344</v>
      </c>
    </row>
    <row r="534" ht="29" spans="1:3">
      <c r="A534" s="18" t="s">
        <v>3495</v>
      </c>
      <c r="B534" s="19" t="s">
        <v>3506</v>
      </c>
      <c r="C534" s="18" t="s">
        <v>3423</v>
      </c>
    </row>
    <row r="535" ht="14.5" spans="1:3">
      <c r="A535" s="26" t="s">
        <v>3507</v>
      </c>
      <c r="B535" s="27" t="s">
        <v>3455</v>
      </c>
      <c r="C535" s="26" t="s">
        <v>3327</v>
      </c>
    </row>
    <row r="536" ht="14.5" spans="1:3">
      <c r="A536" s="18" t="s">
        <v>3507</v>
      </c>
      <c r="B536" s="19" t="s">
        <v>3508</v>
      </c>
      <c r="C536" s="18" t="s">
        <v>3327</v>
      </c>
    </row>
    <row r="537" ht="29" spans="1:3">
      <c r="A537" s="26" t="s">
        <v>3507</v>
      </c>
      <c r="B537" s="27" t="s">
        <v>3509</v>
      </c>
      <c r="C537" s="26" t="s">
        <v>3327</v>
      </c>
    </row>
    <row r="538" ht="29" spans="1:3">
      <c r="A538" s="18" t="s">
        <v>3507</v>
      </c>
      <c r="B538" s="19" t="s">
        <v>3509</v>
      </c>
      <c r="C538" s="18" t="s">
        <v>3423</v>
      </c>
    </row>
    <row r="539" ht="29" spans="1:3">
      <c r="A539" s="26" t="s">
        <v>3507</v>
      </c>
      <c r="B539" s="27" t="s">
        <v>3510</v>
      </c>
      <c r="C539" s="26" t="s">
        <v>3336</v>
      </c>
    </row>
    <row r="540" ht="29" spans="1:3">
      <c r="A540" s="18" t="s">
        <v>3507</v>
      </c>
      <c r="B540" s="19" t="s">
        <v>3510</v>
      </c>
      <c r="C540" s="18" t="s">
        <v>3423</v>
      </c>
    </row>
    <row r="541" ht="29" spans="1:3">
      <c r="A541" s="26" t="s">
        <v>3507</v>
      </c>
      <c r="B541" s="27" t="s">
        <v>3511</v>
      </c>
      <c r="C541" s="26" t="s">
        <v>3341</v>
      </c>
    </row>
    <row r="542" ht="29" spans="1:3">
      <c r="A542" s="18" t="s">
        <v>3507</v>
      </c>
      <c r="B542" s="19" t="s">
        <v>3511</v>
      </c>
      <c r="C542" s="18" t="s">
        <v>3423</v>
      </c>
    </row>
    <row r="543" ht="14.5" spans="1:3">
      <c r="A543" s="26" t="s">
        <v>3507</v>
      </c>
      <c r="B543" s="27" t="s">
        <v>3512</v>
      </c>
      <c r="C543" s="26" t="s">
        <v>3341</v>
      </c>
    </row>
    <row r="544" ht="14.5" spans="1:3">
      <c r="A544" s="18" t="s">
        <v>3507</v>
      </c>
      <c r="B544" s="19" t="s">
        <v>3512</v>
      </c>
      <c r="C544" s="18" t="s">
        <v>3423</v>
      </c>
    </row>
    <row r="545" ht="14.5" spans="1:3">
      <c r="A545" s="26" t="s">
        <v>3507</v>
      </c>
      <c r="B545" s="27" t="s">
        <v>3513</v>
      </c>
      <c r="C545" s="26" t="s">
        <v>3341</v>
      </c>
    </row>
    <row r="546" ht="14.5" spans="1:3">
      <c r="A546" s="18" t="s">
        <v>3507</v>
      </c>
      <c r="B546" s="19" t="s">
        <v>3513</v>
      </c>
      <c r="C546" s="18" t="s">
        <v>3423</v>
      </c>
    </row>
  </sheetData>
  <sheetProtection password="CC25" sheet="1" autoFilter="0" objects="1" scenarios="1"/>
  <autoFilter xmlns:etc="http://www.wps.cn/officeDocument/2017/etCustomData" ref="A8:C546" etc:filterBottomFollowUsedRange="0">
    <extLst/>
  </autoFilter>
  <mergeCells count="2">
    <mergeCell ref="A1:C1"/>
    <mergeCell ref="A2:C2"/>
  </mergeCells>
  <hyperlinks>
    <hyperlink ref="A3" location="'规则速查'!A9" display="检定与对抗"/>
    <hyperlink ref="B3" location="'规则速查'!A21" display="战斗与防御"/>
    <hyperlink ref="C3" location="'规则速查'!A33" display="伤害与治疗"/>
    <hyperlink ref="A4" location="'规则速查'!A43" display="致死与护甲"/>
    <hyperlink ref="B4" location="'规则速查'!A57" display="理智与疯狂"/>
    <hyperlink ref="C4" location="'规则速查'!A66" display="创伤与关系"/>
    <hyperlink ref="A5" location="'规则速查'!A98" display="调查与执法"/>
    <hyperlink ref="B5" location="'规则速查'!A120" display="秘密行动"/>
    <hyperlink ref="C5" location="'规则速查'!A153" display="护甲与载具"/>
    <hyperlink ref="A6" location="'规则速查'!A200" display="武器与爆炸物"/>
    <hyperlink ref="B6" location="'规则速查'!A327" display="战斗修正"/>
    <hyperlink ref="C6" location="'规则速查'!A347" display="装备与申请"/>
    <hyperlink ref="A7" location="'人物卡'!B2" display="返回人物卡"/>
    <hyperlink ref="B7" location="'模组经历备忘录'!A1" display="模组经历备忘录"/>
    <hyperlink ref="C7" r:id="rId1" display="绿箱生成器"/>
  </hyperlinks>
  <pageMargins left="0.25" right="0.25" top="0.4" bottom="0.4" header="0.15" footer="0.15"/>
  <pageSetup paperSize="9" fitToHeight="0" orientation="portrait"/>
  <headerFooter>
    <oddHeader>&amp;C&amp;9 绿色三角洲｜规则速查</oddHeader>
    <oddFooter>&amp;C&amp;8 绿色三角洲规则速查 · v2.0 · 第 &amp;P / &amp;N 页</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37"/>
  <sheetViews>
    <sheetView showGridLines="0" workbookViewId="0">
      <pane ySplit="7" topLeftCell="A18" activePane="bottomLeft" state="frozen"/>
      <selection/>
      <selection pane="bottomLeft" activeCell="A10" sqref="A10"/>
    </sheetView>
  </sheetViews>
  <sheetFormatPr defaultColWidth="9" defaultRowHeight="14" outlineLevelCol="2"/>
  <cols>
    <col min="1" max="1" width="17" customWidth="1"/>
    <col min="2" max="2" width="24" customWidth="1"/>
    <col min="3" max="3" width="85" customWidth="1"/>
    <col min="4" max="4" width="13" hidden="1" customWidth="1"/>
  </cols>
  <sheetData>
    <row r="1" ht="14.5" spans="1:3">
      <c r="A1" s="10"/>
      <c r="B1" s="10"/>
      <c r="C1" s="10"/>
    </row>
    <row r="2" ht="21.5" spans="1:3">
      <c r="A2" s="11" t="s">
        <v>2566</v>
      </c>
      <c r="B2" s="11" t="s">
        <v>2566</v>
      </c>
      <c r="C2" s="11" t="s">
        <v>2566</v>
      </c>
    </row>
    <row r="3" ht="14.5" spans="1:3">
      <c r="A3" s="12" t="s">
        <v>3514</v>
      </c>
      <c r="B3" s="12" t="s">
        <v>3515</v>
      </c>
      <c r="C3" s="12" t="s">
        <v>3515</v>
      </c>
    </row>
    <row r="4" ht="14.5" spans="1:3">
      <c r="A4" s="12" t="s">
        <v>678</v>
      </c>
      <c r="B4" s="12" t="s">
        <v>3516</v>
      </c>
      <c r="C4" s="12" t="s">
        <v>3516</v>
      </c>
    </row>
    <row r="5" ht="14.5" spans="1:3">
      <c r="A5" s="13" t="s">
        <v>2553</v>
      </c>
      <c r="B5" s="13" t="s">
        <v>143</v>
      </c>
      <c r="C5" s="13" t="s">
        <v>3517</v>
      </c>
    </row>
    <row r="6" ht="14.5" spans="1:3">
      <c r="A6" s="10"/>
      <c r="B6" s="10"/>
      <c r="C6" s="10"/>
    </row>
    <row r="7" ht="14.5" spans="1:3">
      <c r="A7" s="14" t="s">
        <v>2747</v>
      </c>
      <c r="B7" s="14" t="s">
        <v>3518</v>
      </c>
      <c r="C7" s="14" t="s">
        <v>2749</v>
      </c>
    </row>
    <row r="8" ht="14.5" spans="1:3">
      <c r="A8" s="15" t="s">
        <v>3519</v>
      </c>
      <c r="B8" s="15" t="s">
        <v>3520</v>
      </c>
      <c r="C8" s="15" t="s">
        <v>3520</v>
      </c>
    </row>
    <row r="9" ht="43.5" spans="1:3">
      <c r="A9" s="16" t="s">
        <v>3521</v>
      </c>
      <c r="B9" s="17" t="s">
        <v>2393</v>
      </c>
      <c r="C9" s="16" t="s">
        <v>3522</v>
      </c>
    </row>
    <row r="10" ht="43.5" spans="1:3">
      <c r="A10" s="18" t="s">
        <v>3523</v>
      </c>
      <c r="B10" s="19" t="s">
        <v>3524</v>
      </c>
      <c r="C10" s="18" t="s">
        <v>3525</v>
      </c>
    </row>
    <row r="11" ht="29" spans="1:3">
      <c r="A11" s="16" t="s">
        <v>3523</v>
      </c>
      <c r="B11" s="17" t="s">
        <v>2398</v>
      </c>
      <c r="C11" s="16" t="s">
        <v>3526</v>
      </c>
    </row>
    <row r="12" ht="29" spans="1:3">
      <c r="A12" s="18" t="s">
        <v>3527</v>
      </c>
      <c r="B12" s="19" t="s">
        <v>2394</v>
      </c>
      <c r="C12" s="18" t="s">
        <v>3528</v>
      </c>
    </row>
    <row r="13" ht="14.5" spans="1:3">
      <c r="A13" s="16" t="s">
        <v>3529</v>
      </c>
      <c r="B13" s="17" t="s">
        <v>2391</v>
      </c>
      <c r="C13" s="16" t="s">
        <v>3530</v>
      </c>
    </row>
    <row r="14" ht="29" spans="1:3">
      <c r="A14" s="18" t="s">
        <v>3529</v>
      </c>
      <c r="B14" s="19" t="s">
        <v>2392</v>
      </c>
      <c r="C14" s="18" t="s">
        <v>3531</v>
      </c>
    </row>
    <row r="15" ht="14.5" spans="1:3">
      <c r="A15" s="16" t="s">
        <v>3529</v>
      </c>
      <c r="B15" s="17" t="s">
        <v>2395</v>
      </c>
      <c r="C15" s="16" t="s">
        <v>3532</v>
      </c>
    </row>
    <row r="16" ht="29" spans="1:3">
      <c r="A16" s="18" t="s">
        <v>3529</v>
      </c>
      <c r="B16" s="19" t="s">
        <v>2396</v>
      </c>
      <c r="C16" s="18" t="s">
        <v>3533</v>
      </c>
    </row>
    <row r="17" ht="14.5" spans="1:3">
      <c r="A17" s="15" t="s">
        <v>3534</v>
      </c>
      <c r="B17" s="15" t="s">
        <v>3534</v>
      </c>
      <c r="C17" s="15" t="s">
        <v>3534</v>
      </c>
    </row>
    <row r="18" ht="29" spans="1:3">
      <c r="A18" s="18" t="s">
        <v>3535</v>
      </c>
      <c r="B18" s="19" t="s">
        <v>3536</v>
      </c>
      <c r="C18" s="18" t="s">
        <v>3537</v>
      </c>
    </row>
    <row r="19" ht="29" spans="1:3">
      <c r="A19" s="16" t="s">
        <v>3538</v>
      </c>
      <c r="B19" s="17" t="s">
        <v>3539</v>
      </c>
      <c r="C19" s="16" t="s">
        <v>3540</v>
      </c>
    </row>
    <row r="20" ht="29" spans="1:3">
      <c r="A20" s="18" t="s">
        <v>3538</v>
      </c>
      <c r="B20" s="19" t="s">
        <v>3541</v>
      </c>
      <c r="C20" s="18" t="s">
        <v>3542</v>
      </c>
    </row>
    <row r="21" ht="29" spans="1:3">
      <c r="A21" s="16" t="s">
        <v>3538</v>
      </c>
      <c r="B21" s="17" t="s">
        <v>3543</v>
      </c>
      <c r="C21" s="16" t="s">
        <v>3544</v>
      </c>
    </row>
    <row r="22" ht="29" spans="1:3">
      <c r="A22" s="18" t="s">
        <v>3538</v>
      </c>
      <c r="B22" s="19" t="s">
        <v>3545</v>
      </c>
      <c r="C22" s="18" t="s">
        <v>3546</v>
      </c>
    </row>
    <row r="23" ht="29" spans="1:3">
      <c r="A23" s="16" t="s">
        <v>3547</v>
      </c>
      <c r="B23" s="17" t="s">
        <v>3548</v>
      </c>
      <c r="C23" s="16" t="s">
        <v>3549</v>
      </c>
    </row>
    <row r="24" ht="29" spans="1:3">
      <c r="A24" s="18" t="s">
        <v>3547</v>
      </c>
      <c r="B24" s="19" t="s">
        <v>3550</v>
      </c>
      <c r="C24" s="18" t="s">
        <v>3551</v>
      </c>
    </row>
    <row r="25" ht="29" spans="1:3">
      <c r="A25" s="16" t="s">
        <v>3547</v>
      </c>
      <c r="B25" s="17" t="s">
        <v>3552</v>
      </c>
      <c r="C25" s="16" t="s">
        <v>3553</v>
      </c>
    </row>
    <row r="26" ht="29" spans="1:3">
      <c r="A26" s="18" t="s">
        <v>3547</v>
      </c>
      <c r="B26" s="19" t="s">
        <v>3554</v>
      </c>
      <c r="C26" s="18" t="s">
        <v>3555</v>
      </c>
    </row>
    <row r="27" ht="29" spans="1:3">
      <c r="A27" s="16" t="s">
        <v>3547</v>
      </c>
      <c r="B27" s="17" t="s">
        <v>3556</v>
      </c>
      <c r="C27" s="16" t="s">
        <v>3557</v>
      </c>
    </row>
    <row r="28" ht="14.5" spans="1:3">
      <c r="A28" s="15" t="s">
        <v>3558</v>
      </c>
      <c r="B28" s="15" t="s">
        <v>3558</v>
      </c>
      <c r="C28" s="15" t="s">
        <v>3558</v>
      </c>
    </row>
    <row r="29" ht="14.5" spans="1:3">
      <c r="A29" s="16" t="s">
        <v>3559</v>
      </c>
      <c r="B29" s="17" t="s">
        <v>3560</v>
      </c>
      <c r="C29" s="16" t="s">
        <v>3561</v>
      </c>
    </row>
    <row r="30" ht="14.5" spans="1:3">
      <c r="A30" s="18" t="s">
        <v>3559</v>
      </c>
      <c r="B30" s="19" t="s">
        <v>3562</v>
      </c>
      <c r="C30" s="18" t="s">
        <v>3563</v>
      </c>
    </row>
    <row r="31" ht="14.5" spans="1:3">
      <c r="A31" s="16" t="s">
        <v>3559</v>
      </c>
      <c r="B31" s="17" t="s">
        <v>3564</v>
      </c>
      <c r="C31" s="16" t="s">
        <v>3565</v>
      </c>
    </row>
    <row r="32" ht="14.5" spans="1:3">
      <c r="A32" s="18" t="s">
        <v>3559</v>
      </c>
      <c r="B32" s="19" t="s">
        <v>3566</v>
      </c>
      <c r="C32" s="18" t="s">
        <v>3567</v>
      </c>
    </row>
    <row r="33" ht="14.5" spans="1:3">
      <c r="A33" s="16" t="s">
        <v>3559</v>
      </c>
      <c r="B33" s="17" t="s">
        <v>3568</v>
      </c>
      <c r="C33" s="16" t="s">
        <v>3569</v>
      </c>
    </row>
    <row r="34" ht="14.5" spans="1:3">
      <c r="A34" s="15" t="s">
        <v>3570</v>
      </c>
      <c r="B34" s="15" t="s">
        <v>3570</v>
      </c>
      <c r="C34" s="15" t="s">
        <v>3570</v>
      </c>
    </row>
    <row r="35" ht="29" spans="1:3">
      <c r="A35" s="16" t="s">
        <v>3571</v>
      </c>
      <c r="B35" s="17" t="s">
        <v>3572</v>
      </c>
      <c r="C35" s="16" t="s">
        <v>3573</v>
      </c>
    </row>
    <row r="36" ht="29" spans="1:3">
      <c r="A36" s="18" t="s">
        <v>3571</v>
      </c>
      <c r="B36" s="19" t="s">
        <v>3574</v>
      </c>
      <c r="C36" s="18" t="s">
        <v>3575</v>
      </c>
    </row>
    <row r="37" ht="14.5" spans="1:3">
      <c r="A37" s="16" t="s">
        <v>3571</v>
      </c>
      <c r="B37" s="17" t="s">
        <v>3576</v>
      </c>
      <c r="C37" s="16" t="s">
        <v>3577</v>
      </c>
    </row>
  </sheetData>
  <sheetProtection password="CC25" sheet="1" autoFilter="0" objects="1" scenarios="1"/>
  <mergeCells count="7">
    <mergeCell ref="A2:C2"/>
    <mergeCell ref="A3:C3"/>
    <mergeCell ref="A4:C4"/>
    <mergeCell ref="A8:C8"/>
    <mergeCell ref="A17:C17"/>
    <mergeCell ref="A28:C28"/>
    <mergeCell ref="A34:C34"/>
  </mergeCells>
  <hyperlinks>
    <hyperlink ref="A5" location="'人物卡'!A1" display="返回人物卡"/>
    <hyperlink ref="B5" location="'规则速查'!A1" display="规则速查"/>
    <hyperlink ref="C5" location="'参考选项'!A1" display="参考选项"/>
  </hyperlinks>
  <pageMargins left="0.25" right="0.25" top="0.35" bottom="0.35" header="0.15" footer="0.15"/>
  <pageSetup paperSize="9"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78"/>
  <sheetViews>
    <sheetView showGridLines="0" workbookViewId="0">
      <pane ySplit="7" topLeftCell="A8" activePane="bottomLeft" state="frozen"/>
      <selection/>
      <selection pane="bottomLeft" activeCell="F40" sqref="F40"/>
    </sheetView>
  </sheetViews>
  <sheetFormatPr defaultColWidth="9" defaultRowHeight="14" outlineLevelCol="2"/>
  <cols>
    <col min="1" max="1" width="17" customWidth="1"/>
    <col min="2" max="2" width="24" customWidth="1"/>
    <col min="3" max="3" width="85" customWidth="1"/>
    <col min="4" max="4" width="13" hidden="1" customWidth="1"/>
  </cols>
  <sheetData>
    <row r="1" ht="14.5" spans="1:3">
      <c r="A1" s="10"/>
      <c r="B1" s="10"/>
      <c r="C1" s="10"/>
    </row>
    <row r="2" ht="21.5" spans="1:3">
      <c r="A2" s="11" t="s">
        <v>3517</v>
      </c>
      <c r="B2" s="11" t="s">
        <v>3517</v>
      </c>
      <c r="C2" s="11" t="s">
        <v>3517</v>
      </c>
    </row>
    <row r="3" ht="14.5" spans="1:3">
      <c r="A3" s="12" t="s">
        <v>3578</v>
      </c>
      <c r="B3" s="12" t="s">
        <v>3579</v>
      </c>
      <c r="C3" s="12" t="s">
        <v>3579</v>
      </c>
    </row>
    <row r="4" ht="14.5" spans="1:3">
      <c r="A4" s="12" t="s">
        <v>678</v>
      </c>
      <c r="B4" s="12" t="s">
        <v>3516</v>
      </c>
      <c r="C4" s="12" t="s">
        <v>3516</v>
      </c>
    </row>
    <row r="5" ht="14.5" spans="1:3">
      <c r="A5" s="13" t="s">
        <v>2553</v>
      </c>
      <c r="B5" s="13" t="s">
        <v>143</v>
      </c>
      <c r="C5" s="13" t="s">
        <v>2566</v>
      </c>
    </row>
    <row r="6" ht="14.5" spans="1:3">
      <c r="A6" s="10"/>
      <c r="B6" s="10"/>
      <c r="C6" s="10"/>
    </row>
    <row r="7" ht="14.5" spans="1:3">
      <c r="A7" s="14" t="s">
        <v>2747</v>
      </c>
      <c r="B7" s="14" t="s">
        <v>3518</v>
      </c>
      <c r="C7" s="14" t="s">
        <v>2749</v>
      </c>
    </row>
    <row r="8" ht="14.5" spans="1:3">
      <c r="A8" s="15" t="s">
        <v>3580</v>
      </c>
      <c r="B8" s="15" t="s">
        <v>3580</v>
      </c>
      <c r="C8" s="15" t="s">
        <v>3580</v>
      </c>
    </row>
    <row r="9" ht="14.5" spans="1:3">
      <c r="A9" s="16" t="s">
        <v>3580</v>
      </c>
      <c r="B9" s="17" t="s">
        <v>3581</v>
      </c>
      <c r="C9" s="16" t="s">
        <v>3582</v>
      </c>
    </row>
    <row r="10" ht="14.5" spans="1:3">
      <c r="A10" s="18" t="s">
        <v>3580</v>
      </c>
      <c r="B10" s="19" t="s">
        <v>3583</v>
      </c>
      <c r="C10" s="18" t="s">
        <v>3584</v>
      </c>
    </row>
    <row r="11" ht="14.5" spans="1:3">
      <c r="A11" s="16" t="s">
        <v>3580</v>
      </c>
      <c r="B11" s="17" t="s">
        <v>3585</v>
      </c>
      <c r="C11" s="16" t="s">
        <v>3586</v>
      </c>
    </row>
    <row r="12" ht="14.5" spans="1:3">
      <c r="A12" s="15" t="s">
        <v>3587</v>
      </c>
      <c r="B12" s="15" t="s">
        <v>3587</v>
      </c>
      <c r="C12" s="15" t="s">
        <v>3587</v>
      </c>
    </row>
    <row r="13" ht="14.5" spans="1:3">
      <c r="A13" s="16" t="s">
        <v>3587</v>
      </c>
      <c r="B13" s="17" t="s">
        <v>2681</v>
      </c>
      <c r="C13" s="16" t="s">
        <v>3588</v>
      </c>
    </row>
    <row r="14" ht="14.5" spans="1:3">
      <c r="A14" s="18" t="s">
        <v>3587</v>
      </c>
      <c r="B14" s="19" t="s">
        <v>2682</v>
      </c>
      <c r="C14" s="18" t="s">
        <v>3589</v>
      </c>
    </row>
    <row r="15" ht="14.5" spans="1:3">
      <c r="A15" s="16" t="s">
        <v>3587</v>
      </c>
      <c r="B15" s="17" t="s">
        <v>2683</v>
      </c>
      <c r="C15" s="16" t="s">
        <v>3590</v>
      </c>
    </row>
    <row r="16" ht="14.5" spans="1:3">
      <c r="A16" s="18" t="s">
        <v>3587</v>
      </c>
      <c r="B16" s="19" t="s">
        <v>2684</v>
      </c>
      <c r="C16" s="18" t="s">
        <v>3591</v>
      </c>
    </row>
    <row r="17" ht="14.5" spans="1:3">
      <c r="A17" s="16" t="s">
        <v>3587</v>
      </c>
      <c r="B17" s="17" t="s">
        <v>2685</v>
      </c>
      <c r="C17" s="16" t="s">
        <v>3592</v>
      </c>
    </row>
    <row r="18" ht="14.5" spans="1:3">
      <c r="A18" s="18" t="s">
        <v>3587</v>
      </c>
      <c r="B18" s="19" t="s">
        <v>2686</v>
      </c>
      <c r="C18" s="18" t="s">
        <v>3593</v>
      </c>
    </row>
    <row r="19" ht="14.5" spans="1:3">
      <c r="A19" s="15" t="s">
        <v>3594</v>
      </c>
      <c r="B19" s="15" t="s">
        <v>3594</v>
      </c>
      <c r="C19" s="15" t="s">
        <v>3594</v>
      </c>
    </row>
    <row r="20" ht="14.5" spans="1:3">
      <c r="A20" s="18" t="s">
        <v>3594</v>
      </c>
      <c r="B20" s="19" t="s">
        <v>3595</v>
      </c>
      <c r="C20" s="18" t="s">
        <v>3596</v>
      </c>
    </row>
    <row r="21" ht="14.5" spans="1:3">
      <c r="A21" s="16" t="s">
        <v>3594</v>
      </c>
      <c r="B21" s="17" t="s">
        <v>3597</v>
      </c>
      <c r="C21" s="16" t="s">
        <v>3598</v>
      </c>
    </row>
    <row r="22" ht="14.5" spans="1:3">
      <c r="A22" s="18" t="s">
        <v>3594</v>
      </c>
      <c r="B22" s="19" t="s">
        <v>3599</v>
      </c>
      <c r="C22" s="18" t="s">
        <v>3600</v>
      </c>
    </row>
    <row r="23" ht="14.5" spans="1:3">
      <c r="A23" s="16" t="s">
        <v>3594</v>
      </c>
      <c r="B23" s="17" t="s">
        <v>3601</v>
      </c>
      <c r="C23" s="16" t="s">
        <v>3602</v>
      </c>
    </row>
    <row r="24" ht="14.5" spans="1:3">
      <c r="A24" s="18" t="s">
        <v>3594</v>
      </c>
      <c r="B24" s="19" t="s">
        <v>3603</v>
      </c>
      <c r="C24" s="18" t="s">
        <v>3604</v>
      </c>
    </row>
    <row r="25" ht="14.5" spans="1:3">
      <c r="A25" s="16" t="s">
        <v>3594</v>
      </c>
      <c r="B25" s="17" t="s">
        <v>3605</v>
      </c>
      <c r="C25" s="16" t="s">
        <v>3606</v>
      </c>
    </row>
    <row r="26" ht="14.5" spans="1:3">
      <c r="A26" s="18" t="s">
        <v>3594</v>
      </c>
      <c r="B26" s="19" t="s">
        <v>2484</v>
      </c>
      <c r="C26" s="18" t="s">
        <v>3598</v>
      </c>
    </row>
    <row r="27" ht="14.5" spans="1:3">
      <c r="A27" s="16" t="s">
        <v>3594</v>
      </c>
      <c r="B27" s="17" t="s">
        <v>3607</v>
      </c>
      <c r="C27" s="16" t="s">
        <v>3602</v>
      </c>
    </row>
    <row r="28" ht="14.5" spans="1:3">
      <c r="A28" s="18" t="s">
        <v>3594</v>
      </c>
      <c r="B28" s="19" t="s">
        <v>3608</v>
      </c>
      <c r="C28" s="18" t="s">
        <v>3609</v>
      </c>
    </row>
    <row r="29" ht="14.5" spans="1:3">
      <c r="A29" s="16" t="s">
        <v>3594</v>
      </c>
      <c r="B29" s="17" t="s">
        <v>3610</v>
      </c>
      <c r="C29" s="16" t="s">
        <v>3611</v>
      </c>
    </row>
    <row r="30" ht="14.5" spans="1:3">
      <c r="A30" s="18" t="s">
        <v>3594</v>
      </c>
      <c r="B30" s="19" t="s">
        <v>3612</v>
      </c>
      <c r="C30" s="18" t="s">
        <v>3602</v>
      </c>
    </row>
    <row r="31" ht="14.5" spans="1:3">
      <c r="A31" s="16" t="s">
        <v>3594</v>
      </c>
      <c r="B31" s="17" t="s">
        <v>3613</v>
      </c>
      <c r="C31" s="16" t="s">
        <v>3614</v>
      </c>
    </row>
    <row r="32" ht="14.5" spans="1:3">
      <c r="A32" s="18" t="s">
        <v>3594</v>
      </c>
      <c r="B32" s="19" t="s">
        <v>3615</v>
      </c>
      <c r="C32" s="18" t="s">
        <v>3616</v>
      </c>
    </row>
    <row r="33" ht="14.5" spans="1:3">
      <c r="A33" s="16" t="s">
        <v>3594</v>
      </c>
      <c r="B33" s="17" t="s">
        <v>3617</v>
      </c>
      <c r="C33" s="16" t="s">
        <v>3618</v>
      </c>
    </row>
    <row r="34" ht="14.5" spans="1:3">
      <c r="A34" s="15" t="s">
        <v>3619</v>
      </c>
      <c r="B34" s="15" t="s">
        <v>3619</v>
      </c>
      <c r="C34" s="15" t="s">
        <v>3619</v>
      </c>
    </row>
    <row r="35" ht="14.5" spans="1:3">
      <c r="A35" s="16" t="s">
        <v>3619</v>
      </c>
      <c r="B35" s="17" t="s">
        <v>3620</v>
      </c>
      <c r="C35" s="16" t="s">
        <v>3621</v>
      </c>
    </row>
    <row r="36" ht="14.5" spans="1:3">
      <c r="A36" s="18" t="s">
        <v>3619</v>
      </c>
      <c r="B36" s="19" t="s">
        <v>94</v>
      </c>
      <c r="C36" s="18" t="s">
        <v>3622</v>
      </c>
    </row>
    <row r="37" ht="14.5" spans="1:3">
      <c r="A37" s="16" t="s">
        <v>3619</v>
      </c>
      <c r="B37" s="17" t="s">
        <v>87</v>
      </c>
      <c r="C37" s="16"/>
    </row>
    <row r="38" ht="14.5" spans="1:3">
      <c r="A38" s="18" t="s">
        <v>3619</v>
      </c>
      <c r="B38" s="19" t="s">
        <v>3623</v>
      </c>
      <c r="C38" s="18"/>
    </row>
    <row r="39" ht="14.5" spans="1:3">
      <c r="A39" s="16" t="s">
        <v>3619</v>
      </c>
      <c r="B39" s="17" t="s">
        <v>3624</v>
      </c>
      <c r="C39" s="16"/>
    </row>
    <row r="40" ht="14.5" spans="1:3">
      <c r="A40" s="18" t="s">
        <v>3619</v>
      </c>
      <c r="B40" s="19" t="s">
        <v>3625</v>
      </c>
      <c r="C40" s="18"/>
    </row>
    <row r="41" ht="14.5" spans="1:3">
      <c r="A41" s="16" t="s">
        <v>3619</v>
      </c>
      <c r="B41" s="17" t="s">
        <v>3626</v>
      </c>
      <c r="C41" s="16"/>
    </row>
    <row r="42" ht="14.5" spans="1:3">
      <c r="A42" s="18" t="s">
        <v>3619</v>
      </c>
      <c r="B42" s="19" t="s">
        <v>3627</v>
      </c>
      <c r="C42" s="18"/>
    </row>
    <row r="43" ht="14.5" spans="1:3">
      <c r="A43" s="16" t="s">
        <v>3619</v>
      </c>
      <c r="B43" s="17" t="s">
        <v>3628</v>
      </c>
      <c r="C43" s="16"/>
    </row>
    <row r="44" ht="14.5" spans="1:3">
      <c r="A44" s="18" t="s">
        <v>3619</v>
      </c>
      <c r="B44" s="19" t="s">
        <v>3629</v>
      </c>
      <c r="C44" s="18"/>
    </row>
    <row r="45" ht="14.5" spans="1:3">
      <c r="A45" s="16" t="s">
        <v>3619</v>
      </c>
      <c r="B45" s="17" t="s">
        <v>3630</v>
      </c>
      <c r="C45" s="16"/>
    </row>
    <row r="46" ht="14.5" spans="1:3">
      <c r="A46" s="18" t="s">
        <v>3619</v>
      </c>
      <c r="B46" s="19" t="s">
        <v>3631</v>
      </c>
      <c r="C46" s="18"/>
    </row>
    <row r="47" ht="14.5" spans="1:3">
      <c r="A47" s="15" t="s">
        <v>3632</v>
      </c>
      <c r="B47" s="15" t="s">
        <v>3632</v>
      </c>
      <c r="C47" s="15" t="s">
        <v>3632</v>
      </c>
    </row>
    <row r="48" ht="14.5" spans="1:3">
      <c r="A48" s="18" t="s">
        <v>3632</v>
      </c>
      <c r="B48" s="19" t="s">
        <v>3633</v>
      </c>
      <c r="C48" s="18" t="s">
        <v>3634</v>
      </c>
    </row>
    <row r="49" ht="14.5" spans="1:3">
      <c r="A49" s="16" t="s">
        <v>3632</v>
      </c>
      <c r="B49" s="17" t="s">
        <v>3635</v>
      </c>
      <c r="C49" s="16" t="s">
        <v>3636</v>
      </c>
    </row>
    <row r="50" ht="14.5" spans="1:3">
      <c r="A50" s="18" t="s">
        <v>3632</v>
      </c>
      <c r="B50" s="19" t="s">
        <v>3637</v>
      </c>
      <c r="C50" s="18" t="s">
        <v>3638</v>
      </c>
    </row>
    <row r="51" ht="14.5" spans="1:3">
      <c r="A51" s="16" t="s">
        <v>3632</v>
      </c>
      <c r="B51" s="17" t="s">
        <v>3639</v>
      </c>
      <c r="C51" s="16" t="s">
        <v>3640</v>
      </c>
    </row>
    <row r="52" ht="14.5" spans="1:3">
      <c r="A52" s="15" t="s">
        <v>3641</v>
      </c>
      <c r="B52" s="15" t="s">
        <v>3641</v>
      </c>
      <c r="C52" s="15" t="s">
        <v>3641</v>
      </c>
    </row>
    <row r="53" ht="14.5" spans="1:3">
      <c r="A53" s="16" t="s">
        <v>3641</v>
      </c>
      <c r="B53" s="17" t="s">
        <v>653</v>
      </c>
      <c r="C53" s="16" t="s">
        <v>3642</v>
      </c>
    </row>
    <row r="54" ht="14.5" spans="1:3">
      <c r="A54" s="18" t="s">
        <v>3641</v>
      </c>
      <c r="B54" s="19" t="s">
        <v>660</v>
      </c>
      <c r="C54" s="18" t="s">
        <v>3643</v>
      </c>
    </row>
    <row r="55" ht="29" spans="1:3">
      <c r="A55" s="16" t="s">
        <v>3641</v>
      </c>
      <c r="B55" s="17" t="s">
        <v>663</v>
      </c>
      <c r="C55" s="16" t="s">
        <v>3644</v>
      </c>
    </row>
    <row r="56" ht="29" spans="1:3">
      <c r="A56" s="18" t="s">
        <v>3641</v>
      </c>
      <c r="B56" s="19" t="s">
        <v>667</v>
      </c>
      <c r="C56" s="18" t="s">
        <v>3645</v>
      </c>
    </row>
    <row r="57" ht="14.5" spans="1:3">
      <c r="A57" s="15" t="s">
        <v>3646</v>
      </c>
      <c r="B57" s="15" t="s">
        <v>3646</v>
      </c>
      <c r="C57" s="15" t="s">
        <v>3646</v>
      </c>
    </row>
    <row r="58" ht="43.5" spans="1:3">
      <c r="A58" s="18" t="s">
        <v>3646</v>
      </c>
      <c r="B58" s="19" t="s">
        <v>3538</v>
      </c>
      <c r="C58" s="18" t="s">
        <v>3647</v>
      </c>
    </row>
    <row r="59" ht="29" spans="1:3">
      <c r="A59" s="16" t="s">
        <v>3646</v>
      </c>
      <c r="B59" s="17" t="s">
        <v>3547</v>
      </c>
      <c r="C59" s="16" t="s">
        <v>3648</v>
      </c>
    </row>
    <row r="60" ht="14.5" spans="1:3">
      <c r="A60" s="15" t="s">
        <v>3649</v>
      </c>
      <c r="B60" s="15" t="s">
        <v>3649</v>
      </c>
      <c r="C60" s="15" t="s">
        <v>3649</v>
      </c>
    </row>
    <row r="61" ht="29" spans="1:3">
      <c r="A61" s="16" t="s">
        <v>3649</v>
      </c>
      <c r="B61" s="17" t="s">
        <v>3650</v>
      </c>
      <c r="C61" s="16" t="s">
        <v>3651</v>
      </c>
    </row>
    <row r="62" ht="29" spans="1:3">
      <c r="A62" s="18" t="s">
        <v>3649</v>
      </c>
      <c r="B62" s="19" t="s">
        <v>3652</v>
      </c>
      <c r="C62" s="18" t="s">
        <v>3653</v>
      </c>
    </row>
    <row r="63" ht="29" spans="1:3">
      <c r="A63" s="16" t="s">
        <v>3649</v>
      </c>
      <c r="B63" s="17" t="s">
        <v>3654</v>
      </c>
      <c r="C63" s="16" t="s">
        <v>3655</v>
      </c>
    </row>
    <row r="64" ht="14.5" spans="1:3">
      <c r="A64" s="15" t="s">
        <v>3656</v>
      </c>
      <c r="B64" s="15" t="s">
        <v>3656</v>
      </c>
      <c r="C64" s="15" t="s">
        <v>3656</v>
      </c>
    </row>
    <row r="65" ht="29" spans="1:3">
      <c r="A65" s="16" t="s">
        <v>3656</v>
      </c>
      <c r="B65" s="17" t="s">
        <v>3657</v>
      </c>
      <c r="C65" s="16" t="s">
        <v>3658</v>
      </c>
    </row>
    <row r="66" ht="14.5" spans="1:3">
      <c r="A66" s="18" t="s">
        <v>3656</v>
      </c>
      <c r="B66" s="19" t="s">
        <v>3659</v>
      </c>
      <c r="C66" s="18" t="s">
        <v>3660</v>
      </c>
    </row>
    <row r="67" ht="14.5" spans="1:3">
      <c r="A67" s="16" t="s">
        <v>3656</v>
      </c>
      <c r="B67" s="17" t="s">
        <v>3661</v>
      </c>
      <c r="C67" s="16" t="s">
        <v>3662</v>
      </c>
    </row>
    <row r="68" ht="29" spans="1:3">
      <c r="A68" s="18" t="s">
        <v>3656</v>
      </c>
      <c r="B68" s="19" t="s">
        <v>3663</v>
      </c>
      <c r="C68" s="18" t="s">
        <v>3664</v>
      </c>
    </row>
    <row r="69" ht="29" spans="1:3">
      <c r="A69" s="16" t="s">
        <v>3656</v>
      </c>
      <c r="B69" s="17" t="s">
        <v>3665</v>
      </c>
      <c r="C69" s="16" t="s">
        <v>3666</v>
      </c>
    </row>
    <row r="70" ht="14.5" spans="1:3">
      <c r="A70" s="18" t="s">
        <v>3656</v>
      </c>
      <c r="B70" s="19" t="s">
        <v>3667</v>
      </c>
      <c r="C70" s="18" t="s">
        <v>3668</v>
      </c>
    </row>
    <row r="71" ht="14.5" spans="1:3">
      <c r="A71" s="16" t="s">
        <v>3656</v>
      </c>
      <c r="B71" s="17" t="s">
        <v>3669</v>
      </c>
      <c r="C71" s="16" t="s">
        <v>3670</v>
      </c>
    </row>
    <row r="72" ht="14.5" spans="1:3">
      <c r="A72" s="18" t="s">
        <v>3656</v>
      </c>
      <c r="B72" s="19" t="s">
        <v>3671</v>
      </c>
      <c r="C72" s="18" t="s">
        <v>3672</v>
      </c>
    </row>
    <row r="73" ht="14.5" spans="1:3">
      <c r="A73" s="16" t="s">
        <v>3656</v>
      </c>
      <c r="B73" s="17" t="s">
        <v>3673</v>
      </c>
      <c r="C73" s="16" t="s">
        <v>3674</v>
      </c>
    </row>
    <row r="74" ht="14.5" spans="1:3">
      <c r="A74" s="15" t="s">
        <v>3675</v>
      </c>
      <c r="B74" s="15" t="s">
        <v>3675</v>
      </c>
      <c r="C74" s="15" t="s">
        <v>3675</v>
      </c>
    </row>
    <row r="75" ht="14.5" spans="1:3">
      <c r="A75" s="16" t="s">
        <v>3675</v>
      </c>
      <c r="B75" s="17" t="s">
        <v>3676</v>
      </c>
      <c r="C75" s="16" t="s">
        <v>3677</v>
      </c>
    </row>
    <row r="76" ht="14.5" spans="1:3">
      <c r="A76" s="18" t="s">
        <v>3675</v>
      </c>
      <c r="B76" s="19" t="s">
        <v>3678</v>
      </c>
      <c r="C76" s="18" t="s">
        <v>3679</v>
      </c>
    </row>
    <row r="77" ht="14.5" spans="1:3">
      <c r="A77" s="16" t="s">
        <v>3675</v>
      </c>
      <c r="B77" s="17" t="s">
        <v>3680</v>
      </c>
      <c r="C77" s="16" t="s">
        <v>3681</v>
      </c>
    </row>
    <row r="78" ht="14.5" spans="1:3">
      <c r="A78" s="18" t="s">
        <v>3675</v>
      </c>
      <c r="B78" s="19" t="s">
        <v>3682</v>
      </c>
      <c r="C78" s="18" t="s">
        <v>3683</v>
      </c>
    </row>
  </sheetData>
  <sheetProtection password="CC25" sheet="1" autoFilter="0" objects="1" scenarios="1"/>
  <mergeCells count="13">
    <mergeCell ref="A2:C2"/>
    <mergeCell ref="A3:C3"/>
    <mergeCell ref="A4:C4"/>
    <mergeCell ref="A8:C8"/>
    <mergeCell ref="A12:C12"/>
    <mergeCell ref="A19:C19"/>
    <mergeCell ref="A34:C34"/>
    <mergeCell ref="A47:C47"/>
    <mergeCell ref="A52:C52"/>
    <mergeCell ref="A57:C57"/>
    <mergeCell ref="A60:C60"/>
    <mergeCell ref="A64:C64"/>
    <mergeCell ref="A74:C74"/>
  </mergeCells>
  <hyperlinks>
    <hyperlink ref="A5" location="'人物卡'!A1" display="返回人物卡"/>
    <hyperlink ref="B5" location="'规则速查'!A1" display="规则速查"/>
    <hyperlink ref="C5" location="'精神疾病'!A1" display="精神疾病"/>
  </hyperlinks>
  <pageMargins left="0.25" right="0.25" top="0.35" bottom="0.35" header="0.15" footer="0.15"/>
  <pageSetup paperSize="9"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I1199"/>
  <sheetViews>
    <sheetView workbookViewId="0">
      <selection activeCell="A1" sqref="A1"/>
    </sheetView>
  </sheetViews>
  <sheetFormatPr defaultColWidth="9" defaultRowHeight="14"/>
  <sheetData>
    <row r="1" spans="1:189">
      <c r="A1" s="9" t="s">
        <v>3684</v>
      </c>
    </row>
    <row r="2" spans="1:189">
      <c r="A2" t="str">
        <f>IF(人物卡!D14="","","技能："&amp;人物卡!D14)</f>
        <v>技能：会计学</v>
      </c>
      <c r="B2">
        <v>0</v>
      </c>
      <c r="C2">
        <f ca="1">人物卡!P14</f>
        <v>10</v>
      </c>
      <c r="D2" t="str">
        <f>人物卡!B14</f>
        <v>☐</v>
      </c>
      <c r="E2">
        <f ca="1">IF(AND(A2&lt;&gt;"",A2&lt;&gt;"技能：非自然知识",C2&gt;=1,OR(D2="√",D2="☑"),COUNTIFS($A$2:A2,A2,$D$2:D2,"√")+COUNTIFS($A$2:A2,A2,$D$2:D2,"☑")=1),1,0)</f>
        <v>0</v>
      </c>
      <c r="F2">
        <f ca="1">IF(E2=1,SUM($E$2:E2),0)</f>
        <v>0</v>
      </c>
      <c r="L2" t="s">
        <v>13</v>
      </c>
      <c r="M2">
        <f>N(人物卡!AN3)</f>
        <v>0</v>
      </c>
      <c r="O2">
        <f>IF(L2="","",COUNTIF($L$2:L2,"?*"))</f>
        <v>1</v>
      </c>
      <c r="P2" t="str">
        <f ca="1">IFERROR(INDEX($L$2:$L$79,MATCH(1,$O$2:$O$79,0)),"")</f>
        <v>力量</v>
      </c>
      <c r="S2">
        <f>N(人物卡!AH3)</f>
        <v>0</v>
      </c>
      <c r="T2" t="str">
        <f>IF(EN2=0,"",IF(INDEX(模组经历备忘录!$C$1:$C$200,EN2)="","",INDEX(模组经历备忘录!$C$1:$C$200,EN2)))</f>
        <v/>
      </c>
      <c r="U2" t="s">
        <v>3657</v>
      </c>
      <c r="W2" t="s">
        <v>2581</v>
      </c>
      <c r="X2" t="s">
        <v>3685</v>
      </c>
      <c r="Y2" t="str">
        <f>人物卡!CZ23</f>
        <v>父母或祖父母之一</v>
      </c>
      <c r="Z2">
        <f>N(人物卡!ED24)</f>
        <v>0</v>
      </c>
      <c r="AA2" t="str">
        <f>人物卡!EF24</f>
        <v>×</v>
      </c>
      <c r="AB2">
        <f>COUNTIFS(Y2:Y8,"?*",Z2:Z8,"&gt;0",AA2:AA8,"&lt;&gt;√")</f>
        <v>0</v>
      </c>
      <c r="AK2">
        <f ca="1">IFERROR(MATCH(1,$F$2:$F$61,0),0)</f>
        <v>0</v>
      </c>
      <c r="AL2" t="str">
        <f ca="1" t="shared" ref="AL2:AL61" si="0">IF(AK2=0,"",INDEX($A$2:$A$61,AK2))</f>
        <v/>
      </c>
      <c r="AM2">
        <f ca="1" t="shared" ref="AM2:AM61" si="1">IF(AL2="",0,IFERROR(MATCH($AO$5&amp;"-成长-"&amp;AL2,$I$200:$I$1199,0),0))</f>
        <v>0</v>
      </c>
      <c r="AO2">
        <f ca="1">SUM(E2:E61)</f>
        <v>0</v>
      </c>
      <c r="AQ2">
        <f>N(幕间与结算!$B$8)</f>
        <v>1</v>
      </c>
      <c r="DO2">
        <f t="shared" ref="DO2:DO65" si="2">IF(AND(L2&lt;&gt;"",L2&lt;&gt;"技能：非自然知识",OR(LEFT(L2,3)="技能：",COUNTIF($L$2:$L$7,L2)&gt;0)),1,0)</f>
        <v>1</v>
      </c>
      <c r="DP2">
        <f>IF(DO2=1,SUM($DO$2:DO2),0)</f>
        <v>1</v>
      </c>
      <c r="DQ2" t="str">
        <f ca="1">IFERROR(INDEX($L$2:$L$79,MATCH(1,$DP$2:$DP$79,0)),"")</f>
        <v>力量</v>
      </c>
      <c r="DR2">
        <f>IF(AND(Y2&lt;&gt;"",Z2&gt;0,AA2&lt;&gt;"√"),COUNTIFS($Y$2:Y2,"?*",$Z$2:Z2,"&gt;0",$AA$2:AA2,"&lt;&gt;√"),0)</f>
        <v>0</v>
      </c>
      <c r="DS2" t="str">
        <f>IFERROR(INDEX($X$2:$X$8,MATCH(1,$DR$2:$DR$8,0)),"")</f>
        <v/>
      </c>
      <c r="DT2">
        <f>IF(AND(Y2&lt;&gt;"",Z2&gt;0),COUNTIFS($Y$2:Y2,"?*",$Z$2:Z2,"&gt;0"),0)</f>
        <v>0</v>
      </c>
      <c r="DU2" t="str">
        <f>IFERROR(INDEX($X$2:$X$8,MATCH(1,$DT$2:$DT$8,0)),"")</f>
        <v/>
      </c>
      <c r="EN2">
        <f>IFERROR(MATCH(VALUE(W2),模组经历备忘录!$A$1:$A$200,0),IFERROR(MATCH(W2,模组经历备忘录!$A$1:$A$200,0),0))</f>
        <v>8</v>
      </c>
      <c r="EO2" t="s">
        <v>3686</v>
      </c>
      <c r="EP2" t="s">
        <v>2656</v>
      </c>
      <c r="EZ2" t="s">
        <v>3687</v>
      </c>
      <c r="GA2">
        <f>N(人物卡!AH10)</f>
        <v>0</v>
      </c>
      <c r="GE2" t="s">
        <v>3688</v>
      </c>
      <c r="GF2" t="s">
        <v>2619</v>
      </c>
      <c r="GG2" t="s">
        <v>2393</v>
      </c>
    </row>
    <row r="3" spans="1:189">
      <c r="A3" t="str">
        <f>IF(人物卡!D15="","","技能："&amp;人物卡!D15)</f>
        <v>技能：警觉</v>
      </c>
      <c r="B3">
        <v>0</v>
      </c>
      <c r="C3">
        <f ca="1">人物卡!P15</f>
        <v>20</v>
      </c>
      <c r="D3" t="str">
        <f>人物卡!B15</f>
        <v>☐</v>
      </c>
      <c r="E3">
        <f ca="1">IF(AND(A3&lt;&gt;"",A3&lt;&gt;"技能：非自然知识",C3&gt;=1,OR(D3="√",D3="☑"),COUNTIFS($A$2:A3,A3,$D$2:D3,"√")+COUNTIFS($A$2:A3,A3,$D$2:D3,"☑")=1),1,0)</f>
        <v>0</v>
      </c>
      <c r="F3">
        <f ca="1">IF(E3=1,SUM($E$2:E3),0)</f>
        <v>0</v>
      </c>
      <c r="L3" t="s">
        <v>17</v>
      </c>
      <c r="M3">
        <f>N(人物卡!AN4)</f>
        <v>0</v>
      </c>
      <c r="O3">
        <f>IF(L3="","",COUNTIF($L$2:L3,"?*"))</f>
        <v>2</v>
      </c>
      <c r="P3" t="str">
        <f ca="1">IFERROR(INDEX($L$2:$L$79,MATCH(2,$O$2:$O$79,0)),"")</f>
        <v>体质</v>
      </c>
      <c r="S3">
        <f>N(人物卡!AH4)</f>
        <v>0</v>
      </c>
      <c r="T3" t="str">
        <f>IF(EN3=0,"",IF(INDEX(模组经历备忘录!$C$1:$C$200,EN3)="","",INDEX(模组经历备忘录!$C$1:$C$200,EN3)))</f>
        <v/>
      </c>
      <c r="U3" t="s">
        <v>3659</v>
      </c>
      <c r="W3" t="s">
        <v>3689</v>
      </c>
      <c r="X3" t="s">
        <v>3690</v>
      </c>
      <c r="Y3" t="str">
        <f>人物卡!CZ26</f>
        <v>儿子或女儿</v>
      </c>
      <c r="Z3">
        <f>N(人物卡!ED27)</f>
        <v>0</v>
      </c>
      <c r="AA3" t="str">
        <f>人物卡!EF27</f>
        <v>×</v>
      </c>
      <c r="AB3">
        <f>COUNTIFS(Y2:Y8,"?*",Z2:Z8,"&gt;0")</f>
        <v>0</v>
      </c>
      <c r="AK3">
        <f ca="1">IFERROR(MATCH(2,$F$2:$F$61,0),0)</f>
        <v>0</v>
      </c>
      <c r="AL3" t="str">
        <f ca="1" t="shared" si="0"/>
        <v/>
      </c>
      <c r="AM3">
        <f ca="1" t="shared" si="1"/>
        <v>0</v>
      </c>
      <c r="AO3">
        <f ca="1">COUNTIF(幕间与结算!$K$30:$K$89,"待填1D4")</f>
        <v>0</v>
      </c>
      <c r="AQ3" t="str">
        <f>"幕间"&amp;AQ2</f>
        <v>幕间1</v>
      </c>
      <c r="DO3">
        <f t="shared" si="2"/>
        <v>1</v>
      </c>
      <c r="DP3">
        <f>IF(DO3=1,SUM($DO$2:DO3),0)</f>
        <v>2</v>
      </c>
      <c r="DQ3" t="str">
        <f ca="1">IFERROR(INDEX($L$2:$L$79,MATCH(2,$DP$2:$DP$79,0)),"")</f>
        <v>体质</v>
      </c>
      <c r="DR3">
        <f>IF(AND(Y3&lt;&gt;"",Z3&gt;0,AA3&lt;&gt;"√"),COUNTIFS($Y$2:Y3,"?*",$Z$2:Z3,"&gt;0",$AA$2:AA3,"&lt;&gt;√"),0)</f>
        <v>0</v>
      </c>
      <c r="DS3" t="str">
        <f>IFERROR(INDEX($X$2:$X$8,MATCH(2,$DR$2:$DR$8,0)),"")</f>
        <v/>
      </c>
      <c r="DT3">
        <f>IF(AND(Y3&lt;&gt;"",Z3&gt;0),COUNTIFS($Y$2:Y3,"?*",$Z$2:Z3,"&gt;0"),0)</f>
        <v>0</v>
      </c>
      <c r="DU3" t="str">
        <f>IFERROR(INDEX($X$2:$X$8,MATCH(2,$DT$2:$DT$8,0)),"")</f>
        <v/>
      </c>
      <c r="EN3">
        <f>IFERROR(MATCH(VALUE(W3),模组经历备忘录!$A$1:$A$200,0),IFERROR(MATCH(W3,模组经历备忘录!$A$1:$A$200,0),0))</f>
        <v>9</v>
      </c>
      <c r="EO3" t="s">
        <v>3691</v>
      </c>
      <c r="EP3" t="s">
        <v>3692</v>
      </c>
      <c r="EZ3" t="s">
        <v>3687</v>
      </c>
      <c r="GA3">
        <f>N(人物卡!V10)</f>
        <v>0</v>
      </c>
      <c r="GE3" t="s">
        <v>3693</v>
      </c>
      <c r="GF3" t="s">
        <v>2623</v>
      </c>
      <c r="GG3" t="s">
        <v>3524</v>
      </c>
    </row>
    <row r="4" spans="1:189">
      <c r="A4" t="str">
        <f>IF(人物卡!D16="","","技能："&amp;人物卡!D16)</f>
        <v>技能：人类学</v>
      </c>
      <c r="B4">
        <v>0</v>
      </c>
      <c r="C4">
        <f ca="1">人物卡!P16</f>
        <v>0</v>
      </c>
      <c r="D4" t="str">
        <f>人物卡!B16</f>
        <v>☐</v>
      </c>
      <c r="E4">
        <f ca="1">IF(AND(A4&lt;&gt;"",A4&lt;&gt;"技能：非自然知识",C4&gt;=1,OR(D4="√",D4="☑"),COUNTIFS($A$2:A4,A4,$D$2:D4,"√")+COUNTIFS($A$2:A4,A4,$D$2:D4,"☑")=1),1,0)</f>
        <v>0</v>
      </c>
      <c r="F4">
        <f ca="1">IF(E4=1,SUM($E$2:E4),0)</f>
        <v>0</v>
      </c>
      <c r="L4" t="s">
        <v>21</v>
      </c>
      <c r="M4">
        <f>N(人物卡!AN5)</f>
        <v>0</v>
      </c>
      <c r="O4">
        <f>IF(L4="","",COUNTIF($L$2:L4,"?*"))</f>
        <v>3</v>
      </c>
      <c r="P4" t="str">
        <f ca="1">IFERROR(INDEX($L$2:$L$79,MATCH(3,$O$2:$O$79,0)),"")</f>
        <v>敏捷</v>
      </c>
      <c r="S4">
        <f>N(人物卡!AH5)</f>
        <v>0</v>
      </c>
      <c r="T4" t="str">
        <f>IF(EN4=0,"",IF(INDEX(模组经历备忘录!$C$1:$C$200,EN4)="","",INDEX(模组经历备忘录!$C$1:$C$200,EN4)))</f>
        <v/>
      </c>
      <c r="U4" t="s">
        <v>3661</v>
      </c>
      <c r="W4" t="s">
        <v>3694</v>
      </c>
      <c r="X4" t="s">
        <v>3695</v>
      </c>
      <c r="Y4" t="str">
        <f>人物卡!CZ29</f>
        <v>父母或祖父母之一</v>
      </c>
      <c r="Z4">
        <f>N(人物卡!ED30)</f>
        <v>0</v>
      </c>
      <c r="AA4" t="str">
        <f>人物卡!EF30</f>
        <v>×</v>
      </c>
      <c r="AK4">
        <f ca="1">IFERROR(MATCH(3,$F$2:$F$61,0),0)</f>
        <v>0</v>
      </c>
      <c r="AL4" t="str">
        <f ca="1" t="shared" si="0"/>
        <v/>
      </c>
      <c r="AM4">
        <f ca="1" t="shared" si="1"/>
        <v>0</v>
      </c>
      <c r="AO4">
        <f ca="1">COUNTIF(幕间与结算!$K$30:$K$89,"可归档")</f>
        <v>0</v>
      </c>
      <c r="AQ4">
        <f>COUNTIFS($A$200:$A$1199,$AO$5,$B$200:$B$1199,$AQ$3,$H$200:$H$1199,1)</f>
        <v>0</v>
      </c>
      <c r="DO4">
        <f t="shared" si="2"/>
        <v>1</v>
      </c>
      <c r="DP4">
        <f>IF(DO4=1,SUM($DO$2:DO4),0)</f>
        <v>3</v>
      </c>
      <c r="DQ4" t="str">
        <f ca="1">IFERROR(INDEX($L$2:$L$79,MATCH(3,$DP$2:$DP$79,0)),"")</f>
        <v>敏捷</v>
      </c>
      <c r="DR4">
        <f>IF(AND(Y4&lt;&gt;"",Z4&gt;0,AA4&lt;&gt;"√"),COUNTIFS($Y$2:Y4,"?*",$Z$2:Z4,"&gt;0",$AA$2:AA4,"&lt;&gt;√"),0)</f>
        <v>0</v>
      </c>
      <c r="DS4" t="str">
        <f>IFERROR(INDEX($X$2:$X$8,MATCH(3,$DR$2:$DR$8,0)),"")</f>
        <v/>
      </c>
      <c r="DT4">
        <f>IF(AND(Y4&lt;&gt;"",Z4&gt;0),COUNTIFS($Y$2:Y4,"?*",$Z$2:Z4,"&gt;0"),0)</f>
        <v>0</v>
      </c>
      <c r="DU4" t="str">
        <f>IFERROR(INDEX($X$2:$X$8,MATCH(3,$DT$2:$DT$8,0)),"")</f>
        <v/>
      </c>
      <c r="EN4">
        <f>IFERROR(MATCH(VALUE(W4),模组经历备忘录!$A$1:$A$200,0),IFERROR(MATCH(W4,模组经历备忘录!$A$1:$A$200,0),0))</f>
        <v>10</v>
      </c>
      <c r="EO4" t="s">
        <v>3696</v>
      </c>
      <c r="EZ4" t="s">
        <v>3697</v>
      </c>
      <c r="GA4">
        <f>N(人物卡!AU10)</f>
        <v>0</v>
      </c>
      <c r="GE4" t="s">
        <v>3698</v>
      </c>
      <c r="GF4" t="s">
        <v>3699</v>
      </c>
      <c r="GG4" t="s">
        <v>2398</v>
      </c>
    </row>
    <row r="5" spans="1:189">
      <c r="A5" t="str">
        <f>IF(人物卡!D17="","","技能："&amp;人物卡!D17)</f>
        <v>技能：考古学</v>
      </c>
      <c r="B5">
        <v>0</v>
      </c>
      <c r="C5">
        <f ca="1">人物卡!P17</f>
        <v>0</v>
      </c>
      <c r="D5" t="str">
        <f>人物卡!B17</f>
        <v>☐</v>
      </c>
      <c r="E5">
        <f ca="1">IF(AND(A5&lt;&gt;"",A5&lt;&gt;"技能：非自然知识",C5&gt;=1,OR(D5="√",D5="☑"),COUNTIFS($A$2:A5,A5,$D$2:D5,"√")+COUNTIFS($A$2:A5,A5,$D$2:D5,"☑")=1),1,0)</f>
        <v>0</v>
      </c>
      <c r="F5">
        <f ca="1">IF(E5=1,SUM($E$2:E5),0)</f>
        <v>0</v>
      </c>
      <c r="L5" t="s">
        <v>25</v>
      </c>
      <c r="M5">
        <f>N(人物卡!AN6)</f>
        <v>0</v>
      </c>
      <c r="O5">
        <f>IF(L5="","",COUNTIF($L$2:L5,"?*"))</f>
        <v>4</v>
      </c>
      <c r="P5" t="str">
        <f ca="1">IFERROR(INDEX($L$2:$L$79,MATCH(4,$O$2:$O$79,0)),"")</f>
        <v>智力</v>
      </c>
      <c r="S5">
        <f>N(人物卡!AH6)</f>
        <v>0</v>
      </c>
      <c r="T5" t="str">
        <f>IF(EN5=0,"",IF(INDEX(模组经历备忘录!$C$1:$C$200,EN5)="","",INDEX(模组经历备忘录!$C$1:$C$200,EN5)))</f>
        <v/>
      </c>
      <c r="U5" t="s">
        <v>3663</v>
      </c>
      <c r="W5" t="s">
        <v>3700</v>
      </c>
      <c r="X5" t="s">
        <v>3701</v>
      </c>
      <c r="Y5">
        <f>人物卡!CZ32</f>
        <v>0</v>
      </c>
      <c r="Z5">
        <f>N(人物卡!ED33)</f>
        <v>0</v>
      </c>
      <c r="AA5" t="str">
        <f>人物卡!EF33</f>
        <v>×</v>
      </c>
      <c r="AK5">
        <f ca="1">IFERROR(MATCH(4,$F$2:$F$61,0),0)</f>
        <v>0</v>
      </c>
      <c r="AL5" t="str">
        <f ca="1" t="shared" si="0"/>
        <v/>
      </c>
      <c r="AM5">
        <f ca="1" t="shared" si="1"/>
        <v>0</v>
      </c>
      <c r="AO5" t="str">
        <f>IFERROR(TEXT(VALUE(幕间与结算!$B$3),"00"),"")</f>
        <v>01</v>
      </c>
      <c r="AQ5">
        <f>MAX($CL$200:$CL$1199)+1</f>
        <v>1</v>
      </c>
      <c r="DO5">
        <f t="shared" si="2"/>
        <v>1</v>
      </c>
      <c r="DP5">
        <f>IF(DO5=1,SUM($DO$2:DO5),0)</f>
        <v>4</v>
      </c>
      <c r="DQ5" t="str">
        <f ca="1">IFERROR(INDEX($L$2:$L$79,MATCH(4,$DP$2:$DP$79,0)),"")</f>
        <v>智力</v>
      </c>
      <c r="DR5">
        <f>IF(AND(Y5&lt;&gt;"",Z5&gt;0,AA5&lt;&gt;"√"),COUNTIFS($Y$2:Y5,"?*",$Z$2:Z5,"&gt;0",$AA$2:AA5,"&lt;&gt;√"),0)</f>
        <v>0</v>
      </c>
      <c r="DS5" t="str">
        <f>IFERROR(INDEX($X$2:$X$8,MATCH(4,$DR$2:$DR$8,0)),"")</f>
        <v/>
      </c>
      <c r="DT5">
        <f>IF(AND(Y5&lt;&gt;"",Z5&gt;0),COUNTIFS($Y$2:Y5,"?*",$Z$2:Z5,"&gt;0"),0)</f>
        <v>0</v>
      </c>
      <c r="DU5" t="str">
        <f>IFERROR(INDEX($X$2:$X$8,MATCH(4,$DT$2:$DT$8,0)),"")</f>
        <v/>
      </c>
      <c r="EN5">
        <f>IFERROR(MATCH(VALUE(W5),模组经历备忘录!$A$1:$A$200,0),IFERROR(MATCH(W5,模组经历备忘录!$A$1:$A$200,0),0))</f>
        <v>11</v>
      </c>
      <c r="EO5" t="s">
        <v>3702</v>
      </c>
      <c r="EZ5" t="s">
        <v>3703</v>
      </c>
      <c r="GA5">
        <f>N(人物卡!AN8)</f>
        <v>0</v>
      </c>
      <c r="GF5" t="s">
        <v>3704</v>
      </c>
      <c r="GG5" t="s">
        <v>2394</v>
      </c>
    </row>
    <row r="6" spans="1:189">
      <c r="A6" t="str">
        <f ca="1">IF(TRIM(人物卡!J18)="","","技能："&amp;SUBSTITUTE(人物卡!D18,"：","")&amp;"（"&amp;TRIM(人物卡!J18)&amp;"）")</f>
        <v/>
      </c>
      <c r="B6">
        <v>0</v>
      </c>
      <c r="C6">
        <f ca="1">人物卡!P18</f>
        <v>0</v>
      </c>
      <c r="D6" t="str">
        <f>人物卡!B18</f>
        <v>☐</v>
      </c>
      <c r="E6">
        <f ca="1">IF(AND(A6&lt;&gt;"",A6&lt;&gt;"技能：非自然知识",C6&gt;=1,OR(D6="√",D6="☑"),COUNTIFS($A$2:A6,A6,$D$2:D6,"√")+COUNTIFS($A$2:A6,A6,$D$2:D6,"☑")=1),1,0)</f>
        <v>0</v>
      </c>
      <c r="F6">
        <f ca="1">IF(E6=1,SUM($E$2:E6),0)</f>
        <v>0</v>
      </c>
      <c r="L6" t="s">
        <v>28</v>
      </c>
      <c r="M6">
        <f>N(人物卡!AN7)</f>
        <v>0</v>
      </c>
      <c r="O6">
        <f>IF(L6="","",COUNTIF($L$2:L6,"?*"))</f>
        <v>5</v>
      </c>
      <c r="P6" t="str">
        <f ca="1">IFERROR(INDEX($L$2:$L$79,MATCH(5,$O$2:$O$79,0)),"")</f>
        <v>意志</v>
      </c>
      <c r="S6">
        <f>N(人物卡!AH7)-IF(人物卡!$DF$46="关押或入狱",3,0)</f>
        <v>0</v>
      </c>
      <c r="T6" t="str">
        <f>IF(EN6=0,"",IF(INDEX(模组经历备忘录!$C$1:$C$200,EN6)="","",INDEX(模组经历备忘录!$C$1:$C$200,EN6)))</f>
        <v/>
      </c>
      <c r="U6" t="s">
        <v>3665</v>
      </c>
      <c r="W6" t="s">
        <v>3705</v>
      </c>
      <c r="X6" t="s">
        <v>3706</v>
      </c>
      <c r="Y6">
        <f>人物卡!CZ35</f>
        <v>0</v>
      </c>
      <c r="Z6">
        <f>N(人物卡!ED36)</f>
        <v>0</v>
      </c>
      <c r="AA6" t="str">
        <f>人物卡!EF36</f>
        <v>×</v>
      </c>
      <c r="AK6">
        <f ca="1">IFERROR(MATCH(5,$F$2:$F$61,0),0)</f>
        <v>0</v>
      </c>
      <c r="AL6" t="str">
        <f ca="1" t="shared" si="0"/>
        <v/>
      </c>
      <c r="AM6">
        <f ca="1" t="shared" si="1"/>
        <v>0</v>
      </c>
      <c r="AQ6">
        <f ca="1">COUNTIF(A100:A104,"?*")</f>
        <v>0</v>
      </c>
      <c r="DO6">
        <f t="shared" si="2"/>
        <v>1</v>
      </c>
      <c r="DP6">
        <f>IF(DO6=1,SUM($DO$2:DO6),0)</f>
        <v>5</v>
      </c>
      <c r="DQ6" t="str">
        <f ca="1">IFERROR(INDEX($L$2:$L$79,MATCH(5,$DP$2:$DP$79,0)),"")</f>
        <v>意志</v>
      </c>
      <c r="DR6">
        <f>IF(AND(Y6&lt;&gt;"",Z6&gt;0,AA6&lt;&gt;"√"),COUNTIFS($Y$2:Y6,"?*",$Z$2:Z6,"&gt;0",$AA$2:AA6,"&lt;&gt;√"),0)</f>
        <v>0</v>
      </c>
      <c r="DS6" t="str">
        <f>IFERROR(INDEX($X$2:$X$8,MATCH(5,$DR$2:$DR$8,0)),"")</f>
        <v/>
      </c>
      <c r="DT6">
        <f>IF(AND(Y6&lt;&gt;"",Z6&gt;0),COUNTIFS($Y$2:Y6,"?*",$Z$2:Z6,"&gt;0"),0)</f>
        <v>0</v>
      </c>
      <c r="DU6" t="str">
        <f>IFERROR(INDEX($X$2:$X$8,MATCH(5,$DT$2:$DT$8,0)),"")</f>
        <v/>
      </c>
      <c r="EN6">
        <f>IFERROR(MATCH(VALUE(W6),模组经历备忘录!$A$1:$A$200,0),IFERROR(MATCH(W6,模组经历备忘录!$A$1:$A$200,0),0))</f>
        <v>12</v>
      </c>
      <c r="EZ6" t="s">
        <v>3707</v>
      </c>
      <c r="GA6">
        <f>N(人物卡!AN7)</f>
        <v>0</v>
      </c>
      <c r="GF6" t="s">
        <v>3708</v>
      </c>
      <c r="GG6" t="s">
        <v>2391</v>
      </c>
    </row>
    <row r="7" spans="1:189">
      <c r="A7" t="str">
        <f ca="1">IF(TRIM(人物卡!J19)="","","技能："&amp;SUBSTITUTE(人物卡!D19,"：","")&amp;"（"&amp;TRIM(人物卡!J19)&amp;"）")</f>
        <v/>
      </c>
      <c r="B7">
        <v>0</v>
      </c>
      <c r="C7">
        <f ca="1">人物卡!P19</f>
        <v>0</v>
      </c>
      <c r="D7" t="str">
        <f>人物卡!B19</f>
        <v>☐</v>
      </c>
      <c r="E7">
        <f ca="1">IF(AND(A7&lt;&gt;"",A7&lt;&gt;"技能：非自然知识",C7&gt;=1,OR(D7="√",D7="☑"),COUNTIFS($A$2:A7,A7,$D$2:D7,"√")+COUNTIFS($A$2:A7,A7,$D$2:D7,"☑")=1),1,0)</f>
        <v>0</v>
      </c>
      <c r="F7">
        <f ca="1">IF(E7=1,SUM($E$2:E7),0)</f>
        <v>0</v>
      </c>
      <c r="L7" t="s">
        <v>31</v>
      </c>
      <c r="M7">
        <f>N(人物卡!AN8)</f>
        <v>0</v>
      </c>
      <c r="O7">
        <f>IF(L7="","",COUNTIF($L$2:L7,"?*"))</f>
        <v>6</v>
      </c>
      <c r="P7" t="str">
        <f ca="1">IFERROR(INDEX($L$2:$L$79,MATCH(6,$O$2:$O$79,0)),"")</f>
        <v>魅力</v>
      </c>
      <c r="S7">
        <f>N(人物卡!AH8)-IF(人物卡!$DF$46="极端暴力",3,0)</f>
        <v>0</v>
      </c>
      <c r="T7" t="str">
        <f>IF(EN7=0,"",IF(INDEX(模组经历备忘录!$C$1:$C$200,EN7)="","",INDEX(模组经历备忘录!$C$1:$C$200,EN7)))</f>
        <v/>
      </c>
      <c r="U7" t="s">
        <v>3667</v>
      </c>
      <c r="W7" t="s">
        <v>3709</v>
      </c>
      <c r="X7" t="s">
        <v>3710</v>
      </c>
      <c r="Y7">
        <f>人物卡!CZ38</f>
        <v>0</v>
      </c>
      <c r="Z7">
        <f>N(人物卡!ED39)</f>
        <v>0</v>
      </c>
      <c r="AA7" t="str">
        <f>人物卡!EF39</f>
        <v>×</v>
      </c>
      <c r="AK7">
        <f ca="1">IFERROR(MATCH(6,$F$2:$F$61,0),0)</f>
        <v>0</v>
      </c>
      <c r="AL7" t="str">
        <f ca="1" t="shared" si="0"/>
        <v/>
      </c>
      <c r="AM7">
        <f ca="1" t="shared" si="1"/>
        <v>0</v>
      </c>
      <c r="AQ7">
        <f ca="1">IF(AQ4&gt;0,AQ4,AQ6)</f>
        <v>0</v>
      </c>
      <c r="DO7">
        <f t="shared" si="2"/>
        <v>1</v>
      </c>
      <c r="DP7">
        <f>IF(DO7=1,SUM($DO$2:DO7),0)</f>
        <v>6</v>
      </c>
      <c r="DQ7" t="str">
        <f ca="1">IFERROR(INDEX($L$2:$L$79,MATCH(6,$DP$2:$DP$79,0)),"")</f>
        <v>魅力</v>
      </c>
      <c r="DR7">
        <f>IF(AND(Y7&lt;&gt;"",Z7&gt;0,AA7&lt;&gt;"√"),COUNTIFS($Y$2:Y7,"?*",$Z$2:Z7,"&gt;0",$AA$2:AA7,"&lt;&gt;√"),0)</f>
        <v>0</v>
      </c>
      <c r="DS7" t="str">
        <f>IFERROR(INDEX($X$2:$X$8,MATCH(6,$DR$2:$DR$8,0)),"")</f>
        <v/>
      </c>
      <c r="DT7">
        <f>IF(AND(Y7&lt;&gt;"",Z7&gt;0),COUNTIFS($Y$2:Y7,"?*",$Z$2:Z7,"&gt;0"),0)</f>
        <v>0</v>
      </c>
      <c r="DU7" t="str">
        <f>IFERROR(INDEX($X$2:$X$8,MATCH(6,$DT$2:$DT$8,0)),"")</f>
        <v/>
      </c>
      <c r="EN7">
        <f>IFERROR(MATCH(VALUE(W7),模组经历备忘录!$A$1:$A$200,0),IFERROR(MATCH(W7,模组经历备忘录!$A$1:$A$200,0),0))</f>
        <v>13</v>
      </c>
      <c r="EZ7" t="s">
        <v>3687</v>
      </c>
      <c r="GA7">
        <f>GA1199</f>
        <v>0</v>
      </c>
      <c r="GF7" t="s">
        <v>3711</v>
      </c>
      <c r="GG7" t="s">
        <v>2392</v>
      </c>
    </row>
    <row r="8" spans="1:189">
      <c r="A8" t="str">
        <f ca="1">IF(TRIM(人物卡!J20)="","","技能："&amp;SUBSTITUTE(人物卡!D20,"：","")&amp;"（"&amp;TRIM(人物卡!J20)&amp;"）")</f>
        <v/>
      </c>
      <c r="B8">
        <v>0</v>
      </c>
      <c r="C8">
        <f ca="1">人物卡!P20</f>
        <v>0</v>
      </c>
      <c r="D8" t="str">
        <f>人物卡!B20</f>
        <v>☐</v>
      </c>
      <c r="E8">
        <f ca="1">IF(AND(A8&lt;&gt;"",A8&lt;&gt;"技能：非自然知识",C8&gt;=1,OR(D8="√",D8="☑"),COUNTIFS($A$2:A8,A8,$D$2:D8,"√")+COUNTIFS($A$2:A8,A8,$D$2:D8,"☑")=1),1,0)</f>
        <v>0</v>
      </c>
      <c r="F8">
        <f ca="1">IF(E8=1,SUM($E$2:E8),0)</f>
        <v>0</v>
      </c>
      <c r="L8" t="s">
        <v>38</v>
      </c>
      <c r="M8">
        <f>N(人物卡!H10)</f>
        <v>0</v>
      </c>
      <c r="O8">
        <f>IF(L8="","",COUNTIF($L$2:L8,"?*"))</f>
        <v>7</v>
      </c>
      <c r="P8" t="str">
        <f ca="1">IFERROR(INDEX($L$2:$L$79,MATCH(7,$O$2:$O$79,0)),"")</f>
        <v>体力</v>
      </c>
      <c r="S8">
        <f>IF(ISNUMBER(人物卡!B11),人物卡!B11,CEILING((S2+S3)/2,1))</f>
        <v>0</v>
      </c>
      <c r="T8" t="str">
        <f>IF(EN8=0,"",IF(INDEX(模组经历备忘录!$C$1:$C$200,EN8)="","",INDEX(模组经历备忘录!$C$1:$C$200,EN8)))</f>
        <v/>
      </c>
      <c r="U8" t="s">
        <v>3669</v>
      </c>
      <c r="W8" t="s">
        <v>3712</v>
      </c>
      <c r="X8" t="s">
        <v>3713</v>
      </c>
      <c r="Y8">
        <f>人物卡!CZ41</f>
        <v>0</v>
      </c>
      <c r="Z8">
        <f>N(人物卡!ED42)</f>
        <v>0</v>
      </c>
      <c r="AA8" t="str">
        <f>人物卡!EF42</f>
        <v>×</v>
      </c>
      <c r="AK8">
        <f ca="1">IFERROR(MATCH(7,$F$2:$F$61,0),0)</f>
        <v>0</v>
      </c>
      <c r="AL8" t="str">
        <f ca="1" t="shared" si="0"/>
        <v/>
      </c>
      <c r="AM8">
        <f ca="1" t="shared" si="1"/>
        <v>0</v>
      </c>
      <c r="AQ8">
        <f>MIN(CN200:CN1199)</f>
        <v>1</v>
      </c>
      <c r="DO8">
        <f t="shared" si="2"/>
        <v>0</v>
      </c>
      <c r="DP8">
        <f>IF(DO8=1,SUM($DO$2:DO8),0)</f>
        <v>0</v>
      </c>
      <c r="DQ8" t="str">
        <f ca="1">IFERROR(INDEX($L$2:$L$79,MATCH(7,$DP$2:$DP$79,0)),"")</f>
        <v>技能：会计学</v>
      </c>
      <c r="DR8">
        <f>IF(AND(Y8&lt;&gt;"",Z8&gt;0,AA8&lt;&gt;"√"),COUNTIFS($Y$2:Y8,"?*",$Z$2:Z8,"&gt;0",$AA$2:AA8,"&lt;&gt;√"),0)</f>
        <v>0</v>
      </c>
      <c r="DS8" t="str">
        <f>IFERROR(INDEX($X$2:$X$8,MATCH(7,$DR$2:$DR$8,0)),"")</f>
        <v/>
      </c>
      <c r="DT8">
        <f>IF(AND(Y8&lt;&gt;"",Z8&gt;0),COUNTIFS($Y$2:Y8,"?*",$Z$2:Z8,"&gt;0"),0)</f>
        <v>0</v>
      </c>
      <c r="DU8" t="str">
        <f>IFERROR(INDEX($X$2:$X$8,MATCH(7,$DT$2:$DT$8,0)),"")</f>
        <v/>
      </c>
      <c r="EN8">
        <f>IFERROR(MATCH(VALUE(W8),模组经历备忘录!$A$1:$A$200,0),IFERROR(MATCH(W8,模组经历备忘录!$A$1:$A$200,0),0))</f>
        <v>14</v>
      </c>
      <c r="EZ8" t="s">
        <v>3714</v>
      </c>
      <c r="GA8">
        <f>GB1199</f>
        <v>0</v>
      </c>
      <c r="GF8" t="s">
        <v>3715</v>
      </c>
      <c r="GG8" t="s">
        <v>2395</v>
      </c>
    </row>
    <row r="9" spans="1:189">
      <c r="A9" t="str">
        <f>IF(人物卡!D21="","","技能："&amp;人物卡!D21)</f>
        <v>技能：炮术</v>
      </c>
      <c r="B9">
        <v>0</v>
      </c>
      <c r="C9">
        <f ca="1">人物卡!P21</f>
        <v>0</v>
      </c>
      <c r="D9" t="str">
        <f>人物卡!B21</f>
        <v>☐</v>
      </c>
      <c r="E9">
        <f ca="1">IF(AND(A9&lt;&gt;"",A9&lt;&gt;"技能：非自然知识",C9&gt;=1,OR(D9="√",D9="☑"),COUNTIFS($A$2:A9,A9,$D$2:D9,"√")+COUNTIFS($A$2:A9,A9,$D$2:D9,"☑")=1),1,0)</f>
        <v>0</v>
      </c>
      <c r="F9">
        <f ca="1">IF(E9=1,SUM($E$2:E9),0)</f>
        <v>0</v>
      </c>
      <c r="L9" t="s">
        <v>39</v>
      </c>
      <c r="M9">
        <f>N(人物卡!V10)</f>
        <v>0</v>
      </c>
      <c r="O9">
        <f>IF(L9="","",COUNTIF($L$2:L9,"?*"))</f>
        <v>8</v>
      </c>
      <c r="P9" t="str">
        <f ca="1">IFERROR(INDEX($L$2:$L$79,MATCH(8,$O$2:$O$79,0)),"")</f>
        <v>毅力</v>
      </c>
      <c r="S9">
        <f>IF(ISNUMBER(人物卡!N11),人物卡!N11,S6)</f>
        <v>0</v>
      </c>
      <c r="T9" t="str">
        <f>IF(EN9=0,"",IF(INDEX(模组经历备忘录!$C$1:$C$200,EN9)="","",INDEX(模组经历备忘录!$C$1:$C$200,EN9)))</f>
        <v/>
      </c>
      <c r="U9" t="s">
        <v>3671</v>
      </c>
      <c r="W9" t="s">
        <v>3716</v>
      </c>
      <c r="AK9">
        <f ca="1">IFERROR(MATCH(8,$F$2:$F$61,0),0)</f>
        <v>0</v>
      </c>
      <c r="AL9" t="str">
        <f ca="1" t="shared" si="0"/>
        <v/>
      </c>
      <c r="AM9">
        <f ca="1" t="shared" si="1"/>
        <v>0</v>
      </c>
      <c r="DO9">
        <f t="shared" si="2"/>
        <v>0</v>
      </c>
      <c r="DP9">
        <f>IF(DO9=1,SUM($DO$2:DO9),0)</f>
        <v>0</v>
      </c>
      <c r="DQ9" t="str">
        <f ca="1">IFERROR(INDEX($L$2:$L$79,MATCH(8,$DP$2:$DP$79,0)),"")</f>
        <v>技能：警觉</v>
      </c>
      <c r="EN9">
        <f>IFERROR(MATCH(VALUE(W9),模组经历备忘录!$A$1:$A$200,0),IFERROR(MATCH(W9,模组经历备忘录!$A$1:$A$200,0),0))</f>
        <v>15</v>
      </c>
      <c r="EZ9" t="s">
        <v>3717</v>
      </c>
      <c r="GA9">
        <f>理智与关系记录!$E$9</f>
        <v>0</v>
      </c>
      <c r="GF9" t="s">
        <v>3718</v>
      </c>
      <c r="GG9" t="s">
        <v>2396</v>
      </c>
    </row>
    <row r="10" spans="1:189">
      <c r="A10" t="str">
        <f>IF(人物卡!D22="","","技能："&amp;人物卡!D22)</f>
        <v>技能：运动</v>
      </c>
      <c r="B10">
        <v>0</v>
      </c>
      <c r="C10">
        <f ca="1">人物卡!P22</f>
        <v>30</v>
      </c>
      <c r="D10" t="str">
        <f>人物卡!B22</f>
        <v>☐</v>
      </c>
      <c r="E10">
        <f ca="1">IF(AND(A10&lt;&gt;"",A10&lt;&gt;"技能：非自然知识",C10&gt;=1,OR(D10="√",D10="☑"),COUNTIFS($A$2:A10,A10,$D$2:D10,"√")+COUNTIFS($A$2:A10,A10,$D$2:D10,"☑")=1),1,0)</f>
        <v>0</v>
      </c>
      <c r="F10">
        <f ca="1">IF(E10=1,SUM($E$2:E10),0)</f>
        <v>0</v>
      </c>
      <c r="L10" t="s">
        <v>40</v>
      </c>
      <c r="M10">
        <f>N(人物卡!AH10)</f>
        <v>0</v>
      </c>
      <c r="O10">
        <f>IF(L10="","",COUNTIF($L$2:L10,"?*"))</f>
        <v>9</v>
      </c>
      <c r="P10" t="str">
        <f ca="1">IFERROR(INDEX($L$2:$L$79,MATCH(9,$O$2:$O$79,0)),"")</f>
        <v>理智</v>
      </c>
      <c r="S10">
        <f>IF(ISNUMBER(人物卡!AB11),人物卡!AB11,MIN(99-N(人物卡!BB39),N(人物卡!AH7)*5-IF(人物卡!DF46="人类不应知道之事",S6,IF(OR(人物卡!DF46="极端暴力",人物卡!DF46="关押或入狱",人物卡!DF46="艰苦经历"),5,0))))</f>
        <v>0</v>
      </c>
      <c r="T10" t="str">
        <f>IF(EN10=0,"",IF(INDEX(模组经历备忘录!$C$1:$C$200,EN10)="","",INDEX(模组经历备忘录!$C$1:$C$200,EN10)))</f>
        <v/>
      </c>
      <c r="U10" t="s">
        <v>3673</v>
      </c>
      <c r="W10" t="s">
        <v>3719</v>
      </c>
      <c r="AK10">
        <f ca="1">IFERROR(MATCH(9,$F$2:$F$61,0),0)</f>
        <v>0</v>
      </c>
      <c r="AL10" t="str">
        <f ca="1" t="shared" si="0"/>
        <v/>
      </c>
      <c r="AM10">
        <f ca="1" t="shared" si="1"/>
        <v>0</v>
      </c>
      <c r="AQ10">
        <f>IF(AND(幕间与结算!$F$8&lt;&gt;"",NOT(OR(幕间与结算!$F$8="进行特训",幕间与结算!$F$8="回顾案件",幕间与结算!$F$8="研究非自然知识"))),1,0)</f>
        <v>0</v>
      </c>
      <c r="DO10">
        <f t="shared" si="2"/>
        <v>0</v>
      </c>
      <c r="DP10">
        <f>IF(DO10=1,SUM($DO$2:DO10),0)</f>
        <v>0</v>
      </c>
      <c r="DQ10" t="str">
        <f ca="1">IFERROR(INDEX($L$2:$L$79,MATCH(9,$DP$2:$DP$79,0)),"")</f>
        <v>技能：人类学</v>
      </c>
      <c r="EN10">
        <f>IFERROR(MATCH(VALUE(W10),模组经历备忘录!$A$1:$A$200,0),IFERROR(MATCH(W10,模组经历备忘录!$A$1:$A$200,0),0))</f>
        <v>16</v>
      </c>
      <c r="EZ10" t="s">
        <v>3720</v>
      </c>
      <c r="GA10" t="str">
        <f>IFERROR(TEXT(VALUE(理智与关系记录!$E$8),"00"),"")</f>
        <v>01</v>
      </c>
      <c r="GF10" t="s">
        <v>3721</v>
      </c>
      <c r="GG10" t="s">
        <v>3536</v>
      </c>
    </row>
    <row r="11" spans="1:189">
      <c r="A11" t="str">
        <f>IF(人物卡!D23="","","技能："&amp;人物卡!D23)</f>
        <v>技能：行政</v>
      </c>
      <c r="B11">
        <v>0</v>
      </c>
      <c r="C11">
        <f ca="1">人物卡!P23</f>
        <v>10</v>
      </c>
      <c r="D11" t="str">
        <f>人物卡!B23</f>
        <v>☐</v>
      </c>
      <c r="E11">
        <f ca="1">IF(AND(A11&lt;&gt;"",A11&lt;&gt;"技能：非自然知识",C11&gt;=1,OR(D11="√",D11="☑"),COUNTIFS($A$2:A11,A11,$D$2:D11,"√")+COUNTIFS($A$2:A11,A11,$D$2:D11,"☑")=1),1,0)</f>
        <v>0</v>
      </c>
      <c r="F11">
        <f ca="1">IF(E11=1,SUM($E$2:E11),0)</f>
        <v>0</v>
      </c>
      <c r="L11" t="s">
        <v>41</v>
      </c>
      <c r="M11">
        <f>N(人物卡!AU10)</f>
        <v>0</v>
      </c>
      <c r="O11">
        <f>IF(L11="","",COUNTIF($L$2:L11,"?*"))</f>
        <v>10</v>
      </c>
      <c r="P11" t="str">
        <f ca="1">IFERROR(INDEX($L$2:$L$79,MATCH(10,$O$2:$O$79,0)),"")</f>
        <v>崩溃点</v>
      </c>
      <c r="S11">
        <f>IF(ISNUMBER(人物卡!AN11),人物卡!AN11,IF(人物卡!DF46="人类不应知道之事",S10-S6,N(人物卡!AH7)*4))</f>
        <v>0</v>
      </c>
      <c r="T11" t="str">
        <f>IF(EN11=0,"",IF(INDEX(模组经历备忘录!$C$1:$C$200,EN11)="","",INDEX(模组经历备忘录!$C$1:$C$200,EN11)))</f>
        <v/>
      </c>
      <c r="W11" t="s">
        <v>2523</v>
      </c>
      <c r="AK11">
        <f ca="1">IFERROR(MATCH(10,$F$2:$F$61,0),0)</f>
        <v>0</v>
      </c>
      <c r="AL11" t="str">
        <f ca="1" t="shared" si="0"/>
        <v/>
      </c>
      <c r="AM11">
        <f ca="1" t="shared" si="1"/>
        <v>0</v>
      </c>
      <c r="AQ11">
        <f>IF(幕间与结算!$F$8="接受心理治疗",1,0)</f>
        <v>0</v>
      </c>
      <c r="DO11">
        <f t="shared" si="2"/>
        <v>0</v>
      </c>
      <c r="DP11">
        <f>IF(DO11=1,SUM($DO$2:DO11),0)</f>
        <v>0</v>
      </c>
      <c r="DQ11" t="str">
        <f ca="1">IFERROR(INDEX($L$2:$L$79,MATCH(10,$DP$2:$DP$79,0)),"")</f>
        <v>技能：考古学</v>
      </c>
      <c r="EN11">
        <f>IFERROR(MATCH(VALUE(W11),模组经历备忘录!$A$1:$A$200,0),IFERROR(MATCH(W11,模组经历备忘录!$A$1:$A$200,0),0))</f>
        <v>17</v>
      </c>
      <c r="GA11" t="str">
        <f>"事件"&amp;N(理智与关系记录!$B$8)</f>
        <v>事件1</v>
      </c>
      <c r="GF11" t="s">
        <v>42</v>
      </c>
      <c r="GG11" t="s">
        <v>3539</v>
      </c>
    </row>
    <row r="12" spans="1:189">
      <c r="A12" t="str">
        <f>IF(人物卡!D24="","","技能："&amp;人物卡!D24)</f>
        <v>技能：计算机科学</v>
      </c>
      <c r="B12">
        <v>0</v>
      </c>
      <c r="C12">
        <f ca="1">人物卡!P24</f>
        <v>0</v>
      </c>
      <c r="D12" t="str">
        <f>人物卡!B24</f>
        <v>☐</v>
      </c>
      <c r="E12">
        <f ca="1">IF(AND(A12&lt;&gt;"",A12&lt;&gt;"技能：非自然知识",C12&gt;=1,OR(D12="√",D12="☑"),COUNTIFS($A$2:A12,A12,$D$2:D12,"√")+COUNTIFS($A$2:A12,A12,$D$2:D12,"☑")=1),1,0)</f>
        <v>0</v>
      </c>
      <c r="F12">
        <f ca="1">IF(E12=1,SUM($E$2:E12),0)</f>
        <v>0</v>
      </c>
      <c r="L12" t="s">
        <v>3685</v>
      </c>
      <c r="M12">
        <f>N(人物卡!ED24)</f>
        <v>0</v>
      </c>
      <c r="O12">
        <f>IF(L12="","",COUNTIF($L$2:L12,"?*"))</f>
        <v>11</v>
      </c>
      <c r="P12" t="str">
        <f ca="1">IFERROR(INDEX($L$2:$L$79,MATCH(11,$O$2:$O$79,0)),"")</f>
        <v>重要关系1</v>
      </c>
      <c r="T12" t="str">
        <f>IF(EN12=0,"",IF(INDEX(模组经历备忘录!$C$1:$C$200,EN12)="","",INDEX(模组经历备忘录!$C$1:$C$200,EN12)))</f>
        <v/>
      </c>
      <c r="W12" t="s">
        <v>3722</v>
      </c>
      <c r="AK12">
        <f ca="1">IFERROR(MATCH(11,$F$2:$F$61,0),0)</f>
        <v>0</v>
      </c>
      <c r="AL12" t="str">
        <f ca="1" t="shared" si="0"/>
        <v/>
      </c>
      <c r="AM12">
        <f ca="1" t="shared" si="1"/>
        <v>0</v>
      </c>
      <c r="AQ12">
        <f>IF(OR(幕间与结算!$F$8="按部就班",幕间与结算!$F$8="建立新的重要关系",幕间与结算!$F$8="提升技能或属性"),1,0)</f>
        <v>0</v>
      </c>
      <c r="DO12">
        <f t="shared" si="2"/>
        <v>0</v>
      </c>
      <c r="DP12">
        <f>IF(DO12=1,SUM($DO$2:DO12),0)</f>
        <v>0</v>
      </c>
      <c r="DQ12" t="str">
        <f ca="1">IFERROR(INDEX($L$2:$L$79,MATCH(11,$DP$2:$DP$79,0)),"")</f>
        <v>技能：炮术</v>
      </c>
      <c r="EN12">
        <f>IFERROR(MATCH(VALUE(W12),模组经历备忘录!$A$1:$A$200,0),IFERROR(MATCH(W12,模组经历备忘录!$A$1:$A$200,0),0))</f>
        <v>18</v>
      </c>
      <c r="GA12">
        <f>COUNTIFS($A$200:$A$1199,$GA$10,$B$200:$B$1199,$GA$11,$H$200:$H$1199,1)</f>
        <v>0</v>
      </c>
      <c r="GF12" t="s">
        <v>47</v>
      </c>
      <c r="GG12" t="s">
        <v>3541</v>
      </c>
    </row>
    <row r="13" spans="1:189">
      <c r="A13" t="str">
        <f ca="1">IF(TRIM(人物卡!J25)="","","技能："&amp;SUBSTITUTE(人物卡!D25,"：","")&amp;"（"&amp;TRIM(人物卡!J25)&amp;"）")</f>
        <v/>
      </c>
      <c r="B13">
        <v>0</v>
      </c>
      <c r="C13">
        <f ca="1">人物卡!P25</f>
        <v>0</v>
      </c>
      <c r="D13" t="str">
        <f>人物卡!B25</f>
        <v>☐</v>
      </c>
      <c r="E13">
        <f ca="1">IF(AND(A13&lt;&gt;"",A13&lt;&gt;"技能：非自然知识",C13&gt;=1,OR(D13="√",D13="☑"),COUNTIFS($A$2:A13,A13,$D$2:D13,"√")+COUNTIFS($A$2:A13,A13,$D$2:D13,"☑")=1),1,0)</f>
        <v>0</v>
      </c>
      <c r="F13">
        <f ca="1">IF(E13=1,SUM($E$2:E13),0)</f>
        <v>0</v>
      </c>
      <c r="L13" t="s">
        <v>3690</v>
      </c>
      <c r="M13">
        <f>N(人物卡!ED27)</f>
        <v>0</v>
      </c>
      <c r="O13">
        <f>IF(L13="","",COUNTIF($L$2:L13,"?*"))</f>
        <v>12</v>
      </c>
      <c r="P13" t="str">
        <f ca="1">IFERROR(INDEX($L$2:$L$79,MATCH(12,$O$2:$O$79,0)),"")</f>
        <v>重要关系2</v>
      </c>
      <c r="T13" t="str">
        <f>IF(EN13=0,"",IF(INDEX(模组经历备忘录!$C$1:$C$200,EN13)="","",INDEX(模组经历备忘录!$C$1:$C$200,EN13)))</f>
        <v/>
      </c>
      <c r="W13" t="s">
        <v>3723</v>
      </c>
      <c r="AK13">
        <f ca="1">IFERROR(MATCH(12,$F$2:$F$61,0),0)</f>
        <v>0</v>
      </c>
      <c r="AL13" t="str">
        <f ca="1" t="shared" si="0"/>
        <v/>
      </c>
      <c r="AM13">
        <f ca="1" t="shared" si="1"/>
        <v>0</v>
      </c>
      <c r="AQ13">
        <f>IF(OR(AND(幕间与结算!$F$8="按部就班",OR(OR(幕间与结算!$B$9="成功",幕间与结算!$B$9="大成功"),幕间与结算!$B$9="大失败")),AND(幕间与结算!$F$8="远离喧嚣",OR(幕间与结算!$B$9="成功",幕间与结算!$B$9="大失败")),AND(幕间与结算!$F$8="接受心理治疗",幕间与结算!$B$9="成功"),AND(幕间与结算!$F$8="提升技能或属性",OR(幕间与结算!$B$9="失败",幕间与结算!$B$9="大失败"),LEFT(幕间与结算!$E$10,3)="技能："),AND(幕间与结算!$F$8="重建人生动力",幕间与结算!$B$9="大成功"),幕间与结算!$F$8="回顾案件",幕间与结算!$F$8="研究非自然知识"),1,0)</f>
        <v>0</v>
      </c>
      <c r="DO13">
        <f t="shared" si="2"/>
        <v>0</v>
      </c>
      <c r="DP13">
        <f>IF(DO13=1,SUM($DO$2:DO13),0)</f>
        <v>0</v>
      </c>
      <c r="DQ13" t="str">
        <f ca="1">IFERROR(INDEX($L$2:$L$79,MATCH(12,$DP$2:$DP$79,0)),"")</f>
        <v>技能：运动</v>
      </c>
      <c r="EN13">
        <f>IFERROR(MATCH(VALUE(W13),模组经历备忘录!$A$1:$A$200,0),IFERROR(MATCH(W13,模组经历备忘录!$A$1:$A$200,0),0))</f>
        <v>19</v>
      </c>
      <c r="GA13">
        <f>MAX($GD$200:$GD$1199)+1</f>
        <v>1</v>
      </c>
      <c r="GF13" t="s">
        <v>3724</v>
      </c>
      <c r="GG13" t="s">
        <v>3543</v>
      </c>
    </row>
    <row r="14" spans="1:189">
      <c r="A14" t="str">
        <f ca="1">IF(TRIM(人物卡!J26)="","","技能："&amp;SUBSTITUTE(人物卡!D26,"：","")&amp;"（"&amp;TRIM(人物卡!J26)&amp;"）")</f>
        <v/>
      </c>
      <c r="B14">
        <v>0</v>
      </c>
      <c r="C14">
        <f ca="1">人物卡!P26</f>
        <v>0</v>
      </c>
      <c r="D14" t="str">
        <f>人物卡!B26</f>
        <v>☐</v>
      </c>
      <c r="E14">
        <f ca="1">IF(AND(A14&lt;&gt;"",A14&lt;&gt;"技能：非自然知识",C14&gt;=1,OR(D14="√",D14="☑"),COUNTIFS($A$2:A14,A14,$D$2:D14,"√")+COUNTIFS($A$2:A14,A14,$D$2:D14,"☑")=1),1,0)</f>
        <v>0</v>
      </c>
      <c r="F14">
        <f ca="1">IF(E14=1,SUM($E$2:E14),0)</f>
        <v>0</v>
      </c>
      <c r="L14" t="s">
        <v>3695</v>
      </c>
      <c r="M14">
        <f>N(人物卡!ED30)</f>
        <v>0</v>
      </c>
      <c r="O14">
        <f>IF(L14="","",COUNTIF($L$2:L14,"?*"))</f>
        <v>13</v>
      </c>
      <c r="P14" t="str">
        <f ca="1">IFERROR(INDEX($L$2:$L$79,MATCH(13,$O$2:$O$79,0)),"")</f>
        <v>重要关系3</v>
      </c>
      <c r="T14" t="str">
        <f>IF(EN14=0,"",IF(INDEX(模组经历备忘录!$C$1:$C$200,EN14)="","",INDEX(模组经历备忘录!$C$1:$C$200,EN14)))</f>
        <v/>
      </c>
      <c r="W14" t="s">
        <v>3725</v>
      </c>
      <c r="AK14">
        <f ca="1">IFERROR(MATCH(13,$F$2:$F$61,0),0)</f>
        <v>0</v>
      </c>
      <c r="AL14" t="str">
        <f ca="1" t="shared" si="0"/>
        <v/>
      </c>
      <c r="AM14">
        <f ca="1" t="shared" si="1"/>
        <v>0</v>
      </c>
      <c r="AQ14">
        <f>IF(幕间与结算!$F$8="提升技能或属性",1,0)</f>
        <v>0</v>
      </c>
      <c r="DO14">
        <f t="shared" si="2"/>
        <v>0</v>
      </c>
      <c r="DP14">
        <f>IF(DO14=1,SUM($DO$2:DO14),0)</f>
        <v>0</v>
      </c>
      <c r="DQ14" t="str">
        <f ca="1">IFERROR(INDEX($L$2:$L$79,MATCH(13,$DP$2:$DP$79,0)),"")</f>
        <v>技能：行政</v>
      </c>
      <c r="EN14">
        <f>IFERROR(MATCH(VALUE(W14),模组经历备忘录!$A$1:$A$200,0),IFERROR(MATCH(W14,模组经历备忘录!$A$1:$A$200,0),0))</f>
        <v>20</v>
      </c>
      <c r="GA14">
        <f>IF($GA$9="理智损失",MAX(0,N(理智与关系记录!$B$11)),0)</f>
        <v>0</v>
      </c>
      <c r="GF14" t="s">
        <v>3726</v>
      </c>
      <c r="GG14" t="s">
        <v>3545</v>
      </c>
    </row>
    <row r="15" spans="1:189">
      <c r="A15" t="str">
        <f ca="1">IF(TRIM(人物卡!J27)="","","技能："&amp;SUBSTITUTE(人物卡!D27,"：","")&amp;"（"&amp;TRIM(人物卡!J27)&amp;"）")</f>
        <v/>
      </c>
      <c r="B15">
        <v>0</v>
      </c>
      <c r="C15">
        <f ca="1">人物卡!P27</f>
        <v>0</v>
      </c>
      <c r="D15" t="str">
        <f>人物卡!B27</f>
        <v>☐</v>
      </c>
      <c r="E15">
        <f ca="1">IF(AND(A15&lt;&gt;"",A15&lt;&gt;"技能：非自然知识",C15&gt;=1,OR(D15="√",D15="☑"),COUNTIFS($A$2:A15,A15,$D$2:D15,"√")+COUNTIFS($A$2:A15,A15,$D$2:D15,"☑")=1),1,0)</f>
        <v>0</v>
      </c>
      <c r="F15">
        <f ca="1">IF(E15=1,SUM($E$2:E15),0)</f>
        <v>0</v>
      </c>
      <c r="L15" t="s">
        <v>3701</v>
      </c>
      <c r="M15">
        <f>N(人物卡!ED33)</f>
        <v>0</v>
      </c>
      <c r="O15">
        <f>IF(L15="","",COUNTIF($L$2:L15,"?*"))</f>
        <v>14</v>
      </c>
      <c r="P15" t="str">
        <f ca="1">IFERROR(INDEX($L$2:$L$79,MATCH(14,$O$2:$O$79,0)),"")</f>
        <v>重要关系4</v>
      </c>
      <c r="T15" t="str">
        <f>IF(EN15=0,"",IF(INDEX(模组经历备忘录!$C$1:$C$200,EN15)="","",INDEX(模组经历备忘录!$C$1:$C$200,EN15)))</f>
        <v/>
      </c>
      <c r="W15" t="s">
        <v>3727</v>
      </c>
      <c r="AK15">
        <f ca="1">IFERROR(MATCH(14,$F$2:$F$61,0),0)</f>
        <v>0</v>
      </c>
      <c r="AL15" t="str">
        <f ca="1" t="shared" si="0"/>
        <v/>
      </c>
      <c r="AM15">
        <f ca="1" t="shared" si="1"/>
        <v>0</v>
      </c>
      <c r="AQ15">
        <f>IF(AND(幕间与结算!$F$8="提升技能或属性",幕间与结算!$E$12&lt;&gt;""),1,0)</f>
        <v>0</v>
      </c>
      <c r="DO15">
        <f t="shared" si="2"/>
        <v>0</v>
      </c>
      <c r="DP15">
        <f>IF(DO15=1,SUM($DO$2:DO15),0)</f>
        <v>0</v>
      </c>
      <c r="DQ15" t="str">
        <f ca="1">IFERROR(INDEX($L$2:$L$79,MATCH(14,$DP$2:$DP$79,0)),"")</f>
        <v>技能：计算机科学</v>
      </c>
      <c r="EN15">
        <f>IFERROR(MATCH(VALUE(W15),模组经历备忘录!$A$1:$A$200,0),IFERROR(MATCH(W15,模组经历备忘录!$A$1:$A$200,0),0))</f>
        <v>21</v>
      </c>
      <c r="GA15">
        <f>IF($GA$9="理智损失",N(理智与关系记录!$B$12),0)</f>
        <v>0</v>
      </c>
      <c r="GG15" t="s">
        <v>3548</v>
      </c>
    </row>
    <row r="16" spans="1:189">
      <c r="A16" t="str">
        <f ca="1">IF(TRIM(人物卡!J28)="","","技能："&amp;SUBSTITUTE(人物卡!D28,"：","")&amp;"（"&amp;TRIM(人物卡!J28)&amp;"）")</f>
        <v/>
      </c>
      <c r="B16">
        <v>0</v>
      </c>
      <c r="C16">
        <f ca="1">人物卡!P28</f>
        <v>0</v>
      </c>
      <c r="D16" t="str">
        <f>人物卡!B28</f>
        <v>☐</v>
      </c>
      <c r="E16">
        <f ca="1">IF(AND(A16&lt;&gt;"",A16&lt;&gt;"技能：非自然知识",C16&gt;=1,OR(D16="√",D16="☑"),COUNTIFS($A$2:A16,A16,$D$2:D16,"√")+COUNTIFS($A$2:A16,A16,$D$2:D16,"☑")=1),1,0)</f>
        <v>0</v>
      </c>
      <c r="F16">
        <f ca="1">IF(E16=1,SUM($E$2:E16),0)</f>
        <v>0</v>
      </c>
      <c r="L16" t="s">
        <v>3706</v>
      </c>
      <c r="M16">
        <f>N(人物卡!ED36)</f>
        <v>0</v>
      </c>
      <c r="O16">
        <f>IF(L16="","",COUNTIF($L$2:L16,"?*"))</f>
        <v>15</v>
      </c>
      <c r="P16" t="str">
        <f ca="1">IFERROR(INDEX($L$2:$L$79,MATCH(15,$O$2:$O$79,0)),"")</f>
        <v>重要关系5</v>
      </c>
      <c r="T16" t="str">
        <f>IF(EN16=0,"",IF(INDEX(模组经历备忘录!$C$1:$C$200,EN16)="","",INDEX(模组经历备忘录!$C$1:$C$200,EN16)))</f>
        <v/>
      </c>
      <c r="W16" t="s">
        <v>2540</v>
      </c>
      <c r="AK16">
        <f ca="1">IFERROR(MATCH(15,$F$2:$F$61,0),0)</f>
        <v>0</v>
      </c>
      <c r="AL16" t="str">
        <f ca="1" t="shared" si="0"/>
        <v/>
      </c>
      <c r="AM16">
        <f ca="1" t="shared" si="1"/>
        <v>0</v>
      </c>
      <c r="AQ16">
        <f>IF(AND(幕间与结算!$F$8="提升技能或属性",幕间与结算!$E$12&lt;&gt;"",LEFT(幕间与结算!$E$12,3)="技能：",OR(幕间与结算!$J$12="失败",幕间与结算!$J$12="大失败")),1,0)</f>
        <v>0</v>
      </c>
      <c r="DO16">
        <f t="shared" si="2"/>
        <v>0</v>
      </c>
      <c r="DP16">
        <f>IF(DO16=1,SUM($DO$2:DO16),0)</f>
        <v>0</v>
      </c>
      <c r="DQ16" t="str">
        <f ca="1">IFERROR(INDEX($L$2:$L$79,MATCH(15,$DP$2:$DP$79,0)),"")</f>
        <v>技能：犯罪学</v>
      </c>
      <c r="EN16">
        <f>IFERROR(MATCH(VALUE(W16),模组经历备忘录!$A$1:$A$200,0),IFERROR(MATCH(W16,模组经历备忘录!$A$1:$A$200,0),0))</f>
        <v>22</v>
      </c>
      <c r="GA16">
        <f>IF(AND(GA15&gt;0,GA3-GA15&gt;=1),1,0)</f>
        <v>0</v>
      </c>
      <c r="GG16" t="s">
        <v>3550</v>
      </c>
    </row>
    <row r="17" spans="1:189">
      <c r="A17" t="str">
        <f>IF(人物卡!D29="","","技能："&amp;人物卡!D29)</f>
        <v>技能：犯罪学</v>
      </c>
      <c r="B17">
        <v>0</v>
      </c>
      <c r="C17">
        <f ca="1">人物卡!P29</f>
        <v>10</v>
      </c>
      <c r="D17" t="str">
        <f>人物卡!B29</f>
        <v>☐</v>
      </c>
      <c r="E17">
        <f ca="1">IF(AND(A17&lt;&gt;"",A17&lt;&gt;"技能：非自然知识",C17&gt;=1,OR(D17="√",D17="☑"),COUNTIFS($A$2:A17,A17,$D$2:D17,"√")+COUNTIFS($A$2:A17,A17,$D$2:D17,"☑")=1),1,0)</f>
        <v>0</v>
      </c>
      <c r="F17">
        <f ca="1">IF(E17=1,SUM($E$2:E17),0)</f>
        <v>0</v>
      </c>
      <c r="L17" t="s">
        <v>3710</v>
      </c>
      <c r="M17">
        <f>N(人物卡!ED39)</f>
        <v>0</v>
      </c>
      <c r="O17">
        <f>IF(L17="","",COUNTIF($L$2:L17,"?*"))</f>
        <v>16</v>
      </c>
      <c r="P17" t="str">
        <f ca="1">IFERROR(INDEX($L$2:$L$79,MATCH(16,$O$2:$O$79,0)),"")</f>
        <v>重要关系6</v>
      </c>
      <c r="T17" t="str">
        <f>IF(EN17=0,"",IF(INDEX(模组经历备忘录!$C$1:$C$200,EN17)="","",INDEX(模组经历备忘录!$C$1:$C$200,EN17)))</f>
        <v/>
      </c>
      <c r="W17" t="s">
        <v>3728</v>
      </c>
      <c r="AK17">
        <f ca="1">IFERROR(MATCH(16,$F$2:$F$61,0),0)</f>
        <v>0</v>
      </c>
      <c r="AL17" t="str">
        <f ca="1" t="shared" si="0"/>
        <v/>
      </c>
      <c r="AM17">
        <f ca="1" t="shared" si="1"/>
        <v>0</v>
      </c>
      <c r="AQ17">
        <f ca="1">IF(AND(R100=1,IF(幕间与结算!$F$8="研究非自然知识",$AB$3,$AB$2)&gt;0),1,0)</f>
        <v>0</v>
      </c>
      <c r="DO17">
        <f t="shared" si="2"/>
        <v>0</v>
      </c>
      <c r="DP17">
        <f>IF(DO17=1,SUM($DO$2:DO17),0)</f>
        <v>0</v>
      </c>
      <c r="DQ17" t="str">
        <f ca="1">IFERROR(INDEX($L$2:$L$79,MATCH(16,$DP$2:$DP$79,0)),"")</f>
        <v>技能：爆破</v>
      </c>
      <c r="EN17">
        <f>IFERROR(MATCH(VALUE(W17),模组经历备忘录!$A$1:$A$200,0),IFERROR(MATCH(W17,模组经历备忘录!$A$1:$A$200,0),0))</f>
        <v>23</v>
      </c>
      <c r="GA17">
        <f>MAX(0,GA3-GA15)</f>
        <v>0</v>
      </c>
      <c r="GG17" t="s">
        <v>3552</v>
      </c>
    </row>
    <row r="18" spans="1:189">
      <c r="A18" t="str">
        <f>IF(人物卡!D30="","","技能："&amp;人物卡!D30)</f>
        <v>技能：爆破</v>
      </c>
      <c r="B18">
        <v>0</v>
      </c>
      <c r="C18">
        <f ca="1">人物卡!P30</f>
        <v>0</v>
      </c>
      <c r="D18" t="str">
        <f>人物卡!B30</f>
        <v>☐</v>
      </c>
      <c r="E18">
        <f ca="1">IF(AND(A18&lt;&gt;"",A18&lt;&gt;"技能：非自然知识",C18&gt;=1,OR(D18="√",D18="☑"),COUNTIFS($A$2:A18,A18,$D$2:D18,"√")+COUNTIFS($A$2:A18,A18,$D$2:D18,"☑")=1),1,0)</f>
        <v>0</v>
      </c>
      <c r="F18">
        <f ca="1">IF(E18=1,SUM($E$2:E18),0)</f>
        <v>0</v>
      </c>
      <c r="L18" t="s">
        <v>3713</v>
      </c>
      <c r="M18">
        <f>N(人物卡!ED42)</f>
        <v>0</v>
      </c>
      <c r="O18">
        <f>IF(L18="","",COUNTIF($L$2:L18,"?*"))</f>
        <v>17</v>
      </c>
      <c r="P18" t="str">
        <f ca="1">IFERROR(INDEX($L$2:$L$79,MATCH(17,$O$2:$O$79,0)),"")</f>
        <v>重要关系7</v>
      </c>
      <c r="T18" t="str">
        <f>IF(EN18=0,"",IF(INDEX(模组经历备忘录!$C$1:$C$200,EN18)="","",INDEX(模组经历备忘录!$C$1:$C$200,EN18)))</f>
        <v/>
      </c>
      <c r="W18" t="s">
        <v>3729</v>
      </c>
      <c r="AK18">
        <f ca="1">IFERROR(MATCH(17,$F$2:$F$61,0),0)</f>
        <v>0</v>
      </c>
      <c r="AL18" t="str">
        <f ca="1" t="shared" si="0"/>
        <v/>
      </c>
      <c r="AM18">
        <f ca="1" t="shared" si="1"/>
        <v>0</v>
      </c>
      <c r="AQ18">
        <f ca="1">IF(AND(R101=1,$AB$2&gt;0),1,0)</f>
        <v>0</v>
      </c>
      <c r="DO18">
        <f t="shared" si="2"/>
        <v>0</v>
      </c>
      <c r="DP18">
        <f>IF(DO18=1,SUM($DO$2:DO18),0)</f>
        <v>0</v>
      </c>
      <c r="DQ18" t="str">
        <f ca="1">IFERROR(INDEX($L$2:$L$79,MATCH(17,$DP$2:$DP$79,0)),"")</f>
        <v>技能：乔装</v>
      </c>
      <c r="EN18">
        <f>IFERROR(MATCH(VALUE(W18),模组经历备忘录!$A$1:$A$200,0),IFERROR(MATCH(W18,模组经历备忘录!$A$1:$A$200,0),0))</f>
        <v>24</v>
      </c>
      <c r="GA18">
        <f>IF(GA16=1,MIN(GA14,GA15),0)</f>
        <v>0</v>
      </c>
      <c r="GG18" t="s">
        <v>3554</v>
      </c>
    </row>
    <row r="19" spans="1:189">
      <c r="A19" t="str">
        <f>IF(人物卡!D31="","","技能："&amp;人物卡!D31)</f>
        <v>技能：乔装</v>
      </c>
      <c r="B19">
        <v>0</v>
      </c>
      <c r="C19">
        <f ca="1">人物卡!P31</f>
        <v>10</v>
      </c>
      <c r="D19" t="str">
        <f>人物卡!B31</f>
        <v>☐</v>
      </c>
      <c r="E19">
        <f ca="1">IF(AND(A19&lt;&gt;"",A19&lt;&gt;"技能：非自然知识",C19&gt;=1,OR(D19="√",D19="☑"),COUNTIFS($A$2:A19,A19,$D$2:D19,"√")+COUNTIFS($A$2:A19,A19,$D$2:D19,"☑")=1),1,0)</f>
        <v>0</v>
      </c>
      <c r="F19">
        <f ca="1">IF(E19=1,SUM($E$2:E19),0)</f>
        <v>0</v>
      </c>
      <c r="L19" t="s">
        <v>3730</v>
      </c>
      <c r="M19">
        <v>0</v>
      </c>
      <c r="O19">
        <f>IF(L19="","",COUNTIF($L$2:L19,"?*"))</f>
        <v>18</v>
      </c>
      <c r="P19" t="str">
        <f ca="1">IFERROR(INDEX($L$2:$L$79,MATCH(18,$O$2:$O$79,0)),"")</f>
        <v>无数值变化</v>
      </c>
      <c r="T19" t="str">
        <f>IF(EN19=0,"",IF(INDEX(模组经历备忘录!$C$1:$C$200,EN19)="","",INDEX(模组经历备忘录!$C$1:$C$200,EN19)))</f>
        <v/>
      </c>
      <c r="W19" t="s">
        <v>3731</v>
      </c>
      <c r="AK19">
        <f ca="1">IFERROR(MATCH(18,$F$2:$F$61,0),0)</f>
        <v>0</v>
      </c>
      <c r="AL19" t="str">
        <f ca="1" t="shared" si="0"/>
        <v/>
      </c>
      <c r="AM19">
        <f ca="1" t="shared" si="1"/>
        <v>0</v>
      </c>
      <c r="AQ19">
        <f ca="1">IF(AND(幕间与结算!$F$8="研究非自然知识",R100=1,$AB$3&gt;0),1,0)</f>
        <v>0</v>
      </c>
      <c r="DO19">
        <f t="shared" si="2"/>
        <v>0</v>
      </c>
      <c r="DP19">
        <f>IF(DO19=1,SUM($DO$2:DO19),0)</f>
        <v>0</v>
      </c>
      <c r="DQ19" t="str">
        <f ca="1">IFERROR(INDEX($L$2:$L$79,MATCH(18,$DP$2:$DP$79,0)),"")</f>
        <v>技能：闪避</v>
      </c>
      <c r="EN19">
        <f>IFERROR(MATCH(VALUE(W19),模组经历备忘录!$A$1:$A$200,0),IFERROR(MATCH(W19,模组经历备忘录!$A$1:$A$200,0),0))</f>
        <v>25</v>
      </c>
      <c r="GA19">
        <f>MIN(GA2,MAX(0,GA14-GA18))</f>
        <v>0</v>
      </c>
      <c r="GG19" t="s">
        <v>3556</v>
      </c>
    </row>
    <row r="20" spans="1:189">
      <c r="A20" t="str">
        <f>IF(人物卡!D32="","","技能："&amp;人物卡!D32)</f>
        <v>技能：闪避</v>
      </c>
      <c r="B20">
        <v>0</v>
      </c>
      <c r="C20">
        <f ca="1">人物卡!P32</f>
        <v>30</v>
      </c>
      <c r="D20" t="str">
        <f>人物卡!B32</f>
        <v>☐</v>
      </c>
      <c r="E20">
        <f ca="1">IF(AND(A20&lt;&gt;"",A20&lt;&gt;"技能：非自然知识",C20&gt;=1,OR(D20="√",D20="☑"),COUNTIFS($A$2:A20,A20,$D$2:D20,"√")+COUNTIFS($A$2:A20,A20,$D$2:D20,"☑")=1),1,0)</f>
        <v>0</v>
      </c>
      <c r="F20">
        <f ca="1">IF(E20=1,SUM($E$2:E20),0)</f>
        <v>0</v>
      </c>
      <c r="L20" t="str">
        <f t="shared" ref="L20:L79" si="3">A2</f>
        <v>技能：会计学</v>
      </c>
      <c r="M20">
        <f ca="1" t="shared" ref="M20:M79" si="4">C2</f>
        <v>10</v>
      </c>
      <c r="O20">
        <f>IF(L20="","",COUNTIF($L$2:L20,"?*"))</f>
        <v>19</v>
      </c>
      <c r="P20" t="str">
        <f ca="1">IFERROR(INDEX($L$2:$L$79,MATCH(19,$O$2:$O$79,0)),"")</f>
        <v>技能：会计学</v>
      </c>
      <c r="T20" t="str">
        <f>IF(EN20=0,"",IF(INDEX(模组经历备忘录!$C$1:$C$200,EN20)="","",INDEX(模组经历备忘录!$C$1:$C$200,EN20)))</f>
        <v/>
      </c>
      <c r="W20" t="s">
        <v>3732</v>
      </c>
      <c r="AK20">
        <f ca="1">IFERROR(MATCH(19,$F$2:$F$61,0),0)</f>
        <v>0</v>
      </c>
      <c r="AL20" t="str">
        <f ca="1" t="shared" si="0"/>
        <v/>
      </c>
      <c r="AM20">
        <f ca="1" t="shared" si="1"/>
        <v>0</v>
      </c>
      <c r="DO20">
        <f t="shared" si="2"/>
        <v>1</v>
      </c>
      <c r="DP20">
        <f>IF(DO20=1,SUM($DO$2:DO20),0)</f>
        <v>7</v>
      </c>
      <c r="DQ20" t="str">
        <f ca="1">IFERROR(INDEX($L$2:$L$79,MATCH(19,$DP$2:$DP$79,0)),"")</f>
        <v>技能：机动车驾驶</v>
      </c>
      <c r="EN20">
        <f>IFERROR(MATCH(VALUE(W20),模组经历备忘录!$A$1:$A$200,0),IFERROR(MATCH(W20,模组经历备忘录!$A$1:$A$200,0),0))</f>
        <v>26</v>
      </c>
      <c r="GA20">
        <f ca="1">MAX(0,MIN(99-N(人物卡!AS39),GA2-GA19+IF($GA$9="理智恢复",N(理智与关系记录!$B$17),0)))</f>
        <v>0</v>
      </c>
    </row>
    <row r="21" spans="1:189">
      <c r="A21" t="str">
        <f>IF(人物卡!D33="","","技能："&amp;人物卡!D33)</f>
        <v>技能：机动车驾驶</v>
      </c>
      <c r="B21">
        <v>0</v>
      </c>
      <c r="C21">
        <f ca="1">人物卡!P33</f>
        <v>20</v>
      </c>
      <c r="D21" t="str">
        <f>人物卡!B33</f>
        <v>☐</v>
      </c>
      <c r="E21">
        <f ca="1">IF(AND(A21&lt;&gt;"",A21&lt;&gt;"技能：非自然知识",C21&gt;=1,OR(D21="√",D21="☑"),COUNTIFS($A$2:A21,A21,$D$2:D21,"√")+COUNTIFS($A$2:A21,A21,$D$2:D21,"☑")=1),1,0)</f>
        <v>0</v>
      </c>
      <c r="F21">
        <f ca="1">IF(E21=1,SUM($E$2:E21),0)</f>
        <v>0</v>
      </c>
      <c r="L21" t="str">
        <f t="shared" si="3"/>
        <v>技能：警觉</v>
      </c>
      <c r="M21">
        <f ca="1" t="shared" si="4"/>
        <v>20</v>
      </c>
      <c r="O21">
        <f>IF(L21="","",COUNTIF($L$2:L21,"?*"))</f>
        <v>20</v>
      </c>
      <c r="P21" t="str">
        <f ca="1">IFERROR(INDEX($L$2:$L$79,MATCH(20,$O$2:$O$79,0)),"")</f>
        <v>技能：警觉</v>
      </c>
      <c r="T21" t="str">
        <f>IF(EN21=0,"",IF(INDEX(模组经历备忘录!$C$1:$C$200,EN21)="","",INDEX(模组经历备忘录!$C$1:$C$200,EN21)))</f>
        <v/>
      </c>
      <c r="W21" t="s">
        <v>2488</v>
      </c>
      <c r="AK21">
        <f ca="1">IFERROR(MATCH(20,$F$2:$F$61,0),0)</f>
        <v>0</v>
      </c>
      <c r="AL21" t="str">
        <f ca="1" t="shared" si="0"/>
        <v/>
      </c>
      <c r="AM21">
        <f ca="1" t="shared" si="1"/>
        <v>0</v>
      </c>
      <c r="DO21">
        <f t="shared" si="2"/>
        <v>1</v>
      </c>
      <c r="DP21">
        <f>IF(DO21=1,SUM($DO$2:DO21),0)</f>
        <v>8</v>
      </c>
      <c r="DQ21" t="str">
        <f ca="1">IFERROR(INDEX($L$2:$L$79,MATCH(20,$DP$2:$DP$79,0)),"")</f>
        <v>技能：射击</v>
      </c>
      <c r="EN21">
        <f>IFERROR(MATCH(VALUE(W21),模组经历备忘录!$A$1:$A$200,0),IFERROR(MATCH(W21,模组经历备忘录!$A$1:$A$200,0),0))</f>
        <v>27</v>
      </c>
      <c r="GA21">
        <f>IF(AND($GA$9="理智损失",GA19&gt;=5),1,0)</f>
        <v>0</v>
      </c>
    </row>
    <row r="22" spans="1:189">
      <c r="A22" t="str">
        <f>IF(人物卡!D34="","","技能："&amp;人物卡!D34)</f>
        <v>技能：射击</v>
      </c>
      <c r="B22">
        <v>0</v>
      </c>
      <c r="C22">
        <f ca="1">人物卡!P34</f>
        <v>20</v>
      </c>
      <c r="D22" t="str">
        <f>人物卡!B34</f>
        <v>☐</v>
      </c>
      <c r="E22">
        <f ca="1">IF(AND(A22&lt;&gt;"",A22&lt;&gt;"技能：非自然知识",C22&gt;=1,OR(D22="√",D22="☑"),COUNTIFS($A$2:A22,A22,$D$2:D22,"√")+COUNTIFS($A$2:A22,A22,$D$2:D22,"☑")=1),1,0)</f>
        <v>0</v>
      </c>
      <c r="F22">
        <f ca="1">IF(E22=1,SUM($E$2:E22),0)</f>
        <v>0</v>
      </c>
      <c r="L22" t="str">
        <f t="shared" si="3"/>
        <v>技能：人类学</v>
      </c>
      <c r="M22">
        <f ca="1" t="shared" si="4"/>
        <v>0</v>
      </c>
      <c r="O22">
        <f>IF(L22="","",COUNTIF($L$2:L22,"?*"))</f>
        <v>21</v>
      </c>
      <c r="P22" t="str">
        <f ca="1">IFERROR(INDEX($L$2:$L$79,MATCH(21,$O$2:$O$79,0)),"")</f>
        <v>技能：人类学</v>
      </c>
      <c r="AK22">
        <f ca="1">IFERROR(MATCH(21,$F$2:$F$61,0),0)</f>
        <v>0</v>
      </c>
      <c r="AL22" t="str">
        <f ca="1" t="shared" si="0"/>
        <v/>
      </c>
      <c r="AM22">
        <f ca="1" t="shared" si="1"/>
        <v>0</v>
      </c>
      <c r="DO22">
        <f t="shared" si="2"/>
        <v>1</v>
      </c>
      <c r="DP22">
        <f>IF(DO22=1,SUM($DO$2:DO22),0)</f>
        <v>9</v>
      </c>
      <c r="DQ22" t="str">
        <f ca="1">IFERROR(INDEX($L$2:$L$79,MATCH(21,$DP$2:$DP$79,0)),"")</f>
        <v>技能：急救</v>
      </c>
      <c r="GA22">
        <f ca="1">IF(AND($GA$9="理智损失",GA19&gt;0,GA20&lt;=GA4,GA20&gt;0),1,0)</f>
        <v>0</v>
      </c>
    </row>
    <row r="23" spans="1:189">
      <c r="A23" t="str">
        <f>IF(人物卡!D35="","","技能："&amp;人物卡!D35)</f>
        <v>技能：急救</v>
      </c>
      <c r="B23">
        <v>0</v>
      </c>
      <c r="C23">
        <f ca="1">人物卡!P35</f>
        <v>10</v>
      </c>
      <c r="D23" t="str">
        <f>人物卡!B35</f>
        <v>☐</v>
      </c>
      <c r="E23">
        <f ca="1">IF(AND(A23&lt;&gt;"",A23&lt;&gt;"技能：非自然知识",C23&gt;=1,OR(D23="√",D23="☑"),COUNTIFS($A$2:A23,A23,$D$2:D23,"√")+COUNTIFS($A$2:A23,A23,$D$2:D23,"☑")=1),1,0)</f>
        <v>0</v>
      </c>
      <c r="F23">
        <f ca="1">IF(E23=1,SUM($E$2:E23),0)</f>
        <v>0</v>
      </c>
      <c r="L23" t="str">
        <f t="shared" si="3"/>
        <v>技能：考古学</v>
      </c>
      <c r="M23">
        <f ca="1" t="shared" si="4"/>
        <v>0</v>
      </c>
      <c r="O23">
        <f>IF(L23="","",COUNTIF($L$2:L23,"?*"))</f>
        <v>22</v>
      </c>
      <c r="P23" t="str">
        <f ca="1">IFERROR(INDEX($L$2:$L$79,MATCH(22,$O$2:$O$79,0)),"")</f>
        <v>技能：考古学</v>
      </c>
      <c r="AK23">
        <f ca="1">IFERROR(MATCH(22,$F$2:$F$61,0),0)</f>
        <v>0</v>
      </c>
      <c r="AL23" t="str">
        <f ca="1" t="shared" si="0"/>
        <v/>
      </c>
      <c r="AM23">
        <f ca="1" t="shared" si="1"/>
        <v>0</v>
      </c>
      <c r="DO23">
        <f t="shared" si="2"/>
        <v>1</v>
      </c>
      <c r="DP23">
        <f>IF(DO23=1,SUM($DO$2:DO23),0)</f>
        <v>10</v>
      </c>
      <c r="DQ23" t="str">
        <f ca="1">IFERROR(INDEX($L$2:$L$79,MATCH(22,$DP$2:$DP$79,0)),"")</f>
        <v>技能：法证学</v>
      </c>
      <c r="GA23">
        <f ca="1">IF(GA22=1,MAX(0,GA20-GA6),GA4)</f>
        <v>0</v>
      </c>
    </row>
    <row r="24" spans="1:189">
      <c r="A24" t="str">
        <f ca="1">IF(TRIM(人物卡!J36)="","","技能："&amp;SUBSTITUTE(人物卡!D36,"：","")&amp;"（"&amp;TRIM(人物卡!J36)&amp;"）")</f>
        <v/>
      </c>
      <c r="B24">
        <v>0</v>
      </c>
      <c r="C24">
        <f ca="1">人物卡!P36</f>
        <v>0</v>
      </c>
      <c r="D24" t="str">
        <f>人物卡!B36</f>
        <v>☐</v>
      </c>
      <c r="E24">
        <f ca="1">IF(AND(A24&lt;&gt;"",A24&lt;&gt;"技能：非自然知识",C24&gt;=1,OR(D24="√",D24="☑"),COUNTIFS($A$2:A24,A24,$D$2:D24,"√")+COUNTIFS($A$2:A24,A24,$D$2:D24,"☑")=1),1,0)</f>
        <v>0</v>
      </c>
      <c r="F24">
        <f ca="1">IF(E24=1,SUM($E$2:E24),0)</f>
        <v>0</v>
      </c>
      <c r="L24" t="str">
        <f ca="1" t="shared" si="3"/>
        <v/>
      </c>
      <c r="M24">
        <f ca="1" t="shared" si="4"/>
        <v>0</v>
      </c>
      <c r="O24" t="str">
        <f ca="1">IF(L24="","",COUNTIF($L$2:L24,"?*"))</f>
        <v/>
      </c>
      <c r="P24" t="str">
        <f ca="1">IFERROR(INDEX($L$2:$L$79,MATCH(23,$O$2:$O$79,0)),"")</f>
        <v>技能：炮术</v>
      </c>
      <c r="AK24">
        <f ca="1">IFERROR(MATCH(23,$F$2:$F$61,0),0)</f>
        <v>0</v>
      </c>
      <c r="AL24" t="str">
        <f ca="1" t="shared" si="0"/>
        <v/>
      </c>
      <c r="AM24">
        <f ca="1" t="shared" si="1"/>
        <v>0</v>
      </c>
      <c r="DO24">
        <f ca="1" t="shared" si="2"/>
        <v>0</v>
      </c>
      <c r="DP24">
        <f ca="1">IF(DO24=1,SUM($DO$2:DO24),0)</f>
        <v>0</v>
      </c>
      <c r="DQ24" t="str">
        <f ca="1">IFERROR(INDEX($L$2:$L$79,MATCH(23,$DP$2:$DP$79,0)),"")</f>
        <v>技能：重型机械</v>
      </c>
      <c r="GA24">
        <f>IF(OR($GA$9="理智损失",$GA$9="抑制疯狂"),N(理智与关系记录!$B$13),0)</f>
        <v>0</v>
      </c>
    </row>
    <row r="25" spans="1:189">
      <c r="A25" t="str">
        <f ca="1">IF(TRIM(人物卡!J37)="","","技能："&amp;SUBSTITUTE(人物卡!D37,"：","")&amp;"（"&amp;TRIM(人物卡!J37)&amp;"）")</f>
        <v/>
      </c>
      <c r="B25">
        <v>0</v>
      </c>
      <c r="C25">
        <f ca="1">人物卡!P37</f>
        <v>0</v>
      </c>
      <c r="D25" t="str">
        <f>人物卡!B37</f>
        <v>☐</v>
      </c>
      <c r="E25">
        <f ca="1">IF(AND(A25&lt;&gt;"",A25&lt;&gt;"技能：非自然知识",C25&gt;=1,OR(D25="√",D25="☑"),COUNTIFS($A$2:A25,A25,$D$2:D25,"√")+COUNTIFS($A$2:A25,A25,$D$2:D25,"☑")=1),1,0)</f>
        <v>0</v>
      </c>
      <c r="F25">
        <f ca="1">IF(E25=1,SUM($E$2:E25),0)</f>
        <v>0</v>
      </c>
      <c r="L25" t="str">
        <f ca="1" t="shared" si="3"/>
        <v/>
      </c>
      <c r="M25">
        <f ca="1" t="shared" si="4"/>
        <v>0</v>
      </c>
      <c r="O25" t="str">
        <f ca="1">IF(L25="","",COUNTIF($L$2:L25,"?*"))</f>
        <v/>
      </c>
      <c r="P25" t="str">
        <f ca="1">IFERROR(INDEX($L$2:$L$79,MATCH(24,$O$2:$O$79,0)),"")</f>
        <v>技能：运动</v>
      </c>
      <c r="AK25">
        <f ca="1">IFERROR(MATCH(24,$F$2:$F$61,0),0)</f>
        <v>0</v>
      </c>
      <c r="AL25" t="str">
        <f ca="1" t="shared" si="0"/>
        <v/>
      </c>
      <c r="AM25">
        <f ca="1" t="shared" si="1"/>
        <v>0</v>
      </c>
      <c r="DO25">
        <f ca="1" t="shared" si="2"/>
        <v>0</v>
      </c>
      <c r="DP25">
        <f ca="1">IF(DO25=1,SUM($DO$2:DO25),0)</f>
        <v>0</v>
      </c>
      <c r="DQ25" t="str">
        <f ca="1">IFERROR(INDEX($L$2:$L$79,MATCH(24,$DP$2:$DP$79,0)),"")</f>
        <v>技能：重型武器</v>
      </c>
      <c r="GA25">
        <f>IF(AND(GA24&gt;0,GA17-GA24&gt;=1),1,0)</f>
        <v>0</v>
      </c>
    </row>
    <row r="26" spans="1:189">
      <c r="A26" t="str">
        <f ca="1">IF(TRIM(人物卡!J38)="","","技能："&amp;SUBSTITUTE(人物卡!D38,"：","")&amp;"（"&amp;TRIM(人物卡!J38)&amp;"）")</f>
        <v/>
      </c>
      <c r="B26">
        <v>0</v>
      </c>
      <c r="C26">
        <f ca="1">人物卡!P38</f>
        <v>0</v>
      </c>
      <c r="D26" t="str">
        <f>人物卡!B38</f>
        <v>☐</v>
      </c>
      <c r="E26">
        <f ca="1">IF(AND(A26&lt;&gt;"",A26&lt;&gt;"技能：非自然知识",C26&gt;=1,OR(D26="√",D26="☑"),COUNTIFS($A$2:A26,A26,$D$2:D26,"√")+COUNTIFS($A$2:A26,A26,$D$2:D26,"☑")=1),1,0)</f>
        <v>0</v>
      </c>
      <c r="F26">
        <f ca="1">IF(E26=1,SUM($E$2:E26),0)</f>
        <v>0</v>
      </c>
      <c r="L26" t="str">
        <f ca="1" t="shared" si="3"/>
        <v/>
      </c>
      <c r="M26">
        <f ca="1" t="shared" si="4"/>
        <v>0</v>
      </c>
      <c r="O26" t="str">
        <f ca="1">IF(L26="","",COUNTIF($L$2:L26,"?*"))</f>
        <v/>
      </c>
      <c r="P26" t="str">
        <f ca="1">IFERROR(INDEX($L$2:$L$79,MATCH(25,$O$2:$O$79,0)),"")</f>
        <v>技能：行政</v>
      </c>
      <c r="AK26">
        <f ca="1">IFERROR(MATCH(25,$F$2:$F$61,0),0)</f>
        <v>0</v>
      </c>
      <c r="AL26" t="str">
        <f ca="1" t="shared" si="0"/>
        <v/>
      </c>
      <c r="AM26">
        <f ca="1" t="shared" si="1"/>
        <v>0</v>
      </c>
      <c r="DO26">
        <f ca="1" t="shared" si="2"/>
        <v>0</v>
      </c>
      <c r="DP26">
        <f ca="1">IF(DO26=1,SUM($DO$2:DO26),0)</f>
        <v>0</v>
      </c>
      <c r="DQ26" t="str">
        <f ca="1">IFERROR(INDEX($L$2:$L$79,MATCH(25,$DP$2:$DP$79,0)),"")</f>
        <v>技能：历史</v>
      </c>
      <c r="GA26">
        <f>MAX(0,GA17-GA24)</f>
        <v>0</v>
      </c>
    </row>
    <row r="27" spans="1:189">
      <c r="A27" t="str">
        <f>IF(人物卡!D39="","","技能："&amp;人物卡!D39)</f>
        <v>技能：法证学</v>
      </c>
      <c r="B27">
        <v>0</v>
      </c>
      <c r="C27">
        <f ca="1">人物卡!P39</f>
        <v>0</v>
      </c>
      <c r="D27" t="str">
        <f>人物卡!B39</f>
        <v>☐</v>
      </c>
      <c r="E27">
        <f ca="1">IF(AND(A27&lt;&gt;"",A27&lt;&gt;"技能：非自然知识",C27&gt;=1,OR(D27="√",D27="☑"),COUNTIFS($A$2:A27,A27,$D$2:D27,"√")+COUNTIFS($A$2:A27,A27,$D$2:D27,"☑")=1),1,0)</f>
        <v>0</v>
      </c>
      <c r="F27">
        <f ca="1">IF(E27=1,SUM($E$2:E27),0)</f>
        <v>0</v>
      </c>
      <c r="L27" t="str">
        <f t="shared" si="3"/>
        <v>技能：炮术</v>
      </c>
      <c r="M27">
        <f ca="1" t="shared" si="4"/>
        <v>0</v>
      </c>
      <c r="O27">
        <f ca="1">IF(L27="","",COUNTIF($L$2:L27,"?*"))</f>
        <v>23</v>
      </c>
      <c r="P27" t="str">
        <f ca="1">IFERROR(INDEX($L$2:$L$79,MATCH(26,$O$2:$O$79,0)),"")</f>
        <v>技能：计算机科学</v>
      </c>
      <c r="AK27">
        <f ca="1">IFERROR(MATCH(26,$F$2:$F$61,0),0)</f>
        <v>0</v>
      </c>
      <c r="AL27" t="str">
        <f ca="1" t="shared" si="0"/>
        <v/>
      </c>
      <c r="AM27">
        <f ca="1" t="shared" si="1"/>
        <v>0</v>
      </c>
      <c r="DO27">
        <f t="shared" si="2"/>
        <v>1</v>
      </c>
      <c r="DP27">
        <f ca="1">IF(DO27=1,SUM($DO$2:DO27),0)</f>
        <v>11</v>
      </c>
      <c r="DQ27" t="str">
        <f ca="1">IFERROR(INDEX($L$2:$L$79,MATCH(26,$DP$2:$DP$79,0)),"")</f>
        <v>技能：人源情报</v>
      </c>
      <c r="GA27">
        <f>MAX(0,MIN(GA6,GA26+IF(OR($GA$9="毅力恢复",$GA$9="毅力消耗"),N(理智与关系记录!$B$17),0)))-GA3</f>
        <v>0</v>
      </c>
    </row>
    <row r="28" spans="1:189">
      <c r="A28" t="str">
        <f>IF(人物卡!D40="","","技能："&amp;人物卡!D40)</f>
        <v>技能：重型机械</v>
      </c>
      <c r="B28">
        <v>0</v>
      </c>
      <c r="C28">
        <f ca="1">人物卡!P40</f>
        <v>10</v>
      </c>
      <c r="D28" t="str">
        <f>人物卡!B40</f>
        <v>☐</v>
      </c>
      <c r="E28">
        <f ca="1">IF(AND(A28&lt;&gt;"",A28&lt;&gt;"技能：非自然知识",C28&gt;=1,OR(D28="√",D28="☑"),COUNTIFS($A$2:A28,A28,$D$2:D28,"√")+COUNTIFS($A$2:A28,A28,$D$2:D28,"☑")=1),1,0)</f>
        <v>0</v>
      </c>
      <c r="F28">
        <f ca="1">IF(E28=1,SUM($E$2:E28),0)</f>
        <v>0</v>
      </c>
      <c r="L28" t="str">
        <f t="shared" si="3"/>
        <v>技能：运动</v>
      </c>
      <c r="M28">
        <f ca="1" t="shared" si="4"/>
        <v>30</v>
      </c>
      <c r="O28">
        <f ca="1">IF(L28="","",COUNTIF($L$2:L28,"?*"))</f>
        <v>24</v>
      </c>
      <c r="P28" t="str">
        <f ca="1">IFERROR(INDEX($L$2:$L$79,MATCH(27,$O$2:$O$79,0)),"")</f>
        <v>技能：犯罪学</v>
      </c>
      <c r="AK28">
        <f ca="1">IFERROR(MATCH(27,$F$2:$F$61,0),0)</f>
        <v>0</v>
      </c>
      <c r="AL28" t="str">
        <f ca="1" t="shared" si="0"/>
        <v/>
      </c>
      <c r="AM28">
        <f ca="1" t="shared" si="1"/>
        <v>0</v>
      </c>
      <c r="DO28">
        <f t="shared" si="2"/>
        <v>1</v>
      </c>
      <c r="DP28">
        <f ca="1">IF(DO28=1,SUM($DO$2:DO28),0)</f>
        <v>12</v>
      </c>
      <c r="DQ28" t="str">
        <f ca="1">IFERROR(INDEX($L$2:$L$79,MATCH(27,$DP$2:$DP$79,0)),"")</f>
        <v>技能：法律</v>
      </c>
      <c r="GA28">
        <f ca="1">IF($GA$9="适应暴力",3,IF(AND($GA$9="理智损失",理智与关系记录!$B$10="暴力",$GA$7&lt;3,GA19&gt;0),IF(OR(GA21=1,GA22=1,GA20=0),0,MIN(3,$GA$7+1)),$GA$7))</f>
        <v>0</v>
      </c>
    </row>
    <row r="29" spans="1:189">
      <c r="A29" t="str">
        <f>IF(人物卡!D41="","","技能："&amp;人物卡!D41)</f>
        <v>技能：重型武器</v>
      </c>
      <c r="B29">
        <v>0</v>
      </c>
      <c r="C29">
        <f ca="1">人物卡!P41</f>
        <v>0</v>
      </c>
      <c r="D29" t="str">
        <f>人物卡!B41</f>
        <v>☐</v>
      </c>
      <c r="E29">
        <f ca="1">IF(AND(A29&lt;&gt;"",A29&lt;&gt;"技能：非自然知识",C29&gt;=1,OR(D29="√",D29="☑"),COUNTIFS($A$2:A29,A29,$D$2:D29,"√")+COUNTIFS($A$2:A29,A29,$D$2:D29,"☑")=1),1,0)</f>
        <v>0</v>
      </c>
      <c r="F29">
        <f ca="1">IF(E29=1,SUM($E$2:E29),0)</f>
        <v>0</v>
      </c>
      <c r="L29" t="str">
        <f t="shared" si="3"/>
        <v>技能：行政</v>
      </c>
      <c r="M29">
        <f ca="1" t="shared" si="4"/>
        <v>10</v>
      </c>
      <c r="O29">
        <f ca="1">IF(L29="","",COUNTIF($L$2:L29,"?*"))</f>
        <v>25</v>
      </c>
      <c r="P29" t="str">
        <f ca="1">IFERROR(INDEX($L$2:$L$79,MATCH(28,$O$2:$O$79,0)),"")</f>
        <v>技能：爆破</v>
      </c>
      <c r="AK29">
        <f ca="1">IFERROR(MATCH(28,$F$2:$F$61,0),0)</f>
        <v>0</v>
      </c>
      <c r="AL29" t="str">
        <f ca="1" t="shared" si="0"/>
        <v/>
      </c>
      <c r="AM29">
        <f ca="1" t="shared" si="1"/>
        <v>0</v>
      </c>
      <c r="DO29">
        <f t="shared" si="2"/>
        <v>1</v>
      </c>
      <c r="DP29">
        <f ca="1">IF(DO29=1,SUM($DO$2:DO29),0)</f>
        <v>13</v>
      </c>
      <c r="DQ29" t="str">
        <f ca="1">IFERROR(INDEX($L$2:$L$79,MATCH(28,$DP$2:$DP$79,0)),"")</f>
        <v>技能：医学</v>
      </c>
      <c r="GA29">
        <f ca="1">IF($GA$9="适应无力",3,IF(AND($GA$9="理智损失",理智与关系记录!$B$10="无力",$GA$8&lt;3,GA19&gt;0),IF(OR(GA21=1,GA22=1,GA20=0),0,MIN(3,$GA$8+1)),$GA$8))</f>
        <v>0</v>
      </c>
    </row>
    <row r="30" spans="1:189">
      <c r="A30" t="str">
        <f>IF(人物卡!D42="","","技能："&amp;人物卡!D42)</f>
        <v>技能：历史</v>
      </c>
      <c r="B30">
        <v>0</v>
      </c>
      <c r="C30">
        <f ca="1">人物卡!P42</f>
        <v>10</v>
      </c>
      <c r="D30" t="str">
        <f>人物卡!B42</f>
        <v>☐</v>
      </c>
      <c r="E30">
        <f ca="1">IF(AND(A30&lt;&gt;"",A30&lt;&gt;"技能：非自然知识",C30&gt;=1,OR(D30="√",D30="☑"),COUNTIFS($A$2:A30,A30,$D$2:D30,"√")+COUNTIFS($A$2:A30,A30,$D$2:D30,"☑")=1),1,0)</f>
        <v>0</v>
      </c>
      <c r="F30">
        <f ca="1">IF(E30=1,SUM($E$2:E30),0)</f>
        <v>0</v>
      </c>
      <c r="L30" t="str">
        <f t="shared" si="3"/>
        <v>技能：计算机科学</v>
      </c>
      <c r="M30">
        <f ca="1" t="shared" si="4"/>
        <v>0</v>
      </c>
      <c r="O30">
        <f ca="1">IF(L30="","",COUNTIF($L$2:L30,"?*"))</f>
        <v>26</v>
      </c>
      <c r="P30" t="str">
        <f ca="1">IFERROR(INDEX($L$2:$L$79,MATCH(29,$O$2:$O$79,0)),"")</f>
        <v>技能：乔装</v>
      </c>
      <c r="AK30">
        <f ca="1">IFERROR(MATCH(29,$F$2:$F$61,0),0)</f>
        <v>0</v>
      </c>
      <c r="AL30" t="str">
        <f ca="1" t="shared" si="0"/>
        <v/>
      </c>
      <c r="AM30">
        <f ca="1" t="shared" si="1"/>
        <v>0</v>
      </c>
      <c r="DO30">
        <f t="shared" si="2"/>
        <v>1</v>
      </c>
      <c r="DP30">
        <f ca="1">IF(DO30=1,SUM($DO$2:DO30),0)</f>
        <v>14</v>
      </c>
      <c r="DQ30" t="str">
        <f ca="1">IFERROR(INDEX($L$2:$L$79,MATCH(29,$DP$2:$DP$79,0)),"")</f>
        <v>技能：近战武器</v>
      </c>
      <c r="GA30">
        <f ca="1">IF(AND(GA7&lt;3,GA28=3),1,IF(AND(GA8&lt;3,GA29=3),2,0))</f>
        <v>0</v>
      </c>
    </row>
    <row r="31" spans="1:189">
      <c r="A31" t="str">
        <f>IF(人物卡!D43="","","技能："&amp;人物卡!D43)</f>
        <v>技能：人源情报</v>
      </c>
      <c r="B31">
        <v>0</v>
      </c>
      <c r="C31">
        <f ca="1">人物卡!P43</f>
        <v>10</v>
      </c>
      <c r="D31" t="str">
        <f>人物卡!B43</f>
        <v>☐</v>
      </c>
      <c r="E31">
        <f ca="1">IF(AND(A31&lt;&gt;"",A31&lt;&gt;"技能：非自然知识",C31&gt;=1,OR(D31="√",D31="☑"),COUNTIFS($A$2:A31,A31,$D$2:D31,"√")+COUNTIFS($A$2:A31,A31,$D$2:D31,"☑")=1),1,0)</f>
        <v>0</v>
      </c>
      <c r="F31">
        <f ca="1">IF(E31=1,SUM($E$2:E31),0)</f>
        <v>0</v>
      </c>
      <c r="L31" t="str">
        <f ca="1" t="shared" si="3"/>
        <v/>
      </c>
      <c r="M31">
        <f ca="1" t="shared" si="4"/>
        <v>0</v>
      </c>
      <c r="O31" t="str">
        <f ca="1">IF(L31="","",COUNTIF($L$2:L31,"?*"))</f>
        <v/>
      </c>
      <c r="P31" t="str">
        <f ca="1">IFERROR(INDEX($L$2:$L$79,MATCH(30,$O$2:$O$79,0)),"")</f>
        <v>技能：闪避</v>
      </c>
      <c r="AK31">
        <f ca="1">IFERROR(MATCH(30,$F$2:$F$61,0),0)</f>
        <v>0</v>
      </c>
      <c r="AL31" t="str">
        <f ca="1" t="shared" si="0"/>
        <v/>
      </c>
      <c r="AM31">
        <f ca="1" t="shared" si="1"/>
        <v>0</v>
      </c>
      <c r="DO31">
        <f ca="1" t="shared" si="2"/>
        <v>0</v>
      </c>
      <c r="DP31">
        <f ca="1">IF(DO31=1,SUM($DO$2:DO31),0)</f>
        <v>0</v>
      </c>
      <c r="DQ31" t="str">
        <f ca="1">IFERROR(INDEX($L$2:$L$79,MATCH(30,$DP$2:$DP$79,0)),"")</f>
        <v>技能：导航</v>
      </c>
      <c r="GA31">
        <f ca="1">IF(GA30&gt;0,N(理智与关系记录!$B$16),0)</f>
        <v>0</v>
      </c>
    </row>
    <row r="32" spans="1:189">
      <c r="A32" t="str">
        <f>IF(人物卡!AG14="","","技能："&amp;人物卡!AG14)</f>
        <v>技能：法律</v>
      </c>
      <c r="B32">
        <v>0</v>
      </c>
      <c r="C32">
        <f ca="1">人物卡!AS14</f>
        <v>0</v>
      </c>
      <c r="D32" t="str">
        <f>人物卡!AE14</f>
        <v>☐</v>
      </c>
      <c r="E32">
        <f ca="1">IF(AND(A32&lt;&gt;"",A32&lt;&gt;"技能：非自然知识",C32&gt;=1,OR(D32="√",D32="☑"),COUNTIFS($A$2:A32,A32,$D$2:D32,"√")+COUNTIFS($A$2:A32,A32,$D$2:D32,"☑")=1),1,0)</f>
        <v>0</v>
      </c>
      <c r="F32">
        <f ca="1">IF(E32=1,SUM($E$2:E32),0)</f>
        <v>0</v>
      </c>
      <c r="L32" t="str">
        <f ca="1" t="shared" si="3"/>
        <v/>
      </c>
      <c r="M32">
        <f ca="1" t="shared" si="4"/>
        <v>0</v>
      </c>
      <c r="O32" t="str">
        <f ca="1">IF(L32="","",COUNTIF($L$2:L32,"?*"))</f>
        <v/>
      </c>
      <c r="P32" t="str">
        <f ca="1">IFERROR(INDEX($L$2:$L$79,MATCH(31,$O$2:$O$79,0)),"")</f>
        <v>技能：机动车驾驶</v>
      </c>
      <c r="AK32">
        <f ca="1">IFERROR(MATCH(31,$F$2:$F$61,0),0)</f>
        <v>0</v>
      </c>
      <c r="AL32" t="str">
        <f ca="1" t="shared" si="0"/>
        <v/>
      </c>
      <c r="AM32">
        <f ca="1" t="shared" si="1"/>
        <v>0</v>
      </c>
      <c r="DO32">
        <f ca="1" t="shared" si="2"/>
        <v>0</v>
      </c>
      <c r="DP32">
        <f ca="1">IF(DO32=1,SUM($DO$2:DO32),0)</f>
        <v>0</v>
      </c>
      <c r="DQ32" t="str">
        <f ca="1">IFERROR(INDEX($L$2:$L$79,MATCH(31,$DP$2:$DP$79,0)),"")</f>
        <v>技能：神秘学</v>
      </c>
      <c r="GA32" t="str">
        <f ca="1">IF(GA30=1,"魅力",IF(GA30=2,"意志",IF($GA$9="属性减值",理智与关系记录!$E$17,"")))</f>
        <v/>
      </c>
    </row>
    <row r="33" spans="1:183">
      <c r="A33" t="str">
        <f>IF(人物卡!AG15="","","技能："&amp;人物卡!AG15)</f>
        <v>技能：医学</v>
      </c>
      <c r="B33">
        <v>0</v>
      </c>
      <c r="C33">
        <f ca="1">人物卡!AS15</f>
        <v>0</v>
      </c>
      <c r="D33" t="str">
        <f>人物卡!AE15</f>
        <v>☐</v>
      </c>
      <c r="E33">
        <f ca="1">IF(AND(A33&lt;&gt;"",A33&lt;&gt;"技能：非自然知识",C33&gt;=1,OR(D33="√",D33="☑"),COUNTIFS($A$2:A33,A33,$D$2:D33,"√")+COUNTIFS($A$2:A33,A33,$D$2:D33,"☑")=1),1,0)</f>
        <v>0</v>
      </c>
      <c r="F33">
        <f ca="1">IF(E33=1,SUM($E$2:E33),0)</f>
        <v>0</v>
      </c>
      <c r="L33" t="str">
        <f ca="1" t="shared" si="3"/>
        <v/>
      </c>
      <c r="M33">
        <f ca="1" t="shared" si="4"/>
        <v>0</v>
      </c>
      <c r="O33" t="str">
        <f ca="1">IF(L33="","",COUNTIF($L$2:L33,"?*"))</f>
        <v/>
      </c>
      <c r="P33" t="str">
        <f ca="1">IFERROR(INDEX($L$2:$L$79,MATCH(32,$O$2:$O$79,0)),"")</f>
        <v>技能：射击</v>
      </c>
      <c r="AK33">
        <f ca="1">IFERROR(MATCH(32,$F$2:$F$61,0),0)</f>
        <v>0</v>
      </c>
      <c r="AL33" t="str">
        <f ca="1" t="shared" si="0"/>
        <v/>
      </c>
      <c r="AM33">
        <f ca="1" t="shared" si="1"/>
        <v>0</v>
      </c>
      <c r="DO33">
        <f ca="1" t="shared" si="2"/>
        <v>0</v>
      </c>
      <c r="DP33">
        <f ca="1">IF(DO33=1,SUM($DO$2:DO33),0)</f>
        <v>0</v>
      </c>
      <c r="DQ33" t="str">
        <f ca="1">IFERROR(INDEX($L$2:$L$79,MATCH(32,$DP$2:$DP$79,0)),"")</f>
        <v>技能：说服</v>
      </c>
      <c r="GA33">
        <f ca="1">IF(GA32="",0,-MIN(IFERROR(INDEX($M$2:$M$7,MATCH(GA32,$L$2:$L$7,0)),0),IF(GA30&gt;0,GA31,ABS(N(理智与关系记录!$B$17)))))</f>
        <v>0</v>
      </c>
    </row>
    <row r="34" spans="1:183">
      <c r="A34" t="str">
        <f>IF(人物卡!AG16="","","技能："&amp;人物卡!AG16)</f>
        <v>技能：近战武器</v>
      </c>
      <c r="B34">
        <v>0</v>
      </c>
      <c r="C34">
        <f ca="1">人物卡!AS16</f>
        <v>30</v>
      </c>
      <c r="D34" t="str">
        <f>人物卡!AE16</f>
        <v>☐</v>
      </c>
      <c r="E34">
        <f ca="1">IF(AND(A34&lt;&gt;"",A34&lt;&gt;"技能：非自然知识",C34&gt;=1,OR(D34="√",D34="☑"),COUNTIFS($A$2:A34,A34,$D$2:D34,"√")+COUNTIFS($A$2:A34,A34,$D$2:D34,"☑")=1),1,0)</f>
        <v>0</v>
      </c>
      <c r="F34">
        <f ca="1">IF(E34=1,SUM($E$2:E34),0)</f>
        <v>0</v>
      </c>
      <c r="L34" t="str">
        <f ca="1" t="shared" si="3"/>
        <v/>
      </c>
      <c r="M34">
        <f ca="1" t="shared" si="4"/>
        <v>0</v>
      </c>
      <c r="O34" t="str">
        <f ca="1">IF(L34="","",COUNTIF($L$2:L34,"?*"))</f>
        <v/>
      </c>
      <c r="P34" t="str">
        <f ca="1">IFERROR(INDEX($L$2:$L$79,MATCH(33,$O$2:$O$79,0)),"")</f>
        <v>技能：急救</v>
      </c>
      <c r="AK34">
        <f ca="1">IFERROR(MATCH(33,$F$2:$F$61,0),0)</f>
        <v>0</v>
      </c>
      <c r="AL34" t="str">
        <f ca="1" t="shared" si="0"/>
        <v/>
      </c>
      <c r="AM34">
        <f ca="1" t="shared" si="1"/>
        <v>0</v>
      </c>
      <c r="DO34">
        <f ca="1" t="shared" si="2"/>
        <v>0</v>
      </c>
      <c r="DP34">
        <f ca="1">IF(DO34=1,SUM($DO$2:DO34),0)</f>
        <v>0</v>
      </c>
      <c r="DQ34" t="str">
        <f ca="1">IFERROR(INDEX($L$2:$L$79,MATCH(33,$DP$2:$DP$79,0)),"")</f>
        <v>技能：药学</v>
      </c>
      <c r="GA34" t="str">
        <f>IF(OR($GA$9="关系受损",$GA$9="关系破碎",$GA$9="建立DG关系",$GA$9="加深DG关系"),理智与关系记录!$B$15,"")</f>
        <v/>
      </c>
    </row>
    <row r="35" spans="1:183">
      <c r="A35" t="str">
        <f ca="1">IF(TRIM(人物卡!AM17)="","","技能："&amp;SUBSTITUTE(人物卡!AG17,"：","")&amp;"（"&amp;TRIM(人物卡!AM17)&amp;"）")</f>
        <v/>
      </c>
      <c r="B35">
        <v>0</v>
      </c>
      <c r="C35">
        <f ca="1">人物卡!AS17</f>
        <v>0</v>
      </c>
      <c r="D35" t="str">
        <f>人物卡!AE17</f>
        <v>☐</v>
      </c>
      <c r="E35">
        <f ca="1">IF(AND(A35&lt;&gt;"",A35&lt;&gt;"技能：非自然知识",C35&gt;=1,OR(D35="√",D35="☑"),COUNTIFS($A$2:A35,A35,$D$2:D35,"√")+COUNTIFS($A$2:A35,A35,$D$2:D35,"☑")=1),1,0)</f>
        <v>0</v>
      </c>
      <c r="F35">
        <f ca="1">IF(E35=1,SUM($E$2:E35),0)</f>
        <v>0</v>
      </c>
      <c r="L35" t="str">
        <f t="shared" si="3"/>
        <v>技能：犯罪学</v>
      </c>
      <c r="M35">
        <f ca="1" t="shared" si="4"/>
        <v>10</v>
      </c>
      <c r="O35">
        <f ca="1">IF(L35="","",COUNTIF($L$2:L35,"?*"))</f>
        <v>27</v>
      </c>
      <c r="P35" t="str">
        <f ca="1">IFERROR(INDEX($L$2:$L$79,MATCH(34,$O$2:$O$79,0)),"")</f>
        <v>技能：法证学</v>
      </c>
      <c r="AK35">
        <f ca="1">IFERROR(MATCH(34,$F$2:$F$61,0),0)</f>
        <v>0</v>
      </c>
      <c r="AL35" t="str">
        <f ca="1" t="shared" si="0"/>
        <v/>
      </c>
      <c r="AM35">
        <f ca="1" t="shared" si="1"/>
        <v>0</v>
      </c>
      <c r="DO35">
        <f t="shared" si="2"/>
        <v>1</v>
      </c>
      <c r="DP35">
        <f ca="1">IF(DO35=1,SUM($DO$2:DO35),0)</f>
        <v>15</v>
      </c>
      <c r="DQ35" t="str">
        <f ca="1">IFERROR(INDEX($L$2:$L$79,MATCH(34,$DP$2:$DP$79,0)),"")</f>
        <v>技能：精神治疗</v>
      </c>
      <c r="GA35">
        <f>IF($GA$9="关系破碎",-IFERROR(INDEX($Z$2:$Z$8,MATCH(GA34,$X$2:$X$8,0)),0),IF($GA$9="关系受损",IF(ISNUMBER(理智与关系记录!$E$15),-N(理智与关系记录!$E$15),N(理智与关系记录!$B$17)),IF(AND($GA$9="建立DG关系",OR(理智与关系记录!$E$10="失败",理智与关系记录!$E$10="大失败")),ROUNDUP(GA5/2,0),IF(AND($GA$9="加深DG关系",OR(理智与关系记录!$E$10="失败",理智与关系记录!$E$10="大失败")),N(理智与关系记录!$E$15),0))))</f>
        <v>0</v>
      </c>
    </row>
    <row r="36" spans="1:183">
      <c r="A36" t="str">
        <f ca="1">IF(TRIM(人物卡!AM18)="","","技能："&amp;SUBSTITUTE(人物卡!AG18,"：","")&amp;"（"&amp;TRIM(人物卡!AM18)&amp;"）")</f>
        <v/>
      </c>
      <c r="B36">
        <v>0</v>
      </c>
      <c r="C36">
        <f ca="1">人物卡!AS18</f>
        <v>0</v>
      </c>
      <c r="D36" t="str">
        <f>人物卡!AE18</f>
        <v>☐</v>
      </c>
      <c r="E36">
        <f ca="1">IF(AND(A36&lt;&gt;"",A36&lt;&gt;"技能：非自然知识",C36&gt;=1,OR(D36="√",D36="☑"),COUNTIFS($A$2:A36,A36,$D$2:D36,"√")+COUNTIFS($A$2:A36,A36,$D$2:D36,"☑")=1),1,0)</f>
        <v>0</v>
      </c>
      <c r="F36">
        <f ca="1">IF(E36=1,SUM($E$2:E36),0)</f>
        <v>0</v>
      </c>
      <c r="L36" t="str">
        <f t="shared" si="3"/>
        <v>技能：爆破</v>
      </c>
      <c r="M36">
        <f ca="1" t="shared" si="4"/>
        <v>0</v>
      </c>
      <c r="O36">
        <f ca="1">IF(L36="","",COUNTIF($L$2:L36,"?*"))</f>
        <v>28</v>
      </c>
      <c r="P36" t="str">
        <f ca="1">IFERROR(INDEX($L$2:$L$79,MATCH(35,$O$2:$O$79,0)),"")</f>
        <v>技能：重型机械</v>
      </c>
      <c r="AK36">
        <f ca="1">IFERROR(MATCH(35,$F$2:$F$61,0),0)</f>
        <v>0</v>
      </c>
      <c r="AL36" t="str">
        <f ca="1" t="shared" si="0"/>
        <v/>
      </c>
      <c r="AM36">
        <f ca="1" t="shared" si="1"/>
        <v>0</v>
      </c>
      <c r="DO36">
        <f t="shared" si="2"/>
        <v>1</v>
      </c>
      <c r="DP36">
        <f ca="1">IF(DO36=1,SUM($DO$2:DO36),0)</f>
        <v>16</v>
      </c>
      <c r="DQ36" t="str">
        <f ca="1">IFERROR(INDEX($L$2:$L$79,MATCH(35,$DP$2:$DP$79,0)),"")</f>
        <v>技能：骑术</v>
      </c>
      <c r="GA36">
        <f>IF(AND(OR($GA$9="建立DG关系",$GA$9="加深DG关系"),OR(理智与关系记录!$E$10="失败",理智与关系记录!$E$10="大失败"),$AB$2&gt;0),IF($GA$9="建立DG关系",-N(理智与关系记录!$E$18),-1),0)</f>
        <v>0</v>
      </c>
    </row>
    <row r="37" spans="1:183">
      <c r="A37" t="str">
        <f ca="1">IF(TRIM(人物卡!AM19)="","","技能："&amp;SUBSTITUTE(人物卡!AG19,"：","")&amp;"（"&amp;TRIM(人物卡!AM19)&amp;"）")</f>
        <v/>
      </c>
      <c r="B37">
        <v>0</v>
      </c>
      <c r="C37">
        <f ca="1">人物卡!AS19</f>
        <v>0</v>
      </c>
      <c r="D37" t="str">
        <f>人物卡!AE19</f>
        <v>☐</v>
      </c>
      <c r="E37">
        <f ca="1">IF(AND(A37&lt;&gt;"",A37&lt;&gt;"技能：非自然知识",C37&gt;=1,OR(D37="√",D37="☑"),COUNTIFS($A$2:A37,A37,$D$2:D37,"√")+COUNTIFS($A$2:A37,A37,$D$2:D37,"☑")=1),1,0)</f>
        <v>0</v>
      </c>
      <c r="F37">
        <f ca="1">IF(E37=1,SUM($E$2:E37),0)</f>
        <v>0</v>
      </c>
      <c r="L37" t="str">
        <f t="shared" si="3"/>
        <v>技能：乔装</v>
      </c>
      <c r="M37">
        <f ca="1" t="shared" si="4"/>
        <v>10</v>
      </c>
      <c r="O37">
        <f ca="1">IF(L37="","",COUNTIF($L$2:L37,"?*"))</f>
        <v>29</v>
      </c>
      <c r="P37" t="str">
        <f ca="1">IFERROR(INDEX($L$2:$L$79,MATCH(36,$O$2:$O$79,0)),"")</f>
        <v>技能：重型武器</v>
      </c>
      <c r="AK37">
        <f ca="1">IFERROR(MATCH(36,$F$2:$F$61,0),0)</f>
        <v>0</v>
      </c>
      <c r="AL37" t="str">
        <f ca="1" t="shared" si="0"/>
        <v/>
      </c>
      <c r="AM37">
        <f ca="1" t="shared" si="1"/>
        <v>0</v>
      </c>
      <c r="DO37">
        <f t="shared" si="2"/>
        <v>1</v>
      </c>
      <c r="DP37">
        <f ca="1">IF(DO37=1,SUM($DO$2:DO37),0)</f>
        <v>17</v>
      </c>
      <c r="DQ37" t="str">
        <f ca="1">IFERROR(INDEX($L$2:$L$79,MATCH(36,$DP$2:$DP$79,0)),"")</f>
        <v>技能：搜寻</v>
      </c>
      <c r="GA37">
        <f>IF(AND($GA$9="建立DG关系",OR(理智与关系记录!$E$10="失败",理智与关系记录!$E$10="大失败")),0,IFERROR(INDEX($Z$2:$Z$8,MATCH(GA34,$X$2:$X$8,0)),0))</f>
        <v>0</v>
      </c>
    </row>
    <row r="38" spans="1:183">
      <c r="A38" t="str">
        <f>IF(人物卡!AG20="","","技能："&amp;人物卡!AG20)</f>
        <v>技能：导航</v>
      </c>
      <c r="B38">
        <v>0</v>
      </c>
      <c r="C38">
        <f ca="1">人物卡!AS20</f>
        <v>10</v>
      </c>
      <c r="D38" t="str">
        <f>人物卡!AE20</f>
        <v>☐</v>
      </c>
      <c r="E38">
        <f ca="1">IF(AND(A38&lt;&gt;"",A38&lt;&gt;"技能：非自然知识",C38&gt;=1,OR(D38="√",D38="☑"),COUNTIFS($A$2:A38,A38,$D$2:D38,"√")+COUNTIFS($A$2:A38,A38,$D$2:D38,"☑")=1),1,0)</f>
        <v>0</v>
      </c>
      <c r="F38">
        <f ca="1">IF(E38=1,SUM($E$2:E38),0)</f>
        <v>0</v>
      </c>
      <c r="L38" t="str">
        <f t="shared" si="3"/>
        <v>技能：闪避</v>
      </c>
      <c r="M38">
        <f ca="1" t="shared" si="4"/>
        <v>30</v>
      </c>
      <c r="O38">
        <f ca="1">IF(L38="","",COUNTIF($L$2:L38,"?*"))</f>
        <v>30</v>
      </c>
      <c r="P38" t="str">
        <f ca="1">IFERROR(INDEX($L$2:$L$79,MATCH(37,$O$2:$O$79,0)),"")</f>
        <v>技能：历史</v>
      </c>
      <c r="AK38">
        <f ca="1">IFERROR(MATCH(37,$F$2:$F$61,0),0)</f>
        <v>0</v>
      </c>
      <c r="AL38" t="str">
        <f ca="1" t="shared" si="0"/>
        <v/>
      </c>
      <c r="AM38">
        <f ca="1" t="shared" si="1"/>
        <v>0</v>
      </c>
      <c r="DO38">
        <f t="shared" si="2"/>
        <v>1</v>
      </c>
      <c r="DP38">
        <f ca="1">IF(DO38=1,SUM($DO$2:DO38),0)</f>
        <v>18</v>
      </c>
      <c r="DQ38" t="str">
        <f ca="1">IFERROR(INDEX($L$2:$L$79,MATCH(37,$DP$2:$DP$79,0)),"")</f>
        <v>技能：信号情报</v>
      </c>
      <c r="GA38">
        <f>IF(AND(GA21=1,理智与关系记录!$B$10="非自然",理智与关系记录!$E$19="是"),N(理智与关系记录!$B$19),0)</f>
        <v>0</v>
      </c>
    </row>
    <row r="39" spans="1:183">
      <c r="A39" t="str">
        <f>IF(人物卡!AG21="","","技能："&amp;人物卡!AG21)</f>
        <v>技能：神秘学</v>
      </c>
      <c r="B39">
        <v>0</v>
      </c>
      <c r="C39">
        <f ca="1">人物卡!AS21</f>
        <v>10</v>
      </c>
      <c r="D39" t="str">
        <f>人物卡!AE21</f>
        <v>☐</v>
      </c>
      <c r="E39">
        <f ca="1">IF(AND(A39&lt;&gt;"",A39&lt;&gt;"技能：非自然知识",C39&gt;=1,OR(D39="√",D39="☑"),COUNTIFS($A$2:A39,A39,$D$2:D39,"√")+COUNTIFS($A$2:A39,A39,$D$2:D39,"☑")=1),1,0)</f>
        <v>0</v>
      </c>
      <c r="F39">
        <f ca="1">IF(E39=1,SUM($E$2:E39),0)</f>
        <v>0</v>
      </c>
      <c r="L39" t="str">
        <f t="shared" si="3"/>
        <v>技能：机动车驾驶</v>
      </c>
      <c r="M39">
        <f ca="1" t="shared" si="4"/>
        <v>20</v>
      </c>
      <c r="O39">
        <f ca="1">IF(L39="","",COUNTIF($L$2:L39,"?*"))</f>
        <v>31</v>
      </c>
      <c r="P39" t="str">
        <f ca="1">IFERROR(INDEX($L$2:$L$79,MATCH(38,$O$2:$O$79,0)),"")</f>
        <v>技能：人源情报</v>
      </c>
      <c r="AK39">
        <f ca="1">IFERROR(MATCH(38,$F$2:$F$61,0),0)</f>
        <v>0</v>
      </c>
      <c r="AL39" t="str">
        <f ca="1" t="shared" si="0"/>
        <v/>
      </c>
      <c r="AM39">
        <f ca="1" t="shared" si="1"/>
        <v>0</v>
      </c>
      <c r="DO39">
        <f t="shared" si="2"/>
        <v>1</v>
      </c>
      <c r="DP39">
        <f ca="1">IF(DO39=1,SUM($DO$2:DO39),0)</f>
        <v>19</v>
      </c>
      <c r="DQ39" t="str">
        <f ca="1">IFERROR(INDEX($L$2:$L$79,MATCH(38,$DP$2:$DP$79,0)),"")</f>
        <v>技能：潜藏</v>
      </c>
    </row>
    <row r="40" spans="1:183">
      <c r="A40" t="str">
        <f>IF(人物卡!AG22="","","技能："&amp;人物卡!AG22)</f>
        <v>技能：说服</v>
      </c>
      <c r="B40">
        <v>0</v>
      </c>
      <c r="C40">
        <f ca="1">人物卡!AS22</f>
        <v>20</v>
      </c>
      <c r="D40" t="str">
        <f>人物卡!AE22</f>
        <v>☐</v>
      </c>
      <c r="E40">
        <f ca="1">IF(AND(A40&lt;&gt;"",A40&lt;&gt;"技能：非自然知识",C40&gt;=1,OR(D40="√",D40="☑"),COUNTIFS($A$2:A40,A40,$D$2:D40,"√")+COUNTIFS($A$2:A40,A40,$D$2:D40,"☑")=1),1,0)</f>
        <v>0</v>
      </c>
      <c r="F40">
        <f ca="1">IF(E40=1,SUM($E$2:E40),0)</f>
        <v>0</v>
      </c>
      <c r="L40" t="str">
        <f t="shared" si="3"/>
        <v>技能：射击</v>
      </c>
      <c r="M40">
        <f ca="1" t="shared" si="4"/>
        <v>20</v>
      </c>
      <c r="O40">
        <f ca="1">IF(L40="","",COUNTIF($L$2:L40,"?*"))</f>
        <v>32</v>
      </c>
      <c r="P40" t="str">
        <f ca="1">IFERROR(INDEX($L$2:$L$79,MATCH(39,$O$2:$O$79,0)),"")</f>
        <v>技能：法律</v>
      </c>
      <c r="AK40">
        <f ca="1">IFERROR(MATCH(39,$F$2:$F$61,0),0)</f>
        <v>0</v>
      </c>
      <c r="AL40" t="str">
        <f ca="1" t="shared" si="0"/>
        <v/>
      </c>
      <c r="AM40">
        <f ca="1" t="shared" si="1"/>
        <v>0</v>
      </c>
      <c r="DO40">
        <f t="shared" si="2"/>
        <v>1</v>
      </c>
      <c r="DP40">
        <f ca="1">IF(DO40=1,SUM($DO$2:DO40),0)</f>
        <v>20</v>
      </c>
      <c r="DQ40" t="str">
        <f ca="1">IFERROR(INDEX($L$2:$L$79,MATCH(39,$DP$2:$DP$79,0)),"")</f>
        <v>技能：手术</v>
      </c>
      <c r="GA40">
        <f>IFERROR(MATCH(GA10&amp;"-"&amp;GA11&amp;"-14",$I$200:$I$1199,0),0)</f>
        <v>0</v>
      </c>
    </row>
    <row r="41" spans="1:183">
      <c r="A41" t="str">
        <f>IF(人物卡!AG23="","","技能："&amp;人物卡!AG23)</f>
        <v>技能：药学</v>
      </c>
      <c r="B41">
        <v>0</v>
      </c>
      <c r="C41">
        <f ca="1">人物卡!AS23</f>
        <v>0</v>
      </c>
      <c r="D41" t="str">
        <f>人物卡!AE23</f>
        <v>☐</v>
      </c>
      <c r="E41">
        <f ca="1">IF(AND(A41&lt;&gt;"",A41&lt;&gt;"技能：非自然知识",C41&gt;=1,OR(D41="√",D41="☑"),COUNTIFS($A$2:A41,A41,$D$2:D41,"√")+COUNTIFS($A$2:A41,A41,$D$2:D41,"☑")=1),1,0)</f>
        <v>0</v>
      </c>
      <c r="F41">
        <f ca="1">IF(E41=1,SUM($E$2:E41),0)</f>
        <v>0</v>
      </c>
      <c r="L41" t="str">
        <f t="shared" si="3"/>
        <v>技能：急救</v>
      </c>
      <c r="M41">
        <f ca="1" t="shared" si="4"/>
        <v>10</v>
      </c>
      <c r="O41">
        <f ca="1">IF(L41="","",COUNTIF($L$2:L41,"?*"))</f>
        <v>33</v>
      </c>
      <c r="P41" t="str">
        <f ca="1">IFERROR(INDEX($L$2:$L$79,MATCH(40,$O$2:$O$79,0)),"")</f>
        <v>技能：医学</v>
      </c>
      <c r="AK41">
        <f ca="1">IFERROR(MATCH(40,$F$2:$F$61,0),0)</f>
        <v>0</v>
      </c>
      <c r="AL41" t="str">
        <f ca="1" t="shared" si="0"/>
        <v/>
      </c>
      <c r="AM41">
        <f ca="1" t="shared" si="1"/>
        <v>0</v>
      </c>
      <c r="DO41">
        <f t="shared" si="2"/>
        <v>1</v>
      </c>
      <c r="DP41">
        <f ca="1">IF(DO41=1,SUM($DO$2:DO41),0)</f>
        <v>21</v>
      </c>
      <c r="DQ41" t="str">
        <f ca="1">IFERROR(INDEX($L$2:$L$79,MATCH(40,$DP$2:$DP$79,0)),"")</f>
        <v>技能：生存</v>
      </c>
      <c r="GA41" t="str">
        <f ca="1">GA9&amp;"。"&amp;理智与关系记录!$B$20&amp;IF($GA$9="理智损失","；来源："&amp;理智与关系记录!$B$10&amp;"；SAN检定："&amp;理智与关系记录!$E$10&amp;"；损失式："&amp;理智与关系记录!$E$11&amp;"；原损失"&amp;GA14&amp;"，投射抵减"&amp;GA18&amp;"，实扣SAN"&amp;GA19,"")&amp;IF(GA15&gt;0,"；投射1D4="&amp;GA15&amp;"，"&amp;理智与关系记录!$E$12&amp;IF(GA16=1,"；扣后毅力≥1，投射生效","；扣后毅力不足1，未抵减SAN且未扣关系"),"")&amp;IF(GA24&gt;0,"；抑制1D4="&amp;GA24&amp;"，"&amp;理智与关系记录!$E$13&amp;IF(GA25=1,"；理智检定："&amp;理智与关系记录!$B$14&amp;IF(OR(理智与关系记录!$B$14="成功",理智与关系记录!$B$14="大成功"),"，抑制成功","，抑制失败，代价不返还"),"；扣后毅力不足1，未抑制且未扣关系"),"")&amp;IF(GA21=1,"；临时疯狂","")&amp;IF(GA22=1,"；新疾病："&amp;理智与关系记录!$E$14&amp;"；去除动力："&amp;理智与关系记录!$E$16&amp;"；新BP="&amp;GA23,"")&amp;IF(AND($GA$9="理智损失",GA20=0),"；永久疯狂","")&amp;IF(GA30&gt;0,"；"&amp;IF(GA30=1,"暴力","无力")&amp;"适应完成，1D6="&amp;GA31,"")&amp;IF(GA38&gt;0,"；掌局者允许疯狂启示，1D6="&amp;GA38,"")</f>
        <v>0。</v>
      </c>
    </row>
    <row r="42" spans="1:183">
      <c r="A42" t="str">
        <f ca="1">IF(TRIM(人物卡!AM24)="","","技能："&amp;SUBSTITUTE(人物卡!AG24,"：","")&amp;"（"&amp;TRIM(人物卡!AM24)&amp;"）")</f>
        <v/>
      </c>
      <c r="B42">
        <v>0</v>
      </c>
      <c r="C42">
        <f ca="1">人物卡!AS24</f>
        <v>0</v>
      </c>
      <c r="D42" t="str">
        <f>人物卡!AE24</f>
        <v>☐</v>
      </c>
      <c r="E42">
        <f ca="1">IF(AND(A42&lt;&gt;"",A42&lt;&gt;"技能：非自然知识",C42&gt;=1,OR(D42="√",D42="☑"),COUNTIFS($A$2:A42,A42,$D$2:D42,"√")+COUNTIFS($A$2:A42,A42,$D$2:D42,"☑")=1),1,0)</f>
        <v>0</v>
      </c>
      <c r="F42">
        <f ca="1">IF(E42=1,SUM($E$2:E42),0)</f>
        <v>0</v>
      </c>
      <c r="L42" t="str">
        <f ca="1" t="shared" si="3"/>
        <v/>
      </c>
      <c r="M42">
        <f ca="1" t="shared" si="4"/>
        <v>0</v>
      </c>
      <c r="O42" t="str">
        <f ca="1">IF(L42="","",COUNTIF($L$2:L42,"?*"))</f>
        <v/>
      </c>
      <c r="P42" t="str">
        <f ca="1">IFERROR(INDEX($L$2:$L$79,MATCH(41,$O$2:$O$79,0)),"")</f>
        <v>技能：近战武器</v>
      </c>
      <c r="AK42">
        <f ca="1">IFERROR(MATCH(41,$F$2:$F$61,0),0)</f>
        <v>0</v>
      </c>
      <c r="AL42" t="str">
        <f ca="1" t="shared" si="0"/>
        <v/>
      </c>
      <c r="AM42">
        <f ca="1" t="shared" si="1"/>
        <v>0</v>
      </c>
      <c r="DO42">
        <f ca="1" t="shared" si="2"/>
        <v>0</v>
      </c>
      <c r="DP42">
        <f ca="1">IF(DO42=1,SUM($DO$2:DO42),0)</f>
        <v>0</v>
      </c>
      <c r="DQ42" t="str">
        <f ca="1">IFERROR(INDEX($L$2:$L$79,MATCH(41,$DP$2:$DP$79,0)),"")</f>
        <v>技能：游泳</v>
      </c>
      <c r="GA42" t="str">
        <f ca="1">IF(GA12&gt;0,"已归档",IF(GA9="","",IF(COUNTIF($GF$2:$GF$14,GA9)=0,"选择事项",IF(COUNT(人物卡!$AH$3:$AH$8)&lt;&gt;6,"先在主卡填写六项原值",IF(NOT(AND(ISNUMBER(理智与关系记录!$B$8),理智与关系记录!$B$8&gt;=1,理智与关系记录!$B$8&lt;=99999,MOD(理智与关系记录!$B$8,1)=0)),"记录号须为正整数",IF(COUNTIF($W$2:$W$21,GA10)=0,"选择模组编号",IF(理智与关系记录!$B$20="","填写事件经过和关系表现",IF(AND($GA$9="理智损失",COUNTIF($GE$2:$GE$4,理智与关系记录!$B$10)=0),"选择暴力、无力或非自然",IF(AND(OR($GA$9="理智损失",$GA$9="建立DG关系",$GA$9="加深DG关系"),COUNTIF($EO$2:$EO$5,理智与关系记录!$E$10)=0),"填写理智检定结果",IF(AND($GA$9="理智损失",NOT(AND(ISNUMBER(理智与关系记录!$B$11),理智与关系记录!$B$11&gt;=0,理智与关系记录!$B$11&lt;=99,MOD(理智与关系记录!$B$11,1)=0))),"填写本次实际SAN损失（0～99）",IF(AND($GA$9="理智损失",OR(AND(理智与关系记录!$B$10="暴力",GA7=3),AND(理智与关系记录!$B$10="无力",GA8=3)),NOT(OR(理智与关系记录!$E$10="成功",理智与关系记录!$E$10="大成功"))),"已适应：按成功分支填写损失",IF(AND(GA15&lt;&gt;0,NOT(AND(ISNUMBER(理智与关系记录!$B$12),理智与关系记录!$B$12&gt;=1,理智与关系记录!$B$12&lt;=4,MOD(理智与关系记录!$B$12,1)=0))),"投射填写实掷1D4",IF(AND(GA15&gt;0,NOT(AND(COUNTIF($X$2:$X$8,理智与关系记录!$E$12)=1,IFERROR(INDEX($Z$2:$Z$8,MATCH(理智与关系记录!$E$12,$X$2:$X$8,0)),0)&gt;0,IFERROR(INDEX($Y$2:$Y$8,MATCH(理智与关系记录!$E$12,$X$2:$X$8,0)),"")&lt;&gt;""))),"投射选择有效关系",IF(AND($GA$9="抑制疯狂",NOT(AND(ISNUMBER(理智与关系记录!$B$13),理智与关系记录!$B$13&gt;=1,理智与关系记录!$B$13&lt;=4,MOD(理智与关系记录!$B$13,1)=0))),"抑制填写实掷1D4",IF(AND(GA24&lt;&gt;0,NOT(AND(ISNUMBER(理智与关系记录!$B$13),理智与关系记录!$B$13&gt;=1,理智与关系记录!$B$13&lt;=4,MOD(理智与关系记录!$B$13,1)=0))),"抑制填写实掷1D4",IF(AND(GA24&gt;0,NOT(AND(COUNTIF($X$2:$X$8,理智与关系记录!$E$13)=1,IFERROR(INDEX($Z$2:$Z$8,MATCH(理智与关系记录!$E$13,$X$2:$X$8,0)),0)&gt;0,IFERROR(INDEX($Y$2:$Y$8,MATCH(理智与关系记录!$E$13,$X$2:$X$8,0)),"")&lt;&gt;""))),"抑制选择有效关系",IF(AND(GA25=1,COUNTIF($EO$2:$EO$5,理智与关系记录!$B$14)=0),"填写抑制的理智检定结果",IF(AND(GA22=1,理智与关系记录!$E$14=""),"触及崩溃点：填写新增精神疾病",IF(AND(GA30&gt;0,NOT(AND(ISNUMBER(理智与关系记录!$B$16),理智与关系记录!$B$16&gt;=1,理智与关系记录!$B$16&lt;=6,MOD(理智与关系记录!$B$16,1)=0))),"完成适应：填写实掷1D6代价",IF(AND(OR($GA$9="适应暴力",$GA$9="适应无力"),GA30=0),"该类已经适应，无需再次扣减",IF(AND(OR($GA$9="关系受损",$GA$9="关系破碎",$GA$9="加深DG关系"),NOT(AND(COUNTIF($X$2:$X$8,理智与关系记录!$B$15)=1,IFERROR(INDEX($Z$2:$Z$8,MATCH(理智与关系记录!$B$15,$X$2:$X$8,0)),0)&gt;0,IFERROR(INDEX($Y$2:$Y$8,MATCH(理智与关系记录!$B$15,$X$2:$X$8,0)),"")&lt;&gt;""))),"选择仍有效的目标关系",IF(AND($GA$9="关系受损",NOT(OR(AND(ISNUMBER(理智与关系记录!$E$15),理智与关系记录!$E$15&gt;=1,理智与关系记录!$E$15&lt;=4,MOD(理智与关系记录!$E$15,1)=0),AND(ISNUMBER(理智与关系记录!$B$17),理智与关系记录!$B$17&gt;=-99,理智与关系记录!$B$17&lt;=-1,MOD(理智与关系记录!$B$17,1)=0)))),"填关系实掷1D4或确认的负增减",IF(AND($GA$9="关系受损",ISNUMBER(理智与关系记录!$E$15),ISNUMBER(理智与关系记录!$B$17)),"关系损失只填骰点或确认值中的一个",IF(AND(OR($GA$9="理智恢复",$GA$9="毅力恢复"),NOT(AND(ISNUMBER(理智与关系记录!$B$17),理智与关系记录!$B$17&gt;=0,理智与关系记录!$B$17&lt;=99,MOD(理智与关系记录!$B$17,1)=0))),"恢复填0～99的确认值",IF(AND(OR($GA$9="毅力消耗",$GA$9="属性减值"),NOT(AND(ISNUMBER(理智与关系记录!$B$17),理智与关系记录!$B$17&gt;=-99,理智与关系记录!$B$17&lt;=-1,MOD(理智与关系记录!$B$17,1)=0))),"消耗或减值填写负数",IF(AND($GA$9="体力变化",NOT(AND(ISNUMBER(理智与关系记录!$B$17),理智与关系记录!$B$17&gt;=-99,理智与关系记录!$B$17&lt;=99,MOD(理智与关系记录!$B$17,1)=0))),"体力增减填−99～99的整数",IF(AND($GA$9="属性减值",COUNTIF($L$2:$L$7,理智与关系记录!$E$17)=0),"选择减值属性",IF(AND($GA$9="建立DG关系",OR(COUNTIF($X$2:$X$8,理智与关系记录!$B$15)=0,IFERROR(INDEX($Y$2:$Y$8,MATCH(理智与关系记录!$B$15,$X$2:$X$8,0)),"")="")),"先在主卡为新关系命名，再选择目标",IF(AND(OR($GA$9="建立DG关系",$GA$9="加深DG关系"),IFERROR(INDEX($AA$2:$AA$8,MATCH(理智与关系记录!$B$15,$X$2:$X$8,0)),"")&lt;&gt;"√"),"目标应在主卡勾选DG",IF(AND($GA$9="加深DG关系",OR(理智与关系记录!$E$10="失败",理智与关系记录!$E$10="大失败"),NOT(AND(ISNUMBER(理智与关系记录!$E$15),理智与关系记录!$E$15&gt;=1,理智与关系记录!$E$15&lt;=4,MOD(理智与关系记录!$E$15,1)=0))),"加深关系填写实掷1D4",IF(AND(GA36&lt;0,NOT(AND(AND(COUNTIF($X$2:$X$8,理智与关系记录!$B$18)=1,IFERROR(INDEX($Z$2:$Z$8,MATCH(理智与关系记录!$B$18,$X$2:$X$8,0)),0)&gt;0,IFERROR(INDEX($Y$2:$Y$8,MATCH(理智与关系记录!$B$18,$X$2:$X$8,0)),"")&lt;&gt;""),IFERROR(INDEX($AA$2:$AA$8,MATCH(理智与关系记录!$B$18,$X$2:$X$8,0)),"")&lt;&gt;"√"))),"DG关系代价选择仍有效的非DG关系",IF(AND(GA36&lt;0,$GA$9="建立DG关系",NOT(AND(ISNUMBER(理智与关系记录!$E$18),理智与关系记录!$E$18&gt;=1,理智与关系记录!$E$18&lt;=4,MOD(理智与关系记录!$E$18,1)=0))),"新DG关系填写代价1D4",IF(AND(理智与关系记录!$E$19="是",GA21=1,理智与关系记录!$B$10="非自然",NOT(AND(ISNUMBER(理智与关系记录!$B$19),理智与关系记录!$B$19&gt;=1,理智与关系记录!$B$19&lt;=6,MOD(理智与关系记录!$B$19,1)=0))),"疯狂启示填写实掷1D6",IF(AND($GA$9="理智损失",GA3=0,OR(GA15&gt;0,GA24&gt;0)),"毅力为0，无法再支付投射或抑制代价","可归档"))))))))))))))))))))))))))))))))))</f>
        <v>选择事项</v>
      </c>
    </row>
    <row r="43" spans="1:183">
      <c r="A43" t="str">
        <f ca="1">IF(TRIM(人物卡!AM25)="","","技能："&amp;SUBSTITUTE(人物卡!AG25,"：","")&amp;"（"&amp;TRIM(人物卡!AM25)&amp;"）")</f>
        <v/>
      </c>
      <c r="B43">
        <v>0</v>
      </c>
      <c r="C43">
        <f ca="1">人物卡!AS25</f>
        <v>0</v>
      </c>
      <c r="D43" t="str">
        <f>人物卡!AE25</f>
        <v>☐</v>
      </c>
      <c r="E43">
        <f ca="1">IF(AND(A43&lt;&gt;"",A43&lt;&gt;"技能：非自然知识",C43&gt;=1,OR(D43="√",D43="☑"),COUNTIFS($A$2:A43,A43,$D$2:D43,"√")+COUNTIFS($A$2:A43,A43,$D$2:D43,"☑")=1),1,0)</f>
        <v>0</v>
      </c>
      <c r="F43">
        <f ca="1">IF(E43=1,SUM($E$2:E43),0)</f>
        <v>0</v>
      </c>
      <c r="L43" t="str">
        <f ca="1" t="shared" si="3"/>
        <v/>
      </c>
      <c r="M43">
        <f ca="1" t="shared" si="4"/>
        <v>0</v>
      </c>
      <c r="O43" t="str">
        <f ca="1">IF(L43="","",COUNTIF($L$2:L43,"?*"))</f>
        <v/>
      </c>
      <c r="P43" t="str">
        <f ca="1">IFERROR(INDEX($L$2:$L$79,MATCH(42,$O$2:$O$79,0)),"")</f>
        <v>技能：导航</v>
      </c>
      <c r="AK43">
        <f ca="1">IFERROR(MATCH(42,$F$2:$F$61,0),0)</f>
        <v>0</v>
      </c>
      <c r="AL43" t="str">
        <f ca="1" t="shared" si="0"/>
        <v/>
      </c>
      <c r="AM43">
        <f ca="1" t="shared" si="1"/>
        <v>0</v>
      </c>
      <c r="DO43">
        <f ca="1" t="shared" si="2"/>
        <v>0</v>
      </c>
      <c r="DP43">
        <f ca="1">IF(DO43=1,SUM($DO$2:DO43),0)</f>
        <v>0</v>
      </c>
      <c r="DQ43" t="str">
        <f ca="1">IFERROR(INDEX($L$2:$L$79,MATCH(42,$DP$2:$DP$79,0)),"")</f>
        <v>技能：徒手搏斗</v>
      </c>
      <c r="GA43">
        <f ca="1">COUNTIF(GA120:GA133,"?*")</f>
        <v>1</v>
      </c>
    </row>
    <row r="44" spans="1:183">
      <c r="A44" t="str">
        <f ca="1">IF(TRIM(人物卡!AM26)="","","技能："&amp;SUBSTITUTE(人物卡!AG26,"：","")&amp;"（"&amp;TRIM(人物卡!AM26)&amp;"）")</f>
        <v/>
      </c>
      <c r="B44">
        <v>0</v>
      </c>
      <c r="C44">
        <f ca="1">人物卡!AS26</f>
        <v>0</v>
      </c>
      <c r="D44" t="str">
        <f>人物卡!AE26</f>
        <v>☐</v>
      </c>
      <c r="E44">
        <f ca="1">IF(AND(A44&lt;&gt;"",A44&lt;&gt;"技能：非自然知识",C44&gt;=1,OR(D44="√",D44="☑"),COUNTIFS($A$2:A44,A44,$D$2:D44,"√")+COUNTIFS($A$2:A44,A44,$D$2:D44,"☑")=1),1,0)</f>
        <v>0</v>
      </c>
      <c r="F44">
        <f ca="1">IF(E44=1,SUM($E$2:E44),0)</f>
        <v>0</v>
      </c>
      <c r="L44" t="str">
        <f ca="1" t="shared" si="3"/>
        <v/>
      </c>
      <c r="M44">
        <f ca="1" t="shared" si="4"/>
        <v>0</v>
      </c>
      <c r="O44" t="str">
        <f ca="1">IF(L44="","",COUNTIF($L$2:L44,"?*"))</f>
        <v/>
      </c>
      <c r="P44" t="str">
        <f ca="1">IFERROR(INDEX($L$2:$L$79,MATCH(43,$O$2:$O$79,0)),"")</f>
        <v>技能：神秘学</v>
      </c>
      <c r="AK44">
        <f ca="1">IFERROR(MATCH(43,$F$2:$F$61,0),0)</f>
        <v>0</v>
      </c>
      <c r="AL44" t="str">
        <f ca="1" t="shared" si="0"/>
        <v/>
      </c>
      <c r="AM44">
        <f ca="1" t="shared" si="1"/>
        <v>0</v>
      </c>
      <c r="DO44">
        <f ca="1" t="shared" si="2"/>
        <v>0</v>
      </c>
      <c r="DP44">
        <f ca="1">IF(DO44=1,SUM($DO$2:DO44),0)</f>
        <v>0</v>
      </c>
      <c r="DQ44" t="str">
        <f ca="1">IFERROR(INDEX($L$2:$L$79,MATCH(43,$DP$2:$DP$79,0)),"")</f>
        <v/>
      </c>
      <c r="GA44">
        <f ca="1">IF(GA12&gt;0,GA12,GA43)</f>
        <v>1</v>
      </c>
    </row>
    <row r="45" spans="1:183">
      <c r="A45" t="str">
        <f>IF(人物卡!AG27="","","技能："&amp;人物卡!AG27)</f>
        <v>技能：精神治疗</v>
      </c>
      <c r="B45">
        <v>0</v>
      </c>
      <c r="C45">
        <f ca="1">人物卡!AS27</f>
        <v>10</v>
      </c>
      <c r="D45" t="str">
        <f>人物卡!AE27</f>
        <v>☐</v>
      </c>
      <c r="E45">
        <f ca="1">IF(AND(A45&lt;&gt;"",A45&lt;&gt;"技能：非自然知识",C45&gt;=1,OR(D45="√",D45="☑"),COUNTIFS($A$2:A45,A45,$D$2:D45,"√")+COUNTIFS($A$2:A45,A45,$D$2:D45,"☑")=1),1,0)</f>
        <v>0</v>
      </c>
      <c r="F45">
        <f ca="1">IF(E45=1,SUM($E$2:E45),0)</f>
        <v>0</v>
      </c>
      <c r="L45" t="str">
        <f t="shared" si="3"/>
        <v>技能：法证学</v>
      </c>
      <c r="M45">
        <f ca="1" t="shared" si="4"/>
        <v>0</v>
      </c>
      <c r="O45">
        <f ca="1">IF(L45="","",COUNTIF($L$2:L45,"?*"))</f>
        <v>34</v>
      </c>
      <c r="P45" t="str">
        <f ca="1">IFERROR(INDEX($L$2:$L$79,MATCH(44,$O$2:$O$79,0)),"")</f>
        <v>技能：说服</v>
      </c>
      <c r="AK45">
        <f ca="1">IFERROR(MATCH(44,$F$2:$F$61,0),0)</f>
        <v>0</v>
      </c>
      <c r="AL45" t="str">
        <f ca="1" t="shared" si="0"/>
        <v/>
      </c>
      <c r="AM45">
        <f ca="1" t="shared" si="1"/>
        <v>0</v>
      </c>
      <c r="DO45">
        <f t="shared" si="2"/>
        <v>1</v>
      </c>
      <c r="DP45">
        <f ca="1">IF(DO45=1,SUM($DO$2:DO45),0)</f>
        <v>22</v>
      </c>
      <c r="DQ45" t="str">
        <f ca="1">IFERROR(INDEX($L$2:$L$79,MATCH(44,$DP$2:$DP$79,0)),"")</f>
        <v/>
      </c>
    </row>
    <row r="46" spans="1:183">
      <c r="A46" t="str">
        <f>IF(人物卡!AG28="","","技能："&amp;人物卡!AG28)</f>
        <v>技能：骑术</v>
      </c>
      <c r="B46">
        <v>0</v>
      </c>
      <c r="C46">
        <f ca="1">人物卡!AS28</f>
        <v>10</v>
      </c>
      <c r="D46" t="str">
        <f>人物卡!AE28</f>
        <v>☐</v>
      </c>
      <c r="E46">
        <f ca="1">IF(AND(A46&lt;&gt;"",A46&lt;&gt;"技能：非自然知识",C46&gt;=1,OR(D46="√",D46="☑"),COUNTIFS($A$2:A46,A46,$D$2:D46,"√")+COUNTIFS($A$2:A46,A46,$D$2:D46,"☑")=1),1,0)</f>
        <v>0</v>
      </c>
      <c r="F46">
        <f ca="1">IF(E46=1,SUM($E$2:E46),0)</f>
        <v>0</v>
      </c>
      <c r="L46" t="str">
        <f t="shared" si="3"/>
        <v>技能：重型机械</v>
      </c>
      <c r="M46">
        <f ca="1" t="shared" si="4"/>
        <v>10</v>
      </c>
      <c r="O46">
        <f ca="1">IF(L46="","",COUNTIF($L$2:L46,"?*"))</f>
        <v>35</v>
      </c>
      <c r="P46" t="str">
        <f ca="1">IFERROR(INDEX($L$2:$L$79,MATCH(45,$O$2:$O$79,0)),"")</f>
        <v>技能：药学</v>
      </c>
      <c r="AK46">
        <f ca="1">IFERROR(MATCH(45,$F$2:$F$61,0),0)</f>
        <v>0</v>
      </c>
      <c r="AL46" t="str">
        <f ca="1" t="shared" si="0"/>
        <v/>
      </c>
      <c r="AM46">
        <f ca="1" t="shared" si="1"/>
        <v>0</v>
      </c>
      <c r="DO46">
        <f t="shared" si="2"/>
        <v>1</v>
      </c>
      <c r="DP46">
        <f ca="1">IF(DO46=1,SUM($DO$2:DO46),0)</f>
        <v>23</v>
      </c>
      <c r="DQ46" t="str">
        <f ca="1">IFERROR(INDEX($L$2:$L$79,MATCH(45,$DP$2:$DP$79,0)),"")</f>
        <v/>
      </c>
    </row>
    <row r="47" spans="1:183">
      <c r="A47" t="str">
        <f ca="1">IF(TRIM(人物卡!AM29)="","","技能："&amp;SUBSTITUTE(人物卡!AG29,"：","")&amp;"（"&amp;TRIM(人物卡!AM29)&amp;"）")</f>
        <v/>
      </c>
      <c r="B47">
        <v>0</v>
      </c>
      <c r="C47">
        <f ca="1">人物卡!AS29</f>
        <v>0</v>
      </c>
      <c r="D47" t="str">
        <f>人物卡!AE29</f>
        <v>☐</v>
      </c>
      <c r="E47">
        <f ca="1">IF(AND(A47&lt;&gt;"",A47&lt;&gt;"技能：非自然知识",C47&gt;=1,OR(D47="√",D47="☑"),COUNTIFS($A$2:A47,A47,$D$2:D47,"√")+COUNTIFS($A$2:A47,A47,$D$2:D47,"☑")=1),1,0)</f>
        <v>0</v>
      </c>
      <c r="F47">
        <f ca="1">IF(E47=1,SUM($E$2:E47),0)</f>
        <v>0</v>
      </c>
      <c r="L47" t="str">
        <f t="shared" si="3"/>
        <v>技能：重型武器</v>
      </c>
      <c r="M47">
        <f ca="1" t="shared" si="4"/>
        <v>0</v>
      </c>
      <c r="O47">
        <f ca="1">IF(L47="","",COUNTIF($L$2:L47,"?*"))</f>
        <v>36</v>
      </c>
      <c r="P47" t="str">
        <f ca="1">IFERROR(INDEX($L$2:$L$79,MATCH(46,$O$2:$O$79,0)),"")</f>
        <v>技能：精神治疗</v>
      </c>
      <c r="AK47">
        <f ca="1">IFERROR(MATCH(46,$F$2:$F$61,0),0)</f>
        <v>0</v>
      </c>
      <c r="AL47" t="str">
        <f ca="1" t="shared" si="0"/>
        <v/>
      </c>
      <c r="AM47">
        <f ca="1" t="shared" si="1"/>
        <v>0</v>
      </c>
      <c r="DO47">
        <f t="shared" si="2"/>
        <v>1</v>
      </c>
      <c r="DP47">
        <f ca="1">IF(DO47=1,SUM($DO$2:DO47),0)</f>
        <v>24</v>
      </c>
      <c r="DQ47" t="str">
        <f ca="1">IFERROR(INDEX($L$2:$L$79,MATCH(46,$DP$2:$DP$79,0)),"")</f>
        <v/>
      </c>
    </row>
    <row r="48" spans="1:183">
      <c r="A48" t="str">
        <f ca="1">IF(TRIM(人物卡!AM30)="","","技能："&amp;SUBSTITUTE(人物卡!AG30,"：","")&amp;"（"&amp;TRIM(人物卡!AM30)&amp;"）")</f>
        <v/>
      </c>
      <c r="B48">
        <v>0</v>
      </c>
      <c r="C48">
        <f ca="1">人物卡!AS30</f>
        <v>0</v>
      </c>
      <c r="D48" t="str">
        <f>人物卡!AE30</f>
        <v>☐</v>
      </c>
      <c r="E48">
        <f ca="1">IF(AND(A48&lt;&gt;"",A48&lt;&gt;"技能：非自然知识",C48&gt;=1,OR(D48="√",D48="☑"),COUNTIFS($A$2:A48,A48,$D$2:D48,"√")+COUNTIFS($A$2:A48,A48,$D$2:D48,"☑")=1),1,0)</f>
        <v>0</v>
      </c>
      <c r="F48">
        <f ca="1">IF(E48=1,SUM($E$2:E48),0)</f>
        <v>0</v>
      </c>
      <c r="L48" t="str">
        <f t="shared" si="3"/>
        <v>技能：历史</v>
      </c>
      <c r="M48">
        <f ca="1" t="shared" si="4"/>
        <v>10</v>
      </c>
      <c r="O48">
        <f ca="1">IF(L48="","",COUNTIF($L$2:L48,"?*"))</f>
        <v>37</v>
      </c>
      <c r="P48" t="str">
        <f ca="1">IFERROR(INDEX($L$2:$L$79,MATCH(47,$O$2:$O$79,0)),"")</f>
        <v>技能：骑术</v>
      </c>
      <c r="AK48">
        <f ca="1">IFERROR(MATCH(47,$F$2:$F$61,0),0)</f>
        <v>0</v>
      </c>
      <c r="AL48" t="str">
        <f ca="1" t="shared" si="0"/>
        <v/>
      </c>
      <c r="AM48">
        <f ca="1" t="shared" si="1"/>
        <v>0</v>
      </c>
      <c r="DO48">
        <f t="shared" si="2"/>
        <v>1</v>
      </c>
      <c r="DP48">
        <f ca="1">IF(DO48=1,SUM($DO$2:DO48),0)</f>
        <v>25</v>
      </c>
      <c r="DQ48" t="str">
        <f ca="1">IFERROR(INDEX($L$2:$L$79,MATCH(47,$DP$2:$DP$79,0)),"")</f>
        <v/>
      </c>
    </row>
    <row r="49" spans="1:191">
      <c r="A49" t="str">
        <f ca="1">IF(TRIM(人物卡!AM31)="","","技能："&amp;SUBSTITUTE(人物卡!AG31,"：","")&amp;"（"&amp;TRIM(人物卡!AM31)&amp;"）")</f>
        <v/>
      </c>
      <c r="B49">
        <v>0</v>
      </c>
      <c r="C49">
        <f ca="1">人物卡!AS31</f>
        <v>0</v>
      </c>
      <c r="D49" t="str">
        <f>人物卡!AE31</f>
        <v>☐</v>
      </c>
      <c r="E49">
        <f ca="1">IF(AND(A49&lt;&gt;"",A49&lt;&gt;"技能：非自然知识",C49&gt;=1,OR(D49="√",D49="☑"),COUNTIFS($A$2:A49,A49,$D$2:D49,"√")+COUNTIFS($A$2:A49,A49,$D$2:D49,"☑")=1),1,0)</f>
        <v>0</v>
      </c>
      <c r="F49">
        <f ca="1">IF(E49=1,SUM($E$2:E49),0)</f>
        <v>0</v>
      </c>
      <c r="L49" t="str">
        <f t="shared" si="3"/>
        <v>技能：人源情报</v>
      </c>
      <c r="M49">
        <f ca="1" t="shared" si="4"/>
        <v>10</v>
      </c>
      <c r="O49">
        <f ca="1">IF(L49="","",COUNTIF($L$2:L49,"?*"))</f>
        <v>38</v>
      </c>
      <c r="P49" t="str">
        <f ca="1">IFERROR(INDEX($L$2:$L$79,MATCH(48,$O$2:$O$79,0)),"")</f>
        <v>技能：搜寻</v>
      </c>
      <c r="AK49">
        <f ca="1">IFERROR(MATCH(48,$F$2:$F$61,0),0)</f>
        <v>0</v>
      </c>
      <c r="AL49" t="str">
        <f ca="1" t="shared" si="0"/>
        <v/>
      </c>
      <c r="AM49">
        <f ca="1" t="shared" si="1"/>
        <v>0</v>
      </c>
      <c r="DO49">
        <f t="shared" si="2"/>
        <v>1</v>
      </c>
      <c r="DP49">
        <f ca="1">IF(DO49=1,SUM($DO$2:DO49),0)</f>
        <v>26</v>
      </c>
      <c r="DQ49" t="str">
        <f ca="1">IFERROR(INDEX($L$2:$L$79,MATCH(48,$DP$2:$DP$79,0)),"")</f>
        <v/>
      </c>
    </row>
    <row r="50" spans="1:191">
      <c r="A50" t="str">
        <f>IF(人物卡!AG32="","","技能："&amp;人物卡!AG32)</f>
        <v>技能：搜寻</v>
      </c>
      <c r="B50">
        <v>0</v>
      </c>
      <c r="C50">
        <f ca="1">人物卡!AS32</f>
        <v>20</v>
      </c>
      <c r="D50" t="str">
        <f>人物卡!AE32</f>
        <v>☐</v>
      </c>
      <c r="E50">
        <f ca="1">IF(AND(A50&lt;&gt;"",A50&lt;&gt;"技能：非自然知识",C50&gt;=1,OR(D50="√",D50="☑"),COUNTIFS($A$2:A50,A50,$D$2:D50,"√")+COUNTIFS($A$2:A50,A50,$D$2:D50,"☑")=1),1,0)</f>
        <v>0</v>
      </c>
      <c r="F50">
        <f ca="1">IF(E50=1,SUM($E$2:E50),0)</f>
        <v>0</v>
      </c>
      <c r="L50" t="str">
        <f t="shared" si="3"/>
        <v>技能：法律</v>
      </c>
      <c r="M50">
        <f ca="1" t="shared" si="4"/>
        <v>0</v>
      </c>
      <c r="O50">
        <f ca="1">IF(L50="","",COUNTIF($L$2:L50,"?*"))</f>
        <v>39</v>
      </c>
      <c r="P50" t="str">
        <f ca="1">IFERROR(INDEX($L$2:$L$79,MATCH(49,$O$2:$O$79,0)),"")</f>
        <v>技能：信号情报</v>
      </c>
      <c r="AK50">
        <f ca="1">IFERROR(MATCH(49,$F$2:$F$61,0),0)</f>
        <v>0</v>
      </c>
      <c r="AL50" t="str">
        <f ca="1" t="shared" si="0"/>
        <v/>
      </c>
      <c r="AM50">
        <f ca="1" t="shared" si="1"/>
        <v>0</v>
      </c>
      <c r="DO50">
        <f t="shared" si="2"/>
        <v>1</v>
      </c>
      <c r="DP50">
        <f ca="1">IF(DO50=1,SUM($DO$2:DO50),0)</f>
        <v>27</v>
      </c>
      <c r="DQ50" t="str">
        <f ca="1">IFERROR(INDEX($L$2:$L$79,MATCH(49,$DP$2:$DP$79,0)),"")</f>
        <v/>
      </c>
    </row>
    <row r="51" spans="1:191">
      <c r="A51" t="str">
        <f>IF(人物卡!AG33="","","技能："&amp;人物卡!AG33)</f>
        <v>技能：信号情报</v>
      </c>
      <c r="B51">
        <v>0</v>
      </c>
      <c r="C51">
        <f ca="1">人物卡!AS33</f>
        <v>0</v>
      </c>
      <c r="D51" t="str">
        <f>人物卡!AE33</f>
        <v>☐</v>
      </c>
      <c r="E51">
        <f ca="1">IF(AND(A51&lt;&gt;"",A51&lt;&gt;"技能：非自然知识",C51&gt;=1,OR(D51="√",D51="☑"),COUNTIFS($A$2:A51,A51,$D$2:D51,"√")+COUNTIFS($A$2:A51,A51,$D$2:D51,"☑")=1),1,0)</f>
        <v>0</v>
      </c>
      <c r="F51">
        <f ca="1">IF(E51=1,SUM($E$2:E51),0)</f>
        <v>0</v>
      </c>
      <c r="L51" t="str">
        <f t="shared" si="3"/>
        <v>技能：医学</v>
      </c>
      <c r="M51">
        <f ca="1" t="shared" si="4"/>
        <v>0</v>
      </c>
      <c r="O51">
        <f ca="1">IF(L51="","",COUNTIF($L$2:L51,"?*"))</f>
        <v>40</v>
      </c>
      <c r="P51" t="str">
        <f ca="1">IFERROR(INDEX($L$2:$L$79,MATCH(50,$O$2:$O$79,0)),"")</f>
        <v>技能：潜藏</v>
      </c>
      <c r="AK51">
        <f ca="1">IFERROR(MATCH(50,$F$2:$F$61,0),0)</f>
        <v>0</v>
      </c>
      <c r="AL51" t="str">
        <f ca="1" t="shared" si="0"/>
        <v/>
      </c>
      <c r="AM51">
        <f ca="1" t="shared" si="1"/>
        <v>0</v>
      </c>
      <c r="DO51">
        <f t="shared" si="2"/>
        <v>1</v>
      </c>
      <c r="DP51">
        <f ca="1">IF(DO51=1,SUM($DO$2:DO51),0)</f>
        <v>28</v>
      </c>
      <c r="DQ51" t="str">
        <f ca="1">IFERROR(INDEX($L$2:$L$79,MATCH(50,$DP$2:$DP$79,0)),"")</f>
        <v/>
      </c>
    </row>
    <row r="52" spans="1:191">
      <c r="A52" t="str">
        <f>IF(人物卡!AG34="","","技能："&amp;人物卡!AG34)</f>
        <v>技能：潜藏</v>
      </c>
      <c r="B52">
        <v>0</v>
      </c>
      <c r="C52">
        <f ca="1">人物卡!AS34</f>
        <v>10</v>
      </c>
      <c r="D52" t="str">
        <f>人物卡!AE34</f>
        <v>☐</v>
      </c>
      <c r="E52">
        <f ca="1">IF(AND(A52&lt;&gt;"",A52&lt;&gt;"技能：非自然知识",C52&gt;=1,OR(D52="√",D52="☑"),COUNTIFS($A$2:A52,A52,$D$2:D52,"√")+COUNTIFS($A$2:A52,A52,$D$2:D52,"☑")=1),1,0)</f>
        <v>0</v>
      </c>
      <c r="F52">
        <f ca="1">IF(E52=1,SUM($E$2:E52),0)</f>
        <v>0</v>
      </c>
      <c r="L52" t="str">
        <f t="shared" si="3"/>
        <v>技能：近战武器</v>
      </c>
      <c r="M52">
        <f ca="1" t="shared" si="4"/>
        <v>30</v>
      </c>
      <c r="O52">
        <f ca="1">IF(L52="","",COUNTIF($L$2:L52,"?*"))</f>
        <v>41</v>
      </c>
      <c r="P52" t="str">
        <f ca="1">IFERROR(INDEX($L$2:$L$79,MATCH(51,$O$2:$O$79,0)),"")</f>
        <v>技能：手术</v>
      </c>
      <c r="AK52">
        <f ca="1">IFERROR(MATCH(51,$F$2:$F$61,0),0)</f>
        <v>0</v>
      </c>
      <c r="AL52" t="str">
        <f ca="1" t="shared" si="0"/>
        <v/>
      </c>
      <c r="AM52">
        <f ca="1" t="shared" si="1"/>
        <v>0</v>
      </c>
      <c r="DO52">
        <f t="shared" si="2"/>
        <v>1</v>
      </c>
      <c r="DP52">
        <f ca="1">IF(DO52=1,SUM($DO$2:DO52),0)</f>
        <v>29</v>
      </c>
      <c r="DQ52" t="str">
        <f ca="1">IFERROR(INDEX($L$2:$L$79,MATCH(51,$DP$2:$DP$79,0)),"")</f>
        <v/>
      </c>
    </row>
    <row r="53" spans="1:191">
      <c r="A53" t="str">
        <f>IF(人物卡!AG35="","","技能："&amp;人物卡!AG35)</f>
        <v>技能：手术</v>
      </c>
      <c r="B53">
        <v>0</v>
      </c>
      <c r="C53">
        <f ca="1">人物卡!AS35</f>
        <v>0</v>
      </c>
      <c r="D53" t="str">
        <f>人物卡!AE35</f>
        <v>☐</v>
      </c>
      <c r="E53">
        <f ca="1">IF(AND(A53&lt;&gt;"",A53&lt;&gt;"技能：非自然知识",C53&gt;=1,OR(D53="√",D53="☑"),COUNTIFS($A$2:A53,A53,$D$2:D53,"√")+COUNTIFS($A$2:A53,A53,$D$2:D53,"☑")=1),1,0)</f>
        <v>0</v>
      </c>
      <c r="F53">
        <f ca="1">IF(E53=1,SUM($E$2:E53),0)</f>
        <v>0</v>
      </c>
      <c r="L53" t="str">
        <f ca="1" t="shared" si="3"/>
        <v/>
      </c>
      <c r="M53">
        <f ca="1" t="shared" si="4"/>
        <v>0</v>
      </c>
      <c r="O53" t="str">
        <f ca="1">IF(L53="","",COUNTIF($L$2:L53,"?*"))</f>
        <v/>
      </c>
      <c r="P53" t="str">
        <f ca="1">IFERROR(INDEX($L$2:$L$79,MATCH(52,$O$2:$O$79,0)),"")</f>
        <v>技能：生存</v>
      </c>
      <c r="AK53">
        <f ca="1">IFERROR(MATCH(52,$F$2:$F$61,0),0)</f>
        <v>0</v>
      </c>
      <c r="AL53" t="str">
        <f ca="1" t="shared" si="0"/>
        <v/>
      </c>
      <c r="AM53">
        <f ca="1" t="shared" si="1"/>
        <v>0</v>
      </c>
      <c r="DO53">
        <f ca="1" t="shared" si="2"/>
        <v>0</v>
      </c>
      <c r="DP53">
        <f ca="1">IF(DO53=1,SUM($DO$2:DO53),0)</f>
        <v>0</v>
      </c>
      <c r="DQ53" t="str">
        <f ca="1">IFERROR(INDEX($L$2:$L$79,MATCH(52,$DP$2:$DP$79,0)),"")</f>
        <v/>
      </c>
    </row>
    <row r="54" spans="1:191">
      <c r="A54" t="str">
        <f>IF(人物卡!AG36="","","技能："&amp;人物卡!AG36)</f>
        <v>技能：生存</v>
      </c>
      <c r="B54">
        <v>0</v>
      </c>
      <c r="C54">
        <f ca="1">人物卡!AS36</f>
        <v>10</v>
      </c>
      <c r="D54" t="str">
        <f>人物卡!AE36</f>
        <v>☐</v>
      </c>
      <c r="E54">
        <f ca="1">IF(AND(A54&lt;&gt;"",A54&lt;&gt;"技能：非自然知识",C54&gt;=1,OR(D54="√",D54="☑"),COUNTIFS($A$2:A54,A54,$D$2:D54,"√")+COUNTIFS($A$2:A54,A54,$D$2:D54,"☑")=1),1,0)</f>
        <v>0</v>
      </c>
      <c r="F54">
        <f ca="1">IF(E54=1,SUM($E$2:E54),0)</f>
        <v>0</v>
      </c>
      <c r="L54" t="str">
        <f ca="1" t="shared" si="3"/>
        <v/>
      </c>
      <c r="M54">
        <f ca="1" t="shared" si="4"/>
        <v>0</v>
      </c>
      <c r="O54" t="str">
        <f ca="1">IF(L54="","",COUNTIF($L$2:L54,"?*"))</f>
        <v/>
      </c>
      <c r="P54" t="str">
        <f ca="1">IFERROR(INDEX($L$2:$L$79,MATCH(53,$O$2:$O$79,0)),"")</f>
        <v>技能：游泳</v>
      </c>
      <c r="AK54">
        <f ca="1">IFERROR(MATCH(53,$F$2:$F$61,0),0)</f>
        <v>0</v>
      </c>
      <c r="AL54" t="str">
        <f ca="1" t="shared" si="0"/>
        <v/>
      </c>
      <c r="AM54">
        <f ca="1" t="shared" si="1"/>
        <v>0</v>
      </c>
      <c r="DO54">
        <f ca="1" t="shared" si="2"/>
        <v>0</v>
      </c>
      <c r="DP54">
        <f ca="1">IF(DO54=1,SUM($DO$2:DO54),0)</f>
        <v>0</v>
      </c>
      <c r="DQ54" t="str">
        <f ca="1">IFERROR(INDEX($L$2:$L$79,MATCH(53,$DP$2:$DP$79,0)),"")</f>
        <v/>
      </c>
    </row>
    <row r="55" spans="1:191">
      <c r="A55" t="str">
        <f>IF(人物卡!AG37="","","技能："&amp;人物卡!AG37)</f>
        <v>技能：游泳</v>
      </c>
      <c r="B55">
        <v>0</v>
      </c>
      <c r="C55">
        <f ca="1">人物卡!AS37</f>
        <v>20</v>
      </c>
      <c r="D55" t="str">
        <f>人物卡!AE37</f>
        <v>☐</v>
      </c>
      <c r="E55">
        <f ca="1">IF(AND(A55&lt;&gt;"",A55&lt;&gt;"技能：非自然知识",C55&gt;=1,OR(D55="√",D55="☑"),COUNTIFS($A$2:A55,A55,$D$2:D55,"√")+COUNTIFS($A$2:A55,A55,$D$2:D55,"☑")=1),1,0)</f>
        <v>0</v>
      </c>
      <c r="F55">
        <f ca="1">IF(E55=1,SUM($E$2:E55),0)</f>
        <v>0</v>
      </c>
      <c r="L55" t="str">
        <f ca="1" t="shared" si="3"/>
        <v/>
      </c>
      <c r="M55">
        <f ca="1" t="shared" si="4"/>
        <v>0</v>
      </c>
      <c r="O55" t="str">
        <f ca="1">IF(L55="","",COUNTIF($L$2:L55,"?*"))</f>
        <v/>
      </c>
      <c r="P55" t="str">
        <f ca="1">IFERROR(INDEX($L$2:$L$79,MATCH(54,$O$2:$O$79,0)),"")</f>
        <v>技能：徒手搏斗</v>
      </c>
      <c r="AK55">
        <f ca="1">IFERROR(MATCH(54,$F$2:$F$61,0),0)</f>
        <v>0</v>
      </c>
      <c r="AL55" t="str">
        <f ca="1" t="shared" si="0"/>
        <v/>
      </c>
      <c r="AM55">
        <f ca="1" t="shared" si="1"/>
        <v>0</v>
      </c>
      <c r="DO55">
        <f ca="1" t="shared" si="2"/>
        <v>0</v>
      </c>
      <c r="DP55">
        <f ca="1">IF(DO55=1,SUM($DO$2:DO55),0)</f>
        <v>0</v>
      </c>
      <c r="DQ55" t="str">
        <f ca="1">IFERROR(INDEX($L$2:$L$79,MATCH(54,$DP$2:$DP$79,0)),"")</f>
        <v/>
      </c>
    </row>
    <row r="56" spans="1:191">
      <c r="A56" t="str">
        <f>IF(人物卡!AG38="","","技能："&amp;人物卡!AG38)</f>
        <v>技能：徒手搏斗</v>
      </c>
      <c r="B56">
        <v>0</v>
      </c>
      <c r="C56">
        <f ca="1">人物卡!AS38</f>
        <v>40</v>
      </c>
      <c r="D56" t="str">
        <f>人物卡!AE38</f>
        <v>☐</v>
      </c>
      <c r="E56">
        <f ca="1">IF(AND(A56&lt;&gt;"",A56&lt;&gt;"技能：非自然知识",C56&gt;=1,OR(D56="√",D56="☑"),COUNTIFS($A$2:A56,A56,$D$2:D56,"√")+COUNTIFS($A$2:A56,A56,$D$2:D56,"☑")=1),1,0)</f>
        <v>0</v>
      </c>
      <c r="F56">
        <f ca="1">IF(E56=1,SUM($E$2:E56),0)</f>
        <v>0</v>
      </c>
      <c r="L56" t="str">
        <f t="shared" si="3"/>
        <v>技能：导航</v>
      </c>
      <c r="M56">
        <f ca="1" t="shared" si="4"/>
        <v>10</v>
      </c>
      <c r="O56">
        <f ca="1">IF(L56="","",COUNTIF($L$2:L56,"?*"))</f>
        <v>42</v>
      </c>
      <c r="P56" t="str">
        <f ca="1">IFERROR(INDEX($L$2:$L$79,MATCH(55,$O$2:$O$79,0)),"")</f>
        <v>技能：非自然知识</v>
      </c>
      <c r="AK56">
        <f ca="1">IFERROR(MATCH(55,$F$2:$F$61,0),0)</f>
        <v>0</v>
      </c>
      <c r="AL56" t="str">
        <f ca="1" t="shared" si="0"/>
        <v/>
      </c>
      <c r="AM56">
        <f ca="1" t="shared" si="1"/>
        <v>0</v>
      </c>
      <c r="DO56">
        <f t="shared" si="2"/>
        <v>1</v>
      </c>
      <c r="DP56">
        <f ca="1">IF(DO56=1,SUM($DO$2:DO56),0)</f>
        <v>30</v>
      </c>
      <c r="DQ56" t="str">
        <f ca="1">IFERROR(INDEX($L$2:$L$79,MATCH(55,$DP$2:$DP$79,0)),"")</f>
        <v/>
      </c>
    </row>
    <row r="57" spans="1:191">
      <c r="A57" t="str">
        <f>IF(人物卡!AG39="","","技能："&amp;人物卡!AG39)</f>
        <v>技能：非自然知识</v>
      </c>
      <c r="B57">
        <v>0</v>
      </c>
      <c r="C57">
        <f ca="1">人物卡!AS39</f>
        <v>0</v>
      </c>
      <c r="D57" t="str">
        <f>人物卡!AE39</f>
        <v>☐</v>
      </c>
      <c r="E57">
        <f ca="1">IF(AND(A57&lt;&gt;"",A57&lt;&gt;"技能：非自然知识",C57&gt;=1,OR(D57="√",D57="☑"),COUNTIFS($A$2:A57,A57,$D$2:D57,"√")+COUNTIFS($A$2:A57,A57,$D$2:D57,"☑")=1),1,0)</f>
        <v>0</v>
      </c>
      <c r="F57">
        <f ca="1">IF(E57=1,SUM($E$2:E57),0)</f>
        <v>0</v>
      </c>
      <c r="L57" t="str">
        <f t="shared" si="3"/>
        <v>技能：神秘学</v>
      </c>
      <c r="M57">
        <f ca="1" t="shared" si="4"/>
        <v>10</v>
      </c>
      <c r="O57">
        <f ca="1">IF(L57="","",COUNTIF($L$2:L57,"?*"))</f>
        <v>43</v>
      </c>
      <c r="P57" t="str">
        <f ca="1">IFERROR(INDEX($L$2:$L$79,MATCH(56,$O$2:$O$79,0)),"")</f>
        <v/>
      </c>
      <c r="AK57">
        <f ca="1">IFERROR(MATCH(56,$F$2:$F$61,0),0)</f>
        <v>0</v>
      </c>
      <c r="AL57" t="str">
        <f ca="1" t="shared" si="0"/>
        <v/>
      </c>
      <c r="AM57">
        <f ca="1" t="shared" si="1"/>
        <v>0</v>
      </c>
      <c r="DO57">
        <f t="shared" si="2"/>
        <v>1</v>
      </c>
      <c r="DP57">
        <f ca="1">IF(DO57=1,SUM($DO$2:DO57),0)</f>
        <v>31</v>
      </c>
      <c r="DQ57" t="str">
        <f ca="1">IFERROR(INDEX($L$2:$L$79,MATCH(56,$DP$2:$DP$79,0)),"")</f>
        <v/>
      </c>
    </row>
    <row r="58" spans="1:191">
      <c r="A58" t="str">
        <f ca="1">IF(人物卡!AG40="","","技能："&amp;人物卡!AG40)</f>
        <v/>
      </c>
      <c r="B58">
        <v>0</v>
      </c>
      <c r="C58">
        <f ca="1">人物卡!AS40</f>
        <v>0</v>
      </c>
      <c r="D58" t="str">
        <f>人物卡!AE40</f>
        <v>☐</v>
      </c>
      <c r="E58">
        <f ca="1">IF(AND(A58&lt;&gt;"",A58&lt;&gt;"技能：非自然知识",C58&gt;=1,OR(D58="√",D58="☑"),COUNTIFS($A$2:A58,A58,$D$2:D58,"√")+COUNTIFS($A$2:A58,A58,$D$2:D58,"☑")=1),1,0)</f>
        <v>0</v>
      </c>
      <c r="F58">
        <f ca="1">IF(E58=1,SUM($E$2:E58),0)</f>
        <v>0</v>
      </c>
      <c r="L58" t="str">
        <f t="shared" si="3"/>
        <v>技能：说服</v>
      </c>
      <c r="M58">
        <f ca="1" t="shared" si="4"/>
        <v>20</v>
      </c>
      <c r="O58">
        <f ca="1">IF(L58="","",COUNTIF($L$2:L58,"?*"))</f>
        <v>44</v>
      </c>
      <c r="P58" t="str">
        <f ca="1">IFERROR(INDEX($L$2:$L$79,MATCH(57,$O$2:$O$79,0)),"")</f>
        <v/>
      </c>
      <c r="AK58">
        <f ca="1">IFERROR(MATCH(57,$F$2:$F$61,0),0)</f>
        <v>0</v>
      </c>
      <c r="AL58" t="str">
        <f ca="1" t="shared" si="0"/>
        <v/>
      </c>
      <c r="AM58">
        <f ca="1" t="shared" si="1"/>
        <v>0</v>
      </c>
      <c r="DO58">
        <f t="shared" si="2"/>
        <v>1</v>
      </c>
      <c r="DP58">
        <f ca="1">IF(DO58=1,SUM($DO$2:DO58),0)</f>
        <v>32</v>
      </c>
      <c r="DQ58" t="str">
        <f ca="1">IFERROR(INDEX($L$2:$L$79,MATCH(57,$DP$2:$DP$79,0)),"")</f>
        <v/>
      </c>
    </row>
    <row r="59" spans="1:191">
      <c r="A59" t="str">
        <f ca="1">IF(人物卡!AG41="","","技能："&amp;人物卡!AG41)</f>
        <v/>
      </c>
      <c r="B59">
        <v>0</v>
      </c>
      <c r="C59">
        <f ca="1">人物卡!AS41</f>
        <v>0</v>
      </c>
      <c r="D59" t="str">
        <f>人物卡!AE41</f>
        <v>☐</v>
      </c>
      <c r="E59">
        <f ca="1">IF(AND(A59&lt;&gt;"",A59&lt;&gt;"技能：非自然知识",C59&gt;=1,OR(D59="√",D59="☑"),COUNTIFS($A$2:A59,A59,$D$2:D59,"√")+COUNTIFS($A$2:A59,A59,$D$2:D59,"☑")=1),1,0)</f>
        <v>0</v>
      </c>
      <c r="F59">
        <f ca="1">IF(E59=1,SUM($E$2:E59),0)</f>
        <v>0</v>
      </c>
      <c r="L59" t="str">
        <f t="shared" si="3"/>
        <v>技能：药学</v>
      </c>
      <c r="M59">
        <f ca="1" t="shared" si="4"/>
        <v>0</v>
      </c>
      <c r="O59">
        <f ca="1">IF(L59="","",COUNTIF($L$2:L59,"?*"))</f>
        <v>45</v>
      </c>
      <c r="P59" t="str">
        <f ca="1">IFERROR(INDEX($L$2:$L$79,MATCH(58,$O$2:$O$79,0)),"")</f>
        <v/>
      </c>
      <c r="AK59">
        <f ca="1">IFERROR(MATCH(58,$F$2:$F$61,0),0)</f>
        <v>0</v>
      </c>
      <c r="AL59" t="str">
        <f ca="1" t="shared" si="0"/>
        <v/>
      </c>
      <c r="AM59">
        <f ca="1" t="shared" si="1"/>
        <v>0</v>
      </c>
      <c r="DO59">
        <f t="shared" si="2"/>
        <v>1</v>
      </c>
      <c r="DP59">
        <f ca="1">IF(DO59=1,SUM($DO$2:DO59),0)</f>
        <v>33</v>
      </c>
      <c r="DQ59" t="str">
        <f ca="1">IFERROR(INDEX($L$2:$L$79,MATCH(58,$DP$2:$DP$79,0)),"")</f>
        <v/>
      </c>
    </row>
    <row r="60" spans="1:191">
      <c r="A60" t="str">
        <f ca="1">IF(人物卡!AG42="","","技能："&amp;人物卡!AG42)</f>
        <v/>
      </c>
      <c r="B60">
        <v>0</v>
      </c>
      <c r="C60">
        <f ca="1">人物卡!AS42</f>
        <v>0</v>
      </c>
      <c r="D60" t="str">
        <f>人物卡!AE42</f>
        <v>☐</v>
      </c>
      <c r="E60">
        <f ca="1">IF(AND(A60&lt;&gt;"",A60&lt;&gt;"技能：非自然知识",C60&gt;=1,OR(D60="√",D60="☑"),COUNTIFS($A$2:A60,A60,$D$2:D60,"√")+COUNTIFS($A$2:A60,A60,$D$2:D60,"☑")=1),1,0)</f>
        <v>0</v>
      </c>
      <c r="F60">
        <f ca="1">IF(E60=1,SUM($E$2:E60),0)</f>
        <v>0</v>
      </c>
      <c r="L60" t="str">
        <f ca="1" t="shared" si="3"/>
        <v/>
      </c>
      <c r="M60">
        <f ca="1" t="shared" si="4"/>
        <v>0</v>
      </c>
      <c r="O60" t="str">
        <f ca="1">IF(L60="","",COUNTIF($L$2:L60,"?*"))</f>
        <v/>
      </c>
      <c r="P60" t="str">
        <f ca="1">IFERROR(INDEX($L$2:$L$79,MATCH(59,$O$2:$O$79,0)),"")</f>
        <v/>
      </c>
      <c r="AK60">
        <f ca="1">IFERROR(MATCH(59,$F$2:$F$61,0),0)</f>
        <v>0</v>
      </c>
      <c r="AL60" t="str">
        <f ca="1" t="shared" si="0"/>
        <v/>
      </c>
      <c r="AM60">
        <f ca="1" t="shared" si="1"/>
        <v>0</v>
      </c>
      <c r="DO60">
        <f ca="1" t="shared" si="2"/>
        <v>0</v>
      </c>
      <c r="DP60">
        <f ca="1">IF(DO60=1,SUM($DO$2:DO60),0)</f>
        <v>0</v>
      </c>
      <c r="DQ60" t="str">
        <f ca="1">IFERROR(INDEX($L$2:$L$79,MATCH(59,$DP$2:$DP$79,0)),"")</f>
        <v/>
      </c>
      <c r="GI60">
        <f>IFERROR(MATCH(1,$GC$200:$GC$1199,0),0)</f>
        <v>0</v>
      </c>
    </row>
    <row r="61" spans="1:191">
      <c r="A61" t="str">
        <f ca="1">IF(人物卡!AG43="","","技能："&amp;人物卡!AG43)</f>
        <v/>
      </c>
      <c r="B61">
        <v>0</v>
      </c>
      <c r="C61">
        <f ca="1">人物卡!AS43</f>
        <v>0</v>
      </c>
      <c r="D61" t="str">
        <f>人物卡!AE43</f>
        <v>☐</v>
      </c>
      <c r="E61">
        <f ca="1">IF(AND(A61&lt;&gt;"",A61&lt;&gt;"技能：非自然知识",C61&gt;=1,OR(D61="√",D61="☑"),COUNTIFS($A$2:A61,A61,$D$2:D61,"√")+COUNTIFS($A$2:A61,A61,$D$2:D61,"☑")=1),1,0)</f>
        <v>0</v>
      </c>
      <c r="F61">
        <f ca="1">IF(E61=1,SUM($E$2:E61),0)</f>
        <v>0</v>
      </c>
      <c r="L61" t="str">
        <f ca="1" t="shared" si="3"/>
        <v/>
      </c>
      <c r="M61">
        <f ca="1" t="shared" si="4"/>
        <v>0</v>
      </c>
      <c r="O61" t="str">
        <f ca="1">IF(L61="","",COUNTIF($L$2:L61,"?*"))</f>
        <v/>
      </c>
      <c r="P61" t="str">
        <f ca="1">IFERROR(INDEX($L$2:$L$79,MATCH(60,$O$2:$O$79,0)),"")</f>
        <v/>
      </c>
      <c r="AK61">
        <f ca="1">IFERROR(MATCH(60,$F$2:$F$61,0),0)</f>
        <v>0</v>
      </c>
      <c r="AL61" t="str">
        <f ca="1" t="shared" si="0"/>
        <v/>
      </c>
      <c r="AM61">
        <f ca="1" t="shared" si="1"/>
        <v>0</v>
      </c>
      <c r="DO61">
        <f ca="1" t="shared" si="2"/>
        <v>0</v>
      </c>
      <c r="DP61">
        <f ca="1">IF(DO61=1,SUM($DO$2:DO61),0)</f>
        <v>0</v>
      </c>
      <c r="DQ61" t="str">
        <f ca="1">IFERROR(INDEX($L$2:$L$79,MATCH(60,$DP$2:$DP$79,0)),"")</f>
        <v/>
      </c>
      <c r="GI61">
        <f>IFERROR(MATCH(2,$GC$200:$GC$1199,0),0)</f>
        <v>0</v>
      </c>
    </row>
    <row r="62" spans="1:191">
      <c r="L62" t="str">
        <f ca="1" t="shared" si="3"/>
        <v/>
      </c>
      <c r="M62">
        <f ca="1" t="shared" si="4"/>
        <v>0</v>
      </c>
      <c r="O62" t="str">
        <f ca="1">IF(L62="","",COUNTIF($L$2:L62,"?*"))</f>
        <v/>
      </c>
      <c r="P62" t="str">
        <f ca="1">IFERROR(INDEX($L$2:$L$79,MATCH(61,$O$2:$O$79,0)),"")</f>
        <v/>
      </c>
      <c r="DO62">
        <f ca="1" t="shared" si="2"/>
        <v>0</v>
      </c>
      <c r="DP62">
        <f ca="1">IF(DO62=1,SUM($DO$2:DO62),0)</f>
        <v>0</v>
      </c>
      <c r="DQ62" t="str">
        <f ca="1">IFERROR(INDEX($L$2:$L$79,MATCH(61,$DP$2:$DP$79,0)),"")</f>
        <v/>
      </c>
      <c r="GI62">
        <f>IFERROR(MATCH(3,$GC$200:$GC$1199,0),0)</f>
        <v>0</v>
      </c>
    </row>
    <row r="63" spans="1:191">
      <c r="L63" t="str">
        <f t="shared" si="3"/>
        <v>技能：精神治疗</v>
      </c>
      <c r="M63">
        <f ca="1" t="shared" si="4"/>
        <v>10</v>
      </c>
      <c r="O63">
        <f ca="1">IF(L63="","",COUNTIF($L$2:L63,"?*"))</f>
        <v>46</v>
      </c>
      <c r="P63" t="str">
        <f ca="1">IFERROR(INDEX($L$2:$L$79,MATCH(62,$O$2:$O$79,0)),"")</f>
        <v/>
      </c>
      <c r="DO63">
        <f t="shared" si="2"/>
        <v>1</v>
      </c>
      <c r="DP63">
        <f ca="1">IF(DO63=1,SUM($DO$2:DO63),0)</f>
        <v>34</v>
      </c>
      <c r="DQ63" t="str">
        <f ca="1">IFERROR(INDEX($L$2:$L$79,MATCH(62,$DP$2:$DP$79,0)),"")</f>
        <v/>
      </c>
      <c r="GI63">
        <f>IFERROR(MATCH(4,$GC$200:$GC$1199,0),0)</f>
        <v>0</v>
      </c>
    </row>
    <row r="64" spans="1:191">
      <c r="L64" t="str">
        <f t="shared" si="3"/>
        <v>技能：骑术</v>
      </c>
      <c r="M64">
        <f ca="1" t="shared" si="4"/>
        <v>10</v>
      </c>
      <c r="O64">
        <f ca="1">IF(L64="","",COUNTIF($L$2:L64,"?*"))</f>
        <v>47</v>
      </c>
      <c r="P64" t="str">
        <f ca="1">IFERROR(INDEX($L$2:$L$79,MATCH(63,$O$2:$O$79,0)),"")</f>
        <v/>
      </c>
      <c r="DO64">
        <f t="shared" si="2"/>
        <v>1</v>
      </c>
      <c r="DP64">
        <f ca="1">IF(DO64=1,SUM($DO$2:DO64),0)</f>
        <v>35</v>
      </c>
      <c r="DQ64" t="str">
        <f ca="1">IFERROR(INDEX($L$2:$L$79,MATCH(63,$DP$2:$DP$79,0)),"")</f>
        <v/>
      </c>
      <c r="GI64">
        <f>IFERROR(MATCH(5,$GC$200:$GC$1199,0),0)</f>
        <v>0</v>
      </c>
    </row>
    <row r="65" spans="12:191">
      <c r="L65" t="str">
        <f ca="1" t="shared" si="3"/>
        <v/>
      </c>
      <c r="M65">
        <f ca="1" t="shared" si="4"/>
        <v>0</v>
      </c>
      <c r="O65" t="str">
        <f ca="1">IF(L65="","",COUNTIF($L$2:L65,"?*"))</f>
        <v/>
      </c>
      <c r="P65" t="str">
        <f ca="1">IFERROR(INDEX($L$2:$L$79,MATCH(64,$O$2:$O$79,0)),"")</f>
        <v/>
      </c>
      <c r="DO65">
        <f ca="1" t="shared" si="2"/>
        <v>0</v>
      </c>
      <c r="DP65">
        <f ca="1">IF(DO65=1,SUM($DO$2:DO65),0)</f>
        <v>0</v>
      </c>
      <c r="DQ65" t="str">
        <f ca="1">IFERROR(INDEX($L$2:$L$79,MATCH(64,$DP$2:$DP$79,0)),"")</f>
        <v/>
      </c>
      <c r="GI65">
        <f>IFERROR(MATCH(6,$GC$200:$GC$1199,0),0)</f>
        <v>0</v>
      </c>
    </row>
    <row r="66" spans="12:191">
      <c r="L66" t="str">
        <f ca="1" t="shared" si="3"/>
        <v/>
      </c>
      <c r="M66">
        <f ca="1" t="shared" si="4"/>
        <v>0</v>
      </c>
      <c r="O66" t="str">
        <f ca="1">IF(L66="","",COUNTIF($L$2:L66,"?*"))</f>
        <v/>
      </c>
      <c r="P66" t="str">
        <f ca="1">IFERROR(INDEX($L$2:$L$79,MATCH(65,$O$2:$O$79,0)),"")</f>
        <v/>
      </c>
      <c r="DO66">
        <f ca="1" t="shared" ref="DO66:DO79" si="5">IF(AND(L66&lt;&gt;"",L66&lt;&gt;"技能：非自然知识",OR(LEFT(L66,3)="技能：",COUNTIF($L$2:$L$7,L66)&gt;0)),1,0)</f>
        <v>0</v>
      </c>
      <c r="DP66">
        <f ca="1">IF(DO66=1,SUM($DO$2:DO66),0)</f>
        <v>0</v>
      </c>
      <c r="DQ66" t="str">
        <f ca="1">IFERROR(INDEX($L$2:$L$79,MATCH(65,$DP$2:$DP$79,0)),"")</f>
        <v/>
      </c>
      <c r="GI66">
        <f>IFERROR(MATCH(7,$GC$200:$GC$1199,0),0)</f>
        <v>0</v>
      </c>
    </row>
    <row r="67" spans="12:191">
      <c r="L67" t="str">
        <f ca="1" t="shared" si="3"/>
        <v/>
      </c>
      <c r="M67">
        <f ca="1" t="shared" si="4"/>
        <v>0</v>
      </c>
      <c r="O67" t="str">
        <f ca="1">IF(L67="","",COUNTIF($L$2:L67,"?*"))</f>
        <v/>
      </c>
      <c r="P67" t="str">
        <f ca="1">IFERROR(INDEX($L$2:$L$79,MATCH(66,$O$2:$O$79,0)),"")</f>
        <v/>
      </c>
      <c r="DO67">
        <f ca="1" t="shared" si="5"/>
        <v>0</v>
      </c>
      <c r="DP67">
        <f ca="1">IF(DO67=1,SUM($DO$2:DO67),0)</f>
        <v>0</v>
      </c>
      <c r="DQ67" t="str">
        <f ca="1">IFERROR(INDEX($L$2:$L$79,MATCH(66,$DP$2:$DP$79,0)),"")</f>
        <v/>
      </c>
      <c r="GI67">
        <f>IFERROR(MATCH(8,$GC$200:$GC$1199,0),0)</f>
        <v>0</v>
      </c>
    </row>
    <row r="68" spans="12:191">
      <c r="L68" t="str">
        <f t="shared" si="3"/>
        <v>技能：搜寻</v>
      </c>
      <c r="M68">
        <f ca="1" t="shared" si="4"/>
        <v>20</v>
      </c>
      <c r="O68">
        <f ca="1">IF(L68="","",COUNTIF($L$2:L68,"?*"))</f>
        <v>48</v>
      </c>
      <c r="P68" t="str">
        <f ca="1">IFERROR(INDEX($L$2:$L$79,MATCH(67,$O$2:$O$79,0)),"")</f>
        <v/>
      </c>
      <c r="DO68">
        <f t="shared" si="5"/>
        <v>1</v>
      </c>
      <c r="DP68">
        <f ca="1">IF(DO68=1,SUM($DO$2:DO68),0)</f>
        <v>36</v>
      </c>
      <c r="DQ68" t="str">
        <f ca="1">IFERROR(INDEX($L$2:$L$79,MATCH(67,$DP$2:$DP$79,0)),"")</f>
        <v/>
      </c>
      <c r="GI68">
        <f>IFERROR(MATCH(9,$GC$200:$GC$1199,0),0)</f>
        <v>0</v>
      </c>
    </row>
    <row r="69" spans="12:191">
      <c r="L69" t="str">
        <f t="shared" si="3"/>
        <v>技能：信号情报</v>
      </c>
      <c r="M69">
        <f ca="1" t="shared" si="4"/>
        <v>0</v>
      </c>
      <c r="O69">
        <f ca="1">IF(L69="","",COUNTIF($L$2:L69,"?*"))</f>
        <v>49</v>
      </c>
      <c r="P69" t="str">
        <f ca="1">IFERROR(INDEX($L$2:$L$79,MATCH(68,$O$2:$O$79,0)),"")</f>
        <v/>
      </c>
      <c r="DO69">
        <f t="shared" si="5"/>
        <v>1</v>
      </c>
      <c r="DP69">
        <f ca="1">IF(DO69=1,SUM($DO$2:DO69),0)</f>
        <v>37</v>
      </c>
      <c r="DQ69" t="str">
        <f ca="1">IFERROR(INDEX($L$2:$L$79,MATCH(68,$DP$2:$DP$79,0)),"")</f>
        <v/>
      </c>
      <c r="GI69">
        <f>IFERROR(MATCH(10,$GC$200:$GC$1199,0),0)</f>
        <v>0</v>
      </c>
    </row>
    <row r="70" spans="12:191">
      <c r="L70" t="str">
        <f t="shared" si="3"/>
        <v>技能：潜藏</v>
      </c>
      <c r="M70">
        <f ca="1" t="shared" si="4"/>
        <v>10</v>
      </c>
      <c r="O70">
        <f ca="1">IF(L70="","",COUNTIF($L$2:L70,"?*"))</f>
        <v>50</v>
      </c>
      <c r="P70" t="str">
        <f ca="1">IFERROR(INDEX($L$2:$L$79,MATCH(69,$O$2:$O$79,0)),"")</f>
        <v/>
      </c>
      <c r="DO70">
        <f t="shared" si="5"/>
        <v>1</v>
      </c>
      <c r="DP70">
        <f ca="1">IF(DO70=1,SUM($DO$2:DO70),0)</f>
        <v>38</v>
      </c>
      <c r="DQ70" t="str">
        <f ca="1">IFERROR(INDEX($L$2:$L$79,MATCH(69,$DP$2:$DP$79,0)),"")</f>
        <v/>
      </c>
      <c r="GI70">
        <f>IFERROR(MATCH(11,$GC$200:$GC$1199,0),0)</f>
        <v>0</v>
      </c>
    </row>
    <row r="71" spans="12:191">
      <c r="L71" t="str">
        <f t="shared" si="3"/>
        <v>技能：手术</v>
      </c>
      <c r="M71">
        <f ca="1" t="shared" si="4"/>
        <v>0</v>
      </c>
      <c r="O71">
        <f ca="1">IF(L71="","",COUNTIF($L$2:L71,"?*"))</f>
        <v>51</v>
      </c>
      <c r="P71" t="str">
        <f ca="1">IFERROR(INDEX($L$2:$L$79,MATCH(70,$O$2:$O$79,0)),"")</f>
        <v/>
      </c>
      <c r="DO71">
        <f t="shared" si="5"/>
        <v>1</v>
      </c>
      <c r="DP71">
        <f ca="1">IF(DO71=1,SUM($DO$2:DO71),0)</f>
        <v>39</v>
      </c>
      <c r="DQ71" t="str">
        <f ca="1">IFERROR(INDEX($L$2:$L$79,MATCH(70,$DP$2:$DP$79,0)),"")</f>
        <v/>
      </c>
      <c r="GI71">
        <f>IFERROR(MATCH(12,$GC$200:$GC$1199,0),0)</f>
        <v>0</v>
      </c>
    </row>
    <row r="72" spans="12:191">
      <c r="L72" t="str">
        <f t="shared" si="3"/>
        <v>技能：生存</v>
      </c>
      <c r="M72">
        <f ca="1" t="shared" si="4"/>
        <v>10</v>
      </c>
      <c r="O72">
        <f ca="1">IF(L72="","",COUNTIF($L$2:L72,"?*"))</f>
        <v>52</v>
      </c>
      <c r="P72" t="str">
        <f ca="1">IFERROR(INDEX($L$2:$L$79,MATCH(71,$O$2:$O$79,0)),"")</f>
        <v/>
      </c>
      <c r="DO72">
        <f t="shared" si="5"/>
        <v>1</v>
      </c>
      <c r="DP72">
        <f ca="1">IF(DO72=1,SUM($DO$2:DO72),0)</f>
        <v>40</v>
      </c>
      <c r="DQ72" t="str">
        <f ca="1">IFERROR(INDEX($L$2:$L$79,MATCH(71,$DP$2:$DP$79,0)),"")</f>
        <v/>
      </c>
      <c r="GI72">
        <f>IFERROR(MATCH(13,$GC$200:$GC$1199,0),0)</f>
        <v>0</v>
      </c>
    </row>
    <row r="73" spans="12:191">
      <c r="L73" t="str">
        <f t="shared" si="3"/>
        <v>技能：游泳</v>
      </c>
      <c r="M73">
        <f ca="1" t="shared" si="4"/>
        <v>20</v>
      </c>
      <c r="O73">
        <f ca="1">IF(L73="","",COUNTIF($L$2:L73,"?*"))</f>
        <v>53</v>
      </c>
      <c r="P73" t="str">
        <f ca="1">IFERROR(INDEX($L$2:$L$79,MATCH(72,$O$2:$O$79,0)),"")</f>
        <v/>
      </c>
      <c r="DO73">
        <f t="shared" si="5"/>
        <v>1</v>
      </c>
      <c r="DP73">
        <f ca="1">IF(DO73=1,SUM($DO$2:DO73),0)</f>
        <v>41</v>
      </c>
      <c r="DQ73" t="str">
        <f ca="1">IFERROR(INDEX($L$2:$L$79,MATCH(72,$DP$2:$DP$79,0)),"")</f>
        <v/>
      </c>
      <c r="GI73">
        <f>IFERROR(MATCH(14,$GC$200:$GC$1199,0),0)</f>
        <v>0</v>
      </c>
    </row>
    <row r="74" spans="12:191">
      <c r="L74" t="str">
        <f t="shared" si="3"/>
        <v>技能：徒手搏斗</v>
      </c>
      <c r="M74">
        <f ca="1" t="shared" si="4"/>
        <v>40</v>
      </c>
      <c r="O74">
        <f ca="1">IF(L74="","",COUNTIF($L$2:L74,"?*"))</f>
        <v>54</v>
      </c>
      <c r="P74" t="str">
        <f ca="1">IFERROR(INDEX($L$2:$L$79,MATCH(73,$O$2:$O$79,0)),"")</f>
        <v/>
      </c>
      <c r="DO74">
        <f t="shared" si="5"/>
        <v>1</v>
      </c>
      <c r="DP74">
        <f ca="1">IF(DO74=1,SUM($DO$2:DO74),0)</f>
        <v>42</v>
      </c>
      <c r="DQ74" t="str">
        <f ca="1">IFERROR(INDEX($L$2:$L$79,MATCH(73,$DP$2:$DP$79,0)),"")</f>
        <v/>
      </c>
      <c r="GI74">
        <f>IFERROR(MATCH(15,$GC$200:$GC$1199,0),0)</f>
        <v>0</v>
      </c>
    </row>
    <row r="75" spans="12:191">
      <c r="L75" t="str">
        <f t="shared" si="3"/>
        <v>技能：非自然知识</v>
      </c>
      <c r="M75">
        <f ca="1" t="shared" si="4"/>
        <v>0</v>
      </c>
      <c r="O75">
        <f ca="1">IF(L75="","",COUNTIF($L$2:L75,"?*"))</f>
        <v>55</v>
      </c>
      <c r="P75" t="str">
        <f ca="1">IFERROR(INDEX($L$2:$L$79,MATCH(74,$O$2:$O$79,0)),"")</f>
        <v/>
      </c>
      <c r="DO75">
        <f t="shared" si="5"/>
        <v>0</v>
      </c>
      <c r="DP75">
        <f ca="1">IF(DO75=1,SUM($DO$2:DO75),0)</f>
        <v>0</v>
      </c>
      <c r="DQ75" t="str">
        <f ca="1">IFERROR(INDEX($L$2:$L$79,MATCH(74,$DP$2:$DP$79,0)),"")</f>
        <v/>
      </c>
      <c r="GI75">
        <f>IFERROR(MATCH(16,$GC$200:$GC$1199,0),0)</f>
        <v>0</v>
      </c>
    </row>
    <row r="76" spans="12:191">
      <c r="L76" t="str">
        <f ca="1" t="shared" si="3"/>
        <v/>
      </c>
      <c r="M76">
        <f ca="1" t="shared" si="4"/>
        <v>0</v>
      </c>
      <c r="O76" t="str">
        <f ca="1">IF(L76="","",COUNTIF($L$2:L76,"?*"))</f>
        <v/>
      </c>
      <c r="P76" t="str">
        <f ca="1">IFERROR(INDEX($L$2:$L$79,MATCH(75,$O$2:$O$79,0)),"")</f>
        <v/>
      </c>
      <c r="DO76">
        <f ca="1" t="shared" si="5"/>
        <v>0</v>
      </c>
      <c r="DP76">
        <f ca="1">IF(DO76=1,SUM($DO$2:DO76),0)</f>
        <v>0</v>
      </c>
      <c r="DQ76" t="str">
        <f ca="1">IFERROR(INDEX($L$2:$L$79,MATCH(75,$DP$2:$DP$79,0)),"")</f>
        <v/>
      </c>
      <c r="GI76">
        <f>IFERROR(MATCH(17,$GC$200:$GC$1199,0),0)</f>
        <v>0</v>
      </c>
    </row>
    <row r="77" spans="12:191">
      <c r="L77" t="str">
        <f ca="1" t="shared" si="3"/>
        <v/>
      </c>
      <c r="M77">
        <f ca="1" t="shared" si="4"/>
        <v>0</v>
      </c>
      <c r="O77" t="str">
        <f ca="1">IF(L77="","",COUNTIF($L$2:L77,"?*"))</f>
        <v/>
      </c>
      <c r="P77" t="str">
        <f ca="1">IFERROR(INDEX($L$2:$L$79,MATCH(76,$O$2:$O$79,0)),"")</f>
        <v/>
      </c>
      <c r="DO77">
        <f ca="1" t="shared" si="5"/>
        <v>0</v>
      </c>
      <c r="DP77">
        <f ca="1">IF(DO77=1,SUM($DO$2:DO77),0)</f>
        <v>0</v>
      </c>
      <c r="DQ77" t="str">
        <f ca="1">IFERROR(INDEX($L$2:$L$79,MATCH(76,$DP$2:$DP$79,0)),"")</f>
        <v/>
      </c>
      <c r="GI77">
        <f>IFERROR(MATCH(18,$GC$200:$GC$1199,0),0)</f>
        <v>0</v>
      </c>
    </row>
    <row r="78" spans="12:191">
      <c r="L78" t="str">
        <f ca="1" t="shared" si="3"/>
        <v/>
      </c>
      <c r="M78">
        <f ca="1" t="shared" si="4"/>
        <v>0</v>
      </c>
      <c r="O78" t="str">
        <f ca="1">IF(L78="","",COUNTIF($L$2:L78,"?*"))</f>
        <v/>
      </c>
      <c r="P78" t="str">
        <f ca="1">IFERROR(INDEX($L$2:$L$79,MATCH(77,$O$2:$O$79,0)),"")</f>
        <v/>
      </c>
      <c r="DO78">
        <f ca="1" t="shared" si="5"/>
        <v>0</v>
      </c>
      <c r="DP78">
        <f ca="1">IF(DO78=1,SUM($DO$2:DO78),0)</f>
        <v>0</v>
      </c>
      <c r="DQ78" t="str">
        <f ca="1">IFERROR(INDEX($L$2:$L$79,MATCH(77,$DP$2:$DP$79,0)),"")</f>
        <v/>
      </c>
      <c r="GI78">
        <f>IFERROR(MATCH(19,$GC$200:$GC$1199,0),0)</f>
        <v>0</v>
      </c>
    </row>
    <row r="79" spans="12:191">
      <c r="L79" t="str">
        <f ca="1" t="shared" si="3"/>
        <v/>
      </c>
      <c r="M79">
        <f ca="1" t="shared" si="4"/>
        <v>0</v>
      </c>
      <c r="O79" t="str">
        <f ca="1">IF(L79="","",COUNTIF($L$2:L79,"?*"))</f>
        <v/>
      </c>
      <c r="P79" t="str">
        <f ca="1">IFERROR(INDEX($L$2:$L$79,MATCH(78,$O$2:$O$79,0)),"")</f>
        <v/>
      </c>
      <c r="DO79">
        <f ca="1" t="shared" si="5"/>
        <v>0</v>
      </c>
      <c r="DP79">
        <f ca="1">IF(DO79=1,SUM($DO$2:DO79),0)</f>
        <v>0</v>
      </c>
      <c r="DQ79" t="str">
        <f ca="1">IFERROR(INDEX($L$2:$L$79,MATCH(78,$DP$2:$DP$79,0)),"")</f>
        <v/>
      </c>
      <c r="GI79">
        <f>IFERROR(MATCH(20,$GC$200:$GC$1199,0),0)</f>
        <v>0</v>
      </c>
    </row>
    <row r="80" spans="12:191">
      <c r="GI80">
        <f>IFERROR(MATCH(21,$GC$200:$GC$1199,0),0)</f>
        <v>0</v>
      </c>
    </row>
    <row r="81" spans="191:191">
      <c r="GI81">
        <f>IFERROR(MATCH(22,$GC$200:$GC$1199,0),0)</f>
        <v>0</v>
      </c>
    </row>
    <row r="82" spans="191:191">
      <c r="GI82">
        <f>IFERROR(MATCH(23,$GC$200:$GC$1199,0),0)</f>
        <v>0</v>
      </c>
    </row>
    <row r="83" spans="191:191">
      <c r="GI83">
        <f>IFERROR(MATCH(24,$GC$200:$GC$1199,0),0)</f>
        <v>0</v>
      </c>
    </row>
    <row r="84" spans="191:191">
      <c r="GI84">
        <f>IFERROR(MATCH(25,$GC$200:$GC$1199,0),0)</f>
        <v>0</v>
      </c>
    </row>
    <row r="85" spans="191:191">
      <c r="GI85">
        <f>IFERROR(MATCH(26,$GC$200:$GC$1199,0),0)</f>
        <v>0</v>
      </c>
    </row>
    <row r="86" spans="191:191">
      <c r="GI86">
        <f>IFERROR(MATCH(27,$GC$200:$GC$1199,0),0)</f>
        <v>0</v>
      </c>
    </row>
    <row r="87" spans="191:191">
      <c r="GI87">
        <f>IFERROR(MATCH(28,$GC$200:$GC$1199,0),0)</f>
        <v>0</v>
      </c>
    </row>
    <row r="88" spans="191:191">
      <c r="GI88">
        <f>IFERROR(MATCH(29,$GC$200:$GC$1199,0),0)</f>
        <v>0</v>
      </c>
    </row>
    <row r="89" spans="191:191">
      <c r="GI89">
        <f>IFERROR(MATCH(30,$GC$200:$GC$1199,0),0)</f>
        <v>0</v>
      </c>
    </row>
    <row r="90" spans="191:191">
      <c r="GI90">
        <f>IFERROR(MATCH(31,$GC$200:$GC$1199,0),0)</f>
        <v>0</v>
      </c>
    </row>
    <row r="91" spans="191:191">
      <c r="GI91">
        <f>IFERROR(MATCH(32,$GC$200:$GC$1199,0),0)</f>
        <v>0</v>
      </c>
    </row>
    <row r="92" spans="191:191">
      <c r="GI92">
        <f>IFERROR(MATCH(33,$GC$200:$GC$1199,0),0)</f>
        <v>0</v>
      </c>
    </row>
    <row r="93" spans="191:191">
      <c r="GI93">
        <f>IFERROR(MATCH(34,$GC$200:$GC$1199,0),0)</f>
        <v>0</v>
      </c>
    </row>
    <row r="94" spans="191:191">
      <c r="GI94">
        <f>IFERROR(MATCH(35,$GC$200:$GC$1199,0),0)</f>
        <v>0</v>
      </c>
    </row>
    <row r="95" spans="191:191">
      <c r="GI95">
        <f>IFERROR(MATCH(36,$GC$200:$GC$1199,0),0)</f>
        <v>0</v>
      </c>
    </row>
    <row r="96" spans="191:191">
      <c r="GI96">
        <f>IFERROR(MATCH(37,$GC$200:$GC$1199,0),0)</f>
        <v>0</v>
      </c>
    </row>
    <row r="97" spans="1:191">
      <c r="GI97">
        <f>IFERROR(MATCH(38,$GC$200:$GC$1199,0),0)</f>
        <v>0</v>
      </c>
    </row>
    <row r="98" spans="1:191">
      <c r="GI98">
        <f>IFERROR(MATCH(39,$GC$200:$GC$1199,0),0)</f>
        <v>0</v>
      </c>
    </row>
    <row r="99" spans="1:191">
      <c r="GI99">
        <f>IFERROR(MATCH(40,$GC$200:$GC$1199,0),0)</f>
        <v>0</v>
      </c>
    </row>
    <row r="100" spans="1:191">
      <c r="A100" t="str">
        <f>IF(AND(幕间与结算!$F$8="建立新的重要关系",NOT(OR(幕间与结算!$B$9="成功",幕间与结算!$B$9="大成功"))),"无数值变化",IF(OR(幕间与结算!$F$8="远离喧嚣",幕间与结算!$F$8="接受心理治疗",幕间与结算!$F$8="重建人生动力",幕间与结算!$F$8="回顾案件"),"理智",IF(幕间与结算!$F$8="研究非自然知识","技能：非自然知识",IF(幕间与结算!$F$8="进行特训","无数值变化",IF(幕间与结算!$F$8="","",幕间与结算!$E$10)))))</f>
        <v/>
      </c>
      <c r="B100">
        <f ca="1">IF(幕间与结算!$F$8="建立新的重要关系",0,IFERROR(INDEX($M$2:$M$79,MATCH(A100,$L$2:$L$79,0)),0))</f>
        <v>0</v>
      </c>
      <c r="C100">
        <f>IF(幕间与结算!$F$8="按部就班",IF(OR(幕间与结算!$B$9="成功",幕间与结算!$B$9="大成功"),N(幕间与结算!$E$11),IF(幕间与结算!$B$9="失败",1,IF(幕间与结算!$B$9="大失败",-N(幕间与结算!$E$11),0))),IF(幕间与结算!$F$8="远离喧嚣",IF(幕间与结算!$B$9="大成功",4,IF(幕间与结算!$B$9="失败",1,IF(幕间与结算!$B$9="大失败",-N(幕间与结算!$E$11),N(幕间与结算!$E$11)))),IF(幕间与结算!$F$8="建立新的重要关系",IF(OR(幕间与结算!$B$9="成功",幕间与结算!$B$9="大成功"),ROUNDUP(人物卡!AN8/2,0),0),IF(幕间与结算!$F$8="接受心理治疗",IF(幕间与结算!$B$9="大成功",IF(幕间与结算!$F$9="如实告知",6,4),IF(幕间与结算!$B$9="大失败",-1,IF(幕间与结算!$B$9="失败",IF(幕间与结算!$F$9="如实告知",1,0),N(幕间与结算!$E$11)))),IF(幕间与结算!$F$8="提升技能或属性",IF(OR(幕间与结算!$B$9="失败",幕间与结算!$B$9="大失败"),IF(LEFT(A100,3)="技能：",N(幕间与结算!$E$11),1),0),IF(幕间与结算!$F$8="重建人生动力",IF(幕间与结算!$B$9="成功",1,IF(幕间与结算!$B$9="大成功",N(幕间与结算!$E$11),IF(幕间与结算!$B$9="大失败",-1,0))),IF(幕间与结算!$F$8="回顾案件",N(幕间与结算!$E$11)-3,IF(幕间与结算!$F$8="研究非自然知识",N(幕间与结算!$E$11),0))))))))</f>
        <v>0</v>
      </c>
      <c r="D100">
        <f ca="1">IF(A100="",0,IF(C100&gt;0,MIN(C100,MAX(0,IF(LEFT(A100,3)="技能：",99,IF(COUNTIF($L$2:$L$7,A100)&gt;0,18,IF(COUNTIF($X$2:$X$8,A100)&gt;0,人物卡!AN8,IF(A100="理智",IF(幕间与结算!$F$8="回顾案件",人物卡!AK10,MIN(人物卡!AK10,人物卡!AN7*5)),999))))-B100)),MAX(C100,-B100)))</f>
        <v>0</v>
      </c>
      <c r="R100">
        <f ca="1">IF(OR(幕间与结算!$F$8="远离喧嚣",幕间与结算!$F$8="接受心理治疗",幕间与结算!$F$8="进行特训",幕间与结算!$F$8="回顾案件"),1,IF(OR(幕间与结算!$F$8="建立新的重要关系",幕间与结算!$F$8="重建人生动力"),IF(OR(幕间与结算!$B$9="成功",幕间与结算!$B$9="大成功"),1,0),IF(幕间与结算!$F$8="提升技能或属性",IF(D100&gt;0,1,0),IF(幕间与结算!$F$8="研究非自然知识",IF(D100&gt;0,1,0),0))))</f>
        <v>0</v>
      </c>
      <c r="T100" t="str">
        <f ca="1">IF(幕间与结算!F8="","",IF(COUNT(人物卡!AH3:AH8)&lt;&gt;6,"先在主卡填写六项原值",IF(OR(NOT(ISNUMBER(幕间与结算!$B$8)),幕间与结算!$B$8&lt;1,MOD(幕间与结算!$B$8,1)&lt;&gt;0),"填写正整数记录号",IF(AND(幕间与结算!$F$8="接受心理治疗",COUNTIF($EP$2:$EP$3,幕间与结算!$F$9)=0),"选择告知情况",IF(COUNTIFS($A$200:$A$1199,$AO$5,$B$200:$B$1199,$AQ$3,$F$200:$F$1199,"已计入")&gt;0,"已归档",IF(幕间与结算!$F$8="","",IF(COUNTIF($U$2:$U$10,幕间与结算!$F$8)=0,"选择幕间事项",IF(COUNTIF($W$2:$W$21,$AO$5)=0,"选择模组编号",IF(COUNTIF(幕间与结算!$K$30:$K$89,"可归档")+COUNTIF(幕间与结算!$K$30:$K$89,"待填1D4")&gt;0,"先归档技能结算",IF(AND(NOT(OR(幕间与结算!$F$8="进行特训",幕间与结算!$F$8="回顾案件",幕间与结算!$F$8="研究非自然知识")),NOT(OR(幕间与结算!$B$9="成功",幕间与结算!$B$9="失败",幕间与结算!$B$9="大成功",幕间与结算!$B$9="大失败"))),"选择检定结果",IF(AND(OR(幕间与结算!$F$8="按部就班",幕间与结算!$F$8="建立新的重要关系"),COUNTIF($X$2:$X$8,幕间与结算!$E$10)=0),"选择目标关系",IF(AND(幕间与结算!$F$8="按部就班",IFERROR(INDEX($AA$2:$AA$8,MATCH(幕间与结算!$E$10,$X$2:$X$8,0)),"")="√"),"选择非DG关系",IF(AND(幕间与结算!$F$8="提升技能或属性",NOT(AND(幕间与结算!$E$10&lt;&gt;"技能：非自然知识",OR(COUNTIF($L$20:$L$79,幕间与结算!$E$10)&gt;0,COUNTIF($L$2:$L$7,幕间与结算!$E$10)&gt;0)))),"选择技能或属性",IF(AND(幕间与结算!$F$8="提升技能或属性",幕间与结算!$E$12&lt;&gt;"",OR(NOT(AND(幕间与结算!$E$12&lt;&gt;"技能：非自然知识",OR(COUNTIF($L$20:$L$79,幕间与结算!$E$12)&gt;0,COUNTIF($L$2:$L$7,幕间与结算!$E$12)&gt;0))),幕间与结算!$E$12=幕间与结算!$E$10)),"目标2需为不同技能或属性",IF(AND(幕间与结算!$F$8="提升技能或属性",幕间与结算!$E$12&lt;&gt;"",NOT(OR(幕间与结算!$J$12="成功",幕间与结算!$J$12="失败",幕间与结算!$J$12="大成功",幕间与结算!$J$12="大失败"))),"选择目标2结果",IF(AND(AND(幕间与结算!$F$8="按部就班",OR(幕间与结算!$B$9="成功",幕间与结算!$B$9="大成功")),NOT(AND(ISNUMBER(幕间与结算!$E$11),幕间与结算!$E$11&gt;=1,幕间与结算!$E$11&lt;=6,MOD(幕间与结算!$E$11,1)=0))),"填写正确骰点／增长",IF(AND(AND(幕间与结算!$F$8="按部就班",幕间与结算!$B$9="大失败"),NOT(AND(ISNUMBER(幕间与结算!$E$11),幕间与结算!$E$11&gt;=1,幕间与结算!$E$11&lt;=4,MOD(幕间与结算!$E$11,1)=0))),"填写正确骰点／增长",IF(AND(AND(幕间与结算!$F$8="远离喧嚣",OR(幕间与结算!$B$9="成功",幕间与结算!$B$9="大失败")),NOT(AND(ISNUMBER(幕间与结算!$E$11),幕间与结算!$E$11&gt;=1,幕间与结算!$E$11&lt;=4,MOD(幕间与结算!$E$11,1)=0))),"填写正确骰点／增长",IF(AND(AND(幕间与结算!$F$8="接受心理治疗",幕间与结算!$B$9="成功"),NOT(AND(ISNUMBER(幕间与结算!$E$11),幕间与结算!$E$11&gt;=1,幕间与结算!$E$11&lt;=IF(幕间与结算!$F$9="如实告知",6,4),MOD(幕间与结算!$E$11,1)=0))),"填写正确骰点／增长",IF(AND(AND(幕间与结算!$F$8="提升技能或属性",OR(幕间与结算!$B$9="失败",幕间与结算!$B$9="大失败"),LEFT(幕间与结算!$E$10,3)="技能："),NOT(AND(ISNUMBER(幕间与结算!$E$11),幕间与结算!$E$11&gt;=3,幕间与结算!$E$11&lt;=18,MOD(幕间与结算!$E$11,1)=0))),"填写正确骰点／增长",IF(AND(AND(幕间与结算!$F$8="重建人生动力",幕间与结算!$B$9="大成功"),NOT(AND(ISNUMBER(幕间与结算!$E$11),幕间与结算!$E$11&gt;=1,幕间与结算!$E$11&lt;=4,MOD(幕间与结算!$E$11,1)=0))),"填写正确骰点／增长",IF(AND(幕间与结算!$F$8="回顾案件",NOT(AND(ISNUMBER(幕间与结算!$E$11),幕间与结算!$E$11&gt;=1,幕间与结算!$E$11&lt;=6,MOD(幕间与结算!$E$11,1)=0))),"填写正确骰点／增长",IF(AND(幕间与结算!$F$8="研究非自然知识",NOT(AND(ISNUMBER(幕间与结算!$E$11),幕间与结算!$E$11&gt;=0,幕间与结算!$E$11&lt;=99,MOD(幕间与结算!$E$11,1)=0))),"填写正确骰点／增长",IF(AND(幕间与结算!$F$8="提升技能或属性",幕间与结算!$E$12&lt;&gt;"",OR(幕间与结算!$J$12="失败",幕间与结算!$J$12="大失败"),LEFT(幕间与结算!$E$12,3)="技能：",NOT(AND(ISNUMBER(幕间与结算!$E$13),幕间与结算!$E$13&gt;=3,幕间与结算!$E$13&lt;=18,MOD(幕间与结算!$E$13,1)=0))),"填写目标2的3D6",IF(AND(R100=1,IF(幕间与结算!$F$8="研究非自然知识",$AB$3,$AB$2)&gt;0,COUNTIF($X$2:$X$8,幕间与结算!$E$14)=0),"选择代价关系",IF(AND(R100=1,IF(幕间与结算!$F$8="研究非自然知识",$AB$3,$AB$2)&gt;0,IFERROR(INDEX($Z$2:$Z$8,MATCH(幕间与结算!$E$14,$X$2:$X$8,0)),0)&lt;=0),"选择仍有效的关系",IF(AND(R100=1,IF(幕间与结算!$F$8="研究非自然知识",$AB$3,$AB$2)&gt;0,NOT(幕间与结算!$F$8="研究非自然知识"),IFERROR(INDEX($AA$2:$AA$8,MATCH(幕间与结算!$E$14,$X$2:$X$8,0)),"")="√"),"代价请选择非DG关系",IF(AND(R101=1,IF(幕间与结算!$F$8="研究非自然知识",$AB$3,$AB$2)&gt;0,COUNTIF($X$2:$X$8,幕间与结算!$E$15)=0),"选择代价关系",IF(AND(R101=1,IF(幕间与结算!$F$8="研究非自然知识",$AB$3,$AB$2)&gt;0,IFERROR(INDEX($Z$2:$Z$8,MATCH(幕间与结算!$E$15,$X$2:$X$8,0)),0)&lt;=0),"选择仍有效的关系",IF(AND(R101=1,IF(幕间与结算!$F$8="研究非自然知识",$AB$3,$AB$2)&gt;0,NOT(幕间与结算!$F$8="研究非自然知识"),IFERROR(INDEX($AA$2:$AA$8,MATCH(幕间与结算!$E$15,$X$2:$X$8,0)),"")="√"),"代价请选择非DG关系",IF(AND(幕间与结算!$F$8="研究非自然知识",R100=1,$AB$3&gt;0,NOT(AND(ISNUMBER(幕间与结算!$J$14),幕间与结算!$J$14&gt;=1,幕间与结算!$J$14&lt;=4,MOD(幕间与结算!$J$14,1)=0))),"填写关系代价1D4",IF(AND(幕间与结算!$F$8="建立新的重要关系",幕间与结算!$E$10=幕间与结算!$E$14,R100=1),"新旧关系不能相同","可归档"))))))))))))))))))))))))))))))))</f>
        <v/>
      </c>
      <c r="CV100">
        <f>IF(A100="",0,COUNTIF($A$100:A100,"?*"))</f>
        <v>0</v>
      </c>
      <c r="GI100">
        <f>IFERROR(MATCH(41,$GC$200:$GC$1199,0),0)</f>
        <v>0</v>
      </c>
    </row>
    <row r="101" spans="1:191">
      <c r="A101" t="str">
        <f>IF(幕间与结算!$F$8="提升技能或属性",幕间与结算!$E$12,IF(幕间与结算!$F$8="按部就班","理智",""))</f>
        <v/>
      </c>
      <c r="B101">
        <f ca="1">IFERROR(INDEX($M$2:$M$79,MATCH(A101,$L$2:$L$79,0)),0)</f>
        <v>0</v>
      </c>
      <c r="C101">
        <f>IF(幕间与结算!$F$8="提升技能或属性",IF(OR(幕间与结算!$J$12="失败",幕间与结算!$J$12="大失败"),IF(LEFT(A101,3)="技能：",N(幕间与结算!$E$13),1),0),IF(幕间与结算!$B$9="大成功",1,IF(幕间与结算!$B$9="大失败",-1,0)))</f>
        <v>0</v>
      </c>
      <c r="D101">
        <f ca="1">IF(A101="",0,IF(C101&gt;0,MIN(C101,MAX(0,IF(LEFT(A101,3)="技能：",99,IF(COUNTIF($L$2:$L$7,A101)&gt;0,18,IF(COUNTIF($X$2:$X$8,A101)&gt;0,人物卡!AN8,IF(A101="理智",IF(幕间与结算!$F$8="回顾案件",人物卡!AK10,MIN(人物卡!AK10,人物卡!AN7*5)),999))))-B101)),MAX(C101,-B101)))</f>
        <v>0</v>
      </c>
      <c r="R101">
        <f ca="1">IF(AND(幕间与结算!$F$8="提升技能或属性",D101&gt;0),1,0)</f>
        <v>0</v>
      </c>
      <c r="CV101">
        <f>IF(A101="",0,COUNTIF($A$100:A101,"?*"))</f>
        <v>0</v>
      </c>
      <c r="GI101">
        <f>IFERROR(MATCH(42,$GC$200:$GC$1199,0),0)</f>
        <v>0</v>
      </c>
    </row>
    <row r="102" spans="1:191">
      <c r="A102" t="str">
        <f ca="1">IF(AND(R100=1,IF(幕间与结算!$F$8="研究非自然知识",$AB$3,$AB$2)&gt;0),幕间与结算!$E$14,"")</f>
        <v/>
      </c>
      <c r="B102">
        <f ca="1">IFERROR(INDEX($M$2:$M$79,MATCH(A102,$L$2:$L$79,0)),0)</f>
        <v>0</v>
      </c>
      <c r="C102">
        <f ca="1">IF(A102="",0,IF(幕间与结算!$F$8="研究非自然知识",-N(幕间与结算!$J$14),-1))</f>
        <v>0</v>
      </c>
      <c r="D102">
        <f ca="1">MAX(-B102,C102)</f>
        <v>0</v>
      </c>
      <c r="CV102">
        <f ca="1">IF(A102="",0,COUNTIF($A$100:A102,"?*"))</f>
        <v>0</v>
      </c>
      <c r="GI102">
        <f>IFERROR(MATCH(43,$GC$200:$GC$1199,0),0)</f>
        <v>0</v>
      </c>
    </row>
    <row r="103" spans="1:191">
      <c r="A103" t="str">
        <f ca="1">IF(AND(R101=1,IF(幕间与结算!$F$8="研究非自然知识",$AB$3,$AB$2)&gt;0),幕间与结算!$E$15,"")</f>
        <v/>
      </c>
      <c r="B103">
        <f ca="1">IFERROR(INDEX($M$2:$M$79,MATCH(A103,$L$2:$L$79,0)),0)+IF(A103=A102,D102,0)</f>
        <v>0</v>
      </c>
      <c r="C103">
        <f ca="1">IF(A103="",0,IF(幕间与结算!$F$8="研究非自然知识",-N(幕间与结算!$J$14),-1))</f>
        <v>0</v>
      </c>
      <c r="D103">
        <f ca="1">MAX(-B103,C103)</f>
        <v>0</v>
      </c>
      <c r="CV103">
        <f ca="1">IF(A103="",0,COUNTIF($A$100:A103,"?*"))</f>
        <v>0</v>
      </c>
      <c r="GI103">
        <f>IFERROR(MATCH(44,$GC$200:$GC$1199,0),0)</f>
        <v>0</v>
      </c>
    </row>
    <row r="104" spans="1:191">
      <c r="CV104">
        <f ca="1">IF(A104="",0,COUNTIF($A$100:A104,"?*"))</f>
        <v>0</v>
      </c>
      <c r="GI104">
        <f>IFERROR(MATCH(45,$GC$200:$GC$1199,0),0)</f>
        <v>0</v>
      </c>
    </row>
    <row r="105" spans="1:191">
      <c r="GI105">
        <f>IFERROR(MATCH(46,$GC$200:$GC$1199,0),0)</f>
        <v>0</v>
      </c>
    </row>
    <row r="106" spans="1:191">
      <c r="GI106">
        <f>IFERROR(MATCH(47,$GC$200:$GC$1199,0),0)</f>
        <v>0</v>
      </c>
    </row>
    <row r="107" spans="1:191">
      <c r="GI107">
        <f>IFERROR(MATCH(48,$GC$200:$GC$1199,0),0)</f>
        <v>0</v>
      </c>
    </row>
    <row r="108" spans="1:191">
      <c r="GI108">
        <f>IFERROR(MATCH(49,$GC$200:$GC$1199,0),0)</f>
        <v>0</v>
      </c>
    </row>
    <row r="109" spans="1:191">
      <c r="GI109">
        <f>IFERROR(MATCH(50,$GC$200:$GC$1199,0),0)</f>
        <v>0</v>
      </c>
    </row>
    <row r="110" spans="1:191">
      <c r="GI110">
        <f>IFERROR(MATCH(51,$GC$200:$GC$1199,0),0)</f>
        <v>0</v>
      </c>
    </row>
    <row r="111" spans="1:191">
      <c r="GI111">
        <f>IFERROR(MATCH(52,$GC$200:$GC$1199,0),0)</f>
        <v>0</v>
      </c>
    </row>
    <row r="112" spans="1:191">
      <c r="GI112">
        <f>IFERROR(MATCH(53,$GC$200:$GC$1199,0),0)</f>
        <v>0</v>
      </c>
    </row>
    <row r="113" spans="100:191">
      <c r="GI113">
        <f>IFERROR(MATCH(54,$GC$200:$GC$1199,0),0)</f>
        <v>0</v>
      </c>
    </row>
    <row r="114" spans="100:191">
      <c r="GI114">
        <f>IFERROR(MATCH(55,$GC$200:$GC$1199,0),0)</f>
        <v>0</v>
      </c>
    </row>
    <row r="115" spans="100:191">
      <c r="GI115">
        <f>IFERROR(MATCH(56,$GC$200:$GC$1199,0),0)</f>
        <v>0</v>
      </c>
    </row>
    <row r="116" spans="100:191">
      <c r="GI116">
        <f>IFERROR(MATCH(57,$GC$200:$GC$1199,0),0)</f>
        <v>0</v>
      </c>
    </row>
    <row r="117" spans="100:191">
      <c r="GI117">
        <f>IFERROR(MATCH(58,$GC$200:$GC$1199,0),0)</f>
        <v>0</v>
      </c>
    </row>
    <row r="118" spans="100:191">
      <c r="GI118">
        <f>IFERROR(MATCH(59,$GC$200:$GC$1199,0),0)</f>
        <v>0</v>
      </c>
    </row>
    <row r="119" spans="100:191">
      <c r="GI119">
        <f>IFERROR(MATCH(60,$GC$200:$GC$1199,0),0)</f>
        <v>0</v>
      </c>
    </row>
    <row r="120" spans="100:191">
      <c r="CV120">
        <f ca="1">IFERROR(MATCH(1,$CV$100:$CV$104,0),0)</f>
        <v>0</v>
      </c>
      <c r="CW120">
        <f>IFERROR(MATCH(1,$CM$200:$CM$1199,0),0)</f>
        <v>0</v>
      </c>
      <c r="GA120" t="str">
        <f>IF(OR(GA9="理智损失",GA9="理智恢复"),"理智","")</f>
        <v/>
      </c>
      <c r="GB120">
        <f>IF(GA120="",0,MAX(0,GA2))</f>
        <v>0</v>
      </c>
      <c r="GC120">
        <f ca="1">GA20-GA2</f>
        <v>0</v>
      </c>
      <c r="GD120">
        <f ca="1">IF(GA120="",0,MAX(-GB120,MIN(GC120,IF(LEFT(GA120,4)="重要关系",GA5,IF(COUNTIF($L$2:$L$7,GA120)&gt;0,18,IF(OR(GA120="暴力进度",GA120="无力进度"),3,IF(GA120="体力",N(人物卡!K10),99))))-GB120)))</f>
        <v>0</v>
      </c>
      <c r="GE120">
        <f>IF(GA120="",0,COUNTIF($GA$120:GA120,"?*"))</f>
        <v>0</v>
      </c>
      <c r="GF120">
        <f ca="1">IFERROR(MATCH(1,$GE$120:$GE$133,0),0)</f>
        <v>14</v>
      </c>
      <c r="GG120">
        <f>IFERROR(MATCH(1,$GH$200:$GH$1199,0),0)</f>
        <v>0</v>
      </c>
      <c r="GI120">
        <f>IFERROR(MATCH(61,$GC$200:$GC$1199,0),0)</f>
        <v>0</v>
      </c>
    </row>
    <row r="121" spans="100:191">
      <c r="CV121">
        <f ca="1">IFERROR(MATCH(2,$CV$100:$CV$104,0),0)</f>
        <v>0</v>
      </c>
      <c r="CW121">
        <f>IFERROR(MATCH(2,$CM$200:$CM$1199,0),0)</f>
        <v>0</v>
      </c>
      <c r="GA121" t="str">
        <f>IF(OR(GA15&gt;0,GA24&gt;0,GA9="毅力恢复",GA9="毅力消耗"),"毅力","")</f>
        <v/>
      </c>
      <c r="GB121">
        <f>IF(GA121="",0,MAX(0,GA3))</f>
        <v>0</v>
      </c>
      <c r="GC121">
        <f>GA27</f>
        <v>0</v>
      </c>
      <c r="GD121">
        <f>IF(GA121="",0,MAX(-GB121,MIN(GC121,IF(LEFT(GA121,4)="重要关系",GA5,IF(COUNTIF($L$2:$L$7,GA121)&gt;0,18,IF(OR(GA121="暴力进度",GA121="无力进度"),3,IF(GA121="体力",N(人物卡!K10),99))))-GB121)))</f>
        <v>0</v>
      </c>
      <c r="GE121">
        <f>IF(GA121="",0,COUNTIF($GA$120:GA121,"?*"))</f>
        <v>0</v>
      </c>
      <c r="GF121">
        <f ca="1">IFERROR(MATCH(2,$GE$120:$GE$133,0),0)</f>
        <v>0</v>
      </c>
      <c r="GG121">
        <f>IFERROR(MATCH(2,$GH$200:$GH$1199,0),0)</f>
        <v>0</v>
      </c>
      <c r="GI121">
        <f>IFERROR(MATCH(62,$GC$200:$GC$1199,0),0)</f>
        <v>0</v>
      </c>
    </row>
    <row r="122" spans="100:191">
      <c r="CV122">
        <f ca="1">IFERROR(MATCH(3,$CV$100:$CV$104,0),0)</f>
        <v>0</v>
      </c>
      <c r="CW122">
        <f>IFERROR(MATCH(3,$CM$200:$CM$1199,0),0)</f>
        <v>0</v>
      </c>
      <c r="GA122" t="str">
        <f>IF(GA16=1,理智与关系记录!$E$12,"")</f>
        <v/>
      </c>
      <c r="GB122">
        <f ca="1">IF(GA122="",0,MAX(0,IFERROR(INDEX($M$2:$M$79,MATCH(GA122,$L$2:$L$79,0)),0)+SUMIF($GA$120:GA121,GA122,$GD$120:GD121)))</f>
        <v>0</v>
      </c>
      <c r="GC122">
        <f>-GA15</f>
        <v>0</v>
      </c>
      <c r="GD122">
        <f ca="1">IF(GA122="",0,MAX(-GB122,MIN(GC122,IF(LEFT(GA122,4)="重要关系",GA5,IF(COUNTIF($L$2:$L$7,GA122)&gt;0,18,IF(OR(GA122="暴力进度",GA122="无力进度"),3,IF(GA122="体力",N(人物卡!K10),99))))-GB122)))</f>
        <v>0</v>
      </c>
      <c r="GE122">
        <f>IF(GA122="",0,COUNTIF($GA$120:GA122,"?*"))</f>
        <v>0</v>
      </c>
      <c r="GF122">
        <f ca="1">IFERROR(MATCH(3,$GE$120:$GE$133,0),0)</f>
        <v>0</v>
      </c>
      <c r="GG122">
        <f>IFERROR(MATCH(3,$GH$200:$GH$1199,0),0)</f>
        <v>0</v>
      </c>
      <c r="GI122">
        <f>IFERROR(MATCH(63,$GC$200:$GC$1199,0),0)</f>
        <v>0</v>
      </c>
    </row>
    <row r="123" spans="100:191">
      <c r="CV123">
        <f ca="1">IFERROR(MATCH(4,$CV$100:$CV$104,0),0)</f>
        <v>0</v>
      </c>
      <c r="CW123">
        <f>IFERROR(MATCH(4,$CM$200:$CM$1199,0),0)</f>
        <v>0</v>
      </c>
      <c r="GA123" t="str">
        <f>IF(GA25=1,理智与关系记录!$E$13,"")</f>
        <v/>
      </c>
      <c r="GB123">
        <f ca="1">IF(GA123="",0,MAX(0,IFERROR(INDEX($M$2:$M$79,MATCH(GA123,$L$2:$L$79,0)),0)+SUMIF($GA$120:GA122,GA123,$GD$120:GD122)))</f>
        <v>0</v>
      </c>
      <c r="GC123">
        <f>-GA24</f>
        <v>0</v>
      </c>
      <c r="GD123">
        <f ca="1">IF(GA123="",0,MAX(-GB123,MIN(GC123,IF(LEFT(GA123,4)="重要关系",GA5,IF(COUNTIF($L$2:$L$7,GA123)&gt;0,18,IF(OR(GA123="暴力进度",GA123="无力进度"),3,IF(GA123="体力",N(人物卡!K10),99))))-GB123)))</f>
        <v>0</v>
      </c>
      <c r="GE123">
        <f>IF(GA123="",0,COUNTIF($GA$120:GA123,"?*"))</f>
        <v>0</v>
      </c>
      <c r="GF123">
        <f ca="1">IFERROR(MATCH(4,$GE$120:$GE$133,0),0)</f>
        <v>0</v>
      </c>
      <c r="GG123">
        <f>IFERROR(MATCH(4,$GH$200:$GH$1199,0),0)</f>
        <v>0</v>
      </c>
      <c r="GI123">
        <f>IFERROR(MATCH(64,$GC$200:$GC$1199,0),0)</f>
        <v>0</v>
      </c>
    </row>
    <row r="124" spans="100:191">
      <c r="CV124">
        <f ca="1">IFERROR(MATCH(5,$CV$100:$CV$104,0),0)</f>
        <v>0</v>
      </c>
      <c r="CW124">
        <f>IFERROR(MATCH(5,$CM$200:$CM$1199,0),0)</f>
        <v>0</v>
      </c>
      <c r="GA124" t="str">
        <f>IF(AND(OR(GA9="建立DG关系",GA9="加深DG关系"),NOT(OR(理智与关系记录!$E$10="失败",理智与关系记录!$E$10="大失败"))),"",GA34)</f>
        <v/>
      </c>
      <c r="GB124">
        <f ca="1">IF(GA124="",0,MAX(0,IF(GA9="建立DG关系",0,IFERROR(INDEX($M$2:$M$79,MATCH(GA124,$L$2:$L$79,0)),0))+SUMIF($GA$120:GA123,GA124,$GD$120:GD123)))</f>
        <v>0</v>
      </c>
      <c r="GC124">
        <f>GA35</f>
        <v>0</v>
      </c>
      <c r="GD124">
        <f ca="1">IF(GA124="",0,MAX(-GB124,MIN(GC124,IF(LEFT(GA124,4)="重要关系",GA5,IF(COUNTIF($L$2:$L$7,GA124)&gt;0,18,IF(OR(GA124="暴力进度",GA124="无力进度"),3,IF(GA124="体力",N(人物卡!K10),99))))-GB124)))</f>
        <v>0</v>
      </c>
      <c r="GE124">
        <f>IF(GA124="",0,COUNTIF($GA$120:GA124,"?*"))</f>
        <v>0</v>
      </c>
      <c r="GF124">
        <f ca="1">IFERROR(MATCH(5,$GE$120:$GE$133,0),0)</f>
        <v>0</v>
      </c>
      <c r="GG124">
        <f>IFERROR(MATCH(5,$GH$200:$GH$1199,0),0)</f>
        <v>0</v>
      </c>
      <c r="GI124">
        <f>IFERROR(MATCH(65,$GC$200:$GC$1199,0),0)</f>
        <v>0</v>
      </c>
    </row>
    <row r="125" spans="100:191">
      <c r="GA125" t="str">
        <f>IF(GA36&lt;0,理智与关系记录!$B$18,"")</f>
        <v/>
      </c>
      <c r="GB125">
        <f ca="1">IF(GA125="",0,MAX(0,IFERROR(INDEX($M$2:$M$79,MATCH(GA125,$L$2:$L$79,0)),0)+SUMIF($GA$120:GA124,GA125,$GD$120:GD124)))</f>
        <v>0</v>
      </c>
      <c r="GC125">
        <f>GA36</f>
        <v>0</v>
      </c>
      <c r="GD125">
        <f ca="1">IF(GA125="",0,MAX(-GB125,MIN(GC125,IF(LEFT(GA125,4)="重要关系",GA5,IF(COUNTIF($L$2:$L$7,GA125)&gt;0,18,IF(OR(GA125="暴力进度",GA125="无力进度"),3,IF(GA125="体力",N(人物卡!K10),99))))-GB125)))</f>
        <v>0</v>
      </c>
      <c r="GE125">
        <f>IF(GA125="",0,COUNTIF($GA$120:GA125,"?*"))</f>
        <v>0</v>
      </c>
      <c r="GF125">
        <f ca="1">IFERROR(MATCH(6,$GE$120:$GE$133,0),0)</f>
        <v>0</v>
      </c>
      <c r="GG125">
        <f>IFERROR(MATCH(6,$GH$200:$GH$1199,0),0)</f>
        <v>0</v>
      </c>
      <c r="GI125">
        <f>IFERROR(MATCH(66,$GC$200:$GC$1199,0),0)</f>
        <v>0</v>
      </c>
    </row>
    <row r="126" spans="100:191">
      <c r="GA126" t="str">
        <f ca="1">GA32</f>
        <v/>
      </c>
      <c r="GB126">
        <f ca="1">IF(GA126="",0,MAX(0,IFERROR(INDEX($M$2:$M$79,MATCH(GA126,$L$2:$L$79,0)),0)+SUMIF($GA$120:GA125,GA126,$GD$120:GD125)))</f>
        <v>0</v>
      </c>
      <c r="GC126">
        <f ca="1">GA33</f>
        <v>0</v>
      </c>
      <c r="GD126">
        <f ca="1">IF(GA126="",0,MAX(-GB126,MIN(GC126,IF(LEFT(GA126,4)="重要关系",GA5,IF(COUNTIF($L$2:$L$7,GA126)&gt;0,18,IF(OR(GA126="暴力进度",GA126="无力进度"),3,IF(GA126="体力",N(人物卡!K10),99))))-GB126)))</f>
        <v>0</v>
      </c>
      <c r="GE126">
        <f ca="1">IF(GA126="",0,COUNTIF($GA$120:GA126,"?*"))</f>
        <v>0</v>
      </c>
      <c r="GF126">
        <f ca="1">IFERROR(MATCH(7,$GE$120:$GE$133,0),0)</f>
        <v>0</v>
      </c>
      <c r="GG126">
        <f>IFERROR(MATCH(7,$GH$200:$GH$1199,0),0)</f>
        <v>0</v>
      </c>
      <c r="GI126">
        <f>IFERROR(MATCH(67,$GC$200:$GC$1199,0),0)</f>
        <v>0</v>
      </c>
    </row>
    <row r="127" spans="100:191">
      <c r="GA127" t="str">
        <f ca="1">IF(GA22=1,"崩溃点","")</f>
        <v/>
      </c>
      <c r="GB127">
        <f ca="1">IF(GA127="",0,MAX(0,GA4))</f>
        <v>0</v>
      </c>
      <c r="GC127">
        <f ca="1">GA23-GA4</f>
        <v>0</v>
      </c>
      <c r="GD127">
        <f ca="1">IF(GA127="",0,MAX(-GB127,MIN(GC127,IF(LEFT(GA127,4)="重要关系",GA5,IF(COUNTIF($L$2:$L$7,GA127)&gt;0,18,IF(OR(GA127="暴力进度",GA127="无力进度"),3,IF(GA127="体力",N(人物卡!K10),99))))-GB127)))</f>
        <v>0</v>
      </c>
      <c r="GE127">
        <f ca="1">IF(GA127="",0,COUNTIF($GA$120:GA127,"?*"))</f>
        <v>0</v>
      </c>
      <c r="GF127">
        <f ca="1">IFERROR(MATCH(8,$GE$120:$GE$133,0),0)</f>
        <v>0</v>
      </c>
      <c r="GG127">
        <f>IFERROR(MATCH(8,$GH$200:$GH$1199,0),0)</f>
        <v>0</v>
      </c>
      <c r="GI127">
        <f>IFERROR(MATCH(68,$GC$200:$GC$1199,0),0)</f>
        <v>0</v>
      </c>
    </row>
    <row r="128" spans="100:191">
      <c r="GA128" t="str">
        <f ca="1">IF(GA28&lt;&gt;GA7,"暴力进度","")</f>
        <v/>
      </c>
      <c r="GB128">
        <f ca="1">IF(GA128="",0,MAX(0,GA7))</f>
        <v>0</v>
      </c>
      <c r="GC128">
        <f ca="1">GA28-GA7</f>
        <v>0</v>
      </c>
      <c r="GD128">
        <f ca="1">IF(GA128="",0,MAX(-GB128,MIN(GC128,IF(LEFT(GA128,4)="重要关系",GA5,IF(COUNTIF($L$2:$L$7,GA128)&gt;0,18,IF(OR(GA128="暴力进度",GA128="无力进度"),3,IF(GA128="体力",N(人物卡!K10),99))))-GB128)))</f>
        <v>0</v>
      </c>
      <c r="GE128">
        <f ca="1">IF(GA128="",0,COUNTIF($GA$120:GA128,"?*"))</f>
        <v>0</v>
      </c>
      <c r="GF128">
        <f ca="1">IFERROR(MATCH(9,$GE$120:$GE$133,0),0)</f>
        <v>0</v>
      </c>
      <c r="GG128">
        <f>IFERROR(MATCH(9,$GH$200:$GH$1199,0),0)</f>
        <v>0</v>
      </c>
      <c r="GI128">
        <f>IFERROR(MATCH(69,$GC$200:$GC$1199,0),0)</f>
        <v>0</v>
      </c>
    </row>
    <row r="129" spans="183:191">
      <c r="GA129" t="str">
        <f ca="1">IF(GA29&lt;&gt;GA8,"无力进度","")</f>
        <v/>
      </c>
      <c r="GB129">
        <f ca="1">IF(GA129="",0,MAX(0,GA8))</f>
        <v>0</v>
      </c>
      <c r="GC129">
        <f ca="1">GA29-GA8</f>
        <v>0</v>
      </c>
      <c r="GD129">
        <f ca="1">IF(GA129="",0,MAX(-GB129,MIN(GC129,IF(LEFT(GA129,4)="重要关系",GA5,IF(COUNTIF($L$2:$L$7,GA129)&gt;0,18,IF(OR(GA129="暴力进度",GA129="无力进度"),3,IF(GA129="体力",N(人物卡!K10),99))))-GB129)))</f>
        <v>0</v>
      </c>
      <c r="GE129">
        <f ca="1">IF(GA129="",0,COUNTIF($GA$120:GA129,"?*"))</f>
        <v>0</v>
      </c>
      <c r="GF129">
        <f ca="1">IFERROR(MATCH(10,$GE$120:$GE$133,0),0)</f>
        <v>0</v>
      </c>
      <c r="GG129">
        <f>IFERROR(MATCH(10,$GH$200:$GH$1199,0),0)</f>
        <v>0</v>
      </c>
      <c r="GI129">
        <f>IFERROR(MATCH(70,$GC$200:$GC$1199,0),0)</f>
        <v>0</v>
      </c>
    </row>
    <row r="130" spans="183:191">
      <c r="GA130" t="str">
        <f>IF(GA38&gt;0,"技能：非自然知识","")</f>
        <v/>
      </c>
      <c r="GB130">
        <f ca="1">IF(GA130="",0,MAX(0,N(人物卡!AS39)))</f>
        <v>0</v>
      </c>
      <c r="GC130">
        <f>GA38</f>
        <v>0</v>
      </c>
      <c r="GD130">
        <f ca="1">IF(GA130="",0,MAX(-GB130,MIN(GC130,IF(LEFT(GA130,4)="重要关系",GA5,IF(COUNTIF($L$2:$L$7,GA130)&gt;0,18,IF(OR(GA130="暴力进度",GA130="无力进度"),3,IF(GA130="体力",N(人物卡!K10),99))))-GB130)))</f>
        <v>0</v>
      </c>
      <c r="GE130">
        <f ca="1">IF(GA130="",0,COUNTIF($GA$120:GA130,"?*"))</f>
        <v>0</v>
      </c>
      <c r="GF130">
        <f ca="1">IFERROR(MATCH(11,$GE$120:$GE$133,0),0)</f>
        <v>0</v>
      </c>
      <c r="GG130">
        <f>IFERROR(MATCH(11,$GH$200:$GH$1199,0),0)</f>
        <v>0</v>
      </c>
      <c r="GI130">
        <f>IFERROR(MATCH(71,$GC$200:$GC$1199,0),0)</f>
        <v>0</v>
      </c>
    </row>
    <row r="131" spans="183:191">
      <c r="GA131" t="str">
        <f>IF(GA9="体力变化","体力","")</f>
        <v/>
      </c>
      <c r="GB131">
        <f>IF(GA131="",0,MAX(0,N(人物卡!H10)))</f>
        <v>0</v>
      </c>
      <c r="GC131">
        <f>N(理智与关系记录!$B$17)</f>
        <v>0</v>
      </c>
      <c r="GD131">
        <f>IF(GA131="",0,MAX(-GB131,MIN(GC131,IF(LEFT(GA131,4)="重要关系",GA5,IF(COUNTIF($L$2:$L$7,GA131)&gt;0,18,IF(OR(GA131="暴力进度",GA131="无力进度"),3,IF(GA131="体力",N(人物卡!K10),99))))-GB131)))</f>
        <v>0</v>
      </c>
      <c r="GE131">
        <f ca="1">IF(GA131="",0,COUNTIF($GA$120:GA131,"?*"))</f>
        <v>0</v>
      </c>
      <c r="GF131">
        <f ca="1">IFERROR(MATCH(12,$GE$120:$GE$133,0),0)</f>
        <v>0</v>
      </c>
      <c r="GG131">
        <f>IFERROR(MATCH(12,$GH$200:$GH$1199,0),0)</f>
        <v>0</v>
      </c>
      <c r="GI131">
        <f>IFERROR(MATCH(72,$GC$200:$GC$1199,0),0)</f>
        <v>0</v>
      </c>
    </row>
    <row r="132" spans="183:191">
      <c r="GA132" t="str">
        <f>""</f>
        <v/>
      </c>
      <c r="GB132">
        <f>IF(GA132="",0,MAX(0,0))</f>
        <v>0</v>
      </c>
      <c r="GC132">
        <f>0</f>
        <v>0</v>
      </c>
      <c r="GD132">
        <f>IF(GA132="",0,MAX(-GB132,MIN(GC132,IF(LEFT(GA132,4)="重要关系",GA5,IF(COUNTIF($L$2:$L$7,GA132)&gt;0,18,IF(OR(GA132="暴力进度",GA132="无力进度"),3,IF(GA132="体力",N(人物卡!K10),99))))-GB132)))</f>
        <v>0</v>
      </c>
      <c r="GE132">
        <f ca="1">IF(GA132="",0,COUNTIF($GA$120:GA132,"?*"))</f>
        <v>0</v>
      </c>
      <c r="GF132">
        <f ca="1">IFERROR(MATCH(13,$GE$120:$GE$133,0),0)</f>
        <v>0</v>
      </c>
      <c r="GG132">
        <f>IFERROR(MATCH(13,$GH$200:$GH$1199,0),0)</f>
        <v>0</v>
      </c>
      <c r="GI132">
        <f>IFERROR(MATCH(73,$GC$200:$GC$1199,0),0)</f>
        <v>0</v>
      </c>
    </row>
    <row r="133" spans="183:191">
      <c r="GA133" t="str">
        <f>IF(GA9&lt;&gt;"","事件记录","")</f>
        <v>事件记录</v>
      </c>
      <c r="GB133">
        <f>IF(GA133="",0,MAX(0,0))</f>
        <v>0</v>
      </c>
      <c r="GC133">
        <f>0</f>
        <v>0</v>
      </c>
      <c r="GD133">
        <f>IF(GA133="",0,MAX(-GB133,MIN(GC133,IF(LEFT(GA133,4)="重要关系",GA5,IF(COUNTIF($L$2:$L$7,GA133)&gt;0,18,IF(OR(GA133="暴力进度",GA133="无力进度"),3,IF(GA133="体力",N(人物卡!K10),99))))-GB133)))</f>
        <v>0</v>
      </c>
      <c r="GE133">
        <f ca="1">IF(GA133="",0,COUNTIF($GA$120:GA133,"?*"))</f>
        <v>1</v>
      </c>
      <c r="GF133">
        <f ca="1">IFERROR(MATCH(14,$GE$120:$GE$133,0),0)</f>
        <v>0</v>
      </c>
      <c r="GG133">
        <f>IFERROR(MATCH(14,$GH$200:$GH$1199,0),0)</f>
        <v>0</v>
      </c>
      <c r="GI133">
        <f>IFERROR(MATCH(74,$GC$200:$GC$1199,0),0)</f>
        <v>0</v>
      </c>
    </row>
    <row r="134" spans="183:191">
      <c r="GI134">
        <f>IFERROR(MATCH(75,$GC$200:$GC$1199,0),0)</f>
        <v>0</v>
      </c>
    </row>
    <row r="135" spans="183:191">
      <c r="GI135">
        <f>IFERROR(MATCH(76,$GC$200:$GC$1199,0),0)</f>
        <v>0</v>
      </c>
    </row>
    <row r="136" spans="183:191">
      <c r="GI136">
        <f>IFERROR(MATCH(77,$GC$200:$GC$1199,0),0)</f>
        <v>0</v>
      </c>
    </row>
    <row r="137" spans="183:191">
      <c r="GI137">
        <f>IFERROR(MATCH(78,$GC$200:$GC$1199,0),0)</f>
        <v>0</v>
      </c>
    </row>
    <row r="138" spans="183:191">
      <c r="GI138">
        <f>IFERROR(MATCH(79,$GC$200:$GC$1199,0),0)</f>
        <v>0</v>
      </c>
    </row>
    <row r="139" spans="183:191">
      <c r="GI139">
        <f>IFERROR(MATCH(80,$GC$200:$GC$1199,0),0)</f>
        <v>0</v>
      </c>
    </row>
    <row r="140" spans="183:191">
      <c r="GI140">
        <f>IFERROR(MATCH(81,$GC$200:$GC$1199,0),0)</f>
        <v>0</v>
      </c>
    </row>
    <row r="141" spans="183:191">
      <c r="GI141">
        <f>IFERROR(MATCH(82,$GC$200:$GC$1199,0),0)</f>
        <v>0</v>
      </c>
    </row>
    <row r="142" spans="183:191">
      <c r="GI142">
        <f>IFERROR(MATCH(83,$GC$200:$GC$1199,0),0)</f>
        <v>0</v>
      </c>
    </row>
    <row r="143" spans="183:191">
      <c r="GI143">
        <f>IFERROR(MATCH(84,$GC$200:$GC$1199,0),0)</f>
        <v>0</v>
      </c>
    </row>
    <row r="144" spans="183:191">
      <c r="GI144">
        <f>IFERROR(MATCH(85,$GC$200:$GC$1199,0),0)</f>
        <v>0</v>
      </c>
    </row>
    <row r="145" spans="191:191">
      <c r="GI145">
        <f>IFERROR(MATCH(86,$GC$200:$GC$1199,0),0)</f>
        <v>0</v>
      </c>
    </row>
    <row r="146" spans="191:191">
      <c r="GI146">
        <f>IFERROR(MATCH(87,$GC$200:$GC$1199,0),0)</f>
        <v>0</v>
      </c>
    </row>
    <row r="147" spans="191:191">
      <c r="GI147">
        <f>IFERROR(MATCH(88,$GC$200:$GC$1199,0),0)</f>
        <v>0</v>
      </c>
    </row>
    <row r="148" spans="191:191">
      <c r="GI148">
        <f>IFERROR(MATCH(89,$GC$200:$GC$1199,0),0)</f>
        <v>0</v>
      </c>
    </row>
    <row r="149" spans="191:191">
      <c r="GI149">
        <f>IFERROR(MATCH(90,$GC$200:$GC$1199,0),0)</f>
        <v>0</v>
      </c>
    </row>
    <row r="150" spans="191:191">
      <c r="GI150">
        <f>IFERROR(MATCH(91,$GC$200:$GC$1199,0),0)</f>
        <v>0</v>
      </c>
    </row>
    <row r="151" spans="191:191">
      <c r="GI151">
        <f>IFERROR(MATCH(92,$GC$200:$GC$1199,0),0)</f>
        <v>0</v>
      </c>
    </row>
    <row r="152" spans="191:191">
      <c r="GI152">
        <f>IFERROR(MATCH(93,$GC$200:$GC$1199,0),0)</f>
        <v>0</v>
      </c>
    </row>
    <row r="153" spans="191:191">
      <c r="GI153">
        <f>IFERROR(MATCH(94,$GC$200:$GC$1199,0),0)</f>
        <v>0</v>
      </c>
    </row>
    <row r="154" spans="191:191">
      <c r="GI154">
        <f>IFERROR(MATCH(95,$GC$200:$GC$1199,0),0)</f>
        <v>0</v>
      </c>
    </row>
    <row r="155" spans="191:191">
      <c r="GI155">
        <f>IFERROR(MATCH(96,$GC$200:$GC$1199,0),0)</f>
        <v>0</v>
      </c>
    </row>
    <row r="156" spans="191:191">
      <c r="GI156">
        <f>IFERROR(MATCH(97,$GC$200:$GC$1199,0),0)</f>
        <v>0</v>
      </c>
    </row>
    <row r="157" spans="191:191">
      <c r="GI157">
        <f>IFERROR(MATCH(98,$GC$200:$GC$1199,0),0)</f>
        <v>0</v>
      </c>
    </row>
    <row r="158" spans="191:191">
      <c r="GI158">
        <f>IFERROR(MATCH(99,$GC$200:$GC$1199,0),0)</f>
        <v>0</v>
      </c>
    </row>
    <row r="159" spans="191:191">
      <c r="GI159">
        <f>IFERROR(MATCH(100,$GC$200:$GC$1199,0),0)</f>
        <v>0</v>
      </c>
    </row>
    <row r="200" spans="1:190">
      <c r="A200" t="str">
        <f t="shared" ref="A200:A263" si="6">IFERROR(TEXT(VALUE(CA200),"00"),"")</f>
        <v/>
      </c>
      <c r="B200" t="str">
        <f t="shared" ref="B200:B263" si="7">CB200</f>
        <v/>
      </c>
      <c r="C200" t="str">
        <f t="shared" ref="C200:C263" si="8">CD200</f>
        <v/>
      </c>
      <c r="D200" t="str">
        <f t="shared" ref="D200:D263" si="9">CF200</f>
        <v/>
      </c>
      <c r="E200">
        <f t="shared" ref="E200:E263" si="10">IF(H200=1,MAX(-CE200,MIN(D200,IF(LEFT(C200,3)="技能：",99,IF(COUNTIF($L$2:$L$7,C200)&gt;0,18,999))-CE200)),0)</f>
        <v>0</v>
      </c>
      <c r="F200" t="str">
        <f t="shared" ref="F200:F263" si="11">IF(OR(C200=0,C200=""),"",IF(G200=0,"记录不完整",IF(H200=0,"重复未计","已计入")))</f>
        <v/>
      </c>
      <c r="G200">
        <f t="shared" ref="G200:G263" si="12">IF(AND(AND(CA200&lt;&gt;"",CB200&lt;&gt;"",CI200&lt;&gt;"",OR(LEFT(C200,3)="技能：",COUNTIF($L$2:$L$19,C200)&gt;0,C200="事件记录",C200="暴力进度",C200="无力进度"),ISNUMBER(CE200),ISNUMBER(CF200),ISNUMBER(CG200),CE200&gt;=0,CG200=SUM(CE200,CF200)),OR(B200&lt;&gt;"成长",AND(LEFT(C200,3)="技能：",C200&lt;&gt;"技能：非自然知识",CE200&gt;=1,CE200&lt;=99,CF200&gt;=0,CF200&lt;=4,CG200&lt;=99))),1,0)</f>
        <v>0</v>
      </c>
      <c r="H200">
        <f>IF(AND(G200=1,COUNTIFS($I$200:I200,I200,$G$200:G200,1)=1),1,0)</f>
        <v>0</v>
      </c>
      <c r="I200" t="str">
        <f t="shared" ref="I200:I263" si="13">IF(G200=1,IF(B200="成长",A200&amp;"-成长-"&amp;C200,CI200),"")</f>
        <v/>
      </c>
      <c r="BF200">
        <f>MAX(0,MIN(18,S2+IF(C200="力量",E200,0)))</f>
        <v>0</v>
      </c>
      <c r="BG200">
        <f>MAX(0,MIN(18,S3+IF(C200="体质",E200,0)))</f>
        <v>0</v>
      </c>
      <c r="BH200">
        <f>MAX(0,MIN(18,S4+IF(C200="敏捷",E200,0)))</f>
        <v>0</v>
      </c>
      <c r="BI200">
        <f>MAX(0,MIN(18,S5+IF(C200="智力",E200,0)))</f>
        <v>0</v>
      </c>
      <c r="BJ200">
        <f>MAX(0,MIN(18,S6+IF(C200="意志",E200,0)))</f>
        <v>0</v>
      </c>
      <c r="BK200">
        <f>MAX(0,MIN(18,S7+IF(C200="魅力",E200,0)))</f>
        <v>0</v>
      </c>
      <c r="BL200">
        <f>MAX(0,MIN(99,N(人物卡!BB39)+IF(C200="技能：非自然知识",E200,0)))</f>
        <v>0</v>
      </c>
      <c r="BM200">
        <f>MAX(0,MIN(CEILING((BF200+BG200)/2,1),S8+IF(C200="体力",E200,0)))</f>
        <v>0</v>
      </c>
      <c r="BN200">
        <f>MAX(0,MIN(BJ200,S9+IF(C200="毅力",E200,0)))</f>
        <v>0</v>
      </c>
      <c r="BO200">
        <f>MAX(0,MIN(99-BL200,S10+IF(C200="理智",E200,0)))</f>
        <v>0</v>
      </c>
      <c r="BP200">
        <f>MAX(0,MIN(99,S11+IF(C200="崩溃点",E200,0)))</f>
        <v>0</v>
      </c>
      <c r="BQ200">
        <f>MAX(0,MIN(BK200,IF(AND(H200=1,C200="重要关系1",LEFT(CH200,8)="建立新的重要关系"),CE200+E200,IF(AND(人物卡!$DF$46="艰苦经历",IFERROR(VALUE(人物卡!$DF$55),0)=1),0,$S$7)+IF(C200="重要关系1",E200,0)+IF(AND(C200="魅力",E200&lt;0),E200,0))))</f>
        <v>0</v>
      </c>
      <c r="BR200">
        <f>MAX(0,MIN(BK200,IF(AND(H200=1,C200="重要关系2",LEFT(CH200,8)="建立新的重要关系"),CE200+E200,IF(AND(人物卡!$DF$46="艰苦经历",IFERROR(VALUE(人物卡!$DF$55),0)=2),0,$S$7)+IF(C200="重要关系2",E200,0)+IF(AND(C200="魅力",E200&lt;0),E200,0))))</f>
        <v>0</v>
      </c>
      <c r="BS200">
        <f>MAX(0,MIN(BK200,IF(AND(H200=1,C200="重要关系3",LEFT(CH200,8)="建立新的重要关系"),CE200+E200,IF(AND(人物卡!$DF$46="艰苦经历",IFERROR(VALUE(人物卡!$DF$55),0)=3),0,$S$7)+IF(C200="重要关系3",E200,0)+IF(AND(C200="魅力",E200&lt;0),E200,0))))</f>
        <v>0</v>
      </c>
      <c r="BT200">
        <f>MAX(0,MIN(BK200,IF(AND(H200=1,C200="重要关系4",LEFT(CH200,8)="建立新的重要关系"),CE200+E200,IF(AND(人物卡!$DF$46="艰苦经历",IFERROR(VALUE(人物卡!$DF$55),0)=4),0,$S$7)+IF(C200="重要关系4",E200,0)+IF(AND(C200="魅力",E200&lt;0),E200,0))))</f>
        <v>0</v>
      </c>
      <c r="BU200">
        <f>MAX(0,MIN(BK200,IF(AND(H200=1,C200="重要关系5",LEFT(CH200,8)="建立新的重要关系"),CE200+E200,IF(AND(人物卡!$DF$46="艰苦经历",IFERROR(VALUE(人物卡!$DF$55),0)=5),0,$S$7)+IF(C200="重要关系5",E200,0)+IF(AND(C200="魅力",E200&lt;0),E200,0))))</f>
        <v>0</v>
      </c>
      <c r="BV200">
        <f>MAX(0,MIN(BK200,IF(AND(H200=1,C200="重要关系6",LEFT(CH200,8)="建立新的重要关系"),CE200+E200,IF(AND(人物卡!$DF$46="艰苦经历",IFERROR(VALUE(人物卡!$DF$55),0)=6),0,$S$7)+IF(C200="重要关系6",E200,0)+IF(AND(C200="魅力",E200&lt;0),E200,0))))</f>
        <v>0</v>
      </c>
      <c r="BW200">
        <f>MAX(0,MIN(BK200,IF(AND(H200=1,C200="重要关系7",LEFT(CH200,8)="建立新的重要关系"),CE200+E200,IF(AND(人物卡!$DF$46="艰苦经历",IFERROR(VALUE(人物卡!$DF$55),0)=7),0,$S$7)+IF(C200="重要关系7",E200,0)+IF(AND(C200="魅力",E200&lt;0),E200,0))))</f>
        <v>0</v>
      </c>
      <c r="CA200" t="str">
        <f>IF(1&gt;ROWS(DGArchive[模组]),"",IF(INDEX(DGArchive[模组],1)="","",INDEX(DGArchive[模组],1)))</f>
        <v/>
      </c>
      <c r="CB200" t="str">
        <f>IF(1&gt;ROWS(DGArchive[阶段]),"",IF(INDEX(DGArchive[阶段],1)="","",INDEX(DGArchive[阶段],1)))</f>
        <v/>
      </c>
      <c r="CC200" t="str">
        <f>IF(1&gt;ROWS(DGArchive[游戏内日期]),"",IF(INDEX(DGArchive[游戏内日期],1)="","",INDEX(DGArchive[游戏内日期],1)))</f>
        <v/>
      </c>
      <c r="CD200" t="str">
        <f>IF(1&gt;ROWS(DGArchive[目标]),"",IF(INDEX(DGArchive[目标],1)="","",INDEX(DGArchive[目标],1)))</f>
        <v/>
      </c>
      <c r="CE200" t="str">
        <f>IF(1&gt;ROWS(DGArchive[变更前]),"",IF(INDEX(DGArchive[变更前],1)="","",INDEX(DGArchive[变更前],1)))</f>
        <v/>
      </c>
      <c r="CF200" t="str">
        <f>IF(1&gt;ROWS(DGArchive[增减]),"",IF(INDEX(DGArchive[增减],1)="","",INDEX(DGArchive[增减],1)))</f>
        <v/>
      </c>
      <c r="CG200" t="str">
        <f>IF(1&gt;ROWS(DGArchive[变更后]),"",IF(INDEX(DGArchive[变更后],1)="","",INDEX(DGArchive[变更后],1)))</f>
        <v/>
      </c>
      <c r="CH200" t="str">
        <f>IF(1&gt;ROWS(DGArchive[事件／活动]),"",IF(INDEX(DGArchive[事件／活动],1)="","",INDEX(DGArchive[事件／活动],1)))</f>
        <v/>
      </c>
      <c r="CI200" t="str">
        <f>IF(1&gt;ROWS(DGArchive[记录编号]),"",IF(INDEX(DGArchive[记录编号],1)="","",INDEX(DGArchive[记录编号],1)))</f>
        <v/>
      </c>
      <c r="CL200">
        <f t="shared" ref="CL200:CL263" si="14">IF(AND(A200=$AO$5,H200=1,LEFT(B200,2)="幕间"),IFERROR(VALUE(MID(B200,3,20)),0),0)</f>
        <v>0</v>
      </c>
      <c r="CM200">
        <f>IF(AND(A200=$AO$5,B200=$AQ$3,H200=1),COUNTIFS($A$200:A200,$AO$5,$B$200:B200,$AQ$3,$H$200:H200,1),0)</f>
        <v>0</v>
      </c>
      <c r="CN200">
        <f>IF(CA200="",1,1001)</f>
        <v>1</v>
      </c>
      <c r="GA200">
        <f>MAX(0,MIN(3,IF(人物卡!$DF$46="极端暴力",3,0)+IF(C200="暴力进度",E200,0)))</f>
        <v>0</v>
      </c>
      <c r="GB200">
        <f>MAX(0,MIN(3,IF(人物卡!$DF$46="关押或入狱",3,0)+IF(C200="无力进度",E200,0)))</f>
        <v>0</v>
      </c>
      <c r="GC200">
        <f>IF(AND(C200="事件记录",H200=1),COUNTIFS($C$200:C200,"事件记录",$H$200:H200,1),0)</f>
        <v>0</v>
      </c>
      <c r="GD200">
        <f t="shared" ref="GD200:GD263" si="15">IF(AND(H200=1,A200=$GA$10,LEFT(B200,2)="事件"),IFERROR(VALUE(MID(B200,3,20)),0),0)</f>
        <v>0</v>
      </c>
      <c r="GH200">
        <f>IF(AND(H200=1,A200=$GA$10,B200=$GA$11),COUNTIFS($A$200:A200,$GA$10,$B$200:B200,$GA$11,$H$200:H200,1),0)</f>
        <v>0</v>
      </c>
    </row>
    <row r="201" spans="1:190">
      <c r="A201" t="str">
        <f t="shared" si="6"/>
        <v/>
      </c>
      <c r="B201" t="str">
        <f t="shared" si="7"/>
        <v/>
      </c>
      <c r="C201" t="str">
        <f t="shared" si="8"/>
        <v/>
      </c>
      <c r="D201" t="str">
        <f t="shared" si="9"/>
        <v/>
      </c>
      <c r="E201">
        <f t="shared" si="10"/>
        <v>0</v>
      </c>
      <c r="F201" t="str">
        <f t="shared" si="11"/>
        <v/>
      </c>
      <c r="G201">
        <f t="shared" si="12"/>
        <v>0</v>
      </c>
      <c r="H201">
        <f>IF(AND(G201=1,COUNTIFS($I$200:I201,I201,$G$200:G201,1)=1),1,0)</f>
        <v>0</v>
      </c>
      <c r="I201" t="str">
        <f t="shared" si="13"/>
        <v/>
      </c>
      <c r="BF201">
        <f t="shared" ref="BF201:BF264" si="16">MAX(0,MIN(18,BF200+IF(C201="力量",E201,0)))</f>
        <v>0</v>
      </c>
      <c r="BG201">
        <f t="shared" ref="BG201:BG264" si="17">MAX(0,MIN(18,BG200+IF(C201="体质",E201,0)))</f>
        <v>0</v>
      </c>
      <c r="BH201">
        <f t="shared" ref="BH201:BH264" si="18">MAX(0,MIN(18,BH200+IF(C201="敏捷",E201,0)))</f>
        <v>0</v>
      </c>
      <c r="BI201">
        <f t="shared" ref="BI201:BI264" si="19">MAX(0,MIN(18,BI200+IF(C201="智力",E201,0)))</f>
        <v>0</v>
      </c>
      <c r="BJ201">
        <f t="shared" ref="BJ201:BJ264" si="20">MAX(0,MIN(18,BJ200+IF(C201="意志",E201,0)))</f>
        <v>0</v>
      </c>
      <c r="BK201">
        <f t="shared" ref="BK201:BK264" si="21">MAX(0,MIN(18,BK200+IF(C201="魅力",E201,0)))</f>
        <v>0</v>
      </c>
      <c r="BL201">
        <f t="shared" ref="BL201:BL264" si="22">MAX(0,MIN(99,BL200+IF(C201="技能：非自然知识",E201,0)))</f>
        <v>0</v>
      </c>
      <c r="BM201">
        <f t="shared" ref="BM201:BM264" si="23">MAX(0,MIN(CEILING((BF201+BG201)/2,1),BM200+IF(C201="体力",E201,0)))</f>
        <v>0</v>
      </c>
      <c r="BN201">
        <f t="shared" ref="BN201:BN264" si="24">MAX(0,MIN(BJ201,BN200+IF(C201="毅力",E201,0)))</f>
        <v>0</v>
      </c>
      <c r="BO201">
        <f t="shared" ref="BO201:BO264" si="25">MAX(0,MIN(99-BL201,BO200+IF(C201="理智",E201,0)))</f>
        <v>0</v>
      </c>
      <c r="BP201">
        <f t="shared" ref="BP201:BP264" si="26">MAX(0,MIN(99,BP200+IF(C201="崩溃点",E201,0)))</f>
        <v>0</v>
      </c>
      <c r="BQ201">
        <f t="shared" ref="BQ201:BQ264" si="27">MAX(0,MIN(BK201,IF(AND(H201=1,C201="重要关系1",LEFT(CH201,8)="建立新的重要关系"),CE201+E201,IF(BQ200=0,0,BQ200+IF(C201="重要关系1",E201,0))+IF(AND(C201="魅力",E201&lt;0),E201,0))))</f>
        <v>0</v>
      </c>
      <c r="BR201">
        <f t="shared" ref="BR201:BR264" si="28">MAX(0,MIN(BK201,IF(AND(H201=1,C201="重要关系2",LEFT(CH201,8)="建立新的重要关系"),CE201+E201,IF(BR200=0,0,BR200+IF(C201="重要关系2",E201,0))+IF(AND(C201="魅力",E201&lt;0),E201,0))))</f>
        <v>0</v>
      </c>
      <c r="BS201">
        <f t="shared" ref="BS201:BS264" si="29">MAX(0,MIN(BK201,IF(AND(H201=1,C201="重要关系3",LEFT(CH201,8)="建立新的重要关系"),CE201+E201,IF(BS200=0,0,BS200+IF(C201="重要关系3",E201,0))+IF(AND(C201="魅力",E201&lt;0),E201,0))))</f>
        <v>0</v>
      </c>
      <c r="BT201">
        <f t="shared" ref="BT201:BT264" si="30">MAX(0,MIN(BK201,IF(AND(H201=1,C201="重要关系4",LEFT(CH201,8)="建立新的重要关系"),CE201+E201,IF(BT200=0,0,BT200+IF(C201="重要关系4",E201,0))+IF(AND(C201="魅力",E201&lt;0),E201,0))))</f>
        <v>0</v>
      </c>
      <c r="BU201">
        <f t="shared" ref="BU201:BU264" si="31">MAX(0,MIN(BK201,IF(AND(H201=1,C201="重要关系5",LEFT(CH201,8)="建立新的重要关系"),CE201+E201,IF(BU200=0,0,BU200+IF(C201="重要关系5",E201,0))+IF(AND(C201="魅力",E201&lt;0),E201,0))))</f>
        <v>0</v>
      </c>
      <c r="BV201">
        <f t="shared" ref="BV201:BV264" si="32">MAX(0,MIN(BK201,IF(AND(H201=1,C201="重要关系6",LEFT(CH201,8)="建立新的重要关系"),CE201+E201,IF(BV200=0,0,BV200+IF(C201="重要关系6",E201,0))+IF(AND(C201="魅力",E201&lt;0),E201,0))))</f>
        <v>0</v>
      </c>
      <c r="BW201">
        <f t="shared" ref="BW201:BW264" si="33">MAX(0,MIN(BK201,IF(AND(H201=1,C201="重要关系7",LEFT(CH201,8)="建立新的重要关系"),CE201+E201,IF(BW200=0,0,BW200+IF(C201="重要关系7",E201,0))+IF(AND(C201="魅力",E201&lt;0),E201,0))))</f>
        <v>0</v>
      </c>
      <c r="CA201" t="str">
        <f>IF(2&gt;ROWS(DGArchive[模组]),"",IF(INDEX(DGArchive[模组],2)="","",INDEX(DGArchive[模组],2)))</f>
        <v/>
      </c>
      <c r="CB201" t="str">
        <f>IF(2&gt;ROWS(DGArchive[阶段]),"",IF(INDEX(DGArchive[阶段],2)="","",INDEX(DGArchive[阶段],2)))</f>
        <v/>
      </c>
      <c r="CC201" t="str">
        <f>IF(2&gt;ROWS(DGArchive[游戏内日期]),"",IF(INDEX(DGArchive[游戏内日期],2)="","",INDEX(DGArchive[游戏内日期],2)))</f>
        <v/>
      </c>
      <c r="CD201" t="str">
        <f>IF(2&gt;ROWS(DGArchive[目标]),"",IF(INDEX(DGArchive[目标],2)="","",INDEX(DGArchive[目标],2)))</f>
        <v/>
      </c>
      <c r="CE201" t="str">
        <f>IF(2&gt;ROWS(DGArchive[变更前]),"",IF(INDEX(DGArchive[变更前],2)="","",INDEX(DGArchive[变更前],2)))</f>
        <v/>
      </c>
      <c r="CF201" t="str">
        <f>IF(2&gt;ROWS(DGArchive[增减]),"",IF(INDEX(DGArchive[增减],2)="","",INDEX(DGArchive[增减],2)))</f>
        <v/>
      </c>
      <c r="CG201" t="str">
        <f>IF(2&gt;ROWS(DGArchive[变更后]),"",IF(INDEX(DGArchive[变更后],2)="","",INDEX(DGArchive[变更后],2)))</f>
        <v/>
      </c>
      <c r="CH201" t="str">
        <f>IF(2&gt;ROWS(DGArchive[事件／活动]),"",IF(INDEX(DGArchive[事件／活动],2)="","",INDEX(DGArchive[事件／活动],2)))</f>
        <v/>
      </c>
      <c r="CI201" t="str">
        <f>IF(2&gt;ROWS(DGArchive[记录编号]),"",IF(INDEX(DGArchive[记录编号],2)="","",INDEX(DGArchive[记录编号],2)))</f>
        <v/>
      </c>
      <c r="CL201">
        <f t="shared" si="14"/>
        <v>0</v>
      </c>
      <c r="CM201">
        <f>IF(AND(A201=$AO$5,B201=$AQ$3,H201=1),COUNTIFS($A$200:A201,$AO$5,$B$200:B201,$AQ$3,$H$200:H201,1),0)</f>
        <v>0</v>
      </c>
      <c r="CN201">
        <f>IF(CA201="",2,1001)</f>
        <v>2</v>
      </c>
      <c r="GA201">
        <f t="shared" ref="GA201:GA264" si="34">MAX(0,MIN(3,GA200+IF(C201="暴力进度",E201,0)))</f>
        <v>0</v>
      </c>
      <c r="GB201">
        <f t="shared" ref="GB201:GB264" si="35">MAX(0,MIN(3,GB200+IF(C201="无力进度",E201,0)))</f>
        <v>0</v>
      </c>
      <c r="GC201">
        <f>IF(AND(C201="事件记录",H201=1),COUNTIFS($C$200:C201,"事件记录",$H$200:H201,1),0)</f>
        <v>0</v>
      </c>
      <c r="GD201">
        <f t="shared" si="15"/>
        <v>0</v>
      </c>
      <c r="GH201">
        <f>IF(AND(H201=1,A201=$GA$10,B201=$GA$11),COUNTIFS($A$200:A201,$GA$10,$B$200:B201,$GA$11,$H$200:H201,1),0)</f>
        <v>0</v>
      </c>
    </row>
    <row r="202" spans="1:190">
      <c r="A202" t="str">
        <f t="shared" si="6"/>
        <v/>
      </c>
      <c r="B202" t="str">
        <f t="shared" si="7"/>
        <v/>
      </c>
      <c r="C202" t="str">
        <f t="shared" si="8"/>
        <v/>
      </c>
      <c r="D202" t="str">
        <f t="shared" si="9"/>
        <v/>
      </c>
      <c r="E202">
        <f t="shared" si="10"/>
        <v>0</v>
      </c>
      <c r="F202" t="str">
        <f t="shared" si="11"/>
        <v/>
      </c>
      <c r="G202">
        <f t="shared" si="12"/>
        <v>0</v>
      </c>
      <c r="H202">
        <f>IF(AND(G202=1,COUNTIFS($I$200:I202,I202,$G$200:G202,1)=1),1,0)</f>
        <v>0</v>
      </c>
      <c r="I202" t="str">
        <f t="shared" si="13"/>
        <v/>
      </c>
      <c r="BF202">
        <f t="shared" si="16"/>
        <v>0</v>
      </c>
      <c r="BG202">
        <f t="shared" si="17"/>
        <v>0</v>
      </c>
      <c r="BH202">
        <f t="shared" si="18"/>
        <v>0</v>
      </c>
      <c r="BI202">
        <f t="shared" si="19"/>
        <v>0</v>
      </c>
      <c r="BJ202">
        <f t="shared" si="20"/>
        <v>0</v>
      </c>
      <c r="BK202">
        <f t="shared" si="21"/>
        <v>0</v>
      </c>
      <c r="BL202">
        <f t="shared" si="22"/>
        <v>0</v>
      </c>
      <c r="BM202">
        <f t="shared" si="23"/>
        <v>0</v>
      </c>
      <c r="BN202">
        <f t="shared" si="24"/>
        <v>0</v>
      </c>
      <c r="BO202">
        <f t="shared" si="25"/>
        <v>0</v>
      </c>
      <c r="BP202">
        <f t="shared" si="26"/>
        <v>0</v>
      </c>
      <c r="BQ202">
        <f t="shared" si="27"/>
        <v>0</v>
      </c>
      <c r="BR202">
        <f t="shared" si="28"/>
        <v>0</v>
      </c>
      <c r="BS202">
        <f t="shared" si="29"/>
        <v>0</v>
      </c>
      <c r="BT202">
        <f t="shared" si="30"/>
        <v>0</v>
      </c>
      <c r="BU202">
        <f t="shared" si="31"/>
        <v>0</v>
      </c>
      <c r="BV202">
        <f t="shared" si="32"/>
        <v>0</v>
      </c>
      <c r="BW202">
        <f t="shared" si="33"/>
        <v>0</v>
      </c>
      <c r="CA202" t="str">
        <f>IF(3&gt;ROWS(DGArchive[模组]),"",IF(INDEX(DGArchive[模组],3)="","",INDEX(DGArchive[模组],3)))</f>
        <v/>
      </c>
      <c r="CB202" t="str">
        <f>IF(3&gt;ROWS(DGArchive[阶段]),"",IF(INDEX(DGArchive[阶段],3)="","",INDEX(DGArchive[阶段],3)))</f>
        <v/>
      </c>
      <c r="CC202" t="str">
        <f>IF(3&gt;ROWS(DGArchive[游戏内日期]),"",IF(INDEX(DGArchive[游戏内日期],3)="","",INDEX(DGArchive[游戏内日期],3)))</f>
        <v/>
      </c>
      <c r="CD202" t="str">
        <f>IF(3&gt;ROWS(DGArchive[目标]),"",IF(INDEX(DGArchive[目标],3)="","",INDEX(DGArchive[目标],3)))</f>
        <v/>
      </c>
      <c r="CE202" t="str">
        <f>IF(3&gt;ROWS(DGArchive[变更前]),"",IF(INDEX(DGArchive[变更前],3)="","",INDEX(DGArchive[变更前],3)))</f>
        <v/>
      </c>
      <c r="CF202" t="str">
        <f>IF(3&gt;ROWS(DGArchive[增减]),"",IF(INDEX(DGArchive[增减],3)="","",INDEX(DGArchive[增减],3)))</f>
        <v/>
      </c>
      <c r="CG202" t="str">
        <f>IF(3&gt;ROWS(DGArchive[变更后]),"",IF(INDEX(DGArchive[变更后],3)="","",INDEX(DGArchive[变更后],3)))</f>
        <v/>
      </c>
      <c r="CH202" t="str">
        <f>IF(3&gt;ROWS(DGArchive[事件／活动]),"",IF(INDEX(DGArchive[事件／活动],3)="","",INDEX(DGArchive[事件／活动],3)))</f>
        <v/>
      </c>
      <c r="CI202" t="str">
        <f>IF(3&gt;ROWS(DGArchive[记录编号]),"",IF(INDEX(DGArchive[记录编号],3)="","",INDEX(DGArchive[记录编号],3)))</f>
        <v/>
      </c>
      <c r="CL202">
        <f t="shared" si="14"/>
        <v>0</v>
      </c>
      <c r="CM202">
        <f>IF(AND(A202=$AO$5,B202=$AQ$3,H202=1),COUNTIFS($A$200:A202,$AO$5,$B$200:B202,$AQ$3,$H$200:H202,1),0)</f>
        <v>0</v>
      </c>
      <c r="CN202">
        <f>IF(CA202="",3,1001)</f>
        <v>3</v>
      </c>
      <c r="GA202">
        <f t="shared" si="34"/>
        <v>0</v>
      </c>
      <c r="GB202">
        <f t="shared" si="35"/>
        <v>0</v>
      </c>
      <c r="GC202">
        <f>IF(AND(C202="事件记录",H202=1),COUNTIFS($C$200:C202,"事件记录",$H$200:H202,1),0)</f>
        <v>0</v>
      </c>
      <c r="GD202">
        <f t="shared" si="15"/>
        <v>0</v>
      </c>
      <c r="GH202">
        <f>IF(AND(H202=1,A202=$GA$10,B202=$GA$11),COUNTIFS($A$200:A202,$GA$10,$B$200:B202,$GA$11,$H$200:H202,1),0)</f>
        <v>0</v>
      </c>
    </row>
    <row r="203" spans="1:190">
      <c r="A203" t="str">
        <f t="shared" si="6"/>
        <v/>
      </c>
      <c r="B203" t="str">
        <f t="shared" si="7"/>
        <v/>
      </c>
      <c r="C203" t="str">
        <f t="shared" si="8"/>
        <v/>
      </c>
      <c r="D203" t="str">
        <f t="shared" si="9"/>
        <v/>
      </c>
      <c r="E203">
        <f t="shared" si="10"/>
        <v>0</v>
      </c>
      <c r="F203" t="str">
        <f t="shared" si="11"/>
        <v/>
      </c>
      <c r="G203">
        <f t="shared" si="12"/>
        <v>0</v>
      </c>
      <c r="H203">
        <f>IF(AND(G203=1,COUNTIFS($I$200:I203,I203,$G$200:G203,1)=1),1,0)</f>
        <v>0</v>
      </c>
      <c r="I203" t="str">
        <f t="shared" si="13"/>
        <v/>
      </c>
      <c r="BF203">
        <f t="shared" si="16"/>
        <v>0</v>
      </c>
      <c r="BG203">
        <f t="shared" si="17"/>
        <v>0</v>
      </c>
      <c r="BH203">
        <f t="shared" si="18"/>
        <v>0</v>
      </c>
      <c r="BI203">
        <f t="shared" si="19"/>
        <v>0</v>
      </c>
      <c r="BJ203">
        <f t="shared" si="20"/>
        <v>0</v>
      </c>
      <c r="BK203">
        <f t="shared" si="21"/>
        <v>0</v>
      </c>
      <c r="BL203">
        <f t="shared" si="22"/>
        <v>0</v>
      </c>
      <c r="BM203">
        <f t="shared" si="23"/>
        <v>0</v>
      </c>
      <c r="BN203">
        <f t="shared" si="24"/>
        <v>0</v>
      </c>
      <c r="BO203">
        <f t="shared" si="25"/>
        <v>0</v>
      </c>
      <c r="BP203">
        <f t="shared" si="26"/>
        <v>0</v>
      </c>
      <c r="BQ203">
        <f t="shared" si="27"/>
        <v>0</v>
      </c>
      <c r="BR203">
        <f t="shared" si="28"/>
        <v>0</v>
      </c>
      <c r="BS203">
        <f t="shared" si="29"/>
        <v>0</v>
      </c>
      <c r="BT203">
        <f t="shared" si="30"/>
        <v>0</v>
      </c>
      <c r="BU203">
        <f t="shared" si="31"/>
        <v>0</v>
      </c>
      <c r="BV203">
        <f t="shared" si="32"/>
        <v>0</v>
      </c>
      <c r="BW203">
        <f t="shared" si="33"/>
        <v>0</v>
      </c>
      <c r="CA203" t="str">
        <f>IF(4&gt;ROWS(DGArchive[模组]),"",IF(INDEX(DGArchive[模组],4)="","",INDEX(DGArchive[模组],4)))</f>
        <v/>
      </c>
      <c r="CB203" t="str">
        <f>IF(4&gt;ROWS(DGArchive[阶段]),"",IF(INDEX(DGArchive[阶段],4)="","",INDEX(DGArchive[阶段],4)))</f>
        <v/>
      </c>
      <c r="CC203" t="str">
        <f>IF(4&gt;ROWS(DGArchive[游戏内日期]),"",IF(INDEX(DGArchive[游戏内日期],4)="","",INDEX(DGArchive[游戏内日期],4)))</f>
        <v/>
      </c>
      <c r="CD203" t="str">
        <f>IF(4&gt;ROWS(DGArchive[目标]),"",IF(INDEX(DGArchive[目标],4)="","",INDEX(DGArchive[目标],4)))</f>
        <v/>
      </c>
      <c r="CE203" t="str">
        <f>IF(4&gt;ROWS(DGArchive[变更前]),"",IF(INDEX(DGArchive[变更前],4)="","",INDEX(DGArchive[变更前],4)))</f>
        <v/>
      </c>
      <c r="CF203" t="str">
        <f>IF(4&gt;ROWS(DGArchive[增减]),"",IF(INDEX(DGArchive[增减],4)="","",INDEX(DGArchive[增减],4)))</f>
        <v/>
      </c>
      <c r="CG203" t="str">
        <f>IF(4&gt;ROWS(DGArchive[变更后]),"",IF(INDEX(DGArchive[变更后],4)="","",INDEX(DGArchive[变更后],4)))</f>
        <v/>
      </c>
      <c r="CH203" t="str">
        <f>IF(4&gt;ROWS(DGArchive[事件／活动]),"",IF(INDEX(DGArchive[事件／活动],4)="","",INDEX(DGArchive[事件／活动],4)))</f>
        <v/>
      </c>
      <c r="CI203" t="str">
        <f>IF(4&gt;ROWS(DGArchive[记录编号]),"",IF(INDEX(DGArchive[记录编号],4)="","",INDEX(DGArchive[记录编号],4)))</f>
        <v/>
      </c>
      <c r="CL203">
        <f t="shared" si="14"/>
        <v>0</v>
      </c>
      <c r="CM203">
        <f>IF(AND(A203=$AO$5,B203=$AQ$3,H203=1),COUNTIFS($A$200:A203,$AO$5,$B$200:B203,$AQ$3,$H$200:H203,1),0)</f>
        <v>0</v>
      </c>
      <c r="CN203">
        <f>IF(CA203="",4,1001)</f>
        <v>4</v>
      </c>
      <c r="GA203">
        <f t="shared" si="34"/>
        <v>0</v>
      </c>
      <c r="GB203">
        <f t="shared" si="35"/>
        <v>0</v>
      </c>
      <c r="GC203">
        <f>IF(AND(C203="事件记录",H203=1),COUNTIFS($C$200:C203,"事件记录",$H$200:H203,1),0)</f>
        <v>0</v>
      </c>
      <c r="GD203">
        <f t="shared" si="15"/>
        <v>0</v>
      </c>
      <c r="GH203">
        <f>IF(AND(H203=1,A203=$GA$10,B203=$GA$11),COUNTIFS($A$200:A203,$GA$10,$B$200:B203,$GA$11,$H$200:H203,1),0)</f>
        <v>0</v>
      </c>
    </row>
    <row r="204" spans="1:190">
      <c r="A204" t="str">
        <f t="shared" si="6"/>
        <v/>
      </c>
      <c r="B204" t="str">
        <f t="shared" si="7"/>
        <v/>
      </c>
      <c r="C204" t="str">
        <f t="shared" si="8"/>
        <v/>
      </c>
      <c r="D204" t="str">
        <f t="shared" si="9"/>
        <v/>
      </c>
      <c r="E204">
        <f t="shared" si="10"/>
        <v>0</v>
      </c>
      <c r="F204" t="str">
        <f t="shared" si="11"/>
        <v/>
      </c>
      <c r="G204">
        <f t="shared" si="12"/>
        <v>0</v>
      </c>
      <c r="H204">
        <f>IF(AND(G204=1,COUNTIFS($I$200:I204,I204,$G$200:G204,1)=1),1,0)</f>
        <v>0</v>
      </c>
      <c r="I204" t="str">
        <f t="shared" si="13"/>
        <v/>
      </c>
      <c r="BF204">
        <f t="shared" si="16"/>
        <v>0</v>
      </c>
      <c r="BG204">
        <f t="shared" si="17"/>
        <v>0</v>
      </c>
      <c r="BH204">
        <f t="shared" si="18"/>
        <v>0</v>
      </c>
      <c r="BI204">
        <f t="shared" si="19"/>
        <v>0</v>
      </c>
      <c r="BJ204">
        <f t="shared" si="20"/>
        <v>0</v>
      </c>
      <c r="BK204">
        <f t="shared" si="21"/>
        <v>0</v>
      </c>
      <c r="BL204">
        <f t="shared" si="22"/>
        <v>0</v>
      </c>
      <c r="BM204">
        <f t="shared" si="23"/>
        <v>0</v>
      </c>
      <c r="BN204">
        <f t="shared" si="24"/>
        <v>0</v>
      </c>
      <c r="BO204">
        <f t="shared" si="25"/>
        <v>0</v>
      </c>
      <c r="BP204">
        <f t="shared" si="26"/>
        <v>0</v>
      </c>
      <c r="BQ204">
        <f t="shared" si="27"/>
        <v>0</v>
      </c>
      <c r="BR204">
        <f t="shared" si="28"/>
        <v>0</v>
      </c>
      <c r="BS204">
        <f t="shared" si="29"/>
        <v>0</v>
      </c>
      <c r="BT204">
        <f t="shared" si="30"/>
        <v>0</v>
      </c>
      <c r="BU204">
        <f t="shared" si="31"/>
        <v>0</v>
      </c>
      <c r="BV204">
        <f t="shared" si="32"/>
        <v>0</v>
      </c>
      <c r="BW204">
        <f t="shared" si="33"/>
        <v>0</v>
      </c>
      <c r="CA204" t="str">
        <f>IF(5&gt;ROWS(DGArchive[模组]),"",IF(INDEX(DGArchive[模组],5)="","",INDEX(DGArchive[模组],5)))</f>
        <v/>
      </c>
      <c r="CB204" t="str">
        <f>IF(5&gt;ROWS(DGArchive[阶段]),"",IF(INDEX(DGArchive[阶段],5)="","",INDEX(DGArchive[阶段],5)))</f>
        <v/>
      </c>
      <c r="CC204" t="str">
        <f>IF(5&gt;ROWS(DGArchive[游戏内日期]),"",IF(INDEX(DGArchive[游戏内日期],5)="","",INDEX(DGArchive[游戏内日期],5)))</f>
        <v/>
      </c>
      <c r="CD204" t="str">
        <f>IF(5&gt;ROWS(DGArchive[目标]),"",IF(INDEX(DGArchive[目标],5)="","",INDEX(DGArchive[目标],5)))</f>
        <v/>
      </c>
      <c r="CE204" t="str">
        <f>IF(5&gt;ROWS(DGArchive[变更前]),"",IF(INDEX(DGArchive[变更前],5)="","",INDEX(DGArchive[变更前],5)))</f>
        <v/>
      </c>
      <c r="CF204" t="str">
        <f>IF(5&gt;ROWS(DGArchive[增减]),"",IF(INDEX(DGArchive[增减],5)="","",INDEX(DGArchive[增减],5)))</f>
        <v/>
      </c>
      <c r="CG204" t="str">
        <f>IF(5&gt;ROWS(DGArchive[变更后]),"",IF(INDEX(DGArchive[变更后],5)="","",INDEX(DGArchive[变更后],5)))</f>
        <v/>
      </c>
      <c r="CH204" t="str">
        <f>IF(5&gt;ROWS(DGArchive[事件／活动]),"",IF(INDEX(DGArchive[事件／活动],5)="","",INDEX(DGArchive[事件／活动],5)))</f>
        <v/>
      </c>
      <c r="CI204" t="str">
        <f>IF(5&gt;ROWS(DGArchive[记录编号]),"",IF(INDEX(DGArchive[记录编号],5)="","",INDEX(DGArchive[记录编号],5)))</f>
        <v/>
      </c>
      <c r="CL204">
        <f t="shared" si="14"/>
        <v>0</v>
      </c>
      <c r="CM204">
        <f>IF(AND(A204=$AO$5,B204=$AQ$3,H204=1),COUNTIFS($A$200:A204,$AO$5,$B$200:B204,$AQ$3,$H$200:H204,1),0)</f>
        <v>0</v>
      </c>
      <c r="CN204">
        <f>IF(CA204="",5,1001)</f>
        <v>5</v>
      </c>
      <c r="GA204">
        <f t="shared" si="34"/>
        <v>0</v>
      </c>
      <c r="GB204">
        <f t="shared" si="35"/>
        <v>0</v>
      </c>
      <c r="GC204">
        <f>IF(AND(C204="事件记录",H204=1),COUNTIFS($C$200:C204,"事件记录",$H$200:H204,1),0)</f>
        <v>0</v>
      </c>
      <c r="GD204">
        <f t="shared" si="15"/>
        <v>0</v>
      </c>
      <c r="GH204">
        <f>IF(AND(H204=1,A204=$GA$10,B204=$GA$11),COUNTIFS($A$200:A204,$GA$10,$B$200:B204,$GA$11,$H$200:H204,1),0)</f>
        <v>0</v>
      </c>
    </row>
    <row r="205" spans="1:190">
      <c r="A205" t="str">
        <f t="shared" si="6"/>
        <v/>
      </c>
      <c r="B205" t="str">
        <f t="shared" si="7"/>
        <v/>
      </c>
      <c r="C205" t="str">
        <f t="shared" si="8"/>
        <v/>
      </c>
      <c r="D205" t="str">
        <f t="shared" si="9"/>
        <v/>
      </c>
      <c r="E205">
        <f t="shared" si="10"/>
        <v>0</v>
      </c>
      <c r="F205" t="str">
        <f t="shared" si="11"/>
        <v/>
      </c>
      <c r="G205">
        <f t="shared" si="12"/>
        <v>0</v>
      </c>
      <c r="H205">
        <f>IF(AND(G205=1,COUNTIFS($I$200:I205,I205,$G$200:G205,1)=1),1,0)</f>
        <v>0</v>
      </c>
      <c r="I205" t="str">
        <f t="shared" si="13"/>
        <v/>
      </c>
      <c r="BF205">
        <f t="shared" si="16"/>
        <v>0</v>
      </c>
      <c r="BG205">
        <f t="shared" si="17"/>
        <v>0</v>
      </c>
      <c r="BH205">
        <f t="shared" si="18"/>
        <v>0</v>
      </c>
      <c r="BI205">
        <f t="shared" si="19"/>
        <v>0</v>
      </c>
      <c r="BJ205">
        <f t="shared" si="20"/>
        <v>0</v>
      </c>
      <c r="BK205">
        <f t="shared" si="21"/>
        <v>0</v>
      </c>
      <c r="BL205">
        <f t="shared" si="22"/>
        <v>0</v>
      </c>
      <c r="BM205">
        <f t="shared" si="23"/>
        <v>0</v>
      </c>
      <c r="BN205">
        <f t="shared" si="24"/>
        <v>0</v>
      </c>
      <c r="BO205">
        <f t="shared" si="25"/>
        <v>0</v>
      </c>
      <c r="BP205">
        <f t="shared" si="26"/>
        <v>0</v>
      </c>
      <c r="BQ205">
        <f t="shared" si="27"/>
        <v>0</v>
      </c>
      <c r="BR205">
        <f t="shared" si="28"/>
        <v>0</v>
      </c>
      <c r="BS205">
        <f t="shared" si="29"/>
        <v>0</v>
      </c>
      <c r="BT205">
        <f t="shared" si="30"/>
        <v>0</v>
      </c>
      <c r="BU205">
        <f t="shared" si="31"/>
        <v>0</v>
      </c>
      <c r="BV205">
        <f t="shared" si="32"/>
        <v>0</v>
      </c>
      <c r="BW205">
        <f t="shared" si="33"/>
        <v>0</v>
      </c>
      <c r="CA205" t="str">
        <f>IF(6&gt;ROWS(DGArchive[模组]),"",IF(INDEX(DGArchive[模组],6)="","",INDEX(DGArchive[模组],6)))</f>
        <v/>
      </c>
      <c r="CB205" t="str">
        <f>IF(6&gt;ROWS(DGArchive[阶段]),"",IF(INDEX(DGArchive[阶段],6)="","",INDEX(DGArchive[阶段],6)))</f>
        <v/>
      </c>
      <c r="CC205" t="str">
        <f>IF(6&gt;ROWS(DGArchive[游戏内日期]),"",IF(INDEX(DGArchive[游戏内日期],6)="","",INDEX(DGArchive[游戏内日期],6)))</f>
        <v/>
      </c>
      <c r="CD205" t="str">
        <f>IF(6&gt;ROWS(DGArchive[目标]),"",IF(INDEX(DGArchive[目标],6)="","",INDEX(DGArchive[目标],6)))</f>
        <v/>
      </c>
      <c r="CE205" t="str">
        <f>IF(6&gt;ROWS(DGArchive[变更前]),"",IF(INDEX(DGArchive[变更前],6)="","",INDEX(DGArchive[变更前],6)))</f>
        <v/>
      </c>
      <c r="CF205" t="str">
        <f>IF(6&gt;ROWS(DGArchive[增减]),"",IF(INDEX(DGArchive[增减],6)="","",INDEX(DGArchive[增减],6)))</f>
        <v/>
      </c>
      <c r="CG205" t="str">
        <f>IF(6&gt;ROWS(DGArchive[变更后]),"",IF(INDEX(DGArchive[变更后],6)="","",INDEX(DGArchive[变更后],6)))</f>
        <v/>
      </c>
      <c r="CH205" t="str">
        <f>IF(6&gt;ROWS(DGArchive[事件／活动]),"",IF(INDEX(DGArchive[事件／活动],6)="","",INDEX(DGArchive[事件／活动],6)))</f>
        <v/>
      </c>
      <c r="CI205" t="str">
        <f>IF(6&gt;ROWS(DGArchive[记录编号]),"",IF(INDEX(DGArchive[记录编号],6)="","",INDEX(DGArchive[记录编号],6)))</f>
        <v/>
      </c>
      <c r="CL205">
        <f t="shared" si="14"/>
        <v>0</v>
      </c>
      <c r="CM205">
        <f>IF(AND(A205=$AO$5,B205=$AQ$3,H205=1),COUNTIFS($A$200:A205,$AO$5,$B$200:B205,$AQ$3,$H$200:H205,1),0)</f>
        <v>0</v>
      </c>
      <c r="CN205">
        <f>IF(CA205="",6,1001)</f>
        <v>6</v>
      </c>
      <c r="GA205">
        <f t="shared" si="34"/>
        <v>0</v>
      </c>
      <c r="GB205">
        <f t="shared" si="35"/>
        <v>0</v>
      </c>
      <c r="GC205">
        <f>IF(AND(C205="事件记录",H205=1),COUNTIFS($C$200:C205,"事件记录",$H$200:H205,1),0)</f>
        <v>0</v>
      </c>
      <c r="GD205">
        <f t="shared" si="15"/>
        <v>0</v>
      </c>
      <c r="GH205">
        <f>IF(AND(H205=1,A205=$GA$10,B205=$GA$11),COUNTIFS($A$200:A205,$GA$10,$B$200:B205,$GA$11,$H$200:H205,1),0)</f>
        <v>0</v>
      </c>
    </row>
    <row r="206" spans="1:190">
      <c r="A206" t="str">
        <f t="shared" si="6"/>
        <v/>
      </c>
      <c r="B206" t="str">
        <f t="shared" si="7"/>
        <v/>
      </c>
      <c r="C206" t="str">
        <f t="shared" si="8"/>
        <v/>
      </c>
      <c r="D206" t="str">
        <f t="shared" si="9"/>
        <v/>
      </c>
      <c r="E206">
        <f t="shared" si="10"/>
        <v>0</v>
      </c>
      <c r="F206" t="str">
        <f t="shared" si="11"/>
        <v/>
      </c>
      <c r="G206">
        <f t="shared" si="12"/>
        <v>0</v>
      </c>
      <c r="H206">
        <f>IF(AND(G206=1,COUNTIFS($I$200:I206,I206,$G$200:G206,1)=1),1,0)</f>
        <v>0</v>
      </c>
      <c r="I206" t="str">
        <f t="shared" si="13"/>
        <v/>
      </c>
      <c r="BF206">
        <f t="shared" si="16"/>
        <v>0</v>
      </c>
      <c r="BG206">
        <f t="shared" si="17"/>
        <v>0</v>
      </c>
      <c r="BH206">
        <f t="shared" si="18"/>
        <v>0</v>
      </c>
      <c r="BI206">
        <f t="shared" si="19"/>
        <v>0</v>
      </c>
      <c r="BJ206">
        <f t="shared" si="20"/>
        <v>0</v>
      </c>
      <c r="BK206">
        <f t="shared" si="21"/>
        <v>0</v>
      </c>
      <c r="BL206">
        <f t="shared" si="22"/>
        <v>0</v>
      </c>
      <c r="BM206">
        <f t="shared" si="23"/>
        <v>0</v>
      </c>
      <c r="BN206">
        <f t="shared" si="24"/>
        <v>0</v>
      </c>
      <c r="BO206">
        <f t="shared" si="25"/>
        <v>0</v>
      </c>
      <c r="BP206">
        <f t="shared" si="26"/>
        <v>0</v>
      </c>
      <c r="BQ206">
        <f t="shared" si="27"/>
        <v>0</v>
      </c>
      <c r="BR206">
        <f t="shared" si="28"/>
        <v>0</v>
      </c>
      <c r="BS206">
        <f t="shared" si="29"/>
        <v>0</v>
      </c>
      <c r="BT206">
        <f t="shared" si="30"/>
        <v>0</v>
      </c>
      <c r="BU206">
        <f t="shared" si="31"/>
        <v>0</v>
      </c>
      <c r="BV206">
        <f t="shared" si="32"/>
        <v>0</v>
      </c>
      <c r="BW206">
        <f t="shared" si="33"/>
        <v>0</v>
      </c>
      <c r="CA206" t="str">
        <f>IF(7&gt;ROWS(DGArchive[模组]),"",IF(INDEX(DGArchive[模组],7)="","",INDEX(DGArchive[模组],7)))</f>
        <v/>
      </c>
      <c r="CB206" t="str">
        <f>IF(7&gt;ROWS(DGArchive[阶段]),"",IF(INDEX(DGArchive[阶段],7)="","",INDEX(DGArchive[阶段],7)))</f>
        <v/>
      </c>
      <c r="CC206" t="str">
        <f>IF(7&gt;ROWS(DGArchive[游戏内日期]),"",IF(INDEX(DGArchive[游戏内日期],7)="","",INDEX(DGArchive[游戏内日期],7)))</f>
        <v/>
      </c>
      <c r="CD206" t="str">
        <f>IF(7&gt;ROWS(DGArchive[目标]),"",IF(INDEX(DGArchive[目标],7)="","",INDEX(DGArchive[目标],7)))</f>
        <v/>
      </c>
      <c r="CE206" t="str">
        <f>IF(7&gt;ROWS(DGArchive[变更前]),"",IF(INDEX(DGArchive[变更前],7)="","",INDEX(DGArchive[变更前],7)))</f>
        <v/>
      </c>
      <c r="CF206" t="str">
        <f>IF(7&gt;ROWS(DGArchive[增减]),"",IF(INDEX(DGArchive[增减],7)="","",INDEX(DGArchive[增减],7)))</f>
        <v/>
      </c>
      <c r="CG206" t="str">
        <f>IF(7&gt;ROWS(DGArchive[变更后]),"",IF(INDEX(DGArchive[变更后],7)="","",INDEX(DGArchive[变更后],7)))</f>
        <v/>
      </c>
      <c r="CH206" t="str">
        <f>IF(7&gt;ROWS(DGArchive[事件／活动]),"",IF(INDEX(DGArchive[事件／活动],7)="","",INDEX(DGArchive[事件／活动],7)))</f>
        <v/>
      </c>
      <c r="CI206" t="str">
        <f>IF(7&gt;ROWS(DGArchive[记录编号]),"",IF(INDEX(DGArchive[记录编号],7)="","",INDEX(DGArchive[记录编号],7)))</f>
        <v/>
      </c>
      <c r="CL206">
        <f t="shared" si="14"/>
        <v>0</v>
      </c>
      <c r="CM206">
        <f>IF(AND(A206=$AO$5,B206=$AQ$3,H206=1),COUNTIFS($A$200:A206,$AO$5,$B$200:B206,$AQ$3,$H$200:H206,1),0)</f>
        <v>0</v>
      </c>
      <c r="CN206">
        <f>IF(CA206="",7,1001)</f>
        <v>7</v>
      </c>
      <c r="GA206">
        <f t="shared" si="34"/>
        <v>0</v>
      </c>
      <c r="GB206">
        <f t="shared" si="35"/>
        <v>0</v>
      </c>
      <c r="GC206">
        <f>IF(AND(C206="事件记录",H206=1),COUNTIFS($C$200:C206,"事件记录",$H$200:H206,1),0)</f>
        <v>0</v>
      </c>
      <c r="GD206">
        <f t="shared" si="15"/>
        <v>0</v>
      </c>
      <c r="GH206">
        <f>IF(AND(H206=1,A206=$GA$10,B206=$GA$11),COUNTIFS($A$200:A206,$GA$10,$B$200:B206,$GA$11,$H$200:H206,1),0)</f>
        <v>0</v>
      </c>
    </row>
    <row r="207" spans="1:190">
      <c r="A207" t="str">
        <f t="shared" si="6"/>
        <v/>
      </c>
      <c r="B207" t="str">
        <f t="shared" si="7"/>
        <v/>
      </c>
      <c r="C207" t="str">
        <f t="shared" si="8"/>
        <v/>
      </c>
      <c r="D207" t="str">
        <f t="shared" si="9"/>
        <v/>
      </c>
      <c r="E207">
        <f t="shared" si="10"/>
        <v>0</v>
      </c>
      <c r="F207" t="str">
        <f t="shared" si="11"/>
        <v/>
      </c>
      <c r="G207">
        <f t="shared" si="12"/>
        <v>0</v>
      </c>
      <c r="H207">
        <f>IF(AND(G207=1,COUNTIFS($I$200:I207,I207,$G$200:G207,1)=1),1,0)</f>
        <v>0</v>
      </c>
      <c r="I207" t="str">
        <f t="shared" si="13"/>
        <v/>
      </c>
      <c r="BF207">
        <f t="shared" si="16"/>
        <v>0</v>
      </c>
      <c r="BG207">
        <f t="shared" si="17"/>
        <v>0</v>
      </c>
      <c r="BH207">
        <f t="shared" si="18"/>
        <v>0</v>
      </c>
      <c r="BI207">
        <f t="shared" si="19"/>
        <v>0</v>
      </c>
      <c r="BJ207">
        <f t="shared" si="20"/>
        <v>0</v>
      </c>
      <c r="BK207">
        <f t="shared" si="21"/>
        <v>0</v>
      </c>
      <c r="BL207">
        <f t="shared" si="22"/>
        <v>0</v>
      </c>
      <c r="BM207">
        <f t="shared" si="23"/>
        <v>0</v>
      </c>
      <c r="BN207">
        <f t="shared" si="24"/>
        <v>0</v>
      </c>
      <c r="BO207">
        <f t="shared" si="25"/>
        <v>0</v>
      </c>
      <c r="BP207">
        <f t="shared" si="26"/>
        <v>0</v>
      </c>
      <c r="BQ207">
        <f t="shared" si="27"/>
        <v>0</v>
      </c>
      <c r="BR207">
        <f t="shared" si="28"/>
        <v>0</v>
      </c>
      <c r="BS207">
        <f t="shared" si="29"/>
        <v>0</v>
      </c>
      <c r="BT207">
        <f t="shared" si="30"/>
        <v>0</v>
      </c>
      <c r="BU207">
        <f t="shared" si="31"/>
        <v>0</v>
      </c>
      <c r="BV207">
        <f t="shared" si="32"/>
        <v>0</v>
      </c>
      <c r="BW207">
        <f t="shared" si="33"/>
        <v>0</v>
      </c>
      <c r="CA207" t="str">
        <f>IF(8&gt;ROWS(DGArchive[模组]),"",IF(INDEX(DGArchive[模组],8)="","",INDEX(DGArchive[模组],8)))</f>
        <v/>
      </c>
      <c r="CB207" t="str">
        <f>IF(8&gt;ROWS(DGArchive[阶段]),"",IF(INDEX(DGArchive[阶段],8)="","",INDEX(DGArchive[阶段],8)))</f>
        <v/>
      </c>
      <c r="CC207" t="str">
        <f>IF(8&gt;ROWS(DGArchive[游戏内日期]),"",IF(INDEX(DGArchive[游戏内日期],8)="","",INDEX(DGArchive[游戏内日期],8)))</f>
        <v/>
      </c>
      <c r="CD207" t="str">
        <f>IF(8&gt;ROWS(DGArchive[目标]),"",IF(INDEX(DGArchive[目标],8)="","",INDEX(DGArchive[目标],8)))</f>
        <v/>
      </c>
      <c r="CE207" t="str">
        <f>IF(8&gt;ROWS(DGArchive[变更前]),"",IF(INDEX(DGArchive[变更前],8)="","",INDEX(DGArchive[变更前],8)))</f>
        <v/>
      </c>
      <c r="CF207" t="str">
        <f>IF(8&gt;ROWS(DGArchive[增减]),"",IF(INDEX(DGArchive[增减],8)="","",INDEX(DGArchive[增减],8)))</f>
        <v/>
      </c>
      <c r="CG207" t="str">
        <f>IF(8&gt;ROWS(DGArchive[变更后]),"",IF(INDEX(DGArchive[变更后],8)="","",INDEX(DGArchive[变更后],8)))</f>
        <v/>
      </c>
      <c r="CH207" t="str">
        <f>IF(8&gt;ROWS(DGArchive[事件／活动]),"",IF(INDEX(DGArchive[事件／活动],8)="","",INDEX(DGArchive[事件／活动],8)))</f>
        <v/>
      </c>
      <c r="CI207" t="str">
        <f>IF(8&gt;ROWS(DGArchive[记录编号]),"",IF(INDEX(DGArchive[记录编号],8)="","",INDEX(DGArchive[记录编号],8)))</f>
        <v/>
      </c>
      <c r="CL207">
        <f t="shared" si="14"/>
        <v>0</v>
      </c>
      <c r="CM207">
        <f>IF(AND(A207=$AO$5,B207=$AQ$3,H207=1),COUNTIFS($A$200:A207,$AO$5,$B$200:B207,$AQ$3,$H$200:H207,1),0)</f>
        <v>0</v>
      </c>
      <c r="CN207">
        <f>IF(CA207="",8,1001)</f>
        <v>8</v>
      </c>
      <c r="GA207">
        <f t="shared" si="34"/>
        <v>0</v>
      </c>
      <c r="GB207">
        <f t="shared" si="35"/>
        <v>0</v>
      </c>
      <c r="GC207">
        <f>IF(AND(C207="事件记录",H207=1),COUNTIFS($C$200:C207,"事件记录",$H$200:H207,1),0)</f>
        <v>0</v>
      </c>
      <c r="GD207">
        <f t="shared" si="15"/>
        <v>0</v>
      </c>
      <c r="GH207">
        <f>IF(AND(H207=1,A207=$GA$10,B207=$GA$11),COUNTIFS($A$200:A207,$GA$10,$B$200:B207,$GA$11,$H$200:H207,1),0)</f>
        <v>0</v>
      </c>
    </row>
    <row r="208" spans="1:190">
      <c r="A208" t="str">
        <f t="shared" si="6"/>
        <v/>
      </c>
      <c r="B208" t="str">
        <f t="shared" si="7"/>
        <v/>
      </c>
      <c r="C208" t="str">
        <f t="shared" si="8"/>
        <v/>
      </c>
      <c r="D208" t="str">
        <f t="shared" si="9"/>
        <v/>
      </c>
      <c r="E208">
        <f t="shared" si="10"/>
        <v>0</v>
      </c>
      <c r="F208" t="str">
        <f t="shared" si="11"/>
        <v/>
      </c>
      <c r="G208">
        <f t="shared" si="12"/>
        <v>0</v>
      </c>
      <c r="H208">
        <f>IF(AND(G208=1,COUNTIFS($I$200:I208,I208,$G$200:G208,1)=1),1,0)</f>
        <v>0</v>
      </c>
      <c r="I208" t="str">
        <f t="shared" si="13"/>
        <v/>
      </c>
      <c r="BF208">
        <f t="shared" si="16"/>
        <v>0</v>
      </c>
      <c r="BG208">
        <f t="shared" si="17"/>
        <v>0</v>
      </c>
      <c r="BH208">
        <f t="shared" si="18"/>
        <v>0</v>
      </c>
      <c r="BI208">
        <f t="shared" si="19"/>
        <v>0</v>
      </c>
      <c r="BJ208">
        <f t="shared" si="20"/>
        <v>0</v>
      </c>
      <c r="BK208">
        <f t="shared" si="21"/>
        <v>0</v>
      </c>
      <c r="BL208">
        <f t="shared" si="22"/>
        <v>0</v>
      </c>
      <c r="BM208">
        <f t="shared" si="23"/>
        <v>0</v>
      </c>
      <c r="BN208">
        <f t="shared" si="24"/>
        <v>0</v>
      </c>
      <c r="BO208">
        <f t="shared" si="25"/>
        <v>0</v>
      </c>
      <c r="BP208">
        <f t="shared" si="26"/>
        <v>0</v>
      </c>
      <c r="BQ208">
        <f t="shared" si="27"/>
        <v>0</v>
      </c>
      <c r="BR208">
        <f t="shared" si="28"/>
        <v>0</v>
      </c>
      <c r="BS208">
        <f t="shared" si="29"/>
        <v>0</v>
      </c>
      <c r="BT208">
        <f t="shared" si="30"/>
        <v>0</v>
      </c>
      <c r="BU208">
        <f t="shared" si="31"/>
        <v>0</v>
      </c>
      <c r="BV208">
        <f t="shared" si="32"/>
        <v>0</v>
      </c>
      <c r="BW208">
        <f t="shared" si="33"/>
        <v>0</v>
      </c>
      <c r="CA208" t="str">
        <f>IF(9&gt;ROWS(DGArchive[模组]),"",IF(INDEX(DGArchive[模组],9)="","",INDEX(DGArchive[模组],9)))</f>
        <v/>
      </c>
      <c r="CB208" t="str">
        <f>IF(9&gt;ROWS(DGArchive[阶段]),"",IF(INDEX(DGArchive[阶段],9)="","",INDEX(DGArchive[阶段],9)))</f>
        <v/>
      </c>
      <c r="CC208" t="str">
        <f>IF(9&gt;ROWS(DGArchive[游戏内日期]),"",IF(INDEX(DGArchive[游戏内日期],9)="","",INDEX(DGArchive[游戏内日期],9)))</f>
        <v/>
      </c>
      <c r="CD208" t="str">
        <f>IF(9&gt;ROWS(DGArchive[目标]),"",IF(INDEX(DGArchive[目标],9)="","",INDEX(DGArchive[目标],9)))</f>
        <v/>
      </c>
      <c r="CE208" t="str">
        <f>IF(9&gt;ROWS(DGArchive[变更前]),"",IF(INDEX(DGArchive[变更前],9)="","",INDEX(DGArchive[变更前],9)))</f>
        <v/>
      </c>
      <c r="CF208" t="str">
        <f>IF(9&gt;ROWS(DGArchive[增减]),"",IF(INDEX(DGArchive[增减],9)="","",INDEX(DGArchive[增减],9)))</f>
        <v/>
      </c>
      <c r="CG208" t="str">
        <f>IF(9&gt;ROWS(DGArchive[变更后]),"",IF(INDEX(DGArchive[变更后],9)="","",INDEX(DGArchive[变更后],9)))</f>
        <v/>
      </c>
      <c r="CH208" t="str">
        <f>IF(9&gt;ROWS(DGArchive[事件／活动]),"",IF(INDEX(DGArchive[事件／活动],9)="","",INDEX(DGArchive[事件／活动],9)))</f>
        <v/>
      </c>
      <c r="CI208" t="str">
        <f>IF(9&gt;ROWS(DGArchive[记录编号]),"",IF(INDEX(DGArchive[记录编号],9)="","",INDEX(DGArchive[记录编号],9)))</f>
        <v/>
      </c>
      <c r="CL208">
        <f t="shared" si="14"/>
        <v>0</v>
      </c>
      <c r="CM208">
        <f>IF(AND(A208=$AO$5,B208=$AQ$3,H208=1),COUNTIFS($A$200:A208,$AO$5,$B$200:B208,$AQ$3,$H$200:H208,1),0)</f>
        <v>0</v>
      </c>
      <c r="CN208">
        <f>IF(CA208="",9,1001)</f>
        <v>9</v>
      </c>
      <c r="GA208">
        <f t="shared" si="34"/>
        <v>0</v>
      </c>
      <c r="GB208">
        <f t="shared" si="35"/>
        <v>0</v>
      </c>
      <c r="GC208">
        <f>IF(AND(C208="事件记录",H208=1),COUNTIFS($C$200:C208,"事件记录",$H$200:H208,1),0)</f>
        <v>0</v>
      </c>
      <c r="GD208">
        <f t="shared" si="15"/>
        <v>0</v>
      </c>
      <c r="GH208">
        <f>IF(AND(H208=1,A208=$GA$10,B208=$GA$11),COUNTIFS($A$200:A208,$GA$10,$B$200:B208,$GA$11,$H$200:H208,1),0)</f>
        <v>0</v>
      </c>
    </row>
    <row r="209" spans="1:190">
      <c r="A209" t="str">
        <f t="shared" si="6"/>
        <v/>
      </c>
      <c r="B209" t="str">
        <f t="shared" si="7"/>
        <v/>
      </c>
      <c r="C209" t="str">
        <f t="shared" si="8"/>
        <v/>
      </c>
      <c r="D209" t="str">
        <f t="shared" si="9"/>
        <v/>
      </c>
      <c r="E209">
        <f t="shared" si="10"/>
        <v>0</v>
      </c>
      <c r="F209" t="str">
        <f t="shared" si="11"/>
        <v/>
      </c>
      <c r="G209">
        <f t="shared" si="12"/>
        <v>0</v>
      </c>
      <c r="H209">
        <f>IF(AND(G209=1,COUNTIFS($I$200:I209,I209,$G$200:G209,1)=1),1,0)</f>
        <v>0</v>
      </c>
      <c r="I209" t="str">
        <f t="shared" si="13"/>
        <v/>
      </c>
      <c r="BF209">
        <f t="shared" si="16"/>
        <v>0</v>
      </c>
      <c r="BG209">
        <f t="shared" si="17"/>
        <v>0</v>
      </c>
      <c r="BH209">
        <f t="shared" si="18"/>
        <v>0</v>
      </c>
      <c r="BI209">
        <f t="shared" si="19"/>
        <v>0</v>
      </c>
      <c r="BJ209">
        <f t="shared" si="20"/>
        <v>0</v>
      </c>
      <c r="BK209">
        <f t="shared" si="21"/>
        <v>0</v>
      </c>
      <c r="BL209">
        <f t="shared" si="22"/>
        <v>0</v>
      </c>
      <c r="BM209">
        <f t="shared" si="23"/>
        <v>0</v>
      </c>
      <c r="BN209">
        <f t="shared" si="24"/>
        <v>0</v>
      </c>
      <c r="BO209">
        <f t="shared" si="25"/>
        <v>0</v>
      </c>
      <c r="BP209">
        <f t="shared" si="26"/>
        <v>0</v>
      </c>
      <c r="BQ209">
        <f t="shared" si="27"/>
        <v>0</v>
      </c>
      <c r="BR209">
        <f t="shared" si="28"/>
        <v>0</v>
      </c>
      <c r="BS209">
        <f t="shared" si="29"/>
        <v>0</v>
      </c>
      <c r="BT209">
        <f t="shared" si="30"/>
        <v>0</v>
      </c>
      <c r="BU209">
        <f t="shared" si="31"/>
        <v>0</v>
      </c>
      <c r="BV209">
        <f t="shared" si="32"/>
        <v>0</v>
      </c>
      <c r="BW209">
        <f t="shared" si="33"/>
        <v>0</v>
      </c>
      <c r="CA209" t="str">
        <f>IF(10&gt;ROWS(DGArchive[模组]),"",IF(INDEX(DGArchive[模组],10)="","",INDEX(DGArchive[模组],10)))</f>
        <v/>
      </c>
      <c r="CB209" t="str">
        <f>IF(10&gt;ROWS(DGArchive[阶段]),"",IF(INDEX(DGArchive[阶段],10)="","",INDEX(DGArchive[阶段],10)))</f>
        <v/>
      </c>
      <c r="CC209" t="str">
        <f>IF(10&gt;ROWS(DGArchive[游戏内日期]),"",IF(INDEX(DGArchive[游戏内日期],10)="","",INDEX(DGArchive[游戏内日期],10)))</f>
        <v/>
      </c>
      <c r="CD209" t="str">
        <f>IF(10&gt;ROWS(DGArchive[目标]),"",IF(INDEX(DGArchive[目标],10)="","",INDEX(DGArchive[目标],10)))</f>
        <v/>
      </c>
      <c r="CE209" t="str">
        <f>IF(10&gt;ROWS(DGArchive[变更前]),"",IF(INDEX(DGArchive[变更前],10)="","",INDEX(DGArchive[变更前],10)))</f>
        <v/>
      </c>
      <c r="CF209" t="str">
        <f>IF(10&gt;ROWS(DGArchive[增减]),"",IF(INDEX(DGArchive[增减],10)="","",INDEX(DGArchive[增减],10)))</f>
        <v/>
      </c>
      <c r="CG209" t="str">
        <f>IF(10&gt;ROWS(DGArchive[变更后]),"",IF(INDEX(DGArchive[变更后],10)="","",INDEX(DGArchive[变更后],10)))</f>
        <v/>
      </c>
      <c r="CH209" t="str">
        <f>IF(10&gt;ROWS(DGArchive[事件／活动]),"",IF(INDEX(DGArchive[事件／活动],10)="","",INDEX(DGArchive[事件／活动],10)))</f>
        <v/>
      </c>
      <c r="CI209" t="str">
        <f>IF(10&gt;ROWS(DGArchive[记录编号]),"",IF(INDEX(DGArchive[记录编号],10)="","",INDEX(DGArchive[记录编号],10)))</f>
        <v/>
      </c>
      <c r="CL209">
        <f t="shared" si="14"/>
        <v>0</v>
      </c>
      <c r="CM209">
        <f>IF(AND(A209=$AO$5,B209=$AQ$3,H209=1),COUNTIFS($A$200:A209,$AO$5,$B$200:B209,$AQ$3,$H$200:H209,1),0)</f>
        <v>0</v>
      </c>
      <c r="CN209">
        <f>IF(CA209="",10,1001)</f>
        <v>10</v>
      </c>
      <c r="GA209">
        <f t="shared" si="34"/>
        <v>0</v>
      </c>
      <c r="GB209">
        <f t="shared" si="35"/>
        <v>0</v>
      </c>
      <c r="GC209">
        <f>IF(AND(C209="事件记录",H209=1),COUNTIFS($C$200:C209,"事件记录",$H$200:H209,1),0)</f>
        <v>0</v>
      </c>
      <c r="GD209">
        <f t="shared" si="15"/>
        <v>0</v>
      </c>
      <c r="GH209">
        <f>IF(AND(H209=1,A209=$GA$10,B209=$GA$11),COUNTIFS($A$200:A209,$GA$10,$B$200:B209,$GA$11,$H$200:H209,1),0)</f>
        <v>0</v>
      </c>
    </row>
    <row r="210" spans="1:190">
      <c r="A210" t="str">
        <f t="shared" si="6"/>
        <v/>
      </c>
      <c r="B210" t="str">
        <f t="shared" si="7"/>
        <v/>
      </c>
      <c r="C210" t="str">
        <f t="shared" si="8"/>
        <v/>
      </c>
      <c r="D210" t="str">
        <f t="shared" si="9"/>
        <v/>
      </c>
      <c r="E210">
        <f t="shared" si="10"/>
        <v>0</v>
      </c>
      <c r="F210" t="str">
        <f t="shared" si="11"/>
        <v/>
      </c>
      <c r="G210">
        <f t="shared" si="12"/>
        <v>0</v>
      </c>
      <c r="H210">
        <f>IF(AND(G210=1,COUNTIFS($I$200:I210,I210,$G$200:G210,1)=1),1,0)</f>
        <v>0</v>
      </c>
      <c r="I210" t="str">
        <f t="shared" si="13"/>
        <v/>
      </c>
      <c r="BF210">
        <f t="shared" si="16"/>
        <v>0</v>
      </c>
      <c r="BG210">
        <f t="shared" si="17"/>
        <v>0</v>
      </c>
      <c r="BH210">
        <f t="shared" si="18"/>
        <v>0</v>
      </c>
      <c r="BI210">
        <f t="shared" si="19"/>
        <v>0</v>
      </c>
      <c r="BJ210">
        <f t="shared" si="20"/>
        <v>0</v>
      </c>
      <c r="BK210">
        <f t="shared" si="21"/>
        <v>0</v>
      </c>
      <c r="BL210">
        <f t="shared" si="22"/>
        <v>0</v>
      </c>
      <c r="BM210">
        <f t="shared" si="23"/>
        <v>0</v>
      </c>
      <c r="BN210">
        <f t="shared" si="24"/>
        <v>0</v>
      </c>
      <c r="BO210">
        <f t="shared" si="25"/>
        <v>0</v>
      </c>
      <c r="BP210">
        <f t="shared" si="26"/>
        <v>0</v>
      </c>
      <c r="BQ210">
        <f t="shared" si="27"/>
        <v>0</v>
      </c>
      <c r="BR210">
        <f t="shared" si="28"/>
        <v>0</v>
      </c>
      <c r="BS210">
        <f t="shared" si="29"/>
        <v>0</v>
      </c>
      <c r="BT210">
        <f t="shared" si="30"/>
        <v>0</v>
      </c>
      <c r="BU210">
        <f t="shared" si="31"/>
        <v>0</v>
      </c>
      <c r="BV210">
        <f t="shared" si="32"/>
        <v>0</v>
      </c>
      <c r="BW210">
        <f t="shared" si="33"/>
        <v>0</v>
      </c>
      <c r="CA210" t="str">
        <f>IF(11&gt;ROWS(DGArchive[模组]),"",IF(INDEX(DGArchive[模组],11)="","",INDEX(DGArchive[模组],11)))</f>
        <v/>
      </c>
      <c r="CB210" t="str">
        <f>IF(11&gt;ROWS(DGArchive[阶段]),"",IF(INDEX(DGArchive[阶段],11)="","",INDEX(DGArchive[阶段],11)))</f>
        <v/>
      </c>
      <c r="CC210" t="str">
        <f>IF(11&gt;ROWS(DGArchive[游戏内日期]),"",IF(INDEX(DGArchive[游戏内日期],11)="","",INDEX(DGArchive[游戏内日期],11)))</f>
        <v/>
      </c>
      <c r="CD210" t="str">
        <f>IF(11&gt;ROWS(DGArchive[目标]),"",IF(INDEX(DGArchive[目标],11)="","",INDEX(DGArchive[目标],11)))</f>
        <v/>
      </c>
      <c r="CE210" t="str">
        <f>IF(11&gt;ROWS(DGArchive[变更前]),"",IF(INDEX(DGArchive[变更前],11)="","",INDEX(DGArchive[变更前],11)))</f>
        <v/>
      </c>
      <c r="CF210" t="str">
        <f>IF(11&gt;ROWS(DGArchive[增减]),"",IF(INDEX(DGArchive[增减],11)="","",INDEX(DGArchive[增减],11)))</f>
        <v/>
      </c>
      <c r="CG210" t="str">
        <f>IF(11&gt;ROWS(DGArchive[变更后]),"",IF(INDEX(DGArchive[变更后],11)="","",INDEX(DGArchive[变更后],11)))</f>
        <v/>
      </c>
      <c r="CH210" t="str">
        <f>IF(11&gt;ROWS(DGArchive[事件／活动]),"",IF(INDEX(DGArchive[事件／活动],11)="","",INDEX(DGArchive[事件／活动],11)))</f>
        <v/>
      </c>
      <c r="CI210" t="str">
        <f>IF(11&gt;ROWS(DGArchive[记录编号]),"",IF(INDEX(DGArchive[记录编号],11)="","",INDEX(DGArchive[记录编号],11)))</f>
        <v/>
      </c>
      <c r="CL210">
        <f t="shared" si="14"/>
        <v>0</v>
      </c>
      <c r="CM210">
        <f>IF(AND(A210=$AO$5,B210=$AQ$3,H210=1),COUNTIFS($A$200:A210,$AO$5,$B$200:B210,$AQ$3,$H$200:H210,1),0)</f>
        <v>0</v>
      </c>
      <c r="CN210">
        <f>IF(CA210="",11,1001)</f>
        <v>11</v>
      </c>
      <c r="GA210">
        <f t="shared" si="34"/>
        <v>0</v>
      </c>
      <c r="GB210">
        <f t="shared" si="35"/>
        <v>0</v>
      </c>
      <c r="GC210">
        <f>IF(AND(C210="事件记录",H210=1),COUNTIFS($C$200:C210,"事件记录",$H$200:H210,1),0)</f>
        <v>0</v>
      </c>
      <c r="GD210">
        <f t="shared" si="15"/>
        <v>0</v>
      </c>
      <c r="GH210">
        <f>IF(AND(H210=1,A210=$GA$10,B210=$GA$11),COUNTIFS($A$200:A210,$GA$10,$B$200:B210,$GA$11,$H$200:H210,1),0)</f>
        <v>0</v>
      </c>
    </row>
    <row r="211" spans="1:190">
      <c r="A211" t="str">
        <f t="shared" si="6"/>
        <v/>
      </c>
      <c r="B211" t="str">
        <f t="shared" si="7"/>
        <v/>
      </c>
      <c r="C211" t="str">
        <f t="shared" si="8"/>
        <v/>
      </c>
      <c r="D211" t="str">
        <f t="shared" si="9"/>
        <v/>
      </c>
      <c r="E211">
        <f t="shared" si="10"/>
        <v>0</v>
      </c>
      <c r="F211" t="str">
        <f t="shared" si="11"/>
        <v/>
      </c>
      <c r="G211">
        <f t="shared" si="12"/>
        <v>0</v>
      </c>
      <c r="H211">
        <f>IF(AND(G211=1,COUNTIFS($I$200:I211,I211,$G$200:G211,1)=1),1,0)</f>
        <v>0</v>
      </c>
      <c r="I211" t="str">
        <f t="shared" si="13"/>
        <v/>
      </c>
      <c r="BF211">
        <f t="shared" si="16"/>
        <v>0</v>
      </c>
      <c r="BG211">
        <f t="shared" si="17"/>
        <v>0</v>
      </c>
      <c r="BH211">
        <f t="shared" si="18"/>
        <v>0</v>
      </c>
      <c r="BI211">
        <f t="shared" si="19"/>
        <v>0</v>
      </c>
      <c r="BJ211">
        <f t="shared" si="20"/>
        <v>0</v>
      </c>
      <c r="BK211">
        <f t="shared" si="21"/>
        <v>0</v>
      </c>
      <c r="BL211">
        <f t="shared" si="22"/>
        <v>0</v>
      </c>
      <c r="BM211">
        <f t="shared" si="23"/>
        <v>0</v>
      </c>
      <c r="BN211">
        <f t="shared" si="24"/>
        <v>0</v>
      </c>
      <c r="BO211">
        <f t="shared" si="25"/>
        <v>0</v>
      </c>
      <c r="BP211">
        <f t="shared" si="26"/>
        <v>0</v>
      </c>
      <c r="BQ211">
        <f t="shared" si="27"/>
        <v>0</v>
      </c>
      <c r="BR211">
        <f t="shared" si="28"/>
        <v>0</v>
      </c>
      <c r="BS211">
        <f t="shared" si="29"/>
        <v>0</v>
      </c>
      <c r="BT211">
        <f t="shared" si="30"/>
        <v>0</v>
      </c>
      <c r="BU211">
        <f t="shared" si="31"/>
        <v>0</v>
      </c>
      <c r="BV211">
        <f t="shared" si="32"/>
        <v>0</v>
      </c>
      <c r="BW211">
        <f t="shared" si="33"/>
        <v>0</v>
      </c>
      <c r="CA211" t="str">
        <f>IF(12&gt;ROWS(DGArchive[模组]),"",IF(INDEX(DGArchive[模组],12)="","",INDEX(DGArchive[模组],12)))</f>
        <v/>
      </c>
      <c r="CB211" t="str">
        <f>IF(12&gt;ROWS(DGArchive[阶段]),"",IF(INDEX(DGArchive[阶段],12)="","",INDEX(DGArchive[阶段],12)))</f>
        <v/>
      </c>
      <c r="CC211" t="str">
        <f>IF(12&gt;ROWS(DGArchive[游戏内日期]),"",IF(INDEX(DGArchive[游戏内日期],12)="","",INDEX(DGArchive[游戏内日期],12)))</f>
        <v/>
      </c>
      <c r="CD211" t="str">
        <f>IF(12&gt;ROWS(DGArchive[目标]),"",IF(INDEX(DGArchive[目标],12)="","",INDEX(DGArchive[目标],12)))</f>
        <v/>
      </c>
      <c r="CE211" t="str">
        <f>IF(12&gt;ROWS(DGArchive[变更前]),"",IF(INDEX(DGArchive[变更前],12)="","",INDEX(DGArchive[变更前],12)))</f>
        <v/>
      </c>
      <c r="CF211" t="str">
        <f>IF(12&gt;ROWS(DGArchive[增减]),"",IF(INDEX(DGArchive[增减],12)="","",INDEX(DGArchive[增减],12)))</f>
        <v/>
      </c>
      <c r="CG211" t="str">
        <f>IF(12&gt;ROWS(DGArchive[变更后]),"",IF(INDEX(DGArchive[变更后],12)="","",INDEX(DGArchive[变更后],12)))</f>
        <v/>
      </c>
      <c r="CH211" t="str">
        <f>IF(12&gt;ROWS(DGArchive[事件／活动]),"",IF(INDEX(DGArchive[事件／活动],12)="","",INDEX(DGArchive[事件／活动],12)))</f>
        <v/>
      </c>
      <c r="CI211" t="str">
        <f>IF(12&gt;ROWS(DGArchive[记录编号]),"",IF(INDEX(DGArchive[记录编号],12)="","",INDEX(DGArchive[记录编号],12)))</f>
        <v/>
      </c>
      <c r="CL211">
        <f t="shared" si="14"/>
        <v>0</v>
      </c>
      <c r="CM211">
        <f>IF(AND(A211=$AO$5,B211=$AQ$3,H211=1),COUNTIFS($A$200:A211,$AO$5,$B$200:B211,$AQ$3,$H$200:H211,1),0)</f>
        <v>0</v>
      </c>
      <c r="CN211">
        <f>IF(CA211="",12,1001)</f>
        <v>12</v>
      </c>
      <c r="GA211">
        <f t="shared" si="34"/>
        <v>0</v>
      </c>
      <c r="GB211">
        <f t="shared" si="35"/>
        <v>0</v>
      </c>
      <c r="GC211">
        <f>IF(AND(C211="事件记录",H211=1),COUNTIFS($C$200:C211,"事件记录",$H$200:H211,1),0)</f>
        <v>0</v>
      </c>
      <c r="GD211">
        <f t="shared" si="15"/>
        <v>0</v>
      </c>
      <c r="GH211">
        <f>IF(AND(H211=1,A211=$GA$10,B211=$GA$11),COUNTIFS($A$200:A211,$GA$10,$B$200:B211,$GA$11,$H$200:H211,1),0)</f>
        <v>0</v>
      </c>
    </row>
    <row r="212" spans="1:190">
      <c r="A212" t="str">
        <f t="shared" si="6"/>
        <v/>
      </c>
      <c r="B212" t="str">
        <f t="shared" si="7"/>
        <v/>
      </c>
      <c r="C212" t="str">
        <f t="shared" si="8"/>
        <v/>
      </c>
      <c r="D212" t="str">
        <f t="shared" si="9"/>
        <v/>
      </c>
      <c r="E212">
        <f t="shared" si="10"/>
        <v>0</v>
      </c>
      <c r="F212" t="str">
        <f t="shared" si="11"/>
        <v/>
      </c>
      <c r="G212">
        <f t="shared" si="12"/>
        <v>0</v>
      </c>
      <c r="H212">
        <f>IF(AND(G212=1,COUNTIFS($I$200:I212,I212,$G$200:G212,1)=1),1,0)</f>
        <v>0</v>
      </c>
      <c r="I212" t="str">
        <f t="shared" si="13"/>
        <v/>
      </c>
      <c r="BF212">
        <f t="shared" si="16"/>
        <v>0</v>
      </c>
      <c r="BG212">
        <f t="shared" si="17"/>
        <v>0</v>
      </c>
      <c r="BH212">
        <f t="shared" si="18"/>
        <v>0</v>
      </c>
      <c r="BI212">
        <f t="shared" si="19"/>
        <v>0</v>
      </c>
      <c r="BJ212">
        <f t="shared" si="20"/>
        <v>0</v>
      </c>
      <c r="BK212">
        <f t="shared" si="21"/>
        <v>0</v>
      </c>
      <c r="BL212">
        <f t="shared" si="22"/>
        <v>0</v>
      </c>
      <c r="BM212">
        <f t="shared" si="23"/>
        <v>0</v>
      </c>
      <c r="BN212">
        <f t="shared" si="24"/>
        <v>0</v>
      </c>
      <c r="BO212">
        <f t="shared" si="25"/>
        <v>0</v>
      </c>
      <c r="BP212">
        <f t="shared" si="26"/>
        <v>0</v>
      </c>
      <c r="BQ212">
        <f t="shared" si="27"/>
        <v>0</v>
      </c>
      <c r="BR212">
        <f t="shared" si="28"/>
        <v>0</v>
      </c>
      <c r="BS212">
        <f t="shared" si="29"/>
        <v>0</v>
      </c>
      <c r="BT212">
        <f t="shared" si="30"/>
        <v>0</v>
      </c>
      <c r="BU212">
        <f t="shared" si="31"/>
        <v>0</v>
      </c>
      <c r="BV212">
        <f t="shared" si="32"/>
        <v>0</v>
      </c>
      <c r="BW212">
        <f t="shared" si="33"/>
        <v>0</v>
      </c>
      <c r="CA212" t="str">
        <f>IF(13&gt;ROWS(DGArchive[模组]),"",IF(INDEX(DGArchive[模组],13)="","",INDEX(DGArchive[模组],13)))</f>
        <v/>
      </c>
      <c r="CB212" t="str">
        <f>IF(13&gt;ROWS(DGArchive[阶段]),"",IF(INDEX(DGArchive[阶段],13)="","",INDEX(DGArchive[阶段],13)))</f>
        <v/>
      </c>
      <c r="CC212" t="str">
        <f>IF(13&gt;ROWS(DGArchive[游戏内日期]),"",IF(INDEX(DGArchive[游戏内日期],13)="","",INDEX(DGArchive[游戏内日期],13)))</f>
        <v/>
      </c>
      <c r="CD212" t="str">
        <f>IF(13&gt;ROWS(DGArchive[目标]),"",IF(INDEX(DGArchive[目标],13)="","",INDEX(DGArchive[目标],13)))</f>
        <v/>
      </c>
      <c r="CE212" t="str">
        <f>IF(13&gt;ROWS(DGArchive[变更前]),"",IF(INDEX(DGArchive[变更前],13)="","",INDEX(DGArchive[变更前],13)))</f>
        <v/>
      </c>
      <c r="CF212" t="str">
        <f>IF(13&gt;ROWS(DGArchive[增减]),"",IF(INDEX(DGArchive[增减],13)="","",INDEX(DGArchive[增减],13)))</f>
        <v/>
      </c>
      <c r="CG212" t="str">
        <f>IF(13&gt;ROWS(DGArchive[变更后]),"",IF(INDEX(DGArchive[变更后],13)="","",INDEX(DGArchive[变更后],13)))</f>
        <v/>
      </c>
      <c r="CH212" t="str">
        <f>IF(13&gt;ROWS(DGArchive[事件／活动]),"",IF(INDEX(DGArchive[事件／活动],13)="","",INDEX(DGArchive[事件／活动],13)))</f>
        <v/>
      </c>
      <c r="CI212" t="str">
        <f>IF(13&gt;ROWS(DGArchive[记录编号]),"",IF(INDEX(DGArchive[记录编号],13)="","",INDEX(DGArchive[记录编号],13)))</f>
        <v/>
      </c>
      <c r="CL212">
        <f t="shared" si="14"/>
        <v>0</v>
      </c>
      <c r="CM212">
        <f>IF(AND(A212=$AO$5,B212=$AQ$3,H212=1),COUNTIFS($A$200:A212,$AO$5,$B$200:B212,$AQ$3,$H$200:H212,1),0)</f>
        <v>0</v>
      </c>
      <c r="CN212">
        <f>IF(CA212="",13,1001)</f>
        <v>13</v>
      </c>
      <c r="GA212">
        <f t="shared" si="34"/>
        <v>0</v>
      </c>
      <c r="GB212">
        <f t="shared" si="35"/>
        <v>0</v>
      </c>
      <c r="GC212">
        <f>IF(AND(C212="事件记录",H212=1),COUNTIFS($C$200:C212,"事件记录",$H$200:H212,1),0)</f>
        <v>0</v>
      </c>
      <c r="GD212">
        <f t="shared" si="15"/>
        <v>0</v>
      </c>
      <c r="GH212">
        <f>IF(AND(H212=1,A212=$GA$10,B212=$GA$11),COUNTIFS($A$200:A212,$GA$10,$B$200:B212,$GA$11,$H$200:H212,1),0)</f>
        <v>0</v>
      </c>
    </row>
    <row r="213" spans="1:190">
      <c r="A213" t="str">
        <f t="shared" si="6"/>
        <v/>
      </c>
      <c r="B213" t="str">
        <f t="shared" si="7"/>
        <v/>
      </c>
      <c r="C213" t="str">
        <f t="shared" si="8"/>
        <v/>
      </c>
      <c r="D213" t="str">
        <f t="shared" si="9"/>
        <v/>
      </c>
      <c r="E213">
        <f t="shared" si="10"/>
        <v>0</v>
      </c>
      <c r="F213" t="str">
        <f t="shared" si="11"/>
        <v/>
      </c>
      <c r="G213">
        <f t="shared" si="12"/>
        <v>0</v>
      </c>
      <c r="H213">
        <f>IF(AND(G213=1,COUNTIFS($I$200:I213,I213,$G$200:G213,1)=1),1,0)</f>
        <v>0</v>
      </c>
      <c r="I213" t="str">
        <f t="shared" si="13"/>
        <v/>
      </c>
      <c r="BF213">
        <f t="shared" si="16"/>
        <v>0</v>
      </c>
      <c r="BG213">
        <f t="shared" si="17"/>
        <v>0</v>
      </c>
      <c r="BH213">
        <f t="shared" si="18"/>
        <v>0</v>
      </c>
      <c r="BI213">
        <f t="shared" si="19"/>
        <v>0</v>
      </c>
      <c r="BJ213">
        <f t="shared" si="20"/>
        <v>0</v>
      </c>
      <c r="BK213">
        <f t="shared" si="21"/>
        <v>0</v>
      </c>
      <c r="BL213">
        <f t="shared" si="22"/>
        <v>0</v>
      </c>
      <c r="BM213">
        <f t="shared" si="23"/>
        <v>0</v>
      </c>
      <c r="BN213">
        <f t="shared" si="24"/>
        <v>0</v>
      </c>
      <c r="BO213">
        <f t="shared" si="25"/>
        <v>0</v>
      </c>
      <c r="BP213">
        <f t="shared" si="26"/>
        <v>0</v>
      </c>
      <c r="BQ213">
        <f t="shared" si="27"/>
        <v>0</v>
      </c>
      <c r="BR213">
        <f t="shared" si="28"/>
        <v>0</v>
      </c>
      <c r="BS213">
        <f t="shared" si="29"/>
        <v>0</v>
      </c>
      <c r="BT213">
        <f t="shared" si="30"/>
        <v>0</v>
      </c>
      <c r="BU213">
        <f t="shared" si="31"/>
        <v>0</v>
      </c>
      <c r="BV213">
        <f t="shared" si="32"/>
        <v>0</v>
      </c>
      <c r="BW213">
        <f t="shared" si="33"/>
        <v>0</v>
      </c>
      <c r="CA213" t="str">
        <f>IF(14&gt;ROWS(DGArchive[模组]),"",IF(INDEX(DGArchive[模组],14)="","",INDEX(DGArchive[模组],14)))</f>
        <v/>
      </c>
      <c r="CB213" t="str">
        <f>IF(14&gt;ROWS(DGArchive[阶段]),"",IF(INDEX(DGArchive[阶段],14)="","",INDEX(DGArchive[阶段],14)))</f>
        <v/>
      </c>
      <c r="CC213" t="str">
        <f>IF(14&gt;ROWS(DGArchive[游戏内日期]),"",IF(INDEX(DGArchive[游戏内日期],14)="","",INDEX(DGArchive[游戏内日期],14)))</f>
        <v/>
      </c>
      <c r="CD213" t="str">
        <f>IF(14&gt;ROWS(DGArchive[目标]),"",IF(INDEX(DGArchive[目标],14)="","",INDEX(DGArchive[目标],14)))</f>
        <v/>
      </c>
      <c r="CE213" t="str">
        <f>IF(14&gt;ROWS(DGArchive[变更前]),"",IF(INDEX(DGArchive[变更前],14)="","",INDEX(DGArchive[变更前],14)))</f>
        <v/>
      </c>
      <c r="CF213" t="str">
        <f>IF(14&gt;ROWS(DGArchive[增减]),"",IF(INDEX(DGArchive[增减],14)="","",INDEX(DGArchive[增减],14)))</f>
        <v/>
      </c>
      <c r="CG213" t="str">
        <f>IF(14&gt;ROWS(DGArchive[变更后]),"",IF(INDEX(DGArchive[变更后],14)="","",INDEX(DGArchive[变更后],14)))</f>
        <v/>
      </c>
      <c r="CH213" t="str">
        <f>IF(14&gt;ROWS(DGArchive[事件／活动]),"",IF(INDEX(DGArchive[事件／活动],14)="","",INDEX(DGArchive[事件／活动],14)))</f>
        <v/>
      </c>
      <c r="CI213" t="str">
        <f>IF(14&gt;ROWS(DGArchive[记录编号]),"",IF(INDEX(DGArchive[记录编号],14)="","",INDEX(DGArchive[记录编号],14)))</f>
        <v/>
      </c>
      <c r="CL213">
        <f t="shared" si="14"/>
        <v>0</v>
      </c>
      <c r="CM213">
        <f>IF(AND(A213=$AO$5,B213=$AQ$3,H213=1),COUNTIFS($A$200:A213,$AO$5,$B$200:B213,$AQ$3,$H$200:H213,1),0)</f>
        <v>0</v>
      </c>
      <c r="CN213">
        <f>IF(CA213="",14,1001)</f>
        <v>14</v>
      </c>
      <c r="GA213">
        <f t="shared" si="34"/>
        <v>0</v>
      </c>
      <c r="GB213">
        <f t="shared" si="35"/>
        <v>0</v>
      </c>
      <c r="GC213">
        <f>IF(AND(C213="事件记录",H213=1),COUNTIFS($C$200:C213,"事件记录",$H$200:H213,1),0)</f>
        <v>0</v>
      </c>
      <c r="GD213">
        <f t="shared" si="15"/>
        <v>0</v>
      </c>
      <c r="GH213">
        <f>IF(AND(H213=1,A213=$GA$10,B213=$GA$11),COUNTIFS($A$200:A213,$GA$10,$B$200:B213,$GA$11,$H$200:H213,1),0)</f>
        <v>0</v>
      </c>
    </row>
    <row r="214" spans="1:190">
      <c r="A214" t="str">
        <f t="shared" si="6"/>
        <v/>
      </c>
      <c r="B214" t="str">
        <f t="shared" si="7"/>
        <v/>
      </c>
      <c r="C214" t="str">
        <f t="shared" si="8"/>
        <v/>
      </c>
      <c r="D214" t="str">
        <f t="shared" si="9"/>
        <v/>
      </c>
      <c r="E214">
        <f t="shared" si="10"/>
        <v>0</v>
      </c>
      <c r="F214" t="str">
        <f t="shared" si="11"/>
        <v/>
      </c>
      <c r="G214">
        <f t="shared" si="12"/>
        <v>0</v>
      </c>
      <c r="H214">
        <f>IF(AND(G214=1,COUNTIFS($I$200:I214,I214,$G$200:G214,1)=1),1,0)</f>
        <v>0</v>
      </c>
      <c r="I214" t="str">
        <f t="shared" si="13"/>
        <v/>
      </c>
      <c r="BF214">
        <f t="shared" si="16"/>
        <v>0</v>
      </c>
      <c r="BG214">
        <f t="shared" si="17"/>
        <v>0</v>
      </c>
      <c r="BH214">
        <f t="shared" si="18"/>
        <v>0</v>
      </c>
      <c r="BI214">
        <f t="shared" si="19"/>
        <v>0</v>
      </c>
      <c r="BJ214">
        <f t="shared" si="20"/>
        <v>0</v>
      </c>
      <c r="BK214">
        <f t="shared" si="21"/>
        <v>0</v>
      </c>
      <c r="BL214">
        <f t="shared" si="22"/>
        <v>0</v>
      </c>
      <c r="BM214">
        <f t="shared" si="23"/>
        <v>0</v>
      </c>
      <c r="BN214">
        <f t="shared" si="24"/>
        <v>0</v>
      </c>
      <c r="BO214">
        <f t="shared" si="25"/>
        <v>0</v>
      </c>
      <c r="BP214">
        <f t="shared" si="26"/>
        <v>0</v>
      </c>
      <c r="BQ214">
        <f t="shared" si="27"/>
        <v>0</v>
      </c>
      <c r="BR214">
        <f t="shared" si="28"/>
        <v>0</v>
      </c>
      <c r="BS214">
        <f t="shared" si="29"/>
        <v>0</v>
      </c>
      <c r="BT214">
        <f t="shared" si="30"/>
        <v>0</v>
      </c>
      <c r="BU214">
        <f t="shared" si="31"/>
        <v>0</v>
      </c>
      <c r="BV214">
        <f t="shared" si="32"/>
        <v>0</v>
      </c>
      <c r="BW214">
        <f t="shared" si="33"/>
        <v>0</v>
      </c>
      <c r="CA214" t="str">
        <f>IF(15&gt;ROWS(DGArchive[模组]),"",IF(INDEX(DGArchive[模组],15)="","",INDEX(DGArchive[模组],15)))</f>
        <v/>
      </c>
      <c r="CB214" t="str">
        <f>IF(15&gt;ROWS(DGArchive[阶段]),"",IF(INDEX(DGArchive[阶段],15)="","",INDEX(DGArchive[阶段],15)))</f>
        <v/>
      </c>
      <c r="CC214" t="str">
        <f>IF(15&gt;ROWS(DGArchive[游戏内日期]),"",IF(INDEX(DGArchive[游戏内日期],15)="","",INDEX(DGArchive[游戏内日期],15)))</f>
        <v/>
      </c>
      <c r="CD214" t="str">
        <f>IF(15&gt;ROWS(DGArchive[目标]),"",IF(INDEX(DGArchive[目标],15)="","",INDEX(DGArchive[目标],15)))</f>
        <v/>
      </c>
      <c r="CE214" t="str">
        <f>IF(15&gt;ROWS(DGArchive[变更前]),"",IF(INDEX(DGArchive[变更前],15)="","",INDEX(DGArchive[变更前],15)))</f>
        <v/>
      </c>
      <c r="CF214" t="str">
        <f>IF(15&gt;ROWS(DGArchive[增减]),"",IF(INDEX(DGArchive[增减],15)="","",INDEX(DGArchive[增减],15)))</f>
        <v/>
      </c>
      <c r="CG214" t="str">
        <f>IF(15&gt;ROWS(DGArchive[变更后]),"",IF(INDEX(DGArchive[变更后],15)="","",INDEX(DGArchive[变更后],15)))</f>
        <v/>
      </c>
      <c r="CH214" t="str">
        <f>IF(15&gt;ROWS(DGArchive[事件／活动]),"",IF(INDEX(DGArchive[事件／活动],15)="","",INDEX(DGArchive[事件／活动],15)))</f>
        <v/>
      </c>
      <c r="CI214" t="str">
        <f>IF(15&gt;ROWS(DGArchive[记录编号]),"",IF(INDEX(DGArchive[记录编号],15)="","",INDEX(DGArchive[记录编号],15)))</f>
        <v/>
      </c>
      <c r="CL214">
        <f t="shared" si="14"/>
        <v>0</v>
      </c>
      <c r="CM214">
        <f>IF(AND(A214=$AO$5,B214=$AQ$3,H214=1),COUNTIFS($A$200:A214,$AO$5,$B$200:B214,$AQ$3,$H$200:H214,1),0)</f>
        <v>0</v>
      </c>
      <c r="CN214">
        <f>IF(CA214="",15,1001)</f>
        <v>15</v>
      </c>
      <c r="GA214">
        <f t="shared" si="34"/>
        <v>0</v>
      </c>
      <c r="GB214">
        <f t="shared" si="35"/>
        <v>0</v>
      </c>
      <c r="GC214">
        <f>IF(AND(C214="事件记录",H214=1),COUNTIFS($C$200:C214,"事件记录",$H$200:H214,1),0)</f>
        <v>0</v>
      </c>
      <c r="GD214">
        <f t="shared" si="15"/>
        <v>0</v>
      </c>
      <c r="GH214">
        <f>IF(AND(H214=1,A214=$GA$10,B214=$GA$11),COUNTIFS($A$200:A214,$GA$10,$B$200:B214,$GA$11,$H$200:H214,1),0)</f>
        <v>0</v>
      </c>
    </row>
    <row r="215" spans="1:190">
      <c r="A215" t="str">
        <f t="shared" si="6"/>
        <v/>
      </c>
      <c r="B215" t="str">
        <f t="shared" si="7"/>
        <v/>
      </c>
      <c r="C215" t="str">
        <f t="shared" si="8"/>
        <v/>
      </c>
      <c r="D215" t="str">
        <f t="shared" si="9"/>
        <v/>
      </c>
      <c r="E215">
        <f t="shared" si="10"/>
        <v>0</v>
      </c>
      <c r="F215" t="str">
        <f t="shared" si="11"/>
        <v/>
      </c>
      <c r="G215">
        <f t="shared" si="12"/>
        <v>0</v>
      </c>
      <c r="H215">
        <f>IF(AND(G215=1,COUNTIFS($I$200:I215,I215,$G$200:G215,1)=1),1,0)</f>
        <v>0</v>
      </c>
      <c r="I215" t="str">
        <f t="shared" si="13"/>
        <v/>
      </c>
      <c r="BF215">
        <f t="shared" si="16"/>
        <v>0</v>
      </c>
      <c r="BG215">
        <f t="shared" si="17"/>
        <v>0</v>
      </c>
      <c r="BH215">
        <f t="shared" si="18"/>
        <v>0</v>
      </c>
      <c r="BI215">
        <f t="shared" si="19"/>
        <v>0</v>
      </c>
      <c r="BJ215">
        <f t="shared" si="20"/>
        <v>0</v>
      </c>
      <c r="BK215">
        <f t="shared" si="21"/>
        <v>0</v>
      </c>
      <c r="BL215">
        <f t="shared" si="22"/>
        <v>0</v>
      </c>
      <c r="BM215">
        <f t="shared" si="23"/>
        <v>0</v>
      </c>
      <c r="BN215">
        <f t="shared" si="24"/>
        <v>0</v>
      </c>
      <c r="BO215">
        <f t="shared" si="25"/>
        <v>0</v>
      </c>
      <c r="BP215">
        <f t="shared" si="26"/>
        <v>0</v>
      </c>
      <c r="BQ215">
        <f t="shared" si="27"/>
        <v>0</v>
      </c>
      <c r="BR215">
        <f t="shared" si="28"/>
        <v>0</v>
      </c>
      <c r="BS215">
        <f t="shared" si="29"/>
        <v>0</v>
      </c>
      <c r="BT215">
        <f t="shared" si="30"/>
        <v>0</v>
      </c>
      <c r="BU215">
        <f t="shared" si="31"/>
        <v>0</v>
      </c>
      <c r="BV215">
        <f t="shared" si="32"/>
        <v>0</v>
      </c>
      <c r="BW215">
        <f t="shared" si="33"/>
        <v>0</v>
      </c>
      <c r="CA215" t="str">
        <f>IF(16&gt;ROWS(DGArchive[模组]),"",IF(INDEX(DGArchive[模组],16)="","",INDEX(DGArchive[模组],16)))</f>
        <v/>
      </c>
      <c r="CB215" t="str">
        <f>IF(16&gt;ROWS(DGArchive[阶段]),"",IF(INDEX(DGArchive[阶段],16)="","",INDEX(DGArchive[阶段],16)))</f>
        <v/>
      </c>
      <c r="CC215" t="str">
        <f>IF(16&gt;ROWS(DGArchive[游戏内日期]),"",IF(INDEX(DGArchive[游戏内日期],16)="","",INDEX(DGArchive[游戏内日期],16)))</f>
        <v/>
      </c>
      <c r="CD215" t="str">
        <f>IF(16&gt;ROWS(DGArchive[目标]),"",IF(INDEX(DGArchive[目标],16)="","",INDEX(DGArchive[目标],16)))</f>
        <v/>
      </c>
      <c r="CE215" t="str">
        <f>IF(16&gt;ROWS(DGArchive[变更前]),"",IF(INDEX(DGArchive[变更前],16)="","",INDEX(DGArchive[变更前],16)))</f>
        <v/>
      </c>
      <c r="CF215" t="str">
        <f>IF(16&gt;ROWS(DGArchive[增减]),"",IF(INDEX(DGArchive[增减],16)="","",INDEX(DGArchive[增减],16)))</f>
        <v/>
      </c>
      <c r="CG215" t="str">
        <f>IF(16&gt;ROWS(DGArchive[变更后]),"",IF(INDEX(DGArchive[变更后],16)="","",INDEX(DGArchive[变更后],16)))</f>
        <v/>
      </c>
      <c r="CH215" t="str">
        <f>IF(16&gt;ROWS(DGArchive[事件／活动]),"",IF(INDEX(DGArchive[事件／活动],16)="","",INDEX(DGArchive[事件／活动],16)))</f>
        <v/>
      </c>
      <c r="CI215" t="str">
        <f>IF(16&gt;ROWS(DGArchive[记录编号]),"",IF(INDEX(DGArchive[记录编号],16)="","",INDEX(DGArchive[记录编号],16)))</f>
        <v/>
      </c>
      <c r="CL215">
        <f t="shared" si="14"/>
        <v>0</v>
      </c>
      <c r="CM215">
        <f>IF(AND(A215=$AO$5,B215=$AQ$3,H215=1),COUNTIFS($A$200:A215,$AO$5,$B$200:B215,$AQ$3,$H$200:H215,1),0)</f>
        <v>0</v>
      </c>
      <c r="CN215">
        <f>IF(CA215="",16,1001)</f>
        <v>16</v>
      </c>
      <c r="GA215">
        <f t="shared" si="34"/>
        <v>0</v>
      </c>
      <c r="GB215">
        <f t="shared" si="35"/>
        <v>0</v>
      </c>
      <c r="GC215">
        <f>IF(AND(C215="事件记录",H215=1),COUNTIFS($C$200:C215,"事件记录",$H$200:H215,1),0)</f>
        <v>0</v>
      </c>
      <c r="GD215">
        <f t="shared" si="15"/>
        <v>0</v>
      </c>
      <c r="GH215">
        <f>IF(AND(H215=1,A215=$GA$10,B215=$GA$11),COUNTIFS($A$200:A215,$GA$10,$B$200:B215,$GA$11,$H$200:H215,1),0)</f>
        <v>0</v>
      </c>
    </row>
    <row r="216" spans="1:190">
      <c r="A216" t="str">
        <f t="shared" si="6"/>
        <v/>
      </c>
      <c r="B216" t="str">
        <f t="shared" si="7"/>
        <v/>
      </c>
      <c r="C216" t="str">
        <f t="shared" si="8"/>
        <v/>
      </c>
      <c r="D216" t="str">
        <f t="shared" si="9"/>
        <v/>
      </c>
      <c r="E216">
        <f t="shared" si="10"/>
        <v>0</v>
      </c>
      <c r="F216" t="str">
        <f t="shared" si="11"/>
        <v/>
      </c>
      <c r="G216">
        <f t="shared" si="12"/>
        <v>0</v>
      </c>
      <c r="H216">
        <f>IF(AND(G216=1,COUNTIFS($I$200:I216,I216,$G$200:G216,1)=1),1,0)</f>
        <v>0</v>
      </c>
      <c r="I216" t="str">
        <f t="shared" si="13"/>
        <v/>
      </c>
      <c r="BF216">
        <f t="shared" si="16"/>
        <v>0</v>
      </c>
      <c r="BG216">
        <f t="shared" si="17"/>
        <v>0</v>
      </c>
      <c r="BH216">
        <f t="shared" si="18"/>
        <v>0</v>
      </c>
      <c r="BI216">
        <f t="shared" si="19"/>
        <v>0</v>
      </c>
      <c r="BJ216">
        <f t="shared" si="20"/>
        <v>0</v>
      </c>
      <c r="BK216">
        <f t="shared" si="21"/>
        <v>0</v>
      </c>
      <c r="BL216">
        <f t="shared" si="22"/>
        <v>0</v>
      </c>
      <c r="BM216">
        <f t="shared" si="23"/>
        <v>0</v>
      </c>
      <c r="BN216">
        <f t="shared" si="24"/>
        <v>0</v>
      </c>
      <c r="BO216">
        <f t="shared" si="25"/>
        <v>0</v>
      </c>
      <c r="BP216">
        <f t="shared" si="26"/>
        <v>0</v>
      </c>
      <c r="BQ216">
        <f t="shared" si="27"/>
        <v>0</v>
      </c>
      <c r="BR216">
        <f t="shared" si="28"/>
        <v>0</v>
      </c>
      <c r="BS216">
        <f t="shared" si="29"/>
        <v>0</v>
      </c>
      <c r="BT216">
        <f t="shared" si="30"/>
        <v>0</v>
      </c>
      <c r="BU216">
        <f t="shared" si="31"/>
        <v>0</v>
      </c>
      <c r="BV216">
        <f t="shared" si="32"/>
        <v>0</v>
      </c>
      <c r="BW216">
        <f t="shared" si="33"/>
        <v>0</v>
      </c>
      <c r="CA216" t="str">
        <f>IF(17&gt;ROWS(DGArchive[模组]),"",IF(INDEX(DGArchive[模组],17)="","",INDEX(DGArchive[模组],17)))</f>
        <v/>
      </c>
      <c r="CB216" t="str">
        <f>IF(17&gt;ROWS(DGArchive[阶段]),"",IF(INDEX(DGArchive[阶段],17)="","",INDEX(DGArchive[阶段],17)))</f>
        <v/>
      </c>
      <c r="CC216" t="str">
        <f>IF(17&gt;ROWS(DGArchive[游戏内日期]),"",IF(INDEX(DGArchive[游戏内日期],17)="","",INDEX(DGArchive[游戏内日期],17)))</f>
        <v/>
      </c>
      <c r="CD216" t="str">
        <f>IF(17&gt;ROWS(DGArchive[目标]),"",IF(INDEX(DGArchive[目标],17)="","",INDEX(DGArchive[目标],17)))</f>
        <v/>
      </c>
      <c r="CE216" t="str">
        <f>IF(17&gt;ROWS(DGArchive[变更前]),"",IF(INDEX(DGArchive[变更前],17)="","",INDEX(DGArchive[变更前],17)))</f>
        <v/>
      </c>
      <c r="CF216" t="str">
        <f>IF(17&gt;ROWS(DGArchive[增减]),"",IF(INDEX(DGArchive[增减],17)="","",INDEX(DGArchive[增减],17)))</f>
        <v/>
      </c>
      <c r="CG216" t="str">
        <f>IF(17&gt;ROWS(DGArchive[变更后]),"",IF(INDEX(DGArchive[变更后],17)="","",INDEX(DGArchive[变更后],17)))</f>
        <v/>
      </c>
      <c r="CH216" t="str">
        <f>IF(17&gt;ROWS(DGArchive[事件／活动]),"",IF(INDEX(DGArchive[事件／活动],17)="","",INDEX(DGArchive[事件／活动],17)))</f>
        <v/>
      </c>
      <c r="CI216" t="str">
        <f>IF(17&gt;ROWS(DGArchive[记录编号]),"",IF(INDEX(DGArchive[记录编号],17)="","",INDEX(DGArchive[记录编号],17)))</f>
        <v/>
      </c>
      <c r="CL216">
        <f t="shared" si="14"/>
        <v>0</v>
      </c>
      <c r="CM216">
        <f>IF(AND(A216=$AO$5,B216=$AQ$3,H216=1),COUNTIFS($A$200:A216,$AO$5,$B$200:B216,$AQ$3,$H$200:H216,1),0)</f>
        <v>0</v>
      </c>
      <c r="CN216">
        <f>IF(CA216="",17,1001)</f>
        <v>17</v>
      </c>
      <c r="GA216">
        <f t="shared" si="34"/>
        <v>0</v>
      </c>
      <c r="GB216">
        <f t="shared" si="35"/>
        <v>0</v>
      </c>
      <c r="GC216">
        <f>IF(AND(C216="事件记录",H216=1),COUNTIFS($C$200:C216,"事件记录",$H$200:H216,1),0)</f>
        <v>0</v>
      </c>
      <c r="GD216">
        <f t="shared" si="15"/>
        <v>0</v>
      </c>
      <c r="GH216">
        <f>IF(AND(H216=1,A216=$GA$10,B216=$GA$11),COUNTIFS($A$200:A216,$GA$10,$B$200:B216,$GA$11,$H$200:H216,1),0)</f>
        <v>0</v>
      </c>
    </row>
    <row r="217" spans="1:190">
      <c r="A217" t="str">
        <f t="shared" si="6"/>
        <v/>
      </c>
      <c r="B217" t="str">
        <f t="shared" si="7"/>
        <v/>
      </c>
      <c r="C217" t="str">
        <f t="shared" si="8"/>
        <v/>
      </c>
      <c r="D217" t="str">
        <f t="shared" si="9"/>
        <v/>
      </c>
      <c r="E217">
        <f t="shared" si="10"/>
        <v>0</v>
      </c>
      <c r="F217" t="str">
        <f t="shared" si="11"/>
        <v/>
      </c>
      <c r="G217">
        <f t="shared" si="12"/>
        <v>0</v>
      </c>
      <c r="H217">
        <f>IF(AND(G217=1,COUNTIFS($I$200:I217,I217,$G$200:G217,1)=1),1,0)</f>
        <v>0</v>
      </c>
      <c r="I217" t="str">
        <f t="shared" si="13"/>
        <v/>
      </c>
      <c r="BF217">
        <f t="shared" si="16"/>
        <v>0</v>
      </c>
      <c r="BG217">
        <f t="shared" si="17"/>
        <v>0</v>
      </c>
      <c r="BH217">
        <f t="shared" si="18"/>
        <v>0</v>
      </c>
      <c r="BI217">
        <f t="shared" si="19"/>
        <v>0</v>
      </c>
      <c r="BJ217">
        <f t="shared" si="20"/>
        <v>0</v>
      </c>
      <c r="BK217">
        <f t="shared" si="21"/>
        <v>0</v>
      </c>
      <c r="BL217">
        <f t="shared" si="22"/>
        <v>0</v>
      </c>
      <c r="BM217">
        <f t="shared" si="23"/>
        <v>0</v>
      </c>
      <c r="BN217">
        <f t="shared" si="24"/>
        <v>0</v>
      </c>
      <c r="BO217">
        <f t="shared" si="25"/>
        <v>0</v>
      </c>
      <c r="BP217">
        <f t="shared" si="26"/>
        <v>0</v>
      </c>
      <c r="BQ217">
        <f t="shared" si="27"/>
        <v>0</v>
      </c>
      <c r="BR217">
        <f t="shared" si="28"/>
        <v>0</v>
      </c>
      <c r="BS217">
        <f t="shared" si="29"/>
        <v>0</v>
      </c>
      <c r="BT217">
        <f t="shared" si="30"/>
        <v>0</v>
      </c>
      <c r="BU217">
        <f t="shared" si="31"/>
        <v>0</v>
      </c>
      <c r="BV217">
        <f t="shared" si="32"/>
        <v>0</v>
      </c>
      <c r="BW217">
        <f t="shared" si="33"/>
        <v>0</v>
      </c>
      <c r="CA217" t="str">
        <f>IF(18&gt;ROWS(DGArchive[模组]),"",IF(INDEX(DGArchive[模组],18)="","",INDEX(DGArchive[模组],18)))</f>
        <v/>
      </c>
      <c r="CB217" t="str">
        <f>IF(18&gt;ROWS(DGArchive[阶段]),"",IF(INDEX(DGArchive[阶段],18)="","",INDEX(DGArchive[阶段],18)))</f>
        <v/>
      </c>
      <c r="CC217" t="str">
        <f>IF(18&gt;ROWS(DGArchive[游戏内日期]),"",IF(INDEX(DGArchive[游戏内日期],18)="","",INDEX(DGArchive[游戏内日期],18)))</f>
        <v/>
      </c>
      <c r="CD217" t="str">
        <f>IF(18&gt;ROWS(DGArchive[目标]),"",IF(INDEX(DGArchive[目标],18)="","",INDEX(DGArchive[目标],18)))</f>
        <v/>
      </c>
      <c r="CE217" t="str">
        <f>IF(18&gt;ROWS(DGArchive[变更前]),"",IF(INDEX(DGArchive[变更前],18)="","",INDEX(DGArchive[变更前],18)))</f>
        <v/>
      </c>
      <c r="CF217" t="str">
        <f>IF(18&gt;ROWS(DGArchive[增减]),"",IF(INDEX(DGArchive[增减],18)="","",INDEX(DGArchive[增减],18)))</f>
        <v/>
      </c>
      <c r="CG217" t="str">
        <f>IF(18&gt;ROWS(DGArchive[变更后]),"",IF(INDEX(DGArchive[变更后],18)="","",INDEX(DGArchive[变更后],18)))</f>
        <v/>
      </c>
      <c r="CH217" t="str">
        <f>IF(18&gt;ROWS(DGArchive[事件／活动]),"",IF(INDEX(DGArchive[事件／活动],18)="","",INDEX(DGArchive[事件／活动],18)))</f>
        <v/>
      </c>
      <c r="CI217" t="str">
        <f>IF(18&gt;ROWS(DGArchive[记录编号]),"",IF(INDEX(DGArchive[记录编号],18)="","",INDEX(DGArchive[记录编号],18)))</f>
        <v/>
      </c>
      <c r="CL217">
        <f t="shared" si="14"/>
        <v>0</v>
      </c>
      <c r="CM217">
        <f>IF(AND(A217=$AO$5,B217=$AQ$3,H217=1),COUNTIFS($A$200:A217,$AO$5,$B$200:B217,$AQ$3,$H$200:H217,1),0)</f>
        <v>0</v>
      </c>
      <c r="CN217">
        <f>IF(CA217="",18,1001)</f>
        <v>18</v>
      </c>
      <c r="GA217">
        <f t="shared" si="34"/>
        <v>0</v>
      </c>
      <c r="GB217">
        <f t="shared" si="35"/>
        <v>0</v>
      </c>
      <c r="GC217">
        <f>IF(AND(C217="事件记录",H217=1),COUNTIFS($C$200:C217,"事件记录",$H$200:H217,1),0)</f>
        <v>0</v>
      </c>
      <c r="GD217">
        <f t="shared" si="15"/>
        <v>0</v>
      </c>
      <c r="GH217">
        <f>IF(AND(H217=1,A217=$GA$10,B217=$GA$11),COUNTIFS($A$200:A217,$GA$10,$B$200:B217,$GA$11,$H$200:H217,1),0)</f>
        <v>0</v>
      </c>
    </row>
    <row r="218" spans="1:190">
      <c r="A218" t="str">
        <f t="shared" si="6"/>
        <v/>
      </c>
      <c r="B218" t="str">
        <f t="shared" si="7"/>
        <v/>
      </c>
      <c r="C218" t="str">
        <f t="shared" si="8"/>
        <v/>
      </c>
      <c r="D218" t="str">
        <f t="shared" si="9"/>
        <v/>
      </c>
      <c r="E218">
        <f t="shared" si="10"/>
        <v>0</v>
      </c>
      <c r="F218" t="str">
        <f t="shared" si="11"/>
        <v/>
      </c>
      <c r="G218">
        <f t="shared" si="12"/>
        <v>0</v>
      </c>
      <c r="H218">
        <f>IF(AND(G218=1,COUNTIFS($I$200:I218,I218,$G$200:G218,1)=1),1,0)</f>
        <v>0</v>
      </c>
      <c r="I218" t="str">
        <f t="shared" si="13"/>
        <v/>
      </c>
      <c r="BF218">
        <f t="shared" si="16"/>
        <v>0</v>
      </c>
      <c r="BG218">
        <f t="shared" si="17"/>
        <v>0</v>
      </c>
      <c r="BH218">
        <f t="shared" si="18"/>
        <v>0</v>
      </c>
      <c r="BI218">
        <f t="shared" si="19"/>
        <v>0</v>
      </c>
      <c r="BJ218">
        <f t="shared" si="20"/>
        <v>0</v>
      </c>
      <c r="BK218">
        <f t="shared" si="21"/>
        <v>0</v>
      </c>
      <c r="BL218">
        <f t="shared" si="22"/>
        <v>0</v>
      </c>
      <c r="BM218">
        <f t="shared" si="23"/>
        <v>0</v>
      </c>
      <c r="BN218">
        <f t="shared" si="24"/>
        <v>0</v>
      </c>
      <c r="BO218">
        <f t="shared" si="25"/>
        <v>0</v>
      </c>
      <c r="BP218">
        <f t="shared" si="26"/>
        <v>0</v>
      </c>
      <c r="BQ218">
        <f t="shared" si="27"/>
        <v>0</v>
      </c>
      <c r="BR218">
        <f t="shared" si="28"/>
        <v>0</v>
      </c>
      <c r="BS218">
        <f t="shared" si="29"/>
        <v>0</v>
      </c>
      <c r="BT218">
        <f t="shared" si="30"/>
        <v>0</v>
      </c>
      <c r="BU218">
        <f t="shared" si="31"/>
        <v>0</v>
      </c>
      <c r="BV218">
        <f t="shared" si="32"/>
        <v>0</v>
      </c>
      <c r="BW218">
        <f t="shared" si="33"/>
        <v>0</v>
      </c>
      <c r="CA218" t="str">
        <f>IF(19&gt;ROWS(DGArchive[模组]),"",IF(INDEX(DGArchive[模组],19)="","",INDEX(DGArchive[模组],19)))</f>
        <v/>
      </c>
      <c r="CB218" t="str">
        <f>IF(19&gt;ROWS(DGArchive[阶段]),"",IF(INDEX(DGArchive[阶段],19)="","",INDEX(DGArchive[阶段],19)))</f>
        <v/>
      </c>
      <c r="CC218" t="str">
        <f>IF(19&gt;ROWS(DGArchive[游戏内日期]),"",IF(INDEX(DGArchive[游戏内日期],19)="","",INDEX(DGArchive[游戏内日期],19)))</f>
        <v/>
      </c>
      <c r="CD218" t="str">
        <f>IF(19&gt;ROWS(DGArchive[目标]),"",IF(INDEX(DGArchive[目标],19)="","",INDEX(DGArchive[目标],19)))</f>
        <v/>
      </c>
      <c r="CE218" t="str">
        <f>IF(19&gt;ROWS(DGArchive[变更前]),"",IF(INDEX(DGArchive[变更前],19)="","",INDEX(DGArchive[变更前],19)))</f>
        <v/>
      </c>
      <c r="CF218" t="str">
        <f>IF(19&gt;ROWS(DGArchive[增减]),"",IF(INDEX(DGArchive[增减],19)="","",INDEX(DGArchive[增减],19)))</f>
        <v/>
      </c>
      <c r="CG218" t="str">
        <f>IF(19&gt;ROWS(DGArchive[变更后]),"",IF(INDEX(DGArchive[变更后],19)="","",INDEX(DGArchive[变更后],19)))</f>
        <v/>
      </c>
      <c r="CH218" t="str">
        <f>IF(19&gt;ROWS(DGArchive[事件／活动]),"",IF(INDEX(DGArchive[事件／活动],19)="","",INDEX(DGArchive[事件／活动],19)))</f>
        <v/>
      </c>
      <c r="CI218" t="str">
        <f>IF(19&gt;ROWS(DGArchive[记录编号]),"",IF(INDEX(DGArchive[记录编号],19)="","",INDEX(DGArchive[记录编号],19)))</f>
        <v/>
      </c>
      <c r="CL218">
        <f t="shared" si="14"/>
        <v>0</v>
      </c>
      <c r="CM218">
        <f>IF(AND(A218=$AO$5,B218=$AQ$3,H218=1),COUNTIFS($A$200:A218,$AO$5,$B$200:B218,$AQ$3,$H$200:H218,1),0)</f>
        <v>0</v>
      </c>
      <c r="CN218">
        <f>IF(CA218="",19,1001)</f>
        <v>19</v>
      </c>
      <c r="GA218">
        <f t="shared" si="34"/>
        <v>0</v>
      </c>
      <c r="GB218">
        <f t="shared" si="35"/>
        <v>0</v>
      </c>
      <c r="GC218">
        <f>IF(AND(C218="事件记录",H218=1),COUNTIFS($C$200:C218,"事件记录",$H$200:H218,1),0)</f>
        <v>0</v>
      </c>
      <c r="GD218">
        <f t="shared" si="15"/>
        <v>0</v>
      </c>
      <c r="GH218">
        <f>IF(AND(H218=1,A218=$GA$10,B218=$GA$11),COUNTIFS($A$200:A218,$GA$10,$B$200:B218,$GA$11,$H$200:H218,1),0)</f>
        <v>0</v>
      </c>
    </row>
    <row r="219" spans="1:190">
      <c r="A219" t="str">
        <f t="shared" si="6"/>
        <v/>
      </c>
      <c r="B219" t="str">
        <f t="shared" si="7"/>
        <v/>
      </c>
      <c r="C219" t="str">
        <f t="shared" si="8"/>
        <v/>
      </c>
      <c r="D219" t="str">
        <f t="shared" si="9"/>
        <v/>
      </c>
      <c r="E219">
        <f t="shared" si="10"/>
        <v>0</v>
      </c>
      <c r="F219" t="str">
        <f t="shared" si="11"/>
        <v/>
      </c>
      <c r="G219">
        <f t="shared" si="12"/>
        <v>0</v>
      </c>
      <c r="H219">
        <f>IF(AND(G219=1,COUNTIFS($I$200:I219,I219,$G$200:G219,1)=1),1,0)</f>
        <v>0</v>
      </c>
      <c r="I219" t="str">
        <f t="shared" si="13"/>
        <v/>
      </c>
      <c r="BF219">
        <f t="shared" si="16"/>
        <v>0</v>
      </c>
      <c r="BG219">
        <f t="shared" si="17"/>
        <v>0</v>
      </c>
      <c r="BH219">
        <f t="shared" si="18"/>
        <v>0</v>
      </c>
      <c r="BI219">
        <f t="shared" si="19"/>
        <v>0</v>
      </c>
      <c r="BJ219">
        <f t="shared" si="20"/>
        <v>0</v>
      </c>
      <c r="BK219">
        <f t="shared" si="21"/>
        <v>0</v>
      </c>
      <c r="BL219">
        <f t="shared" si="22"/>
        <v>0</v>
      </c>
      <c r="BM219">
        <f t="shared" si="23"/>
        <v>0</v>
      </c>
      <c r="BN219">
        <f t="shared" si="24"/>
        <v>0</v>
      </c>
      <c r="BO219">
        <f t="shared" si="25"/>
        <v>0</v>
      </c>
      <c r="BP219">
        <f t="shared" si="26"/>
        <v>0</v>
      </c>
      <c r="BQ219">
        <f t="shared" si="27"/>
        <v>0</v>
      </c>
      <c r="BR219">
        <f t="shared" si="28"/>
        <v>0</v>
      </c>
      <c r="BS219">
        <f t="shared" si="29"/>
        <v>0</v>
      </c>
      <c r="BT219">
        <f t="shared" si="30"/>
        <v>0</v>
      </c>
      <c r="BU219">
        <f t="shared" si="31"/>
        <v>0</v>
      </c>
      <c r="BV219">
        <f t="shared" si="32"/>
        <v>0</v>
      </c>
      <c r="BW219">
        <f t="shared" si="33"/>
        <v>0</v>
      </c>
      <c r="CA219" t="str">
        <f>IF(20&gt;ROWS(DGArchive[模组]),"",IF(INDEX(DGArchive[模组],20)="","",INDEX(DGArchive[模组],20)))</f>
        <v/>
      </c>
      <c r="CB219" t="str">
        <f>IF(20&gt;ROWS(DGArchive[阶段]),"",IF(INDEX(DGArchive[阶段],20)="","",INDEX(DGArchive[阶段],20)))</f>
        <v/>
      </c>
      <c r="CC219" t="str">
        <f>IF(20&gt;ROWS(DGArchive[游戏内日期]),"",IF(INDEX(DGArchive[游戏内日期],20)="","",INDEX(DGArchive[游戏内日期],20)))</f>
        <v/>
      </c>
      <c r="CD219" t="str">
        <f>IF(20&gt;ROWS(DGArchive[目标]),"",IF(INDEX(DGArchive[目标],20)="","",INDEX(DGArchive[目标],20)))</f>
        <v/>
      </c>
      <c r="CE219" t="str">
        <f>IF(20&gt;ROWS(DGArchive[变更前]),"",IF(INDEX(DGArchive[变更前],20)="","",INDEX(DGArchive[变更前],20)))</f>
        <v/>
      </c>
      <c r="CF219" t="str">
        <f>IF(20&gt;ROWS(DGArchive[增减]),"",IF(INDEX(DGArchive[增减],20)="","",INDEX(DGArchive[增减],20)))</f>
        <v/>
      </c>
      <c r="CG219" t="str">
        <f>IF(20&gt;ROWS(DGArchive[变更后]),"",IF(INDEX(DGArchive[变更后],20)="","",INDEX(DGArchive[变更后],20)))</f>
        <v/>
      </c>
      <c r="CH219" t="str">
        <f>IF(20&gt;ROWS(DGArchive[事件／活动]),"",IF(INDEX(DGArchive[事件／活动],20)="","",INDEX(DGArchive[事件／活动],20)))</f>
        <v/>
      </c>
      <c r="CI219" t="str">
        <f>IF(20&gt;ROWS(DGArchive[记录编号]),"",IF(INDEX(DGArchive[记录编号],20)="","",INDEX(DGArchive[记录编号],20)))</f>
        <v/>
      </c>
      <c r="CL219">
        <f t="shared" si="14"/>
        <v>0</v>
      </c>
      <c r="CM219">
        <f>IF(AND(A219=$AO$5,B219=$AQ$3,H219=1),COUNTIFS($A$200:A219,$AO$5,$B$200:B219,$AQ$3,$H$200:H219,1),0)</f>
        <v>0</v>
      </c>
      <c r="CN219">
        <f>IF(CA219="",20,1001)</f>
        <v>20</v>
      </c>
      <c r="GA219">
        <f t="shared" si="34"/>
        <v>0</v>
      </c>
      <c r="GB219">
        <f t="shared" si="35"/>
        <v>0</v>
      </c>
      <c r="GC219">
        <f>IF(AND(C219="事件记录",H219=1),COUNTIFS($C$200:C219,"事件记录",$H$200:H219,1),0)</f>
        <v>0</v>
      </c>
      <c r="GD219">
        <f t="shared" si="15"/>
        <v>0</v>
      </c>
      <c r="GH219">
        <f>IF(AND(H219=1,A219=$GA$10,B219=$GA$11),COUNTIFS($A$200:A219,$GA$10,$B$200:B219,$GA$11,$H$200:H219,1),0)</f>
        <v>0</v>
      </c>
    </row>
    <row r="220" spans="1:190">
      <c r="A220" t="str">
        <f t="shared" si="6"/>
        <v/>
      </c>
      <c r="B220" t="str">
        <f t="shared" si="7"/>
        <v/>
      </c>
      <c r="C220" t="str">
        <f t="shared" si="8"/>
        <v/>
      </c>
      <c r="D220" t="str">
        <f t="shared" si="9"/>
        <v/>
      </c>
      <c r="E220">
        <f t="shared" si="10"/>
        <v>0</v>
      </c>
      <c r="F220" t="str">
        <f t="shared" si="11"/>
        <v/>
      </c>
      <c r="G220">
        <f t="shared" si="12"/>
        <v>0</v>
      </c>
      <c r="H220">
        <f>IF(AND(G220=1,COUNTIFS($I$200:I220,I220,$G$200:G220,1)=1),1,0)</f>
        <v>0</v>
      </c>
      <c r="I220" t="str">
        <f t="shared" si="13"/>
        <v/>
      </c>
      <c r="BF220">
        <f t="shared" si="16"/>
        <v>0</v>
      </c>
      <c r="BG220">
        <f t="shared" si="17"/>
        <v>0</v>
      </c>
      <c r="BH220">
        <f t="shared" si="18"/>
        <v>0</v>
      </c>
      <c r="BI220">
        <f t="shared" si="19"/>
        <v>0</v>
      </c>
      <c r="BJ220">
        <f t="shared" si="20"/>
        <v>0</v>
      </c>
      <c r="BK220">
        <f t="shared" si="21"/>
        <v>0</v>
      </c>
      <c r="BL220">
        <f t="shared" si="22"/>
        <v>0</v>
      </c>
      <c r="BM220">
        <f t="shared" si="23"/>
        <v>0</v>
      </c>
      <c r="BN220">
        <f t="shared" si="24"/>
        <v>0</v>
      </c>
      <c r="BO220">
        <f t="shared" si="25"/>
        <v>0</v>
      </c>
      <c r="BP220">
        <f t="shared" si="26"/>
        <v>0</v>
      </c>
      <c r="BQ220">
        <f t="shared" si="27"/>
        <v>0</v>
      </c>
      <c r="BR220">
        <f t="shared" si="28"/>
        <v>0</v>
      </c>
      <c r="BS220">
        <f t="shared" si="29"/>
        <v>0</v>
      </c>
      <c r="BT220">
        <f t="shared" si="30"/>
        <v>0</v>
      </c>
      <c r="BU220">
        <f t="shared" si="31"/>
        <v>0</v>
      </c>
      <c r="BV220">
        <f t="shared" si="32"/>
        <v>0</v>
      </c>
      <c r="BW220">
        <f t="shared" si="33"/>
        <v>0</v>
      </c>
      <c r="CA220" t="str">
        <f>IF(21&gt;ROWS(DGArchive[模组]),"",IF(INDEX(DGArchive[模组],21)="","",INDEX(DGArchive[模组],21)))</f>
        <v/>
      </c>
      <c r="CB220" t="str">
        <f>IF(21&gt;ROWS(DGArchive[阶段]),"",IF(INDEX(DGArchive[阶段],21)="","",INDEX(DGArchive[阶段],21)))</f>
        <v/>
      </c>
      <c r="CC220" t="str">
        <f>IF(21&gt;ROWS(DGArchive[游戏内日期]),"",IF(INDEX(DGArchive[游戏内日期],21)="","",INDEX(DGArchive[游戏内日期],21)))</f>
        <v/>
      </c>
      <c r="CD220" t="str">
        <f>IF(21&gt;ROWS(DGArchive[目标]),"",IF(INDEX(DGArchive[目标],21)="","",INDEX(DGArchive[目标],21)))</f>
        <v/>
      </c>
      <c r="CE220" t="str">
        <f>IF(21&gt;ROWS(DGArchive[变更前]),"",IF(INDEX(DGArchive[变更前],21)="","",INDEX(DGArchive[变更前],21)))</f>
        <v/>
      </c>
      <c r="CF220" t="str">
        <f>IF(21&gt;ROWS(DGArchive[增减]),"",IF(INDEX(DGArchive[增减],21)="","",INDEX(DGArchive[增减],21)))</f>
        <v/>
      </c>
      <c r="CG220" t="str">
        <f>IF(21&gt;ROWS(DGArchive[变更后]),"",IF(INDEX(DGArchive[变更后],21)="","",INDEX(DGArchive[变更后],21)))</f>
        <v/>
      </c>
      <c r="CH220" t="str">
        <f>IF(21&gt;ROWS(DGArchive[事件／活动]),"",IF(INDEX(DGArchive[事件／活动],21)="","",INDEX(DGArchive[事件／活动],21)))</f>
        <v/>
      </c>
      <c r="CI220" t="str">
        <f>IF(21&gt;ROWS(DGArchive[记录编号]),"",IF(INDEX(DGArchive[记录编号],21)="","",INDEX(DGArchive[记录编号],21)))</f>
        <v/>
      </c>
      <c r="CL220">
        <f t="shared" si="14"/>
        <v>0</v>
      </c>
      <c r="CM220">
        <f>IF(AND(A220=$AO$5,B220=$AQ$3,H220=1),COUNTIFS($A$200:A220,$AO$5,$B$200:B220,$AQ$3,$H$200:H220,1),0)</f>
        <v>0</v>
      </c>
      <c r="CN220">
        <f>IF(CA220="",21,1001)</f>
        <v>21</v>
      </c>
      <c r="GA220">
        <f t="shared" si="34"/>
        <v>0</v>
      </c>
      <c r="GB220">
        <f t="shared" si="35"/>
        <v>0</v>
      </c>
      <c r="GC220">
        <f>IF(AND(C220="事件记录",H220=1),COUNTIFS($C$200:C220,"事件记录",$H$200:H220,1),0)</f>
        <v>0</v>
      </c>
      <c r="GD220">
        <f t="shared" si="15"/>
        <v>0</v>
      </c>
      <c r="GH220">
        <f>IF(AND(H220=1,A220=$GA$10,B220=$GA$11),COUNTIFS($A$200:A220,$GA$10,$B$200:B220,$GA$11,$H$200:H220,1),0)</f>
        <v>0</v>
      </c>
    </row>
    <row r="221" spans="1:190">
      <c r="A221" t="str">
        <f t="shared" si="6"/>
        <v/>
      </c>
      <c r="B221" t="str">
        <f t="shared" si="7"/>
        <v/>
      </c>
      <c r="C221" t="str">
        <f t="shared" si="8"/>
        <v/>
      </c>
      <c r="D221" t="str">
        <f t="shared" si="9"/>
        <v/>
      </c>
      <c r="E221">
        <f t="shared" si="10"/>
        <v>0</v>
      </c>
      <c r="F221" t="str">
        <f t="shared" si="11"/>
        <v/>
      </c>
      <c r="G221">
        <f t="shared" si="12"/>
        <v>0</v>
      </c>
      <c r="H221">
        <f>IF(AND(G221=1,COUNTIFS($I$200:I221,I221,$G$200:G221,1)=1),1,0)</f>
        <v>0</v>
      </c>
      <c r="I221" t="str">
        <f t="shared" si="13"/>
        <v/>
      </c>
      <c r="BF221">
        <f t="shared" si="16"/>
        <v>0</v>
      </c>
      <c r="BG221">
        <f t="shared" si="17"/>
        <v>0</v>
      </c>
      <c r="BH221">
        <f t="shared" si="18"/>
        <v>0</v>
      </c>
      <c r="BI221">
        <f t="shared" si="19"/>
        <v>0</v>
      </c>
      <c r="BJ221">
        <f t="shared" si="20"/>
        <v>0</v>
      </c>
      <c r="BK221">
        <f t="shared" si="21"/>
        <v>0</v>
      </c>
      <c r="BL221">
        <f t="shared" si="22"/>
        <v>0</v>
      </c>
      <c r="BM221">
        <f t="shared" si="23"/>
        <v>0</v>
      </c>
      <c r="BN221">
        <f t="shared" si="24"/>
        <v>0</v>
      </c>
      <c r="BO221">
        <f t="shared" si="25"/>
        <v>0</v>
      </c>
      <c r="BP221">
        <f t="shared" si="26"/>
        <v>0</v>
      </c>
      <c r="BQ221">
        <f t="shared" si="27"/>
        <v>0</v>
      </c>
      <c r="BR221">
        <f t="shared" si="28"/>
        <v>0</v>
      </c>
      <c r="BS221">
        <f t="shared" si="29"/>
        <v>0</v>
      </c>
      <c r="BT221">
        <f t="shared" si="30"/>
        <v>0</v>
      </c>
      <c r="BU221">
        <f t="shared" si="31"/>
        <v>0</v>
      </c>
      <c r="BV221">
        <f t="shared" si="32"/>
        <v>0</v>
      </c>
      <c r="BW221">
        <f t="shared" si="33"/>
        <v>0</v>
      </c>
      <c r="CA221" t="str">
        <f>IF(22&gt;ROWS(DGArchive[模组]),"",IF(INDEX(DGArchive[模组],22)="","",INDEX(DGArchive[模组],22)))</f>
        <v/>
      </c>
      <c r="CB221" t="str">
        <f>IF(22&gt;ROWS(DGArchive[阶段]),"",IF(INDEX(DGArchive[阶段],22)="","",INDEX(DGArchive[阶段],22)))</f>
        <v/>
      </c>
      <c r="CC221" t="str">
        <f>IF(22&gt;ROWS(DGArchive[游戏内日期]),"",IF(INDEX(DGArchive[游戏内日期],22)="","",INDEX(DGArchive[游戏内日期],22)))</f>
        <v/>
      </c>
      <c r="CD221" t="str">
        <f>IF(22&gt;ROWS(DGArchive[目标]),"",IF(INDEX(DGArchive[目标],22)="","",INDEX(DGArchive[目标],22)))</f>
        <v/>
      </c>
      <c r="CE221" t="str">
        <f>IF(22&gt;ROWS(DGArchive[变更前]),"",IF(INDEX(DGArchive[变更前],22)="","",INDEX(DGArchive[变更前],22)))</f>
        <v/>
      </c>
      <c r="CF221" t="str">
        <f>IF(22&gt;ROWS(DGArchive[增减]),"",IF(INDEX(DGArchive[增减],22)="","",INDEX(DGArchive[增减],22)))</f>
        <v/>
      </c>
      <c r="CG221" t="str">
        <f>IF(22&gt;ROWS(DGArchive[变更后]),"",IF(INDEX(DGArchive[变更后],22)="","",INDEX(DGArchive[变更后],22)))</f>
        <v/>
      </c>
      <c r="CH221" t="str">
        <f>IF(22&gt;ROWS(DGArchive[事件／活动]),"",IF(INDEX(DGArchive[事件／活动],22)="","",INDEX(DGArchive[事件／活动],22)))</f>
        <v/>
      </c>
      <c r="CI221" t="str">
        <f>IF(22&gt;ROWS(DGArchive[记录编号]),"",IF(INDEX(DGArchive[记录编号],22)="","",INDEX(DGArchive[记录编号],22)))</f>
        <v/>
      </c>
      <c r="CL221">
        <f t="shared" si="14"/>
        <v>0</v>
      </c>
      <c r="CM221">
        <f>IF(AND(A221=$AO$5,B221=$AQ$3,H221=1),COUNTIFS($A$200:A221,$AO$5,$B$200:B221,$AQ$3,$H$200:H221,1),0)</f>
        <v>0</v>
      </c>
      <c r="CN221">
        <f>IF(CA221="",22,1001)</f>
        <v>22</v>
      </c>
      <c r="GA221">
        <f t="shared" si="34"/>
        <v>0</v>
      </c>
      <c r="GB221">
        <f t="shared" si="35"/>
        <v>0</v>
      </c>
      <c r="GC221">
        <f>IF(AND(C221="事件记录",H221=1),COUNTIFS($C$200:C221,"事件记录",$H$200:H221,1),0)</f>
        <v>0</v>
      </c>
      <c r="GD221">
        <f t="shared" si="15"/>
        <v>0</v>
      </c>
      <c r="GH221">
        <f>IF(AND(H221=1,A221=$GA$10,B221=$GA$11),COUNTIFS($A$200:A221,$GA$10,$B$200:B221,$GA$11,$H$200:H221,1),0)</f>
        <v>0</v>
      </c>
    </row>
    <row r="222" spans="1:190">
      <c r="A222" t="str">
        <f t="shared" si="6"/>
        <v/>
      </c>
      <c r="B222" t="str">
        <f t="shared" si="7"/>
        <v/>
      </c>
      <c r="C222" t="str">
        <f t="shared" si="8"/>
        <v/>
      </c>
      <c r="D222" t="str">
        <f t="shared" si="9"/>
        <v/>
      </c>
      <c r="E222">
        <f t="shared" si="10"/>
        <v>0</v>
      </c>
      <c r="F222" t="str">
        <f t="shared" si="11"/>
        <v/>
      </c>
      <c r="G222">
        <f t="shared" si="12"/>
        <v>0</v>
      </c>
      <c r="H222">
        <f>IF(AND(G222=1,COUNTIFS($I$200:I222,I222,$G$200:G222,1)=1),1,0)</f>
        <v>0</v>
      </c>
      <c r="I222" t="str">
        <f t="shared" si="13"/>
        <v/>
      </c>
      <c r="BF222">
        <f t="shared" si="16"/>
        <v>0</v>
      </c>
      <c r="BG222">
        <f t="shared" si="17"/>
        <v>0</v>
      </c>
      <c r="BH222">
        <f t="shared" si="18"/>
        <v>0</v>
      </c>
      <c r="BI222">
        <f t="shared" si="19"/>
        <v>0</v>
      </c>
      <c r="BJ222">
        <f t="shared" si="20"/>
        <v>0</v>
      </c>
      <c r="BK222">
        <f t="shared" si="21"/>
        <v>0</v>
      </c>
      <c r="BL222">
        <f t="shared" si="22"/>
        <v>0</v>
      </c>
      <c r="BM222">
        <f t="shared" si="23"/>
        <v>0</v>
      </c>
      <c r="BN222">
        <f t="shared" si="24"/>
        <v>0</v>
      </c>
      <c r="BO222">
        <f t="shared" si="25"/>
        <v>0</v>
      </c>
      <c r="BP222">
        <f t="shared" si="26"/>
        <v>0</v>
      </c>
      <c r="BQ222">
        <f t="shared" si="27"/>
        <v>0</v>
      </c>
      <c r="BR222">
        <f t="shared" si="28"/>
        <v>0</v>
      </c>
      <c r="BS222">
        <f t="shared" si="29"/>
        <v>0</v>
      </c>
      <c r="BT222">
        <f t="shared" si="30"/>
        <v>0</v>
      </c>
      <c r="BU222">
        <f t="shared" si="31"/>
        <v>0</v>
      </c>
      <c r="BV222">
        <f t="shared" si="32"/>
        <v>0</v>
      </c>
      <c r="BW222">
        <f t="shared" si="33"/>
        <v>0</v>
      </c>
      <c r="CA222" t="str">
        <f>IF(23&gt;ROWS(DGArchive[模组]),"",IF(INDEX(DGArchive[模组],23)="","",INDEX(DGArchive[模组],23)))</f>
        <v/>
      </c>
      <c r="CB222" t="str">
        <f>IF(23&gt;ROWS(DGArchive[阶段]),"",IF(INDEX(DGArchive[阶段],23)="","",INDEX(DGArchive[阶段],23)))</f>
        <v/>
      </c>
      <c r="CC222" t="str">
        <f>IF(23&gt;ROWS(DGArchive[游戏内日期]),"",IF(INDEX(DGArchive[游戏内日期],23)="","",INDEX(DGArchive[游戏内日期],23)))</f>
        <v/>
      </c>
      <c r="CD222" t="str">
        <f>IF(23&gt;ROWS(DGArchive[目标]),"",IF(INDEX(DGArchive[目标],23)="","",INDEX(DGArchive[目标],23)))</f>
        <v/>
      </c>
      <c r="CE222" t="str">
        <f>IF(23&gt;ROWS(DGArchive[变更前]),"",IF(INDEX(DGArchive[变更前],23)="","",INDEX(DGArchive[变更前],23)))</f>
        <v/>
      </c>
      <c r="CF222" t="str">
        <f>IF(23&gt;ROWS(DGArchive[增减]),"",IF(INDEX(DGArchive[增减],23)="","",INDEX(DGArchive[增减],23)))</f>
        <v/>
      </c>
      <c r="CG222" t="str">
        <f>IF(23&gt;ROWS(DGArchive[变更后]),"",IF(INDEX(DGArchive[变更后],23)="","",INDEX(DGArchive[变更后],23)))</f>
        <v/>
      </c>
      <c r="CH222" t="str">
        <f>IF(23&gt;ROWS(DGArchive[事件／活动]),"",IF(INDEX(DGArchive[事件／活动],23)="","",INDEX(DGArchive[事件／活动],23)))</f>
        <v/>
      </c>
      <c r="CI222" t="str">
        <f>IF(23&gt;ROWS(DGArchive[记录编号]),"",IF(INDEX(DGArchive[记录编号],23)="","",INDEX(DGArchive[记录编号],23)))</f>
        <v/>
      </c>
      <c r="CL222">
        <f t="shared" si="14"/>
        <v>0</v>
      </c>
      <c r="CM222">
        <f>IF(AND(A222=$AO$5,B222=$AQ$3,H222=1),COUNTIFS($A$200:A222,$AO$5,$B$200:B222,$AQ$3,$H$200:H222,1),0)</f>
        <v>0</v>
      </c>
      <c r="CN222">
        <f>IF(CA222="",23,1001)</f>
        <v>23</v>
      </c>
      <c r="GA222">
        <f t="shared" si="34"/>
        <v>0</v>
      </c>
      <c r="GB222">
        <f t="shared" si="35"/>
        <v>0</v>
      </c>
      <c r="GC222">
        <f>IF(AND(C222="事件记录",H222=1),COUNTIFS($C$200:C222,"事件记录",$H$200:H222,1),0)</f>
        <v>0</v>
      </c>
      <c r="GD222">
        <f t="shared" si="15"/>
        <v>0</v>
      </c>
      <c r="GH222">
        <f>IF(AND(H222=1,A222=$GA$10,B222=$GA$11),COUNTIFS($A$200:A222,$GA$10,$B$200:B222,$GA$11,$H$200:H222,1),0)</f>
        <v>0</v>
      </c>
    </row>
    <row r="223" spans="1:190">
      <c r="A223" t="str">
        <f t="shared" si="6"/>
        <v/>
      </c>
      <c r="B223" t="str">
        <f t="shared" si="7"/>
        <v/>
      </c>
      <c r="C223" t="str">
        <f t="shared" si="8"/>
        <v/>
      </c>
      <c r="D223" t="str">
        <f t="shared" si="9"/>
        <v/>
      </c>
      <c r="E223">
        <f t="shared" si="10"/>
        <v>0</v>
      </c>
      <c r="F223" t="str">
        <f t="shared" si="11"/>
        <v/>
      </c>
      <c r="G223">
        <f t="shared" si="12"/>
        <v>0</v>
      </c>
      <c r="H223">
        <f>IF(AND(G223=1,COUNTIFS($I$200:I223,I223,$G$200:G223,1)=1),1,0)</f>
        <v>0</v>
      </c>
      <c r="I223" t="str">
        <f t="shared" si="13"/>
        <v/>
      </c>
      <c r="BF223">
        <f t="shared" si="16"/>
        <v>0</v>
      </c>
      <c r="BG223">
        <f t="shared" si="17"/>
        <v>0</v>
      </c>
      <c r="BH223">
        <f t="shared" si="18"/>
        <v>0</v>
      </c>
      <c r="BI223">
        <f t="shared" si="19"/>
        <v>0</v>
      </c>
      <c r="BJ223">
        <f t="shared" si="20"/>
        <v>0</v>
      </c>
      <c r="BK223">
        <f t="shared" si="21"/>
        <v>0</v>
      </c>
      <c r="BL223">
        <f t="shared" si="22"/>
        <v>0</v>
      </c>
      <c r="BM223">
        <f t="shared" si="23"/>
        <v>0</v>
      </c>
      <c r="BN223">
        <f t="shared" si="24"/>
        <v>0</v>
      </c>
      <c r="BO223">
        <f t="shared" si="25"/>
        <v>0</v>
      </c>
      <c r="BP223">
        <f t="shared" si="26"/>
        <v>0</v>
      </c>
      <c r="BQ223">
        <f t="shared" si="27"/>
        <v>0</v>
      </c>
      <c r="BR223">
        <f t="shared" si="28"/>
        <v>0</v>
      </c>
      <c r="BS223">
        <f t="shared" si="29"/>
        <v>0</v>
      </c>
      <c r="BT223">
        <f t="shared" si="30"/>
        <v>0</v>
      </c>
      <c r="BU223">
        <f t="shared" si="31"/>
        <v>0</v>
      </c>
      <c r="BV223">
        <f t="shared" si="32"/>
        <v>0</v>
      </c>
      <c r="BW223">
        <f t="shared" si="33"/>
        <v>0</v>
      </c>
      <c r="CA223" t="str">
        <f>IF(24&gt;ROWS(DGArchive[模组]),"",IF(INDEX(DGArchive[模组],24)="","",INDEX(DGArchive[模组],24)))</f>
        <v/>
      </c>
      <c r="CB223" t="str">
        <f>IF(24&gt;ROWS(DGArchive[阶段]),"",IF(INDEX(DGArchive[阶段],24)="","",INDEX(DGArchive[阶段],24)))</f>
        <v/>
      </c>
      <c r="CC223" t="str">
        <f>IF(24&gt;ROWS(DGArchive[游戏内日期]),"",IF(INDEX(DGArchive[游戏内日期],24)="","",INDEX(DGArchive[游戏内日期],24)))</f>
        <v/>
      </c>
      <c r="CD223" t="str">
        <f>IF(24&gt;ROWS(DGArchive[目标]),"",IF(INDEX(DGArchive[目标],24)="","",INDEX(DGArchive[目标],24)))</f>
        <v/>
      </c>
      <c r="CE223" t="str">
        <f>IF(24&gt;ROWS(DGArchive[变更前]),"",IF(INDEX(DGArchive[变更前],24)="","",INDEX(DGArchive[变更前],24)))</f>
        <v/>
      </c>
      <c r="CF223" t="str">
        <f>IF(24&gt;ROWS(DGArchive[增减]),"",IF(INDEX(DGArchive[增减],24)="","",INDEX(DGArchive[增减],24)))</f>
        <v/>
      </c>
      <c r="CG223" t="str">
        <f>IF(24&gt;ROWS(DGArchive[变更后]),"",IF(INDEX(DGArchive[变更后],24)="","",INDEX(DGArchive[变更后],24)))</f>
        <v/>
      </c>
      <c r="CH223" t="str">
        <f>IF(24&gt;ROWS(DGArchive[事件／活动]),"",IF(INDEX(DGArchive[事件／活动],24)="","",INDEX(DGArchive[事件／活动],24)))</f>
        <v/>
      </c>
      <c r="CI223" t="str">
        <f>IF(24&gt;ROWS(DGArchive[记录编号]),"",IF(INDEX(DGArchive[记录编号],24)="","",INDEX(DGArchive[记录编号],24)))</f>
        <v/>
      </c>
      <c r="CL223">
        <f t="shared" si="14"/>
        <v>0</v>
      </c>
      <c r="CM223">
        <f>IF(AND(A223=$AO$5,B223=$AQ$3,H223=1),COUNTIFS($A$200:A223,$AO$5,$B$200:B223,$AQ$3,$H$200:H223,1),0)</f>
        <v>0</v>
      </c>
      <c r="CN223">
        <f>IF(CA223="",24,1001)</f>
        <v>24</v>
      </c>
      <c r="GA223">
        <f t="shared" si="34"/>
        <v>0</v>
      </c>
      <c r="GB223">
        <f t="shared" si="35"/>
        <v>0</v>
      </c>
      <c r="GC223">
        <f>IF(AND(C223="事件记录",H223=1),COUNTIFS($C$200:C223,"事件记录",$H$200:H223,1),0)</f>
        <v>0</v>
      </c>
      <c r="GD223">
        <f t="shared" si="15"/>
        <v>0</v>
      </c>
      <c r="GH223">
        <f>IF(AND(H223=1,A223=$GA$10,B223=$GA$11),COUNTIFS($A$200:A223,$GA$10,$B$200:B223,$GA$11,$H$200:H223,1),0)</f>
        <v>0</v>
      </c>
    </row>
    <row r="224" spans="1:190">
      <c r="A224" t="str">
        <f t="shared" si="6"/>
        <v/>
      </c>
      <c r="B224" t="str">
        <f t="shared" si="7"/>
        <v/>
      </c>
      <c r="C224" t="str">
        <f t="shared" si="8"/>
        <v/>
      </c>
      <c r="D224" t="str">
        <f t="shared" si="9"/>
        <v/>
      </c>
      <c r="E224">
        <f t="shared" si="10"/>
        <v>0</v>
      </c>
      <c r="F224" t="str">
        <f t="shared" si="11"/>
        <v/>
      </c>
      <c r="G224">
        <f t="shared" si="12"/>
        <v>0</v>
      </c>
      <c r="H224">
        <f>IF(AND(G224=1,COUNTIFS($I$200:I224,I224,$G$200:G224,1)=1),1,0)</f>
        <v>0</v>
      </c>
      <c r="I224" t="str">
        <f t="shared" si="13"/>
        <v/>
      </c>
      <c r="BF224">
        <f t="shared" si="16"/>
        <v>0</v>
      </c>
      <c r="BG224">
        <f t="shared" si="17"/>
        <v>0</v>
      </c>
      <c r="BH224">
        <f t="shared" si="18"/>
        <v>0</v>
      </c>
      <c r="BI224">
        <f t="shared" si="19"/>
        <v>0</v>
      </c>
      <c r="BJ224">
        <f t="shared" si="20"/>
        <v>0</v>
      </c>
      <c r="BK224">
        <f t="shared" si="21"/>
        <v>0</v>
      </c>
      <c r="BL224">
        <f t="shared" si="22"/>
        <v>0</v>
      </c>
      <c r="BM224">
        <f t="shared" si="23"/>
        <v>0</v>
      </c>
      <c r="BN224">
        <f t="shared" si="24"/>
        <v>0</v>
      </c>
      <c r="BO224">
        <f t="shared" si="25"/>
        <v>0</v>
      </c>
      <c r="BP224">
        <f t="shared" si="26"/>
        <v>0</v>
      </c>
      <c r="BQ224">
        <f t="shared" si="27"/>
        <v>0</v>
      </c>
      <c r="BR224">
        <f t="shared" si="28"/>
        <v>0</v>
      </c>
      <c r="BS224">
        <f t="shared" si="29"/>
        <v>0</v>
      </c>
      <c r="BT224">
        <f t="shared" si="30"/>
        <v>0</v>
      </c>
      <c r="BU224">
        <f t="shared" si="31"/>
        <v>0</v>
      </c>
      <c r="BV224">
        <f t="shared" si="32"/>
        <v>0</v>
      </c>
      <c r="BW224">
        <f t="shared" si="33"/>
        <v>0</v>
      </c>
      <c r="CA224" t="str">
        <f>IF(25&gt;ROWS(DGArchive[模组]),"",IF(INDEX(DGArchive[模组],25)="","",INDEX(DGArchive[模组],25)))</f>
        <v/>
      </c>
      <c r="CB224" t="str">
        <f>IF(25&gt;ROWS(DGArchive[阶段]),"",IF(INDEX(DGArchive[阶段],25)="","",INDEX(DGArchive[阶段],25)))</f>
        <v/>
      </c>
      <c r="CC224" t="str">
        <f>IF(25&gt;ROWS(DGArchive[游戏内日期]),"",IF(INDEX(DGArchive[游戏内日期],25)="","",INDEX(DGArchive[游戏内日期],25)))</f>
        <v/>
      </c>
      <c r="CD224" t="str">
        <f>IF(25&gt;ROWS(DGArchive[目标]),"",IF(INDEX(DGArchive[目标],25)="","",INDEX(DGArchive[目标],25)))</f>
        <v/>
      </c>
      <c r="CE224" t="str">
        <f>IF(25&gt;ROWS(DGArchive[变更前]),"",IF(INDEX(DGArchive[变更前],25)="","",INDEX(DGArchive[变更前],25)))</f>
        <v/>
      </c>
      <c r="CF224" t="str">
        <f>IF(25&gt;ROWS(DGArchive[增减]),"",IF(INDEX(DGArchive[增减],25)="","",INDEX(DGArchive[增减],25)))</f>
        <v/>
      </c>
      <c r="CG224" t="str">
        <f>IF(25&gt;ROWS(DGArchive[变更后]),"",IF(INDEX(DGArchive[变更后],25)="","",INDEX(DGArchive[变更后],25)))</f>
        <v/>
      </c>
      <c r="CH224" t="str">
        <f>IF(25&gt;ROWS(DGArchive[事件／活动]),"",IF(INDEX(DGArchive[事件／活动],25)="","",INDEX(DGArchive[事件／活动],25)))</f>
        <v/>
      </c>
      <c r="CI224" t="str">
        <f>IF(25&gt;ROWS(DGArchive[记录编号]),"",IF(INDEX(DGArchive[记录编号],25)="","",INDEX(DGArchive[记录编号],25)))</f>
        <v/>
      </c>
      <c r="CL224">
        <f t="shared" si="14"/>
        <v>0</v>
      </c>
      <c r="CM224">
        <f>IF(AND(A224=$AO$5,B224=$AQ$3,H224=1),COUNTIFS($A$200:A224,$AO$5,$B$200:B224,$AQ$3,$H$200:H224,1),0)</f>
        <v>0</v>
      </c>
      <c r="CN224">
        <f>IF(CA224="",25,1001)</f>
        <v>25</v>
      </c>
      <c r="GA224">
        <f t="shared" si="34"/>
        <v>0</v>
      </c>
      <c r="GB224">
        <f t="shared" si="35"/>
        <v>0</v>
      </c>
      <c r="GC224">
        <f>IF(AND(C224="事件记录",H224=1),COUNTIFS($C$200:C224,"事件记录",$H$200:H224,1),0)</f>
        <v>0</v>
      </c>
      <c r="GD224">
        <f t="shared" si="15"/>
        <v>0</v>
      </c>
      <c r="GH224">
        <f>IF(AND(H224=1,A224=$GA$10,B224=$GA$11),COUNTIFS($A$200:A224,$GA$10,$B$200:B224,$GA$11,$H$200:H224,1),0)</f>
        <v>0</v>
      </c>
    </row>
    <row r="225" spans="1:190">
      <c r="A225" t="str">
        <f t="shared" si="6"/>
        <v/>
      </c>
      <c r="B225" t="str">
        <f t="shared" si="7"/>
        <v/>
      </c>
      <c r="C225" t="str">
        <f t="shared" si="8"/>
        <v/>
      </c>
      <c r="D225" t="str">
        <f t="shared" si="9"/>
        <v/>
      </c>
      <c r="E225">
        <f t="shared" si="10"/>
        <v>0</v>
      </c>
      <c r="F225" t="str">
        <f t="shared" si="11"/>
        <v/>
      </c>
      <c r="G225">
        <f t="shared" si="12"/>
        <v>0</v>
      </c>
      <c r="H225">
        <f>IF(AND(G225=1,COUNTIFS($I$200:I225,I225,$G$200:G225,1)=1),1,0)</f>
        <v>0</v>
      </c>
      <c r="I225" t="str">
        <f t="shared" si="13"/>
        <v/>
      </c>
      <c r="BF225">
        <f t="shared" si="16"/>
        <v>0</v>
      </c>
      <c r="BG225">
        <f t="shared" si="17"/>
        <v>0</v>
      </c>
      <c r="BH225">
        <f t="shared" si="18"/>
        <v>0</v>
      </c>
      <c r="BI225">
        <f t="shared" si="19"/>
        <v>0</v>
      </c>
      <c r="BJ225">
        <f t="shared" si="20"/>
        <v>0</v>
      </c>
      <c r="BK225">
        <f t="shared" si="21"/>
        <v>0</v>
      </c>
      <c r="BL225">
        <f t="shared" si="22"/>
        <v>0</v>
      </c>
      <c r="BM225">
        <f t="shared" si="23"/>
        <v>0</v>
      </c>
      <c r="BN225">
        <f t="shared" si="24"/>
        <v>0</v>
      </c>
      <c r="BO225">
        <f t="shared" si="25"/>
        <v>0</v>
      </c>
      <c r="BP225">
        <f t="shared" si="26"/>
        <v>0</v>
      </c>
      <c r="BQ225">
        <f t="shared" si="27"/>
        <v>0</v>
      </c>
      <c r="BR225">
        <f t="shared" si="28"/>
        <v>0</v>
      </c>
      <c r="BS225">
        <f t="shared" si="29"/>
        <v>0</v>
      </c>
      <c r="BT225">
        <f t="shared" si="30"/>
        <v>0</v>
      </c>
      <c r="BU225">
        <f t="shared" si="31"/>
        <v>0</v>
      </c>
      <c r="BV225">
        <f t="shared" si="32"/>
        <v>0</v>
      </c>
      <c r="BW225">
        <f t="shared" si="33"/>
        <v>0</v>
      </c>
      <c r="CA225" t="str">
        <f>IF(26&gt;ROWS(DGArchive[模组]),"",IF(INDEX(DGArchive[模组],26)="","",INDEX(DGArchive[模组],26)))</f>
        <v/>
      </c>
      <c r="CB225" t="str">
        <f>IF(26&gt;ROWS(DGArchive[阶段]),"",IF(INDEX(DGArchive[阶段],26)="","",INDEX(DGArchive[阶段],26)))</f>
        <v/>
      </c>
      <c r="CC225" t="str">
        <f>IF(26&gt;ROWS(DGArchive[游戏内日期]),"",IF(INDEX(DGArchive[游戏内日期],26)="","",INDEX(DGArchive[游戏内日期],26)))</f>
        <v/>
      </c>
      <c r="CD225" t="str">
        <f>IF(26&gt;ROWS(DGArchive[目标]),"",IF(INDEX(DGArchive[目标],26)="","",INDEX(DGArchive[目标],26)))</f>
        <v/>
      </c>
      <c r="CE225" t="str">
        <f>IF(26&gt;ROWS(DGArchive[变更前]),"",IF(INDEX(DGArchive[变更前],26)="","",INDEX(DGArchive[变更前],26)))</f>
        <v/>
      </c>
      <c r="CF225" t="str">
        <f>IF(26&gt;ROWS(DGArchive[增减]),"",IF(INDEX(DGArchive[增减],26)="","",INDEX(DGArchive[增减],26)))</f>
        <v/>
      </c>
      <c r="CG225" t="str">
        <f>IF(26&gt;ROWS(DGArchive[变更后]),"",IF(INDEX(DGArchive[变更后],26)="","",INDEX(DGArchive[变更后],26)))</f>
        <v/>
      </c>
      <c r="CH225" t="str">
        <f>IF(26&gt;ROWS(DGArchive[事件／活动]),"",IF(INDEX(DGArchive[事件／活动],26)="","",INDEX(DGArchive[事件／活动],26)))</f>
        <v/>
      </c>
      <c r="CI225" t="str">
        <f>IF(26&gt;ROWS(DGArchive[记录编号]),"",IF(INDEX(DGArchive[记录编号],26)="","",INDEX(DGArchive[记录编号],26)))</f>
        <v/>
      </c>
      <c r="CL225">
        <f t="shared" si="14"/>
        <v>0</v>
      </c>
      <c r="CM225">
        <f>IF(AND(A225=$AO$5,B225=$AQ$3,H225=1),COUNTIFS($A$200:A225,$AO$5,$B$200:B225,$AQ$3,$H$200:H225,1),0)</f>
        <v>0</v>
      </c>
      <c r="CN225">
        <f>IF(CA225="",26,1001)</f>
        <v>26</v>
      </c>
      <c r="GA225">
        <f t="shared" si="34"/>
        <v>0</v>
      </c>
      <c r="GB225">
        <f t="shared" si="35"/>
        <v>0</v>
      </c>
      <c r="GC225">
        <f>IF(AND(C225="事件记录",H225=1),COUNTIFS($C$200:C225,"事件记录",$H$200:H225,1),0)</f>
        <v>0</v>
      </c>
      <c r="GD225">
        <f t="shared" si="15"/>
        <v>0</v>
      </c>
      <c r="GH225">
        <f>IF(AND(H225=1,A225=$GA$10,B225=$GA$11),COUNTIFS($A$200:A225,$GA$10,$B$200:B225,$GA$11,$H$200:H225,1),0)</f>
        <v>0</v>
      </c>
    </row>
    <row r="226" spans="1:190">
      <c r="A226" t="str">
        <f t="shared" si="6"/>
        <v/>
      </c>
      <c r="B226" t="str">
        <f t="shared" si="7"/>
        <v/>
      </c>
      <c r="C226" t="str">
        <f t="shared" si="8"/>
        <v/>
      </c>
      <c r="D226" t="str">
        <f t="shared" si="9"/>
        <v/>
      </c>
      <c r="E226">
        <f t="shared" si="10"/>
        <v>0</v>
      </c>
      <c r="F226" t="str">
        <f t="shared" si="11"/>
        <v/>
      </c>
      <c r="G226">
        <f t="shared" si="12"/>
        <v>0</v>
      </c>
      <c r="H226">
        <f>IF(AND(G226=1,COUNTIFS($I$200:I226,I226,$G$200:G226,1)=1),1,0)</f>
        <v>0</v>
      </c>
      <c r="I226" t="str">
        <f t="shared" si="13"/>
        <v/>
      </c>
      <c r="BF226">
        <f t="shared" si="16"/>
        <v>0</v>
      </c>
      <c r="BG226">
        <f t="shared" si="17"/>
        <v>0</v>
      </c>
      <c r="BH226">
        <f t="shared" si="18"/>
        <v>0</v>
      </c>
      <c r="BI226">
        <f t="shared" si="19"/>
        <v>0</v>
      </c>
      <c r="BJ226">
        <f t="shared" si="20"/>
        <v>0</v>
      </c>
      <c r="BK226">
        <f t="shared" si="21"/>
        <v>0</v>
      </c>
      <c r="BL226">
        <f t="shared" si="22"/>
        <v>0</v>
      </c>
      <c r="BM226">
        <f t="shared" si="23"/>
        <v>0</v>
      </c>
      <c r="BN226">
        <f t="shared" si="24"/>
        <v>0</v>
      </c>
      <c r="BO226">
        <f t="shared" si="25"/>
        <v>0</v>
      </c>
      <c r="BP226">
        <f t="shared" si="26"/>
        <v>0</v>
      </c>
      <c r="BQ226">
        <f t="shared" si="27"/>
        <v>0</v>
      </c>
      <c r="BR226">
        <f t="shared" si="28"/>
        <v>0</v>
      </c>
      <c r="BS226">
        <f t="shared" si="29"/>
        <v>0</v>
      </c>
      <c r="BT226">
        <f t="shared" si="30"/>
        <v>0</v>
      </c>
      <c r="BU226">
        <f t="shared" si="31"/>
        <v>0</v>
      </c>
      <c r="BV226">
        <f t="shared" si="32"/>
        <v>0</v>
      </c>
      <c r="BW226">
        <f t="shared" si="33"/>
        <v>0</v>
      </c>
      <c r="CA226" t="str">
        <f>IF(27&gt;ROWS(DGArchive[模组]),"",IF(INDEX(DGArchive[模组],27)="","",INDEX(DGArchive[模组],27)))</f>
        <v/>
      </c>
      <c r="CB226" t="str">
        <f>IF(27&gt;ROWS(DGArchive[阶段]),"",IF(INDEX(DGArchive[阶段],27)="","",INDEX(DGArchive[阶段],27)))</f>
        <v/>
      </c>
      <c r="CC226" t="str">
        <f>IF(27&gt;ROWS(DGArchive[游戏内日期]),"",IF(INDEX(DGArchive[游戏内日期],27)="","",INDEX(DGArchive[游戏内日期],27)))</f>
        <v/>
      </c>
      <c r="CD226" t="str">
        <f>IF(27&gt;ROWS(DGArchive[目标]),"",IF(INDEX(DGArchive[目标],27)="","",INDEX(DGArchive[目标],27)))</f>
        <v/>
      </c>
      <c r="CE226" t="str">
        <f>IF(27&gt;ROWS(DGArchive[变更前]),"",IF(INDEX(DGArchive[变更前],27)="","",INDEX(DGArchive[变更前],27)))</f>
        <v/>
      </c>
      <c r="CF226" t="str">
        <f>IF(27&gt;ROWS(DGArchive[增减]),"",IF(INDEX(DGArchive[增减],27)="","",INDEX(DGArchive[增减],27)))</f>
        <v/>
      </c>
      <c r="CG226" t="str">
        <f>IF(27&gt;ROWS(DGArchive[变更后]),"",IF(INDEX(DGArchive[变更后],27)="","",INDEX(DGArchive[变更后],27)))</f>
        <v/>
      </c>
      <c r="CH226" t="str">
        <f>IF(27&gt;ROWS(DGArchive[事件／活动]),"",IF(INDEX(DGArchive[事件／活动],27)="","",INDEX(DGArchive[事件／活动],27)))</f>
        <v/>
      </c>
      <c r="CI226" t="str">
        <f>IF(27&gt;ROWS(DGArchive[记录编号]),"",IF(INDEX(DGArchive[记录编号],27)="","",INDEX(DGArchive[记录编号],27)))</f>
        <v/>
      </c>
      <c r="CL226">
        <f t="shared" si="14"/>
        <v>0</v>
      </c>
      <c r="CM226">
        <f>IF(AND(A226=$AO$5,B226=$AQ$3,H226=1),COUNTIFS($A$200:A226,$AO$5,$B$200:B226,$AQ$3,$H$200:H226,1),0)</f>
        <v>0</v>
      </c>
      <c r="CN226">
        <f>IF(CA226="",27,1001)</f>
        <v>27</v>
      </c>
      <c r="GA226">
        <f t="shared" si="34"/>
        <v>0</v>
      </c>
      <c r="GB226">
        <f t="shared" si="35"/>
        <v>0</v>
      </c>
      <c r="GC226">
        <f>IF(AND(C226="事件记录",H226=1),COUNTIFS($C$200:C226,"事件记录",$H$200:H226,1),0)</f>
        <v>0</v>
      </c>
      <c r="GD226">
        <f t="shared" si="15"/>
        <v>0</v>
      </c>
      <c r="GH226">
        <f>IF(AND(H226=1,A226=$GA$10,B226=$GA$11),COUNTIFS($A$200:A226,$GA$10,$B$200:B226,$GA$11,$H$200:H226,1),0)</f>
        <v>0</v>
      </c>
    </row>
    <row r="227" spans="1:190">
      <c r="A227" t="str">
        <f t="shared" si="6"/>
        <v/>
      </c>
      <c r="B227" t="str">
        <f t="shared" si="7"/>
        <v/>
      </c>
      <c r="C227" t="str">
        <f t="shared" si="8"/>
        <v/>
      </c>
      <c r="D227" t="str">
        <f t="shared" si="9"/>
        <v/>
      </c>
      <c r="E227">
        <f t="shared" si="10"/>
        <v>0</v>
      </c>
      <c r="F227" t="str">
        <f t="shared" si="11"/>
        <v/>
      </c>
      <c r="G227">
        <f t="shared" si="12"/>
        <v>0</v>
      </c>
      <c r="H227">
        <f>IF(AND(G227=1,COUNTIFS($I$200:I227,I227,$G$200:G227,1)=1),1,0)</f>
        <v>0</v>
      </c>
      <c r="I227" t="str">
        <f t="shared" si="13"/>
        <v/>
      </c>
      <c r="BF227">
        <f t="shared" si="16"/>
        <v>0</v>
      </c>
      <c r="BG227">
        <f t="shared" si="17"/>
        <v>0</v>
      </c>
      <c r="BH227">
        <f t="shared" si="18"/>
        <v>0</v>
      </c>
      <c r="BI227">
        <f t="shared" si="19"/>
        <v>0</v>
      </c>
      <c r="BJ227">
        <f t="shared" si="20"/>
        <v>0</v>
      </c>
      <c r="BK227">
        <f t="shared" si="21"/>
        <v>0</v>
      </c>
      <c r="BL227">
        <f t="shared" si="22"/>
        <v>0</v>
      </c>
      <c r="BM227">
        <f t="shared" si="23"/>
        <v>0</v>
      </c>
      <c r="BN227">
        <f t="shared" si="24"/>
        <v>0</v>
      </c>
      <c r="BO227">
        <f t="shared" si="25"/>
        <v>0</v>
      </c>
      <c r="BP227">
        <f t="shared" si="26"/>
        <v>0</v>
      </c>
      <c r="BQ227">
        <f t="shared" si="27"/>
        <v>0</v>
      </c>
      <c r="BR227">
        <f t="shared" si="28"/>
        <v>0</v>
      </c>
      <c r="BS227">
        <f t="shared" si="29"/>
        <v>0</v>
      </c>
      <c r="BT227">
        <f t="shared" si="30"/>
        <v>0</v>
      </c>
      <c r="BU227">
        <f t="shared" si="31"/>
        <v>0</v>
      </c>
      <c r="BV227">
        <f t="shared" si="32"/>
        <v>0</v>
      </c>
      <c r="BW227">
        <f t="shared" si="33"/>
        <v>0</v>
      </c>
      <c r="CA227" t="str">
        <f>IF(28&gt;ROWS(DGArchive[模组]),"",IF(INDEX(DGArchive[模组],28)="","",INDEX(DGArchive[模组],28)))</f>
        <v/>
      </c>
      <c r="CB227" t="str">
        <f>IF(28&gt;ROWS(DGArchive[阶段]),"",IF(INDEX(DGArchive[阶段],28)="","",INDEX(DGArchive[阶段],28)))</f>
        <v/>
      </c>
      <c r="CC227" t="str">
        <f>IF(28&gt;ROWS(DGArchive[游戏内日期]),"",IF(INDEX(DGArchive[游戏内日期],28)="","",INDEX(DGArchive[游戏内日期],28)))</f>
        <v/>
      </c>
      <c r="CD227" t="str">
        <f>IF(28&gt;ROWS(DGArchive[目标]),"",IF(INDEX(DGArchive[目标],28)="","",INDEX(DGArchive[目标],28)))</f>
        <v/>
      </c>
      <c r="CE227" t="str">
        <f>IF(28&gt;ROWS(DGArchive[变更前]),"",IF(INDEX(DGArchive[变更前],28)="","",INDEX(DGArchive[变更前],28)))</f>
        <v/>
      </c>
      <c r="CF227" t="str">
        <f>IF(28&gt;ROWS(DGArchive[增减]),"",IF(INDEX(DGArchive[增减],28)="","",INDEX(DGArchive[增减],28)))</f>
        <v/>
      </c>
      <c r="CG227" t="str">
        <f>IF(28&gt;ROWS(DGArchive[变更后]),"",IF(INDEX(DGArchive[变更后],28)="","",INDEX(DGArchive[变更后],28)))</f>
        <v/>
      </c>
      <c r="CH227" t="str">
        <f>IF(28&gt;ROWS(DGArchive[事件／活动]),"",IF(INDEX(DGArchive[事件／活动],28)="","",INDEX(DGArchive[事件／活动],28)))</f>
        <v/>
      </c>
      <c r="CI227" t="str">
        <f>IF(28&gt;ROWS(DGArchive[记录编号]),"",IF(INDEX(DGArchive[记录编号],28)="","",INDEX(DGArchive[记录编号],28)))</f>
        <v/>
      </c>
      <c r="CL227">
        <f t="shared" si="14"/>
        <v>0</v>
      </c>
      <c r="CM227">
        <f>IF(AND(A227=$AO$5,B227=$AQ$3,H227=1),COUNTIFS($A$200:A227,$AO$5,$B$200:B227,$AQ$3,$H$200:H227,1),0)</f>
        <v>0</v>
      </c>
      <c r="CN227">
        <f>IF(CA227="",28,1001)</f>
        <v>28</v>
      </c>
      <c r="GA227">
        <f t="shared" si="34"/>
        <v>0</v>
      </c>
      <c r="GB227">
        <f t="shared" si="35"/>
        <v>0</v>
      </c>
      <c r="GC227">
        <f>IF(AND(C227="事件记录",H227=1),COUNTIFS($C$200:C227,"事件记录",$H$200:H227,1),0)</f>
        <v>0</v>
      </c>
      <c r="GD227">
        <f t="shared" si="15"/>
        <v>0</v>
      </c>
      <c r="GH227">
        <f>IF(AND(H227=1,A227=$GA$10,B227=$GA$11),COUNTIFS($A$200:A227,$GA$10,$B$200:B227,$GA$11,$H$200:H227,1),0)</f>
        <v>0</v>
      </c>
    </row>
    <row r="228" spans="1:190">
      <c r="A228" t="str">
        <f t="shared" si="6"/>
        <v/>
      </c>
      <c r="B228" t="str">
        <f t="shared" si="7"/>
        <v/>
      </c>
      <c r="C228" t="str">
        <f t="shared" si="8"/>
        <v/>
      </c>
      <c r="D228" t="str">
        <f t="shared" si="9"/>
        <v/>
      </c>
      <c r="E228">
        <f t="shared" si="10"/>
        <v>0</v>
      </c>
      <c r="F228" t="str">
        <f t="shared" si="11"/>
        <v/>
      </c>
      <c r="G228">
        <f t="shared" si="12"/>
        <v>0</v>
      </c>
      <c r="H228">
        <f>IF(AND(G228=1,COUNTIFS($I$200:I228,I228,$G$200:G228,1)=1),1,0)</f>
        <v>0</v>
      </c>
      <c r="I228" t="str">
        <f t="shared" si="13"/>
        <v/>
      </c>
      <c r="BF228">
        <f t="shared" si="16"/>
        <v>0</v>
      </c>
      <c r="BG228">
        <f t="shared" si="17"/>
        <v>0</v>
      </c>
      <c r="BH228">
        <f t="shared" si="18"/>
        <v>0</v>
      </c>
      <c r="BI228">
        <f t="shared" si="19"/>
        <v>0</v>
      </c>
      <c r="BJ228">
        <f t="shared" si="20"/>
        <v>0</v>
      </c>
      <c r="BK228">
        <f t="shared" si="21"/>
        <v>0</v>
      </c>
      <c r="BL228">
        <f t="shared" si="22"/>
        <v>0</v>
      </c>
      <c r="BM228">
        <f t="shared" si="23"/>
        <v>0</v>
      </c>
      <c r="BN228">
        <f t="shared" si="24"/>
        <v>0</v>
      </c>
      <c r="BO228">
        <f t="shared" si="25"/>
        <v>0</v>
      </c>
      <c r="BP228">
        <f t="shared" si="26"/>
        <v>0</v>
      </c>
      <c r="BQ228">
        <f t="shared" si="27"/>
        <v>0</v>
      </c>
      <c r="BR228">
        <f t="shared" si="28"/>
        <v>0</v>
      </c>
      <c r="BS228">
        <f t="shared" si="29"/>
        <v>0</v>
      </c>
      <c r="BT228">
        <f t="shared" si="30"/>
        <v>0</v>
      </c>
      <c r="BU228">
        <f t="shared" si="31"/>
        <v>0</v>
      </c>
      <c r="BV228">
        <f t="shared" si="32"/>
        <v>0</v>
      </c>
      <c r="BW228">
        <f t="shared" si="33"/>
        <v>0</v>
      </c>
      <c r="CA228" t="str">
        <f>IF(29&gt;ROWS(DGArchive[模组]),"",IF(INDEX(DGArchive[模组],29)="","",INDEX(DGArchive[模组],29)))</f>
        <v/>
      </c>
      <c r="CB228" t="str">
        <f>IF(29&gt;ROWS(DGArchive[阶段]),"",IF(INDEX(DGArchive[阶段],29)="","",INDEX(DGArchive[阶段],29)))</f>
        <v/>
      </c>
      <c r="CC228" t="str">
        <f>IF(29&gt;ROWS(DGArchive[游戏内日期]),"",IF(INDEX(DGArchive[游戏内日期],29)="","",INDEX(DGArchive[游戏内日期],29)))</f>
        <v/>
      </c>
      <c r="CD228" t="str">
        <f>IF(29&gt;ROWS(DGArchive[目标]),"",IF(INDEX(DGArchive[目标],29)="","",INDEX(DGArchive[目标],29)))</f>
        <v/>
      </c>
      <c r="CE228" t="str">
        <f>IF(29&gt;ROWS(DGArchive[变更前]),"",IF(INDEX(DGArchive[变更前],29)="","",INDEX(DGArchive[变更前],29)))</f>
        <v/>
      </c>
      <c r="CF228" t="str">
        <f>IF(29&gt;ROWS(DGArchive[增减]),"",IF(INDEX(DGArchive[增减],29)="","",INDEX(DGArchive[增减],29)))</f>
        <v/>
      </c>
      <c r="CG228" t="str">
        <f>IF(29&gt;ROWS(DGArchive[变更后]),"",IF(INDEX(DGArchive[变更后],29)="","",INDEX(DGArchive[变更后],29)))</f>
        <v/>
      </c>
      <c r="CH228" t="str">
        <f>IF(29&gt;ROWS(DGArchive[事件／活动]),"",IF(INDEX(DGArchive[事件／活动],29)="","",INDEX(DGArchive[事件／活动],29)))</f>
        <v/>
      </c>
      <c r="CI228" t="str">
        <f>IF(29&gt;ROWS(DGArchive[记录编号]),"",IF(INDEX(DGArchive[记录编号],29)="","",INDEX(DGArchive[记录编号],29)))</f>
        <v/>
      </c>
      <c r="CL228">
        <f t="shared" si="14"/>
        <v>0</v>
      </c>
      <c r="CM228">
        <f>IF(AND(A228=$AO$5,B228=$AQ$3,H228=1),COUNTIFS($A$200:A228,$AO$5,$B$200:B228,$AQ$3,$H$200:H228,1),0)</f>
        <v>0</v>
      </c>
      <c r="CN228">
        <f>IF(CA228="",29,1001)</f>
        <v>29</v>
      </c>
      <c r="GA228">
        <f t="shared" si="34"/>
        <v>0</v>
      </c>
      <c r="GB228">
        <f t="shared" si="35"/>
        <v>0</v>
      </c>
      <c r="GC228">
        <f>IF(AND(C228="事件记录",H228=1),COUNTIFS($C$200:C228,"事件记录",$H$200:H228,1),0)</f>
        <v>0</v>
      </c>
      <c r="GD228">
        <f t="shared" si="15"/>
        <v>0</v>
      </c>
      <c r="GH228">
        <f>IF(AND(H228=1,A228=$GA$10,B228=$GA$11),COUNTIFS($A$200:A228,$GA$10,$B$200:B228,$GA$11,$H$200:H228,1),0)</f>
        <v>0</v>
      </c>
    </row>
    <row r="229" spans="1:190">
      <c r="A229" t="str">
        <f t="shared" si="6"/>
        <v/>
      </c>
      <c r="B229" t="str">
        <f t="shared" si="7"/>
        <v/>
      </c>
      <c r="C229" t="str">
        <f t="shared" si="8"/>
        <v/>
      </c>
      <c r="D229" t="str">
        <f t="shared" si="9"/>
        <v/>
      </c>
      <c r="E229">
        <f t="shared" si="10"/>
        <v>0</v>
      </c>
      <c r="F229" t="str">
        <f t="shared" si="11"/>
        <v/>
      </c>
      <c r="G229">
        <f t="shared" si="12"/>
        <v>0</v>
      </c>
      <c r="H229">
        <f>IF(AND(G229=1,COUNTIFS($I$200:I229,I229,$G$200:G229,1)=1),1,0)</f>
        <v>0</v>
      </c>
      <c r="I229" t="str">
        <f t="shared" si="13"/>
        <v/>
      </c>
      <c r="BF229">
        <f t="shared" si="16"/>
        <v>0</v>
      </c>
      <c r="BG229">
        <f t="shared" si="17"/>
        <v>0</v>
      </c>
      <c r="BH229">
        <f t="shared" si="18"/>
        <v>0</v>
      </c>
      <c r="BI229">
        <f t="shared" si="19"/>
        <v>0</v>
      </c>
      <c r="BJ229">
        <f t="shared" si="20"/>
        <v>0</v>
      </c>
      <c r="BK229">
        <f t="shared" si="21"/>
        <v>0</v>
      </c>
      <c r="BL229">
        <f t="shared" si="22"/>
        <v>0</v>
      </c>
      <c r="BM229">
        <f t="shared" si="23"/>
        <v>0</v>
      </c>
      <c r="BN229">
        <f t="shared" si="24"/>
        <v>0</v>
      </c>
      <c r="BO229">
        <f t="shared" si="25"/>
        <v>0</v>
      </c>
      <c r="BP229">
        <f t="shared" si="26"/>
        <v>0</v>
      </c>
      <c r="BQ229">
        <f t="shared" si="27"/>
        <v>0</v>
      </c>
      <c r="BR229">
        <f t="shared" si="28"/>
        <v>0</v>
      </c>
      <c r="BS229">
        <f t="shared" si="29"/>
        <v>0</v>
      </c>
      <c r="BT229">
        <f t="shared" si="30"/>
        <v>0</v>
      </c>
      <c r="BU229">
        <f t="shared" si="31"/>
        <v>0</v>
      </c>
      <c r="BV229">
        <f t="shared" si="32"/>
        <v>0</v>
      </c>
      <c r="BW229">
        <f t="shared" si="33"/>
        <v>0</v>
      </c>
      <c r="CA229" t="str">
        <f>IF(30&gt;ROWS(DGArchive[模组]),"",IF(INDEX(DGArchive[模组],30)="","",INDEX(DGArchive[模组],30)))</f>
        <v/>
      </c>
      <c r="CB229" t="str">
        <f>IF(30&gt;ROWS(DGArchive[阶段]),"",IF(INDEX(DGArchive[阶段],30)="","",INDEX(DGArchive[阶段],30)))</f>
        <v/>
      </c>
      <c r="CC229" t="str">
        <f>IF(30&gt;ROWS(DGArchive[游戏内日期]),"",IF(INDEX(DGArchive[游戏内日期],30)="","",INDEX(DGArchive[游戏内日期],30)))</f>
        <v/>
      </c>
      <c r="CD229" t="str">
        <f>IF(30&gt;ROWS(DGArchive[目标]),"",IF(INDEX(DGArchive[目标],30)="","",INDEX(DGArchive[目标],30)))</f>
        <v/>
      </c>
      <c r="CE229" t="str">
        <f>IF(30&gt;ROWS(DGArchive[变更前]),"",IF(INDEX(DGArchive[变更前],30)="","",INDEX(DGArchive[变更前],30)))</f>
        <v/>
      </c>
      <c r="CF229" t="str">
        <f>IF(30&gt;ROWS(DGArchive[增减]),"",IF(INDEX(DGArchive[增减],30)="","",INDEX(DGArchive[增减],30)))</f>
        <v/>
      </c>
      <c r="CG229" t="str">
        <f>IF(30&gt;ROWS(DGArchive[变更后]),"",IF(INDEX(DGArchive[变更后],30)="","",INDEX(DGArchive[变更后],30)))</f>
        <v/>
      </c>
      <c r="CH229" t="str">
        <f>IF(30&gt;ROWS(DGArchive[事件／活动]),"",IF(INDEX(DGArchive[事件／活动],30)="","",INDEX(DGArchive[事件／活动],30)))</f>
        <v/>
      </c>
      <c r="CI229" t="str">
        <f>IF(30&gt;ROWS(DGArchive[记录编号]),"",IF(INDEX(DGArchive[记录编号],30)="","",INDEX(DGArchive[记录编号],30)))</f>
        <v/>
      </c>
      <c r="CL229">
        <f t="shared" si="14"/>
        <v>0</v>
      </c>
      <c r="CM229">
        <f>IF(AND(A229=$AO$5,B229=$AQ$3,H229=1),COUNTIFS($A$200:A229,$AO$5,$B$200:B229,$AQ$3,$H$200:H229,1),0)</f>
        <v>0</v>
      </c>
      <c r="CN229">
        <f>IF(CA229="",30,1001)</f>
        <v>30</v>
      </c>
      <c r="GA229">
        <f t="shared" si="34"/>
        <v>0</v>
      </c>
      <c r="GB229">
        <f t="shared" si="35"/>
        <v>0</v>
      </c>
      <c r="GC229">
        <f>IF(AND(C229="事件记录",H229=1),COUNTIFS($C$200:C229,"事件记录",$H$200:H229,1),0)</f>
        <v>0</v>
      </c>
      <c r="GD229">
        <f t="shared" si="15"/>
        <v>0</v>
      </c>
      <c r="GH229">
        <f>IF(AND(H229=1,A229=$GA$10,B229=$GA$11),COUNTIFS($A$200:A229,$GA$10,$B$200:B229,$GA$11,$H$200:H229,1),0)</f>
        <v>0</v>
      </c>
    </row>
    <row r="230" spans="1:190">
      <c r="A230" t="str">
        <f t="shared" si="6"/>
        <v/>
      </c>
      <c r="B230" t="str">
        <f t="shared" si="7"/>
        <v/>
      </c>
      <c r="C230" t="str">
        <f t="shared" si="8"/>
        <v/>
      </c>
      <c r="D230" t="str">
        <f t="shared" si="9"/>
        <v/>
      </c>
      <c r="E230">
        <f t="shared" si="10"/>
        <v>0</v>
      </c>
      <c r="F230" t="str">
        <f t="shared" si="11"/>
        <v/>
      </c>
      <c r="G230">
        <f t="shared" si="12"/>
        <v>0</v>
      </c>
      <c r="H230">
        <f>IF(AND(G230=1,COUNTIFS($I$200:I230,I230,$G$200:G230,1)=1),1,0)</f>
        <v>0</v>
      </c>
      <c r="I230" t="str">
        <f t="shared" si="13"/>
        <v/>
      </c>
      <c r="BF230">
        <f t="shared" si="16"/>
        <v>0</v>
      </c>
      <c r="BG230">
        <f t="shared" si="17"/>
        <v>0</v>
      </c>
      <c r="BH230">
        <f t="shared" si="18"/>
        <v>0</v>
      </c>
      <c r="BI230">
        <f t="shared" si="19"/>
        <v>0</v>
      </c>
      <c r="BJ230">
        <f t="shared" si="20"/>
        <v>0</v>
      </c>
      <c r="BK230">
        <f t="shared" si="21"/>
        <v>0</v>
      </c>
      <c r="BL230">
        <f t="shared" si="22"/>
        <v>0</v>
      </c>
      <c r="BM230">
        <f t="shared" si="23"/>
        <v>0</v>
      </c>
      <c r="BN230">
        <f t="shared" si="24"/>
        <v>0</v>
      </c>
      <c r="BO230">
        <f t="shared" si="25"/>
        <v>0</v>
      </c>
      <c r="BP230">
        <f t="shared" si="26"/>
        <v>0</v>
      </c>
      <c r="BQ230">
        <f t="shared" si="27"/>
        <v>0</v>
      </c>
      <c r="BR230">
        <f t="shared" si="28"/>
        <v>0</v>
      </c>
      <c r="BS230">
        <f t="shared" si="29"/>
        <v>0</v>
      </c>
      <c r="BT230">
        <f t="shared" si="30"/>
        <v>0</v>
      </c>
      <c r="BU230">
        <f t="shared" si="31"/>
        <v>0</v>
      </c>
      <c r="BV230">
        <f t="shared" si="32"/>
        <v>0</v>
      </c>
      <c r="BW230">
        <f t="shared" si="33"/>
        <v>0</v>
      </c>
      <c r="CA230" t="str">
        <f>IF(31&gt;ROWS(DGArchive[模组]),"",IF(INDEX(DGArchive[模组],31)="","",INDEX(DGArchive[模组],31)))</f>
        <v/>
      </c>
      <c r="CB230" t="str">
        <f>IF(31&gt;ROWS(DGArchive[阶段]),"",IF(INDEX(DGArchive[阶段],31)="","",INDEX(DGArchive[阶段],31)))</f>
        <v/>
      </c>
      <c r="CC230" t="str">
        <f>IF(31&gt;ROWS(DGArchive[游戏内日期]),"",IF(INDEX(DGArchive[游戏内日期],31)="","",INDEX(DGArchive[游戏内日期],31)))</f>
        <v/>
      </c>
      <c r="CD230" t="str">
        <f>IF(31&gt;ROWS(DGArchive[目标]),"",IF(INDEX(DGArchive[目标],31)="","",INDEX(DGArchive[目标],31)))</f>
        <v/>
      </c>
      <c r="CE230" t="str">
        <f>IF(31&gt;ROWS(DGArchive[变更前]),"",IF(INDEX(DGArchive[变更前],31)="","",INDEX(DGArchive[变更前],31)))</f>
        <v/>
      </c>
      <c r="CF230" t="str">
        <f>IF(31&gt;ROWS(DGArchive[增减]),"",IF(INDEX(DGArchive[增减],31)="","",INDEX(DGArchive[增减],31)))</f>
        <v/>
      </c>
      <c r="CG230" t="str">
        <f>IF(31&gt;ROWS(DGArchive[变更后]),"",IF(INDEX(DGArchive[变更后],31)="","",INDEX(DGArchive[变更后],31)))</f>
        <v/>
      </c>
      <c r="CH230" t="str">
        <f>IF(31&gt;ROWS(DGArchive[事件／活动]),"",IF(INDEX(DGArchive[事件／活动],31)="","",INDEX(DGArchive[事件／活动],31)))</f>
        <v/>
      </c>
      <c r="CI230" t="str">
        <f>IF(31&gt;ROWS(DGArchive[记录编号]),"",IF(INDEX(DGArchive[记录编号],31)="","",INDEX(DGArchive[记录编号],31)))</f>
        <v/>
      </c>
      <c r="CL230">
        <f t="shared" si="14"/>
        <v>0</v>
      </c>
      <c r="CM230">
        <f>IF(AND(A230=$AO$5,B230=$AQ$3,H230=1),COUNTIFS($A$200:A230,$AO$5,$B$200:B230,$AQ$3,$H$200:H230,1),0)</f>
        <v>0</v>
      </c>
      <c r="CN230">
        <f>IF(CA230="",31,1001)</f>
        <v>31</v>
      </c>
      <c r="GA230">
        <f t="shared" si="34"/>
        <v>0</v>
      </c>
      <c r="GB230">
        <f t="shared" si="35"/>
        <v>0</v>
      </c>
      <c r="GC230">
        <f>IF(AND(C230="事件记录",H230=1),COUNTIFS($C$200:C230,"事件记录",$H$200:H230,1),0)</f>
        <v>0</v>
      </c>
      <c r="GD230">
        <f t="shared" si="15"/>
        <v>0</v>
      </c>
      <c r="GH230">
        <f>IF(AND(H230=1,A230=$GA$10,B230=$GA$11),COUNTIFS($A$200:A230,$GA$10,$B$200:B230,$GA$11,$H$200:H230,1),0)</f>
        <v>0</v>
      </c>
    </row>
    <row r="231" spans="1:190">
      <c r="A231" t="str">
        <f t="shared" si="6"/>
        <v/>
      </c>
      <c r="B231" t="str">
        <f t="shared" si="7"/>
        <v/>
      </c>
      <c r="C231" t="str">
        <f t="shared" si="8"/>
        <v/>
      </c>
      <c r="D231" t="str">
        <f t="shared" si="9"/>
        <v/>
      </c>
      <c r="E231">
        <f t="shared" si="10"/>
        <v>0</v>
      </c>
      <c r="F231" t="str">
        <f t="shared" si="11"/>
        <v/>
      </c>
      <c r="G231">
        <f t="shared" si="12"/>
        <v>0</v>
      </c>
      <c r="H231">
        <f>IF(AND(G231=1,COUNTIFS($I$200:I231,I231,$G$200:G231,1)=1),1,0)</f>
        <v>0</v>
      </c>
      <c r="I231" t="str">
        <f t="shared" si="13"/>
        <v/>
      </c>
      <c r="BF231">
        <f t="shared" si="16"/>
        <v>0</v>
      </c>
      <c r="BG231">
        <f t="shared" si="17"/>
        <v>0</v>
      </c>
      <c r="BH231">
        <f t="shared" si="18"/>
        <v>0</v>
      </c>
      <c r="BI231">
        <f t="shared" si="19"/>
        <v>0</v>
      </c>
      <c r="BJ231">
        <f t="shared" si="20"/>
        <v>0</v>
      </c>
      <c r="BK231">
        <f t="shared" si="21"/>
        <v>0</v>
      </c>
      <c r="BL231">
        <f t="shared" si="22"/>
        <v>0</v>
      </c>
      <c r="BM231">
        <f t="shared" si="23"/>
        <v>0</v>
      </c>
      <c r="BN231">
        <f t="shared" si="24"/>
        <v>0</v>
      </c>
      <c r="BO231">
        <f t="shared" si="25"/>
        <v>0</v>
      </c>
      <c r="BP231">
        <f t="shared" si="26"/>
        <v>0</v>
      </c>
      <c r="BQ231">
        <f t="shared" si="27"/>
        <v>0</v>
      </c>
      <c r="BR231">
        <f t="shared" si="28"/>
        <v>0</v>
      </c>
      <c r="BS231">
        <f t="shared" si="29"/>
        <v>0</v>
      </c>
      <c r="BT231">
        <f t="shared" si="30"/>
        <v>0</v>
      </c>
      <c r="BU231">
        <f t="shared" si="31"/>
        <v>0</v>
      </c>
      <c r="BV231">
        <f t="shared" si="32"/>
        <v>0</v>
      </c>
      <c r="BW231">
        <f t="shared" si="33"/>
        <v>0</v>
      </c>
      <c r="CA231" t="str">
        <f>IF(32&gt;ROWS(DGArchive[模组]),"",IF(INDEX(DGArchive[模组],32)="","",INDEX(DGArchive[模组],32)))</f>
        <v/>
      </c>
      <c r="CB231" t="str">
        <f>IF(32&gt;ROWS(DGArchive[阶段]),"",IF(INDEX(DGArchive[阶段],32)="","",INDEX(DGArchive[阶段],32)))</f>
        <v/>
      </c>
      <c r="CC231" t="str">
        <f>IF(32&gt;ROWS(DGArchive[游戏内日期]),"",IF(INDEX(DGArchive[游戏内日期],32)="","",INDEX(DGArchive[游戏内日期],32)))</f>
        <v/>
      </c>
      <c r="CD231" t="str">
        <f>IF(32&gt;ROWS(DGArchive[目标]),"",IF(INDEX(DGArchive[目标],32)="","",INDEX(DGArchive[目标],32)))</f>
        <v/>
      </c>
      <c r="CE231" t="str">
        <f>IF(32&gt;ROWS(DGArchive[变更前]),"",IF(INDEX(DGArchive[变更前],32)="","",INDEX(DGArchive[变更前],32)))</f>
        <v/>
      </c>
      <c r="CF231" t="str">
        <f>IF(32&gt;ROWS(DGArchive[增减]),"",IF(INDEX(DGArchive[增减],32)="","",INDEX(DGArchive[增减],32)))</f>
        <v/>
      </c>
      <c r="CG231" t="str">
        <f>IF(32&gt;ROWS(DGArchive[变更后]),"",IF(INDEX(DGArchive[变更后],32)="","",INDEX(DGArchive[变更后],32)))</f>
        <v/>
      </c>
      <c r="CH231" t="str">
        <f>IF(32&gt;ROWS(DGArchive[事件／活动]),"",IF(INDEX(DGArchive[事件／活动],32)="","",INDEX(DGArchive[事件／活动],32)))</f>
        <v/>
      </c>
      <c r="CI231" t="str">
        <f>IF(32&gt;ROWS(DGArchive[记录编号]),"",IF(INDEX(DGArchive[记录编号],32)="","",INDEX(DGArchive[记录编号],32)))</f>
        <v/>
      </c>
      <c r="CL231">
        <f t="shared" si="14"/>
        <v>0</v>
      </c>
      <c r="CM231">
        <f>IF(AND(A231=$AO$5,B231=$AQ$3,H231=1),COUNTIFS($A$200:A231,$AO$5,$B$200:B231,$AQ$3,$H$200:H231,1),0)</f>
        <v>0</v>
      </c>
      <c r="CN231">
        <f>IF(CA231="",32,1001)</f>
        <v>32</v>
      </c>
      <c r="GA231">
        <f t="shared" si="34"/>
        <v>0</v>
      </c>
      <c r="GB231">
        <f t="shared" si="35"/>
        <v>0</v>
      </c>
      <c r="GC231">
        <f>IF(AND(C231="事件记录",H231=1),COUNTIFS($C$200:C231,"事件记录",$H$200:H231,1),0)</f>
        <v>0</v>
      </c>
      <c r="GD231">
        <f t="shared" si="15"/>
        <v>0</v>
      </c>
      <c r="GH231">
        <f>IF(AND(H231=1,A231=$GA$10,B231=$GA$11),COUNTIFS($A$200:A231,$GA$10,$B$200:B231,$GA$11,$H$200:H231,1),0)</f>
        <v>0</v>
      </c>
    </row>
    <row r="232" spans="1:190">
      <c r="A232" t="str">
        <f t="shared" si="6"/>
        <v/>
      </c>
      <c r="B232" t="str">
        <f t="shared" si="7"/>
        <v/>
      </c>
      <c r="C232" t="str">
        <f t="shared" si="8"/>
        <v/>
      </c>
      <c r="D232" t="str">
        <f t="shared" si="9"/>
        <v/>
      </c>
      <c r="E232">
        <f t="shared" si="10"/>
        <v>0</v>
      </c>
      <c r="F232" t="str">
        <f t="shared" si="11"/>
        <v/>
      </c>
      <c r="G232">
        <f t="shared" si="12"/>
        <v>0</v>
      </c>
      <c r="H232">
        <f>IF(AND(G232=1,COUNTIFS($I$200:I232,I232,$G$200:G232,1)=1),1,0)</f>
        <v>0</v>
      </c>
      <c r="I232" t="str">
        <f t="shared" si="13"/>
        <v/>
      </c>
      <c r="BF232">
        <f t="shared" si="16"/>
        <v>0</v>
      </c>
      <c r="BG232">
        <f t="shared" si="17"/>
        <v>0</v>
      </c>
      <c r="BH232">
        <f t="shared" si="18"/>
        <v>0</v>
      </c>
      <c r="BI232">
        <f t="shared" si="19"/>
        <v>0</v>
      </c>
      <c r="BJ232">
        <f t="shared" si="20"/>
        <v>0</v>
      </c>
      <c r="BK232">
        <f t="shared" si="21"/>
        <v>0</v>
      </c>
      <c r="BL232">
        <f t="shared" si="22"/>
        <v>0</v>
      </c>
      <c r="BM232">
        <f t="shared" si="23"/>
        <v>0</v>
      </c>
      <c r="BN232">
        <f t="shared" si="24"/>
        <v>0</v>
      </c>
      <c r="BO232">
        <f t="shared" si="25"/>
        <v>0</v>
      </c>
      <c r="BP232">
        <f t="shared" si="26"/>
        <v>0</v>
      </c>
      <c r="BQ232">
        <f t="shared" si="27"/>
        <v>0</v>
      </c>
      <c r="BR232">
        <f t="shared" si="28"/>
        <v>0</v>
      </c>
      <c r="BS232">
        <f t="shared" si="29"/>
        <v>0</v>
      </c>
      <c r="BT232">
        <f t="shared" si="30"/>
        <v>0</v>
      </c>
      <c r="BU232">
        <f t="shared" si="31"/>
        <v>0</v>
      </c>
      <c r="BV232">
        <f t="shared" si="32"/>
        <v>0</v>
      </c>
      <c r="BW232">
        <f t="shared" si="33"/>
        <v>0</v>
      </c>
      <c r="CA232" t="str">
        <f>IF(33&gt;ROWS(DGArchive[模组]),"",IF(INDEX(DGArchive[模组],33)="","",INDEX(DGArchive[模组],33)))</f>
        <v/>
      </c>
      <c r="CB232" t="str">
        <f>IF(33&gt;ROWS(DGArchive[阶段]),"",IF(INDEX(DGArchive[阶段],33)="","",INDEX(DGArchive[阶段],33)))</f>
        <v/>
      </c>
      <c r="CC232" t="str">
        <f>IF(33&gt;ROWS(DGArchive[游戏内日期]),"",IF(INDEX(DGArchive[游戏内日期],33)="","",INDEX(DGArchive[游戏内日期],33)))</f>
        <v/>
      </c>
      <c r="CD232" t="str">
        <f>IF(33&gt;ROWS(DGArchive[目标]),"",IF(INDEX(DGArchive[目标],33)="","",INDEX(DGArchive[目标],33)))</f>
        <v/>
      </c>
      <c r="CE232" t="str">
        <f>IF(33&gt;ROWS(DGArchive[变更前]),"",IF(INDEX(DGArchive[变更前],33)="","",INDEX(DGArchive[变更前],33)))</f>
        <v/>
      </c>
      <c r="CF232" t="str">
        <f>IF(33&gt;ROWS(DGArchive[增减]),"",IF(INDEX(DGArchive[增减],33)="","",INDEX(DGArchive[增减],33)))</f>
        <v/>
      </c>
      <c r="CG232" t="str">
        <f>IF(33&gt;ROWS(DGArchive[变更后]),"",IF(INDEX(DGArchive[变更后],33)="","",INDEX(DGArchive[变更后],33)))</f>
        <v/>
      </c>
      <c r="CH232" t="str">
        <f>IF(33&gt;ROWS(DGArchive[事件／活动]),"",IF(INDEX(DGArchive[事件／活动],33)="","",INDEX(DGArchive[事件／活动],33)))</f>
        <v/>
      </c>
      <c r="CI232" t="str">
        <f>IF(33&gt;ROWS(DGArchive[记录编号]),"",IF(INDEX(DGArchive[记录编号],33)="","",INDEX(DGArchive[记录编号],33)))</f>
        <v/>
      </c>
      <c r="CL232">
        <f t="shared" si="14"/>
        <v>0</v>
      </c>
      <c r="CM232">
        <f>IF(AND(A232=$AO$5,B232=$AQ$3,H232=1),COUNTIFS($A$200:A232,$AO$5,$B$200:B232,$AQ$3,$H$200:H232,1),0)</f>
        <v>0</v>
      </c>
      <c r="CN232">
        <f>IF(CA232="",33,1001)</f>
        <v>33</v>
      </c>
      <c r="GA232">
        <f t="shared" si="34"/>
        <v>0</v>
      </c>
      <c r="GB232">
        <f t="shared" si="35"/>
        <v>0</v>
      </c>
      <c r="GC232">
        <f>IF(AND(C232="事件记录",H232=1),COUNTIFS($C$200:C232,"事件记录",$H$200:H232,1),0)</f>
        <v>0</v>
      </c>
      <c r="GD232">
        <f t="shared" si="15"/>
        <v>0</v>
      </c>
      <c r="GH232">
        <f>IF(AND(H232=1,A232=$GA$10,B232=$GA$11),COUNTIFS($A$200:A232,$GA$10,$B$200:B232,$GA$11,$H$200:H232,1),0)</f>
        <v>0</v>
      </c>
    </row>
    <row r="233" spans="1:190">
      <c r="A233" t="str">
        <f t="shared" si="6"/>
        <v/>
      </c>
      <c r="B233" t="str">
        <f t="shared" si="7"/>
        <v/>
      </c>
      <c r="C233" t="str">
        <f t="shared" si="8"/>
        <v/>
      </c>
      <c r="D233" t="str">
        <f t="shared" si="9"/>
        <v/>
      </c>
      <c r="E233">
        <f t="shared" si="10"/>
        <v>0</v>
      </c>
      <c r="F233" t="str">
        <f t="shared" si="11"/>
        <v/>
      </c>
      <c r="G233">
        <f t="shared" si="12"/>
        <v>0</v>
      </c>
      <c r="H233">
        <f>IF(AND(G233=1,COUNTIFS($I$200:I233,I233,$G$200:G233,1)=1),1,0)</f>
        <v>0</v>
      </c>
      <c r="I233" t="str">
        <f t="shared" si="13"/>
        <v/>
      </c>
      <c r="BF233">
        <f t="shared" si="16"/>
        <v>0</v>
      </c>
      <c r="BG233">
        <f t="shared" si="17"/>
        <v>0</v>
      </c>
      <c r="BH233">
        <f t="shared" si="18"/>
        <v>0</v>
      </c>
      <c r="BI233">
        <f t="shared" si="19"/>
        <v>0</v>
      </c>
      <c r="BJ233">
        <f t="shared" si="20"/>
        <v>0</v>
      </c>
      <c r="BK233">
        <f t="shared" si="21"/>
        <v>0</v>
      </c>
      <c r="BL233">
        <f t="shared" si="22"/>
        <v>0</v>
      </c>
      <c r="BM233">
        <f t="shared" si="23"/>
        <v>0</v>
      </c>
      <c r="BN233">
        <f t="shared" si="24"/>
        <v>0</v>
      </c>
      <c r="BO233">
        <f t="shared" si="25"/>
        <v>0</v>
      </c>
      <c r="BP233">
        <f t="shared" si="26"/>
        <v>0</v>
      </c>
      <c r="BQ233">
        <f t="shared" si="27"/>
        <v>0</v>
      </c>
      <c r="BR233">
        <f t="shared" si="28"/>
        <v>0</v>
      </c>
      <c r="BS233">
        <f t="shared" si="29"/>
        <v>0</v>
      </c>
      <c r="BT233">
        <f t="shared" si="30"/>
        <v>0</v>
      </c>
      <c r="BU233">
        <f t="shared" si="31"/>
        <v>0</v>
      </c>
      <c r="BV233">
        <f t="shared" si="32"/>
        <v>0</v>
      </c>
      <c r="BW233">
        <f t="shared" si="33"/>
        <v>0</v>
      </c>
      <c r="CA233" t="str">
        <f>IF(34&gt;ROWS(DGArchive[模组]),"",IF(INDEX(DGArchive[模组],34)="","",INDEX(DGArchive[模组],34)))</f>
        <v/>
      </c>
      <c r="CB233" t="str">
        <f>IF(34&gt;ROWS(DGArchive[阶段]),"",IF(INDEX(DGArchive[阶段],34)="","",INDEX(DGArchive[阶段],34)))</f>
        <v/>
      </c>
      <c r="CC233" t="str">
        <f>IF(34&gt;ROWS(DGArchive[游戏内日期]),"",IF(INDEX(DGArchive[游戏内日期],34)="","",INDEX(DGArchive[游戏内日期],34)))</f>
        <v/>
      </c>
      <c r="CD233" t="str">
        <f>IF(34&gt;ROWS(DGArchive[目标]),"",IF(INDEX(DGArchive[目标],34)="","",INDEX(DGArchive[目标],34)))</f>
        <v/>
      </c>
      <c r="CE233" t="str">
        <f>IF(34&gt;ROWS(DGArchive[变更前]),"",IF(INDEX(DGArchive[变更前],34)="","",INDEX(DGArchive[变更前],34)))</f>
        <v/>
      </c>
      <c r="CF233" t="str">
        <f>IF(34&gt;ROWS(DGArchive[增减]),"",IF(INDEX(DGArchive[增减],34)="","",INDEX(DGArchive[增减],34)))</f>
        <v/>
      </c>
      <c r="CG233" t="str">
        <f>IF(34&gt;ROWS(DGArchive[变更后]),"",IF(INDEX(DGArchive[变更后],34)="","",INDEX(DGArchive[变更后],34)))</f>
        <v/>
      </c>
      <c r="CH233" t="str">
        <f>IF(34&gt;ROWS(DGArchive[事件／活动]),"",IF(INDEX(DGArchive[事件／活动],34)="","",INDEX(DGArchive[事件／活动],34)))</f>
        <v/>
      </c>
      <c r="CI233" t="str">
        <f>IF(34&gt;ROWS(DGArchive[记录编号]),"",IF(INDEX(DGArchive[记录编号],34)="","",INDEX(DGArchive[记录编号],34)))</f>
        <v/>
      </c>
      <c r="CL233">
        <f t="shared" si="14"/>
        <v>0</v>
      </c>
      <c r="CM233">
        <f>IF(AND(A233=$AO$5,B233=$AQ$3,H233=1),COUNTIFS($A$200:A233,$AO$5,$B$200:B233,$AQ$3,$H$200:H233,1),0)</f>
        <v>0</v>
      </c>
      <c r="CN233">
        <f>IF(CA233="",34,1001)</f>
        <v>34</v>
      </c>
      <c r="GA233">
        <f t="shared" si="34"/>
        <v>0</v>
      </c>
      <c r="GB233">
        <f t="shared" si="35"/>
        <v>0</v>
      </c>
      <c r="GC233">
        <f>IF(AND(C233="事件记录",H233=1),COUNTIFS($C$200:C233,"事件记录",$H$200:H233,1),0)</f>
        <v>0</v>
      </c>
      <c r="GD233">
        <f t="shared" si="15"/>
        <v>0</v>
      </c>
      <c r="GH233">
        <f>IF(AND(H233=1,A233=$GA$10,B233=$GA$11),COUNTIFS($A$200:A233,$GA$10,$B$200:B233,$GA$11,$H$200:H233,1),0)</f>
        <v>0</v>
      </c>
    </row>
    <row r="234" spans="1:190">
      <c r="A234" t="str">
        <f t="shared" si="6"/>
        <v/>
      </c>
      <c r="B234" t="str">
        <f t="shared" si="7"/>
        <v/>
      </c>
      <c r="C234" t="str">
        <f t="shared" si="8"/>
        <v/>
      </c>
      <c r="D234" t="str">
        <f t="shared" si="9"/>
        <v/>
      </c>
      <c r="E234">
        <f t="shared" si="10"/>
        <v>0</v>
      </c>
      <c r="F234" t="str">
        <f t="shared" si="11"/>
        <v/>
      </c>
      <c r="G234">
        <f t="shared" si="12"/>
        <v>0</v>
      </c>
      <c r="H234">
        <f>IF(AND(G234=1,COUNTIFS($I$200:I234,I234,$G$200:G234,1)=1),1,0)</f>
        <v>0</v>
      </c>
      <c r="I234" t="str">
        <f t="shared" si="13"/>
        <v/>
      </c>
      <c r="BF234">
        <f t="shared" si="16"/>
        <v>0</v>
      </c>
      <c r="BG234">
        <f t="shared" si="17"/>
        <v>0</v>
      </c>
      <c r="BH234">
        <f t="shared" si="18"/>
        <v>0</v>
      </c>
      <c r="BI234">
        <f t="shared" si="19"/>
        <v>0</v>
      </c>
      <c r="BJ234">
        <f t="shared" si="20"/>
        <v>0</v>
      </c>
      <c r="BK234">
        <f t="shared" si="21"/>
        <v>0</v>
      </c>
      <c r="BL234">
        <f t="shared" si="22"/>
        <v>0</v>
      </c>
      <c r="BM234">
        <f t="shared" si="23"/>
        <v>0</v>
      </c>
      <c r="BN234">
        <f t="shared" si="24"/>
        <v>0</v>
      </c>
      <c r="BO234">
        <f t="shared" si="25"/>
        <v>0</v>
      </c>
      <c r="BP234">
        <f t="shared" si="26"/>
        <v>0</v>
      </c>
      <c r="BQ234">
        <f t="shared" si="27"/>
        <v>0</v>
      </c>
      <c r="BR234">
        <f t="shared" si="28"/>
        <v>0</v>
      </c>
      <c r="BS234">
        <f t="shared" si="29"/>
        <v>0</v>
      </c>
      <c r="BT234">
        <f t="shared" si="30"/>
        <v>0</v>
      </c>
      <c r="BU234">
        <f t="shared" si="31"/>
        <v>0</v>
      </c>
      <c r="BV234">
        <f t="shared" si="32"/>
        <v>0</v>
      </c>
      <c r="BW234">
        <f t="shared" si="33"/>
        <v>0</v>
      </c>
      <c r="CA234" t="str">
        <f>IF(35&gt;ROWS(DGArchive[模组]),"",IF(INDEX(DGArchive[模组],35)="","",INDEX(DGArchive[模组],35)))</f>
        <v/>
      </c>
      <c r="CB234" t="str">
        <f>IF(35&gt;ROWS(DGArchive[阶段]),"",IF(INDEX(DGArchive[阶段],35)="","",INDEX(DGArchive[阶段],35)))</f>
        <v/>
      </c>
      <c r="CC234" t="str">
        <f>IF(35&gt;ROWS(DGArchive[游戏内日期]),"",IF(INDEX(DGArchive[游戏内日期],35)="","",INDEX(DGArchive[游戏内日期],35)))</f>
        <v/>
      </c>
      <c r="CD234" t="str">
        <f>IF(35&gt;ROWS(DGArchive[目标]),"",IF(INDEX(DGArchive[目标],35)="","",INDEX(DGArchive[目标],35)))</f>
        <v/>
      </c>
      <c r="CE234" t="str">
        <f>IF(35&gt;ROWS(DGArchive[变更前]),"",IF(INDEX(DGArchive[变更前],35)="","",INDEX(DGArchive[变更前],35)))</f>
        <v/>
      </c>
      <c r="CF234" t="str">
        <f>IF(35&gt;ROWS(DGArchive[增减]),"",IF(INDEX(DGArchive[增减],35)="","",INDEX(DGArchive[增减],35)))</f>
        <v/>
      </c>
      <c r="CG234" t="str">
        <f>IF(35&gt;ROWS(DGArchive[变更后]),"",IF(INDEX(DGArchive[变更后],35)="","",INDEX(DGArchive[变更后],35)))</f>
        <v/>
      </c>
      <c r="CH234" t="str">
        <f>IF(35&gt;ROWS(DGArchive[事件／活动]),"",IF(INDEX(DGArchive[事件／活动],35)="","",INDEX(DGArchive[事件／活动],35)))</f>
        <v/>
      </c>
      <c r="CI234" t="str">
        <f>IF(35&gt;ROWS(DGArchive[记录编号]),"",IF(INDEX(DGArchive[记录编号],35)="","",INDEX(DGArchive[记录编号],35)))</f>
        <v/>
      </c>
      <c r="CL234">
        <f t="shared" si="14"/>
        <v>0</v>
      </c>
      <c r="CM234">
        <f>IF(AND(A234=$AO$5,B234=$AQ$3,H234=1),COUNTIFS($A$200:A234,$AO$5,$B$200:B234,$AQ$3,$H$200:H234,1),0)</f>
        <v>0</v>
      </c>
      <c r="CN234">
        <f>IF(CA234="",35,1001)</f>
        <v>35</v>
      </c>
      <c r="GA234">
        <f t="shared" si="34"/>
        <v>0</v>
      </c>
      <c r="GB234">
        <f t="shared" si="35"/>
        <v>0</v>
      </c>
      <c r="GC234">
        <f>IF(AND(C234="事件记录",H234=1),COUNTIFS($C$200:C234,"事件记录",$H$200:H234,1),0)</f>
        <v>0</v>
      </c>
      <c r="GD234">
        <f t="shared" si="15"/>
        <v>0</v>
      </c>
      <c r="GH234">
        <f>IF(AND(H234=1,A234=$GA$10,B234=$GA$11),COUNTIFS($A$200:A234,$GA$10,$B$200:B234,$GA$11,$H$200:H234,1),0)</f>
        <v>0</v>
      </c>
    </row>
    <row r="235" spans="1:190">
      <c r="A235" t="str">
        <f t="shared" si="6"/>
        <v/>
      </c>
      <c r="B235" t="str">
        <f t="shared" si="7"/>
        <v/>
      </c>
      <c r="C235" t="str">
        <f t="shared" si="8"/>
        <v/>
      </c>
      <c r="D235" t="str">
        <f t="shared" si="9"/>
        <v/>
      </c>
      <c r="E235">
        <f t="shared" si="10"/>
        <v>0</v>
      </c>
      <c r="F235" t="str">
        <f t="shared" si="11"/>
        <v/>
      </c>
      <c r="G235">
        <f t="shared" si="12"/>
        <v>0</v>
      </c>
      <c r="H235">
        <f>IF(AND(G235=1,COUNTIFS($I$200:I235,I235,$G$200:G235,1)=1),1,0)</f>
        <v>0</v>
      </c>
      <c r="I235" t="str">
        <f t="shared" si="13"/>
        <v/>
      </c>
      <c r="BF235">
        <f t="shared" si="16"/>
        <v>0</v>
      </c>
      <c r="BG235">
        <f t="shared" si="17"/>
        <v>0</v>
      </c>
      <c r="BH235">
        <f t="shared" si="18"/>
        <v>0</v>
      </c>
      <c r="BI235">
        <f t="shared" si="19"/>
        <v>0</v>
      </c>
      <c r="BJ235">
        <f t="shared" si="20"/>
        <v>0</v>
      </c>
      <c r="BK235">
        <f t="shared" si="21"/>
        <v>0</v>
      </c>
      <c r="BL235">
        <f t="shared" si="22"/>
        <v>0</v>
      </c>
      <c r="BM235">
        <f t="shared" si="23"/>
        <v>0</v>
      </c>
      <c r="BN235">
        <f t="shared" si="24"/>
        <v>0</v>
      </c>
      <c r="BO235">
        <f t="shared" si="25"/>
        <v>0</v>
      </c>
      <c r="BP235">
        <f t="shared" si="26"/>
        <v>0</v>
      </c>
      <c r="BQ235">
        <f t="shared" si="27"/>
        <v>0</v>
      </c>
      <c r="BR235">
        <f t="shared" si="28"/>
        <v>0</v>
      </c>
      <c r="BS235">
        <f t="shared" si="29"/>
        <v>0</v>
      </c>
      <c r="BT235">
        <f t="shared" si="30"/>
        <v>0</v>
      </c>
      <c r="BU235">
        <f t="shared" si="31"/>
        <v>0</v>
      </c>
      <c r="BV235">
        <f t="shared" si="32"/>
        <v>0</v>
      </c>
      <c r="BW235">
        <f t="shared" si="33"/>
        <v>0</v>
      </c>
      <c r="CA235" t="str">
        <f>IF(36&gt;ROWS(DGArchive[模组]),"",IF(INDEX(DGArchive[模组],36)="","",INDEX(DGArchive[模组],36)))</f>
        <v/>
      </c>
      <c r="CB235" t="str">
        <f>IF(36&gt;ROWS(DGArchive[阶段]),"",IF(INDEX(DGArchive[阶段],36)="","",INDEX(DGArchive[阶段],36)))</f>
        <v/>
      </c>
      <c r="CC235" t="str">
        <f>IF(36&gt;ROWS(DGArchive[游戏内日期]),"",IF(INDEX(DGArchive[游戏内日期],36)="","",INDEX(DGArchive[游戏内日期],36)))</f>
        <v/>
      </c>
      <c r="CD235" t="str">
        <f>IF(36&gt;ROWS(DGArchive[目标]),"",IF(INDEX(DGArchive[目标],36)="","",INDEX(DGArchive[目标],36)))</f>
        <v/>
      </c>
      <c r="CE235" t="str">
        <f>IF(36&gt;ROWS(DGArchive[变更前]),"",IF(INDEX(DGArchive[变更前],36)="","",INDEX(DGArchive[变更前],36)))</f>
        <v/>
      </c>
      <c r="CF235" t="str">
        <f>IF(36&gt;ROWS(DGArchive[增减]),"",IF(INDEX(DGArchive[增减],36)="","",INDEX(DGArchive[增减],36)))</f>
        <v/>
      </c>
      <c r="CG235" t="str">
        <f>IF(36&gt;ROWS(DGArchive[变更后]),"",IF(INDEX(DGArchive[变更后],36)="","",INDEX(DGArchive[变更后],36)))</f>
        <v/>
      </c>
      <c r="CH235" t="str">
        <f>IF(36&gt;ROWS(DGArchive[事件／活动]),"",IF(INDEX(DGArchive[事件／活动],36)="","",INDEX(DGArchive[事件／活动],36)))</f>
        <v/>
      </c>
      <c r="CI235" t="str">
        <f>IF(36&gt;ROWS(DGArchive[记录编号]),"",IF(INDEX(DGArchive[记录编号],36)="","",INDEX(DGArchive[记录编号],36)))</f>
        <v/>
      </c>
      <c r="CL235">
        <f t="shared" si="14"/>
        <v>0</v>
      </c>
      <c r="CM235">
        <f>IF(AND(A235=$AO$5,B235=$AQ$3,H235=1),COUNTIFS($A$200:A235,$AO$5,$B$200:B235,$AQ$3,$H$200:H235,1),0)</f>
        <v>0</v>
      </c>
      <c r="CN235">
        <f>IF(CA235="",36,1001)</f>
        <v>36</v>
      </c>
      <c r="GA235">
        <f t="shared" si="34"/>
        <v>0</v>
      </c>
      <c r="GB235">
        <f t="shared" si="35"/>
        <v>0</v>
      </c>
      <c r="GC235">
        <f>IF(AND(C235="事件记录",H235=1),COUNTIFS($C$200:C235,"事件记录",$H$200:H235,1),0)</f>
        <v>0</v>
      </c>
      <c r="GD235">
        <f t="shared" si="15"/>
        <v>0</v>
      </c>
      <c r="GH235">
        <f>IF(AND(H235=1,A235=$GA$10,B235=$GA$11),COUNTIFS($A$200:A235,$GA$10,$B$200:B235,$GA$11,$H$200:H235,1),0)</f>
        <v>0</v>
      </c>
    </row>
    <row r="236" spans="1:190">
      <c r="A236" t="str">
        <f t="shared" si="6"/>
        <v/>
      </c>
      <c r="B236" t="str">
        <f t="shared" si="7"/>
        <v/>
      </c>
      <c r="C236" t="str">
        <f t="shared" si="8"/>
        <v/>
      </c>
      <c r="D236" t="str">
        <f t="shared" si="9"/>
        <v/>
      </c>
      <c r="E236">
        <f t="shared" si="10"/>
        <v>0</v>
      </c>
      <c r="F236" t="str">
        <f t="shared" si="11"/>
        <v/>
      </c>
      <c r="G236">
        <f t="shared" si="12"/>
        <v>0</v>
      </c>
      <c r="H236">
        <f>IF(AND(G236=1,COUNTIFS($I$200:I236,I236,$G$200:G236,1)=1),1,0)</f>
        <v>0</v>
      </c>
      <c r="I236" t="str">
        <f t="shared" si="13"/>
        <v/>
      </c>
      <c r="BF236">
        <f t="shared" si="16"/>
        <v>0</v>
      </c>
      <c r="BG236">
        <f t="shared" si="17"/>
        <v>0</v>
      </c>
      <c r="BH236">
        <f t="shared" si="18"/>
        <v>0</v>
      </c>
      <c r="BI236">
        <f t="shared" si="19"/>
        <v>0</v>
      </c>
      <c r="BJ236">
        <f t="shared" si="20"/>
        <v>0</v>
      </c>
      <c r="BK236">
        <f t="shared" si="21"/>
        <v>0</v>
      </c>
      <c r="BL236">
        <f t="shared" si="22"/>
        <v>0</v>
      </c>
      <c r="BM236">
        <f t="shared" si="23"/>
        <v>0</v>
      </c>
      <c r="BN236">
        <f t="shared" si="24"/>
        <v>0</v>
      </c>
      <c r="BO236">
        <f t="shared" si="25"/>
        <v>0</v>
      </c>
      <c r="BP236">
        <f t="shared" si="26"/>
        <v>0</v>
      </c>
      <c r="BQ236">
        <f t="shared" si="27"/>
        <v>0</v>
      </c>
      <c r="BR236">
        <f t="shared" si="28"/>
        <v>0</v>
      </c>
      <c r="BS236">
        <f t="shared" si="29"/>
        <v>0</v>
      </c>
      <c r="BT236">
        <f t="shared" si="30"/>
        <v>0</v>
      </c>
      <c r="BU236">
        <f t="shared" si="31"/>
        <v>0</v>
      </c>
      <c r="BV236">
        <f t="shared" si="32"/>
        <v>0</v>
      </c>
      <c r="BW236">
        <f t="shared" si="33"/>
        <v>0</v>
      </c>
      <c r="CA236" t="str">
        <f>IF(37&gt;ROWS(DGArchive[模组]),"",IF(INDEX(DGArchive[模组],37)="","",INDEX(DGArchive[模组],37)))</f>
        <v/>
      </c>
      <c r="CB236" t="str">
        <f>IF(37&gt;ROWS(DGArchive[阶段]),"",IF(INDEX(DGArchive[阶段],37)="","",INDEX(DGArchive[阶段],37)))</f>
        <v/>
      </c>
      <c r="CC236" t="str">
        <f>IF(37&gt;ROWS(DGArchive[游戏内日期]),"",IF(INDEX(DGArchive[游戏内日期],37)="","",INDEX(DGArchive[游戏内日期],37)))</f>
        <v/>
      </c>
      <c r="CD236" t="str">
        <f>IF(37&gt;ROWS(DGArchive[目标]),"",IF(INDEX(DGArchive[目标],37)="","",INDEX(DGArchive[目标],37)))</f>
        <v/>
      </c>
      <c r="CE236" t="str">
        <f>IF(37&gt;ROWS(DGArchive[变更前]),"",IF(INDEX(DGArchive[变更前],37)="","",INDEX(DGArchive[变更前],37)))</f>
        <v/>
      </c>
      <c r="CF236" t="str">
        <f>IF(37&gt;ROWS(DGArchive[增减]),"",IF(INDEX(DGArchive[增减],37)="","",INDEX(DGArchive[增减],37)))</f>
        <v/>
      </c>
      <c r="CG236" t="str">
        <f>IF(37&gt;ROWS(DGArchive[变更后]),"",IF(INDEX(DGArchive[变更后],37)="","",INDEX(DGArchive[变更后],37)))</f>
        <v/>
      </c>
      <c r="CH236" t="str">
        <f>IF(37&gt;ROWS(DGArchive[事件／活动]),"",IF(INDEX(DGArchive[事件／活动],37)="","",INDEX(DGArchive[事件／活动],37)))</f>
        <v/>
      </c>
      <c r="CI236" t="str">
        <f>IF(37&gt;ROWS(DGArchive[记录编号]),"",IF(INDEX(DGArchive[记录编号],37)="","",INDEX(DGArchive[记录编号],37)))</f>
        <v/>
      </c>
      <c r="CL236">
        <f t="shared" si="14"/>
        <v>0</v>
      </c>
      <c r="CM236">
        <f>IF(AND(A236=$AO$5,B236=$AQ$3,H236=1),COUNTIFS($A$200:A236,$AO$5,$B$200:B236,$AQ$3,$H$200:H236,1),0)</f>
        <v>0</v>
      </c>
      <c r="CN236">
        <f>IF(CA236="",37,1001)</f>
        <v>37</v>
      </c>
      <c r="GA236">
        <f t="shared" si="34"/>
        <v>0</v>
      </c>
      <c r="GB236">
        <f t="shared" si="35"/>
        <v>0</v>
      </c>
      <c r="GC236">
        <f>IF(AND(C236="事件记录",H236=1),COUNTIFS($C$200:C236,"事件记录",$H$200:H236,1),0)</f>
        <v>0</v>
      </c>
      <c r="GD236">
        <f t="shared" si="15"/>
        <v>0</v>
      </c>
      <c r="GH236">
        <f>IF(AND(H236=1,A236=$GA$10,B236=$GA$11),COUNTIFS($A$200:A236,$GA$10,$B$200:B236,$GA$11,$H$200:H236,1),0)</f>
        <v>0</v>
      </c>
    </row>
    <row r="237" spans="1:190">
      <c r="A237" t="str">
        <f t="shared" si="6"/>
        <v/>
      </c>
      <c r="B237" t="str">
        <f t="shared" si="7"/>
        <v/>
      </c>
      <c r="C237" t="str">
        <f t="shared" si="8"/>
        <v/>
      </c>
      <c r="D237" t="str">
        <f t="shared" si="9"/>
        <v/>
      </c>
      <c r="E237">
        <f t="shared" si="10"/>
        <v>0</v>
      </c>
      <c r="F237" t="str">
        <f t="shared" si="11"/>
        <v/>
      </c>
      <c r="G237">
        <f t="shared" si="12"/>
        <v>0</v>
      </c>
      <c r="H237">
        <f>IF(AND(G237=1,COUNTIFS($I$200:I237,I237,$G$200:G237,1)=1),1,0)</f>
        <v>0</v>
      </c>
      <c r="I237" t="str">
        <f t="shared" si="13"/>
        <v/>
      </c>
      <c r="BF237">
        <f t="shared" si="16"/>
        <v>0</v>
      </c>
      <c r="BG237">
        <f t="shared" si="17"/>
        <v>0</v>
      </c>
      <c r="BH237">
        <f t="shared" si="18"/>
        <v>0</v>
      </c>
      <c r="BI237">
        <f t="shared" si="19"/>
        <v>0</v>
      </c>
      <c r="BJ237">
        <f t="shared" si="20"/>
        <v>0</v>
      </c>
      <c r="BK237">
        <f t="shared" si="21"/>
        <v>0</v>
      </c>
      <c r="BL237">
        <f t="shared" si="22"/>
        <v>0</v>
      </c>
      <c r="BM237">
        <f t="shared" si="23"/>
        <v>0</v>
      </c>
      <c r="BN237">
        <f t="shared" si="24"/>
        <v>0</v>
      </c>
      <c r="BO237">
        <f t="shared" si="25"/>
        <v>0</v>
      </c>
      <c r="BP237">
        <f t="shared" si="26"/>
        <v>0</v>
      </c>
      <c r="BQ237">
        <f t="shared" si="27"/>
        <v>0</v>
      </c>
      <c r="BR237">
        <f t="shared" si="28"/>
        <v>0</v>
      </c>
      <c r="BS237">
        <f t="shared" si="29"/>
        <v>0</v>
      </c>
      <c r="BT237">
        <f t="shared" si="30"/>
        <v>0</v>
      </c>
      <c r="BU237">
        <f t="shared" si="31"/>
        <v>0</v>
      </c>
      <c r="BV237">
        <f t="shared" si="32"/>
        <v>0</v>
      </c>
      <c r="BW237">
        <f t="shared" si="33"/>
        <v>0</v>
      </c>
      <c r="CA237" t="str">
        <f>IF(38&gt;ROWS(DGArchive[模组]),"",IF(INDEX(DGArchive[模组],38)="","",INDEX(DGArchive[模组],38)))</f>
        <v/>
      </c>
      <c r="CB237" t="str">
        <f>IF(38&gt;ROWS(DGArchive[阶段]),"",IF(INDEX(DGArchive[阶段],38)="","",INDEX(DGArchive[阶段],38)))</f>
        <v/>
      </c>
      <c r="CC237" t="str">
        <f>IF(38&gt;ROWS(DGArchive[游戏内日期]),"",IF(INDEX(DGArchive[游戏内日期],38)="","",INDEX(DGArchive[游戏内日期],38)))</f>
        <v/>
      </c>
      <c r="CD237" t="str">
        <f>IF(38&gt;ROWS(DGArchive[目标]),"",IF(INDEX(DGArchive[目标],38)="","",INDEX(DGArchive[目标],38)))</f>
        <v/>
      </c>
      <c r="CE237" t="str">
        <f>IF(38&gt;ROWS(DGArchive[变更前]),"",IF(INDEX(DGArchive[变更前],38)="","",INDEX(DGArchive[变更前],38)))</f>
        <v/>
      </c>
      <c r="CF237" t="str">
        <f>IF(38&gt;ROWS(DGArchive[增减]),"",IF(INDEX(DGArchive[增减],38)="","",INDEX(DGArchive[增减],38)))</f>
        <v/>
      </c>
      <c r="CG237" t="str">
        <f>IF(38&gt;ROWS(DGArchive[变更后]),"",IF(INDEX(DGArchive[变更后],38)="","",INDEX(DGArchive[变更后],38)))</f>
        <v/>
      </c>
      <c r="CH237" t="str">
        <f>IF(38&gt;ROWS(DGArchive[事件／活动]),"",IF(INDEX(DGArchive[事件／活动],38)="","",INDEX(DGArchive[事件／活动],38)))</f>
        <v/>
      </c>
      <c r="CI237" t="str">
        <f>IF(38&gt;ROWS(DGArchive[记录编号]),"",IF(INDEX(DGArchive[记录编号],38)="","",INDEX(DGArchive[记录编号],38)))</f>
        <v/>
      </c>
      <c r="CL237">
        <f t="shared" si="14"/>
        <v>0</v>
      </c>
      <c r="CM237">
        <f>IF(AND(A237=$AO$5,B237=$AQ$3,H237=1),COUNTIFS($A$200:A237,$AO$5,$B$200:B237,$AQ$3,$H$200:H237,1),0)</f>
        <v>0</v>
      </c>
      <c r="CN237">
        <f>IF(CA237="",38,1001)</f>
        <v>38</v>
      </c>
      <c r="GA237">
        <f t="shared" si="34"/>
        <v>0</v>
      </c>
      <c r="GB237">
        <f t="shared" si="35"/>
        <v>0</v>
      </c>
      <c r="GC237">
        <f>IF(AND(C237="事件记录",H237=1),COUNTIFS($C$200:C237,"事件记录",$H$200:H237,1),0)</f>
        <v>0</v>
      </c>
      <c r="GD237">
        <f t="shared" si="15"/>
        <v>0</v>
      </c>
      <c r="GH237">
        <f>IF(AND(H237=1,A237=$GA$10,B237=$GA$11),COUNTIFS($A$200:A237,$GA$10,$B$200:B237,$GA$11,$H$200:H237,1),0)</f>
        <v>0</v>
      </c>
    </row>
    <row r="238" spans="1:190">
      <c r="A238" t="str">
        <f t="shared" si="6"/>
        <v/>
      </c>
      <c r="B238" t="str">
        <f t="shared" si="7"/>
        <v/>
      </c>
      <c r="C238" t="str">
        <f t="shared" si="8"/>
        <v/>
      </c>
      <c r="D238" t="str">
        <f t="shared" si="9"/>
        <v/>
      </c>
      <c r="E238">
        <f t="shared" si="10"/>
        <v>0</v>
      </c>
      <c r="F238" t="str">
        <f t="shared" si="11"/>
        <v/>
      </c>
      <c r="G238">
        <f t="shared" si="12"/>
        <v>0</v>
      </c>
      <c r="H238">
        <f>IF(AND(G238=1,COUNTIFS($I$200:I238,I238,$G$200:G238,1)=1),1,0)</f>
        <v>0</v>
      </c>
      <c r="I238" t="str">
        <f t="shared" si="13"/>
        <v/>
      </c>
      <c r="BF238">
        <f t="shared" si="16"/>
        <v>0</v>
      </c>
      <c r="BG238">
        <f t="shared" si="17"/>
        <v>0</v>
      </c>
      <c r="BH238">
        <f t="shared" si="18"/>
        <v>0</v>
      </c>
      <c r="BI238">
        <f t="shared" si="19"/>
        <v>0</v>
      </c>
      <c r="BJ238">
        <f t="shared" si="20"/>
        <v>0</v>
      </c>
      <c r="BK238">
        <f t="shared" si="21"/>
        <v>0</v>
      </c>
      <c r="BL238">
        <f t="shared" si="22"/>
        <v>0</v>
      </c>
      <c r="BM238">
        <f t="shared" si="23"/>
        <v>0</v>
      </c>
      <c r="BN238">
        <f t="shared" si="24"/>
        <v>0</v>
      </c>
      <c r="BO238">
        <f t="shared" si="25"/>
        <v>0</v>
      </c>
      <c r="BP238">
        <f t="shared" si="26"/>
        <v>0</v>
      </c>
      <c r="BQ238">
        <f t="shared" si="27"/>
        <v>0</v>
      </c>
      <c r="BR238">
        <f t="shared" si="28"/>
        <v>0</v>
      </c>
      <c r="BS238">
        <f t="shared" si="29"/>
        <v>0</v>
      </c>
      <c r="BT238">
        <f t="shared" si="30"/>
        <v>0</v>
      </c>
      <c r="BU238">
        <f t="shared" si="31"/>
        <v>0</v>
      </c>
      <c r="BV238">
        <f t="shared" si="32"/>
        <v>0</v>
      </c>
      <c r="BW238">
        <f t="shared" si="33"/>
        <v>0</v>
      </c>
      <c r="CA238" t="str">
        <f>IF(39&gt;ROWS(DGArchive[模组]),"",IF(INDEX(DGArchive[模组],39)="","",INDEX(DGArchive[模组],39)))</f>
        <v/>
      </c>
      <c r="CB238" t="str">
        <f>IF(39&gt;ROWS(DGArchive[阶段]),"",IF(INDEX(DGArchive[阶段],39)="","",INDEX(DGArchive[阶段],39)))</f>
        <v/>
      </c>
      <c r="CC238" t="str">
        <f>IF(39&gt;ROWS(DGArchive[游戏内日期]),"",IF(INDEX(DGArchive[游戏内日期],39)="","",INDEX(DGArchive[游戏内日期],39)))</f>
        <v/>
      </c>
      <c r="CD238" t="str">
        <f>IF(39&gt;ROWS(DGArchive[目标]),"",IF(INDEX(DGArchive[目标],39)="","",INDEX(DGArchive[目标],39)))</f>
        <v/>
      </c>
      <c r="CE238" t="str">
        <f>IF(39&gt;ROWS(DGArchive[变更前]),"",IF(INDEX(DGArchive[变更前],39)="","",INDEX(DGArchive[变更前],39)))</f>
        <v/>
      </c>
      <c r="CF238" t="str">
        <f>IF(39&gt;ROWS(DGArchive[增减]),"",IF(INDEX(DGArchive[增减],39)="","",INDEX(DGArchive[增减],39)))</f>
        <v/>
      </c>
      <c r="CG238" t="str">
        <f>IF(39&gt;ROWS(DGArchive[变更后]),"",IF(INDEX(DGArchive[变更后],39)="","",INDEX(DGArchive[变更后],39)))</f>
        <v/>
      </c>
      <c r="CH238" t="str">
        <f>IF(39&gt;ROWS(DGArchive[事件／活动]),"",IF(INDEX(DGArchive[事件／活动],39)="","",INDEX(DGArchive[事件／活动],39)))</f>
        <v/>
      </c>
      <c r="CI238" t="str">
        <f>IF(39&gt;ROWS(DGArchive[记录编号]),"",IF(INDEX(DGArchive[记录编号],39)="","",INDEX(DGArchive[记录编号],39)))</f>
        <v/>
      </c>
      <c r="CL238">
        <f t="shared" si="14"/>
        <v>0</v>
      </c>
      <c r="CM238">
        <f>IF(AND(A238=$AO$5,B238=$AQ$3,H238=1),COUNTIFS($A$200:A238,$AO$5,$B$200:B238,$AQ$3,$H$200:H238,1),0)</f>
        <v>0</v>
      </c>
      <c r="CN238">
        <f>IF(CA238="",39,1001)</f>
        <v>39</v>
      </c>
      <c r="GA238">
        <f t="shared" si="34"/>
        <v>0</v>
      </c>
      <c r="GB238">
        <f t="shared" si="35"/>
        <v>0</v>
      </c>
      <c r="GC238">
        <f>IF(AND(C238="事件记录",H238=1),COUNTIFS($C$200:C238,"事件记录",$H$200:H238,1),0)</f>
        <v>0</v>
      </c>
      <c r="GD238">
        <f t="shared" si="15"/>
        <v>0</v>
      </c>
      <c r="GH238">
        <f>IF(AND(H238=1,A238=$GA$10,B238=$GA$11),COUNTIFS($A$200:A238,$GA$10,$B$200:B238,$GA$11,$H$200:H238,1),0)</f>
        <v>0</v>
      </c>
    </row>
    <row r="239" spans="1:190">
      <c r="A239" t="str">
        <f t="shared" si="6"/>
        <v/>
      </c>
      <c r="B239" t="str">
        <f t="shared" si="7"/>
        <v/>
      </c>
      <c r="C239" t="str">
        <f t="shared" si="8"/>
        <v/>
      </c>
      <c r="D239" t="str">
        <f t="shared" si="9"/>
        <v/>
      </c>
      <c r="E239">
        <f t="shared" si="10"/>
        <v>0</v>
      </c>
      <c r="F239" t="str">
        <f t="shared" si="11"/>
        <v/>
      </c>
      <c r="G239">
        <f t="shared" si="12"/>
        <v>0</v>
      </c>
      <c r="H239">
        <f>IF(AND(G239=1,COUNTIFS($I$200:I239,I239,$G$200:G239,1)=1),1,0)</f>
        <v>0</v>
      </c>
      <c r="I239" t="str">
        <f t="shared" si="13"/>
        <v/>
      </c>
      <c r="BF239">
        <f t="shared" si="16"/>
        <v>0</v>
      </c>
      <c r="BG239">
        <f t="shared" si="17"/>
        <v>0</v>
      </c>
      <c r="BH239">
        <f t="shared" si="18"/>
        <v>0</v>
      </c>
      <c r="BI239">
        <f t="shared" si="19"/>
        <v>0</v>
      </c>
      <c r="BJ239">
        <f t="shared" si="20"/>
        <v>0</v>
      </c>
      <c r="BK239">
        <f t="shared" si="21"/>
        <v>0</v>
      </c>
      <c r="BL239">
        <f t="shared" si="22"/>
        <v>0</v>
      </c>
      <c r="BM239">
        <f t="shared" si="23"/>
        <v>0</v>
      </c>
      <c r="BN239">
        <f t="shared" si="24"/>
        <v>0</v>
      </c>
      <c r="BO239">
        <f t="shared" si="25"/>
        <v>0</v>
      </c>
      <c r="BP239">
        <f t="shared" si="26"/>
        <v>0</v>
      </c>
      <c r="BQ239">
        <f t="shared" si="27"/>
        <v>0</v>
      </c>
      <c r="BR239">
        <f t="shared" si="28"/>
        <v>0</v>
      </c>
      <c r="BS239">
        <f t="shared" si="29"/>
        <v>0</v>
      </c>
      <c r="BT239">
        <f t="shared" si="30"/>
        <v>0</v>
      </c>
      <c r="BU239">
        <f t="shared" si="31"/>
        <v>0</v>
      </c>
      <c r="BV239">
        <f t="shared" si="32"/>
        <v>0</v>
      </c>
      <c r="BW239">
        <f t="shared" si="33"/>
        <v>0</v>
      </c>
      <c r="CA239" t="str">
        <f>IF(40&gt;ROWS(DGArchive[模组]),"",IF(INDEX(DGArchive[模组],40)="","",INDEX(DGArchive[模组],40)))</f>
        <v/>
      </c>
      <c r="CB239" t="str">
        <f>IF(40&gt;ROWS(DGArchive[阶段]),"",IF(INDEX(DGArchive[阶段],40)="","",INDEX(DGArchive[阶段],40)))</f>
        <v/>
      </c>
      <c r="CC239" t="str">
        <f>IF(40&gt;ROWS(DGArchive[游戏内日期]),"",IF(INDEX(DGArchive[游戏内日期],40)="","",INDEX(DGArchive[游戏内日期],40)))</f>
        <v/>
      </c>
      <c r="CD239" t="str">
        <f>IF(40&gt;ROWS(DGArchive[目标]),"",IF(INDEX(DGArchive[目标],40)="","",INDEX(DGArchive[目标],40)))</f>
        <v/>
      </c>
      <c r="CE239" t="str">
        <f>IF(40&gt;ROWS(DGArchive[变更前]),"",IF(INDEX(DGArchive[变更前],40)="","",INDEX(DGArchive[变更前],40)))</f>
        <v/>
      </c>
      <c r="CF239" t="str">
        <f>IF(40&gt;ROWS(DGArchive[增减]),"",IF(INDEX(DGArchive[增减],40)="","",INDEX(DGArchive[增减],40)))</f>
        <v/>
      </c>
      <c r="CG239" t="str">
        <f>IF(40&gt;ROWS(DGArchive[变更后]),"",IF(INDEX(DGArchive[变更后],40)="","",INDEX(DGArchive[变更后],40)))</f>
        <v/>
      </c>
      <c r="CH239" t="str">
        <f>IF(40&gt;ROWS(DGArchive[事件／活动]),"",IF(INDEX(DGArchive[事件／活动],40)="","",INDEX(DGArchive[事件／活动],40)))</f>
        <v/>
      </c>
      <c r="CI239" t="str">
        <f>IF(40&gt;ROWS(DGArchive[记录编号]),"",IF(INDEX(DGArchive[记录编号],40)="","",INDEX(DGArchive[记录编号],40)))</f>
        <v/>
      </c>
      <c r="CL239">
        <f t="shared" si="14"/>
        <v>0</v>
      </c>
      <c r="CM239">
        <f>IF(AND(A239=$AO$5,B239=$AQ$3,H239=1),COUNTIFS($A$200:A239,$AO$5,$B$200:B239,$AQ$3,$H$200:H239,1),0)</f>
        <v>0</v>
      </c>
      <c r="CN239">
        <f>IF(CA239="",40,1001)</f>
        <v>40</v>
      </c>
      <c r="GA239">
        <f t="shared" si="34"/>
        <v>0</v>
      </c>
      <c r="GB239">
        <f t="shared" si="35"/>
        <v>0</v>
      </c>
      <c r="GC239">
        <f>IF(AND(C239="事件记录",H239=1),COUNTIFS($C$200:C239,"事件记录",$H$200:H239,1),0)</f>
        <v>0</v>
      </c>
      <c r="GD239">
        <f t="shared" si="15"/>
        <v>0</v>
      </c>
      <c r="GH239">
        <f>IF(AND(H239=1,A239=$GA$10,B239=$GA$11),COUNTIFS($A$200:A239,$GA$10,$B$200:B239,$GA$11,$H$200:H239,1),0)</f>
        <v>0</v>
      </c>
    </row>
    <row r="240" spans="1:190">
      <c r="A240" t="str">
        <f t="shared" si="6"/>
        <v/>
      </c>
      <c r="B240" t="str">
        <f t="shared" si="7"/>
        <v/>
      </c>
      <c r="C240" t="str">
        <f t="shared" si="8"/>
        <v/>
      </c>
      <c r="D240" t="str">
        <f t="shared" si="9"/>
        <v/>
      </c>
      <c r="E240">
        <f t="shared" si="10"/>
        <v>0</v>
      </c>
      <c r="F240" t="str">
        <f t="shared" si="11"/>
        <v/>
      </c>
      <c r="G240">
        <f t="shared" si="12"/>
        <v>0</v>
      </c>
      <c r="H240">
        <f>IF(AND(G240=1,COUNTIFS($I$200:I240,I240,$G$200:G240,1)=1),1,0)</f>
        <v>0</v>
      </c>
      <c r="I240" t="str">
        <f t="shared" si="13"/>
        <v/>
      </c>
      <c r="BF240">
        <f t="shared" si="16"/>
        <v>0</v>
      </c>
      <c r="BG240">
        <f t="shared" si="17"/>
        <v>0</v>
      </c>
      <c r="BH240">
        <f t="shared" si="18"/>
        <v>0</v>
      </c>
      <c r="BI240">
        <f t="shared" si="19"/>
        <v>0</v>
      </c>
      <c r="BJ240">
        <f t="shared" si="20"/>
        <v>0</v>
      </c>
      <c r="BK240">
        <f t="shared" si="21"/>
        <v>0</v>
      </c>
      <c r="BL240">
        <f t="shared" si="22"/>
        <v>0</v>
      </c>
      <c r="BM240">
        <f t="shared" si="23"/>
        <v>0</v>
      </c>
      <c r="BN240">
        <f t="shared" si="24"/>
        <v>0</v>
      </c>
      <c r="BO240">
        <f t="shared" si="25"/>
        <v>0</v>
      </c>
      <c r="BP240">
        <f t="shared" si="26"/>
        <v>0</v>
      </c>
      <c r="BQ240">
        <f t="shared" si="27"/>
        <v>0</v>
      </c>
      <c r="BR240">
        <f t="shared" si="28"/>
        <v>0</v>
      </c>
      <c r="BS240">
        <f t="shared" si="29"/>
        <v>0</v>
      </c>
      <c r="BT240">
        <f t="shared" si="30"/>
        <v>0</v>
      </c>
      <c r="BU240">
        <f t="shared" si="31"/>
        <v>0</v>
      </c>
      <c r="BV240">
        <f t="shared" si="32"/>
        <v>0</v>
      </c>
      <c r="BW240">
        <f t="shared" si="33"/>
        <v>0</v>
      </c>
      <c r="CA240" t="str">
        <f>IF(41&gt;ROWS(DGArchive[模组]),"",IF(INDEX(DGArchive[模组],41)="","",INDEX(DGArchive[模组],41)))</f>
        <v/>
      </c>
      <c r="CB240" t="str">
        <f>IF(41&gt;ROWS(DGArchive[阶段]),"",IF(INDEX(DGArchive[阶段],41)="","",INDEX(DGArchive[阶段],41)))</f>
        <v/>
      </c>
      <c r="CC240" t="str">
        <f>IF(41&gt;ROWS(DGArchive[游戏内日期]),"",IF(INDEX(DGArchive[游戏内日期],41)="","",INDEX(DGArchive[游戏内日期],41)))</f>
        <v/>
      </c>
      <c r="CD240" t="str">
        <f>IF(41&gt;ROWS(DGArchive[目标]),"",IF(INDEX(DGArchive[目标],41)="","",INDEX(DGArchive[目标],41)))</f>
        <v/>
      </c>
      <c r="CE240" t="str">
        <f>IF(41&gt;ROWS(DGArchive[变更前]),"",IF(INDEX(DGArchive[变更前],41)="","",INDEX(DGArchive[变更前],41)))</f>
        <v/>
      </c>
      <c r="CF240" t="str">
        <f>IF(41&gt;ROWS(DGArchive[增减]),"",IF(INDEX(DGArchive[增减],41)="","",INDEX(DGArchive[增减],41)))</f>
        <v/>
      </c>
      <c r="CG240" t="str">
        <f>IF(41&gt;ROWS(DGArchive[变更后]),"",IF(INDEX(DGArchive[变更后],41)="","",INDEX(DGArchive[变更后],41)))</f>
        <v/>
      </c>
      <c r="CH240" t="str">
        <f>IF(41&gt;ROWS(DGArchive[事件／活动]),"",IF(INDEX(DGArchive[事件／活动],41)="","",INDEX(DGArchive[事件／活动],41)))</f>
        <v/>
      </c>
      <c r="CI240" t="str">
        <f>IF(41&gt;ROWS(DGArchive[记录编号]),"",IF(INDEX(DGArchive[记录编号],41)="","",INDEX(DGArchive[记录编号],41)))</f>
        <v/>
      </c>
      <c r="CL240">
        <f t="shared" si="14"/>
        <v>0</v>
      </c>
      <c r="CM240">
        <f>IF(AND(A240=$AO$5,B240=$AQ$3,H240=1),COUNTIFS($A$200:A240,$AO$5,$B$200:B240,$AQ$3,$H$200:H240,1),0)</f>
        <v>0</v>
      </c>
      <c r="CN240">
        <f>IF(CA240="",41,1001)</f>
        <v>41</v>
      </c>
      <c r="GA240">
        <f t="shared" si="34"/>
        <v>0</v>
      </c>
      <c r="GB240">
        <f t="shared" si="35"/>
        <v>0</v>
      </c>
      <c r="GC240">
        <f>IF(AND(C240="事件记录",H240=1),COUNTIFS($C$200:C240,"事件记录",$H$200:H240,1),0)</f>
        <v>0</v>
      </c>
      <c r="GD240">
        <f t="shared" si="15"/>
        <v>0</v>
      </c>
      <c r="GH240">
        <f>IF(AND(H240=1,A240=$GA$10,B240=$GA$11),COUNTIFS($A$200:A240,$GA$10,$B$200:B240,$GA$11,$H$200:H240,1),0)</f>
        <v>0</v>
      </c>
    </row>
    <row r="241" spans="1:190">
      <c r="A241" t="str">
        <f t="shared" si="6"/>
        <v/>
      </c>
      <c r="B241" t="str">
        <f t="shared" si="7"/>
        <v/>
      </c>
      <c r="C241" t="str">
        <f t="shared" si="8"/>
        <v/>
      </c>
      <c r="D241" t="str">
        <f t="shared" si="9"/>
        <v/>
      </c>
      <c r="E241">
        <f t="shared" si="10"/>
        <v>0</v>
      </c>
      <c r="F241" t="str">
        <f t="shared" si="11"/>
        <v/>
      </c>
      <c r="G241">
        <f t="shared" si="12"/>
        <v>0</v>
      </c>
      <c r="H241">
        <f>IF(AND(G241=1,COUNTIFS($I$200:I241,I241,$G$200:G241,1)=1),1,0)</f>
        <v>0</v>
      </c>
      <c r="I241" t="str">
        <f t="shared" si="13"/>
        <v/>
      </c>
      <c r="BF241">
        <f t="shared" si="16"/>
        <v>0</v>
      </c>
      <c r="BG241">
        <f t="shared" si="17"/>
        <v>0</v>
      </c>
      <c r="BH241">
        <f t="shared" si="18"/>
        <v>0</v>
      </c>
      <c r="BI241">
        <f t="shared" si="19"/>
        <v>0</v>
      </c>
      <c r="BJ241">
        <f t="shared" si="20"/>
        <v>0</v>
      </c>
      <c r="BK241">
        <f t="shared" si="21"/>
        <v>0</v>
      </c>
      <c r="BL241">
        <f t="shared" si="22"/>
        <v>0</v>
      </c>
      <c r="BM241">
        <f t="shared" si="23"/>
        <v>0</v>
      </c>
      <c r="BN241">
        <f t="shared" si="24"/>
        <v>0</v>
      </c>
      <c r="BO241">
        <f t="shared" si="25"/>
        <v>0</v>
      </c>
      <c r="BP241">
        <f t="shared" si="26"/>
        <v>0</v>
      </c>
      <c r="BQ241">
        <f t="shared" si="27"/>
        <v>0</v>
      </c>
      <c r="BR241">
        <f t="shared" si="28"/>
        <v>0</v>
      </c>
      <c r="BS241">
        <f t="shared" si="29"/>
        <v>0</v>
      </c>
      <c r="BT241">
        <f t="shared" si="30"/>
        <v>0</v>
      </c>
      <c r="BU241">
        <f t="shared" si="31"/>
        <v>0</v>
      </c>
      <c r="BV241">
        <f t="shared" si="32"/>
        <v>0</v>
      </c>
      <c r="BW241">
        <f t="shared" si="33"/>
        <v>0</v>
      </c>
      <c r="CA241" t="str">
        <f>IF(42&gt;ROWS(DGArchive[模组]),"",IF(INDEX(DGArchive[模组],42)="","",INDEX(DGArchive[模组],42)))</f>
        <v/>
      </c>
      <c r="CB241" t="str">
        <f>IF(42&gt;ROWS(DGArchive[阶段]),"",IF(INDEX(DGArchive[阶段],42)="","",INDEX(DGArchive[阶段],42)))</f>
        <v/>
      </c>
      <c r="CC241" t="str">
        <f>IF(42&gt;ROWS(DGArchive[游戏内日期]),"",IF(INDEX(DGArchive[游戏内日期],42)="","",INDEX(DGArchive[游戏内日期],42)))</f>
        <v/>
      </c>
      <c r="CD241" t="str">
        <f>IF(42&gt;ROWS(DGArchive[目标]),"",IF(INDEX(DGArchive[目标],42)="","",INDEX(DGArchive[目标],42)))</f>
        <v/>
      </c>
      <c r="CE241" t="str">
        <f>IF(42&gt;ROWS(DGArchive[变更前]),"",IF(INDEX(DGArchive[变更前],42)="","",INDEX(DGArchive[变更前],42)))</f>
        <v/>
      </c>
      <c r="CF241" t="str">
        <f>IF(42&gt;ROWS(DGArchive[增减]),"",IF(INDEX(DGArchive[增减],42)="","",INDEX(DGArchive[增减],42)))</f>
        <v/>
      </c>
      <c r="CG241" t="str">
        <f>IF(42&gt;ROWS(DGArchive[变更后]),"",IF(INDEX(DGArchive[变更后],42)="","",INDEX(DGArchive[变更后],42)))</f>
        <v/>
      </c>
      <c r="CH241" t="str">
        <f>IF(42&gt;ROWS(DGArchive[事件／活动]),"",IF(INDEX(DGArchive[事件／活动],42)="","",INDEX(DGArchive[事件／活动],42)))</f>
        <v/>
      </c>
      <c r="CI241" t="str">
        <f>IF(42&gt;ROWS(DGArchive[记录编号]),"",IF(INDEX(DGArchive[记录编号],42)="","",INDEX(DGArchive[记录编号],42)))</f>
        <v/>
      </c>
      <c r="CL241">
        <f t="shared" si="14"/>
        <v>0</v>
      </c>
      <c r="CM241">
        <f>IF(AND(A241=$AO$5,B241=$AQ$3,H241=1),COUNTIFS($A$200:A241,$AO$5,$B$200:B241,$AQ$3,$H$200:H241,1),0)</f>
        <v>0</v>
      </c>
      <c r="CN241">
        <f>IF(CA241="",42,1001)</f>
        <v>42</v>
      </c>
      <c r="GA241">
        <f t="shared" si="34"/>
        <v>0</v>
      </c>
      <c r="GB241">
        <f t="shared" si="35"/>
        <v>0</v>
      </c>
      <c r="GC241">
        <f>IF(AND(C241="事件记录",H241=1),COUNTIFS($C$200:C241,"事件记录",$H$200:H241,1),0)</f>
        <v>0</v>
      </c>
      <c r="GD241">
        <f t="shared" si="15"/>
        <v>0</v>
      </c>
      <c r="GH241">
        <f>IF(AND(H241=1,A241=$GA$10,B241=$GA$11),COUNTIFS($A$200:A241,$GA$10,$B$200:B241,$GA$11,$H$200:H241,1),0)</f>
        <v>0</v>
      </c>
    </row>
    <row r="242" spans="1:190">
      <c r="A242" t="str">
        <f t="shared" si="6"/>
        <v/>
      </c>
      <c r="B242" t="str">
        <f t="shared" si="7"/>
        <v/>
      </c>
      <c r="C242" t="str">
        <f t="shared" si="8"/>
        <v/>
      </c>
      <c r="D242" t="str">
        <f t="shared" si="9"/>
        <v/>
      </c>
      <c r="E242">
        <f t="shared" si="10"/>
        <v>0</v>
      </c>
      <c r="F242" t="str">
        <f t="shared" si="11"/>
        <v/>
      </c>
      <c r="G242">
        <f t="shared" si="12"/>
        <v>0</v>
      </c>
      <c r="H242">
        <f>IF(AND(G242=1,COUNTIFS($I$200:I242,I242,$G$200:G242,1)=1),1,0)</f>
        <v>0</v>
      </c>
      <c r="I242" t="str">
        <f t="shared" si="13"/>
        <v/>
      </c>
      <c r="BF242">
        <f t="shared" si="16"/>
        <v>0</v>
      </c>
      <c r="BG242">
        <f t="shared" si="17"/>
        <v>0</v>
      </c>
      <c r="BH242">
        <f t="shared" si="18"/>
        <v>0</v>
      </c>
      <c r="BI242">
        <f t="shared" si="19"/>
        <v>0</v>
      </c>
      <c r="BJ242">
        <f t="shared" si="20"/>
        <v>0</v>
      </c>
      <c r="BK242">
        <f t="shared" si="21"/>
        <v>0</v>
      </c>
      <c r="BL242">
        <f t="shared" si="22"/>
        <v>0</v>
      </c>
      <c r="BM242">
        <f t="shared" si="23"/>
        <v>0</v>
      </c>
      <c r="BN242">
        <f t="shared" si="24"/>
        <v>0</v>
      </c>
      <c r="BO242">
        <f t="shared" si="25"/>
        <v>0</v>
      </c>
      <c r="BP242">
        <f t="shared" si="26"/>
        <v>0</v>
      </c>
      <c r="BQ242">
        <f t="shared" si="27"/>
        <v>0</v>
      </c>
      <c r="BR242">
        <f t="shared" si="28"/>
        <v>0</v>
      </c>
      <c r="BS242">
        <f t="shared" si="29"/>
        <v>0</v>
      </c>
      <c r="BT242">
        <f t="shared" si="30"/>
        <v>0</v>
      </c>
      <c r="BU242">
        <f t="shared" si="31"/>
        <v>0</v>
      </c>
      <c r="BV242">
        <f t="shared" si="32"/>
        <v>0</v>
      </c>
      <c r="BW242">
        <f t="shared" si="33"/>
        <v>0</v>
      </c>
      <c r="CA242" t="str">
        <f>IF(43&gt;ROWS(DGArchive[模组]),"",IF(INDEX(DGArchive[模组],43)="","",INDEX(DGArchive[模组],43)))</f>
        <v/>
      </c>
      <c r="CB242" t="str">
        <f>IF(43&gt;ROWS(DGArchive[阶段]),"",IF(INDEX(DGArchive[阶段],43)="","",INDEX(DGArchive[阶段],43)))</f>
        <v/>
      </c>
      <c r="CC242" t="str">
        <f>IF(43&gt;ROWS(DGArchive[游戏内日期]),"",IF(INDEX(DGArchive[游戏内日期],43)="","",INDEX(DGArchive[游戏内日期],43)))</f>
        <v/>
      </c>
      <c r="CD242" t="str">
        <f>IF(43&gt;ROWS(DGArchive[目标]),"",IF(INDEX(DGArchive[目标],43)="","",INDEX(DGArchive[目标],43)))</f>
        <v/>
      </c>
      <c r="CE242" t="str">
        <f>IF(43&gt;ROWS(DGArchive[变更前]),"",IF(INDEX(DGArchive[变更前],43)="","",INDEX(DGArchive[变更前],43)))</f>
        <v/>
      </c>
      <c r="CF242" t="str">
        <f>IF(43&gt;ROWS(DGArchive[增减]),"",IF(INDEX(DGArchive[增减],43)="","",INDEX(DGArchive[增减],43)))</f>
        <v/>
      </c>
      <c r="CG242" t="str">
        <f>IF(43&gt;ROWS(DGArchive[变更后]),"",IF(INDEX(DGArchive[变更后],43)="","",INDEX(DGArchive[变更后],43)))</f>
        <v/>
      </c>
      <c r="CH242" t="str">
        <f>IF(43&gt;ROWS(DGArchive[事件／活动]),"",IF(INDEX(DGArchive[事件／活动],43)="","",INDEX(DGArchive[事件／活动],43)))</f>
        <v/>
      </c>
      <c r="CI242" t="str">
        <f>IF(43&gt;ROWS(DGArchive[记录编号]),"",IF(INDEX(DGArchive[记录编号],43)="","",INDEX(DGArchive[记录编号],43)))</f>
        <v/>
      </c>
      <c r="CL242">
        <f t="shared" si="14"/>
        <v>0</v>
      </c>
      <c r="CM242">
        <f>IF(AND(A242=$AO$5,B242=$AQ$3,H242=1),COUNTIFS($A$200:A242,$AO$5,$B$200:B242,$AQ$3,$H$200:H242,1),0)</f>
        <v>0</v>
      </c>
      <c r="CN242">
        <f>IF(CA242="",43,1001)</f>
        <v>43</v>
      </c>
      <c r="GA242">
        <f t="shared" si="34"/>
        <v>0</v>
      </c>
      <c r="GB242">
        <f t="shared" si="35"/>
        <v>0</v>
      </c>
      <c r="GC242">
        <f>IF(AND(C242="事件记录",H242=1),COUNTIFS($C$200:C242,"事件记录",$H$200:H242,1),0)</f>
        <v>0</v>
      </c>
      <c r="GD242">
        <f t="shared" si="15"/>
        <v>0</v>
      </c>
      <c r="GH242">
        <f>IF(AND(H242=1,A242=$GA$10,B242=$GA$11),COUNTIFS($A$200:A242,$GA$10,$B$200:B242,$GA$11,$H$200:H242,1),0)</f>
        <v>0</v>
      </c>
    </row>
    <row r="243" spans="1:190">
      <c r="A243" t="str">
        <f t="shared" si="6"/>
        <v/>
      </c>
      <c r="B243" t="str">
        <f t="shared" si="7"/>
        <v/>
      </c>
      <c r="C243" t="str">
        <f t="shared" si="8"/>
        <v/>
      </c>
      <c r="D243" t="str">
        <f t="shared" si="9"/>
        <v/>
      </c>
      <c r="E243">
        <f t="shared" si="10"/>
        <v>0</v>
      </c>
      <c r="F243" t="str">
        <f t="shared" si="11"/>
        <v/>
      </c>
      <c r="G243">
        <f t="shared" si="12"/>
        <v>0</v>
      </c>
      <c r="H243">
        <f>IF(AND(G243=1,COUNTIFS($I$200:I243,I243,$G$200:G243,1)=1),1,0)</f>
        <v>0</v>
      </c>
      <c r="I243" t="str">
        <f t="shared" si="13"/>
        <v/>
      </c>
      <c r="BF243">
        <f t="shared" si="16"/>
        <v>0</v>
      </c>
      <c r="BG243">
        <f t="shared" si="17"/>
        <v>0</v>
      </c>
      <c r="BH243">
        <f t="shared" si="18"/>
        <v>0</v>
      </c>
      <c r="BI243">
        <f t="shared" si="19"/>
        <v>0</v>
      </c>
      <c r="BJ243">
        <f t="shared" si="20"/>
        <v>0</v>
      </c>
      <c r="BK243">
        <f t="shared" si="21"/>
        <v>0</v>
      </c>
      <c r="BL243">
        <f t="shared" si="22"/>
        <v>0</v>
      </c>
      <c r="BM243">
        <f t="shared" si="23"/>
        <v>0</v>
      </c>
      <c r="BN243">
        <f t="shared" si="24"/>
        <v>0</v>
      </c>
      <c r="BO243">
        <f t="shared" si="25"/>
        <v>0</v>
      </c>
      <c r="BP243">
        <f t="shared" si="26"/>
        <v>0</v>
      </c>
      <c r="BQ243">
        <f t="shared" si="27"/>
        <v>0</v>
      </c>
      <c r="BR243">
        <f t="shared" si="28"/>
        <v>0</v>
      </c>
      <c r="BS243">
        <f t="shared" si="29"/>
        <v>0</v>
      </c>
      <c r="BT243">
        <f t="shared" si="30"/>
        <v>0</v>
      </c>
      <c r="BU243">
        <f t="shared" si="31"/>
        <v>0</v>
      </c>
      <c r="BV243">
        <f t="shared" si="32"/>
        <v>0</v>
      </c>
      <c r="BW243">
        <f t="shared" si="33"/>
        <v>0</v>
      </c>
      <c r="CA243" t="str">
        <f>IF(44&gt;ROWS(DGArchive[模组]),"",IF(INDEX(DGArchive[模组],44)="","",INDEX(DGArchive[模组],44)))</f>
        <v/>
      </c>
      <c r="CB243" t="str">
        <f>IF(44&gt;ROWS(DGArchive[阶段]),"",IF(INDEX(DGArchive[阶段],44)="","",INDEX(DGArchive[阶段],44)))</f>
        <v/>
      </c>
      <c r="CC243" t="str">
        <f>IF(44&gt;ROWS(DGArchive[游戏内日期]),"",IF(INDEX(DGArchive[游戏内日期],44)="","",INDEX(DGArchive[游戏内日期],44)))</f>
        <v/>
      </c>
      <c r="CD243" t="str">
        <f>IF(44&gt;ROWS(DGArchive[目标]),"",IF(INDEX(DGArchive[目标],44)="","",INDEX(DGArchive[目标],44)))</f>
        <v/>
      </c>
      <c r="CE243" t="str">
        <f>IF(44&gt;ROWS(DGArchive[变更前]),"",IF(INDEX(DGArchive[变更前],44)="","",INDEX(DGArchive[变更前],44)))</f>
        <v/>
      </c>
      <c r="CF243" t="str">
        <f>IF(44&gt;ROWS(DGArchive[增减]),"",IF(INDEX(DGArchive[增减],44)="","",INDEX(DGArchive[增减],44)))</f>
        <v/>
      </c>
      <c r="CG243" t="str">
        <f>IF(44&gt;ROWS(DGArchive[变更后]),"",IF(INDEX(DGArchive[变更后],44)="","",INDEX(DGArchive[变更后],44)))</f>
        <v/>
      </c>
      <c r="CH243" t="str">
        <f>IF(44&gt;ROWS(DGArchive[事件／活动]),"",IF(INDEX(DGArchive[事件／活动],44)="","",INDEX(DGArchive[事件／活动],44)))</f>
        <v/>
      </c>
      <c r="CI243" t="str">
        <f>IF(44&gt;ROWS(DGArchive[记录编号]),"",IF(INDEX(DGArchive[记录编号],44)="","",INDEX(DGArchive[记录编号],44)))</f>
        <v/>
      </c>
      <c r="CL243">
        <f t="shared" si="14"/>
        <v>0</v>
      </c>
      <c r="CM243">
        <f>IF(AND(A243=$AO$5,B243=$AQ$3,H243=1),COUNTIFS($A$200:A243,$AO$5,$B$200:B243,$AQ$3,$H$200:H243,1),0)</f>
        <v>0</v>
      </c>
      <c r="CN243">
        <f>IF(CA243="",44,1001)</f>
        <v>44</v>
      </c>
      <c r="GA243">
        <f t="shared" si="34"/>
        <v>0</v>
      </c>
      <c r="GB243">
        <f t="shared" si="35"/>
        <v>0</v>
      </c>
      <c r="GC243">
        <f>IF(AND(C243="事件记录",H243=1),COUNTIFS($C$200:C243,"事件记录",$H$200:H243,1),0)</f>
        <v>0</v>
      </c>
      <c r="GD243">
        <f t="shared" si="15"/>
        <v>0</v>
      </c>
      <c r="GH243">
        <f>IF(AND(H243=1,A243=$GA$10,B243=$GA$11),COUNTIFS($A$200:A243,$GA$10,$B$200:B243,$GA$11,$H$200:H243,1),0)</f>
        <v>0</v>
      </c>
    </row>
    <row r="244" spans="1:190">
      <c r="A244" t="str">
        <f t="shared" si="6"/>
        <v/>
      </c>
      <c r="B244" t="str">
        <f t="shared" si="7"/>
        <v/>
      </c>
      <c r="C244" t="str">
        <f t="shared" si="8"/>
        <v/>
      </c>
      <c r="D244" t="str">
        <f t="shared" si="9"/>
        <v/>
      </c>
      <c r="E244">
        <f t="shared" si="10"/>
        <v>0</v>
      </c>
      <c r="F244" t="str">
        <f t="shared" si="11"/>
        <v/>
      </c>
      <c r="G244">
        <f t="shared" si="12"/>
        <v>0</v>
      </c>
      <c r="H244">
        <f>IF(AND(G244=1,COUNTIFS($I$200:I244,I244,$G$200:G244,1)=1),1,0)</f>
        <v>0</v>
      </c>
      <c r="I244" t="str">
        <f t="shared" si="13"/>
        <v/>
      </c>
      <c r="BF244">
        <f t="shared" si="16"/>
        <v>0</v>
      </c>
      <c r="BG244">
        <f t="shared" si="17"/>
        <v>0</v>
      </c>
      <c r="BH244">
        <f t="shared" si="18"/>
        <v>0</v>
      </c>
      <c r="BI244">
        <f t="shared" si="19"/>
        <v>0</v>
      </c>
      <c r="BJ244">
        <f t="shared" si="20"/>
        <v>0</v>
      </c>
      <c r="BK244">
        <f t="shared" si="21"/>
        <v>0</v>
      </c>
      <c r="BL244">
        <f t="shared" si="22"/>
        <v>0</v>
      </c>
      <c r="BM244">
        <f t="shared" si="23"/>
        <v>0</v>
      </c>
      <c r="BN244">
        <f t="shared" si="24"/>
        <v>0</v>
      </c>
      <c r="BO244">
        <f t="shared" si="25"/>
        <v>0</v>
      </c>
      <c r="BP244">
        <f t="shared" si="26"/>
        <v>0</v>
      </c>
      <c r="BQ244">
        <f t="shared" si="27"/>
        <v>0</v>
      </c>
      <c r="BR244">
        <f t="shared" si="28"/>
        <v>0</v>
      </c>
      <c r="BS244">
        <f t="shared" si="29"/>
        <v>0</v>
      </c>
      <c r="BT244">
        <f t="shared" si="30"/>
        <v>0</v>
      </c>
      <c r="BU244">
        <f t="shared" si="31"/>
        <v>0</v>
      </c>
      <c r="BV244">
        <f t="shared" si="32"/>
        <v>0</v>
      </c>
      <c r="BW244">
        <f t="shared" si="33"/>
        <v>0</v>
      </c>
      <c r="CA244" t="str">
        <f>IF(45&gt;ROWS(DGArchive[模组]),"",IF(INDEX(DGArchive[模组],45)="","",INDEX(DGArchive[模组],45)))</f>
        <v/>
      </c>
      <c r="CB244" t="str">
        <f>IF(45&gt;ROWS(DGArchive[阶段]),"",IF(INDEX(DGArchive[阶段],45)="","",INDEX(DGArchive[阶段],45)))</f>
        <v/>
      </c>
      <c r="CC244" t="str">
        <f>IF(45&gt;ROWS(DGArchive[游戏内日期]),"",IF(INDEX(DGArchive[游戏内日期],45)="","",INDEX(DGArchive[游戏内日期],45)))</f>
        <v/>
      </c>
      <c r="CD244" t="str">
        <f>IF(45&gt;ROWS(DGArchive[目标]),"",IF(INDEX(DGArchive[目标],45)="","",INDEX(DGArchive[目标],45)))</f>
        <v/>
      </c>
      <c r="CE244" t="str">
        <f>IF(45&gt;ROWS(DGArchive[变更前]),"",IF(INDEX(DGArchive[变更前],45)="","",INDEX(DGArchive[变更前],45)))</f>
        <v/>
      </c>
      <c r="CF244" t="str">
        <f>IF(45&gt;ROWS(DGArchive[增减]),"",IF(INDEX(DGArchive[增减],45)="","",INDEX(DGArchive[增减],45)))</f>
        <v/>
      </c>
      <c r="CG244" t="str">
        <f>IF(45&gt;ROWS(DGArchive[变更后]),"",IF(INDEX(DGArchive[变更后],45)="","",INDEX(DGArchive[变更后],45)))</f>
        <v/>
      </c>
      <c r="CH244" t="str">
        <f>IF(45&gt;ROWS(DGArchive[事件／活动]),"",IF(INDEX(DGArchive[事件／活动],45)="","",INDEX(DGArchive[事件／活动],45)))</f>
        <v/>
      </c>
      <c r="CI244" t="str">
        <f>IF(45&gt;ROWS(DGArchive[记录编号]),"",IF(INDEX(DGArchive[记录编号],45)="","",INDEX(DGArchive[记录编号],45)))</f>
        <v/>
      </c>
      <c r="CL244">
        <f t="shared" si="14"/>
        <v>0</v>
      </c>
      <c r="CM244">
        <f>IF(AND(A244=$AO$5,B244=$AQ$3,H244=1),COUNTIFS($A$200:A244,$AO$5,$B$200:B244,$AQ$3,$H$200:H244,1),0)</f>
        <v>0</v>
      </c>
      <c r="CN244">
        <f>IF(CA244="",45,1001)</f>
        <v>45</v>
      </c>
      <c r="GA244">
        <f t="shared" si="34"/>
        <v>0</v>
      </c>
      <c r="GB244">
        <f t="shared" si="35"/>
        <v>0</v>
      </c>
      <c r="GC244">
        <f>IF(AND(C244="事件记录",H244=1),COUNTIFS($C$200:C244,"事件记录",$H$200:H244,1),0)</f>
        <v>0</v>
      </c>
      <c r="GD244">
        <f t="shared" si="15"/>
        <v>0</v>
      </c>
      <c r="GH244">
        <f>IF(AND(H244=1,A244=$GA$10,B244=$GA$11),COUNTIFS($A$200:A244,$GA$10,$B$200:B244,$GA$11,$H$200:H244,1),0)</f>
        <v>0</v>
      </c>
    </row>
    <row r="245" spans="1:190">
      <c r="A245" t="str">
        <f t="shared" si="6"/>
        <v/>
      </c>
      <c r="B245" t="str">
        <f t="shared" si="7"/>
        <v/>
      </c>
      <c r="C245" t="str">
        <f t="shared" si="8"/>
        <v/>
      </c>
      <c r="D245" t="str">
        <f t="shared" si="9"/>
        <v/>
      </c>
      <c r="E245">
        <f t="shared" si="10"/>
        <v>0</v>
      </c>
      <c r="F245" t="str">
        <f t="shared" si="11"/>
        <v/>
      </c>
      <c r="G245">
        <f t="shared" si="12"/>
        <v>0</v>
      </c>
      <c r="H245">
        <f>IF(AND(G245=1,COUNTIFS($I$200:I245,I245,$G$200:G245,1)=1),1,0)</f>
        <v>0</v>
      </c>
      <c r="I245" t="str">
        <f t="shared" si="13"/>
        <v/>
      </c>
      <c r="BF245">
        <f t="shared" si="16"/>
        <v>0</v>
      </c>
      <c r="BG245">
        <f t="shared" si="17"/>
        <v>0</v>
      </c>
      <c r="BH245">
        <f t="shared" si="18"/>
        <v>0</v>
      </c>
      <c r="BI245">
        <f t="shared" si="19"/>
        <v>0</v>
      </c>
      <c r="BJ245">
        <f t="shared" si="20"/>
        <v>0</v>
      </c>
      <c r="BK245">
        <f t="shared" si="21"/>
        <v>0</v>
      </c>
      <c r="BL245">
        <f t="shared" si="22"/>
        <v>0</v>
      </c>
      <c r="BM245">
        <f t="shared" si="23"/>
        <v>0</v>
      </c>
      <c r="BN245">
        <f t="shared" si="24"/>
        <v>0</v>
      </c>
      <c r="BO245">
        <f t="shared" si="25"/>
        <v>0</v>
      </c>
      <c r="BP245">
        <f t="shared" si="26"/>
        <v>0</v>
      </c>
      <c r="BQ245">
        <f t="shared" si="27"/>
        <v>0</v>
      </c>
      <c r="BR245">
        <f t="shared" si="28"/>
        <v>0</v>
      </c>
      <c r="BS245">
        <f t="shared" si="29"/>
        <v>0</v>
      </c>
      <c r="BT245">
        <f t="shared" si="30"/>
        <v>0</v>
      </c>
      <c r="BU245">
        <f t="shared" si="31"/>
        <v>0</v>
      </c>
      <c r="BV245">
        <f t="shared" si="32"/>
        <v>0</v>
      </c>
      <c r="BW245">
        <f t="shared" si="33"/>
        <v>0</v>
      </c>
      <c r="CA245" t="str">
        <f>IF(46&gt;ROWS(DGArchive[模组]),"",IF(INDEX(DGArchive[模组],46)="","",INDEX(DGArchive[模组],46)))</f>
        <v/>
      </c>
      <c r="CB245" t="str">
        <f>IF(46&gt;ROWS(DGArchive[阶段]),"",IF(INDEX(DGArchive[阶段],46)="","",INDEX(DGArchive[阶段],46)))</f>
        <v/>
      </c>
      <c r="CC245" t="str">
        <f>IF(46&gt;ROWS(DGArchive[游戏内日期]),"",IF(INDEX(DGArchive[游戏内日期],46)="","",INDEX(DGArchive[游戏内日期],46)))</f>
        <v/>
      </c>
      <c r="CD245" t="str">
        <f>IF(46&gt;ROWS(DGArchive[目标]),"",IF(INDEX(DGArchive[目标],46)="","",INDEX(DGArchive[目标],46)))</f>
        <v/>
      </c>
      <c r="CE245" t="str">
        <f>IF(46&gt;ROWS(DGArchive[变更前]),"",IF(INDEX(DGArchive[变更前],46)="","",INDEX(DGArchive[变更前],46)))</f>
        <v/>
      </c>
      <c r="CF245" t="str">
        <f>IF(46&gt;ROWS(DGArchive[增减]),"",IF(INDEX(DGArchive[增减],46)="","",INDEX(DGArchive[增减],46)))</f>
        <v/>
      </c>
      <c r="CG245" t="str">
        <f>IF(46&gt;ROWS(DGArchive[变更后]),"",IF(INDEX(DGArchive[变更后],46)="","",INDEX(DGArchive[变更后],46)))</f>
        <v/>
      </c>
      <c r="CH245" t="str">
        <f>IF(46&gt;ROWS(DGArchive[事件／活动]),"",IF(INDEX(DGArchive[事件／活动],46)="","",INDEX(DGArchive[事件／活动],46)))</f>
        <v/>
      </c>
      <c r="CI245" t="str">
        <f>IF(46&gt;ROWS(DGArchive[记录编号]),"",IF(INDEX(DGArchive[记录编号],46)="","",INDEX(DGArchive[记录编号],46)))</f>
        <v/>
      </c>
      <c r="CL245">
        <f t="shared" si="14"/>
        <v>0</v>
      </c>
      <c r="CM245">
        <f>IF(AND(A245=$AO$5,B245=$AQ$3,H245=1),COUNTIFS($A$200:A245,$AO$5,$B$200:B245,$AQ$3,$H$200:H245,1),0)</f>
        <v>0</v>
      </c>
      <c r="CN245">
        <f>IF(CA245="",46,1001)</f>
        <v>46</v>
      </c>
      <c r="GA245">
        <f t="shared" si="34"/>
        <v>0</v>
      </c>
      <c r="GB245">
        <f t="shared" si="35"/>
        <v>0</v>
      </c>
      <c r="GC245">
        <f>IF(AND(C245="事件记录",H245=1),COUNTIFS($C$200:C245,"事件记录",$H$200:H245,1),0)</f>
        <v>0</v>
      </c>
      <c r="GD245">
        <f t="shared" si="15"/>
        <v>0</v>
      </c>
      <c r="GH245">
        <f>IF(AND(H245=1,A245=$GA$10,B245=$GA$11),COUNTIFS($A$200:A245,$GA$10,$B$200:B245,$GA$11,$H$200:H245,1),0)</f>
        <v>0</v>
      </c>
    </row>
    <row r="246" spans="1:190">
      <c r="A246" t="str">
        <f t="shared" si="6"/>
        <v/>
      </c>
      <c r="B246" t="str">
        <f t="shared" si="7"/>
        <v/>
      </c>
      <c r="C246" t="str">
        <f t="shared" si="8"/>
        <v/>
      </c>
      <c r="D246" t="str">
        <f t="shared" si="9"/>
        <v/>
      </c>
      <c r="E246">
        <f t="shared" si="10"/>
        <v>0</v>
      </c>
      <c r="F246" t="str">
        <f t="shared" si="11"/>
        <v/>
      </c>
      <c r="G246">
        <f t="shared" si="12"/>
        <v>0</v>
      </c>
      <c r="H246">
        <f>IF(AND(G246=1,COUNTIFS($I$200:I246,I246,$G$200:G246,1)=1),1,0)</f>
        <v>0</v>
      </c>
      <c r="I246" t="str">
        <f t="shared" si="13"/>
        <v/>
      </c>
      <c r="BF246">
        <f t="shared" si="16"/>
        <v>0</v>
      </c>
      <c r="BG246">
        <f t="shared" si="17"/>
        <v>0</v>
      </c>
      <c r="BH246">
        <f t="shared" si="18"/>
        <v>0</v>
      </c>
      <c r="BI246">
        <f t="shared" si="19"/>
        <v>0</v>
      </c>
      <c r="BJ246">
        <f t="shared" si="20"/>
        <v>0</v>
      </c>
      <c r="BK246">
        <f t="shared" si="21"/>
        <v>0</v>
      </c>
      <c r="BL246">
        <f t="shared" si="22"/>
        <v>0</v>
      </c>
      <c r="BM246">
        <f t="shared" si="23"/>
        <v>0</v>
      </c>
      <c r="BN246">
        <f t="shared" si="24"/>
        <v>0</v>
      </c>
      <c r="BO246">
        <f t="shared" si="25"/>
        <v>0</v>
      </c>
      <c r="BP246">
        <f t="shared" si="26"/>
        <v>0</v>
      </c>
      <c r="BQ246">
        <f t="shared" si="27"/>
        <v>0</v>
      </c>
      <c r="BR246">
        <f t="shared" si="28"/>
        <v>0</v>
      </c>
      <c r="BS246">
        <f t="shared" si="29"/>
        <v>0</v>
      </c>
      <c r="BT246">
        <f t="shared" si="30"/>
        <v>0</v>
      </c>
      <c r="BU246">
        <f t="shared" si="31"/>
        <v>0</v>
      </c>
      <c r="BV246">
        <f t="shared" si="32"/>
        <v>0</v>
      </c>
      <c r="BW246">
        <f t="shared" si="33"/>
        <v>0</v>
      </c>
      <c r="CA246" t="str">
        <f>IF(47&gt;ROWS(DGArchive[模组]),"",IF(INDEX(DGArchive[模组],47)="","",INDEX(DGArchive[模组],47)))</f>
        <v/>
      </c>
      <c r="CB246" t="str">
        <f>IF(47&gt;ROWS(DGArchive[阶段]),"",IF(INDEX(DGArchive[阶段],47)="","",INDEX(DGArchive[阶段],47)))</f>
        <v/>
      </c>
      <c r="CC246" t="str">
        <f>IF(47&gt;ROWS(DGArchive[游戏内日期]),"",IF(INDEX(DGArchive[游戏内日期],47)="","",INDEX(DGArchive[游戏内日期],47)))</f>
        <v/>
      </c>
      <c r="CD246" t="str">
        <f>IF(47&gt;ROWS(DGArchive[目标]),"",IF(INDEX(DGArchive[目标],47)="","",INDEX(DGArchive[目标],47)))</f>
        <v/>
      </c>
      <c r="CE246" t="str">
        <f>IF(47&gt;ROWS(DGArchive[变更前]),"",IF(INDEX(DGArchive[变更前],47)="","",INDEX(DGArchive[变更前],47)))</f>
        <v/>
      </c>
      <c r="CF246" t="str">
        <f>IF(47&gt;ROWS(DGArchive[增减]),"",IF(INDEX(DGArchive[增减],47)="","",INDEX(DGArchive[增减],47)))</f>
        <v/>
      </c>
      <c r="CG246" t="str">
        <f>IF(47&gt;ROWS(DGArchive[变更后]),"",IF(INDEX(DGArchive[变更后],47)="","",INDEX(DGArchive[变更后],47)))</f>
        <v/>
      </c>
      <c r="CH246" t="str">
        <f>IF(47&gt;ROWS(DGArchive[事件／活动]),"",IF(INDEX(DGArchive[事件／活动],47)="","",INDEX(DGArchive[事件／活动],47)))</f>
        <v/>
      </c>
      <c r="CI246" t="str">
        <f>IF(47&gt;ROWS(DGArchive[记录编号]),"",IF(INDEX(DGArchive[记录编号],47)="","",INDEX(DGArchive[记录编号],47)))</f>
        <v/>
      </c>
      <c r="CL246">
        <f t="shared" si="14"/>
        <v>0</v>
      </c>
      <c r="CM246">
        <f>IF(AND(A246=$AO$5,B246=$AQ$3,H246=1),COUNTIFS($A$200:A246,$AO$5,$B$200:B246,$AQ$3,$H$200:H246,1),0)</f>
        <v>0</v>
      </c>
      <c r="CN246">
        <f>IF(CA246="",47,1001)</f>
        <v>47</v>
      </c>
      <c r="GA246">
        <f t="shared" si="34"/>
        <v>0</v>
      </c>
      <c r="GB246">
        <f t="shared" si="35"/>
        <v>0</v>
      </c>
      <c r="GC246">
        <f>IF(AND(C246="事件记录",H246=1),COUNTIFS($C$200:C246,"事件记录",$H$200:H246,1),0)</f>
        <v>0</v>
      </c>
      <c r="GD246">
        <f t="shared" si="15"/>
        <v>0</v>
      </c>
      <c r="GH246">
        <f>IF(AND(H246=1,A246=$GA$10,B246=$GA$11),COUNTIFS($A$200:A246,$GA$10,$B$200:B246,$GA$11,$H$200:H246,1),0)</f>
        <v>0</v>
      </c>
    </row>
    <row r="247" spans="1:190">
      <c r="A247" t="str">
        <f t="shared" si="6"/>
        <v/>
      </c>
      <c r="B247" t="str">
        <f t="shared" si="7"/>
        <v/>
      </c>
      <c r="C247" t="str">
        <f t="shared" si="8"/>
        <v/>
      </c>
      <c r="D247" t="str">
        <f t="shared" si="9"/>
        <v/>
      </c>
      <c r="E247">
        <f t="shared" si="10"/>
        <v>0</v>
      </c>
      <c r="F247" t="str">
        <f t="shared" si="11"/>
        <v/>
      </c>
      <c r="G247">
        <f t="shared" si="12"/>
        <v>0</v>
      </c>
      <c r="H247">
        <f>IF(AND(G247=1,COUNTIFS($I$200:I247,I247,$G$200:G247,1)=1),1,0)</f>
        <v>0</v>
      </c>
      <c r="I247" t="str">
        <f t="shared" si="13"/>
        <v/>
      </c>
      <c r="BF247">
        <f t="shared" si="16"/>
        <v>0</v>
      </c>
      <c r="BG247">
        <f t="shared" si="17"/>
        <v>0</v>
      </c>
      <c r="BH247">
        <f t="shared" si="18"/>
        <v>0</v>
      </c>
      <c r="BI247">
        <f t="shared" si="19"/>
        <v>0</v>
      </c>
      <c r="BJ247">
        <f t="shared" si="20"/>
        <v>0</v>
      </c>
      <c r="BK247">
        <f t="shared" si="21"/>
        <v>0</v>
      </c>
      <c r="BL247">
        <f t="shared" si="22"/>
        <v>0</v>
      </c>
      <c r="BM247">
        <f t="shared" si="23"/>
        <v>0</v>
      </c>
      <c r="BN247">
        <f t="shared" si="24"/>
        <v>0</v>
      </c>
      <c r="BO247">
        <f t="shared" si="25"/>
        <v>0</v>
      </c>
      <c r="BP247">
        <f t="shared" si="26"/>
        <v>0</v>
      </c>
      <c r="BQ247">
        <f t="shared" si="27"/>
        <v>0</v>
      </c>
      <c r="BR247">
        <f t="shared" si="28"/>
        <v>0</v>
      </c>
      <c r="BS247">
        <f t="shared" si="29"/>
        <v>0</v>
      </c>
      <c r="BT247">
        <f t="shared" si="30"/>
        <v>0</v>
      </c>
      <c r="BU247">
        <f t="shared" si="31"/>
        <v>0</v>
      </c>
      <c r="BV247">
        <f t="shared" si="32"/>
        <v>0</v>
      </c>
      <c r="BW247">
        <f t="shared" si="33"/>
        <v>0</v>
      </c>
      <c r="CA247" t="str">
        <f>IF(48&gt;ROWS(DGArchive[模组]),"",IF(INDEX(DGArchive[模组],48)="","",INDEX(DGArchive[模组],48)))</f>
        <v/>
      </c>
      <c r="CB247" t="str">
        <f>IF(48&gt;ROWS(DGArchive[阶段]),"",IF(INDEX(DGArchive[阶段],48)="","",INDEX(DGArchive[阶段],48)))</f>
        <v/>
      </c>
      <c r="CC247" t="str">
        <f>IF(48&gt;ROWS(DGArchive[游戏内日期]),"",IF(INDEX(DGArchive[游戏内日期],48)="","",INDEX(DGArchive[游戏内日期],48)))</f>
        <v/>
      </c>
      <c r="CD247" t="str">
        <f>IF(48&gt;ROWS(DGArchive[目标]),"",IF(INDEX(DGArchive[目标],48)="","",INDEX(DGArchive[目标],48)))</f>
        <v/>
      </c>
      <c r="CE247" t="str">
        <f>IF(48&gt;ROWS(DGArchive[变更前]),"",IF(INDEX(DGArchive[变更前],48)="","",INDEX(DGArchive[变更前],48)))</f>
        <v/>
      </c>
      <c r="CF247" t="str">
        <f>IF(48&gt;ROWS(DGArchive[增减]),"",IF(INDEX(DGArchive[增减],48)="","",INDEX(DGArchive[增减],48)))</f>
        <v/>
      </c>
      <c r="CG247" t="str">
        <f>IF(48&gt;ROWS(DGArchive[变更后]),"",IF(INDEX(DGArchive[变更后],48)="","",INDEX(DGArchive[变更后],48)))</f>
        <v/>
      </c>
      <c r="CH247" t="str">
        <f>IF(48&gt;ROWS(DGArchive[事件／活动]),"",IF(INDEX(DGArchive[事件／活动],48)="","",INDEX(DGArchive[事件／活动],48)))</f>
        <v/>
      </c>
      <c r="CI247" t="str">
        <f>IF(48&gt;ROWS(DGArchive[记录编号]),"",IF(INDEX(DGArchive[记录编号],48)="","",INDEX(DGArchive[记录编号],48)))</f>
        <v/>
      </c>
      <c r="CL247">
        <f t="shared" si="14"/>
        <v>0</v>
      </c>
      <c r="CM247">
        <f>IF(AND(A247=$AO$5,B247=$AQ$3,H247=1),COUNTIFS($A$200:A247,$AO$5,$B$200:B247,$AQ$3,$H$200:H247,1),0)</f>
        <v>0</v>
      </c>
      <c r="CN247">
        <f>IF(CA247="",48,1001)</f>
        <v>48</v>
      </c>
      <c r="GA247">
        <f t="shared" si="34"/>
        <v>0</v>
      </c>
      <c r="GB247">
        <f t="shared" si="35"/>
        <v>0</v>
      </c>
      <c r="GC247">
        <f>IF(AND(C247="事件记录",H247=1),COUNTIFS($C$200:C247,"事件记录",$H$200:H247,1),0)</f>
        <v>0</v>
      </c>
      <c r="GD247">
        <f t="shared" si="15"/>
        <v>0</v>
      </c>
      <c r="GH247">
        <f>IF(AND(H247=1,A247=$GA$10,B247=$GA$11),COUNTIFS($A$200:A247,$GA$10,$B$200:B247,$GA$11,$H$200:H247,1),0)</f>
        <v>0</v>
      </c>
    </row>
    <row r="248" spans="1:190">
      <c r="A248" t="str">
        <f t="shared" si="6"/>
        <v/>
      </c>
      <c r="B248" t="str">
        <f t="shared" si="7"/>
        <v/>
      </c>
      <c r="C248" t="str">
        <f t="shared" si="8"/>
        <v/>
      </c>
      <c r="D248" t="str">
        <f t="shared" si="9"/>
        <v/>
      </c>
      <c r="E248">
        <f t="shared" si="10"/>
        <v>0</v>
      </c>
      <c r="F248" t="str">
        <f t="shared" si="11"/>
        <v/>
      </c>
      <c r="G248">
        <f t="shared" si="12"/>
        <v>0</v>
      </c>
      <c r="H248">
        <f>IF(AND(G248=1,COUNTIFS($I$200:I248,I248,$G$200:G248,1)=1),1,0)</f>
        <v>0</v>
      </c>
      <c r="I248" t="str">
        <f t="shared" si="13"/>
        <v/>
      </c>
      <c r="BF248">
        <f t="shared" si="16"/>
        <v>0</v>
      </c>
      <c r="BG248">
        <f t="shared" si="17"/>
        <v>0</v>
      </c>
      <c r="BH248">
        <f t="shared" si="18"/>
        <v>0</v>
      </c>
      <c r="BI248">
        <f t="shared" si="19"/>
        <v>0</v>
      </c>
      <c r="BJ248">
        <f t="shared" si="20"/>
        <v>0</v>
      </c>
      <c r="BK248">
        <f t="shared" si="21"/>
        <v>0</v>
      </c>
      <c r="BL248">
        <f t="shared" si="22"/>
        <v>0</v>
      </c>
      <c r="BM248">
        <f t="shared" si="23"/>
        <v>0</v>
      </c>
      <c r="BN248">
        <f t="shared" si="24"/>
        <v>0</v>
      </c>
      <c r="BO248">
        <f t="shared" si="25"/>
        <v>0</v>
      </c>
      <c r="BP248">
        <f t="shared" si="26"/>
        <v>0</v>
      </c>
      <c r="BQ248">
        <f t="shared" si="27"/>
        <v>0</v>
      </c>
      <c r="BR248">
        <f t="shared" si="28"/>
        <v>0</v>
      </c>
      <c r="BS248">
        <f t="shared" si="29"/>
        <v>0</v>
      </c>
      <c r="BT248">
        <f t="shared" si="30"/>
        <v>0</v>
      </c>
      <c r="BU248">
        <f t="shared" si="31"/>
        <v>0</v>
      </c>
      <c r="BV248">
        <f t="shared" si="32"/>
        <v>0</v>
      </c>
      <c r="BW248">
        <f t="shared" si="33"/>
        <v>0</v>
      </c>
      <c r="CA248" t="str">
        <f>IF(49&gt;ROWS(DGArchive[模组]),"",IF(INDEX(DGArchive[模组],49)="","",INDEX(DGArchive[模组],49)))</f>
        <v/>
      </c>
      <c r="CB248" t="str">
        <f>IF(49&gt;ROWS(DGArchive[阶段]),"",IF(INDEX(DGArchive[阶段],49)="","",INDEX(DGArchive[阶段],49)))</f>
        <v/>
      </c>
      <c r="CC248" t="str">
        <f>IF(49&gt;ROWS(DGArchive[游戏内日期]),"",IF(INDEX(DGArchive[游戏内日期],49)="","",INDEX(DGArchive[游戏内日期],49)))</f>
        <v/>
      </c>
      <c r="CD248" t="str">
        <f>IF(49&gt;ROWS(DGArchive[目标]),"",IF(INDEX(DGArchive[目标],49)="","",INDEX(DGArchive[目标],49)))</f>
        <v/>
      </c>
      <c r="CE248" t="str">
        <f>IF(49&gt;ROWS(DGArchive[变更前]),"",IF(INDEX(DGArchive[变更前],49)="","",INDEX(DGArchive[变更前],49)))</f>
        <v/>
      </c>
      <c r="CF248" t="str">
        <f>IF(49&gt;ROWS(DGArchive[增减]),"",IF(INDEX(DGArchive[增减],49)="","",INDEX(DGArchive[增减],49)))</f>
        <v/>
      </c>
      <c r="CG248" t="str">
        <f>IF(49&gt;ROWS(DGArchive[变更后]),"",IF(INDEX(DGArchive[变更后],49)="","",INDEX(DGArchive[变更后],49)))</f>
        <v/>
      </c>
      <c r="CH248" t="str">
        <f>IF(49&gt;ROWS(DGArchive[事件／活动]),"",IF(INDEX(DGArchive[事件／活动],49)="","",INDEX(DGArchive[事件／活动],49)))</f>
        <v/>
      </c>
      <c r="CI248" t="str">
        <f>IF(49&gt;ROWS(DGArchive[记录编号]),"",IF(INDEX(DGArchive[记录编号],49)="","",INDEX(DGArchive[记录编号],49)))</f>
        <v/>
      </c>
      <c r="CL248">
        <f t="shared" si="14"/>
        <v>0</v>
      </c>
      <c r="CM248">
        <f>IF(AND(A248=$AO$5,B248=$AQ$3,H248=1),COUNTIFS($A$200:A248,$AO$5,$B$200:B248,$AQ$3,$H$200:H248,1),0)</f>
        <v>0</v>
      </c>
      <c r="CN248">
        <f>IF(CA248="",49,1001)</f>
        <v>49</v>
      </c>
      <c r="GA248">
        <f t="shared" si="34"/>
        <v>0</v>
      </c>
      <c r="GB248">
        <f t="shared" si="35"/>
        <v>0</v>
      </c>
      <c r="GC248">
        <f>IF(AND(C248="事件记录",H248=1),COUNTIFS($C$200:C248,"事件记录",$H$200:H248,1),0)</f>
        <v>0</v>
      </c>
      <c r="GD248">
        <f t="shared" si="15"/>
        <v>0</v>
      </c>
      <c r="GH248">
        <f>IF(AND(H248=1,A248=$GA$10,B248=$GA$11),COUNTIFS($A$200:A248,$GA$10,$B$200:B248,$GA$11,$H$200:H248,1),0)</f>
        <v>0</v>
      </c>
    </row>
    <row r="249" spans="1:190">
      <c r="A249" t="str">
        <f t="shared" si="6"/>
        <v/>
      </c>
      <c r="B249" t="str">
        <f t="shared" si="7"/>
        <v/>
      </c>
      <c r="C249" t="str">
        <f t="shared" si="8"/>
        <v/>
      </c>
      <c r="D249" t="str">
        <f t="shared" si="9"/>
        <v/>
      </c>
      <c r="E249">
        <f t="shared" si="10"/>
        <v>0</v>
      </c>
      <c r="F249" t="str">
        <f t="shared" si="11"/>
        <v/>
      </c>
      <c r="G249">
        <f t="shared" si="12"/>
        <v>0</v>
      </c>
      <c r="H249">
        <f>IF(AND(G249=1,COUNTIFS($I$200:I249,I249,$G$200:G249,1)=1),1,0)</f>
        <v>0</v>
      </c>
      <c r="I249" t="str">
        <f t="shared" si="13"/>
        <v/>
      </c>
      <c r="BF249">
        <f t="shared" si="16"/>
        <v>0</v>
      </c>
      <c r="BG249">
        <f t="shared" si="17"/>
        <v>0</v>
      </c>
      <c r="BH249">
        <f t="shared" si="18"/>
        <v>0</v>
      </c>
      <c r="BI249">
        <f t="shared" si="19"/>
        <v>0</v>
      </c>
      <c r="BJ249">
        <f t="shared" si="20"/>
        <v>0</v>
      </c>
      <c r="BK249">
        <f t="shared" si="21"/>
        <v>0</v>
      </c>
      <c r="BL249">
        <f t="shared" si="22"/>
        <v>0</v>
      </c>
      <c r="BM249">
        <f t="shared" si="23"/>
        <v>0</v>
      </c>
      <c r="BN249">
        <f t="shared" si="24"/>
        <v>0</v>
      </c>
      <c r="BO249">
        <f t="shared" si="25"/>
        <v>0</v>
      </c>
      <c r="BP249">
        <f t="shared" si="26"/>
        <v>0</v>
      </c>
      <c r="BQ249">
        <f t="shared" si="27"/>
        <v>0</v>
      </c>
      <c r="BR249">
        <f t="shared" si="28"/>
        <v>0</v>
      </c>
      <c r="BS249">
        <f t="shared" si="29"/>
        <v>0</v>
      </c>
      <c r="BT249">
        <f t="shared" si="30"/>
        <v>0</v>
      </c>
      <c r="BU249">
        <f t="shared" si="31"/>
        <v>0</v>
      </c>
      <c r="BV249">
        <f t="shared" si="32"/>
        <v>0</v>
      </c>
      <c r="BW249">
        <f t="shared" si="33"/>
        <v>0</v>
      </c>
      <c r="CA249" t="str">
        <f>IF(50&gt;ROWS(DGArchive[模组]),"",IF(INDEX(DGArchive[模组],50)="","",INDEX(DGArchive[模组],50)))</f>
        <v/>
      </c>
      <c r="CB249" t="str">
        <f>IF(50&gt;ROWS(DGArchive[阶段]),"",IF(INDEX(DGArchive[阶段],50)="","",INDEX(DGArchive[阶段],50)))</f>
        <v/>
      </c>
      <c r="CC249" t="str">
        <f>IF(50&gt;ROWS(DGArchive[游戏内日期]),"",IF(INDEX(DGArchive[游戏内日期],50)="","",INDEX(DGArchive[游戏内日期],50)))</f>
        <v/>
      </c>
      <c r="CD249" t="str">
        <f>IF(50&gt;ROWS(DGArchive[目标]),"",IF(INDEX(DGArchive[目标],50)="","",INDEX(DGArchive[目标],50)))</f>
        <v/>
      </c>
      <c r="CE249" t="str">
        <f>IF(50&gt;ROWS(DGArchive[变更前]),"",IF(INDEX(DGArchive[变更前],50)="","",INDEX(DGArchive[变更前],50)))</f>
        <v/>
      </c>
      <c r="CF249" t="str">
        <f>IF(50&gt;ROWS(DGArchive[增减]),"",IF(INDEX(DGArchive[增减],50)="","",INDEX(DGArchive[增减],50)))</f>
        <v/>
      </c>
      <c r="CG249" t="str">
        <f>IF(50&gt;ROWS(DGArchive[变更后]),"",IF(INDEX(DGArchive[变更后],50)="","",INDEX(DGArchive[变更后],50)))</f>
        <v/>
      </c>
      <c r="CH249" t="str">
        <f>IF(50&gt;ROWS(DGArchive[事件／活动]),"",IF(INDEX(DGArchive[事件／活动],50)="","",INDEX(DGArchive[事件／活动],50)))</f>
        <v/>
      </c>
      <c r="CI249" t="str">
        <f>IF(50&gt;ROWS(DGArchive[记录编号]),"",IF(INDEX(DGArchive[记录编号],50)="","",INDEX(DGArchive[记录编号],50)))</f>
        <v/>
      </c>
      <c r="CL249">
        <f t="shared" si="14"/>
        <v>0</v>
      </c>
      <c r="CM249">
        <f>IF(AND(A249=$AO$5,B249=$AQ$3,H249=1),COUNTIFS($A$200:A249,$AO$5,$B$200:B249,$AQ$3,$H$200:H249,1),0)</f>
        <v>0</v>
      </c>
      <c r="CN249">
        <f>IF(CA249="",50,1001)</f>
        <v>50</v>
      </c>
      <c r="GA249">
        <f t="shared" si="34"/>
        <v>0</v>
      </c>
      <c r="GB249">
        <f t="shared" si="35"/>
        <v>0</v>
      </c>
      <c r="GC249">
        <f>IF(AND(C249="事件记录",H249=1),COUNTIFS($C$200:C249,"事件记录",$H$200:H249,1),0)</f>
        <v>0</v>
      </c>
      <c r="GD249">
        <f t="shared" si="15"/>
        <v>0</v>
      </c>
      <c r="GH249">
        <f>IF(AND(H249=1,A249=$GA$10,B249=$GA$11),COUNTIFS($A$200:A249,$GA$10,$B$200:B249,$GA$11,$H$200:H249,1),0)</f>
        <v>0</v>
      </c>
    </row>
    <row r="250" spans="1:190">
      <c r="A250" t="str">
        <f t="shared" si="6"/>
        <v/>
      </c>
      <c r="B250" t="str">
        <f t="shared" si="7"/>
        <v/>
      </c>
      <c r="C250" t="str">
        <f t="shared" si="8"/>
        <v/>
      </c>
      <c r="D250" t="str">
        <f t="shared" si="9"/>
        <v/>
      </c>
      <c r="E250">
        <f t="shared" si="10"/>
        <v>0</v>
      </c>
      <c r="F250" t="str">
        <f t="shared" si="11"/>
        <v/>
      </c>
      <c r="G250">
        <f t="shared" si="12"/>
        <v>0</v>
      </c>
      <c r="H250">
        <f>IF(AND(G250=1,COUNTIFS($I$200:I250,I250,$G$200:G250,1)=1),1,0)</f>
        <v>0</v>
      </c>
      <c r="I250" t="str">
        <f t="shared" si="13"/>
        <v/>
      </c>
      <c r="BF250">
        <f t="shared" si="16"/>
        <v>0</v>
      </c>
      <c r="BG250">
        <f t="shared" si="17"/>
        <v>0</v>
      </c>
      <c r="BH250">
        <f t="shared" si="18"/>
        <v>0</v>
      </c>
      <c r="BI250">
        <f t="shared" si="19"/>
        <v>0</v>
      </c>
      <c r="BJ250">
        <f t="shared" si="20"/>
        <v>0</v>
      </c>
      <c r="BK250">
        <f t="shared" si="21"/>
        <v>0</v>
      </c>
      <c r="BL250">
        <f t="shared" si="22"/>
        <v>0</v>
      </c>
      <c r="BM250">
        <f t="shared" si="23"/>
        <v>0</v>
      </c>
      <c r="BN250">
        <f t="shared" si="24"/>
        <v>0</v>
      </c>
      <c r="BO250">
        <f t="shared" si="25"/>
        <v>0</v>
      </c>
      <c r="BP250">
        <f t="shared" si="26"/>
        <v>0</v>
      </c>
      <c r="BQ250">
        <f t="shared" si="27"/>
        <v>0</v>
      </c>
      <c r="BR250">
        <f t="shared" si="28"/>
        <v>0</v>
      </c>
      <c r="BS250">
        <f t="shared" si="29"/>
        <v>0</v>
      </c>
      <c r="BT250">
        <f t="shared" si="30"/>
        <v>0</v>
      </c>
      <c r="BU250">
        <f t="shared" si="31"/>
        <v>0</v>
      </c>
      <c r="BV250">
        <f t="shared" si="32"/>
        <v>0</v>
      </c>
      <c r="BW250">
        <f t="shared" si="33"/>
        <v>0</v>
      </c>
      <c r="CA250" t="str">
        <f>IF(51&gt;ROWS(DGArchive[模组]),"",IF(INDEX(DGArchive[模组],51)="","",INDEX(DGArchive[模组],51)))</f>
        <v/>
      </c>
      <c r="CB250" t="str">
        <f>IF(51&gt;ROWS(DGArchive[阶段]),"",IF(INDEX(DGArchive[阶段],51)="","",INDEX(DGArchive[阶段],51)))</f>
        <v/>
      </c>
      <c r="CC250" t="str">
        <f>IF(51&gt;ROWS(DGArchive[游戏内日期]),"",IF(INDEX(DGArchive[游戏内日期],51)="","",INDEX(DGArchive[游戏内日期],51)))</f>
        <v/>
      </c>
      <c r="CD250" t="str">
        <f>IF(51&gt;ROWS(DGArchive[目标]),"",IF(INDEX(DGArchive[目标],51)="","",INDEX(DGArchive[目标],51)))</f>
        <v/>
      </c>
      <c r="CE250" t="str">
        <f>IF(51&gt;ROWS(DGArchive[变更前]),"",IF(INDEX(DGArchive[变更前],51)="","",INDEX(DGArchive[变更前],51)))</f>
        <v/>
      </c>
      <c r="CF250" t="str">
        <f>IF(51&gt;ROWS(DGArchive[增减]),"",IF(INDEX(DGArchive[增减],51)="","",INDEX(DGArchive[增减],51)))</f>
        <v/>
      </c>
      <c r="CG250" t="str">
        <f>IF(51&gt;ROWS(DGArchive[变更后]),"",IF(INDEX(DGArchive[变更后],51)="","",INDEX(DGArchive[变更后],51)))</f>
        <v/>
      </c>
      <c r="CH250" t="str">
        <f>IF(51&gt;ROWS(DGArchive[事件／活动]),"",IF(INDEX(DGArchive[事件／活动],51)="","",INDEX(DGArchive[事件／活动],51)))</f>
        <v/>
      </c>
      <c r="CI250" t="str">
        <f>IF(51&gt;ROWS(DGArchive[记录编号]),"",IF(INDEX(DGArchive[记录编号],51)="","",INDEX(DGArchive[记录编号],51)))</f>
        <v/>
      </c>
      <c r="CL250">
        <f t="shared" si="14"/>
        <v>0</v>
      </c>
      <c r="CM250">
        <f>IF(AND(A250=$AO$5,B250=$AQ$3,H250=1),COUNTIFS($A$200:A250,$AO$5,$B$200:B250,$AQ$3,$H$200:H250,1),0)</f>
        <v>0</v>
      </c>
      <c r="CN250">
        <f>IF(CA250="",51,1001)</f>
        <v>51</v>
      </c>
      <c r="GA250">
        <f t="shared" si="34"/>
        <v>0</v>
      </c>
      <c r="GB250">
        <f t="shared" si="35"/>
        <v>0</v>
      </c>
      <c r="GC250">
        <f>IF(AND(C250="事件记录",H250=1),COUNTIFS($C$200:C250,"事件记录",$H$200:H250,1),0)</f>
        <v>0</v>
      </c>
      <c r="GD250">
        <f t="shared" si="15"/>
        <v>0</v>
      </c>
      <c r="GH250">
        <f>IF(AND(H250=1,A250=$GA$10,B250=$GA$11),COUNTIFS($A$200:A250,$GA$10,$B$200:B250,$GA$11,$H$200:H250,1),0)</f>
        <v>0</v>
      </c>
    </row>
    <row r="251" spans="1:190">
      <c r="A251" t="str">
        <f t="shared" si="6"/>
        <v/>
      </c>
      <c r="B251" t="str">
        <f t="shared" si="7"/>
        <v/>
      </c>
      <c r="C251" t="str">
        <f t="shared" si="8"/>
        <v/>
      </c>
      <c r="D251" t="str">
        <f t="shared" si="9"/>
        <v/>
      </c>
      <c r="E251">
        <f t="shared" si="10"/>
        <v>0</v>
      </c>
      <c r="F251" t="str">
        <f t="shared" si="11"/>
        <v/>
      </c>
      <c r="G251">
        <f t="shared" si="12"/>
        <v>0</v>
      </c>
      <c r="H251">
        <f>IF(AND(G251=1,COUNTIFS($I$200:I251,I251,$G$200:G251,1)=1),1,0)</f>
        <v>0</v>
      </c>
      <c r="I251" t="str">
        <f t="shared" si="13"/>
        <v/>
      </c>
      <c r="BF251">
        <f t="shared" si="16"/>
        <v>0</v>
      </c>
      <c r="BG251">
        <f t="shared" si="17"/>
        <v>0</v>
      </c>
      <c r="BH251">
        <f t="shared" si="18"/>
        <v>0</v>
      </c>
      <c r="BI251">
        <f t="shared" si="19"/>
        <v>0</v>
      </c>
      <c r="BJ251">
        <f t="shared" si="20"/>
        <v>0</v>
      </c>
      <c r="BK251">
        <f t="shared" si="21"/>
        <v>0</v>
      </c>
      <c r="BL251">
        <f t="shared" si="22"/>
        <v>0</v>
      </c>
      <c r="BM251">
        <f t="shared" si="23"/>
        <v>0</v>
      </c>
      <c r="BN251">
        <f t="shared" si="24"/>
        <v>0</v>
      </c>
      <c r="BO251">
        <f t="shared" si="25"/>
        <v>0</v>
      </c>
      <c r="BP251">
        <f t="shared" si="26"/>
        <v>0</v>
      </c>
      <c r="BQ251">
        <f t="shared" si="27"/>
        <v>0</v>
      </c>
      <c r="BR251">
        <f t="shared" si="28"/>
        <v>0</v>
      </c>
      <c r="BS251">
        <f t="shared" si="29"/>
        <v>0</v>
      </c>
      <c r="BT251">
        <f t="shared" si="30"/>
        <v>0</v>
      </c>
      <c r="BU251">
        <f t="shared" si="31"/>
        <v>0</v>
      </c>
      <c r="BV251">
        <f t="shared" si="32"/>
        <v>0</v>
      </c>
      <c r="BW251">
        <f t="shared" si="33"/>
        <v>0</v>
      </c>
      <c r="CA251" t="str">
        <f>IF(52&gt;ROWS(DGArchive[模组]),"",IF(INDEX(DGArchive[模组],52)="","",INDEX(DGArchive[模组],52)))</f>
        <v/>
      </c>
      <c r="CB251" t="str">
        <f>IF(52&gt;ROWS(DGArchive[阶段]),"",IF(INDEX(DGArchive[阶段],52)="","",INDEX(DGArchive[阶段],52)))</f>
        <v/>
      </c>
      <c r="CC251" t="str">
        <f>IF(52&gt;ROWS(DGArchive[游戏内日期]),"",IF(INDEX(DGArchive[游戏内日期],52)="","",INDEX(DGArchive[游戏内日期],52)))</f>
        <v/>
      </c>
      <c r="CD251" t="str">
        <f>IF(52&gt;ROWS(DGArchive[目标]),"",IF(INDEX(DGArchive[目标],52)="","",INDEX(DGArchive[目标],52)))</f>
        <v/>
      </c>
      <c r="CE251" t="str">
        <f>IF(52&gt;ROWS(DGArchive[变更前]),"",IF(INDEX(DGArchive[变更前],52)="","",INDEX(DGArchive[变更前],52)))</f>
        <v/>
      </c>
      <c r="CF251" t="str">
        <f>IF(52&gt;ROWS(DGArchive[增减]),"",IF(INDEX(DGArchive[增减],52)="","",INDEX(DGArchive[增减],52)))</f>
        <v/>
      </c>
      <c r="CG251" t="str">
        <f>IF(52&gt;ROWS(DGArchive[变更后]),"",IF(INDEX(DGArchive[变更后],52)="","",INDEX(DGArchive[变更后],52)))</f>
        <v/>
      </c>
      <c r="CH251" t="str">
        <f>IF(52&gt;ROWS(DGArchive[事件／活动]),"",IF(INDEX(DGArchive[事件／活动],52)="","",INDEX(DGArchive[事件／活动],52)))</f>
        <v/>
      </c>
      <c r="CI251" t="str">
        <f>IF(52&gt;ROWS(DGArchive[记录编号]),"",IF(INDEX(DGArchive[记录编号],52)="","",INDEX(DGArchive[记录编号],52)))</f>
        <v/>
      </c>
      <c r="CL251">
        <f t="shared" si="14"/>
        <v>0</v>
      </c>
      <c r="CM251">
        <f>IF(AND(A251=$AO$5,B251=$AQ$3,H251=1),COUNTIFS($A$200:A251,$AO$5,$B$200:B251,$AQ$3,$H$200:H251,1),0)</f>
        <v>0</v>
      </c>
      <c r="CN251">
        <f>IF(CA251="",52,1001)</f>
        <v>52</v>
      </c>
      <c r="GA251">
        <f t="shared" si="34"/>
        <v>0</v>
      </c>
      <c r="GB251">
        <f t="shared" si="35"/>
        <v>0</v>
      </c>
      <c r="GC251">
        <f>IF(AND(C251="事件记录",H251=1),COUNTIFS($C$200:C251,"事件记录",$H$200:H251,1),0)</f>
        <v>0</v>
      </c>
      <c r="GD251">
        <f t="shared" si="15"/>
        <v>0</v>
      </c>
      <c r="GH251">
        <f>IF(AND(H251=1,A251=$GA$10,B251=$GA$11),COUNTIFS($A$200:A251,$GA$10,$B$200:B251,$GA$11,$H$200:H251,1),0)</f>
        <v>0</v>
      </c>
    </row>
    <row r="252" spans="1:190">
      <c r="A252" t="str">
        <f t="shared" si="6"/>
        <v/>
      </c>
      <c r="B252" t="str">
        <f t="shared" si="7"/>
        <v/>
      </c>
      <c r="C252" t="str">
        <f t="shared" si="8"/>
        <v/>
      </c>
      <c r="D252" t="str">
        <f t="shared" si="9"/>
        <v/>
      </c>
      <c r="E252">
        <f t="shared" si="10"/>
        <v>0</v>
      </c>
      <c r="F252" t="str">
        <f t="shared" si="11"/>
        <v/>
      </c>
      <c r="G252">
        <f t="shared" si="12"/>
        <v>0</v>
      </c>
      <c r="H252">
        <f>IF(AND(G252=1,COUNTIFS($I$200:I252,I252,$G$200:G252,1)=1),1,0)</f>
        <v>0</v>
      </c>
      <c r="I252" t="str">
        <f t="shared" si="13"/>
        <v/>
      </c>
      <c r="BF252">
        <f t="shared" si="16"/>
        <v>0</v>
      </c>
      <c r="BG252">
        <f t="shared" si="17"/>
        <v>0</v>
      </c>
      <c r="BH252">
        <f t="shared" si="18"/>
        <v>0</v>
      </c>
      <c r="BI252">
        <f t="shared" si="19"/>
        <v>0</v>
      </c>
      <c r="BJ252">
        <f t="shared" si="20"/>
        <v>0</v>
      </c>
      <c r="BK252">
        <f t="shared" si="21"/>
        <v>0</v>
      </c>
      <c r="BL252">
        <f t="shared" si="22"/>
        <v>0</v>
      </c>
      <c r="BM252">
        <f t="shared" si="23"/>
        <v>0</v>
      </c>
      <c r="BN252">
        <f t="shared" si="24"/>
        <v>0</v>
      </c>
      <c r="BO252">
        <f t="shared" si="25"/>
        <v>0</v>
      </c>
      <c r="BP252">
        <f t="shared" si="26"/>
        <v>0</v>
      </c>
      <c r="BQ252">
        <f t="shared" si="27"/>
        <v>0</v>
      </c>
      <c r="BR252">
        <f t="shared" si="28"/>
        <v>0</v>
      </c>
      <c r="BS252">
        <f t="shared" si="29"/>
        <v>0</v>
      </c>
      <c r="BT252">
        <f t="shared" si="30"/>
        <v>0</v>
      </c>
      <c r="BU252">
        <f t="shared" si="31"/>
        <v>0</v>
      </c>
      <c r="BV252">
        <f t="shared" si="32"/>
        <v>0</v>
      </c>
      <c r="BW252">
        <f t="shared" si="33"/>
        <v>0</v>
      </c>
      <c r="CA252" t="str">
        <f>IF(53&gt;ROWS(DGArchive[模组]),"",IF(INDEX(DGArchive[模组],53)="","",INDEX(DGArchive[模组],53)))</f>
        <v/>
      </c>
      <c r="CB252" t="str">
        <f>IF(53&gt;ROWS(DGArchive[阶段]),"",IF(INDEX(DGArchive[阶段],53)="","",INDEX(DGArchive[阶段],53)))</f>
        <v/>
      </c>
      <c r="CC252" t="str">
        <f>IF(53&gt;ROWS(DGArchive[游戏内日期]),"",IF(INDEX(DGArchive[游戏内日期],53)="","",INDEX(DGArchive[游戏内日期],53)))</f>
        <v/>
      </c>
      <c r="CD252" t="str">
        <f>IF(53&gt;ROWS(DGArchive[目标]),"",IF(INDEX(DGArchive[目标],53)="","",INDEX(DGArchive[目标],53)))</f>
        <v/>
      </c>
      <c r="CE252" t="str">
        <f>IF(53&gt;ROWS(DGArchive[变更前]),"",IF(INDEX(DGArchive[变更前],53)="","",INDEX(DGArchive[变更前],53)))</f>
        <v/>
      </c>
      <c r="CF252" t="str">
        <f>IF(53&gt;ROWS(DGArchive[增减]),"",IF(INDEX(DGArchive[增减],53)="","",INDEX(DGArchive[增减],53)))</f>
        <v/>
      </c>
      <c r="CG252" t="str">
        <f>IF(53&gt;ROWS(DGArchive[变更后]),"",IF(INDEX(DGArchive[变更后],53)="","",INDEX(DGArchive[变更后],53)))</f>
        <v/>
      </c>
      <c r="CH252" t="str">
        <f>IF(53&gt;ROWS(DGArchive[事件／活动]),"",IF(INDEX(DGArchive[事件／活动],53)="","",INDEX(DGArchive[事件／活动],53)))</f>
        <v/>
      </c>
      <c r="CI252" t="str">
        <f>IF(53&gt;ROWS(DGArchive[记录编号]),"",IF(INDEX(DGArchive[记录编号],53)="","",INDEX(DGArchive[记录编号],53)))</f>
        <v/>
      </c>
      <c r="CL252">
        <f t="shared" si="14"/>
        <v>0</v>
      </c>
      <c r="CM252">
        <f>IF(AND(A252=$AO$5,B252=$AQ$3,H252=1),COUNTIFS($A$200:A252,$AO$5,$B$200:B252,$AQ$3,$H$200:H252,1),0)</f>
        <v>0</v>
      </c>
      <c r="CN252">
        <f>IF(CA252="",53,1001)</f>
        <v>53</v>
      </c>
      <c r="GA252">
        <f t="shared" si="34"/>
        <v>0</v>
      </c>
      <c r="GB252">
        <f t="shared" si="35"/>
        <v>0</v>
      </c>
      <c r="GC252">
        <f>IF(AND(C252="事件记录",H252=1),COUNTIFS($C$200:C252,"事件记录",$H$200:H252,1),0)</f>
        <v>0</v>
      </c>
      <c r="GD252">
        <f t="shared" si="15"/>
        <v>0</v>
      </c>
      <c r="GH252">
        <f>IF(AND(H252=1,A252=$GA$10,B252=$GA$11),COUNTIFS($A$200:A252,$GA$10,$B$200:B252,$GA$11,$H$200:H252,1),0)</f>
        <v>0</v>
      </c>
    </row>
    <row r="253" spans="1:190">
      <c r="A253" t="str">
        <f t="shared" si="6"/>
        <v/>
      </c>
      <c r="B253" t="str">
        <f t="shared" si="7"/>
        <v/>
      </c>
      <c r="C253" t="str">
        <f t="shared" si="8"/>
        <v/>
      </c>
      <c r="D253" t="str">
        <f t="shared" si="9"/>
        <v/>
      </c>
      <c r="E253">
        <f t="shared" si="10"/>
        <v>0</v>
      </c>
      <c r="F253" t="str">
        <f t="shared" si="11"/>
        <v/>
      </c>
      <c r="G253">
        <f t="shared" si="12"/>
        <v>0</v>
      </c>
      <c r="H253">
        <f>IF(AND(G253=1,COUNTIFS($I$200:I253,I253,$G$200:G253,1)=1),1,0)</f>
        <v>0</v>
      </c>
      <c r="I253" t="str">
        <f t="shared" si="13"/>
        <v/>
      </c>
      <c r="BF253">
        <f t="shared" si="16"/>
        <v>0</v>
      </c>
      <c r="BG253">
        <f t="shared" si="17"/>
        <v>0</v>
      </c>
      <c r="BH253">
        <f t="shared" si="18"/>
        <v>0</v>
      </c>
      <c r="BI253">
        <f t="shared" si="19"/>
        <v>0</v>
      </c>
      <c r="BJ253">
        <f t="shared" si="20"/>
        <v>0</v>
      </c>
      <c r="BK253">
        <f t="shared" si="21"/>
        <v>0</v>
      </c>
      <c r="BL253">
        <f t="shared" si="22"/>
        <v>0</v>
      </c>
      <c r="BM253">
        <f t="shared" si="23"/>
        <v>0</v>
      </c>
      <c r="BN253">
        <f t="shared" si="24"/>
        <v>0</v>
      </c>
      <c r="BO253">
        <f t="shared" si="25"/>
        <v>0</v>
      </c>
      <c r="BP253">
        <f t="shared" si="26"/>
        <v>0</v>
      </c>
      <c r="BQ253">
        <f t="shared" si="27"/>
        <v>0</v>
      </c>
      <c r="BR253">
        <f t="shared" si="28"/>
        <v>0</v>
      </c>
      <c r="BS253">
        <f t="shared" si="29"/>
        <v>0</v>
      </c>
      <c r="BT253">
        <f t="shared" si="30"/>
        <v>0</v>
      </c>
      <c r="BU253">
        <f t="shared" si="31"/>
        <v>0</v>
      </c>
      <c r="BV253">
        <f t="shared" si="32"/>
        <v>0</v>
      </c>
      <c r="BW253">
        <f t="shared" si="33"/>
        <v>0</v>
      </c>
      <c r="CA253" t="str">
        <f>IF(54&gt;ROWS(DGArchive[模组]),"",IF(INDEX(DGArchive[模组],54)="","",INDEX(DGArchive[模组],54)))</f>
        <v/>
      </c>
      <c r="CB253" t="str">
        <f>IF(54&gt;ROWS(DGArchive[阶段]),"",IF(INDEX(DGArchive[阶段],54)="","",INDEX(DGArchive[阶段],54)))</f>
        <v/>
      </c>
      <c r="CC253" t="str">
        <f>IF(54&gt;ROWS(DGArchive[游戏内日期]),"",IF(INDEX(DGArchive[游戏内日期],54)="","",INDEX(DGArchive[游戏内日期],54)))</f>
        <v/>
      </c>
      <c r="CD253" t="str">
        <f>IF(54&gt;ROWS(DGArchive[目标]),"",IF(INDEX(DGArchive[目标],54)="","",INDEX(DGArchive[目标],54)))</f>
        <v/>
      </c>
      <c r="CE253" t="str">
        <f>IF(54&gt;ROWS(DGArchive[变更前]),"",IF(INDEX(DGArchive[变更前],54)="","",INDEX(DGArchive[变更前],54)))</f>
        <v/>
      </c>
      <c r="CF253" t="str">
        <f>IF(54&gt;ROWS(DGArchive[增减]),"",IF(INDEX(DGArchive[增减],54)="","",INDEX(DGArchive[增减],54)))</f>
        <v/>
      </c>
      <c r="CG253" t="str">
        <f>IF(54&gt;ROWS(DGArchive[变更后]),"",IF(INDEX(DGArchive[变更后],54)="","",INDEX(DGArchive[变更后],54)))</f>
        <v/>
      </c>
      <c r="CH253" t="str">
        <f>IF(54&gt;ROWS(DGArchive[事件／活动]),"",IF(INDEX(DGArchive[事件／活动],54)="","",INDEX(DGArchive[事件／活动],54)))</f>
        <v/>
      </c>
      <c r="CI253" t="str">
        <f>IF(54&gt;ROWS(DGArchive[记录编号]),"",IF(INDEX(DGArchive[记录编号],54)="","",INDEX(DGArchive[记录编号],54)))</f>
        <v/>
      </c>
      <c r="CL253">
        <f t="shared" si="14"/>
        <v>0</v>
      </c>
      <c r="CM253">
        <f>IF(AND(A253=$AO$5,B253=$AQ$3,H253=1),COUNTIFS($A$200:A253,$AO$5,$B$200:B253,$AQ$3,$H$200:H253,1),0)</f>
        <v>0</v>
      </c>
      <c r="CN253">
        <f>IF(CA253="",54,1001)</f>
        <v>54</v>
      </c>
      <c r="GA253">
        <f t="shared" si="34"/>
        <v>0</v>
      </c>
      <c r="GB253">
        <f t="shared" si="35"/>
        <v>0</v>
      </c>
      <c r="GC253">
        <f>IF(AND(C253="事件记录",H253=1),COUNTIFS($C$200:C253,"事件记录",$H$200:H253,1),0)</f>
        <v>0</v>
      </c>
      <c r="GD253">
        <f t="shared" si="15"/>
        <v>0</v>
      </c>
      <c r="GH253">
        <f>IF(AND(H253=1,A253=$GA$10,B253=$GA$11),COUNTIFS($A$200:A253,$GA$10,$B$200:B253,$GA$11,$H$200:H253,1),0)</f>
        <v>0</v>
      </c>
    </row>
    <row r="254" spans="1:190">
      <c r="A254" t="str">
        <f t="shared" si="6"/>
        <v/>
      </c>
      <c r="B254" t="str">
        <f t="shared" si="7"/>
        <v/>
      </c>
      <c r="C254" t="str">
        <f t="shared" si="8"/>
        <v/>
      </c>
      <c r="D254" t="str">
        <f t="shared" si="9"/>
        <v/>
      </c>
      <c r="E254">
        <f t="shared" si="10"/>
        <v>0</v>
      </c>
      <c r="F254" t="str">
        <f t="shared" si="11"/>
        <v/>
      </c>
      <c r="G254">
        <f t="shared" si="12"/>
        <v>0</v>
      </c>
      <c r="H254">
        <f>IF(AND(G254=1,COUNTIFS($I$200:I254,I254,$G$200:G254,1)=1),1,0)</f>
        <v>0</v>
      </c>
      <c r="I254" t="str">
        <f t="shared" si="13"/>
        <v/>
      </c>
      <c r="BF254">
        <f t="shared" si="16"/>
        <v>0</v>
      </c>
      <c r="BG254">
        <f t="shared" si="17"/>
        <v>0</v>
      </c>
      <c r="BH254">
        <f t="shared" si="18"/>
        <v>0</v>
      </c>
      <c r="BI254">
        <f t="shared" si="19"/>
        <v>0</v>
      </c>
      <c r="BJ254">
        <f t="shared" si="20"/>
        <v>0</v>
      </c>
      <c r="BK254">
        <f t="shared" si="21"/>
        <v>0</v>
      </c>
      <c r="BL254">
        <f t="shared" si="22"/>
        <v>0</v>
      </c>
      <c r="BM254">
        <f t="shared" si="23"/>
        <v>0</v>
      </c>
      <c r="BN254">
        <f t="shared" si="24"/>
        <v>0</v>
      </c>
      <c r="BO254">
        <f t="shared" si="25"/>
        <v>0</v>
      </c>
      <c r="BP254">
        <f t="shared" si="26"/>
        <v>0</v>
      </c>
      <c r="BQ254">
        <f t="shared" si="27"/>
        <v>0</v>
      </c>
      <c r="BR254">
        <f t="shared" si="28"/>
        <v>0</v>
      </c>
      <c r="BS254">
        <f t="shared" si="29"/>
        <v>0</v>
      </c>
      <c r="BT254">
        <f t="shared" si="30"/>
        <v>0</v>
      </c>
      <c r="BU254">
        <f t="shared" si="31"/>
        <v>0</v>
      </c>
      <c r="BV254">
        <f t="shared" si="32"/>
        <v>0</v>
      </c>
      <c r="BW254">
        <f t="shared" si="33"/>
        <v>0</v>
      </c>
      <c r="CA254" t="str">
        <f>IF(55&gt;ROWS(DGArchive[模组]),"",IF(INDEX(DGArchive[模组],55)="","",INDEX(DGArchive[模组],55)))</f>
        <v/>
      </c>
      <c r="CB254" t="str">
        <f>IF(55&gt;ROWS(DGArchive[阶段]),"",IF(INDEX(DGArchive[阶段],55)="","",INDEX(DGArchive[阶段],55)))</f>
        <v/>
      </c>
      <c r="CC254" t="str">
        <f>IF(55&gt;ROWS(DGArchive[游戏内日期]),"",IF(INDEX(DGArchive[游戏内日期],55)="","",INDEX(DGArchive[游戏内日期],55)))</f>
        <v/>
      </c>
      <c r="CD254" t="str">
        <f>IF(55&gt;ROWS(DGArchive[目标]),"",IF(INDEX(DGArchive[目标],55)="","",INDEX(DGArchive[目标],55)))</f>
        <v/>
      </c>
      <c r="CE254" t="str">
        <f>IF(55&gt;ROWS(DGArchive[变更前]),"",IF(INDEX(DGArchive[变更前],55)="","",INDEX(DGArchive[变更前],55)))</f>
        <v/>
      </c>
      <c r="CF254" t="str">
        <f>IF(55&gt;ROWS(DGArchive[增减]),"",IF(INDEX(DGArchive[增减],55)="","",INDEX(DGArchive[增减],55)))</f>
        <v/>
      </c>
      <c r="CG254" t="str">
        <f>IF(55&gt;ROWS(DGArchive[变更后]),"",IF(INDEX(DGArchive[变更后],55)="","",INDEX(DGArchive[变更后],55)))</f>
        <v/>
      </c>
      <c r="CH254" t="str">
        <f>IF(55&gt;ROWS(DGArchive[事件／活动]),"",IF(INDEX(DGArchive[事件／活动],55)="","",INDEX(DGArchive[事件／活动],55)))</f>
        <v/>
      </c>
      <c r="CI254" t="str">
        <f>IF(55&gt;ROWS(DGArchive[记录编号]),"",IF(INDEX(DGArchive[记录编号],55)="","",INDEX(DGArchive[记录编号],55)))</f>
        <v/>
      </c>
      <c r="CL254">
        <f t="shared" si="14"/>
        <v>0</v>
      </c>
      <c r="CM254">
        <f>IF(AND(A254=$AO$5,B254=$AQ$3,H254=1),COUNTIFS($A$200:A254,$AO$5,$B$200:B254,$AQ$3,$H$200:H254,1),0)</f>
        <v>0</v>
      </c>
      <c r="CN254">
        <f>IF(CA254="",55,1001)</f>
        <v>55</v>
      </c>
      <c r="GA254">
        <f t="shared" si="34"/>
        <v>0</v>
      </c>
      <c r="GB254">
        <f t="shared" si="35"/>
        <v>0</v>
      </c>
      <c r="GC254">
        <f>IF(AND(C254="事件记录",H254=1),COUNTIFS($C$200:C254,"事件记录",$H$200:H254,1),0)</f>
        <v>0</v>
      </c>
      <c r="GD254">
        <f t="shared" si="15"/>
        <v>0</v>
      </c>
      <c r="GH254">
        <f>IF(AND(H254=1,A254=$GA$10,B254=$GA$11),COUNTIFS($A$200:A254,$GA$10,$B$200:B254,$GA$11,$H$200:H254,1),0)</f>
        <v>0</v>
      </c>
    </row>
    <row r="255" spans="1:190">
      <c r="A255" t="str">
        <f t="shared" si="6"/>
        <v/>
      </c>
      <c r="B255" t="str">
        <f t="shared" si="7"/>
        <v/>
      </c>
      <c r="C255" t="str">
        <f t="shared" si="8"/>
        <v/>
      </c>
      <c r="D255" t="str">
        <f t="shared" si="9"/>
        <v/>
      </c>
      <c r="E255">
        <f t="shared" si="10"/>
        <v>0</v>
      </c>
      <c r="F255" t="str">
        <f t="shared" si="11"/>
        <v/>
      </c>
      <c r="G255">
        <f t="shared" si="12"/>
        <v>0</v>
      </c>
      <c r="H255">
        <f>IF(AND(G255=1,COUNTIFS($I$200:I255,I255,$G$200:G255,1)=1),1,0)</f>
        <v>0</v>
      </c>
      <c r="I255" t="str">
        <f t="shared" si="13"/>
        <v/>
      </c>
      <c r="BF255">
        <f t="shared" si="16"/>
        <v>0</v>
      </c>
      <c r="BG255">
        <f t="shared" si="17"/>
        <v>0</v>
      </c>
      <c r="BH255">
        <f t="shared" si="18"/>
        <v>0</v>
      </c>
      <c r="BI255">
        <f t="shared" si="19"/>
        <v>0</v>
      </c>
      <c r="BJ255">
        <f t="shared" si="20"/>
        <v>0</v>
      </c>
      <c r="BK255">
        <f t="shared" si="21"/>
        <v>0</v>
      </c>
      <c r="BL255">
        <f t="shared" si="22"/>
        <v>0</v>
      </c>
      <c r="BM255">
        <f t="shared" si="23"/>
        <v>0</v>
      </c>
      <c r="BN255">
        <f t="shared" si="24"/>
        <v>0</v>
      </c>
      <c r="BO255">
        <f t="shared" si="25"/>
        <v>0</v>
      </c>
      <c r="BP255">
        <f t="shared" si="26"/>
        <v>0</v>
      </c>
      <c r="BQ255">
        <f t="shared" si="27"/>
        <v>0</v>
      </c>
      <c r="BR255">
        <f t="shared" si="28"/>
        <v>0</v>
      </c>
      <c r="BS255">
        <f t="shared" si="29"/>
        <v>0</v>
      </c>
      <c r="BT255">
        <f t="shared" si="30"/>
        <v>0</v>
      </c>
      <c r="BU255">
        <f t="shared" si="31"/>
        <v>0</v>
      </c>
      <c r="BV255">
        <f t="shared" si="32"/>
        <v>0</v>
      </c>
      <c r="BW255">
        <f t="shared" si="33"/>
        <v>0</v>
      </c>
      <c r="CA255" t="str">
        <f>IF(56&gt;ROWS(DGArchive[模组]),"",IF(INDEX(DGArchive[模组],56)="","",INDEX(DGArchive[模组],56)))</f>
        <v/>
      </c>
      <c r="CB255" t="str">
        <f>IF(56&gt;ROWS(DGArchive[阶段]),"",IF(INDEX(DGArchive[阶段],56)="","",INDEX(DGArchive[阶段],56)))</f>
        <v/>
      </c>
      <c r="CC255" t="str">
        <f>IF(56&gt;ROWS(DGArchive[游戏内日期]),"",IF(INDEX(DGArchive[游戏内日期],56)="","",INDEX(DGArchive[游戏内日期],56)))</f>
        <v/>
      </c>
      <c r="CD255" t="str">
        <f>IF(56&gt;ROWS(DGArchive[目标]),"",IF(INDEX(DGArchive[目标],56)="","",INDEX(DGArchive[目标],56)))</f>
        <v/>
      </c>
      <c r="CE255" t="str">
        <f>IF(56&gt;ROWS(DGArchive[变更前]),"",IF(INDEX(DGArchive[变更前],56)="","",INDEX(DGArchive[变更前],56)))</f>
        <v/>
      </c>
      <c r="CF255" t="str">
        <f>IF(56&gt;ROWS(DGArchive[增减]),"",IF(INDEX(DGArchive[增减],56)="","",INDEX(DGArchive[增减],56)))</f>
        <v/>
      </c>
      <c r="CG255" t="str">
        <f>IF(56&gt;ROWS(DGArchive[变更后]),"",IF(INDEX(DGArchive[变更后],56)="","",INDEX(DGArchive[变更后],56)))</f>
        <v/>
      </c>
      <c r="CH255" t="str">
        <f>IF(56&gt;ROWS(DGArchive[事件／活动]),"",IF(INDEX(DGArchive[事件／活动],56)="","",INDEX(DGArchive[事件／活动],56)))</f>
        <v/>
      </c>
      <c r="CI255" t="str">
        <f>IF(56&gt;ROWS(DGArchive[记录编号]),"",IF(INDEX(DGArchive[记录编号],56)="","",INDEX(DGArchive[记录编号],56)))</f>
        <v/>
      </c>
      <c r="CL255">
        <f t="shared" si="14"/>
        <v>0</v>
      </c>
      <c r="CM255">
        <f>IF(AND(A255=$AO$5,B255=$AQ$3,H255=1),COUNTIFS($A$200:A255,$AO$5,$B$200:B255,$AQ$3,$H$200:H255,1),0)</f>
        <v>0</v>
      </c>
      <c r="CN255">
        <f>IF(CA255="",56,1001)</f>
        <v>56</v>
      </c>
      <c r="GA255">
        <f t="shared" si="34"/>
        <v>0</v>
      </c>
      <c r="GB255">
        <f t="shared" si="35"/>
        <v>0</v>
      </c>
      <c r="GC255">
        <f>IF(AND(C255="事件记录",H255=1),COUNTIFS($C$200:C255,"事件记录",$H$200:H255,1),0)</f>
        <v>0</v>
      </c>
      <c r="GD255">
        <f t="shared" si="15"/>
        <v>0</v>
      </c>
      <c r="GH255">
        <f>IF(AND(H255=1,A255=$GA$10,B255=$GA$11),COUNTIFS($A$200:A255,$GA$10,$B$200:B255,$GA$11,$H$200:H255,1),0)</f>
        <v>0</v>
      </c>
    </row>
    <row r="256" spans="1:190">
      <c r="A256" t="str">
        <f t="shared" si="6"/>
        <v/>
      </c>
      <c r="B256" t="str">
        <f t="shared" si="7"/>
        <v/>
      </c>
      <c r="C256" t="str">
        <f t="shared" si="8"/>
        <v/>
      </c>
      <c r="D256" t="str">
        <f t="shared" si="9"/>
        <v/>
      </c>
      <c r="E256">
        <f t="shared" si="10"/>
        <v>0</v>
      </c>
      <c r="F256" t="str">
        <f t="shared" si="11"/>
        <v/>
      </c>
      <c r="G256">
        <f t="shared" si="12"/>
        <v>0</v>
      </c>
      <c r="H256">
        <f>IF(AND(G256=1,COUNTIFS($I$200:I256,I256,$G$200:G256,1)=1),1,0)</f>
        <v>0</v>
      </c>
      <c r="I256" t="str">
        <f t="shared" si="13"/>
        <v/>
      </c>
      <c r="BF256">
        <f t="shared" si="16"/>
        <v>0</v>
      </c>
      <c r="BG256">
        <f t="shared" si="17"/>
        <v>0</v>
      </c>
      <c r="BH256">
        <f t="shared" si="18"/>
        <v>0</v>
      </c>
      <c r="BI256">
        <f t="shared" si="19"/>
        <v>0</v>
      </c>
      <c r="BJ256">
        <f t="shared" si="20"/>
        <v>0</v>
      </c>
      <c r="BK256">
        <f t="shared" si="21"/>
        <v>0</v>
      </c>
      <c r="BL256">
        <f t="shared" si="22"/>
        <v>0</v>
      </c>
      <c r="BM256">
        <f t="shared" si="23"/>
        <v>0</v>
      </c>
      <c r="BN256">
        <f t="shared" si="24"/>
        <v>0</v>
      </c>
      <c r="BO256">
        <f t="shared" si="25"/>
        <v>0</v>
      </c>
      <c r="BP256">
        <f t="shared" si="26"/>
        <v>0</v>
      </c>
      <c r="BQ256">
        <f t="shared" si="27"/>
        <v>0</v>
      </c>
      <c r="BR256">
        <f t="shared" si="28"/>
        <v>0</v>
      </c>
      <c r="BS256">
        <f t="shared" si="29"/>
        <v>0</v>
      </c>
      <c r="BT256">
        <f t="shared" si="30"/>
        <v>0</v>
      </c>
      <c r="BU256">
        <f t="shared" si="31"/>
        <v>0</v>
      </c>
      <c r="BV256">
        <f t="shared" si="32"/>
        <v>0</v>
      </c>
      <c r="BW256">
        <f t="shared" si="33"/>
        <v>0</v>
      </c>
      <c r="CA256" t="str">
        <f>IF(57&gt;ROWS(DGArchive[模组]),"",IF(INDEX(DGArchive[模组],57)="","",INDEX(DGArchive[模组],57)))</f>
        <v/>
      </c>
      <c r="CB256" t="str">
        <f>IF(57&gt;ROWS(DGArchive[阶段]),"",IF(INDEX(DGArchive[阶段],57)="","",INDEX(DGArchive[阶段],57)))</f>
        <v/>
      </c>
      <c r="CC256" t="str">
        <f>IF(57&gt;ROWS(DGArchive[游戏内日期]),"",IF(INDEX(DGArchive[游戏内日期],57)="","",INDEX(DGArchive[游戏内日期],57)))</f>
        <v/>
      </c>
      <c r="CD256" t="str">
        <f>IF(57&gt;ROWS(DGArchive[目标]),"",IF(INDEX(DGArchive[目标],57)="","",INDEX(DGArchive[目标],57)))</f>
        <v/>
      </c>
      <c r="CE256" t="str">
        <f>IF(57&gt;ROWS(DGArchive[变更前]),"",IF(INDEX(DGArchive[变更前],57)="","",INDEX(DGArchive[变更前],57)))</f>
        <v/>
      </c>
      <c r="CF256" t="str">
        <f>IF(57&gt;ROWS(DGArchive[增减]),"",IF(INDEX(DGArchive[增减],57)="","",INDEX(DGArchive[增减],57)))</f>
        <v/>
      </c>
      <c r="CG256" t="str">
        <f>IF(57&gt;ROWS(DGArchive[变更后]),"",IF(INDEX(DGArchive[变更后],57)="","",INDEX(DGArchive[变更后],57)))</f>
        <v/>
      </c>
      <c r="CH256" t="str">
        <f>IF(57&gt;ROWS(DGArchive[事件／活动]),"",IF(INDEX(DGArchive[事件／活动],57)="","",INDEX(DGArchive[事件／活动],57)))</f>
        <v/>
      </c>
      <c r="CI256" t="str">
        <f>IF(57&gt;ROWS(DGArchive[记录编号]),"",IF(INDEX(DGArchive[记录编号],57)="","",INDEX(DGArchive[记录编号],57)))</f>
        <v/>
      </c>
      <c r="CL256">
        <f t="shared" si="14"/>
        <v>0</v>
      </c>
      <c r="CM256">
        <f>IF(AND(A256=$AO$5,B256=$AQ$3,H256=1),COUNTIFS($A$200:A256,$AO$5,$B$200:B256,$AQ$3,$H$200:H256,1),0)</f>
        <v>0</v>
      </c>
      <c r="CN256">
        <f>IF(CA256="",57,1001)</f>
        <v>57</v>
      </c>
      <c r="GA256">
        <f t="shared" si="34"/>
        <v>0</v>
      </c>
      <c r="GB256">
        <f t="shared" si="35"/>
        <v>0</v>
      </c>
      <c r="GC256">
        <f>IF(AND(C256="事件记录",H256=1),COUNTIFS($C$200:C256,"事件记录",$H$200:H256,1),0)</f>
        <v>0</v>
      </c>
      <c r="GD256">
        <f t="shared" si="15"/>
        <v>0</v>
      </c>
      <c r="GH256">
        <f>IF(AND(H256=1,A256=$GA$10,B256=$GA$11),COUNTIFS($A$200:A256,$GA$10,$B$200:B256,$GA$11,$H$200:H256,1),0)</f>
        <v>0</v>
      </c>
    </row>
    <row r="257" spans="1:190">
      <c r="A257" t="str">
        <f t="shared" si="6"/>
        <v/>
      </c>
      <c r="B257" t="str">
        <f t="shared" si="7"/>
        <v/>
      </c>
      <c r="C257" t="str">
        <f t="shared" si="8"/>
        <v/>
      </c>
      <c r="D257" t="str">
        <f t="shared" si="9"/>
        <v/>
      </c>
      <c r="E257">
        <f t="shared" si="10"/>
        <v>0</v>
      </c>
      <c r="F257" t="str">
        <f t="shared" si="11"/>
        <v/>
      </c>
      <c r="G257">
        <f t="shared" si="12"/>
        <v>0</v>
      </c>
      <c r="H257">
        <f>IF(AND(G257=1,COUNTIFS($I$200:I257,I257,$G$200:G257,1)=1),1,0)</f>
        <v>0</v>
      </c>
      <c r="I257" t="str">
        <f t="shared" si="13"/>
        <v/>
      </c>
      <c r="BF257">
        <f t="shared" si="16"/>
        <v>0</v>
      </c>
      <c r="BG257">
        <f t="shared" si="17"/>
        <v>0</v>
      </c>
      <c r="BH257">
        <f t="shared" si="18"/>
        <v>0</v>
      </c>
      <c r="BI257">
        <f t="shared" si="19"/>
        <v>0</v>
      </c>
      <c r="BJ257">
        <f t="shared" si="20"/>
        <v>0</v>
      </c>
      <c r="BK257">
        <f t="shared" si="21"/>
        <v>0</v>
      </c>
      <c r="BL257">
        <f t="shared" si="22"/>
        <v>0</v>
      </c>
      <c r="BM257">
        <f t="shared" si="23"/>
        <v>0</v>
      </c>
      <c r="BN257">
        <f t="shared" si="24"/>
        <v>0</v>
      </c>
      <c r="BO257">
        <f t="shared" si="25"/>
        <v>0</v>
      </c>
      <c r="BP257">
        <f t="shared" si="26"/>
        <v>0</v>
      </c>
      <c r="BQ257">
        <f t="shared" si="27"/>
        <v>0</v>
      </c>
      <c r="BR257">
        <f t="shared" si="28"/>
        <v>0</v>
      </c>
      <c r="BS257">
        <f t="shared" si="29"/>
        <v>0</v>
      </c>
      <c r="BT257">
        <f t="shared" si="30"/>
        <v>0</v>
      </c>
      <c r="BU257">
        <f t="shared" si="31"/>
        <v>0</v>
      </c>
      <c r="BV257">
        <f t="shared" si="32"/>
        <v>0</v>
      </c>
      <c r="BW257">
        <f t="shared" si="33"/>
        <v>0</v>
      </c>
      <c r="CA257" t="str">
        <f>IF(58&gt;ROWS(DGArchive[模组]),"",IF(INDEX(DGArchive[模组],58)="","",INDEX(DGArchive[模组],58)))</f>
        <v/>
      </c>
      <c r="CB257" t="str">
        <f>IF(58&gt;ROWS(DGArchive[阶段]),"",IF(INDEX(DGArchive[阶段],58)="","",INDEX(DGArchive[阶段],58)))</f>
        <v/>
      </c>
      <c r="CC257" t="str">
        <f>IF(58&gt;ROWS(DGArchive[游戏内日期]),"",IF(INDEX(DGArchive[游戏内日期],58)="","",INDEX(DGArchive[游戏内日期],58)))</f>
        <v/>
      </c>
      <c r="CD257" t="str">
        <f>IF(58&gt;ROWS(DGArchive[目标]),"",IF(INDEX(DGArchive[目标],58)="","",INDEX(DGArchive[目标],58)))</f>
        <v/>
      </c>
      <c r="CE257" t="str">
        <f>IF(58&gt;ROWS(DGArchive[变更前]),"",IF(INDEX(DGArchive[变更前],58)="","",INDEX(DGArchive[变更前],58)))</f>
        <v/>
      </c>
      <c r="CF257" t="str">
        <f>IF(58&gt;ROWS(DGArchive[增减]),"",IF(INDEX(DGArchive[增减],58)="","",INDEX(DGArchive[增减],58)))</f>
        <v/>
      </c>
      <c r="CG257" t="str">
        <f>IF(58&gt;ROWS(DGArchive[变更后]),"",IF(INDEX(DGArchive[变更后],58)="","",INDEX(DGArchive[变更后],58)))</f>
        <v/>
      </c>
      <c r="CH257" t="str">
        <f>IF(58&gt;ROWS(DGArchive[事件／活动]),"",IF(INDEX(DGArchive[事件／活动],58)="","",INDEX(DGArchive[事件／活动],58)))</f>
        <v/>
      </c>
      <c r="CI257" t="str">
        <f>IF(58&gt;ROWS(DGArchive[记录编号]),"",IF(INDEX(DGArchive[记录编号],58)="","",INDEX(DGArchive[记录编号],58)))</f>
        <v/>
      </c>
      <c r="CL257">
        <f t="shared" si="14"/>
        <v>0</v>
      </c>
      <c r="CM257">
        <f>IF(AND(A257=$AO$5,B257=$AQ$3,H257=1),COUNTIFS($A$200:A257,$AO$5,$B$200:B257,$AQ$3,$H$200:H257,1),0)</f>
        <v>0</v>
      </c>
      <c r="CN257">
        <f>IF(CA257="",58,1001)</f>
        <v>58</v>
      </c>
      <c r="GA257">
        <f t="shared" si="34"/>
        <v>0</v>
      </c>
      <c r="GB257">
        <f t="shared" si="35"/>
        <v>0</v>
      </c>
      <c r="GC257">
        <f>IF(AND(C257="事件记录",H257=1),COUNTIFS($C$200:C257,"事件记录",$H$200:H257,1),0)</f>
        <v>0</v>
      </c>
      <c r="GD257">
        <f t="shared" si="15"/>
        <v>0</v>
      </c>
      <c r="GH257">
        <f>IF(AND(H257=1,A257=$GA$10,B257=$GA$11),COUNTIFS($A$200:A257,$GA$10,$B$200:B257,$GA$11,$H$200:H257,1),0)</f>
        <v>0</v>
      </c>
    </row>
    <row r="258" spans="1:190">
      <c r="A258" t="str">
        <f t="shared" si="6"/>
        <v/>
      </c>
      <c r="B258" t="str">
        <f t="shared" si="7"/>
        <v/>
      </c>
      <c r="C258" t="str">
        <f t="shared" si="8"/>
        <v/>
      </c>
      <c r="D258" t="str">
        <f t="shared" si="9"/>
        <v/>
      </c>
      <c r="E258">
        <f t="shared" si="10"/>
        <v>0</v>
      </c>
      <c r="F258" t="str">
        <f t="shared" si="11"/>
        <v/>
      </c>
      <c r="G258">
        <f t="shared" si="12"/>
        <v>0</v>
      </c>
      <c r="H258">
        <f>IF(AND(G258=1,COUNTIFS($I$200:I258,I258,$G$200:G258,1)=1),1,0)</f>
        <v>0</v>
      </c>
      <c r="I258" t="str">
        <f t="shared" si="13"/>
        <v/>
      </c>
      <c r="BF258">
        <f t="shared" si="16"/>
        <v>0</v>
      </c>
      <c r="BG258">
        <f t="shared" si="17"/>
        <v>0</v>
      </c>
      <c r="BH258">
        <f t="shared" si="18"/>
        <v>0</v>
      </c>
      <c r="BI258">
        <f t="shared" si="19"/>
        <v>0</v>
      </c>
      <c r="BJ258">
        <f t="shared" si="20"/>
        <v>0</v>
      </c>
      <c r="BK258">
        <f t="shared" si="21"/>
        <v>0</v>
      </c>
      <c r="BL258">
        <f t="shared" si="22"/>
        <v>0</v>
      </c>
      <c r="BM258">
        <f t="shared" si="23"/>
        <v>0</v>
      </c>
      <c r="BN258">
        <f t="shared" si="24"/>
        <v>0</v>
      </c>
      <c r="BO258">
        <f t="shared" si="25"/>
        <v>0</v>
      </c>
      <c r="BP258">
        <f t="shared" si="26"/>
        <v>0</v>
      </c>
      <c r="BQ258">
        <f t="shared" si="27"/>
        <v>0</v>
      </c>
      <c r="BR258">
        <f t="shared" si="28"/>
        <v>0</v>
      </c>
      <c r="BS258">
        <f t="shared" si="29"/>
        <v>0</v>
      </c>
      <c r="BT258">
        <f t="shared" si="30"/>
        <v>0</v>
      </c>
      <c r="BU258">
        <f t="shared" si="31"/>
        <v>0</v>
      </c>
      <c r="BV258">
        <f t="shared" si="32"/>
        <v>0</v>
      </c>
      <c r="BW258">
        <f t="shared" si="33"/>
        <v>0</v>
      </c>
      <c r="CA258" t="str">
        <f>IF(59&gt;ROWS(DGArchive[模组]),"",IF(INDEX(DGArchive[模组],59)="","",INDEX(DGArchive[模组],59)))</f>
        <v/>
      </c>
      <c r="CB258" t="str">
        <f>IF(59&gt;ROWS(DGArchive[阶段]),"",IF(INDEX(DGArchive[阶段],59)="","",INDEX(DGArchive[阶段],59)))</f>
        <v/>
      </c>
      <c r="CC258" t="str">
        <f>IF(59&gt;ROWS(DGArchive[游戏内日期]),"",IF(INDEX(DGArchive[游戏内日期],59)="","",INDEX(DGArchive[游戏内日期],59)))</f>
        <v/>
      </c>
      <c r="CD258" t="str">
        <f>IF(59&gt;ROWS(DGArchive[目标]),"",IF(INDEX(DGArchive[目标],59)="","",INDEX(DGArchive[目标],59)))</f>
        <v/>
      </c>
      <c r="CE258" t="str">
        <f>IF(59&gt;ROWS(DGArchive[变更前]),"",IF(INDEX(DGArchive[变更前],59)="","",INDEX(DGArchive[变更前],59)))</f>
        <v/>
      </c>
      <c r="CF258" t="str">
        <f>IF(59&gt;ROWS(DGArchive[增减]),"",IF(INDEX(DGArchive[增减],59)="","",INDEX(DGArchive[增减],59)))</f>
        <v/>
      </c>
      <c r="CG258" t="str">
        <f>IF(59&gt;ROWS(DGArchive[变更后]),"",IF(INDEX(DGArchive[变更后],59)="","",INDEX(DGArchive[变更后],59)))</f>
        <v/>
      </c>
      <c r="CH258" t="str">
        <f>IF(59&gt;ROWS(DGArchive[事件／活动]),"",IF(INDEX(DGArchive[事件／活动],59)="","",INDEX(DGArchive[事件／活动],59)))</f>
        <v/>
      </c>
      <c r="CI258" t="str">
        <f>IF(59&gt;ROWS(DGArchive[记录编号]),"",IF(INDEX(DGArchive[记录编号],59)="","",INDEX(DGArchive[记录编号],59)))</f>
        <v/>
      </c>
      <c r="CL258">
        <f t="shared" si="14"/>
        <v>0</v>
      </c>
      <c r="CM258">
        <f>IF(AND(A258=$AO$5,B258=$AQ$3,H258=1),COUNTIFS($A$200:A258,$AO$5,$B$200:B258,$AQ$3,$H$200:H258,1),0)</f>
        <v>0</v>
      </c>
      <c r="CN258">
        <f>IF(CA258="",59,1001)</f>
        <v>59</v>
      </c>
      <c r="GA258">
        <f t="shared" si="34"/>
        <v>0</v>
      </c>
      <c r="GB258">
        <f t="shared" si="35"/>
        <v>0</v>
      </c>
      <c r="GC258">
        <f>IF(AND(C258="事件记录",H258=1),COUNTIFS($C$200:C258,"事件记录",$H$200:H258,1),0)</f>
        <v>0</v>
      </c>
      <c r="GD258">
        <f t="shared" si="15"/>
        <v>0</v>
      </c>
      <c r="GH258">
        <f>IF(AND(H258=1,A258=$GA$10,B258=$GA$11),COUNTIFS($A$200:A258,$GA$10,$B$200:B258,$GA$11,$H$200:H258,1),0)</f>
        <v>0</v>
      </c>
    </row>
    <row r="259" spans="1:190">
      <c r="A259" t="str">
        <f t="shared" si="6"/>
        <v/>
      </c>
      <c r="B259" t="str">
        <f t="shared" si="7"/>
        <v/>
      </c>
      <c r="C259" t="str">
        <f t="shared" si="8"/>
        <v/>
      </c>
      <c r="D259" t="str">
        <f t="shared" si="9"/>
        <v/>
      </c>
      <c r="E259">
        <f t="shared" si="10"/>
        <v>0</v>
      </c>
      <c r="F259" t="str">
        <f t="shared" si="11"/>
        <v/>
      </c>
      <c r="G259">
        <f t="shared" si="12"/>
        <v>0</v>
      </c>
      <c r="H259">
        <f>IF(AND(G259=1,COUNTIFS($I$200:I259,I259,$G$200:G259,1)=1),1,0)</f>
        <v>0</v>
      </c>
      <c r="I259" t="str">
        <f t="shared" si="13"/>
        <v/>
      </c>
      <c r="BF259">
        <f t="shared" si="16"/>
        <v>0</v>
      </c>
      <c r="BG259">
        <f t="shared" si="17"/>
        <v>0</v>
      </c>
      <c r="BH259">
        <f t="shared" si="18"/>
        <v>0</v>
      </c>
      <c r="BI259">
        <f t="shared" si="19"/>
        <v>0</v>
      </c>
      <c r="BJ259">
        <f t="shared" si="20"/>
        <v>0</v>
      </c>
      <c r="BK259">
        <f t="shared" si="21"/>
        <v>0</v>
      </c>
      <c r="BL259">
        <f t="shared" si="22"/>
        <v>0</v>
      </c>
      <c r="BM259">
        <f t="shared" si="23"/>
        <v>0</v>
      </c>
      <c r="BN259">
        <f t="shared" si="24"/>
        <v>0</v>
      </c>
      <c r="BO259">
        <f t="shared" si="25"/>
        <v>0</v>
      </c>
      <c r="BP259">
        <f t="shared" si="26"/>
        <v>0</v>
      </c>
      <c r="BQ259">
        <f t="shared" si="27"/>
        <v>0</v>
      </c>
      <c r="BR259">
        <f t="shared" si="28"/>
        <v>0</v>
      </c>
      <c r="BS259">
        <f t="shared" si="29"/>
        <v>0</v>
      </c>
      <c r="BT259">
        <f t="shared" si="30"/>
        <v>0</v>
      </c>
      <c r="BU259">
        <f t="shared" si="31"/>
        <v>0</v>
      </c>
      <c r="BV259">
        <f t="shared" si="32"/>
        <v>0</v>
      </c>
      <c r="BW259">
        <f t="shared" si="33"/>
        <v>0</v>
      </c>
      <c r="CA259" t="str">
        <f>IF(60&gt;ROWS(DGArchive[模组]),"",IF(INDEX(DGArchive[模组],60)="","",INDEX(DGArchive[模组],60)))</f>
        <v/>
      </c>
      <c r="CB259" t="str">
        <f>IF(60&gt;ROWS(DGArchive[阶段]),"",IF(INDEX(DGArchive[阶段],60)="","",INDEX(DGArchive[阶段],60)))</f>
        <v/>
      </c>
      <c r="CC259" t="str">
        <f>IF(60&gt;ROWS(DGArchive[游戏内日期]),"",IF(INDEX(DGArchive[游戏内日期],60)="","",INDEX(DGArchive[游戏内日期],60)))</f>
        <v/>
      </c>
      <c r="CD259" t="str">
        <f>IF(60&gt;ROWS(DGArchive[目标]),"",IF(INDEX(DGArchive[目标],60)="","",INDEX(DGArchive[目标],60)))</f>
        <v/>
      </c>
      <c r="CE259" t="str">
        <f>IF(60&gt;ROWS(DGArchive[变更前]),"",IF(INDEX(DGArchive[变更前],60)="","",INDEX(DGArchive[变更前],60)))</f>
        <v/>
      </c>
      <c r="CF259" t="str">
        <f>IF(60&gt;ROWS(DGArchive[增减]),"",IF(INDEX(DGArchive[增减],60)="","",INDEX(DGArchive[增减],60)))</f>
        <v/>
      </c>
      <c r="CG259" t="str">
        <f>IF(60&gt;ROWS(DGArchive[变更后]),"",IF(INDEX(DGArchive[变更后],60)="","",INDEX(DGArchive[变更后],60)))</f>
        <v/>
      </c>
      <c r="CH259" t="str">
        <f>IF(60&gt;ROWS(DGArchive[事件／活动]),"",IF(INDEX(DGArchive[事件／活动],60)="","",INDEX(DGArchive[事件／活动],60)))</f>
        <v/>
      </c>
      <c r="CI259" t="str">
        <f>IF(60&gt;ROWS(DGArchive[记录编号]),"",IF(INDEX(DGArchive[记录编号],60)="","",INDEX(DGArchive[记录编号],60)))</f>
        <v/>
      </c>
      <c r="CL259">
        <f t="shared" si="14"/>
        <v>0</v>
      </c>
      <c r="CM259">
        <f>IF(AND(A259=$AO$5,B259=$AQ$3,H259=1),COUNTIFS($A$200:A259,$AO$5,$B$200:B259,$AQ$3,$H$200:H259,1),0)</f>
        <v>0</v>
      </c>
      <c r="CN259">
        <f>IF(CA259="",60,1001)</f>
        <v>60</v>
      </c>
      <c r="GA259">
        <f t="shared" si="34"/>
        <v>0</v>
      </c>
      <c r="GB259">
        <f t="shared" si="35"/>
        <v>0</v>
      </c>
      <c r="GC259">
        <f>IF(AND(C259="事件记录",H259=1),COUNTIFS($C$200:C259,"事件记录",$H$200:H259,1),0)</f>
        <v>0</v>
      </c>
      <c r="GD259">
        <f t="shared" si="15"/>
        <v>0</v>
      </c>
      <c r="GH259">
        <f>IF(AND(H259=1,A259=$GA$10,B259=$GA$11),COUNTIFS($A$200:A259,$GA$10,$B$200:B259,$GA$11,$H$200:H259,1),0)</f>
        <v>0</v>
      </c>
    </row>
    <row r="260" spans="1:190">
      <c r="A260" t="str">
        <f t="shared" si="6"/>
        <v/>
      </c>
      <c r="B260" t="str">
        <f t="shared" si="7"/>
        <v/>
      </c>
      <c r="C260" t="str">
        <f t="shared" si="8"/>
        <v/>
      </c>
      <c r="D260" t="str">
        <f t="shared" si="9"/>
        <v/>
      </c>
      <c r="E260">
        <f t="shared" si="10"/>
        <v>0</v>
      </c>
      <c r="F260" t="str">
        <f t="shared" si="11"/>
        <v/>
      </c>
      <c r="G260">
        <f t="shared" si="12"/>
        <v>0</v>
      </c>
      <c r="H260">
        <f>IF(AND(G260=1,COUNTIFS($I$200:I260,I260,$G$200:G260,1)=1),1,0)</f>
        <v>0</v>
      </c>
      <c r="I260" t="str">
        <f t="shared" si="13"/>
        <v/>
      </c>
      <c r="BF260">
        <f t="shared" si="16"/>
        <v>0</v>
      </c>
      <c r="BG260">
        <f t="shared" si="17"/>
        <v>0</v>
      </c>
      <c r="BH260">
        <f t="shared" si="18"/>
        <v>0</v>
      </c>
      <c r="BI260">
        <f t="shared" si="19"/>
        <v>0</v>
      </c>
      <c r="BJ260">
        <f t="shared" si="20"/>
        <v>0</v>
      </c>
      <c r="BK260">
        <f t="shared" si="21"/>
        <v>0</v>
      </c>
      <c r="BL260">
        <f t="shared" si="22"/>
        <v>0</v>
      </c>
      <c r="BM260">
        <f t="shared" si="23"/>
        <v>0</v>
      </c>
      <c r="BN260">
        <f t="shared" si="24"/>
        <v>0</v>
      </c>
      <c r="BO260">
        <f t="shared" si="25"/>
        <v>0</v>
      </c>
      <c r="BP260">
        <f t="shared" si="26"/>
        <v>0</v>
      </c>
      <c r="BQ260">
        <f t="shared" si="27"/>
        <v>0</v>
      </c>
      <c r="BR260">
        <f t="shared" si="28"/>
        <v>0</v>
      </c>
      <c r="BS260">
        <f t="shared" si="29"/>
        <v>0</v>
      </c>
      <c r="BT260">
        <f t="shared" si="30"/>
        <v>0</v>
      </c>
      <c r="BU260">
        <f t="shared" si="31"/>
        <v>0</v>
      </c>
      <c r="BV260">
        <f t="shared" si="32"/>
        <v>0</v>
      </c>
      <c r="BW260">
        <f t="shared" si="33"/>
        <v>0</v>
      </c>
      <c r="CA260" t="str">
        <f>IF(61&gt;ROWS(DGArchive[模组]),"",IF(INDEX(DGArchive[模组],61)="","",INDEX(DGArchive[模组],61)))</f>
        <v/>
      </c>
      <c r="CB260" t="str">
        <f>IF(61&gt;ROWS(DGArchive[阶段]),"",IF(INDEX(DGArchive[阶段],61)="","",INDEX(DGArchive[阶段],61)))</f>
        <v/>
      </c>
      <c r="CC260" t="str">
        <f>IF(61&gt;ROWS(DGArchive[游戏内日期]),"",IF(INDEX(DGArchive[游戏内日期],61)="","",INDEX(DGArchive[游戏内日期],61)))</f>
        <v/>
      </c>
      <c r="CD260" t="str">
        <f>IF(61&gt;ROWS(DGArchive[目标]),"",IF(INDEX(DGArchive[目标],61)="","",INDEX(DGArchive[目标],61)))</f>
        <v/>
      </c>
      <c r="CE260" t="str">
        <f>IF(61&gt;ROWS(DGArchive[变更前]),"",IF(INDEX(DGArchive[变更前],61)="","",INDEX(DGArchive[变更前],61)))</f>
        <v/>
      </c>
      <c r="CF260" t="str">
        <f>IF(61&gt;ROWS(DGArchive[增减]),"",IF(INDEX(DGArchive[增减],61)="","",INDEX(DGArchive[增减],61)))</f>
        <v/>
      </c>
      <c r="CG260" t="str">
        <f>IF(61&gt;ROWS(DGArchive[变更后]),"",IF(INDEX(DGArchive[变更后],61)="","",INDEX(DGArchive[变更后],61)))</f>
        <v/>
      </c>
      <c r="CH260" t="str">
        <f>IF(61&gt;ROWS(DGArchive[事件／活动]),"",IF(INDEX(DGArchive[事件／活动],61)="","",INDEX(DGArchive[事件／活动],61)))</f>
        <v/>
      </c>
      <c r="CI260" t="str">
        <f>IF(61&gt;ROWS(DGArchive[记录编号]),"",IF(INDEX(DGArchive[记录编号],61)="","",INDEX(DGArchive[记录编号],61)))</f>
        <v/>
      </c>
      <c r="CL260">
        <f t="shared" si="14"/>
        <v>0</v>
      </c>
      <c r="CM260">
        <f>IF(AND(A260=$AO$5,B260=$AQ$3,H260=1),COUNTIFS($A$200:A260,$AO$5,$B$200:B260,$AQ$3,$H$200:H260,1),0)</f>
        <v>0</v>
      </c>
      <c r="CN260">
        <f>IF(CA260="",61,1001)</f>
        <v>61</v>
      </c>
      <c r="GA260">
        <f t="shared" si="34"/>
        <v>0</v>
      </c>
      <c r="GB260">
        <f t="shared" si="35"/>
        <v>0</v>
      </c>
      <c r="GC260">
        <f>IF(AND(C260="事件记录",H260=1),COUNTIFS($C$200:C260,"事件记录",$H$200:H260,1),0)</f>
        <v>0</v>
      </c>
      <c r="GD260">
        <f t="shared" si="15"/>
        <v>0</v>
      </c>
      <c r="GH260">
        <f>IF(AND(H260=1,A260=$GA$10,B260=$GA$11),COUNTIFS($A$200:A260,$GA$10,$B$200:B260,$GA$11,$H$200:H260,1),0)</f>
        <v>0</v>
      </c>
    </row>
    <row r="261" spans="1:190">
      <c r="A261" t="str">
        <f t="shared" si="6"/>
        <v/>
      </c>
      <c r="B261" t="str">
        <f t="shared" si="7"/>
        <v/>
      </c>
      <c r="C261" t="str">
        <f t="shared" si="8"/>
        <v/>
      </c>
      <c r="D261" t="str">
        <f t="shared" si="9"/>
        <v/>
      </c>
      <c r="E261">
        <f t="shared" si="10"/>
        <v>0</v>
      </c>
      <c r="F261" t="str">
        <f t="shared" si="11"/>
        <v/>
      </c>
      <c r="G261">
        <f t="shared" si="12"/>
        <v>0</v>
      </c>
      <c r="H261">
        <f>IF(AND(G261=1,COUNTIFS($I$200:I261,I261,$G$200:G261,1)=1),1,0)</f>
        <v>0</v>
      </c>
      <c r="I261" t="str">
        <f t="shared" si="13"/>
        <v/>
      </c>
      <c r="BF261">
        <f t="shared" si="16"/>
        <v>0</v>
      </c>
      <c r="BG261">
        <f t="shared" si="17"/>
        <v>0</v>
      </c>
      <c r="BH261">
        <f t="shared" si="18"/>
        <v>0</v>
      </c>
      <c r="BI261">
        <f t="shared" si="19"/>
        <v>0</v>
      </c>
      <c r="BJ261">
        <f t="shared" si="20"/>
        <v>0</v>
      </c>
      <c r="BK261">
        <f t="shared" si="21"/>
        <v>0</v>
      </c>
      <c r="BL261">
        <f t="shared" si="22"/>
        <v>0</v>
      </c>
      <c r="BM261">
        <f t="shared" si="23"/>
        <v>0</v>
      </c>
      <c r="BN261">
        <f t="shared" si="24"/>
        <v>0</v>
      </c>
      <c r="BO261">
        <f t="shared" si="25"/>
        <v>0</v>
      </c>
      <c r="BP261">
        <f t="shared" si="26"/>
        <v>0</v>
      </c>
      <c r="BQ261">
        <f t="shared" si="27"/>
        <v>0</v>
      </c>
      <c r="BR261">
        <f t="shared" si="28"/>
        <v>0</v>
      </c>
      <c r="BS261">
        <f t="shared" si="29"/>
        <v>0</v>
      </c>
      <c r="BT261">
        <f t="shared" si="30"/>
        <v>0</v>
      </c>
      <c r="BU261">
        <f t="shared" si="31"/>
        <v>0</v>
      </c>
      <c r="BV261">
        <f t="shared" si="32"/>
        <v>0</v>
      </c>
      <c r="BW261">
        <f t="shared" si="33"/>
        <v>0</v>
      </c>
      <c r="CA261" t="str">
        <f>IF(62&gt;ROWS(DGArchive[模组]),"",IF(INDEX(DGArchive[模组],62)="","",INDEX(DGArchive[模组],62)))</f>
        <v/>
      </c>
      <c r="CB261" t="str">
        <f>IF(62&gt;ROWS(DGArchive[阶段]),"",IF(INDEX(DGArchive[阶段],62)="","",INDEX(DGArchive[阶段],62)))</f>
        <v/>
      </c>
      <c r="CC261" t="str">
        <f>IF(62&gt;ROWS(DGArchive[游戏内日期]),"",IF(INDEX(DGArchive[游戏内日期],62)="","",INDEX(DGArchive[游戏内日期],62)))</f>
        <v/>
      </c>
      <c r="CD261" t="str">
        <f>IF(62&gt;ROWS(DGArchive[目标]),"",IF(INDEX(DGArchive[目标],62)="","",INDEX(DGArchive[目标],62)))</f>
        <v/>
      </c>
      <c r="CE261" t="str">
        <f>IF(62&gt;ROWS(DGArchive[变更前]),"",IF(INDEX(DGArchive[变更前],62)="","",INDEX(DGArchive[变更前],62)))</f>
        <v/>
      </c>
      <c r="CF261" t="str">
        <f>IF(62&gt;ROWS(DGArchive[增减]),"",IF(INDEX(DGArchive[增减],62)="","",INDEX(DGArchive[增减],62)))</f>
        <v/>
      </c>
      <c r="CG261" t="str">
        <f>IF(62&gt;ROWS(DGArchive[变更后]),"",IF(INDEX(DGArchive[变更后],62)="","",INDEX(DGArchive[变更后],62)))</f>
        <v/>
      </c>
      <c r="CH261" t="str">
        <f>IF(62&gt;ROWS(DGArchive[事件／活动]),"",IF(INDEX(DGArchive[事件／活动],62)="","",INDEX(DGArchive[事件／活动],62)))</f>
        <v/>
      </c>
      <c r="CI261" t="str">
        <f>IF(62&gt;ROWS(DGArchive[记录编号]),"",IF(INDEX(DGArchive[记录编号],62)="","",INDEX(DGArchive[记录编号],62)))</f>
        <v/>
      </c>
      <c r="CL261">
        <f t="shared" si="14"/>
        <v>0</v>
      </c>
      <c r="CM261">
        <f>IF(AND(A261=$AO$5,B261=$AQ$3,H261=1),COUNTIFS($A$200:A261,$AO$5,$B$200:B261,$AQ$3,$H$200:H261,1),0)</f>
        <v>0</v>
      </c>
      <c r="CN261">
        <f>IF(CA261="",62,1001)</f>
        <v>62</v>
      </c>
      <c r="GA261">
        <f t="shared" si="34"/>
        <v>0</v>
      </c>
      <c r="GB261">
        <f t="shared" si="35"/>
        <v>0</v>
      </c>
      <c r="GC261">
        <f>IF(AND(C261="事件记录",H261=1),COUNTIFS($C$200:C261,"事件记录",$H$200:H261,1),0)</f>
        <v>0</v>
      </c>
      <c r="GD261">
        <f t="shared" si="15"/>
        <v>0</v>
      </c>
      <c r="GH261">
        <f>IF(AND(H261=1,A261=$GA$10,B261=$GA$11),COUNTIFS($A$200:A261,$GA$10,$B$200:B261,$GA$11,$H$200:H261,1),0)</f>
        <v>0</v>
      </c>
    </row>
    <row r="262" spans="1:190">
      <c r="A262" t="str">
        <f t="shared" si="6"/>
        <v/>
      </c>
      <c r="B262" t="str">
        <f t="shared" si="7"/>
        <v/>
      </c>
      <c r="C262" t="str">
        <f t="shared" si="8"/>
        <v/>
      </c>
      <c r="D262" t="str">
        <f t="shared" si="9"/>
        <v/>
      </c>
      <c r="E262">
        <f t="shared" si="10"/>
        <v>0</v>
      </c>
      <c r="F262" t="str">
        <f t="shared" si="11"/>
        <v/>
      </c>
      <c r="G262">
        <f t="shared" si="12"/>
        <v>0</v>
      </c>
      <c r="H262">
        <f>IF(AND(G262=1,COUNTIFS($I$200:I262,I262,$G$200:G262,1)=1),1,0)</f>
        <v>0</v>
      </c>
      <c r="I262" t="str">
        <f t="shared" si="13"/>
        <v/>
      </c>
      <c r="BF262">
        <f t="shared" si="16"/>
        <v>0</v>
      </c>
      <c r="BG262">
        <f t="shared" si="17"/>
        <v>0</v>
      </c>
      <c r="BH262">
        <f t="shared" si="18"/>
        <v>0</v>
      </c>
      <c r="BI262">
        <f t="shared" si="19"/>
        <v>0</v>
      </c>
      <c r="BJ262">
        <f t="shared" si="20"/>
        <v>0</v>
      </c>
      <c r="BK262">
        <f t="shared" si="21"/>
        <v>0</v>
      </c>
      <c r="BL262">
        <f t="shared" si="22"/>
        <v>0</v>
      </c>
      <c r="BM262">
        <f t="shared" si="23"/>
        <v>0</v>
      </c>
      <c r="BN262">
        <f t="shared" si="24"/>
        <v>0</v>
      </c>
      <c r="BO262">
        <f t="shared" si="25"/>
        <v>0</v>
      </c>
      <c r="BP262">
        <f t="shared" si="26"/>
        <v>0</v>
      </c>
      <c r="BQ262">
        <f t="shared" si="27"/>
        <v>0</v>
      </c>
      <c r="BR262">
        <f t="shared" si="28"/>
        <v>0</v>
      </c>
      <c r="BS262">
        <f t="shared" si="29"/>
        <v>0</v>
      </c>
      <c r="BT262">
        <f t="shared" si="30"/>
        <v>0</v>
      </c>
      <c r="BU262">
        <f t="shared" si="31"/>
        <v>0</v>
      </c>
      <c r="BV262">
        <f t="shared" si="32"/>
        <v>0</v>
      </c>
      <c r="BW262">
        <f t="shared" si="33"/>
        <v>0</v>
      </c>
      <c r="CA262" t="str">
        <f>IF(63&gt;ROWS(DGArchive[模组]),"",IF(INDEX(DGArchive[模组],63)="","",INDEX(DGArchive[模组],63)))</f>
        <v/>
      </c>
      <c r="CB262" t="str">
        <f>IF(63&gt;ROWS(DGArchive[阶段]),"",IF(INDEX(DGArchive[阶段],63)="","",INDEX(DGArchive[阶段],63)))</f>
        <v/>
      </c>
      <c r="CC262" t="str">
        <f>IF(63&gt;ROWS(DGArchive[游戏内日期]),"",IF(INDEX(DGArchive[游戏内日期],63)="","",INDEX(DGArchive[游戏内日期],63)))</f>
        <v/>
      </c>
      <c r="CD262" t="str">
        <f>IF(63&gt;ROWS(DGArchive[目标]),"",IF(INDEX(DGArchive[目标],63)="","",INDEX(DGArchive[目标],63)))</f>
        <v/>
      </c>
      <c r="CE262" t="str">
        <f>IF(63&gt;ROWS(DGArchive[变更前]),"",IF(INDEX(DGArchive[变更前],63)="","",INDEX(DGArchive[变更前],63)))</f>
        <v/>
      </c>
      <c r="CF262" t="str">
        <f>IF(63&gt;ROWS(DGArchive[增减]),"",IF(INDEX(DGArchive[增减],63)="","",INDEX(DGArchive[增减],63)))</f>
        <v/>
      </c>
      <c r="CG262" t="str">
        <f>IF(63&gt;ROWS(DGArchive[变更后]),"",IF(INDEX(DGArchive[变更后],63)="","",INDEX(DGArchive[变更后],63)))</f>
        <v/>
      </c>
      <c r="CH262" t="str">
        <f>IF(63&gt;ROWS(DGArchive[事件／活动]),"",IF(INDEX(DGArchive[事件／活动],63)="","",INDEX(DGArchive[事件／活动],63)))</f>
        <v/>
      </c>
      <c r="CI262" t="str">
        <f>IF(63&gt;ROWS(DGArchive[记录编号]),"",IF(INDEX(DGArchive[记录编号],63)="","",INDEX(DGArchive[记录编号],63)))</f>
        <v/>
      </c>
      <c r="CL262">
        <f t="shared" si="14"/>
        <v>0</v>
      </c>
      <c r="CM262">
        <f>IF(AND(A262=$AO$5,B262=$AQ$3,H262=1),COUNTIFS($A$200:A262,$AO$5,$B$200:B262,$AQ$3,$H$200:H262,1),0)</f>
        <v>0</v>
      </c>
      <c r="CN262">
        <f>IF(CA262="",63,1001)</f>
        <v>63</v>
      </c>
      <c r="GA262">
        <f t="shared" si="34"/>
        <v>0</v>
      </c>
      <c r="GB262">
        <f t="shared" si="35"/>
        <v>0</v>
      </c>
      <c r="GC262">
        <f>IF(AND(C262="事件记录",H262=1),COUNTIFS($C$200:C262,"事件记录",$H$200:H262,1),0)</f>
        <v>0</v>
      </c>
      <c r="GD262">
        <f t="shared" si="15"/>
        <v>0</v>
      </c>
      <c r="GH262">
        <f>IF(AND(H262=1,A262=$GA$10,B262=$GA$11),COUNTIFS($A$200:A262,$GA$10,$B$200:B262,$GA$11,$H$200:H262,1),0)</f>
        <v>0</v>
      </c>
    </row>
    <row r="263" spans="1:190">
      <c r="A263" t="str">
        <f t="shared" si="6"/>
        <v/>
      </c>
      <c r="B263" t="str">
        <f t="shared" si="7"/>
        <v/>
      </c>
      <c r="C263" t="str">
        <f t="shared" si="8"/>
        <v/>
      </c>
      <c r="D263" t="str">
        <f t="shared" si="9"/>
        <v/>
      </c>
      <c r="E263">
        <f t="shared" si="10"/>
        <v>0</v>
      </c>
      <c r="F263" t="str">
        <f t="shared" si="11"/>
        <v/>
      </c>
      <c r="G263">
        <f t="shared" si="12"/>
        <v>0</v>
      </c>
      <c r="H263">
        <f>IF(AND(G263=1,COUNTIFS($I$200:I263,I263,$G$200:G263,1)=1),1,0)</f>
        <v>0</v>
      </c>
      <c r="I263" t="str">
        <f t="shared" si="13"/>
        <v/>
      </c>
      <c r="BF263">
        <f t="shared" si="16"/>
        <v>0</v>
      </c>
      <c r="BG263">
        <f t="shared" si="17"/>
        <v>0</v>
      </c>
      <c r="BH263">
        <f t="shared" si="18"/>
        <v>0</v>
      </c>
      <c r="BI263">
        <f t="shared" si="19"/>
        <v>0</v>
      </c>
      <c r="BJ263">
        <f t="shared" si="20"/>
        <v>0</v>
      </c>
      <c r="BK263">
        <f t="shared" si="21"/>
        <v>0</v>
      </c>
      <c r="BL263">
        <f t="shared" si="22"/>
        <v>0</v>
      </c>
      <c r="BM263">
        <f t="shared" si="23"/>
        <v>0</v>
      </c>
      <c r="BN263">
        <f t="shared" si="24"/>
        <v>0</v>
      </c>
      <c r="BO263">
        <f t="shared" si="25"/>
        <v>0</v>
      </c>
      <c r="BP263">
        <f t="shared" si="26"/>
        <v>0</v>
      </c>
      <c r="BQ263">
        <f t="shared" si="27"/>
        <v>0</v>
      </c>
      <c r="BR263">
        <f t="shared" si="28"/>
        <v>0</v>
      </c>
      <c r="BS263">
        <f t="shared" si="29"/>
        <v>0</v>
      </c>
      <c r="BT263">
        <f t="shared" si="30"/>
        <v>0</v>
      </c>
      <c r="BU263">
        <f t="shared" si="31"/>
        <v>0</v>
      </c>
      <c r="BV263">
        <f t="shared" si="32"/>
        <v>0</v>
      </c>
      <c r="BW263">
        <f t="shared" si="33"/>
        <v>0</v>
      </c>
      <c r="CA263" t="str">
        <f>IF(64&gt;ROWS(DGArchive[模组]),"",IF(INDEX(DGArchive[模组],64)="","",INDEX(DGArchive[模组],64)))</f>
        <v/>
      </c>
      <c r="CB263" t="str">
        <f>IF(64&gt;ROWS(DGArchive[阶段]),"",IF(INDEX(DGArchive[阶段],64)="","",INDEX(DGArchive[阶段],64)))</f>
        <v/>
      </c>
      <c r="CC263" t="str">
        <f>IF(64&gt;ROWS(DGArchive[游戏内日期]),"",IF(INDEX(DGArchive[游戏内日期],64)="","",INDEX(DGArchive[游戏内日期],64)))</f>
        <v/>
      </c>
      <c r="CD263" t="str">
        <f>IF(64&gt;ROWS(DGArchive[目标]),"",IF(INDEX(DGArchive[目标],64)="","",INDEX(DGArchive[目标],64)))</f>
        <v/>
      </c>
      <c r="CE263" t="str">
        <f>IF(64&gt;ROWS(DGArchive[变更前]),"",IF(INDEX(DGArchive[变更前],64)="","",INDEX(DGArchive[变更前],64)))</f>
        <v/>
      </c>
      <c r="CF263" t="str">
        <f>IF(64&gt;ROWS(DGArchive[增减]),"",IF(INDEX(DGArchive[增减],64)="","",INDEX(DGArchive[增减],64)))</f>
        <v/>
      </c>
      <c r="CG263" t="str">
        <f>IF(64&gt;ROWS(DGArchive[变更后]),"",IF(INDEX(DGArchive[变更后],64)="","",INDEX(DGArchive[变更后],64)))</f>
        <v/>
      </c>
      <c r="CH263" t="str">
        <f>IF(64&gt;ROWS(DGArchive[事件／活动]),"",IF(INDEX(DGArchive[事件／活动],64)="","",INDEX(DGArchive[事件／活动],64)))</f>
        <v/>
      </c>
      <c r="CI263" t="str">
        <f>IF(64&gt;ROWS(DGArchive[记录编号]),"",IF(INDEX(DGArchive[记录编号],64)="","",INDEX(DGArchive[记录编号],64)))</f>
        <v/>
      </c>
      <c r="CL263">
        <f t="shared" si="14"/>
        <v>0</v>
      </c>
      <c r="CM263">
        <f>IF(AND(A263=$AO$5,B263=$AQ$3,H263=1),COUNTIFS($A$200:A263,$AO$5,$B$200:B263,$AQ$3,$H$200:H263,1),0)</f>
        <v>0</v>
      </c>
      <c r="CN263">
        <f>IF(CA263="",64,1001)</f>
        <v>64</v>
      </c>
      <c r="GA263">
        <f t="shared" si="34"/>
        <v>0</v>
      </c>
      <c r="GB263">
        <f t="shared" si="35"/>
        <v>0</v>
      </c>
      <c r="GC263">
        <f>IF(AND(C263="事件记录",H263=1),COUNTIFS($C$200:C263,"事件记录",$H$200:H263,1),0)</f>
        <v>0</v>
      </c>
      <c r="GD263">
        <f t="shared" si="15"/>
        <v>0</v>
      </c>
      <c r="GH263">
        <f>IF(AND(H263=1,A263=$GA$10,B263=$GA$11),COUNTIFS($A$200:A263,$GA$10,$B$200:B263,$GA$11,$H$200:H263,1),0)</f>
        <v>0</v>
      </c>
    </row>
    <row r="264" spans="1:190">
      <c r="A264" t="str">
        <f t="shared" ref="A264:A327" si="36">IFERROR(TEXT(VALUE(CA264),"00"),"")</f>
        <v/>
      </c>
      <c r="B264" t="str">
        <f t="shared" ref="B264:B327" si="37">CB264</f>
        <v/>
      </c>
      <c r="C264" t="str">
        <f t="shared" ref="C264:C327" si="38">CD264</f>
        <v/>
      </c>
      <c r="D264" t="str">
        <f t="shared" ref="D264:D327" si="39">CF264</f>
        <v/>
      </c>
      <c r="E264">
        <f t="shared" ref="E264:E327" si="40">IF(H264=1,MAX(-CE264,MIN(D264,IF(LEFT(C264,3)="技能：",99,IF(COUNTIF($L$2:$L$7,C264)&gt;0,18,999))-CE264)),0)</f>
        <v>0</v>
      </c>
      <c r="F264" t="str">
        <f t="shared" ref="F264:F327" si="41">IF(OR(C264=0,C264=""),"",IF(G264=0,"记录不完整",IF(H264=0,"重复未计","已计入")))</f>
        <v/>
      </c>
      <c r="G264">
        <f t="shared" ref="G264:G327" si="42">IF(AND(AND(CA264&lt;&gt;"",CB264&lt;&gt;"",CI264&lt;&gt;"",OR(LEFT(C264,3)="技能：",COUNTIF($L$2:$L$19,C264)&gt;0,C264="事件记录",C264="暴力进度",C264="无力进度"),ISNUMBER(CE264),ISNUMBER(CF264),ISNUMBER(CG264),CE264&gt;=0,CG264=SUM(CE264,CF264)),OR(B264&lt;&gt;"成长",AND(LEFT(C264,3)="技能：",C264&lt;&gt;"技能：非自然知识",CE264&gt;=1,CE264&lt;=99,CF264&gt;=0,CF264&lt;=4,CG264&lt;=99))),1,0)</f>
        <v>0</v>
      </c>
      <c r="H264">
        <f>IF(AND(G264=1,COUNTIFS($I$200:I264,I264,$G$200:G264,1)=1),1,0)</f>
        <v>0</v>
      </c>
      <c r="I264" t="str">
        <f t="shared" ref="I264:I327" si="43">IF(G264=1,IF(B264="成长",A264&amp;"-成长-"&amp;C264,CI264),"")</f>
        <v/>
      </c>
      <c r="BF264">
        <f t="shared" si="16"/>
        <v>0</v>
      </c>
      <c r="BG264">
        <f t="shared" si="17"/>
        <v>0</v>
      </c>
      <c r="BH264">
        <f t="shared" si="18"/>
        <v>0</v>
      </c>
      <c r="BI264">
        <f t="shared" si="19"/>
        <v>0</v>
      </c>
      <c r="BJ264">
        <f t="shared" si="20"/>
        <v>0</v>
      </c>
      <c r="BK264">
        <f t="shared" si="21"/>
        <v>0</v>
      </c>
      <c r="BL264">
        <f t="shared" si="22"/>
        <v>0</v>
      </c>
      <c r="BM264">
        <f t="shared" si="23"/>
        <v>0</v>
      </c>
      <c r="BN264">
        <f t="shared" si="24"/>
        <v>0</v>
      </c>
      <c r="BO264">
        <f t="shared" si="25"/>
        <v>0</v>
      </c>
      <c r="BP264">
        <f t="shared" si="26"/>
        <v>0</v>
      </c>
      <c r="BQ264">
        <f t="shared" si="27"/>
        <v>0</v>
      </c>
      <c r="BR264">
        <f t="shared" si="28"/>
        <v>0</v>
      </c>
      <c r="BS264">
        <f t="shared" si="29"/>
        <v>0</v>
      </c>
      <c r="BT264">
        <f t="shared" si="30"/>
        <v>0</v>
      </c>
      <c r="BU264">
        <f t="shared" si="31"/>
        <v>0</v>
      </c>
      <c r="BV264">
        <f t="shared" si="32"/>
        <v>0</v>
      </c>
      <c r="BW264">
        <f t="shared" si="33"/>
        <v>0</v>
      </c>
      <c r="CA264" t="str">
        <f>IF(65&gt;ROWS(DGArchive[模组]),"",IF(INDEX(DGArchive[模组],65)="","",INDEX(DGArchive[模组],65)))</f>
        <v/>
      </c>
      <c r="CB264" t="str">
        <f>IF(65&gt;ROWS(DGArchive[阶段]),"",IF(INDEX(DGArchive[阶段],65)="","",INDEX(DGArchive[阶段],65)))</f>
        <v/>
      </c>
      <c r="CC264" t="str">
        <f>IF(65&gt;ROWS(DGArchive[游戏内日期]),"",IF(INDEX(DGArchive[游戏内日期],65)="","",INDEX(DGArchive[游戏内日期],65)))</f>
        <v/>
      </c>
      <c r="CD264" t="str">
        <f>IF(65&gt;ROWS(DGArchive[目标]),"",IF(INDEX(DGArchive[目标],65)="","",INDEX(DGArchive[目标],65)))</f>
        <v/>
      </c>
      <c r="CE264" t="str">
        <f>IF(65&gt;ROWS(DGArchive[变更前]),"",IF(INDEX(DGArchive[变更前],65)="","",INDEX(DGArchive[变更前],65)))</f>
        <v/>
      </c>
      <c r="CF264" t="str">
        <f>IF(65&gt;ROWS(DGArchive[增减]),"",IF(INDEX(DGArchive[增减],65)="","",INDEX(DGArchive[增减],65)))</f>
        <v/>
      </c>
      <c r="CG264" t="str">
        <f>IF(65&gt;ROWS(DGArchive[变更后]),"",IF(INDEX(DGArchive[变更后],65)="","",INDEX(DGArchive[变更后],65)))</f>
        <v/>
      </c>
      <c r="CH264" t="str">
        <f>IF(65&gt;ROWS(DGArchive[事件／活动]),"",IF(INDEX(DGArchive[事件／活动],65)="","",INDEX(DGArchive[事件／活动],65)))</f>
        <v/>
      </c>
      <c r="CI264" t="str">
        <f>IF(65&gt;ROWS(DGArchive[记录编号]),"",IF(INDEX(DGArchive[记录编号],65)="","",INDEX(DGArchive[记录编号],65)))</f>
        <v/>
      </c>
      <c r="CL264">
        <f t="shared" ref="CL264:CL327" si="44">IF(AND(A264=$AO$5,H264=1,LEFT(B264,2)="幕间"),IFERROR(VALUE(MID(B264,3,20)),0),0)</f>
        <v>0</v>
      </c>
      <c r="CM264">
        <f>IF(AND(A264=$AO$5,B264=$AQ$3,H264=1),COUNTIFS($A$200:A264,$AO$5,$B$200:B264,$AQ$3,$H$200:H264,1),0)</f>
        <v>0</v>
      </c>
      <c r="CN264">
        <f>IF(CA264="",65,1001)</f>
        <v>65</v>
      </c>
      <c r="GA264">
        <f t="shared" si="34"/>
        <v>0</v>
      </c>
      <c r="GB264">
        <f t="shared" si="35"/>
        <v>0</v>
      </c>
      <c r="GC264">
        <f>IF(AND(C264="事件记录",H264=1),COUNTIFS($C$200:C264,"事件记录",$H$200:H264,1),0)</f>
        <v>0</v>
      </c>
      <c r="GD264">
        <f t="shared" ref="GD264:GD327" si="45">IF(AND(H264=1,A264=$GA$10,LEFT(B264,2)="事件"),IFERROR(VALUE(MID(B264,3,20)),0),0)</f>
        <v>0</v>
      </c>
      <c r="GH264">
        <f>IF(AND(H264=1,A264=$GA$10,B264=$GA$11),COUNTIFS($A$200:A264,$GA$10,$B$200:B264,$GA$11,$H$200:H264,1),0)</f>
        <v>0</v>
      </c>
    </row>
    <row r="265" spans="1:190">
      <c r="A265" t="str">
        <f t="shared" si="36"/>
        <v/>
      </c>
      <c r="B265" t="str">
        <f t="shared" si="37"/>
        <v/>
      </c>
      <c r="C265" t="str">
        <f t="shared" si="38"/>
        <v/>
      </c>
      <c r="D265" t="str">
        <f t="shared" si="39"/>
        <v/>
      </c>
      <c r="E265">
        <f t="shared" si="40"/>
        <v>0</v>
      </c>
      <c r="F265" t="str">
        <f t="shared" si="41"/>
        <v/>
      </c>
      <c r="G265">
        <f t="shared" si="42"/>
        <v>0</v>
      </c>
      <c r="H265">
        <f>IF(AND(G265=1,COUNTIFS($I$200:I265,I265,$G$200:G265,1)=1),1,0)</f>
        <v>0</v>
      </c>
      <c r="I265" t="str">
        <f t="shared" si="43"/>
        <v/>
      </c>
      <c r="BF265">
        <f t="shared" ref="BF265:BF328" si="46">MAX(0,MIN(18,BF264+IF(C265="力量",E265,0)))</f>
        <v>0</v>
      </c>
      <c r="BG265">
        <f t="shared" ref="BG265:BG328" si="47">MAX(0,MIN(18,BG264+IF(C265="体质",E265,0)))</f>
        <v>0</v>
      </c>
      <c r="BH265">
        <f t="shared" ref="BH265:BH328" si="48">MAX(0,MIN(18,BH264+IF(C265="敏捷",E265,0)))</f>
        <v>0</v>
      </c>
      <c r="BI265">
        <f t="shared" ref="BI265:BI328" si="49">MAX(0,MIN(18,BI264+IF(C265="智力",E265,0)))</f>
        <v>0</v>
      </c>
      <c r="BJ265">
        <f t="shared" ref="BJ265:BJ328" si="50">MAX(0,MIN(18,BJ264+IF(C265="意志",E265,0)))</f>
        <v>0</v>
      </c>
      <c r="BK265">
        <f t="shared" ref="BK265:BK328" si="51">MAX(0,MIN(18,BK264+IF(C265="魅力",E265,0)))</f>
        <v>0</v>
      </c>
      <c r="BL265">
        <f t="shared" ref="BL265:BL328" si="52">MAX(0,MIN(99,BL264+IF(C265="技能：非自然知识",E265,0)))</f>
        <v>0</v>
      </c>
      <c r="BM265">
        <f t="shared" ref="BM265:BM328" si="53">MAX(0,MIN(CEILING((BF265+BG265)/2,1),BM264+IF(C265="体力",E265,0)))</f>
        <v>0</v>
      </c>
      <c r="BN265">
        <f t="shared" ref="BN265:BN328" si="54">MAX(0,MIN(BJ265,BN264+IF(C265="毅力",E265,0)))</f>
        <v>0</v>
      </c>
      <c r="BO265">
        <f t="shared" ref="BO265:BO328" si="55">MAX(0,MIN(99-BL265,BO264+IF(C265="理智",E265,0)))</f>
        <v>0</v>
      </c>
      <c r="BP265">
        <f t="shared" ref="BP265:BP328" si="56">MAX(0,MIN(99,BP264+IF(C265="崩溃点",E265,0)))</f>
        <v>0</v>
      </c>
      <c r="BQ265">
        <f t="shared" ref="BQ265:BQ328" si="57">MAX(0,MIN(BK265,IF(AND(H265=1,C265="重要关系1",LEFT(CH265,8)="建立新的重要关系"),CE265+E265,IF(BQ264=0,0,BQ264+IF(C265="重要关系1",E265,0))+IF(AND(C265="魅力",E265&lt;0),E265,0))))</f>
        <v>0</v>
      </c>
      <c r="BR265">
        <f t="shared" ref="BR265:BR328" si="58">MAX(0,MIN(BK265,IF(AND(H265=1,C265="重要关系2",LEFT(CH265,8)="建立新的重要关系"),CE265+E265,IF(BR264=0,0,BR264+IF(C265="重要关系2",E265,0))+IF(AND(C265="魅力",E265&lt;0),E265,0))))</f>
        <v>0</v>
      </c>
      <c r="BS265">
        <f t="shared" ref="BS265:BS328" si="59">MAX(0,MIN(BK265,IF(AND(H265=1,C265="重要关系3",LEFT(CH265,8)="建立新的重要关系"),CE265+E265,IF(BS264=0,0,BS264+IF(C265="重要关系3",E265,0))+IF(AND(C265="魅力",E265&lt;0),E265,0))))</f>
        <v>0</v>
      </c>
      <c r="BT265">
        <f t="shared" ref="BT265:BT328" si="60">MAX(0,MIN(BK265,IF(AND(H265=1,C265="重要关系4",LEFT(CH265,8)="建立新的重要关系"),CE265+E265,IF(BT264=0,0,BT264+IF(C265="重要关系4",E265,0))+IF(AND(C265="魅力",E265&lt;0),E265,0))))</f>
        <v>0</v>
      </c>
      <c r="BU265">
        <f t="shared" ref="BU265:BU328" si="61">MAX(0,MIN(BK265,IF(AND(H265=1,C265="重要关系5",LEFT(CH265,8)="建立新的重要关系"),CE265+E265,IF(BU264=0,0,BU264+IF(C265="重要关系5",E265,0))+IF(AND(C265="魅力",E265&lt;0),E265,0))))</f>
        <v>0</v>
      </c>
      <c r="BV265">
        <f t="shared" ref="BV265:BV328" si="62">MAX(0,MIN(BK265,IF(AND(H265=1,C265="重要关系6",LEFT(CH265,8)="建立新的重要关系"),CE265+E265,IF(BV264=0,0,BV264+IF(C265="重要关系6",E265,0))+IF(AND(C265="魅力",E265&lt;0),E265,0))))</f>
        <v>0</v>
      </c>
      <c r="BW265">
        <f t="shared" ref="BW265:BW328" si="63">MAX(0,MIN(BK265,IF(AND(H265=1,C265="重要关系7",LEFT(CH265,8)="建立新的重要关系"),CE265+E265,IF(BW264=0,0,BW264+IF(C265="重要关系7",E265,0))+IF(AND(C265="魅力",E265&lt;0),E265,0))))</f>
        <v>0</v>
      </c>
      <c r="CA265" t="str">
        <f>IF(66&gt;ROWS(DGArchive[模组]),"",IF(INDEX(DGArchive[模组],66)="","",INDEX(DGArchive[模组],66)))</f>
        <v/>
      </c>
      <c r="CB265" t="str">
        <f>IF(66&gt;ROWS(DGArchive[阶段]),"",IF(INDEX(DGArchive[阶段],66)="","",INDEX(DGArchive[阶段],66)))</f>
        <v/>
      </c>
      <c r="CC265" t="str">
        <f>IF(66&gt;ROWS(DGArchive[游戏内日期]),"",IF(INDEX(DGArchive[游戏内日期],66)="","",INDEX(DGArchive[游戏内日期],66)))</f>
        <v/>
      </c>
      <c r="CD265" t="str">
        <f>IF(66&gt;ROWS(DGArchive[目标]),"",IF(INDEX(DGArchive[目标],66)="","",INDEX(DGArchive[目标],66)))</f>
        <v/>
      </c>
      <c r="CE265" t="str">
        <f>IF(66&gt;ROWS(DGArchive[变更前]),"",IF(INDEX(DGArchive[变更前],66)="","",INDEX(DGArchive[变更前],66)))</f>
        <v/>
      </c>
      <c r="CF265" t="str">
        <f>IF(66&gt;ROWS(DGArchive[增减]),"",IF(INDEX(DGArchive[增减],66)="","",INDEX(DGArchive[增减],66)))</f>
        <v/>
      </c>
      <c r="CG265" t="str">
        <f>IF(66&gt;ROWS(DGArchive[变更后]),"",IF(INDEX(DGArchive[变更后],66)="","",INDEX(DGArchive[变更后],66)))</f>
        <v/>
      </c>
      <c r="CH265" t="str">
        <f>IF(66&gt;ROWS(DGArchive[事件／活动]),"",IF(INDEX(DGArchive[事件／活动],66)="","",INDEX(DGArchive[事件／活动],66)))</f>
        <v/>
      </c>
      <c r="CI265" t="str">
        <f>IF(66&gt;ROWS(DGArchive[记录编号]),"",IF(INDEX(DGArchive[记录编号],66)="","",INDEX(DGArchive[记录编号],66)))</f>
        <v/>
      </c>
      <c r="CL265">
        <f t="shared" si="44"/>
        <v>0</v>
      </c>
      <c r="CM265">
        <f>IF(AND(A265=$AO$5,B265=$AQ$3,H265=1),COUNTIFS($A$200:A265,$AO$5,$B$200:B265,$AQ$3,$H$200:H265,1),0)</f>
        <v>0</v>
      </c>
      <c r="CN265">
        <f>IF(CA265="",66,1001)</f>
        <v>66</v>
      </c>
      <c r="GA265">
        <f t="shared" ref="GA265:GA328" si="64">MAX(0,MIN(3,GA264+IF(C265="暴力进度",E265,0)))</f>
        <v>0</v>
      </c>
      <c r="GB265">
        <f t="shared" ref="GB265:GB328" si="65">MAX(0,MIN(3,GB264+IF(C265="无力进度",E265,0)))</f>
        <v>0</v>
      </c>
      <c r="GC265">
        <f>IF(AND(C265="事件记录",H265=1),COUNTIFS($C$200:C265,"事件记录",$H$200:H265,1),0)</f>
        <v>0</v>
      </c>
      <c r="GD265">
        <f t="shared" si="45"/>
        <v>0</v>
      </c>
      <c r="GH265">
        <f>IF(AND(H265=1,A265=$GA$10,B265=$GA$11),COUNTIFS($A$200:A265,$GA$10,$B$200:B265,$GA$11,$H$200:H265,1),0)</f>
        <v>0</v>
      </c>
    </row>
    <row r="266" spans="1:190">
      <c r="A266" t="str">
        <f t="shared" si="36"/>
        <v/>
      </c>
      <c r="B266" t="str">
        <f t="shared" si="37"/>
        <v/>
      </c>
      <c r="C266" t="str">
        <f t="shared" si="38"/>
        <v/>
      </c>
      <c r="D266" t="str">
        <f t="shared" si="39"/>
        <v/>
      </c>
      <c r="E266">
        <f t="shared" si="40"/>
        <v>0</v>
      </c>
      <c r="F266" t="str">
        <f t="shared" si="41"/>
        <v/>
      </c>
      <c r="G266">
        <f t="shared" si="42"/>
        <v>0</v>
      </c>
      <c r="H266">
        <f>IF(AND(G266=1,COUNTIFS($I$200:I266,I266,$G$200:G266,1)=1),1,0)</f>
        <v>0</v>
      </c>
      <c r="I266" t="str">
        <f t="shared" si="43"/>
        <v/>
      </c>
      <c r="BF266">
        <f t="shared" si="46"/>
        <v>0</v>
      </c>
      <c r="BG266">
        <f t="shared" si="47"/>
        <v>0</v>
      </c>
      <c r="BH266">
        <f t="shared" si="48"/>
        <v>0</v>
      </c>
      <c r="BI266">
        <f t="shared" si="49"/>
        <v>0</v>
      </c>
      <c r="BJ266">
        <f t="shared" si="50"/>
        <v>0</v>
      </c>
      <c r="BK266">
        <f t="shared" si="51"/>
        <v>0</v>
      </c>
      <c r="BL266">
        <f t="shared" si="52"/>
        <v>0</v>
      </c>
      <c r="BM266">
        <f t="shared" si="53"/>
        <v>0</v>
      </c>
      <c r="BN266">
        <f t="shared" si="54"/>
        <v>0</v>
      </c>
      <c r="BO266">
        <f t="shared" si="55"/>
        <v>0</v>
      </c>
      <c r="BP266">
        <f t="shared" si="56"/>
        <v>0</v>
      </c>
      <c r="BQ266">
        <f t="shared" si="57"/>
        <v>0</v>
      </c>
      <c r="BR266">
        <f t="shared" si="58"/>
        <v>0</v>
      </c>
      <c r="BS266">
        <f t="shared" si="59"/>
        <v>0</v>
      </c>
      <c r="BT266">
        <f t="shared" si="60"/>
        <v>0</v>
      </c>
      <c r="BU266">
        <f t="shared" si="61"/>
        <v>0</v>
      </c>
      <c r="BV266">
        <f t="shared" si="62"/>
        <v>0</v>
      </c>
      <c r="BW266">
        <f t="shared" si="63"/>
        <v>0</v>
      </c>
      <c r="CA266" t="str">
        <f>IF(67&gt;ROWS(DGArchive[模组]),"",IF(INDEX(DGArchive[模组],67)="","",INDEX(DGArchive[模组],67)))</f>
        <v/>
      </c>
      <c r="CB266" t="str">
        <f>IF(67&gt;ROWS(DGArchive[阶段]),"",IF(INDEX(DGArchive[阶段],67)="","",INDEX(DGArchive[阶段],67)))</f>
        <v/>
      </c>
      <c r="CC266" t="str">
        <f>IF(67&gt;ROWS(DGArchive[游戏内日期]),"",IF(INDEX(DGArchive[游戏内日期],67)="","",INDEX(DGArchive[游戏内日期],67)))</f>
        <v/>
      </c>
      <c r="CD266" t="str">
        <f>IF(67&gt;ROWS(DGArchive[目标]),"",IF(INDEX(DGArchive[目标],67)="","",INDEX(DGArchive[目标],67)))</f>
        <v/>
      </c>
      <c r="CE266" t="str">
        <f>IF(67&gt;ROWS(DGArchive[变更前]),"",IF(INDEX(DGArchive[变更前],67)="","",INDEX(DGArchive[变更前],67)))</f>
        <v/>
      </c>
      <c r="CF266" t="str">
        <f>IF(67&gt;ROWS(DGArchive[增减]),"",IF(INDEX(DGArchive[增减],67)="","",INDEX(DGArchive[增减],67)))</f>
        <v/>
      </c>
      <c r="CG266" t="str">
        <f>IF(67&gt;ROWS(DGArchive[变更后]),"",IF(INDEX(DGArchive[变更后],67)="","",INDEX(DGArchive[变更后],67)))</f>
        <v/>
      </c>
      <c r="CH266" t="str">
        <f>IF(67&gt;ROWS(DGArchive[事件／活动]),"",IF(INDEX(DGArchive[事件／活动],67)="","",INDEX(DGArchive[事件／活动],67)))</f>
        <v/>
      </c>
      <c r="CI266" t="str">
        <f>IF(67&gt;ROWS(DGArchive[记录编号]),"",IF(INDEX(DGArchive[记录编号],67)="","",INDEX(DGArchive[记录编号],67)))</f>
        <v/>
      </c>
      <c r="CL266">
        <f t="shared" si="44"/>
        <v>0</v>
      </c>
      <c r="CM266">
        <f>IF(AND(A266=$AO$5,B266=$AQ$3,H266=1),COUNTIFS($A$200:A266,$AO$5,$B$200:B266,$AQ$3,$H$200:H266,1),0)</f>
        <v>0</v>
      </c>
      <c r="CN266">
        <f>IF(CA266="",67,1001)</f>
        <v>67</v>
      </c>
      <c r="GA266">
        <f t="shared" si="64"/>
        <v>0</v>
      </c>
      <c r="GB266">
        <f t="shared" si="65"/>
        <v>0</v>
      </c>
      <c r="GC266">
        <f>IF(AND(C266="事件记录",H266=1),COUNTIFS($C$200:C266,"事件记录",$H$200:H266,1),0)</f>
        <v>0</v>
      </c>
      <c r="GD266">
        <f t="shared" si="45"/>
        <v>0</v>
      </c>
      <c r="GH266">
        <f>IF(AND(H266=1,A266=$GA$10,B266=$GA$11),COUNTIFS($A$200:A266,$GA$10,$B$200:B266,$GA$11,$H$200:H266,1),0)</f>
        <v>0</v>
      </c>
    </row>
    <row r="267" spans="1:190">
      <c r="A267" t="str">
        <f t="shared" si="36"/>
        <v/>
      </c>
      <c r="B267" t="str">
        <f t="shared" si="37"/>
        <v/>
      </c>
      <c r="C267" t="str">
        <f t="shared" si="38"/>
        <v/>
      </c>
      <c r="D267" t="str">
        <f t="shared" si="39"/>
        <v/>
      </c>
      <c r="E267">
        <f t="shared" si="40"/>
        <v>0</v>
      </c>
      <c r="F267" t="str">
        <f t="shared" si="41"/>
        <v/>
      </c>
      <c r="G267">
        <f t="shared" si="42"/>
        <v>0</v>
      </c>
      <c r="H267">
        <f>IF(AND(G267=1,COUNTIFS($I$200:I267,I267,$G$200:G267,1)=1),1,0)</f>
        <v>0</v>
      </c>
      <c r="I267" t="str">
        <f t="shared" si="43"/>
        <v/>
      </c>
      <c r="BF267">
        <f t="shared" si="46"/>
        <v>0</v>
      </c>
      <c r="BG267">
        <f t="shared" si="47"/>
        <v>0</v>
      </c>
      <c r="BH267">
        <f t="shared" si="48"/>
        <v>0</v>
      </c>
      <c r="BI267">
        <f t="shared" si="49"/>
        <v>0</v>
      </c>
      <c r="BJ267">
        <f t="shared" si="50"/>
        <v>0</v>
      </c>
      <c r="BK267">
        <f t="shared" si="51"/>
        <v>0</v>
      </c>
      <c r="BL267">
        <f t="shared" si="52"/>
        <v>0</v>
      </c>
      <c r="BM267">
        <f t="shared" si="53"/>
        <v>0</v>
      </c>
      <c r="BN267">
        <f t="shared" si="54"/>
        <v>0</v>
      </c>
      <c r="BO267">
        <f t="shared" si="55"/>
        <v>0</v>
      </c>
      <c r="BP267">
        <f t="shared" si="56"/>
        <v>0</v>
      </c>
      <c r="BQ267">
        <f t="shared" si="57"/>
        <v>0</v>
      </c>
      <c r="BR267">
        <f t="shared" si="58"/>
        <v>0</v>
      </c>
      <c r="BS267">
        <f t="shared" si="59"/>
        <v>0</v>
      </c>
      <c r="BT267">
        <f t="shared" si="60"/>
        <v>0</v>
      </c>
      <c r="BU267">
        <f t="shared" si="61"/>
        <v>0</v>
      </c>
      <c r="BV267">
        <f t="shared" si="62"/>
        <v>0</v>
      </c>
      <c r="BW267">
        <f t="shared" si="63"/>
        <v>0</v>
      </c>
      <c r="CA267" t="str">
        <f>IF(68&gt;ROWS(DGArchive[模组]),"",IF(INDEX(DGArchive[模组],68)="","",INDEX(DGArchive[模组],68)))</f>
        <v/>
      </c>
      <c r="CB267" t="str">
        <f>IF(68&gt;ROWS(DGArchive[阶段]),"",IF(INDEX(DGArchive[阶段],68)="","",INDEX(DGArchive[阶段],68)))</f>
        <v/>
      </c>
      <c r="CC267" t="str">
        <f>IF(68&gt;ROWS(DGArchive[游戏内日期]),"",IF(INDEX(DGArchive[游戏内日期],68)="","",INDEX(DGArchive[游戏内日期],68)))</f>
        <v/>
      </c>
      <c r="CD267" t="str">
        <f>IF(68&gt;ROWS(DGArchive[目标]),"",IF(INDEX(DGArchive[目标],68)="","",INDEX(DGArchive[目标],68)))</f>
        <v/>
      </c>
      <c r="CE267" t="str">
        <f>IF(68&gt;ROWS(DGArchive[变更前]),"",IF(INDEX(DGArchive[变更前],68)="","",INDEX(DGArchive[变更前],68)))</f>
        <v/>
      </c>
      <c r="CF267" t="str">
        <f>IF(68&gt;ROWS(DGArchive[增减]),"",IF(INDEX(DGArchive[增减],68)="","",INDEX(DGArchive[增减],68)))</f>
        <v/>
      </c>
      <c r="CG267" t="str">
        <f>IF(68&gt;ROWS(DGArchive[变更后]),"",IF(INDEX(DGArchive[变更后],68)="","",INDEX(DGArchive[变更后],68)))</f>
        <v/>
      </c>
      <c r="CH267" t="str">
        <f>IF(68&gt;ROWS(DGArchive[事件／活动]),"",IF(INDEX(DGArchive[事件／活动],68)="","",INDEX(DGArchive[事件／活动],68)))</f>
        <v/>
      </c>
      <c r="CI267" t="str">
        <f>IF(68&gt;ROWS(DGArchive[记录编号]),"",IF(INDEX(DGArchive[记录编号],68)="","",INDEX(DGArchive[记录编号],68)))</f>
        <v/>
      </c>
      <c r="CL267">
        <f t="shared" si="44"/>
        <v>0</v>
      </c>
      <c r="CM267">
        <f>IF(AND(A267=$AO$5,B267=$AQ$3,H267=1),COUNTIFS($A$200:A267,$AO$5,$B$200:B267,$AQ$3,$H$200:H267,1),0)</f>
        <v>0</v>
      </c>
      <c r="CN267">
        <f>IF(CA267="",68,1001)</f>
        <v>68</v>
      </c>
      <c r="GA267">
        <f t="shared" si="64"/>
        <v>0</v>
      </c>
      <c r="GB267">
        <f t="shared" si="65"/>
        <v>0</v>
      </c>
      <c r="GC267">
        <f>IF(AND(C267="事件记录",H267=1),COUNTIFS($C$200:C267,"事件记录",$H$200:H267,1),0)</f>
        <v>0</v>
      </c>
      <c r="GD267">
        <f t="shared" si="45"/>
        <v>0</v>
      </c>
      <c r="GH267">
        <f>IF(AND(H267=1,A267=$GA$10,B267=$GA$11),COUNTIFS($A$200:A267,$GA$10,$B$200:B267,$GA$11,$H$200:H267,1),0)</f>
        <v>0</v>
      </c>
    </row>
    <row r="268" spans="1:190">
      <c r="A268" t="str">
        <f t="shared" si="36"/>
        <v/>
      </c>
      <c r="B268" t="str">
        <f t="shared" si="37"/>
        <v/>
      </c>
      <c r="C268" t="str">
        <f t="shared" si="38"/>
        <v/>
      </c>
      <c r="D268" t="str">
        <f t="shared" si="39"/>
        <v/>
      </c>
      <c r="E268">
        <f t="shared" si="40"/>
        <v>0</v>
      </c>
      <c r="F268" t="str">
        <f t="shared" si="41"/>
        <v/>
      </c>
      <c r="G268">
        <f t="shared" si="42"/>
        <v>0</v>
      </c>
      <c r="H268">
        <f>IF(AND(G268=1,COUNTIFS($I$200:I268,I268,$G$200:G268,1)=1),1,0)</f>
        <v>0</v>
      </c>
      <c r="I268" t="str">
        <f t="shared" si="43"/>
        <v/>
      </c>
      <c r="BF268">
        <f t="shared" si="46"/>
        <v>0</v>
      </c>
      <c r="BG268">
        <f t="shared" si="47"/>
        <v>0</v>
      </c>
      <c r="BH268">
        <f t="shared" si="48"/>
        <v>0</v>
      </c>
      <c r="BI268">
        <f t="shared" si="49"/>
        <v>0</v>
      </c>
      <c r="BJ268">
        <f t="shared" si="50"/>
        <v>0</v>
      </c>
      <c r="BK268">
        <f t="shared" si="51"/>
        <v>0</v>
      </c>
      <c r="BL268">
        <f t="shared" si="52"/>
        <v>0</v>
      </c>
      <c r="BM268">
        <f t="shared" si="53"/>
        <v>0</v>
      </c>
      <c r="BN268">
        <f t="shared" si="54"/>
        <v>0</v>
      </c>
      <c r="BO268">
        <f t="shared" si="55"/>
        <v>0</v>
      </c>
      <c r="BP268">
        <f t="shared" si="56"/>
        <v>0</v>
      </c>
      <c r="BQ268">
        <f t="shared" si="57"/>
        <v>0</v>
      </c>
      <c r="BR268">
        <f t="shared" si="58"/>
        <v>0</v>
      </c>
      <c r="BS268">
        <f t="shared" si="59"/>
        <v>0</v>
      </c>
      <c r="BT268">
        <f t="shared" si="60"/>
        <v>0</v>
      </c>
      <c r="BU268">
        <f t="shared" si="61"/>
        <v>0</v>
      </c>
      <c r="BV268">
        <f t="shared" si="62"/>
        <v>0</v>
      </c>
      <c r="BW268">
        <f t="shared" si="63"/>
        <v>0</v>
      </c>
      <c r="CA268" t="str">
        <f>IF(69&gt;ROWS(DGArchive[模组]),"",IF(INDEX(DGArchive[模组],69)="","",INDEX(DGArchive[模组],69)))</f>
        <v/>
      </c>
      <c r="CB268" t="str">
        <f>IF(69&gt;ROWS(DGArchive[阶段]),"",IF(INDEX(DGArchive[阶段],69)="","",INDEX(DGArchive[阶段],69)))</f>
        <v/>
      </c>
      <c r="CC268" t="str">
        <f>IF(69&gt;ROWS(DGArchive[游戏内日期]),"",IF(INDEX(DGArchive[游戏内日期],69)="","",INDEX(DGArchive[游戏内日期],69)))</f>
        <v/>
      </c>
      <c r="CD268" t="str">
        <f>IF(69&gt;ROWS(DGArchive[目标]),"",IF(INDEX(DGArchive[目标],69)="","",INDEX(DGArchive[目标],69)))</f>
        <v/>
      </c>
      <c r="CE268" t="str">
        <f>IF(69&gt;ROWS(DGArchive[变更前]),"",IF(INDEX(DGArchive[变更前],69)="","",INDEX(DGArchive[变更前],69)))</f>
        <v/>
      </c>
      <c r="CF268" t="str">
        <f>IF(69&gt;ROWS(DGArchive[增减]),"",IF(INDEX(DGArchive[增减],69)="","",INDEX(DGArchive[增减],69)))</f>
        <v/>
      </c>
      <c r="CG268" t="str">
        <f>IF(69&gt;ROWS(DGArchive[变更后]),"",IF(INDEX(DGArchive[变更后],69)="","",INDEX(DGArchive[变更后],69)))</f>
        <v/>
      </c>
      <c r="CH268" t="str">
        <f>IF(69&gt;ROWS(DGArchive[事件／活动]),"",IF(INDEX(DGArchive[事件／活动],69)="","",INDEX(DGArchive[事件／活动],69)))</f>
        <v/>
      </c>
      <c r="CI268" t="str">
        <f>IF(69&gt;ROWS(DGArchive[记录编号]),"",IF(INDEX(DGArchive[记录编号],69)="","",INDEX(DGArchive[记录编号],69)))</f>
        <v/>
      </c>
      <c r="CL268">
        <f t="shared" si="44"/>
        <v>0</v>
      </c>
      <c r="CM268">
        <f>IF(AND(A268=$AO$5,B268=$AQ$3,H268=1),COUNTIFS($A$200:A268,$AO$5,$B$200:B268,$AQ$3,$H$200:H268,1),0)</f>
        <v>0</v>
      </c>
      <c r="CN268">
        <f>IF(CA268="",69,1001)</f>
        <v>69</v>
      </c>
      <c r="GA268">
        <f t="shared" si="64"/>
        <v>0</v>
      </c>
      <c r="GB268">
        <f t="shared" si="65"/>
        <v>0</v>
      </c>
      <c r="GC268">
        <f>IF(AND(C268="事件记录",H268=1),COUNTIFS($C$200:C268,"事件记录",$H$200:H268,1),0)</f>
        <v>0</v>
      </c>
      <c r="GD268">
        <f t="shared" si="45"/>
        <v>0</v>
      </c>
      <c r="GH268">
        <f>IF(AND(H268=1,A268=$GA$10,B268=$GA$11),COUNTIFS($A$200:A268,$GA$10,$B$200:B268,$GA$11,$H$200:H268,1),0)</f>
        <v>0</v>
      </c>
    </row>
    <row r="269" spans="1:190">
      <c r="A269" t="str">
        <f t="shared" si="36"/>
        <v/>
      </c>
      <c r="B269" t="str">
        <f t="shared" si="37"/>
        <v/>
      </c>
      <c r="C269" t="str">
        <f t="shared" si="38"/>
        <v/>
      </c>
      <c r="D269" t="str">
        <f t="shared" si="39"/>
        <v/>
      </c>
      <c r="E269">
        <f t="shared" si="40"/>
        <v>0</v>
      </c>
      <c r="F269" t="str">
        <f t="shared" si="41"/>
        <v/>
      </c>
      <c r="G269">
        <f t="shared" si="42"/>
        <v>0</v>
      </c>
      <c r="H269">
        <f>IF(AND(G269=1,COUNTIFS($I$200:I269,I269,$G$200:G269,1)=1),1,0)</f>
        <v>0</v>
      </c>
      <c r="I269" t="str">
        <f t="shared" si="43"/>
        <v/>
      </c>
      <c r="BF269">
        <f t="shared" si="46"/>
        <v>0</v>
      </c>
      <c r="BG269">
        <f t="shared" si="47"/>
        <v>0</v>
      </c>
      <c r="BH269">
        <f t="shared" si="48"/>
        <v>0</v>
      </c>
      <c r="BI269">
        <f t="shared" si="49"/>
        <v>0</v>
      </c>
      <c r="BJ269">
        <f t="shared" si="50"/>
        <v>0</v>
      </c>
      <c r="BK269">
        <f t="shared" si="51"/>
        <v>0</v>
      </c>
      <c r="BL269">
        <f t="shared" si="52"/>
        <v>0</v>
      </c>
      <c r="BM269">
        <f t="shared" si="53"/>
        <v>0</v>
      </c>
      <c r="BN269">
        <f t="shared" si="54"/>
        <v>0</v>
      </c>
      <c r="BO269">
        <f t="shared" si="55"/>
        <v>0</v>
      </c>
      <c r="BP269">
        <f t="shared" si="56"/>
        <v>0</v>
      </c>
      <c r="BQ269">
        <f t="shared" si="57"/>
        <v>0</v>
      </c>
      <c r="BR269">
        <f t="shared" si="58"/>
        <v>0</v>
      </c>
      <c r="BS269">
        <f t="shared" si="59"/>
        <v>0</v>
      </c>
      <c r="BT269">
        <f t="shared" si="60"/>
        <v>0</v>
      </c>
      <c r="BU269">
        <f t="shared" si="61"/>
        <v>0</v>
      </c>
      <c r="BV269">
        <f t="shared" si="62"/>
        <v>0</v>
      </c>
      <c r="BW269">
        <f t="shared" si="63"/>
        <v>0</v>
      </c>
      <c r="CA269" t="str">
        <f>IF(70&gt;ROWS(DGArchive[模组]),"",IF(INDEX(DGArchive[模组],70)="","",INDEX(DGArchive[模组],70)))</f>
        <v/>
      </c>
      <c r="CB269" t="str">
        <f>IF(70&gt;ROWS(DGArchive[阶段]),"",IF(INDEX(DGArchive[阶段],70)="","",INDEX(DGArchive[阶段],70)))</f>
        <v/>
      </c>
      <c r="CC269" t="str">
        <f>IF(70&gt;ROWS(DGArchive[游戏内日期]),"",IF(INDEX(DGArchive[游戏内日期],70)="","",INDEX(DGArchive[游戏内日期],70)))</f>
        <v/>
      </c>
      <c r="CD269" t="str">
        <f>IF(70&gt;ROWS(DGArchive[目标]),"",IF(INDEX(DGArchive[目标],70)="","",INDEX(DGArchive[目标],70)))</f>
        <v/>
      </c>
      <c r="CE269" t="str">
        <f>IF(70&gt;ROWS(DGArchive[变更前]),"",IF(INDEX(DGArchive[变更前],70)="","",INDEX(DGArchive[变更前],70)))</f>
        <v/>
      </c>
      <c r="CF269" t="str">
        <f>IF(70&gt;ROWS(DGArchive[增减]),"",IF(INDEX(DGArchive[增减],70)="","",INDEX(DGArchive[增减],70)))</f>
        <v/>
      </c>
      <c r="CG269" t="str">
        <f>IF(70&gt;ROWS(DGArchive[变更后]),"",IF(INDEX(DGArchive[变更后],70)="","",INDEX(DGArchive[变更后],70)))</f>
        <v/>
      </c>
      <c r="CH269" t="str">
        <f>IF(70&gt;ROWS(DGArchive[事件／活动]),"",IF(INDEX(DGArchive[事件／活动],70)="","",INDEX(DGArchive[事件／活动],70)))</f>
        <v/>
      </c>
      <c r="CI269" t="str">
        <f>IF(70&gt;ROWS(DGArchive[记录编号]),"",IF(INDEX(DGArchive[记录编号],70)="","",INDEX(DGArchive[记录编号],70)))</f>
        <v/>
      </c>
      <c r="CL269">
        <f t="shared" si="44"/>
        <v>0</v>
      </c>
      <c r="CM269">
        <f>IF(AND(A269=$AO$5,B269=$AQ$3,H269=1),COUNTIFS($A$200:A269,$AO$5,$B$200:B269,$AQ$3,$H$200:H269,1),0)</f>
        <v>0</v>
      </c>
      <c r="CN269">
        <f>IF(CA269="",70,1001)</f>
        <v>70</v>
      </c>
      <c r="GA269">
        <f t="shared" si="64"/>
        <v>0</v>
      </c>
      <c r="GB269">
        <f t="shared" si="65"/>
        <v>0</v>
      </c>
      <c r="GC269">
        <f>IF(AND(C269="事件记录",H269=1),COUNTIFS($C$200:C269,"事件记录",$H$200:H269,1),0)</f>
        <v>0</v>
      </c>
      <c r="GD269">
        <f t="shared" si="45"/>
        <v>0</v>
      </c>
      <c r="GH269">
        <f>IF(AND(H269=1,A269=$GA$10,B269=$GA$11),COUNTIFS($A$200:A269,$GA$10,$B$200:B269,$GA$11,$H$200:H269,1),0)</f>
        <v>0</v>
      </c>
    </row>
    <row r="270" spans="1:190">
      <c r="A270" t="str">
        <f t="shared" si="36"/>
        <v/>
      </c>
      <c r="B270" t="str">
        <f t="shared" si="37"/>
        <v/>
      </c>
      <c r="C270" t="str">
        <f t="shared" si="38"/>
        <v/>
      </c>
      <c r="D270" t="str">
        <f t="shared" si="39"/>
        <v/>
      </c>
      <c r="E270">
        <f t="shared" si="40"/>
        <v>0</v>
      </c>
      <c r="F270" t="str">
        <f t="shared" si="41"/>
        <v/>
      </c>
      <c r="G270">
        <f t="shared" si="42"/>
        <v>0</v>
      </c>
      <c r="H270">
        <f>IF(AND(G270=1,COUNTIFS($I$200:I270,I270,$G$200:G270,1)=1),1,0)</f>
        <v>0</v>
      </c>
      <c r="I270" t="str">
        <f t="shared" si="43"/>
        <v/>
      </c>
      <c r="BF270">
        <f t="shared" si="46"/>
        <v>0</v>
      </c>
      <c r="BG270">
        <f t="shared" si="47"/>
        <v>0</v>
      </c>
      <c r="BH270">
        <f t="shared" si="48"/>
        <v>0</v>
      </c>
      <c r="BI270">
        <f t="shared" si="49"/>
        <v>0</v>
      </c>
      <c r="BJ270">
        <f t="shared" si="50"/>
        <v>0</v>
      </c>
      <c r="BK270">
        <f t="shared" si="51"/>
        <v>0</v>
      </c>
      <c r="BL270">
        <f t="shared" si="52"/>
        <v>0</v>
      </c>
      <c r="BM270">
        <f t="shared" si="53"/>
        <v>0</v>
      </c>
      <c r="BN270">
        <f t="shared" si="54"/>
        <v>0</v>
      </c>
      <c r="BO270">
        <f t="shared" si="55"/>
        <v>0</v>
      </c>
      <c r="BP270">
        <f t="shared" si="56"/>
        <v>0</v>
      </c>
      <c r="BQ270">
        <f t="shared" si="57"/>
        <v>0</v>
      </c>
      <c r="BR270">
        <f t="shared" si="58"/>
        <v>0</v>
      </c>
      <c r="BS270">
        <f t="shared" si="59"/>
        <v>0</v>
      </c>
      <c r="BT270">
        <f t="shared" si="60"/>
        <v>0</v>
      </c>
      <c r="BU270">
        <f t="shared" si="61"/>
        <v>0</v>
      </c>
      <c r="BV270">
        <f t="shared" si="62"/>
        <v>0</v>
      </c>
      <c r="BW270">
        <f t="shared" si="63"/>
        <v>0</v>
      </c>
      <c r="CA270" t="str">
        <f>IF(71&gt;ROWS(DGArchive[模组]),"",IF(INDEX(DGArchive[模组],71)="","",INDEX(DGArchive[模组],71)))</f>
        <v/>
      </c>
      <c r="CB270" t="str">
        <f>IF(71&gt;ROWS(DGArchive[阶段]),"",IF(INDEX(DGArchive[阶段],71)="","",INDEX(DGArchive[阶段],71)))</f>
        <v/>
      </c>
      <c r="CC270" t="str">
        <f>IF(71&gt;ROWS(DGArchive[游戏内日期]),"",IF(INDEX(DGArchive[游戏内日期],71)="","",INDEX(DGArchive[游戏内日期],71)))</f>
        <v/>
      </c>
      <c r="CD270" t="str">
        <f>IF(71&gt;ROWS(DGArchive[目标]),"",IF(INDEX(DGArchive[目标],71)="","",INDEX(DGArchive[目标],71)))</f>
        <v/>
      </c>
      <c r="CE270" t="str">
        <f>IF(71&gt;ROWS(DGArchive[变更前]),"",IF(INDEX(DGArchive[变更前],71)="","",INDEX(DGArchive[变更前],71)))</f>
        <v/>
      </c>
      <c r="CF270" t="str">
        <f>IF(71&gt;ROWS(DGArchive[增减]),"",IF(INDEX(DGArchive[增减],71)="","",INDEX(DGArchive[增减],71)))</f>
        <v/>
      </c>
      <c r="CG270" t="str">
        <f>IF(71&gt;ROWS(DGArchive[变更后]),"",IF(INDEX(DGArchive[变更后],71)="","",INDEX(DGArchive[变更后],71)))</f>
        <v/>
      </c>
      <c r="CH270" t="str">
        <f>IF(71&gt;ROWS(DGArchive[事件／活动]),"",IF(INDEX(DGArchive[事件／活动],71)="","",INDEX(DGArchive[事件／活动],71)))</f>
        <v/>
      </c>
      <c r="CI270" t="str">
        <f>IF(71&gt;ROWS(DGArchive[记录编号]),"",IF(INDEX(DGArchive[记录编号],71)="","",INDEX(DGArchive[记录编号],71)))</f>
        <v/>
      </c>
      <c r="CL270">
        <f t="shared" si="44"/>
        <v>0</v>
      </c>
      <c r="CM270">
        <f>IF(AND(A270=$AO$5,B270=$AQ$3,H270=1),COUNTIFS($A$200:A270,$AO$5,$B$200:B270,$AQ$3,$H$200:H270,1),0)</f>
        <v>0</v>
      </c>
      <c r="CN270">
        <f>IF(CA270="",71,1001)</f>
        <v>71</v>
      </c>
      <c r="GA270">
        <f t="shared" si="64"/>
        <v>0</v>
      </c>
      <c r="GB270">
        <f t="shared" si="65"/>
        <v>0</v>
      </c>
      <c r="GC270">
        <f>IF(AND(C270="事件记录",H270=1),COUNTIFS($C$200:C270,"事件记录",$H$200:H270,1),0)</f>
        <v>0</v>
      </c>
      <c r="GD270">
        <f t="shared" si="45"/>
        <v>0</v>
      </c>
      <c r="GH270">
        <f>IF(AND(H270=1,A270=$GA$10,B270=$GA$11),COUNTIFS($A$200:A270,$GA$10,$B$200:B270,$GA$11,$H$200:H270,1),0)</f>
        <v>0</v>
      </c>
    </row>
    <row r="271" spans="1:190">
      <c r="A271" t="str">
        <f t="shared" si="36"/>
        <v/>
      </c>
      <c r="B271" t="str">
        <f t="shared" si="37"/>
        <v/>
      </c>
      <c r="C271" t="str">
        <f t="shared" si="38"/>
        <v/>
      </c>
      <c r="D271" t="str">
        <f t="shared" si="39"/>
        <v/>
      </c>
      <c r="E271">
        <f t="shared" si="40"/>
        <v>0</v>
      </c>
      <c r="F271" t="str">
        <f t="shared" si="41"/>
        <v/>
      </c>
      <c r="G271">
        <f t="shared" si="42"/>
        <v>0</v>
      </c>
      <c r="H271">
        <f>IF(AND(G271=1,COUNTIFS($I$200:I271,I271,$G$200:G271,1)=1),1,0)</f>
        <v>0</v>
      </c>
      <c r="I271" t="str">
        <f t="shared" si="43"/>
        <v/>
      </c>
      <c r="BF271">
        <f t="shared" si="46"/>
        <v>0</v>
      </c>
      <c r="BG271">
        <f t="shared" si="47"/>
        <v>0</v>
      </c>
      <c r="BH271">
        <f t="shared" si="48"/>
        <v>0</v>
      </c>
      <c r="BI271">
        <f t="shared" si="49"/>
        <v>0</v>
      </c>
      <c r="BJ271">
        <f t="shared" si="50"/>
        <v>0</v>
      </c>
      <c r="BK271">
        <f t="shared" si="51"/>
        <v>0</v>
      </c>
      <c r="BL271">
        <f t="shared" si="52"/>
        <v>0</v>
      </c>
      <c r="BM271">
        <f t="shared" si="53"/>
        <v>0</v>
      </c>
      <c r="BN271">
        <f t="shared" si="54"/>
        <v>0</v>
      </c>
      <c r="BO271">
        <f t="shared" si="55"/>
        <v>0</v>
      </c>
      <c r="BP271">
        <f t="shared" si="56"/>
        <v>0</v>
      </c>
      <c r="BQ271">
        <f t="shared" si="57"/>
        <v>0</v>
      </c>
      <c r="BR271">
        <f t="shared" si="58"/>
        <v>0</v>
      </c>
      <c r="BS271">
        <f t="shared" si="59"/>
        <v>0</v>
      </c>
      <c r="BT271">
        <f t="shared" si="60"/>
        <v>0</v>
      </c>
      <c r="BU271">
        <f t="shared" si="61"/>
        <v>0</v>
      </c>
      <c r="BV271">
        <f t="shared" si="62"/>
        <v>0</v>
      </c>
      <c r="BW271">
        <f t="shared" si="63"/>
        <v>0</v>
      </c>
      <c r="CA271" t="str">
        <f>IF(72&gt;ROWS(DGArchive[模组]),"",IF(INDEX(DGArchive[模组],72)="","",INDEX(DGArchive[模组],72)))</f>
        <v/>
      </c>
      <c r="CB271" t="str">
        <f>IF(72&gt;ROWS(DGArchive[阶段]),"",IF(INDEX(DGArchive[阶段],72)="","",INDEX(DGArchive[阶段],72)))</f>
        <v/>
      </c>
      <c r="CC271" t="str">
        <f>IF(72&gt;ROWS(DGArchive[游戏内日期]),"",IF(INDEX(DGArchive[游戏内日期],72)="","",INDEX(DGArchive[游戏内日期],72)))</f>
        <v/>
      </c>
      <c r="CD271" t="str">
        <f>IF(72&gt;ROWS(DGArchive[目标]),"",IF(INDEX(DGArchive[目标],72)="","",INDEX(DGArchive[目标],72)))</f>
        <v/>
      </c>
      <c r="CE271" t="str">
        <f>IF(72&gt;ROWS(DGArchive[变更前]),"",IF(INDEX(DGArchive[变更前],72)="","",INDEX(DGArchive[变更前],72)))</f>
        <v/>
      </c>
      <c r="CF271" t="str">
        <f>IF(72&gt;ROWS(DGArchive[增减]),"",IF(INDEX(DGArchive[增减],72)="","",INDEX(DGArchive[增减],72)))</f>
        <v/>
      </c>
      <c r="CG271" t="str">
        <f>IF(72&gt;ROWS(DGArchive[变更后]),"",IF(INDEX(DGArchive[变更后],72)="","",INDEX(DGArchive[变更后],72)))</f>
        <v/>
      </c>
      <c r="CH271" t="str">
        <f>IF(72&gt;ROWS(DGArchive[事件／活动]),"",IF(INDEX(DGArchive[事件／活动],72)="","",INDEX(DGArchive[事件／活动],72)))</f>
        <v/>
      </c>
      <c r="CI271" t="str">
        <f>IF(72&gt;ROWS(DGArchive[记录编号]),"",IF(INDEX(DGArchive[记录编号],72)="","",INDEX(DGArchive[记录编号],72)))</f>
        <v/>
      </c>
      <c r="CL271">
        <f t="shared" si="44"/>
        <v>0</v>
      </c>
      <c r="CM271">
        <f>IF(AND(A271=$AO$5,B271=$AQ$3,H271=1),COUNTIFS($A$200:A271,$AO$5,$B$200:B271,$AQ$3,$H$200:H271,1),0)</f>
        <v>0</v>
      </c>
      <c r="CN271">
        <f>IF(CA271="",72,1001)</f>
        <v>72</v>
      </c>
      <c r="GA271">
        <f t="shared" si="64"/>
        <v>0</v>
      </c>
      <c r="GB271">
        <f t="shared" si="65"/>
        <v>0</v>
      </c>
      <c r="GC271">
        <f>IF(AND(C271="事件记录",H271=1),COUNTIFS($C$200:C271,"事件记录",$H$200:H271,1),0)</f>
        <v>0</v>
      </c>
      <c r="GD271">
        <f t="shared" si="45"/>
        <v>0</v>
      </c>
      <c r="GH271">
        <f>IF(AND(H271=1,A271=$GA$10,B271=$GA$11),COUNTIFS($A$200:A271,$GA$10,$B$200:B271,$GA$11,$H$200:H271,1),0)</f>
        <v>0</v>
      </c>
    </row>
    <row r="272" spans="1:190">
      <c r="A272" t="str">
        <f t="shared" si="36"/>
        <v/>
      </c>
      <c r="B272" t="str">
        <f t="shared" si="37"/>
        <v/>
      </c>
      <c r="C272" t="str">
        <f t="shared" si="38"/>
        <v/>
      </c>
      <c r="D272" t="str">
        <f t="shared" si="39"/>
        <v/>
      </c>
      <c r="E272">
        <f t="shared" si="40"/>
        <v>0</v>
      </c>
      <c r="F272" t="str">
        <f t="shared" si="41"/>
        <v/>
      </c>
      <c r="G272">
        <f t="shared" si="42"/>
        <v>0</v>
      </c>
      <c r="H272">
        <f>IF(AND(G272=1,COUNTIFS($I$200:I272,I272,$G$200:G272,1)=1),1,0)</f>
        <v>0</v>
      </c>
      <c r="I272" t="str">
        <f t="shared" si="43"/>
        <v/>
      </c>
      <c r="BF272">
        <f t="shared" si="46"/>
        <v>0</v>
      </c>
      <c r="BG272">
        <f t="shared" si="47"/>
        <v>0</v>
      </c>
      <c r="BH272">
        <f t="shared" si="48"/>
        <v>0</v>
      </c>
      <c r="BI272">
        <f t="shared" si="49"/>
        <v>0</v>
      </c>
      <c r="BJ272">
        <f t="shared" si="50"/>
        <v>0</v>
      </c>
      <c r="BK272">
        <f t="shared" si="51"/>
        <v>0</v>
      </c>
      <c r="BL272">
        <f t="shared" si="52"/>
        <v>0</v>
      </c>
      <c r="BM272">
        <f t="shared" si="53"/>
        <v>0</v>
      </c>
      <c r="BN272">
        <f t="shared" si="54"/>
        <v>0</v>
      </c>
      <c r="BO272">
        <f t="shared" si="55"/>
        <v>0</v>
      </c>
      <c r="BP272">
        <f t="shared" si="56"/>
        <v>0</v>
      </c>
      <c r="BQ272">
        <f t="shared" si="57"/>
        <v>0</v>
      </c>
      <c r="BR272">
        <f t="shared" si="58"/>
        <v>0</v>
      </c>
      <c r="BS272">
        <f t="shared" si="59"/>
        <v>0</v>
      </c>
      <c r="BT272">
        <f t="shared" si="60"/>
        <v>0</v>
      </c>
      <c r="BU272">
        <f t="shared" si="61"/>
        <v>0</v>
      </c>
      <c r="BV272">
        <f t="shared" si="62"/>
        <v>0</v>
      </c>
      <c r="BW272">
        <f t="shared" si="63"/>
        <v>0</v>
      </c>
      <c r="CA272" t="str">
        <f>IF(73&gt;ROWS(DGArchive[模组]),"",IF(INDEX(DGArchive[模组],73)="","",INDEX(DGArchive[模组],73)))</f>
        <v/>
      </c>
      <c r="CB272" t="str">
        <f>IF(73&gt;ROWS(DGArchive[阶段]),"",IF(INDEX(DGArchive[阶段],73)="","",INDEX(DGArchive[阶段],73)))</f>
        <v/>
      </c>
      <c r="CC272" t="str">
        <f>IF(73&gt;ROWS(DGArchive[游戏内日期]),"",IF(INDEX(DGArchive[游戏内日期],73)="","",INDEX(DGArchive[游戏内日期],73)))</f>
        <v/>
      </c>
      <c r="CD272" t="str">
        <f>IF(73&gt;ROWS(DGArchive[目标]),"",IF(INDEX(DGArchive[目标],73)="","",INDEX(DGArchive[目标],73)))</f>
        <v/>
      </c>
      <c r="CE272" t="str">
        <f>IF(73&gt;ROWS(DGArchive[变更前]),"",IF(INDEX(DGArchive[变更前],73)="","",INDEX(DGArchive[变更前],73)))</f>
        <v/>
      </c>
      <c r="CF272" t="str">
        <f>IF(73&gt;ROWS(DGArchive[增减]),"",IF(INDEX(DGArchive[增减],73)="","",INDEX(DGArchive[增减],73)))</f>
        <v/>
      </c>
      <c r="CG272" t="str">
        <f>IF(73&gt;ROWS(DGArchive[变更后]),"",IF(INDEX(DGArchive[变更后],73)="","",INDEX(DGArchive[变更后],73)))</f>
        <v/>
      </c>
      <c r="CH272" t="str">
        <f>IF(73&gt;ROWS(DGArchive[事件／活动]),"",IF(INDEX(DGArchive[事件／活动],73)="","",INDEX(DGArchive[事件／活动],73)))</f>
        <v/>
      </c>
      <c r="CI272" t="str">
        <f>IF(73&gt;ROWS(DGArchive[记录编号]),"",IF(INDEX(DGArchive[记录编号],73)="","",INDEX(DGArchive[记录编号],73)))</f>
        <v/>
      </c>
      <c r="CL272">
        <f t="shared" si="44"/>
        <v>0</v>
      </c>
      <c r="CM272">
        <f>IF(AND(A272=$AO$5,B272=$AQ$3,H272=1),COUNTIFS($A$200:A272,$AO$5,$B$200:B272,$AQ$3,$H$200:H272,1),0)</f>
        <v>0</v>
      </c>
      <c r="CN272">
        <f>IF(CA272="",73,1001)</f>
        <v>73</v>
      </c>
      <c r="GA272">
        <f t="shared" si="64"/>
        <v>0</v>
      </c>
      <c r="GB272">
        <f t="shared" si="65"/>
        <v>0</v>
      </c>
      <c r="GC272">
        <f>IF(AND(C272="事件记录",H272=1),COUNTIFS($C$200:C272,"事件记录",$H$200:H272,1),0)</f>
        <v>0</v>
      </c>
      <c r="GD272">
        <f t="shared" si="45"/>
        <v>0</v>
      </c>
      <c r="GH272">
        <f>IF(AND(H272=1,A272=$GA$10,B272=$GA$11),COUNTIFS($A$200:A272,$GA$10,$B$200:B272,$GA$11,$H$200:H272,1),0)</f>
        <v>0</v>
      </c>
    </row>
    <row r="273" spans="1:190">
      <c r="A273" t="str">
        <f t="shared" si="36"/>
        <v/>
      </c>
      <c r="B273" t="str">
        <f t="shared" si="37"/>
        <v/>
      </c>
      <c r="C273" t="str">
        <f t="shared" si="38"/>
        <v/>
      </c>
      <c r="D273" t="str">
        <f t="shared" si="39"/>
        <v/>
      </c>
      <c r="E273">
        <f t="shared" si="40"/>
        <v>0</v>
      </c>
      <c r="F273" t="str">
        <f t="shared" si="41"/>
        <v/>
      </c>
      <c r="G273">
        <f t="shared" si="42"/>
        <v>0</v>
      </c>
      <c r="H273">
        <f>IF(AND(G273=1,COUNTIFS($I$200:I273,I273,$G$200:G273,1)=1),1,0)</f>
        <v>0</v>
      </c>
      <c r="I273" t="str">
        <f t="shared" si="43"/>
        <v/>
      </c>
      <c r="BF273">
        <f t="shared" si="46"/>
        <v>0</v>
      </c>
      <c r="BG273">
        <f t="shared" si="47"/>
        <v>0</v>
      </c>
      <c r="BH273">
        <f t="shared" si="48"/>
        <v>0</v>
      </c>
      <c r="BI273">
        <f t="shared" si="49"/>
        <v>0</v>
      </c>
      <c r="BJ273">
        <f t="shared" si="50"/>
        <v>0</v>
      </c>
      <c r="BK273">
        <f t="shared" si="51"/>
        <v>0</v>
      </c>
      <c r="BL273">
        <f t="shared" si="52"/>
        <v>0</v>
      </c>
      <c r="BM273">
        <f t="shared" si="53"/>
        <v>0</v>
      </c>
      <c r="BN273">
        <f t="shared" si="54"/>
        <v>0</v>
      </c>
      <c r="BO273">
        <f t="shared" si="55"/>
        <v>0</v>
      </c>
      <c r="BP273">
        <f t="shared" si="56"/>
        <v>0</v>
      </c>
      <c r="BQ273">
        <f t="shared" si="57"/>
        <v>0</v>
      </c>
      <c r="BR273">
        <f t="shared" si="58"/>
        <v>0</v>
      </c>
      <c r="BS273">
        <f t="shared" si="59"/>
        <v>0</v>
      </c>
      <c r="BT273">
        <f t="shared" si="60"/>
        <v>0</v>
      </c>
      <c r="BU273">
        <f t="shared" si="61"/>
        <v>0</v>
      </c>
      <c r="BV273">
        <f t="shared" si="62"/>
        <v>0</v>
      </c>
      <c r="BW273">
        <f t="shared" si="63"/>
        <v>0</v>
      </c>
      <c r="CA273" t="str">
        <f>IF(74&gt;ROWS(DGArchive[模组]),"",IF(INDEX(DGArchive[模组],74)="","",INDEX(DGArchive[模组],74)))</f>
        <v/>
      </c>
      <c r="CB273" t="str">
        <f>IF(74&gt;ROWS(DGArchive[阶段]),"",IF(INDEX(DGArchive[阶段],74)="","",INDEX(DGArchive[阶段],74)))</f>
        <v/>
      </c>
      <c r="CC273" t="str">
        <f>IF(74&gt;ROWS(DGArchive[游戏内日期]),"",IF(INDEX(DGArchive[游戏内日期],74)="","",INDEX(DGArchive[游戏内日期],74)))</f>
        <v/>
      </c>
      <c r="CD273" t="str">
        <f>IF(74&gt;ROWS(DGArchive[目标]),"",IF(INDEX(DGArchive[目标],74)="","",INDEX(DGArchive[目标],74)))</f>
        <v/>
      </c>
      <c r="CE273" t="str">
        <f>IF(74&gt;ROWS(DGArchive[变更前]),"",IF(INDEX(DGArchive[变更前],74)="","",INDEX(DGArchive[变更前],74)))</f>
        <v/>
      </c>
      <c r="CF273" t="str">
        <f>IF(74&gt;ROWS(DGArchive[增减]),"",IF(INDEX(DGArchive[增减],74)="","",INDEX(DGArchive[增减],74)))</f>
        <v/>
      </c>
      <c r="CG273" t="str">
        <f>IF(74&gt;ROWS(DGArchive[变更后]),"",IF(INDEX(DGArchive[变更后],74)="","",INDEX(DGArchive[变更后],74)))</f>
        <v/>
      </c>
      <c r="CH273" t="str">
        <f>IF(74&gt;ROWS(DGArchive[事件／活动]),"",IF(INDEX(DGArchive[事件／活动],74)="","",INDEX(DGArchive[事件／活动],74)))</f>
        <v/>
      </c>
      <c r="CI273" t="str">
        <f>IF(74&gt;ROWS(DGArchive[记录编号]),"",IF(INDEX(DGArchive[记录编号],74)="","",INDEX(DGArchive[记录编号],74)))</f>
        <v/>
      </c>
      <c r="CL273">
        <f t="shared" si="44"/>
        <v>0</v>
      </c>
      <c r="CM273">
        <f>IF(AND(A273=$AO$5,B273=$AQ$3,H273=1),COUNTIFS($A$200:A273,$AO$5,$B$200:B273,$AQ$3,$H$200:H273,1),0)</f>
        <v>0</v>
      </c>
      <c r="CN273">
        <f>IF(CA273="",74,1001)</f>
        <v>74</v>
      </c>
      <c r="GA273">
        <f t="shared" si="64"/>
        <v>0</v>
      </c>
      <c r="GB273">
        <f t="shared" si="65"/>
        <v>0</v>
      </c>
      <c r="GC273">
        <f>IF(AND(C273="事件记录",H273=1),COUNTIFS($C$200:C273,"事件记录",$H$200:H273,1),0)</f>
        <v>0</v>
      </c>
      <c r="GD273">
        <f t="shared" si="45"/>
        <v>0</v>
      </c>
      <c r="GH273">
        <f>IF(AND(H273=1,A273=$GA$10,B273=$GA$11),COUNTIFS($A$200:A273,$GA$10,$B$200:B273,$GA$11,$H$200:H273,1),0)</f>
        <v>0</v>
      </c>
    </row>
    <row r="274" spans="1:190">
      <c r="A274" t="str">
        <f t="shared" si="36"/>
        <v/>
      </c>
      <c r="B274" t="str">
        <f t="shared" si="37"/>
        <v/>
      </c>
      <c r="C274" t="str">
        <f t="shared" si="38"/>
        <v/>
      </c>
      <c r="D274" t="str">
        <f t="shared" si="39"/>
        <v/>
      </c>
      <c r="E274">
        <f t="shared" si="40"/>
        <v>0</v>
      </c>
      <c r="F274" t="str">
        <f t="shared" si="41"/>
        <v/>
      </c>
      <c r="G274">
        <f t="shared" si="42"/>
        <v>0</v>
      </c>
      <c r="H274">
        <f>IF(AND(G274=1,COUNTIFS($I$200:I274,I274,$G$200:G274,1)=1),1,0)</f>
        <v>0</v>
      </c>
      <c r="I274" t="str">
        <f t="shared" si="43"/>
        <v/>
      </c>
      <c r="BF274">
        <f t="shared" si="46"/>
        <v>0</v>
      </c>
      <c r="BG274">
        <f t="shared" si="47"/>
        <v>0</v>
      </c>
      <c r="BH274">
        <f t="shared" si="48"/>
        <v>0</v>
      </c>
      <c r="BI274">
        <f t="shared" si="49"/>
        <v>0</v>
      </c>
      <c r="BJ274">
        <f t="shared" si="50"/>
        <v>0</v>
      </c>
      <c r="BK274">
        <f t="shared" si="51"/>
        <v>0</v>
      </c>
      <c r="BL274">
        <f t="shared" si="52"/>
        <v>0</v>
      </c>
      <c r="BM274">
        <f t="shared" si="53"/>
        <v>0</v>
      </c>
      <c r="BN274">
        <f t="shared" si="54"/>
        <v>0</v>
      </c>
      <c r="BO274">
        <f t="shared" si="55"/>
        <v>0</v>
      </c>
      <c r="BP274">
        <f t="shared" si="56"/>
        <v>0</v>
      </c>
      <c r="BQ274">
        <f t="shared" si="57"/>
        <v>0</v>
      </c>
      <c r="BR274">
        <f t="shared" si="58"/>
        <v>0</v>
      </c>
      <c r="BS274">
        <f t="shared" si="59"/>
        <v>0</v>
      </c>
      <c r="BT274">
        <f t="shared" si="60"/>
        <v>0</v>
      </c>
      <c r="BU274">
        <f t="shared" si="61"/>
        <v>0</v>
      </c>
      <c r="BV274">
        <f t="shared" si="62"/>
        <v>0</v>
      </c>
      <c r="BW274">
        <f t="shared" si="63"/>
        <v>0</v>
      </c>
      <c r="CA274" t="str">
        <f>IF(75&gt;ROWS(DGArchive[模组]),"",IF(INDEX(DGArchive[模组],75)="","",INDEX(DGArchive[模组],75)))</f>
        <v/>
      </c>
      <c r="CB274" t="str">
        <f>IF(75&gt;ROWS(DGArchive[阶段]),"",IF(INDEX(DGArchive[阶段],75)="","",INDEX(DGArchive[阶段],75)))</f>
        <v/>
      </c>
      <c r="CC274" t="str">
        <f>IF(75&gt;ROWS(DGArchive[游戏内日期]),"",IF(INDEX(DGArchive[游戏内日期],75)="","",INDEX(DGArchive[游戏内日期],75)))</f>
        <v/>
      </c>
      <c r="CD274" t="str">
        <f>IF(75&gt;ROWS(DGArchive[目标]),"",IF(INDEX(DGArchive[目标],75)="","",INDEX(DGArchive[目标],75)))</f>
        <v/>
      </c>
      <c r="CE274" t="str">
        <f>IF(75&gt;ROWS(DGArchive[变更前]),"",IF(INDEX(DGArchive[变更前],75)="","",INDEX(DGArchive[变更前],75)))</f>
        <v/>
      </c>
      <c r="CF274" t="str">
        <f>IF(75&gt;ROWS(DGArchive[增减]),"",IF(INDEX(DGArchive[增减],75)="","",INDEX(DGArchive[增减],75)))</f>
        <v/>
      </c>
      <c r="CG274" t="str">
        <f>IF(75&gt;ROWS(DGArchive[变更后]),"",IF(INDEX(DGArchive[变更后],75)="","",INDEX(DGArchive[变更后],75)))</f>
        <v/>
      </c>
      <c r="CH274" t="str">
        <f>IF(75&gt;ROWS(DGArchive[事件／活动]),"",IF(INDEX(DGArchive[事件／活动],75)="","",INDEX(DGArchive[事件／活动],75)))</f>
        <v/>
      </c>
      <c r="CI274" t="str">
        <f>IF(75&gt;ROWS(DGArchive[记录编号]),"",IF(INDEX(DGArchive[记录编号],75)="","",INDEX(DGArchive[记录编号],75)))</f>
        <v/>
      </c>
      <c r="CL274">
        <f t="shared" si="44"/>
        <v>0</v>
      </c>
      <c r="CM274">
        <f>IF(AND(A274=$AO$5,B274=$AQ$3,H274=1),COUNTIFS($A$200:A274,$AO$5,$B$200:B274,$AQ$3,$H$200:H274,1),0)</f>
        <v>0</v>
      </c>
      <c r="CN274">
        <f>IF(CA274="",75,1001)</f>
        <v>75</v>
      </c>
      <c r="GA274">
        <f t="shared" si="64"/>
        <v>0</v>
      </c>
      <c r="GB274">
        <f t="shared" si="65"/>
        <v>0</v>
      </c>
      <c r="GC274">
        <f>IF(AND(C274="事件记录",H274=1),COUNTIFS($C$200:C274,"事件记录",$H$200:H274,1),0)</f>
        <v>0</v>
      </c>
      <c r="GD274">
        <f t="shared" si="45"/>
        <v>0</v>
      </c>
      <c r="GH274">
        <f>IF(AND(H274=1,A274=$GA$10,B274=$GA$11),COUNTIFS($A$200:A274,$GA$10,$B$200:B274,$GA$11,$H$200:H274,1),0)</f>
        <v>0</v>
      </c>
    </row>
    <row r="275" spans="1:190">
      <c r="A275" t="str">
        <f t="shared" si="36"/>
        <v/>
      </c>
      <c r="B275" t="str">
        <f t="shared" si="37"/>
        <v/>
      </c>
      <c r="C275" t="str">
        <f t="shared" si="38"/>
        <v/>
      </c>
      <c r="D275" t="str">
        <f t="shared" si="39"/>
        <v/>
      </c>
      <c r="E275">
        <f t="shared" si="40"/>
        <v>0</v>
      </c>
      <c r="F275" t="str">
        <f t="shared" si="41"/>
        <v/>
      </c>
      <c r="G275">
        <f t="shared" si="42"/>
        <v>0</v>
      </c>
      <c r="H275">
        <f>IF(AND(G275=1,COUNTIFS($I$200:I275,I275,$G$200:G275,1)=1),1,0)</f>
        <v>0</v>
      </c>
      <c r="I275" t="str">
        <f t="shared" si="43"/>
        <v/>
      </c>
      <c r="BF275">
        <f t="shared" si="46"/>
        <v>0</v>
      </c>
      <c r="BG275">
        <f t="shared" si="47"/>
        <v>0</v>
      </c>
      <c r="BH275">
        <f t="shared" si="48"/>
        <v>0</v>
      </c>
      <c r="BI275">
        <f t="shared" si="49"/>
        <v>0</v>
      </c>
      <c r="BJ275">
        <f t="shared" si="50"/>
        <v>0</v>
      </c>
      <c r="BK275">
        <f t="shared" si="51"/>
        <v>0</v>
      </c>
      <c r="BL275">
        <f t="shared" si="52"/>
        <v>0</v>
      </c>
      <c r="BM275">
        <f t="shared" si="53"/>
        <v>0</v>
      </c>
      <c r="BN275">
        <f t="shared" si="54"/>
        <v>0</v>
      </c>
      <c r="BO275">
        <f t="shared" si="55"/>
        <v>0</v>
      </c>
      <c r="BP275">
        <f t="shared" si="56"/>
        <v>0</v>
      </c>
      <c r="BQ275">
        <f t="shared" si="57"/>
        <v>0</v>
      </c>
      <c r="BR275">
        <f t="shared" si="58"/>
        <v>0</v>
      </c>
      <c r="BS275">
        <f t="shared" si="59"/>
        <v>0</v>
      </c>
      <c r="BT275">
        <f t="shared" si="60"/>
        <v>0</v>
      </c>
      <c r="BU275">
        <f t="shared" si="61"/>
        <v>0</v>
      </c>
      <c r="BV275">
        <f t="shared" si="62"/>
        <v>0</v>
      </c>
      <c r="BW275">
        <f t="shared" si="63"/>
        <v>0</v>
      </c>
      <c r="CA275" t="str">
        <f>IF(76&gt;ROWS(DGArchive[模组]),"",IF(INDEX(DGArchive[模组],76)="","",INDEX(DGArchive[模组],76)))</f>
        <v/>
      </c>
      <c r="CB275" t="str">
        <f>IF(76&gt;ROWS(DGArchive[阶段]),"",IF(INDEX(DGArchive[阶段],76)="","",INDEX(DGArchive[阶段],76)))</f>
        <v/>
      </c>
      <c r="CC275" t="str">
        <f>IF(76&gt;ROWS(DGArchive[游戏内日期]),"",IF(INDEX(DGArchive[游戏内日期],76)="","",INDEX(DGArchive[游戏内日期],76)))</f>
        <v/>
      </c>
      <c r="CD275" t="str">
        <f>IF(76&gt;ROWS(DGArchive[目标]),"",IF(INDEX(DGArchive[目标],76)="","",INDEX(DGArchive[目标],76)))</f>
        <v/>
      </c>
      <c r="CE275" t="str">
        <f>IF(76&gt;ROWS(DGArchive[变更前]),"",IF(INDEX(DGArchive[变更前],76)="","",INDEX(DGArchive[变更前],76)))</f>
        <v/>
      </c>
      <c r="CF275" t="str">
        <f>IF(76&gt;ROWS(DGArchive[增减]),"",IF(INDEX(DGArchive[增减],76)="","",INDEX(DGArchive[增减],76)))</f>
        <v/>
      </c>
      <c r="CG275" t="str">
        <f>IF(76&gt;ROWS(DGArchive[变更后]),"",IF(INDEX(DGArchive[变更后],76)="","",INDEX(DGArchive[变更后],76)))</f>
        <v/>
      </c>
      <c r="CH275" t="str">
        <f>IF(76&gt;ROWS(DGArchive[事件／活动]),"",IF(INDEX(DGArchive[事件／活动],76)="","",INDEX(DGArchive[事件／活动],76)))</f>
        <v/>
      </c>
      <c r="CI275" t="str">
        <f>IF(76&gt;ROWS(DGArchive[记录编号]),"",IF(INDEX(DGArchive[记录编号],76)="","",INDEX(DGArchive[记录编号],76)))</f>
        <v/>
      </c>
      <c r="CL275">
        <f t="shared" si="44"/>
        <v>0</v>
      </c>
      <c r="CM275">
        <f>IF(AND(A275=$AO$5,B275=$AQ$3,H275=1),COUNTIFS($A$200:A275,$AO$5,$B$200:B275,$AQ$3,$H$200:H275,1),0)</f>
        <v>0</v>
      </c>
      <c r="CN275">
        <f>IF(CA275="",76,1001)</f>
        <v>76</v>
      </c>
      <c r="GA275">
        <f t="shared" si="64"/>
        <v>0</v>
      </c>
      <c r="GB275">
        <f t="shared" si="65"/>
        <v>0</v>
      </c>
      <c r="GC275">
        <f>IF(AND(C275="事件记录",H275=1),COUNTIFS($C$200:C275,"事件记录",$H$200:H275,1),0)</f>
        <v>0</v>
      </c>
      <c r="GD275">
        <f t="shared" si="45"/>
        <v>0</v>
      </c>
      <c r="GH275">
        <f>IF(AND(H275=1,A275=$GA$10,B275=$GA$11),COUNTIFS($A$200:A275,$GA$10,$B$200:B275,$GA$11,$H$200:H275,1),0)</f>
        <v>0</v>
      </c>
    </row>
    <row r="276" spans="1:190">
      <c r="A276" t="str">
        <f t="shared" si="36"/>
        <v/>
      </c>
      <c r="B276" t="str">
        <f t="shared" si="37"/>
        <v/>
      </c>
      <c r="C276" t="str">
        <f t="shared" si="38"/>
        <v/>
      </c>
      <c r="D276" t="str">
        <f t="shared" si="39"/>
        <v/>
      </c>
      <c r="E276">
        <f t="shared" si="40"/>
        <v>0</v>
      </c>
      <c r="F276" t="str">
        <f t="shared" si="41"/>
        <v/>
      </c>
      <c r="G276">
        <f t="shared" si="42"/>
        <v>0</v>
      </c>
      <c r="H276">
        <f>IF(AND(G276=1,COUNTIFS($I$200:I276,I276,$G$200:G276,1)=1),1,0)</f>
        <v>0</v>
      </c>
      <c r="I276" t="str">
        <f t="shared" si="43"/>
        <v/>
      </c>
      <c r="BF276">
        <f t="shared" si="46"/>
        <v>0</v>
      </c>
      <c r="BG276">
        <f t="shared" si="47"/>
        <v>0</v>
      </c>
      <c r="BH276">
        <f t="shared" si="48"/>
        <v>0</v>
      </c>
      <c r="BI276">
        <f t="shared" si="49"/>
        <v>0</v>
      </c>
      <c r="BJ276">
        <f t="shared" si="50"/>
        <v>0</v>
      </c>
      <c r="BK276">
        <f t="shared" si="51"/>
        <v>0</v>
      </c>
      <c r="BL276">
        <f t="shared" si="52"/>
        <v>0</v>
      </c>
      <c r="BM276">
        <f t="shared" si="53"/>
        <v>0</v>
      </c>
      <c r="BN276">
        <f t="shared" si="54"/>
        <v>0</v>
      </c>
      <c r="BO276">
        <f t="shared" si="55"/>
        <v>0</v>
      </c>
      <c r="BP276">
        <f t="shared" si="56"/>
        <v>0</v>
      </c>
      <c r="BQ276">
        <f t="shared" si="57"/>
        <v>0</v>
      </c>
      <c r="BR276">
        <f t="shared" si="58"/>
        <v>0</v>
      </c>
      <c r="BS276">
        <f t="shared" si="59"/>
        <v>0</v>
      </c>
      <c r="BT276">
        <f t="shared" si="60"/>
        <v>0</v>
      </c>
      <c r="BU276">
        <f t="shared" si="61"/>
        <v>0</v>
      </c>
      <c r="BV276">
        <f t="shared" si="62"/>
        <v>0</v>
      </c>
      <c r="BW276">
        <f t="shared" si="63"/>
        <v>0</v>
      </c>
      <c r="CA276" t="str">
        <f>IF(77&gt;ROWS(DGArchive[模组]),"",IF(INDEX(DGArchive[模组],77)="","",INDEX(DGArchive[模组],77)))</f>
        <v/>
      </c>
      <c r="CB276" t="str">
        <f>IF(77&gt;ROWS(DGArchive[阶段]),"",IF(INDEX(DGArchive[阶段],77)="","",INDEX(DGArchive[阶段],77)))</f>
        <v/>
      </c>
      <c r="CC276" t="str">
        <f>IF(77&gt;ROWS(DGArchive[游戏内日期]),"",IF(INDEX(DGArchive[游戏内日期],77)="","",INDEX(DGArchive[游戏内日期],77)))</f>
        <v/>
      </c>
      <c r="CD276" t="str">
        <f>IF(77&gt;ROWS(DGArchive[目标]),"",IF(INDEX(DGArchive[目标],77)="","",INDEX(DGArchive[目标],77)))</f>
        <v/>
      </c>
      <c r="CE276" t="str">
        <f>IF(77&gt;ROWS(DGArchive[变更前]),"",IF(INDEX(DGArchive[变更前],77)="","",INDEX(DGArchive[变更前],77)))</f>
        <v/>
      </c>
      <c r="CF276" t="str">
        <f>IF(77&gt;ROWS(DGArchive[增减]),"",IF(INDEX(DGArchive[增减],77)="","",INDEX(DGArchive[增减],77)))</f>
        <v/>
      </c>
      <c r="CG276" t="str">
        <f>IF(77&gt;ROWS(DGArchive[变更后]),"",IF(INDEX(DGArchive[变更后],77)="","",INDEX(DGArchive[变更后],77)))</f>
        <v/>
      </c>
      <c r="CH276" t="str">
        <f>IF(77&gt;ROWS(DGArchive[事件／活动]),"",IF(INDEX(DGArchive[事件／活动],77)="","",INDEX(DGArchive[事件／活动],77)))</f>
        <v/>
      </c>
      <c r="CI276" t="str">
        <f>IF(77&gt;ROWS(DGArchive[记录编号]),"",IF(INDEX(DGArchive[记录编号],77)="","",INDEX(DGArchive[记录编号],77)))</f>
        <v/>
      </c>
      <c r="CL276">
        <f t="shared" si="44"/>
        <v>0</v>
      </c>
      <c r="CM276">
        <f>IF(AND(A276=$AO$5,B276=$AQ$3,H276=1),COUNTIFS($A$200:A276,$AO$5,$B$200:B276,$AQ$3,$H$200:H276,1),0)</f>
        <v>0</v>
      </c>
      <c r="CN276">
        <f>IF(CA276="",77,1001)</f>
        <v>77</v>
      </c>
      <c r="GA276">
        <f t="shared" si="64"/>
        <v>0</v>
      </c>
      <c r="GB276">
        <f t="shared" si="65"/>
        <v>0</v>
      </c>
      <c r="GC276">
        <f>IF(AND(C276="事件记录",H276=1),COUNTIFS($C$200:C276,"事件记录",$H$200:H276,1),0)</f>
        <v>0</v>
      </c>
      <c r="GD276">
        <f t="shared" si="45"/>
        <v>0</v>
      </c>
      <c r="GH276">
        <f>IF(AND(H276=1,A276=$GA$10,B276=$GA$11),COUNTIFS($A$200:A276,$GA$10,$B$200:B276,$GA$11,$H$200:H276,1),0)</f>
        <v>0</v>
      </c>
    </row>
    <row r="277" spans="1:190">
      <c r="A277" t="str">
        <f t="shared" si="36"/>
        <v/>
      </c>
      <c r="B277" t="str">
        <f t="shared" si="37"/>
        <v/>
      </c>
      <c r="C277" t="str">
        <f t="shared" si="38"/>
        <v/>
      </c>
      <c r="D277" t="str">
        <f t="shared" si="39"/>
        <v/>
      </c>
      <c r="E277">
        <f t="shared" si="40"/>
        <v>0</v>
      </c>
      <c r="F277" t="str">
        <f t="shared" si="41"/>
        <v/>
      </c>
      <c r="G277">
        <f t="shared" si="42"/>
        <v>0</v>
      </c>
      <c r="H277">
        <f>IF(AND(G277=1,COUNTIFS($I$200:I277,I277,$G$200:G277,1)=1),1,0)</f>
        <v>0</v>
      </c>
      <c r="I277" t="str">
        <f t="shared" si="43"/>
        <v/>
      </c>
      <c r="BF277">
        <f t="shared" si="46"/>
        <v>0</v>
      </c>
      <c r="BG277">
        <f t="shared" si="47"/>
        <v>0</v>
      </c>
      <c r="BH277">
        <f t="shared" si="48"/>
        <v>0</v>
      </c>
      <c r="BI277">
        <f t="shared" si="49"/>
        <v>0</v>
      </c>
      <c r="BJ277">
        <f t="shared" si="50"/>
        <v>0</v>
      </c>
      <c r="BK277">
        <f t="shared" si="51"/>
        <v>0</v>
      </c>
      <c r="BL277">
        <f t="shared" si="52"/>
        <v>0</v>
      </c>
      <c r="BM277">
        <f t="shared" si="53"/>
        <v>0</v>
      </c>
      <c r="BN277">
        <f t="shared" si="54"/>
        <v>0</v>
      </c>
      <c r="BO277">
        <f t="shared" si="55"/>
        <v>0</v>
      </c>
      <c r="BP277">
        <f t="shared" si="56"/>
        <v>0</v>
      </c>
      <c r="BQ277">
        <f t="shared" si="57"/>
        <v>0</v>
      </c>
      <c r="BR277">
        <f t="shared" si="58"/>
        <v>0</v>
      </c>
      <c r="BS277">
        <f t="shared" si="59"/>
        <v>0</v>
      </c>
      <c r="BT277">
        <f t="shared" si="60"/>
        <v>0</v>
      </c>
      <c r="BU277">
        <f t="shared" si="61"/>
        <v>0</v>
      </c>
      <c r="BV277">
        <f t="shared" si="62"/>
        <v>0</v>
      </c>
      <c r="BW277">
        <f t="shared" si="63"/>
        <v>0</v>
      </c>
      <c r="CA277" t="str">
        <f>IF(78&gt;ROWS(DGArchive[模组]),"",IF(INDEX(DGArchive[模组],78)="","",INDEX(DGArchive[模组],78)))</f>
        <v/>
      </c>
      <c r="CB277" t="str">
        <f>IF(78&gt;ROWS(DGArchive[阶段]),"",IF(INDEX(DGArchive[阶段],78)="","",INDEX(DGArchive[阶段],78)))</f>
        <v/>
      </c>
      <c r="CC277" t="str">
        <f>IF(78&gt;ROWS(DGArchive[游戏内日期]),"",IF(INDEX(DGArchive[游戏内日期],78)="","",INDEX(DGArchive[游戏内日期],78)))</f>
        <v/>
      </c>
      <c r="CD277" t="str">
        <f>IF(78&gt;ROWS(DGArchive[目标]),"",IF(INDEX(DGArchive[目标],78)="","",INDEX(DGArchive[目标],78)))</f>
        <v/>
      </c>
      <c r="CE277" t="str">
        <f>IF(78&gt;ROWS(DGArchive[变更前]),"",IF(INDEX(DGArchive[变更前],78)="","",INDEX(DGArchive[变更前],78)))</f>
        <v/>
      </c>
      <c r="CF277" t="str">
        <f>IF(78&gt;ROWS(DGArchive[增减]),"",IF(INDEX(DGArchive[增减],78)="","",INDEX(DGArchive[增减],78)))</f>
        <v/>
      </c>
      <c r="CG277" t="str">
        <f>IF(78&gt;ROWS(DGArchive[变更后]),"",IF(INDEX(DGArchive[变更后],78)="","",INDEX(DGArchive[变更后],78)))</f>
        <v/>
      </c>
      <c r="CH277" t="str">
        <f>IF(78&gt;ROWS(DGArchive[事件／活动]),"",IF(INDEX(DGArchive[事件／活动],78)="","",INDEX(DGArchive[事件／活动],78)))</f>
        <v/>
      </c>
      <c r="CI277" t="str">
        <f>IF(78&gt;ROWS(DGArchive[记录编号]),"",IF(INDEX(DGArchive[记录编号],78)="","",INDEX(DGArchive[记录编号],78)))</f>
        <v/>
      </c>
      <c r="CL277">
        <f t="shared" si="44"/>
        <v>0</v>
      </c>
      <c r="CM277">
        <f>IF(AND(A277=$AO$5,B277=$AQ$3,H277=1),COUNTIFS($A$200:A277,$AO$5,$B$200:B277,$AQ$3,$H$200:H277,1),0)</f>
        <v>0</v>
      </c>
      <c r="CN277">
        <f>IF(CA277="",78,1001)</f>
        <v>78</v>
      </c>
      <c r="GA277">
        <f t="shared" si="64"/>
        <v>0</v>
      </c>
      <c r="GB277">
        <f t="shared" si="65"/>
        <v>0</v>
      </c>
      <c r="GC277">
        <f>IF(AND(C277="事件记录",H277=1),COUNTIFS($C$200:C277,"事件记录",$H$200:H277,1),0)</f>
        <v>0</v>
      </c>
      <c r="GD277">
        <f t="shared" si="45"/>
        <v>0</v>
      </c>
      <c r="GH277">
        <f>IF(AND(H277=1,A277=$GA$10,B277=$GA$11),COUNTIFS($A$200:A277,$GA$10,$B$200:B277,$GA$11,$H$200:H277,1),0)</f>
        <v>0</v>
      </c>
    </row>
    <row r="278" spans="1:190">
      <c r="A278" t="str">
        <f t="shared" si="36"/>
        <v/>
      </c>
      <c r="B278" t="str">
        <f t="shared" si="37"/>
        <v/>
      </c>
      <c r="C278" t="str">
        <f t="shared" si="38"/>
        <v/>
      </c>
      <c r="D278" t="str">
        <f t="shared" si="39"/>
        <v/>
      </c>
      <c r="E278">
        <f t="shared" si="40"/>
        <v>0</v>
      </c>
      <c r="F278" t="str">
        <f t="shared" si="41"/>
        <v/>
      </c>
      <c r="G278">
        <f t="shared" si="42"/>
        <v>0</v>
      </c>
      <c r="H278">
        <f>IF(AND(G278=1,COUNTIFS($I$200:I278,I278,$G$200:G278,1)=1),1,0)</f>
        <v>0</v>
      </c>
      <c r="I278" t="str">
        <f t="shared" si="43"/>
        <v/>
      </c>
      <c r="BF278">
        <f t="shared" si="46"/>
        <v>0</v>
      </c>
      <c r="BG278">
        <f t="shared" si="47"/>
        <v>0</v>
      </c>
      <c r="BH278">
        <f t="shared" si="48"/>
        <v>0</v>
      </c>
      <c r="BI278">
        <f t="shared" si="49"/>
        <v>0</v>
      </c>
      <c r="BJ278">
        <f t="shared" si="50"/>
        <v>0</v>
      </c>
      <c r="BK278">
        <f t="shared" si="51"/>
        <v>0</v>
      </c>
      <c r="BL278">
        <f t="shared" si="52"/>
        <v>0</v>
      </c>
      <c r="BM278">
        <f t="shared" si="53"/>
        <v>0</v>
      </c>
      <c r="BN278">
        <f t="shared" si="54"/>
        <v>0</v>
      </c>
      <c r="BO278">
        <f t="shared" si="55"/>
        <v>0</v>
      </c>
      <c r="BP278">
        <f t="shared" si="56"/>
        <v>0</v>
      </c>
      <c r="BQ278">
        <f t="shared" si="57"/>
        <v>0</v>
      </c>
      <c r="BR278">
        <f t="shared" si="58"/>
        <v>0</v>
      </c>
      <c r="BS278">
        <f t="shared" si="59"/>
        <v>0</v>
      </c>
      <c r="BT278">
        <f t="shared" si="60"/>
        <v>0</v>
      </c>
      <c r="BU278">
        <f t="shared" si="61"/>
        <v>0</v>
      </c>
      <c r="BV278">
        <f t="shared" si="62"/>
        <v>0</v>
      </c>
      <c r="BW278">
        <f t="shared" si="63"/>
        <v>0</v>
      </c>
      <c r="CA278" t="str">
        <f>IF(79&gt;ROWS(DGArchive[模组]),"",IF(INDEX(DGArchive[模组],79)="","",INDEX(DGArchive[模组],79)))</f>
        <v/>
      </c>
      <c r="CB278" t="str">
        <f>IF(79&gt;ROWS(DGArchive[阶段]),"",IF(INDEX(DGArchive[阶段],79)="","",INDEX(DGArchive[阶段],79)))</f>
        <v/>
      </c>
      <c r="CC278" t="str">
        <f>IF(79&gt;ROWS(DGArchive[游戏内日期]),"",IF(INDEX(DGArchive[游戏内日期],79)="","",INDEX(DGArchive[游戏内日期],79)))</f>
        <v/>
      </c>
      <c r="CD278" t="str">
        <f>IF(79&gt;ROWS(DGArchive[目标]),"",IF(INDEX(DGArchive[目标],79)="","",INDEX(DGArchive[目标],79)))</f>
        <v/>
      </c>
      <c r="CE278" t="str">
        <f>IF(79&gt;ROWS(DGArchive[变更前]),"",IF(INDEX(DGArchive[变更前],79)="","",INDEX(DGArchive[变更前],79)))</f>
        <v/>
      </c>
      <c r="CF278" t="str">
        <f>IF(79&gt;ROWS(DGArchive[增减]),"",IF(INDEX(DGArchive[增减],79)="","",INDEX(DGArchive[增减],79)))</f>
        <v/>
      </c>
      <c r="CG278" t="str">
        <f>IF(79&gt;ROWS(DGArchive[变更后]),"",IF(INDEX(DGArchive[变更后],79)="","",INDEX(DGArchive[变更后],79)))</f>
        <v/>
      </c>
      <c r="CH278" t="str">
        <f>IF(79&gt;ROWS(DGArchive[事件／活动]),"",IF(INDEX(DGArchive[事件／活动],79)="","",INDEX(DGArchive[事件／活动],79)))</f>
        <v/>
      </c>
      <c r="CI278" t="str">
        <f>IF(79&gt;ROWS(DGArchive[记录编号]),"",IF(INDEX(DGArchive[记录编号],79)="","",INDEX(DGArchive[记录编号],79)))</f>
        <v/>
      </c>
      <c r="CL278">
        <f t="shared" si="44"/>
        <v>0</v>
      </c>
      <c r="CM278">
        <f>IF(AND(A278=$AO$5,B278=$AQ$3,H278=1),COUNTIFS($A$200:A278,$AO$5,$B$200:B278,$AQ$3,$H$200:H278,1),0)</f>
        <v>0</v>
      </c>
      <c r="CN278">
        <f>IF(CA278="",79,1001)</f>
        <v>79</v>
      </c>
      <c r="GA278">
        <f t="shared" si="64"/>
        <v>0</v>
      </c>
      <c r="GB278">
        <f t="shared" si="65"/>
        <v>0</v>
      </c>
      <c r="GC278">
        <f>IF(AND(C278="事件记录",H278=1),COUNTIFS($C$200:C278,"事件记录",$H$200:H278,1),0)</f>
        <v>0</v>
      </c>
      <c r="GD278">
        <f t="shared" si="45"/>
        <v>0</v>
      </c>
      <c r="GH278">
        <f>IF(AND(H278=1,A278=$GA$10,B278=$GA$11),COUNTIFS($A$200:A278,$GA$10,$B$200:B278,$GA$11,$H$200:H278,1),0)</f>
        <v>0</v>
      </c>
    </row>
    <row r="279" spans="1:190">
      <c r="A279" t="str">
        <f t="shared" si="36"/>
        <v/>
      </c>
      <c r="B279" t="str">
        <f t="shared" si="37"/>
        <v/>
      </c>
      <c r="C279" t="str">
        <f t="shared" si="38"/>
        <v/>
      </c>
      <c r="D279" t="str">
        <f t="shared" si="39"/>
        <v/>
      </c>
      <c r="E279">
        <f t="shared" si="40"/>
        <v>0</v>
      </c>
      <c r="F279" t="str">
        <f t="shared" si="41"/>
        <v/>
      </c>
      <c r="G279">
        <f t="shared" si="42"/>
        <v>0</v>
      </c>
      <c r="H279">
        <f>IF(AND(G279=1,COUNTIFS($I$200:I279,I279,$G$200:G279,1)=1),1,0)</f>
        <v>0</v>
      </c>
      <c r="I279" t="str">
        <f t="shared" si="43"/>
        <v/>
      </c>
      <c r="BF279">
        <f t="shared" si="46"/>
        <v>0</v>
      </c>
      <c r="BG279">
        <f t="shared" si="47"/>
        <v>0</v>
      </c>
      <c r="BH279">
        <f t="shared" si="48"/>
        <v>0</v>
      </c>
      <c r="BI279">
        <f t="shared" si="49"/>
        <v>0</v>
      </c>
      <c r="BJ279">
        <f t="shared" si="50"/>
        <v>0</v>
      </c>
      <c r="BK279">
        <f t="shared" si="51"/>
        <v>0</v>
      </c>
      <c r="BL279">
        <f t="shared" si="52"/>
        <v>0</v>
      </c>
      <c r="BM279">
        <f t="shared" si="53"/>
        <v>0</v>
      </c>
      <c r="BN279">
        <f t="shared" si="54"/>
        <v>0</v>
      </c>
      <c r="BO279">
        <f t="shared" si="55"/>
        <v>0</v>
      </c>
      <c r="BP279">
        <f t="shared" si="56"/>
        <v>0</v>
      </c>
      <c r="BQ279">
        <f t="shared" si="57"/>
        <v>0</v>
      </c>
      <c r="BR279">
        <f t="shared" si="58"/>
        <v>0</v>
      </c>
      <c r="BS279">
        <f t="shared" si="59"/>
        <v>0</v>
      </c>
      <c r="BT279">
        <f t="shared" si="60"/>
        <v>0</v>
      </c>
      <c r="BU279">
        <f t="shared" si="61"/>
        <v>0</v>
      </c>
      <c r="BV279">
        <f t="shared" si="62"/>
        <v>0</v>
      </c>
      <c r="BW279">
        <f t="shared" si="63"/>
        <v>0</v>
      </c>
      <c r="CA279" t="str">
        <f>IF(80&gt;ROWS(DGArchive[模组]),"",IF(INDEX(DGArchive[模组],80)="","",INDEX(DGArchive[模组],80)))</f>
        <v/>
      </c>
      <c r="CB279" t="str">
        <f>IF(80&gt;ROWS(DGArchive[阶段]),"",IF(INDEX(DGArchive[阶段],80)="","",INDEX(DGArchive[阶段],80)))</f>
        <v/>
      </c>
      <c r="CC279" t="str">
        <f>IF(80&gt;ROWS(DGArchive[游戏内日期]),"",IF(INDEX(DGArchive[游戏内日期],80)="","",INDEX(DGArchive[游戏内日期],80)))</f>
        <v/>
      </c>
      <c r="CD279" t="str">
        <f>IF(80&gt;ROWS(DGArchive[目标]),"",IF(INDEX(DGArchive[目标],80)="","",INDEX(DGArchive[目标],80)))</f>
        <v/>
      </c>
      <c r="CE279" t="str">
        <f>IF(80&gt;ROWS(DGArchive[变更前]),"",IF(INDEX(DGArchive[变更前],80)="","",INDEX(DGArchive[变更前],80)))</f>
        <v/>
      </c>
      <c r="CF279" t="str">
        <f>IF(80&gt;ROWS(DGArchive[增减]),"",IF(INDEX(DGArchive[增减],80)="","",INDEX(DGArchive[增减],80)))</f>
        <v/>
      </c>
      <c r="CG279" t="str">
        <f>IF(80&gt;ROWS(DGArchive[变更后]),"",IF(INDEX(DGArchive[变更后],80)="","",INDEX(DGArchive[变更后],80)))</f>
        <v/>
      </c>
      <c r="CH279" t="str">
        <f>IF(80&gt;ROWS(DGArchive[事件／活动]),"",IF(INDEX(DGArchive[事件／活动],80)="","",INDEX(DGArchive[事件／活动],80)))</f>
        <v/>
      </c>
      <c r="CI279" t="str">
        <f>IF(80&gt;ROWS(DGArchive[记录编号]),"",IF(INDEX(DGArchive[记录编号],80)="","",INDEX(DGArchive[记录编号],80)))</f>
        <v/>
      </c>
      <c r="CL279">
        <f t="shared" si="44"/>
        <v>0</v>
      </c>
      <c r="CM279">
        <f>IF(AND(A279=$AO$5,B279=$AQ$3,H279=1),COUNTIFS($A$200:A279,$AO$5,$B$200:B279,$AQ$3,$H$200:H279,1),0)</f>
        <v>0</v>
      </c>
      <c r="CN279">
        <f>IF(CA279="",80,1001)</f>
        <v>80</v>
      </c>
      <c r="GA279">
        <f t="shared" si="64"/>
        <v>0</v>
      </c>
      <c r="GB279">
        <f t="shared" si="65"/>
        <v>0</v>
      </c>
      <c r="GC279">
        <f>IF(AND(C279="事件记录",H279=1),COUNTIFS($C$200:C279,"事件记录",$H$200:H279,1),0)</f>
        <v>0</v>
      </c>
      <c r="GD279">
        <f t="shared" si="45"/>
        <v>0</v>
      </c>
      <c r="GH279">
        <f>IF(AND(H279=1,A279=$GA$10,B279=$GA$11),COUNTIFS($A$200:A279,$GA$10,$B$200:B279,$GA$11,$H$200:H279,1),0)</f>
        <v>0</v>
      </c>
    </row>
    <row r="280" spans="1:190">
      <c r="A280" t="str">
        <f t="shared" si="36"/>
        <v/>
      </c>
      <c r="B280" t="str">
        <f t="shared" si="37"/>
        <v/>
      </c>
      <c r="C280" t="str">
        <f t="shared" si="38"/>
        <v/>
      </c>
      <c r="D280" t="str">
        <f t="shared" si="39"/>
        <v/>
      </c>
      <c r="E280">
        <f t="shared" si="40"/>
        <v>0</v>
      </c>
      <c r="F280" t="str">
        <f t="shared" si="41"/>
        <v/>
      </c>
      <c r="G280">
        <f t="shared" si="42"/>
        <v>0</v>
      </c>
      <c r="H280">
        <f>IF(AND(G280=1,COUNTIFS($I$200:I280,I280,$G$200:G280,1)=1),1,0)</f>
        <v>0</v>
      </c>
      <c r="I280" t="str">
        <f t="shared" si="43"/>
        <v/>
      </c>
      <c r="BF280">
        <f t="shared" si="46"/>
        <v>0</v>
      </c>
      <c r="BG280">
        <f t="shared" si="47"/>
        <v>0</v>
      </c>
      <c r="BH280">
        <f t="shared" si="48"/>
        <v>0</v>
      </c>
      <c r="BI280">
        <f t="shared" si="49"/>
        <v>0</v>
      </c>
      <c r="BJ280">
        <f t="shared" si="50"/>
        <v>0</v>
      </c>
      <c r="BK280">
        <f t="shared" si="51"/>
        <v>0</v>
      </c>
      <c r="BL280">
        <f t="shared" si="52"/>
        <v>0</v>
      </c>
      <c r="BM280">
        <f t="shared" si="53"/>
        <v>0</v>
      </c>
      <c r="BN280">
        <f t="shared" si="54"/>
        <v>0</v>
      </c>
      <c r="BO280">
        <f t="shared" si="55"/>
        <v>0</v>
      </c>
      <c r="BP280">
        <f t="shared" si="56"/>
        <v>0</v>
      </c>
      <c r="BQ280">
        <f t="shared" si="57"/>
        <v>0</v>
      </c>
      <c r="BR280">
        <f t="shared" si="58"/>
        <v>0</v>
      </c>
      <c r="BS280">
        <f t="shared" si="59"/>
        <v>0</v>
      </c>
      <c r="BT280">
        <f t="shared" si="60"/>
        <v>0</v>
      </c>
      <c r="BU280">
        <f t="shared" si="61"/>
        <v>0</v>
      </c>
      <c r="BV280">
        <f t="shared" si="62"/>
        <v>0</v>
      </c>
      <c r="BW280">
        <f t="shared" si="63"/>
        <v>0</v>
      </c>
      <c r="CA280" t="str">
        <f>IF(81&gt;ROWS(DGArchive[模组]),"",IF(INDEX(DGArchive[模组],81)="","",INDEX(DGArchive[模组],81)))</f>
        <v/>
      </c>
      <c r="CB280" t="str">
        <f>IF(81&gt;ROWS(DGArchive[阶段]),"",IF(INDEX(DGArchive[阶段],81)="","",INDEX(DGArchive[阶段],81)))</f>
        <v/>
      </c>
      <c r="CC280" t="str">
        <f>IF(81&gt;ROWS(DGArchive[游戏内日期]),"",IF(INDEX(DGArchive[游戏内日期],81)="","",INDEX(DGArchive[游戏内日期],81)))</f>
        <v/>
      </c>
      <c r="CD280" t="str">
        <f>IF(81&gt;ROWS(DGArchive[目标]),"",IF(INDEX(DGArchive[目标],81)="","",INDEX(DGArchive[目标],81)))</f>
        <v/>
      </c>
      <c r="CE280" t="str">
        <f>IF(81&gt;ROWS(DGArchive[变更前]),"",IF(INDEX(DGArchive[变更前],81)="","",INDEX(DGArchive[变更前],81)))</f>
        <v/>
      </c>
      <c r="CF280" t="str">
        <f>IF(81&gt;ROWS(DGArchive[增减]),"",IF(INDEX(DGArchive[增减],81)="","",INDEX(DGArchive[增减],81)))</f>
        <v/>
      </c>
      <c r="CG280" t="str">
        <f>IF(81&gt;ROWS(DGArchive[变更后]),"",IF(INDEX(DGArchive[变更后],81)="","",INDEX(DGArchive[变更后],81)))</f>
        <v/>
      </c>
      <c r="CH280" t="str">
        <f>IF(81&gt;ROWS(DGArchive[事件／活动]),"",IF(INDEX(DGArchive[事件／活动],81)="","",INDEX(DGArchive[事件／活动],81)))</f>
        <v/>
      </c>
      <c r="CI280" t="str">
        <f>IF(81&gt;ROWS(DGArchive[记录编号]),"",IF(INDEX(DGArchive[记录编号],81)="","",INDEX(DGArchive[记录编号],81)))</f>
        <v/>
      </c>
      <c r="CL280">
        <f t="shared" si="44"/>
        <v>0</v>
      </c>
      <c r="CM280">
        <f>IF(AND(A280=$AO$5,B280=$AQ$3,H280=1),COUNTIFS($A$200:A280,$AO$5,$B$200:B280,$AQ$3,$H$200:H280,1),0)</f>
        <v>0</v>
      </c>
      <c r="CN280">
        <f>IF(CA280="",81,1001)</f>
        <v>81</v>
      </c>
      <c r="GA280">
        <f t="shared" si="64"/>
        <v>0</v>
      </c>
      <c r="GB280">
        <f t="shared" si="65"/>
        <v>0</v>
      </c>
      <c r="GC280">
        <f>IF(AND(C280="事件记录",H280=1),COUNTIFS($C$200:C280,"事件记录",$H$200:H280,1),0)</f>
        <v>0</v>
      </c>
      <c r="GD280">
        <f t="shared" si="45"/>
        <v>0</v>
      </c>
      <c r="GH280">
        <f>IF(AND(H280=1,A280=$GA$10,B280=$GA$11),COUNTIFS($A$200:A280,$GA$10,$B$200:B280,$GA$11,$H$200:H280,1),0)</f>
        <v>0</v>
      </c>
    </row>
    <row r="281" spans="1:190">
      <c r="A281" t="str">
        <f t="shared" si="36"/>
        <v/>
      </c>
      <c r="B281" t="str">
        <f t="shared" si="37"/>
        <v/>
      </c>
      <c r="C281" t="str">
        <f t="shared" si="38"/>
        <v/>
      </c>
      <c r="D281" t="str">
        <f t="shared" si="39"/>
        <v/>
      </c>
      <c r="E281">
        <f t="shared" si="40"/>
        <v>0</v>
      </c>
      <c r="F281" t="str">
        <f t="shared" si="41"/>
        <v/>
      </c>
      <c r="G281">
        <f t="shared" si="42"/>
        <v>0</v>
      </c>
      <c r="H281">
        <f>IF(AND(G281=1,COUNTIFS($I$200:I281,I281,$G$200:G281,1)=1),1,0)</f>
        <v>0</v>
      </c>
      <c r="I281" t="str">
        <f t="shared" si="43"/>
        <v/>
      </c>
      <c r="BF281">
        <f t="shared" si="46"/>
        <v>0</v>
      </c>
      <c r="BG281">
        <f t="shared" si="47"/>
        <v>0</v>
      </c>
      <c r="BH281">
        <f t="shared" si="48"/>
        <v>0</v>
      </c>
      <c r="BI281">
        <f t="shared" si="49"/>
        <v>0</v>
      </c>
      <c r="BJ281">
        <f t="shared" si="50"/>
        <v>0</v>
      </c>
      <c r="BK281">
        <f t="shared" si="51"/>
        <v>0</v>
      </c>
      <c r="BL281">
        <f t="shared" si="52"/>
        <v>0</v>
      </c>
      <c r="BM281">
        <f t="shared" si="53"/>
        <v>0</v>
      </c>
      <c r="BN281">
        <f t="shared" si="54"/>
        <v>0</v>
      </c>
      <c r="BO281">
        <f t="shared" si="55"/>
        <v>0</v>
      </c>
      <c r="BP281">
        <f t="shared" si="56"/>
        <v>0</v>
      </c>
      <c r="BQ281">
        <f t="shared" si="57"/>
        <v>0</v>
      </c>
      <c r="BR281">
        <f t="shared" si="58"/>
        <v>0</v>
      </c>
      <c r="BS281">
        <f t="shared" si="59"/>
        <v>0</v>
      </c>
      <c r="BT281">
        <f t="shared" si="60"/>
        <v>0</v>
      </c>
      <c r="BU281">
        <f t="shared" si="61"/>
        <v>0</v>
      </c>
      <c r="BV281">
        <f t="shared" si="62"/>
        <v>0</v>
      </c>
      <c r="BW281">
        <f t="shared" si="63"/>
        <v>0</v>
      </c>
      <c r="CA281" t="str">
        <f>IF(82&gt;ROWS(DGArchive[模组]),"",IF(INDEX(DGArchive[模组],82)="","",INDEX(DGArchive[模组],82)))</f>
        <v/>
      </c>
      <c r="CB281" t="str">
        <f>IF(82&gt;ROWS(DGArchive[阶段]),"",IF(INDEX(DGArchive[阶段],82)="","",INDEX(DGArchive[阶段],82)))</f>
        <v/>
      </c>
      <c r="CC281" t="str">
        <f>IF(82&gt;ROWS(DGArchive[游戏内日期]),"",IF(INDEX(DGArchive[游戏内日期],82)="","",INDEX(DGArchive[游戏内日期],82)))</f>
        <v/>
      </c>
      <c r="CD281" t="str">
        <f>IF(82&gt;ROWS(DGArchive[目标]),"",IF(INDEX(DGArchive[目标],82)="","",INDEX(DGArchive[目标],82)))</f>
        <v/>
      </c>
      <c r="CE281" t="str">
        <f>IF(82&gt;ROWS(DGArchive[变更前]),"",IF(INDEX(DGArchive[变更前],82)="","",INDEX(DGArchive[变更前],82)))</f>
        <v/>
      </c>
      <c r="CF281" t="str">
        <f>IF(82&gt;ROWS(DGArchive[增减]),"",IF(INDEX(DGArchive[增减],82)="","",INDEX(DGArchive[增减],82)))</f>
        <v/>
      </c>
      <c r="CG281" t="str">
        <f>IF(82&gt;ROWS(DGArchive[变更后]),"",IF(INDEX(DGArchive[变更后],82)="","",INDEX(DGArchive[变更后],82)))</f>
        <v/>
      </c>
      <c r="CH281" t="str">
        <f>IF(82&gt;ROWS(DGArchive[事件／活动]),"",IF(INDEX(DGArchive[事件／活动],82)="","",INDEX(DGArchive[事件／活动],82)))</f>
        <v/>
      </c>
      <c r="CI281" t="str">
        <f>IF(82&gt;ROWS(DGArchive[记录编号]),"",IF(INDEX(DGArchive[记录编号],82)="","",INDEX(DGArchive[记录编号],82)))</f>
        <v/>
      </c>
      <c r="CL281">
        <f t="shared" si="44"/>
        <v>0</v>
      </c>
      <c r="CM281">
        <f>IF(AND(A281=$AO$5,B281=$AQ$3,H281=1),COUNTIFS($A$200:A281,$AO$5,$B$200:B281,$AQ$3,$H$200:H281,1),0)</f>
        <v>0</v>
      </c>
      <c r="CN281">
        <f>IF(CA281="",82,1001)</f>
        <v>82</v>
      </c>
      <c r="GA281">
        <f t="shared" si="64"/>
        <v>0</v>
      </c>
      <c r="GB281">
        <f t="shared" si="65"/>
        <v>0</v>
      </c>
      <c r="GC281">
        <f>IF(AND(C281="事件记录",H281=1),COUNTIFS($C$200:C281,"事件记录",$H$200:H281,1),0)</f>
        <v>0</v>
      </c>
      <c r="GD281">
        <f t="shared" si="45"/>
        <v>0</v>
      </c>
      <c r="GH281">
        <f>IF(AND(H281=1,A281=$GA$10,B281=$GA$11),COUNTIFS($A$200:A281,$GA$10,$B$200:B281,$GA$11,$H$200:H281,1),0)</f>
        <v>0</v>
      </c>
    </row>
    <row r="282" spans="1:190">
      <c r="A282" t="str">
        <f t="shared" si="36"/>
        <v/>
      </c>
      <c r="B282" t="str">
        <f t="shared" si="37"/>
        <v/>
      </c>
      <c r="C282" t="str">
        <f t="shared" si="38"/>
        <v/>
      </c>
      <c r="D282" t="str">
        <f t="shared" si="39"/>
        <v/>
      </c>
      <c r="E282">
        <f t="shared" si="40"/>
        <v>0</v>
      </c>
      <c r="F282" t="str">
        <f t="shared" si="41"/>
        <v/>
      </c>
      <c r="G282">
        <f t="shared" si="42"/>
        <v>0</v>
      </c>
      <c r="H282">
        <f>IF(AND(G282=1,COUNTIFS($I$200:I282,I282,$G$200:G282,1)=1),1,0)</f>
        <v>0</v>
      </c>
      <c r="I282" t="str">
        <f t="shared" si="43"/>
        <v/>
      </c>
      <c r="BF282">
        <f t="shared" si="46"/>
        <v>0</v>
      </c>
      <c r="BG282">
        <f t="shared" si="47"/>
        <v>0</v>
      </c>
      <c r="BH282">
        <f t="shared" si="48"/>
        <v>0</v>
      </c>
      <c r="BI282">
        <f t="shared" si="49"/>
        <v>0</v>
      </c>
      <c r="BJ282">
        <f t="shared" si="50"/>
        <v>0</v>
      </c>
      <c r="BK282">
        <f t="shared" si="51"/>
        <v>0</v>
      </c>
      <c r="BL282">
        <f t="shared" si="52"/>
        <v>0</v>
      </c>
      <c r="BM282">
        <f t="shared" si="53"/>
        <v>0</v>
      </c>
      <c r="BN282">
        <f t="shared" si="54"/>
        <v>0</v>
      </c>
      <c r="BO282">
        <f t="shared" si="55"/>
        <v>0</v>
      </c>
      <c r="BP282">
        <f t="shared" si="56"/>
        <v>0</v>
      </c>
      <c r="BQ282">
        <f t="shared" si="57"/>
        <v>0</v>
      </c>
      <c r="BR282">
        <f t="shared" si="58"/>
        <v>0</v>
      </c>
      <c r="BS282">
        <f t="shared" si="59"/>
        <v>0</v>
      </c>
      <c r="BT282">
        <f t="shared" si="60"/>
        <v>0</v>
      </c>
      <c r="BU282">
        <f t="shared" si="61"/>
        <v>0</v>
      </c>
      <c r="BV282">
        <f t="shared" si="62"/>
        <v>0</v>
      </c>
      <c r="BW282">
        <f t="shared" si="63"/>
        <v>0</v>
      </c>
      <c r="CA282" t="str">
        <f>IF(83&gt;ROWS(DGArchive[模组]),"",IF(INDEX(DGArchive[模组],83)="","",INDEX(DGArchive[模组],83)))</f>
        <v/>
      </c>
      <c r="CB282" t="str">
        <f>IF(83&gt;ROWS(DGArchive[阶段]),"",IF(INDEX(DGArchive[阶段],83)="","",INDEX(DGArchive[阶段],83)))</f>
        <v/>
      </c>
      <c r="CC282" t="str">
        <f>IF(83&gt;ROWS(DGArchive[游戏内日期]),"",IF(INDEX(DGArchive[游戏内日期],83)="","",INDEX(DGArchive[游戏内日期],83)))</f>
        <v/>
      </c>
      <c r="CD282" t="str">
        <f>IF(83&gt;ROWS(DGArchive[目标]),"",IF(INDEX(DGArchive[目标],83)="","",INDEX(DGArchive[目标],83)))</f>
        <v/>
      </c>
      <c r="CE282" t="str">
        <f>IF(83&gt;ROWS(DGArchive[变更前]),"",IF(INDEX(DGArchive[变更前],83)="","",INDEX(DGArchive[变更前],83)))</f>
        <v/>
      </c>
      <c r="CF282" t="str">
        <f>IF(83&gt;ROWS(DGArchive[增减]),"",IF(INDEX(DGArchive[增减],83)="","",INDEX(DGArchive[增减],83)))</f>
        <v/>
      </c>
      <c r="CG282" t="str">
        <f>IF(83&gt;ROWS(DGArchive[变更后]),"",IF(INDEX(DGArchive[变更后],83)="","",INDEX(DGArchive[变更后],83)))</f>
        <v/>
      </c>
      <c r="CH282" t="str">
        <f>IF(83&gt;ROWS(DGArchive[事件／活动]),"",IF(INDEX(DGArchive[事件／活动],83)="","",INDEX(DGArchive[事件／活动],83)))</f>
        <v/>
      </c>
      <c r="CI282" t="str">
        <f>IF(83&gt;ROWS(DGArchive[记录编号]),"",IF(INDEX(DGArchive[记录编号],83)="","",INDEX(DGArchive[记录编号],83)))</f>
        <v/>
      </c>
      <c r="CL282">
        <f t="shared" si="44"/>
        <v>0</v>
      </c>
      <c r="CM282">
        <f>IF(AND(A282=$AO$5,B282=$AQ$3,H282=1),COUNTIFS($A$200:A282,$AO$5,$B$200:B282,$AQ$3,$H$200:H282,1),0)</f>
        <v>0</v>
      </c>
      <c r="CN282">
        <f>IF(CA282="",83,1001)</f>
        <v>83</v>
      </c>
      <c r="GA282">
        <f t="shared" si="64"/>
        <v>0</v>
      </c>
      <c r="GB282">
        <f t="shared" si="65"/>
        <v>0</v>
      </c>
      <c r="GC282">
        <f>IF(AND(C282="事件记录",H282=1),COUNTIFS($C$200:C282,"事件记录",$H$200:H282,1),0)</f>
        <v>0</v>
      </c>
      <c r="GD282">
        <f t="shared" si="45"/>
        <v>0</v>
      </c>
      <c r="GH282">
        <f>IF(AND(H282=1,A282=$GA$10,B282=$GA$11),COUNTIFS($A$200:A282,$GA$10,$B$200:B282,$GA$11,$H$200:H282,1),0)</f>
        <v>0</v>
      </c>
    </row>
    <row r="283" spans="1:190">
      <c r="A283" t="str">
        <f t="shared" si="36"/>
        <v/>
      </c>
      <c r="B283" t="str">
        <f t="shared" si="37"/>
        <v/>
      </c>
      <c r="C283" t="str">
        <f t="shared" si="38"/>
        <v/>
      </c>
      <c r="D283" t="str">
        <f t="shared" si="39"/>
        <v/>
      </c>
      <c r="E283">
        <f t="shared" si="40"/>
        <v>0</v>
      </c>
      <c r="F283" t="str">
        <f t="shared" si="41"/>
        <v/>
      </c>
      <c r="G283">
        <f t="shared" si="42"/>
        <v>0</v>
      </c>
      <c r="H283">
        <f>IF(AND(G283=1,COUNTIFS($I$200:I283,I283,$G$200:G283,1)=1),1,0)</f>
        <v>0</v>
      </c>
      <c r="I283" t="str">
        <f t="shared" si="43"/>
        <v/>
      </c>
      <c r="BF283">
        <f t="shared" si="46"/>
        <v>0</v>
      </c>
      <c r="BG283">
        <f t="shared" si="47"/>
        <v>0</v>
      </c>
      <c r="BH283">
        <f t="shared" si="48"/>
        <v>0</v>
      </c>
      <c r="BI283">
        <f t="shared" si="49"/>
        <v>0</v>
      </c>
      <c r="BJ283">
        <f t="shared" si="50"/>
        <v>0</v>
      </c>
      <c r="BK283">
        <f t="shared" si="51"/>
        <v>0</v>
      </c>
      <c r="BL283">
        <f t="shared" si="52"/>
        <v>0</v>
      </c>
      <c r="BM283">
        <f t="shared" si="53"/>
        <v>0</v>
      </c>
      <c r="BN283">
        <f t="shared" si="54"/>
        <v>0</v>
      </c>
      <c r="BO283">
        <f t="shared" si="55"/>
        <v>0</v>
      </c>
      <c r="BP283">
        <f t="shared" si="56"/>
        <v>0</v>
      </c>
      <c r="BQ283">
        <f t="shared" si="57"/>
        <v>0</v>
      </c>
      <c r="BR283">
        <f t="shared" si="58"/>
        <v>0</v>
      </c>
      <c r="BS283">
        <f t="shared" si="59"/>
        <v>0</v>
      </c>
      <c r="BT283">
        <f t="shared" si="60"/>
        <v>0</v>
      </c>
      <c r="BU283">
        <f t="shared" si="61"/>
        <v>0</v>
      </c>
      <c r="BV283">
        <f t="shared" si="62"/>
        <v>0</v>
      </c>
      <c r="BW283">
        <f t="shared" si="63"/>
        <v>0</v>
      </c>
      <c r="CA283" t="str">
        <f>IF(84&gt;ROWS(DGArchive[模组]),"",IF(INDEX(DGArchive[模组],84)="","",INDEX(DGArchive[模组],84)))</f>
        <v/>
      </c>
      <c r="CB283" t="str">
        <f>IF(84&gt;ROWS(DGArchive[阶段]),"",IF(INDEX(DGArchive[阶段],84)="","",INDEX(DGArchive[阶段],84)))</f>
        <v/>
      </c>
      <c r="CC283" t="str">
        <f>IF(84&gt;ROWS(DGArchive[游戏内日期]),"",IF(INDEX(DGArchive[游戏内日期],84)="","",INDEX(DGArchive[游戏内日期],84)))</f>
        <v/>
      </c>
      <c r="CD283" t="str">
        <f>IF(84&gt;ROWS(DGArchive[目标]),"",IF(INDEX(DGArchive[目标],84)="","",INDEX(DGArchive[目标],84)))</f>
        <v/>
      </c>
      <c r="CE283" t="str">
        <f>IF(84&gt;ROWS(DGArchive[变更前]),"",IF(INDEX(DGArchive[变更前],84)="","",INDEX(DGArchive[变更前],84)))</f>
        <v/>
      </c>
      <c r="CF283" t="str">
        <f>IF(84&gt;ROWS(DGArchive[增减]),"",IF(INDEX(DGArchive[增减],84)="","",INDEX(DGArchive[增减],84)))</f>
        <v/>
      </c>
      <c r="CG283" t="str">
        <f>IF(84&gt;ROWS(DGArchive[变更后]),"",IF(INDEX(DGArchive[变更后],84)="","",INDEX(DGArchive[变更后],84)))</f>
        <v/>
      </c>
      <c r="CH283" t="str">
        <f>IF(84&gt;ROWS(DGArchive[事件／活动]),"",IF(INDEX(DGArchive[事件／活动],84)="","",INDEX(DGArchive[事件／活动],84)))</f>
        <v/>
      </c>
      <c r="CI283" t="str">
        <f>IF(84&gt;ROWS(DGArchive[记录编号]),"",IF(INDEX(DGArchive[记录编号],84)="","",INDEX(DGArchive[记录编号],84)))</f>
        <v/>
      </c>
      <c r="CL283">
        <f t="shared" si="44"/>
        <v>0</v>
      </c>
      <c r="CM283">
        <f>IF(AND(A283=$AO$5,B283=$AQ$3,H283=1),COUNTIFS($A$200:A283,$AO$5,$B$200:B283,$AQ$3,$H$200:H283,1),0)</f>
        <v>0</v>
      </c>
      <c r="CN283">
        <f>IF(CA283="",84,1001)</f>
        <v>84</v>
      </c>
      <c r="GA283">
        <f t="shared" si="64"/>
        <v>0</v>
      </c>
      <c r="GB283">
        <f t="shared" si="65"/>
        <v>0</v>
      </c>
      <c r="GC283">
        <f>IF(AND(C283="事件记录",H283=1),COUNTIFS($C$200:C283,"事件记录",$H$200:H283,1),0)</f>
        <v>0</v>
      </c>
      <c r="GD283">
        <f t="shared" si="45"/>
        <v>0</v>
      </c>
      <c r="GH283">
        <f>IF(AND(H283=1,A283=$GA$10,B283=$GA$11),COUNTIFS($A$200:A283,$GA$10,$B$200:B283,$GA$11,$H$200:H283,1),0)</f>
        <v>0</v>
      </c>
    </row>
    <row r="284" spans="1:190">
      <c r="A284" t="str">
        <f t="shared" si="36"/>
        <v/>
      </c>
      <c r="B284" t="str">
        <f t="shared" si="37"/>
        <v/>
      </c>
      <c r="C284" t="str">
        <f t="shared" si="38"/>
        <v/>
      </c>
      <c r="D284" t="str">
        <f t="shared" si="39"/>
        <v/>
      </c>
      <c r="E284">
        <f t="shared" si="40"/>
        <v>0</v>
      </c>
      <c r="F284" t="str">
        <f t="shared" si="41"/>
        <v/>
      </c>
      <c r="G284">
        <f t="shared" si="42"/>
        <v>0</v>
      </c>
      <c r="H284">
        <f>IF(AND(G284=1,COUNTIFS($I$200:I284,I284,$G$200:G284,1)=1),1,0)</f>
        <v>0</v>
      </c>
      <c r="I284" t="str">
        <f t="shared" si="43"/>
        <v/>
      </c>
      <c r="BF284">
        <f t="shared" si="46"/>
        <v>0</v>
      </c>
      <c r="BG284">
        <f t="shared" si="47"/>
        <v>0</v>
      </c>
      <c r="BH284">
        <f t="shared" si="48"/>
        <v>0</v>
      </c>
      <c r="BI284">
        <f t="shared" si="49"/>
        <v>0</v>
      </c>
      <c r="BJ284">
        <f t="shared" si="50"/>
        <v>0</v>
      </c>
      <c r="BK284">
        <f t="shared" si="51"/>
        <v>0</v>
      </c>
      <c r="BL284">
        <f t="shared" si="52"/>
        <v>0</v>
      </c>
      <c r="BM284">
        <f t="shared" si="53"/>
        <v>0</v>
      </c>
      <c r="BN284">
        <f t="shared" si="54"/>
        <v>0</v>
      </c>
      <c r="BO284">
        <f t="shared" si="55"/>
        <v>0</v>
      </c>
      <c r="BP284">
        <f t="shared" si="56"/>
        <v>0</v>
      </c>
      <c r="BQ284">
        <f t="shared" si="57"/>
        <v>0</v>
      </c>
      <c r="BR284">
        <f t="shared" si="58"/>
        <v>0</v>
      </c>
      <c r="BS284">
        <f t="shared" si="59"/>
        <v>0</v>
      </c>
      <c r="BT284">
        <f t="shared" si="60"/>
        <v>0</v>
      </c>
      <c r="BU284">
        <f t="shared" si="61"/>
        <v>0</v>
      </c>
      <c r="BV284">
        <f t="shared" si="62"/>
        <v>0</v>
      </c>
      <c r="BW284">
        <f t="shared" si="63"/>
        <v>0</v>
      </c>
      <c r="CA284" t="str">
        <f>IF(85&gt;ROWS(DGArchive[模组]),"",IF(INDEX(DGArchive[模组],85)="","",INDEX(DGArchive[模组],85)))</f>
        <v/>
      </c>
      <c r="CB284" t="str">
        <f>IF(85&gt;ROWS(DGArchive[阶段]),"",IF(INDEX(DGArchive[阶段],85)="","",INDEX(DGArchive[阶段],85)))</f>
        <v/>
      </c>
      <c r="CC284" t="str">
        <f>IF(85&gt;ROWS(DGArchive[游戏内日期]),"",IF(INDEX(DGArchive[游戏内日期],85)="","",INDEX(DGArchive[游戏内日期],85)))</f>
        <v/>
      </c>
      <c r="CD284" t="str">
        <f>IF(85&gt;ROWS(DGArchive[目标]),"",IF(INDEX(DGArchive[目标],85)="","",INDEX(DGArchive[目标],85)))</f>
        <v/>
      </c>
      <c r="CE284" t="str">
        <f>IF(85&gt;ROWS(DGArchive[变更前]),"",IF(INDEX(DGArchive[变更前],85)="","",INDEX(DGArchive[变更前],85)))</f>
        <v/>
      </c>
      <c r="CF284" t="str">
        <f>IF(85&gt;ROWS(DGArchive[增减]),"",IF(INDEX(DGArchive[增减],85)="","",INDEX(DGArchive[增减],85)))</f>
        <v/>
      </c>
      <c r="CG284" t="str">
        <f>IF(85&gt;ROWS(DGArchive[变更后]),"",IF(INDEX(DGArchive[变更后],85)="","",INDEX(DGArchive[变更后],85)))</f>
        <v/>
      </c>
      <c r="CH284" t="str">
        <f>IF(85&gt;ROWS(DGArchive[事件／活动]),"",IF(INDEX(DGArchive[事件／活动],85)="","",INDEX(DGArchive[事件／活动],85)))</f>
        <v/>
      </c>
      <c r="CI284" t="str">
        <f>IF(85&gt;ROWS(DGArchive[记录编号]),"",IF(INDEX(DGArchive[记录编号],85)="","",INDEX(DGArchive[记录编号],85)))</f>
        <v/>
      </c>
      <c r="CL284">
        <f t="shared" si="44"/>
        <v>0</v>
      </c>
      <c r="CM284">
        <f>IF(AND(A284=$AO$5,B284=$AQ$3,H284=1),COUNTIFS($A$200:A284,$AO$5,$B$200:B284,$AQ$3,$H$200:H284,1),0)</f>
        <v>0</v>
      </c>
      <c r="CN284">
        <f>IF(CA284="",85,1001)</f>
        <v>85</v>
      </c>
      <c r="GA284">
        <f t="shared" si="64"/>
        <v>0</v>
      </c>
      <c r="GB284">
        <f t="shared" si="65"/>
        <v>0</v>
      </c>
      <c r="GC284">
        <f>IF(AND(C284="事件记录",H284=1),COUNTIFS($C$200:C284,"事件记录",$H$200:H284,1),0)</f>
        <v>0</v>
      </c>
      <c r="GD284">
        <f t="shared" si="45"/>
        <v>0</v>
      </c>
      <c r="GH284">
        <f>IF(AND(H284=1,A284=$GA$10,B284=$GA$11),COUNTIFS($A$200:A284,$GA$10,$B$200:B284,$GA$11,$H$200:H284,1),0)</f>
        <v>0</v>
      </c>
    </row>
    <row r="285" spans="1:190">
      <c r="A285" t="str">
        <f t="shared" si="36"/>
        <v/>
      </c>
      <c r="B285" t="str">
        <f t="shared" si="37"/>
        <v/>
      </c>
      <c r="C285" t="str">
        <f t="shared" si="38"/>
        <v/>
      </c>
      <c r="D285" t="str">
        <f t="shared" si="39"/>
        <v/>
      </c>
      <c r="E285">
        <f t="shared" si="40"/>
        <v>0</v>
      </c>
      <c r="F285" t="str">
        <f t="shared" si="41"/>
        <v/>
      </c>
      <c r="G285">
        <f t="shared" si="42"/>
        <v>0</v>
      </c>
      <c r="H285">
        <f>IF(AND(G285=1,COUNTIFS($I$200:I285,I285,$G$200:G285,1)=1),1,0)</f>
        <v>0</v>
      </c>
      <c r="I285" t="str">
        <f t="shared" si="43"/>
        <v/>
      </c>
      <c r="BF285">
        <f t="shared" si="46"/>
        <v>0</v>
      </c>
      <c r="BG285">
        <f t="shared" si="47"/>
        <v>0</v>
      </c>
      <c r="BH285">
        <f t="shared" si="48"/>
        <v>0</v>
      </c>
      <c r="BI285">
        <f t="shared" si="49"/>
        <v>0</v>
      </c>
      <c r="BJ285">
        <f t="shared" si="50"/>
        <v>0</v>
      </c>
      <c r="BK285">
        <f t="shared" si="51"/>
        <v>0</v>
      </c>
      <c r="BL285">
        <f t="shared" si="52"/>
        <v>0</v>
      </c>
      <c r="BM285">
        <f t="shared" si="53"/>
        <v>0</v>
      </c>
      <c r="BN285">
        <f t="shared" si="54"/>
        <v>0</v>
      </c>
      <c r="BO285">
        <f t="shared" si="55"/>
        <v>0</v>
      </c>
      <c r="BP285">
        <f t="shared" si="56"/>
        <v>0</v>
      </c>
      <c r="BQ285">
        <f t="shared" si="57"/>
        <v>0</v>
      </c>
      <c r="BR285">
        <f t="shared" si="58"/>
        <v>0</v>
      </c>
      <c r="BS285">
        <f t="shared" si="59"/>
        <v>0</v>
      </c>
      <c r="BT285">
        <f t="shared" si="60"/>
        <v>0</v>
      </c>
      <c r="BU285">
        <f t="shared" si="61"/>
        <v>0</v>
      </c>
      <c r="BV285">
        <f t="shared" si="62"/>
        <v>0</v>
      </c>
      <c r="BW285">
        <f t="shared" si="63"/>
        <v>0</v>
      </c>
      <c r="CA285" t="str">
        <f>IF(86&gt;ROWS(DGArchive[模组]),"",IF(INDEX(DGArchive[模组],86)="","",INDEX(DGArchive[模组],86)))</f>
        <v/>
      </c>
      <c r="CB285" t="str">
        <f>IF(86&gt;ROWS(DGArchive[阶段]),"",IF(INDEX(DGArchive[阶段],86)="","",INDEX(DGArchive[阶段],86)))</f>
        <v/>
      </c>
      <c r="CC285" t="str">
        <f>IF(86&gt;ROWS(DGArchive[游戏内日期]),"",IF(INDEX(DGArchive[游戏内日期],86)="","",INDEX(DGArchive[游戏内日期],86)))</f>
        <v/>
      </c>
      <c r="CD285" t="str">
        <f>IF(86&gt;ROWS(DGArchive[目标]),"",IF(INDEX(DGArchive[目标],86)="","",INDEX(DGArchive[目标],86)))</f>
        <v/>
      </c>
      <c r="CE285" t="str">
        <f>IF(86&gt;ROWS(DGArchive[变更前]),"",IF(INDEX(DGArchive[变更前],86)="","",INDEX(DGArchive[变更前],86)))</f>
        <v/>
      </c>
      <c r="CF285" t="str">
        <f>IF(86&gt;ROWS(DGArchive[增减]),"",IF(INDEX(DGArchive[增减],86)="","",INDEX(DGArchive[增减],86)))</f>
        <v/>
      </c>
      <c r="CG285" t="str">
        <f>IF(86&gt;ROWS(DGArchive[变更后]),"",IF(INDEX(DGArchive[变更后],86)="","",INDEX(DGArchive[变更后],86)))</f>
        <v/>
      </c>
      <c r="CH285" t="str">
        <f>IF(86&gt;ROWS(DGArchive[事件／活动]),"",IF(INDEX(DGArchive[事件／活动],86)="","",INDEX(DGArchive[事件／活动],86)))</f>
        <v/>
      </c>
      <c r="CI285" t="str">
        <f>IF(86&gt;ROWS(DGArchive[记录编号]),"",IF(INDEX(DGArchive[记录编号],86)="","",INDEX(DGArchive[记录编号],86)))</f>
        <v/>
      </c>
      <c r="CL285">
        <f t="shared" si="44"/>
        <v>0</v>
      </c>
      <c r="CM285">
        <f>IF(AND(A285=$AO$5,B285=$AQ$3,H285=1),COUNTIFS($A$200:A285,$AO$5,$B$200:B285,$AQ$3,$H$200:H285,1),0)</f>
        <v>0</v>
      </c>
      <c r="CN285">
        <f>IF(CA285="",86,1001)</f>
        <v>86</v>
      </c>
      <c r="GA285">
        <f t="shared" si="64"/>
        <v>0</v>
      </c>
      <c r="GB285">
        <f t="shared" si="65"/>
        <v>0</v>
      </c>
      <c r="GC285">
        <f>IF(AND(C285="事件记录",H285=1),COUNTIFS($C$200:C285,"事件记录",$H$200:H285,1),0)</f>
        <v>0</v>
      </c>
      <c r="GD285">
        <f t="shared" si="45"/>
        <v>0</v>
      </c>
      <c r="GH285">
        <f>IF(AND(H285=1,A285=$GA$10,B285=$GA$11),COUNTIFS($A$200:A285,$GA$10,$B$200:B285,$GA$11,$H$200:H285,1),0)</f>
        <v>0</v>
      </c>
    </row>
    <row r="286" spans="1:190">
      <c r="A286" t="str">
        <f t="shared" si="36"/>
        <v/>
      </c>
      <c r="B286" t="str">
        <f t="shared" si="37"/>
        <v/>
      </c>
      <c r="C286" t="str">
        <f t="shared" si="38"/>
        <v/>
      </c>
      <c r="D286" t="str">
        <f t="shared" si="39"/>
        <v/>
      </c>
      <c r="E286">
        <f t="shared" si="40"/>
        <v>0</v>
      </c>
      <c r="F286" t="str">
        <f t="shared" si="41"/>
        <v/>
      </c>
      <c r="G286">
        <f t="shared" si="42"/>
        <v>0</v>
      </c>
      <c r="H286">
        <f>IF(AND(G286=1,COUNTIFS($I$200:I286,I286,$G$200:G286,1)=1),1,0)</f>
        <v>0</v>
      </c>
      <c r="I286" t="str">
        <f t="shared" si="43"/>
        <v/>
      </c>
      <c r="BF286">
        <f t="shared" si="46"/>
        <v>0</v>
      </c>
      <c r="BG286">
        <f t="shared" si="47"/>
        <v>0</v>
      </c>
      <c r="BH286">
        <f t="shared" si="48"/>
        <v>0</v>
      </c>
      <c r="BI286">
        <f t="shared" si="49"/>
        <v>0</v>
      </c>
      <c r="BJ286">
        <f t="shared" si="50"/>
        <v>0</v>
      </c>
      <c r="BK286">
        <f t="shared" si="51"/>
        <v>0</v>
      </c>
      <c r="BL286">
        <f t="shared" si="52"/>
        <v>0</v>
      </c>
      <c r="BM286">
        <f t="shared" si="53"/>
        <v>0</v>
      </c>
      <c r="BN286">
        <f t="shared" si="54"/>
        <v>0</v>
      </c>
      <c r="BO286">
        <f t="shared" si="55"/>
        <v>0</v>
      </c>
      <c r="BP286">
        <f t="shared" si="56"/>
        <v>0</v>
      </c>
      <c r="BQ286">
        <f t="shared" si="57"/>
        <v>0</v>
      </c>
      <c r="BR286">
        <f t="shared" si="58"/>
        <v>0</v>
      </c>
      <c r="BS286">
        <f t="shared" si="59"/>
        <v>0</v>
      </c>
      <c r="BT286">
        <f t="shared" si="60"/>
        <v>0</v>
      </c>
      <c r="BU286">
        <f t="shared" si="61"/>
        <v>0</v>
      </c>
      <c r="BV286">
        <f t="shared" si="62"/>
        <v>0</v>
      </c>
      <c r="BW286">
        <f t="shared" si="63"/>
        <v>0</v>
      </c>
      <c r="CA286" t="str">
        <f>IF(87&gt;ROWS(DGArchive[模组]),"",IF(INDEX(DGArchive[模组],87)="","",INDEX(DGArchive[模组],87)))</f>
        <v/>
      </c>
      <c r="CB286" t="str">
        <f>IF(87&gt;ROWS(DGArchive[阶段]),"",IF(INDEX(DGArchive[阶段],87)="","",INDEX(DGArchive[阶段],87)))</f>
        <v/>
      </c>
      <c r="CC286" t="str">
        <f>IF(87&gt;ROWS(DGArchive[游戏内日期]),"",IF(INDEX(DGArchive[游戏内日期],87)="","",INDEX(DGArchive[游戏内日期],87)))</f>
        <v/>
      </c>
      <c r="CD286" t="str">
        <f>IF(87&gt;ROWS(DGArchive[目标]),"",IF(INDEX(DGArchive[目标],87)="","",INDEX(DGArchive[目标],87)))</f>
        <v/>
      </c>
      <c r="CE286" t="str">
        <f>IF(87&gt;ROWS(DGArchive[变更前]),"",IF(INDEX(DGArchive[变更前],87)="","",INDEX(DGArchive[变更前],87)))</f>
        <v/>
      </c>
      <c r="CF286" t="str">
        <f>IF(87&gt;ROWS(DGArchive[增减]),"",IF(INDEX(DGArchive[增减],87)="","",INDEX(DGArchive[增减],87)))</f>
        <v/>
      </c>
      <c r="CG286" t="str">
        <f>IF(87&gt;ROWS(DGArchive[变更后]),"",IF(INDEX(DGArchive[变更后],87)="","",INDEX(DGArchive[变更后],87)))</f>
        <v/>
      </c>
      <c r="CH286" t="str">
        <f>IF(87&gt;ROWS(DGArchive[事件／活动]),"",IF(INDEX(DGArchive[事件／活动],87)="","",INDEX(DGArchive[事件／活动],87)))</f>
        <v/>
      </c>
      <c r="CI286" t="str">
        <f>IF(87&gt;ROWS(DGArchive[记录编号]),"",IF(INDEX(DGArchive[记录编号],87)="","",INDEX(DGArchive[记录编号],87)))</f>
        <v/>
      </c>
      <c r="CL286">
        <f t="shared" si="44"/>
        <v>0</v>
      </c>
      <c r="CM286">
        <f>IF(AND(A286=$AO$5,B286=$AQ$3,H286=1),COUNTIFS($A$200:A286,$AO$5,$B$200:B286,$AQ$3,$H$200:H286,1),0)</f>
        <v>0</v>
      </c>
      <c r="CN286">
        <f>IF(CA286="",87,1001)</f>
        <v>87</v>
      </c>
      <c r="GA286">
        <f t="shared" si="64"/>
        <v>0</v>
      </c>
      <c r="GB286">
        <f t="shared" si="65"/>
        <v>0</v>
      </c>
      <c r="GC286">
        <f>IF(AND(C286="事件记录",H286=1),COUNTIFS($C$200:C286,"事件记录",$H$200:H286,1),0)</f>
        <v>0</v>
      </c>
      <c r="GD286">
        <f t="shared" si="45"/>
        <v>0</v>
      </c>
      <c r="GH286">
        <f>IF(AND(H286=1,A286=$GA$10,B286=$GA$11),COUNTIFS($A$200:A286,$GA$10,$B$200:B286,$GA$11,$H$200:H286,1),0)</f>
        <v>0</v>
      </c>
    </row>
    <row r="287" spans="1:190">
      <c r="A287" t="str">
        <f t="shared" si="36"/>
        <v/>
      </c>
      <c r="B287" t="str">
        <f t="shared" si="37"/>
        <v/>
      </c>
      <c r="C287" t="str">
        <f t="shared" si="38"/>
        <v/>
      </c>
      <c r="D287" t="str">
        <f t="shared" si="39"/>
        <v/>
      </c>
      <c r="E287">
        <f t="shared" si="40"/>
        <v>0</v>
      </c>
      <c r="F287" t="str">
        <f t="shared" si="41"/>
        <v/>
      </c>
      <c r="G287">
        <f t="shared" si="42"/>
        <v>0</v>
      </c>
      <c r="H287">
        <f>IF(AND(G287=1,COUNTIFS($I$200:I287,I287,$G$200:G287,1)=1),1,0)</f>
        <v>0</v>
      </c>
      <c r="I287" t="str">
        <f t="shared" si="43"/>
        <v/>
      </c>
      <c r="BF287">
        <f t="shared" si="46"/>
        <v>0</v>
      </c>
      <c r="BG287">
        <f t="shared" si="47"/>
        <v>0</v>
      </c>
      <c r="BH287">
        <f t="shared" si="48"/>
        <v>0</v>
      </c>
      <c r="BI287">
        <f t="shared" si="49"/>
        <v>0</v>
      </c>
      <c r="BJ287">
        <f t="shared" si="50"/>
        <v>0</v>
      </c>
      <c r="BK287">
        <f t="shared" si="51"/>
        <v>0</v>
      </c>
      <c r="BL287">
        <f t="shared" si="52"/>
        <v>0</v>
      </c>
      <c r="BM287">
        <f t="shared" si="53"/>
        <v>0</v>
      </c>
      <c r="BN287">
        <f t="shared" si="54"/>
        <v>0</v>
      </c>
      <c r="BO287">
        <f t="shared" si="55"/>
        <v>0</v>
      </c>
      <c r="BP287">
        <f t="shared" si="56"/>
        <v>0</v>
      </c>
      <c r="BQ287">
        <f t="shared" si="57"/>
        <v>0</v>
      </c>
      <c r="BR287">
        <f t="shared" si="58"/>
        <v>0</v>
      </c>
      <c r="BS287">
        <f t="shared" si="59"/>
        <v>0</v>
      </c>
      <c r="BT287">
        <f t="shared" si="60"/>
        <v>0</v>
      </c>
      <c r="BU287">
        <f t="shared" si="61"/>
        <v>0</v>
      </c>
      <c r="BV287">
        <f t="shared" si="62"/>
        <v>0</v>
      </c>
      <c r="BW287">
        <f t="shared" si="63"/>
        <v>0</v>
      </c>
      <c r="CA287" t="str">
        <f>IF(88&gt;ROWS(DGArchive[模组]),"",IF(INDEX(DGArchive[模组],88)="","",INDEX(DGArchive[模组],88)))</f>
        <v/>
      </c>
      <c r="CB287" t="str">
        <f>IF(88&gt;ROWS(DGArchive[阶段]),"",IF(INDEX(DGArchive[阶段],88)="","",INDEX(DGArchive[阶段],88)))</f>
        <v/>
      </c>
      <c r="CC287" t="str">
        <f>IF(88&gt;ROWS(DGArchive[游戏内日期]),"",IF(INDEX(DGArchive[游戏内日期],88)="","",INDEX(DGArchive[游戏内日期],88)))</f>
        <v/>
      </c>
      <c r="CD287" t="str">
        <f>IF(88&gt;ROWS(DGArchive[目标]),"",IF(INDEX(DGArchive[目标],88)="","",INDEX(DGArchive[目标],88)))</f>
        <v/>
      </c>
      <c r="CE287" t="str">
        <f>IF(88&gt;ROWS(DGArchive[变更前]),"",IF(INDEX(DGArchive[变更前],88)="","",INDEX(DGArchive[变更前],88)))</f>
        <v/>
      </c>
      <c r="CF287" t="str">
        <f>IF(88&gt;ROWS(DGArchive[增减]),"",IF(INDEX(DGArchive[增减],88)="","",INDEX(DGArchive[增减],88)))</f>
        <v/>
      </c>
      <c r="CG287" t="str">
        <f>IF(88&gt;ROWS(DGArchive[变更后]),"",IF(INDEX(DGArchive[变更后],88)="","",INDEX(DGArchive[变更后],88)))</f>
        <v/>
      </c>
      <c r="CH287" t="str">
        <f>IF(88&gt;ROWS(DGArchive[事件／活动]),"",IF(INDEX(DGArchive[事件／活动],88)="","",INDEX(DGArchive[事件／活动],88)))</f>
        <v/>
      </c>
      <c r="CI287" t="str">
        <f>IF(88&gt;ROWS(DGArchive[记录编号]),"",IF(INDEX(DGArchive[记录编号],88)="","",INDEX(DGArchive[记录编号],88)))</f>
        <v/>
      </c>
      <c r="CL287">
        <f t="shared" si="44"/>
        <v>0</v>
      </c>
      <c r="CM287">
        <f>IF(AND(A287=$AO$5,B287=$AQ$3,H287=1),COUNTIFS($A$200:A287,$AO$5,$B$200:B287,$AQ$3,$H$200:H287,1),0)</f>
        <v>0</v>
      </c>
      <c r="CN287">
        <f>IF(CA287="",88,1001)</f>
        <v>88</v>
      </c>
      <c r="GA287">
        <f t="shared" si="64"/>
        <v>0</v>
      </c>
      <c r="GB287">
        <f t="shared" si="65"/>
        <v>0</v>
      </c>
      <c r="GC287">
        <f>IF(AND(C287="事件记录",H287=1),COUNTIFS($C$200:C287,"事件记录",$H$200:H287,1),0)</f>
        <v>0</v>
      </c>
      <c r="GD287">
        <f t="shared" si="45"/>
        <v>0</v>
      </c>
      <c r="GH287">
        <f>IF(AND(H287=1,A287=$GA$10,B287=$GA$11),COUNTIFS($A$200:A287,$GA$10,$B$200:B287,$GA$11,$H$200:H287,1),0)</f>
        <v>0</v>
      </c>
    </row>
    <row r="288" spans="1:190">
      <c r="A288" t="str">
        <f t="shared" si="36"/>
        <v/>
      </c>
      <c r="B288" t="str">
        <f t="shared" si="37"/>
        <v/>
      </c>
      <c r="C288" t="str">
        <f t="shared" si="38"/>
        <v/>
      </c>
      <c r="D288" t="str">
        <f t="shared" si="39"/>
        <v/>
      </c>
      <c r="E288">
        <f t="shared" si="40"/>
        <v>0</v>
      </c>
      <c r="F288" t="str">
        <f t="shared" si="41"/>
        <v/>
      </c>
      <c r="G288">
        <f t="shared" si="42"/>
        <v>0</v>
      </c>
      <c r="H288">
        <f>IF(AND(G288=1,COUNTIFS($I$200:I288,I288,$G$200:G288,1)=1),1,0)</f>
        <v>0</v>
      </c>
      <c r="I288" t="str">
        <f t="shared" si="43"/>
        <v/>
      </c>
      <c r="BF288">
        <f t="shared" si="46"/>
        <v>0</v>
      </c>
      <c r="BG288">
        <f t="shared" si="47"/>
        <v>0</v>
      </c>
      <c r="BH288">
        <f t="shared" si="48"/>
        <v>0</v>
      </c>
      <c r="BI288">
        <f t="shared" si="49"/>
        <v>0</v>
      </c>
      <c r="BJ288">
        <f t="shared" si="50"/>
        <v>0</v>
      </c>
      <c r="BK288">
        <f t="shared" si="51"/>
        <v>0</v>
      </c>
      <c r="BL288">
        <f t="shared" si="52"/>
        <v>0</v>
      </c>
      <c r="BM288">
        <f t="shared" si="53"/>
        <v>0</v>
      </c>
      <c r="BN288">
        <f t="shared" si="54"/>
        <v>0</v>
      </c>
      <c r="BO288">
        <f t="shared" si="55"/>
        <v>0</v>
      </c>
      <c r="BP288">
        <f t="shared" si="56"/>
        <v>0</v>
      </c>
      <c r="BQ288">
        <f t="shared" si="57"/>
        <v>0</v>
      </c>
      <c r="BR288">
        <f t="shared" si="58"/>
        <v>0</v>
      </c>
      <c r="BS288">
        <f t="shared" si="59"/>
        <v>0</v>
      </c>
      <c r="BT288">
        <f t="shared" si="60"/>
        <v>0</v>
      </c>
      <c r="BU288">
        <f t="shared" si="61"/>
        <v>0</v>
      </c>
      <c r="BV288">
        <f t="shared" si="62"/>
        <v>0</v>
      </c>
      <c r="BW288">
        <f t="shared" si="63"/>
        <v>0</v>
      </c>
      <c r="CA288" t="str">
        <f>IF(89&gt;ROWS(DGArchive[模组]),"",IF(INDEX(DGArchive[模组],89)="","",INDEX(DGArchive[模组],89)))</f>
        <v/>
      </c>
      <c r="CB288" t="str">
        <f>IF(89&gt;ROWS(DGArchive[阶段]),"",IF(INDEX(DGArchive[阶段],89)="","",INDEX(DGArchive[阶段],89)))</f>
        <v/>
      </c>
      <c r="CC288" t="str">
        <f>IF(89&gt;ROWS(DGArchive[游戏内日期]),"",IF(INDEX(DGArchive[游戏内日期],89)="","",INDEX(DGArchive[游戏内日期],89)))</f>
        <v/>
      </c>
      <c r="CD288" t="str">
        <f>IF(89&gt;ROWS(DGArchive[目标]),"",IF(INDEX(DGArchive[目标],89)="","",INDEX(DGArchive[目标],89)))</f>
        <v/>
      </c>
      <c r="CE288" t="str">
        <f>IF(89&gt;ROWS(DGArchive[变更前]),"",IF(INDEX(DGArchive[变更前],89)="","",INDEX(DGArchive[变更前],89)))</f>
        <v/>
      </c>
      <c r="CF288" t="str">
        <f>IF(89&gt;ROWS(DGArchive[增减]),"",IF(INDEX(DGArchive[增减],89)="","",INDEX(DGArchive[增减],89)))</f>
        <v/>
      </c>
      <c r="CG288" t="str">
        <f>IF(89&gt;ROWS(DGArchive[变更后]),"",IF(INDEX(DGArchive[变更后],89)="","",INDEX(DGArchive[变更后],89)))</f>
        <v/>
      </c>
      <c r="CH288" t="str">
        <f>IF(89&gt;ROWS(DGArchive[事件／活动]),"",IF(INDEX(DGArchive[事件／活动],89)="","",INDEX(DGArchive[事件／活动],89)))</f>
        <v/>
      </c>
      <c r="CI288" t="str">
        <f>IF(89&gt;ROWS(DGArchive[记录编号]),"",IF(INDEX(DGArchive[记录编号],89)="","",INDEX(DGArchive[记录编号],89)))</f>
        <v/>
      </c>
      <c r="CL288">
        <f t="shared" si="44"/>
        <v>0</v>
      </c>
      <c r="CM288">
        <f>IF(AND(A288=$AO$5,B288=$AQ$3,H288=1),COUNTIFS($A$200:A288,$AO$5,$B$200:B288,$AQ$3,$H$200:H288,1),0)</f>
        <v>0</v>
      </c>
      <c r="CN288">
        <f>IF(CA288="",89,1001)</f>
        <v>89</v>
      </c>
      <c r="GA288">
        <f t="shared" si="64"/>
        <v>0</v>
      </c>
      <c r="GB288">
        <f t="shared" si="65"/>
        <v>0</v>
      </c>
      <c r="GC288">
        <f>IF(AND(C288="事件记录",H288=1),COUNTIFS($C$200:C288,"事件记录",$H$200:H288,1),0)</f>
        <v>0</v>
      </c>
      <c r="GD288">
        <f t="shared" si="45"/>
        <v>0</v>
      </c>
      <c r="GH288">
        <f>IF(AND(H288=1,A288=$GA$10,B288=$GA$11),COUNTIFS($A$200:A288,$GA$10,$B$200:B288,$GA$11,$H$200:H288,1),0)</f>
        <v>0</v>
      </c>
    </row>
    <row r="289" spans="1:190">
      <c r="A289" t="str">
        <f t="shared" si="36"/>
        <v/>
      </c>
      <c r="B289" t="str">
        <f t="shared" si="37"/>
        <v/>
      </c>
      <c r="C289" t="str">
        <f t="shared" si="38"/>
        <v/>
      </c>
      <c r="D289" t="str">
        <f t="shared" si="39"/>
        <v/>
      </c>
      <c r="E289">
        <f t="shared" si="40"/>
        <v>0</v>
      </c>
      <c r="F289" t="str">
        <f t="shared" si="41"/>
        <v/>
      </c>
      <c r="G289">
        <f t="shared" si="42"/>
        <v>0</v>
      </c>
      <c r="H289">
        <f>IF(AND(G289=1,COUNTIFS($I$200:I289,I289,$G$200:G289,1)=1),1,0)</f>
        <v>0</v>
      </c>
      <c r="I289" t="str">
        <f t="shared" si="43"/>
        <v/>
      </c>
      <c r="BF289">
        <f t="shared" si="46"/>
        <v>0</v>
      </c>
      <c r="BG289">
        <f t="shared" si="47"/>
        <v>0</v>
      </c>
      <c r="BH289">
        <f t="shared" si="48"/>
        <v>0</v>
      </c>
      <c r="BI289">
        <f t="shared" si="49"/>
        <v>0</v>
      </c>
      <c r="BJ289">
        <f t="shared" si="50"/>
        <v>0</v>
      </c>
      <c r="BK289">
        <f t="shared" si="51"/>
        <v>0</v>
      </c>
      <c r="BL289">
        <f t="shared" si="52"/>
        <v>0</v>
      </c>
      <c r="BM289">
        <f t="shared" si="53"/>
        <v>0</v>
      </c>
      <c r="BN289">
        <f t="shared" si="54"/>
        <v>0</v>
      </c>
      <c r="BO289">
        <f t="shared" si="55"/>
        <v>0</v>
      </c>
      <c r="BP289">
        <f t="shared" si="56"/>
        <v>0</v>
      </c>
      <c r="BQ289">
        <f t="shared" si="57"/>
        <v>0</v>
      </c>
      <c r="BR289">
        <f t="shared" si="58"/>
        <v>0</v>
      </c>
      <c r="BS289">
        <f t="shared" si="59"/>
        <v>0</v>
      </c>
      <c r="BT289">
        <f t="shared" si="60"/>
        <v>0</v>
      </c>
      <c r="BU289">
        <f t="shared" si="61"/>
        <v>0</v>
      </c>
      <c r="BV289">
        <f t="shared" si="62"/>
        <v>0</v>
      </c>
      <c r="BW289">
        <f t="shared" si="63"/>
        <v>0</v>
      </c>
      <c r="CA289" t="str">
        <f>IF(90&gt;ROWS(DGArchive[模组]),"",IF(INDEX(DGArchive[模组],90)="","",INDEX(DGArchive[模组],90)))</f>
        <v/>
      </c>
      <c r="CB289" t="str">
        <f>IF(90&gt;ROWS(DGArchive[阶段]),"",IF(INDEX(DGArchive[阶段],90)="","",INDEX(DGArchive[阶段],90)))</f>
        <v/>
      </c>
      <c r="CC289" t="str">
        <f>IF(90&gt;ROWS(DGArchive[游戏内日期]),"",IF(INDEX(DGArchive[游戏内日期],90)="","",INDEX(DGArchive[游戏内日期],90)))</f>
        <v/>
      </c>
      <c r="CD289" t="str">
        <f>IF(90&gt;ROWS(DGArchive[目标]),"",IF(INDEX(DGArchive[目标],90)="","",INDEX(DGArchive[目标],90)))</f>
        <v/>
      </c>
      <c r="CE289" t="str">
        <f>IF(90&gt;ROWS(DGArchive[变更前]),"",IF(INDEX(DGArchive[变更前],90)="","",INDEX(DGArchive[变更前],90)))</f>
        <v/>
      </c>
      <c r="CF289" t="str">
        <f>IF(90&gt;ROWS(DGArchive[增减]),"",IF(INDEX(DGArchive[增减],90)="","",INDEX(DGArchive[增减],90)))</f>
        <v/>
      </c>
      <c r="CG289" t="str">
        <f>IF(90&gt;ROWS(DGArchive[变更后]),"",IF(INDEX(DGArchive[变更后],90)="","",INDEX(DGArchive[变更后],90)))</f>
        <v/>
      </c>
      <c r="CH289" t="str">
        <f>IF(90&gt;ROWS(DGArchive[事件／活动]),"",IF(INDEX(DGArchive[事件／活动],90)="","",INDEX(DGArchive[事件／活动],90)))</f>
        <v/>
      </c>
      <c r="CI289" t="str">
        <f>IF(90&gt;ROWS(DGArchive[记录编号]),"",IF(INDEX(DGArchive[记录编号],90)="","",INDEX(DGArchive[记录编号],90)))</f>
        <v/>
      </c>
      <c r="CL289">
        <f t="shared" si="44"/>
        <v>0</v>
      </c>
      <c r="CM289">
        <f>IF(AND(A289=$AO$5,B289=$AQ$3,H289=1),COUNTIFS($A$200:A289,$AO$5,$B$200:B289,$AQ$3,$H$200:H289,1),0)</f>
        <v>0</v>
      </c>
      <c r="CN289">
        <f>IF(CA289="",90,1001)</f>
        <v>90</v>
      </c>
      <c r="GA289">
        <f t="shared" si="64"/>
        <v>0</v>
      </c>
      <c r="GB289">
        <f t="shared" si="65"/>
        <v>0</v>
      </c>
      <c r="GC289">
        <f>IF(AND(C289="事件记录",H289=1),COUNTIFS($C$200:C289,"事件记录",$H$200:H289,1),0)</f>
        <v>0</v>
      </c>
      <c r="GD289">
        <f t="shared" si="45"/>
        <v>0</v>
      </c>
      <c r="GH289">
        <f>IF(AND(H289=1,A289=$GA$10,B289=$GA$11),COUNTIFS($A$200:A289,$GA$10,$B$200:B289,$GA$11,$H$200:H289,1),0)</f>
        <v>0</v>
      </c>
    </row>
    <row r="290" spans="1:190">
      <c r="A290" t="str">
        <f t="shared" si="36"/>
        <v/>
      </c>
      <c r="B290" t="str">
        <f t="shared" si="37"/>
        <v/>
      </c>
      <c r="C290" t="str">
        <f t="shared" si="38"/>
        <v/>
      </c>
      <c r="D290" t="str">
        <f t="shared" si="39"/>
        <v/>
      </c>
      <c r="E290">
        <f t="shared" si="40"/>
        <v>0</v>
      </c>
      <c r="F290" t="str">
        <f t="shared" si="41"/>
        <v/>
      </c>
      <c r="G290">
        <f t="shared" si="42"/>
        <v>0</v>
      </c>
      <c r="H290">
        <f>IF(AND(G290=1,COUNTIFS($I$200:I290,I290,$G$200:G290,1)=1),1,0)</f>
        <v>0</v>
      </c>
      <c r="I290" t="str">
        <f t="shared" si="43"/>
        <v/>
      </c>
      <c r="BF290">
        <f t="shared" si="46"/>
        <v>0</v>
      </c>
      <c r="BG290">
        <f t="shared" si="47"/>
        <v>0</v>
      </c>
      <c r="BH290">
        <f t="shared" si="48"/>
        <v>0</v>
      </c>
      <c r="BI290">
        <f t="shared" si="49"/>
        <v>0</v>
      </c>
      <c r="BJ290">
        <f t="shared" si="50"/>
        <v>0</v>
      </c>
      <c r="BK290">
        <f t="shared" si="51"/>
        <v>0</v>
      </c>
      <c r="BL290">
        <f t="shared" si="52"/>
        <v>0</v>
      </c>
      <c r="BM290">
        <f t="shared" si="53"/>
        <v>0</v>
      </c>
      <c r="BN290">
        <f t="shared" si="54"/>
        <v>0</v>
      </c>
      <c r="BO290">
        <f t="shared" si="55"/>
        <v>0</v>
      </c>
      <c r="BP290">
        <f t="shared" si="56"/>
        <v>0</v>
      </c>
      <c r="BQ290">
        <f t="shared" si="57"/>
        <v>0</v>
      </c>
      <c r="BR290">
        <f t="shared" si="58"/>
        <v>0</v>
      </c>
      <c r="BS290">
        <f t="shared" si="59"/>
        <v>0</v>
      </c>
      <c r="BT290">
        <f t="shared" si="60"/>
        <v>0</v>
      </c>
      <c r="BU290">
        <f t="shared" si="61"/>
        <v>0</v>
      </c>
      <c r="BV290">
        <f t="shared" si="62"/>
        <v>0</v>
      </c>
      <c r="BW290">
        <f t="shared" si="63"/>
        <v>0</v>
      </c>
      <c r="CA290" t="str">
        <f>IF(91&gt;ROWS(DGArchive[模组]),"",IF(INDEX(DGArchive[模组],91)="","",INDEX(DGArchive[模组],91)))</f>
        <v/>
      </c>
      <c r="CB290" t="str">
        <f>IF(91&gt;ROWS(DGArchive[阶段]),"",IF(INDEX(DGArchive[阶段],91)="","",INDEX(DGArchive[阶段],91)))</f>
        <v/>
      </c>
      <c r="CC290" t="str">
        <f>IF(91&gt;ROWS(DGArchive[游戏内日期]),"",IF(INDEX(DGArchive[游戏内日期],91)="","",INDEX(DGArchive[游戏内日期],91)))</f>
        <v/>
      </c>
      <c r="CD290" t="str">
        <f>IF(91&gt;ROWS(DGArchive[目标]),"",IF(INDEX(DGArchive[目标],91)="","",INDEX(DGArchive[目标],91)))</f>
        <v/>
      </c>
      <c r="CE290" t="str">
        <f>IF(91&gt;ROWS(DGArchive[变更前]),"",IF(INDEX(DGArchive[变更前],91)="","",INDEX(DGArchive[变更前],91)))</f>
        <v/>
      </c>
      <c r="CF290" t="str">
        <f>IF(91&gt;ROWS(DGArchive[增减]),"",IF(INDEX(DGArchive[增减],91)="","",INDEX(DGArchive[增减],91)))</f>
        <v/>
      </c>
      <c r="CG290" t="str">
        <f>IF(91&gt;ROWS(DGArchive[变更后]),"",IF(INDEX(DGArchive[变更后],91)="","",INDEX(DGArchive[变更后],91)))</f>
        <v/>
      </c>
      <c r="CH290" t="str">
        <f>IF(91&gt;ROWS(DGArchive[事件／活动]),"",IF(INDEX(DGArchive[事件／活动],91)="","",INDEX(DGArchive[事件／活动],91)))</f>
        <v/>
      </c>
      <c r="CI290" t="str">
        <f>IF(91&gt;ROWS(DGArchive[记录编号]),"",IF(INDEX(DGArchive[记录编号],91)="","",INDEX(DGArchive[记录编号],91)))</f>
        <v/>
      </c>
      <c r="CL290">
        <f t="shared" si="44"/>
        <v>0</v>
      </c>
      <c r="CM290">
        <f>IF(AND(A290=$AO$5,B290=$AQ$3,H290=1),COUNTIFS($A$200:A290,$AO$5,$B$200:B290,$AQ$3,$H$200:H290,1),0)</f>
        <v>0</v>
      </c>
      <c r="CN290">
        <f>IF(CA290="",91,1001)</f>
        <v>91</v>
      </c>
      <c r="GA290">
        <f t="shared" si="64"/>
        <v>0</v>
      </c>
      <c r="GB290">
        <f t="shared" si="65"/>
        <v>0</v>
      </c>
      <c r="GC290">
        <f>IF(AND(C290="事件记录",H290=1),COUNTIFS($C$200:C290,"事件记录",$H$200:H290,1),0)</f>
        <v>0</v>
      </c>
      <c r="GD290">
        <f t="shared" si="45"/>
        <v>0</v>
      </c>
      <c r="GH290">
        <f>IF(AND(H290=1,A290=$GA$10,B290=$GA$11),COUNTIFS($A$200:A290,$GA$10,$B$200:B290,$GA$11,$H$200:H290,1),0)</f>
        <v>0</v>
      </c>
    </row>
    <row r="291" spans="1:190">
      <c r="A291" t="str">
        <f t="shared" si="36"/>
        <v/>
      </c>
      <c r="B291" t="str">
        <f t="shared" si="37"/>
        <v/>
      </c>
      <c r="C291" t="str">
        <f t="shared" si="38"/>
        <v/>
      </c>
      <c r="D291" t="str">
        <f t="shared" si="39"/>
        <v/>
      </c>
      <c r="E291">
        <f t="shared" si="40"/>
        <v>0</v>
      </c>
      <c r="F291" t="str">
        <f t="shared" si="41"/>
        <v/>
      </c>
      <c r="G291">
        <f t="shared" si="42"/>
        <v>0</v>
      </c>
      <c r="H291">
        <f>IF(AND(G291=1,COUNTIFS($I$200:I291,I291,$G$200:G291,1)=1),1,0)</f>
        <v>0</v>
      </c>
      <c r="I291" t="str">
        <f t="shared" si="43"/>
        <v/>
      </c>
      <c r="BF291">
        <f t="shared" si="46"/>
        <v>0</v>
      </c>
      <c r="BG291">
        <f t="shared" si="47"/>
        <v>0</v>
      </c>
      <c r="BH291">
        <f t="shared" si="48"/>
        <v>0</v>
      </c>
      <c r="BI291">
        <f t="shared" si="49"/>
        <v>0</v>
      </c>
      <c r="BJ291">
        <f t="shared" si="50"/>
        <v>0</v>
      </c>
      <c r="BK291">
        <f t="shared" si="51"/>
        <v>0</v>
      </c>
      <c r="BL291">
        <f t="shared" si="52"/>
        <v>0</v>
      </c>
      <c r="BM291">
        <f t="shared" si="53"/>
        <v>0</v>
      </c>
      <c r="BN291">
        <f t="shared" si="54"/>
        <v>0</v>
      </c>
      <c r="BO291">
        <f t="shared" si="55"/>
        <v>0</v>
      </c>
      <c r="BP291">
        <f t="shared" si="56"/>
        <v>0</v>
      </c>
      <c r="BQ291">
        <f t="shared" si="57"/>
        <v>0</v>
      </c>
      <c r="BR291">
        <f t="shared" si="58"/>
        <v>0</v>
      </c>
      <c r="BS291">
        <f t="shared" si="59"/>
        <v>0</v>
      </c>
      <c r="BT291">
        <f t="shared" si="60"/>
        <v>0</v>
      </c>
      <c r="BU291">
        <f t="shared" si="61"/>
        <v>0</v>
      </c>
      <c r="BV291">
        <f t="shared" si="62"/>
        <v>0</v>
      </c>
      <c r="BW291">
        <f t="shared" si="63"/>
        <v>0</v>
      </c>
      <c r="CA291" t="str">
        <f>IF(92&gt;ROWS(DGArchive[模组]),"",IF(INDEX(DGArchive[模组],92)="","",INDEX(DGArchive[模组],92)))</f>
        <v/>
      </c>
      <c r="CB291" t="str">
        <f>IF(92&gt;ROWS(DGArchive[阶段]),"",IF(INDEX(DGArchive[阶段],92)="","",INDEX(DGArchive[阶段],92)))</f>
        <v/>
      </c>
      <c r="CC291" t="str">
        <f>IF(92&gt;ROWS(DGArchive[游戏内日期]),"",IF(INDEX(DGArchive[游戏内日期],92)="","",INDEX(DGArchive[游戏内日期],92)))</f>
        <v/>
      </c>
      <c r="CD291" t="str">
        <f>IF(92&gt;ROWS(DGArchive[目标]),"",IF(INDEX(DGArchive[目标],92)="","",INDEX(DGArchive[目标],92)))</f>
        <v/>
      </c>
      <c r="CE291" t="str">
        <f>IF(92&gt;ROWS(DGArchive[变更前]),"",IF(INDEX(DGArchive[变更前],92)="","",INDEX(DGArchive[变更前],92)))</f>
        <v/>
      </c>
      <c r="CF291" t="str">
        <f>IF(92&gt;ROWS(DGArchive[增减]),"",IF(INDEX(DGArchive[增减],92)="","",INDEX(DGArchive[增减],92)))</f>
        <v/>
      </c>
      <c r="CG291" t="str">
        <f>IF(92&gt;ROWS(DGArchive[变更后]),"",IF(INDEX(DGArchive[变更后],92)="","",INDEX(DGArchive[变更后],92)))</f>
        <v/>
      </c>
      <c r="CH291" t="str">
        <f>IF(92&gt;ROWS(DGArchive[事件／活动]),"",IF(INDEX(DGArchive[事件／活动],92)="","",INDEX(DGArchive[事件／活动],92)))</f>
        <v/>
      </c>
      <c r="CI291" t="str">
        <f>IF(92&gt;ROWS(DGArchive[记录编号]),"",IF(INDEX(DGArchive[记录编号],92)="","",INDEX(DGArchive[记录编号],92)))</f>
        <v/>
      </c>
      <c r="CL291">
        <f t="shared" si="44"/>
        <v>0</v>
      </c>
      <c r="CM291">
        <f>IF(AND(A291=$AO$5,B291=$AQ$3,H291=1),COUNTIFS($A$200:A291,$AO$5,$B$200:B291,$AQ$3,$H$200:H291,1),0)</f>
        <v>0</v>
      </c>
      <c r="CN291">
        <f>IF(CA291="",92,1001)</f>
        <v>92</v>
      </c>
      <c r="GA291">
        <f t="shared" si="64"/>
        <v>0</v>
      </c>
      <c r="GB291">
        <f t="shared" si="65"/>
        <v>0</v>
      </c>
      <c r="GC291">
        <f>IF(AND(C291="事件记录",H291=1),COUNTIFS($C$200:C291,"事件记录",$H$200:H291,1),0)</f>
        <v>0</v>
      </c>
      <c r="GD291">
        <f t="shared" si="45"/>
        <v>0</v>
      </c>
      <c r="GH291">
        <f>IF(AND(H291=1,A291=$GA$10,B291=$GA$11),COUNTIFS($A$200:A291,$GA$10,$B$200:B291,$GA$11,$H$200:H291,1),0)</f>
        <v>0</v>
      </c>
    </row>
    <row r="292" spans="1:190">
      <c r="A292" t="str">
        <f t="shared" si="36"/>
        <v/>
      </c>
      <c r="B292" t="str">
        <f t="shared" si="37"/>
        <v/>
      </c>
      <c r="C292" t="str">
        <f t="shared" si="38"/>
        <v/>
      </c>
      <c r="D292" t="str">
        <f t="shared" si="39"/>
        <v/>
      </c>
      <c r="E292">
        <f t="shared" si="40"/>
        <v>0</v>
      </c>
      <c r="F292" t="str">
        <f t="shared" si="41"/>
        <v/>
      </c>
      <c r="G292">
        <f t="shared" si="42"/>
        <v>0</v>
      </c>
      <c r="H292">
        <f>IF(AND(G292=1,COUNTIFS($I$200:I292,I292,$G$200:G292,1)=1),1,0)</f>
        <v>0</v>
      </c>
      <c r="I292" t="str">
        <f t="shared" si="43"/>
        <v/>
      </c>
      <c r="BF292">
        <f t="shared" si="46"/>
        <v>0</v>
      </c>
      <c r="BG292">
        <f t="shared" si="47"/>
        <v>0</v>
      </c>
      <c r="BH292">
        <f t="shared" si="48"/>
        <v>0</v>
      </c>
      <c r="BI292">
        <f t="shared" si="49"/>
        <v>0</v>
      </c>
      <c r="BJ292">
        <f t="shared" si="50"/>
        <v>0</v>
      </c>
      <c r="BK292">
        <f t="shared" si="51"/>
        <v>0</v>
      </c>
      <c r="BL292">
        <f t="shared" si="52"/>
        <v>0</v>
      </c>
      <c r="BM292">
        <f t="shared" si="53"/>
        <v>0</v>
      </c>
      <c r="BN292">
        <f t="shared" si="54"/>
        <v>0</v>
      </c>
      <c r="BO292">
        <f t="shared" si="55"/>
        <v>0</v>
      </c>
      <c r="BP292">
        <f t="shared" si="56"/>
        <v>0</v>
      </c>
      <c r="BQ292">
        <f t="shared" si="57"/>
        <v>0</v>
      </c>
      <c r="BR292">
        <f t="shared" si="58"/>
        <v>0</v>
      </c>
      <c r="BS292">
        <f t="shared" si="59"/>
        <v>0</v>
      </c>
      <c r="BT292">
        <f t="shared" si="60"/>
        <v>0</v>
      </c>
      <c r="BU292">
        <f t="shared" si="61"/>
        <v>0</v>
      </c>
      <c r="BV292">
        <f t="shared" si="62"/>
        <v>0</v>
      </c>
      <c r="BW292">
        <f t="shared" si="63"/>
        <v>0</v>
      </c>
      <c r="CA292" t="str">
        <f>IF(93&gt;ROWS(DGArchive[模组]),"",IF(INDEX(DGArchive[模组],93)="","",INDEX(DGArchive[模组],93)))</f>
        <v/>
      </c>
      <c r="CB292" t="str">
        <f>IF(93&gt;ROWS(DGArchive[阶段]),"",IF(INDEX(DGArchive[阶段],93)="","",INDEX(DGArchive[阶段],93)))</f>
        <v/>
      </c>
      <c r="CC292" t="str">
        <f>IF(93&gt;ROWS(DGArchive[游戏内日期]),"",IF(INDEX(DGArchive[游戏内日期],93)="","",INDEX(DGArchive[游戏内日期],93)))</f>
        <v/>
      </c>
      <c r="CD292" t="str">
        <f>IF(93&gt;ROWS(DGArchive[目标]),"",IF(INDEX(DGArchive[目标],93)="","",INDEX(DGArchive[目标],93)))</f>
        <v/>
      </c>
      <c r="CE292" t="str">
        <f>IF(93&gt;ROWS(DGArchive[变更前]),"",IF(INDEX(DGArchive[变更前],93)="","",INDEX(DGArchive[变更前],93)))</f>
        <v/>
      </c>
      <c r="CF292" t="str">
        <f>IF(93&gt;ROWS(DGArchive[增减]),"",IF(INDEX(DGArchive[增减],93)="","",INDEX(DGArchive[增减],93)))</f>
        <v/>
      </c>
      <c r="CG292" t="str">
        <f>IF(93&gt;ROWS(DGArchive[变更后]),"",IF(INDEX(DGArchive[变更后],93)="","",INDEX(DGArchive[变更后],93)))</f>
        <v/>
      </c>
      <c r="CH292" t="str">
        <f>IF(93&gt;ROWS(DGArchive[事件／活动]),"",IF(INDEX(DGArchive[事件／活动],93)="","",INDEX(DGArchive[事件／活动],93)))</f>
        <v/>
      </c>
      <c r="CI292" t="str">
        <f>IF(93&gt;ROWS(DGArchive[记录编号]),"",IF(INDEX(DGArchive[记录编号],93)="","",INDEX(DGArchive[记录编号],93)))</f>
        <v/>
      </c>
      <c r="CL292">
        <f t="shared" si="44"/>
        <v>0</v>
      </c>
      <c r="CM292">
        <f>IF(AND(A292=$AO$5,B292=$AQ$3,H292=1),COUNTIFS($A$200:A292,$AO$5,$B$200:B292,$AQ$3,$H$200:H292,1),0)</f>
        <v>0</v>
      </c>
      <c r="CN292">
        <f>IF(CA292="",93,1001)</f>
        <v>93</v>
      </c>
      <c r="GA292">
        <f t="shared" si="64"/>
        <v>0</v>
      </c>
      <c r="GB292">
        <f t="shared" si="65"/>
        <v>0</v>
      </c>
      <c r="GC292">
        <f>IF(AND(C292="事件记录",H292=1),COUNTIFS($C$200:C292,"事件记录",$H$200:H292,1),0)</f>
        <v>0</v>
      </c>
      <c r="GD292">
        <f t="shared" si="45"/>
        <v>0</v>
      </c>
      <c r="GH292">
        <f>IF(AND(H292=1,A292=$GA$10,B292=$GA$11),COUNTIFS($A$200:A292,$GA$10,$B$200:B292,$GA$11,$H$200:H292,1),0)</f>
        <v>0</v>
      </c>
    </row>
    <row r="293" spans="1:190">
      <c r="A293" t="str">
        <f t="shared" si="36"/>
        <v/>
      </c>
      <c r="B293" t="str">
        <f t="shared" si="37"/>
        <v/>
      </c>
      <c r="C293" t="str">
        <f t="shared" si="38"/>
        <v/>
      </c>
      <c r="D293" t="str">
        <f t="shared" si="39"/>
        <v/>
      </c>
      <c r="E293">
        <f t="shared" si="40"/>
        <v>0</v>
      </c>
      <c r="F293" t="str">
        <f t="shared" si="41"/>
        <v/>
      </c>
      <c r="G293">
        <f t="shared" si="42"/>
        <v>0</v>
      </c>
      <c r="H293">
        <f>IF(AND(G293=1,COUNTIFS($I$200:I293,I293,$G$200:G293,1)=1),1,0)</f>
        <v>0</v>
      </c>
      <c r="I293" t="str">
        <f t="shared" si="43"/>
        <v/>
      </c>
      <c r="BF293">
        <f t="shared" si="46"/>
        <v>0</v>
      </c>
      <c r="BG293">
        <f t="shared" si="47"/>
        <v>0</v>
      </c>
      <c r="BH293">
        <f t="shared" si="48"/>
        <v>0</v>
      </c>
      <c r="BI293">
        <f t="shared" si="49"/>
        <v>0</v>
      </c>
      <c r="BJ293">
        <f t="shared" si="50"/>
        <v>0</v>
      </c>
      <c r="BK293">
        <f t="shared" si="51"/>
        <v>0</v>
      </c>
      <c r="BL293">
        <f t="shared" si="52"/>
        <v>0</v>
      </c>
      <c r="BM293">
        <f t="shared" si="53"/>
        <v>0</v>
      </c>
      <c r="BN293">
        <f t="shared" si="54"/>
        <v>0</v>
      </c>
      <c r="BO293">
        <f t="shared" si="55"/>
        <v>0</v>
      </c>
      <c r="BP293">
        <f t="shared" si="56"/>
        <v>0</v>
      </c>
      <c r="BQ293">
        <f t="shared" si="57"/>
        <v>0</v>
      </c>
      <c r="BR293">
        <f t="shared" si="58"/>
        <v>0</v>
      </c>
      <c r="BS293">
        <f t="shared" si="59"/>
        <v>0</v>
      </c>
      <c r="BT293">
        <f t="shared" si="60"/>
        <v>0</v>
      </c>
      <c r="BU293">
        <f t="shared" si="61"/>
        <v>0</v>
      </c>
      <c r="BV293">
        <f t="shared" si="62"/>
        <v>0</v>
      </c>
      <c r="BW293">
        <f t="shared" si="63"/>
        <v>0</v>
      </c>
      <c r="CA293" t="str">
        <f>IF(94&gt;ROWS(DGArchive[模组]),"",IF(INDEX(DGArchive[模组],94)="","",INDEX(DGArchive[模组],94)))</f>
        <v/>
      </c>
      <c r="CB293" t="str">
        <f>IF(94&gt;ROWS(DGArchive[阶段]),"",IF(INDEX(DGArchive[阶段],94)="","",INDEX(DGArchive[阶段],94)))</f>
        <v/>
      </c>
      <c r="CC293" t="str">
        <f>IF(94&gt;ROWS(DGArchive[游戏内日期]),"",IF(INDEX(DGArchive[游戏内日期],94)="","",INDEX(DGArchive[游戏内日期],94)))</f>
        <v/>
      </c>
      <c r="CD293" t="str">
        <f>IF(94&gt;ROWS(DGArchive[目标]),"",IF(INDEX(DGArchive[目标],94)="","",INDEX(DGArchive[目标],94)))</f>
        <v/>
      </c>
      <c r="CE293" t="str">
        <f>IF(94&gt;ROWS(DGArchive[变更前]),"",IF(INDEX(DGArchive[变更前],94)="","",INDEX(DGArchive[变更前],94)))</f>
        <v/>
      </c>
      <c r="CF293" t="str">
        <f>IF(94&gt;ROWS(DGArchive[增减]),"",IF(INDEX(DGArchive[增减],94)="","",INDEX(DGArchive[增减],94)))</f>
        <v/>
      </c>
      <c r="CG293" t="str">
        <f>IF(94&gt;ROWS(DGArchive[变更后]),"",IF(INDEX(DGArchive[变更后],94)="","",INDEX(DGArchive[变更后],94)))</f>
        <v/>
      </c>
      <c r="CH293" t="str">
        <f>IF(94&gt;ROWS(DGArchive[事件／活动]),"",IF(INDEX(DGArchive[事件／活动],94)="","",INDEX(DGArchive[事件／活动],94)))</f>
        <v/>
      </c>
      <c r="CI293" t="str">
        <f>IF(94&gt;ROWS(DGArchive[记录编号]),"",IF(INDEX(DGArchive[记录编号],94)="","",INDEX(DGArchive[记录编号],94)))</f>
        <v/>
      </c>
      <c r="CL293">
        <f t="shared" si="44"/>
        <v>0</v>
      </c>
      <c r="CM293">
        <f>IF(AND(A293=$AO$5,B293=$AQ$3,H293=1),COUNTIFS($A$200:A293,$AO$5,$B$200:B293,$AQ$3,$H$200:H293,1),0)</f>
        <v>0</v>
      </c>
      <c r="CN293">
        <f>IF(CA293="",94,1001)</f>
        <v>94</v>
      </c>
      <c r="GA293">
        <f t="shared" si="64"/>
        <v>0</v>
      </c>
      <c r="GB293">
        <f t="shared" si="65"/>
        <v>0</v>
      </c>
      <c r="GC293">
        <f>IF(AND(C293="事件记录",H293=1),COUNTIFS($C$200:C293,"事件记录",$H$200:H293,1),0)</f>
        <v>0</v>
      </c>
      <c r="GD293">
        <f t="shared" si="45"/>
        <v>0</v>
      </c>
      <c r="GH293">
        <f>IF(AND(H293=1,A293=$GA$10,B293=$GA$11),COUNTIFS($A$200:A293,$GA$10,$B$200:B293,$GA$11,$H$200:H293,1),0)</f>
        <v>0</v>
      </c>
    </row>
    <row r="294" spans="1:190">
      <c r="A294" t="str">
        <f t="shared" si="36"/>
        <v/>
      </c>
      <c r="B294" t="str">
        <f t="shared" si="37"/>
        <v/>
      </c>
      <c r="C294" t="str">
        <f t="shared" si="38"/>
        <v/>
      </c>
      <c r="D294" t="str">
        <f t="shared" si="39"/>
        <v/>
      </c>
      <c r="E294">
        <f t="shared" si="40"/>
        <v>0</v>
      </c>
      <c r="F294" t="str">
        <f t="shared" si="41"/>
        <v/>
      </c>
      <c r="G294">
        <f t="shared" si="42"/>
        <v>0</v>
      </c>
      <c r="H294">
        <f>IF(AND(G294=1,COUNTIFS($I$200:I294,I294,$G$200:G294,1)=1),1,0)</f>
        <v>0</v>
      </c>
      <c r="I294" t="str">
        <f t="shared" si="43"/>
        <v/>
      </c>
      <c r="BF294">
        <f t="shared" si="46"/>
        <v>0</v>
      </c>
      <c r="BG294">
        <f t="shared" si="47"/>
        <v>0</v>
      </c>
      <c r="BH294">
        <f t="shared" si="48"/>
        <v>0</v>
      </c>
      <c r="BI294">
        <f t="shared" si="49"/>
        <v>0</v>
      </c>
      <c r="BJ294">
        <f t="shared" si="50"/>
        <v>0</v>
      </c>
      <c r="BK294">
        <f t="shared" si="51"/>
        <v>0</v>
      </c>
      <c r="BL294">
        <f t="shared" si="52"/>
        <v>0</v>
      </c>
      <c r="BM294">
        <f t="shared" si="53"/>
        <v>0</v>
      </c>
      <c r="BN294">
        <f t="shared" si="54"/>
        <v>0</v>
      </c>
      <c r="BO294">
        <f t="shared" si="55"/>
        <v>0</v>
      </c>
      <c r="BP294">
        <f t="shared" si="56"/>
        <v>0</v>
      </c>
      <c r="BQ294">
        <f t="shared" si="57"/>
        <v>0</v>
      </c>
      <c r="BR294">
        <f t="shared" si="58"/>
        <v>0</v>
      </c>
      <c r="BS294">
        <f t="shared" si="59"/>
        <v>0</v>
      </c>
      <c r="BT294">
        <f t="shared" si="60"/>
        <v>0</v>
      </c>
      <c r="BU294">
        <f t="shared" si="61"/>
        <v>0</v>
      </c>
      <c r="BV294">
        <f t="shared" si="62"/>
        <v>0</v>
      </c>
      <c r="BW294">
        <f t="shared" si="63"/>
        <v>0</v>
      </c>
      <c r="CA294" t="str">
        <f>IF(95&gt;ROWS(DGArchive[模组]),"",IF(INDEX(DGArchive[模组],95)="","",INDEX(DGArchive[模组],95)))</f>
        <v/>
      </c>
      <c r="CB294" t="str">
        <f>IF(95&gt;ROWS(DGArchive[阶段]),"",IF(INDEX(DGArchive[阶段],95)="","",INDEX(DGArchive[阶段],95)))</f>
        <v/>
      </c>
      <c r="CC294" t="str">
        <f>IF(95&gt;ROWS(DGArchive[游戏内日期]),"",IF(INDEX(DGArchive[游戏内日期],95)="","",INDEX(DGArchive[游戏内日期],95)))</f>
        <v/>
      </c>
      <c r="CD294" t="str">
        <f>IF(95&gt;ROWS(DGArchive[目标]),"",IF(INDEX(DGArchive[目标],95)="","",INDEX(DGArchive[目标],95)))</f>
        <v/>
      </c>
      <c r="CE294" t="str">
        <f>IF(95&gt;ROWS(DGArchive[变更前]),"",IF(INDEX(DGArchive[变更前],95)="","",INDEX(DGArchive[变更前],95)))</f>
        <v/>
      </c>
      <c r="CF294" t="str">
        <f>IF(95&gt;ROWS(DGArchive[增减]),"",IF(INDEX(DGArchive[增减],95)="","",INDEX(DGArchive[增减],95)))</f>
        <v/>
      </c>
      <c r="CG294" t="str">
        <f>IF(95&gt;ROWS(DGArchive[变更后]),"",IF(INDEX(DGArchive[变更后],95)="","",INDEX(DGArchive[变更后],95)))</f>
        <v/>
      </c>
      <c r="CH294" t="str">
        <f>IF(95&gt;ROWS(DGArchive[事件／活动]),"",IF(INDEX(DGArchive[事件／活动],95)="","",INDEX(DGArchive[事件／活动],95)))</f>
        <v/>
      </c>
      <c r="CI294" t="str">
        <f>IF(95&gt;ROWS(DGArchive[记录编号]),"",IF(INDEX(DGArchive[记录编号],95)="","",INDEX(DGArchive[记录编号],95)))</f>
        <v/>
      </c>
      <c r="CL294">
        <f t="shared" si="44"/>
        <v>0</v>
      </c>
      <c r="CM294">
        <f>IF(AND(A294=$AO$5,B294=$AQ$3,H294=1),COUNTIFS($A$200:A294,$AO$5,$B$200:B294,$AQ$3,$H$200:H294,1),0)</f>
        <v>0</v>
      </c>
      <c r="CN294">
        <f>IF(CA294="",95,1001)</f>
        <v>95</v>
      </c>
      <c r="GA294">
        <f t="shared" si="64"/>
        <v>0</v>
      </c>
      <c r="GB294">
        <f t="shared" si="65"/>
        <v>0</v>
      </c>
      <c r="GC294">
        <f>IF(AND(C294="事件记录",H294=1),COUNTIFS($C$200:C294,"事件记录",$H$200:H294,1),0)</f>
        <v>0</v>
      </c>
      <c r="GD294">
        <f t="shared" si="45"/>
        <v>0</v>
      </c>
      <c r="GH294">
        <f>IF(AND(H294=1,A294=$GA$10,B294=$GA$11),COUNTIFS($A$200:A294,$GA$10,$B$200:B294,$GA$11,$H$200:H294,1),0)</f>
        <v>0</v>
      </c>
    </row>
    <row r="295" spans="1:190">
      <c r="A295" t="str">
        <f t="shared" si="36"/>
        <v/>
      </c>
      <c r="B295" t="str">
        <f t="shared" si="37"/>
        <v/>
      </c>
      <c r="C295" t="str">
        <f t="shared" si="38"/>
        <v/>
      </c>
      <c r="D295" t="str">
        <f t="shared" si="39"/>
        <v/>
      </c>
      <c r="E295">
        <f t="shared" si="40"/>
        <v>0</v>
      </c>
      <c r="F295" t="str">
        <f t="shared" si="41"/>
        <v/>
      </c>
      <c r="G295">
        <f t="shared" si="42"/>
        <v>0</v>
      </c>
      <c r="H295">
        <f>IF(AND(G295=1,COUNTIFS($I$200:I295,I295,$G$200:G295,1)=1),1,0)</f>
        <v>0</v>
      </c>
      <c r="I295" t="str">
        <f t="shared" si="43"/>
        <v/>
      </c>
      <c r="BF295">
        <f t="shared" si="46"/>
        <v>0</v>
      </c>
      <c r="BG295">
        <f t="shared" si="47"/>
        <v>0</v>
      </c>
      <c r="BH295">
        <f t="shared" si="48"/>
        <v>0</v>
      </c>
      <c r="BI295">
        <f t="shared" si="49"/>
        <v>0</v>
      </c>
      <c r="BJ295">
        <f t="shared" si="50"/>
        <v>0</v>
      </c>
      <c r="BK295">
        <f t="shared" si="51"/>
        <v>0</v>
      </c>
      <c r="BL295">
        <f t="shared" si="52"/>
        <v>0</v>
      </c>
      <c r="BM295">
        <f t="shared" si="53"/>
        <v>0</v>
      </c>
      <c r="BN295">
        <f t="shared" si="54"/>
        <v>0</v>
      </c>
      <c r="BO295">
        <f t="shared" si="55"/>
        <v>0</v>
      </c>
      <c r="BP295">
        <f t="shared" si="56"/>
        <v>0</v>
      </c>
      <c r="BQ295">
        <f t="shared" si="57"/>
        <v>0</v>
      </c>
      <c r="BR295">
        <f t="shared" si="58"/>
        <v>0</v>
      </c>
      <c r="BS295">
        <f t="shared" si="59"/>
        <v>0</v>
      </c>
      <c r="BT295">
        <f t="shared" si="60"/>
        <v>0</v>
      </c>
      <c r="BU295">
        <f t="shared" si="61"/>
        <v>0</v>
      </c>
      <c r="BV295">
        <f t="shared" si="62"/>
        <v>0</v>
      </c>
      <c r="BW295">
        <f t="shared" si="63"/>
        <v>0</v>
      </c>
      <c r="CA295" t="str">
        <f>IF(96&gt;ROWS(DGArchive[模组]),"",IF(INDEX(DGArchive[模组],96)="","",INDEX(DGArchive[模组],96)))</f>
        <v/>
      </c>
      <c r="CB295" t="str">
        <f>IF(96&gt;ROWS(DGArchive[阶段]),"",IF(INDEX(DGArchive[阶段],96)="","",INDEX(DGArchive[阶段],96)))</f>
        <v/>
      </c>
      <c r="CC295" t="str">
        <f>IF(96&gt;ROWS(DGArchive[游戏内日期]),"",IF(INDEX(DGArchive[游戏内日期],96)="","",INDEX(DGArchive[游戏内日期],96)))</f>
        <v/>
      </c>
      <c r="CD295" t="str">
        <f>IF(96&gt;ROWS(DGArchive[目标]),"",IF(INDEX(DGArchive[目标],96)="","",INDEX(DGArchive[目标],96)))</f>
        <v/>
      </c>
      <c r="CE295" t="str">
        <f>IF(96&gt;ROWS(DGArchive[变更前]),"",IF(INDEX(DGArchive[变更前],96)="","",INDEX(DGArchive[变更前],96)))</f>
        <v/>
      </c>
      <c r="CF295" t="str">
        <f>IF(96&gt;ROWS(DGArchive[增减]),"",IF(INDEX(DGArchive[增减],96)="","",INDEX(DGArchive[增减],96)))</f>
        <v/>
      </c>
      <c r="CG295" t="str">
        <f>IF(96&gt;ROWS(DGArchive[变更后]),"",IF(INDEX(DGArchive[变更后],96)="","",INDEX(DGArchive[变更后],96)))</f>
        <v/>
      </c>
      <c r="CH295" t="str">
        <f>IF(96&gt;ROWS(DGArchive[事件／活动]),"",IF(INDEX(DGArchive[事件／活动],96)="","",INDEX(DGArchive[事件／活动],96)))</f>
        <v/>
      </c>
      <c r="CI295" t="str">
        <f>IF(96&gt;ROWS(DGArchive[记录编号]),"",IF(INDEX(DGArchive[记录编号],96)="","",INDEX(DGArchive[记录编号],96)))</f>
        <v/>
      </c>
      <c r="CL295">
        <f t="shared" si="44"/>
        <v>0</v>
      </c>
      <c r="CM295">
        <f>IF(AND(A295=$AO$5,B295=$AQ$3,H295=1),COUNTIFS($A$200:A295,$AO$5,$B$200:B295,$AQ$3,$H$200:H295,1),0)</f>
        <v>0</v>
      </c>
      <c r="CN295">
        <f>IF(CA295="",96,1001)</f>
        <v>96</v>
      </c>
      <c r="GA295">
        <f t="shared" si="64"/>
        <v>0</v>
      </c>
      <c r="GB295">
        <f t="shared" si="65"/>
        <v>0</v>
      </c>
      <c r="GC295">
        <f>IF(AND(C295="事件记录",H295=1),COUNTIFS($C$200:C295,"事件记录",$H$200:H295,1),0)</f>
        <v>0</v>
      </c>
      <c r="GD295">
        <f t="shared" si="45"/>
        <v>0</v>
      </c>
      <c r="GH295">
        <f>IF(AND(H295=1,A295=$GA$10,B295=$GA$11),COUNTIFS($A$200:A295,$GA$10,$B$200:B295,$GA$11,$H$200:H295,1),0)</f>
        <v>0</v>
      </c>
    </row>
    <row r="296" spans="1:190">
      <c r="A296" t="str">
        <f t="shared" si="36"/>
        <v/>
      </c>
      <c r="B296" t="str">
        <f t="shared" si="37"/>
        <v/>
      </c>
      <c r="C296" t="str">
        <f t="shared" si="38"/>
        <v/>
      </c>
      <c r="D296" t="str">
        <f t="shared" si="39"/>
        <v/>
      </c>
      <c r="E296">
        <f t="shared" si="40"/>
        <v>0</v>
      </c>
      <c r="F296" t="str">
        <f t="shared" si="41"/>
        <v/>
      </c>
      <c r="G296">
        <f t="shared" si="42"/>
        <v>0</v>
      </c>
      <c r="H296">
        <f>IF(AND(G296=1,COUNTIFS($I$200:I296,I296,$G$200:G296,1)=1),1,0)</f>
        <v>0</v>
      </c>
      <c r="I296" t="str">
        <f t="shared" si="43"/>
        <v/>
      </c>
      <c r="BF296">
        <f t="shared" si="46"/>
        <v>0</v>
      </c>
      <c r="BG296">
        <f t="shared" si="47"/>
        <v>0</v>
      </c>
      <c r="BH296">
        <f t="shared" si="48"/>
        <v>0</v>
      </c>
      <c r="BI296">
        <f t="shared" si="49"/>
        <v>0</v>
      </c>
      <c r="BJ296">
        <f t="shared" si="50"/>
        <v>0</v>
      </c>
      <c r="BK296">
        <f t="shared" si="51"/>
        <v>0</v>
      </c>
      <c r="BL296">
        <f t="shared" si="52"/>
        <v>0</v>
      </c>
      <c r="BM296">
        <f t="shared" si="53"/>
        <v>0</v>
      </c>
      <c r="BN296">
        <f t="shared" si="54"/>
        <v>0</v>
      </c>
      <c r="BO296">
        <f t="shared" si="55"/>
        <v>0</v>
      </c>
      <c r="BP296">
        <f t="shared" si="56"/>
        <v>0</v>
      </c>
      <c r="BQ296">
        <f t="shared" si="57"/>
        <v>0</v>
      </c>
      <c r="BR296">
        <f t="shared" si="58"/>
        <v>0</v>
      </c>
      <c r="BS296">
        <f t="shared" si="59"/>
        <v>0</v>
      </c>
      <c r="BT296">
        <f t="shared" si="60"/>
        <v>0</v>
      </c>
      <c r="BU296">
        <f t="shared" si="61"/>
        <v>0</v>
      </c>
      <c r="BV296">
        <f t="shared" si="62"/>
        <v>0</v>
      </c>
      <c r="BW296">
        <f t="shared" si="63"/>
        <v>0</v>
      </c>
      <c r="CA296" t="str">
        <f>IF(97&gt;ROWS(DGArchive[模组]),"",IF(INDEX(DGArchive[模组],97)="","",INDEX(DGArchive[模组],97)))</f>
        <v/>
      </c>
      <c r="CB296" t="str">
        <f>IF(97&gt;ROWS(DGArchive[阶段]),"",IF(INDEX(DGArchive[阶段],97)="","",INDEX(DGArchive[阶段],97)))</f>
        <v/>
      </c>
      <c r="CC296" t="str">
        <f>IF(97&gt;ROWS(DGArchive[游戏内日期]),"",IF(INDEX(DGArchive[游戏内日期],97)="","",INDEX(DGArchive[游戏内日期],97)))</f>
        <v/>
      </c>
      <c r="CD296" t="str">
        <f>IF(97&gt;ROWS(DGArchive[目标]),"",IF(INDEX(DGArchive[目标],97)="","",INDEX(DGArchive[目标],97)))</f>
        <v/>
      </c>
      <c r="CE296" t="str">
        <f>IF(97&gt;ROWS(DGArchive[变更前]),"",IF(INDEX(DGArchive[变更前],97)="","",INDEX(DGArchive[变更前],97)))</f>
        <v/>
      </c>
      <c r="CF296" t="str">
        <f>IF(97&gt;ROWS(DGArchive[增减]),"",IF(INDEX(DGArchive[增减],97)="","",INDEX(DGArchive[增减],97)))</f>
        <v/>
      </c>
      <c r="CG296" t="str">
        <f>IF(97&gt;ROWS(DGArchive[变更后]),"",IF(INDEX(DGArchive[变更后],97)="","",INDEX(DGArchive[变更后],97)))</f>
        <v/>
      </c>
      <c r="CH296" t="str">
        <f>IF(97&gt;ROWS(DGArchive[事件／活动]),"",IF(INDEX(DGArchive[事件／活动],97)="","",INDEX(DGArchive[事件／活动],97)))</f>
        <v/>
      </c>
      <c r="CI296" t="str">
        <f>IF(97&gt;ROWS(DGArchive[记录编号]),"",IF(INDEX(DGArchive[记录编号],97)="","",INDEX(DGArchive[记录编号],97)))</f>
        <v/>
      </c>
      <c r="CL296">
        <f t="shared" si="44"/>
        <v>0</v>
      </c>
      <c r="CM296">
        <f>IF(AND(A296=$AO$5,B296=$AQ$3,H296=1),COUNTIFS($A$200:A296,$AO$5,$B$200:B296,$AQ$3,$H$200:H296,1),0)</f>
        <v>0</v>
      </c>
      <c r="CN296">
        <f>IF(CA296="",97,1001)</f>
        <v>97</v>
      </c>
      <c r="GA296">
        <f t="shared" si="64"/>
        <v>0</v>
      </c>
      <c r="GB296">
        <f t="shared" si="65"/>
        <v>0</v>
      </c>
      <c r="GC296">
        <f>IF(AND(C296="事件记录",H296=1),COUNTIFS($C$200:C296,"事件记录",$H$200:H296,1),0)</f>
        <v>0</v>
      </c>
      <c r="GD296">
        <f t="shared" si="45"/>
        <v>0</v>
      </c>
      <c r="GH296">
        <f>IF(AND(H296=1,A296=$GA$10,B296=$GA$11),COUNTIFS($A$200:A296,$GA$10,$B$200:B296,$GA$11,$H$200:H296,1),0)</f>
        <v>0</v>
      </c>
    </row>
    <row r="297" spans="1:190">
      <c r="A297" t="str">
        <f t="shared" si="36"/>
        <v/>
      </c>
      <c r="B297" t="str">
        <f t="shared" si="37"/>
        <v/>
      </c>
      <c r="C297" t="str">
        <f t="shared" si="38"/>
        <v/>
      </c>
      <c r="D297" t="str">
        <f t="shared" si="39"/>
        <v/>
      </c>
      <c r="E297">
        <f t="shared" si="40"/>
        <v>0</v>
      </c>
      <c r="F297" t="str">
        <f t="shared" si="41"/>
        <v/>
      </c>
      <c r="G297">
        <f t="shared" si="42"/>
        <v>0</v>
      </c>
      <c r="H297">
        <f>IF(AND(G297=1,COUNTIFS($I$200:I297,I297,$G$200:G297,1)=1),1,0)</f>
        <v>0</v>
      </c>
      <c r="I297" t="str">
        <f t="shared" si="43"/>
        <v/>
      </c>
      <c r="BF297">
        <f t="shared" si="46"/>
        <v>0</v>
      </c>
      <c r="BG297">
        <f t="shared" si="47"/>
        <v>0</v>
      </c>
      <c r="BH297">
        <f t="shared" si="48"/>
        <v>0</v>
      </c>
      <c r="BI297">
        <f t="shared" si="49"/>
        <v>0</v>
      </c>
      <c r="BJ297">
        <f t="shared" si="50"/>
        <v>0</v>
      </c>
      <c r="BK297">
        <f t="shared" si="51"/>
        <v>0</v>
      </c>
      <c r="BL297">
        <f t="shared" si="52"/>
        <v>0</v>
      </c>
      <c r="BM297">
        <f t="shared" si="53"/>
        <v>0</v>
      </c>
      <c r="BN297">
        <f t="shared" si="54"/>
        <v>0</v>
      </c>
      <c r="BO297">
        <f t="shared" si="55"/>
        <v>0</v>
      </c>
      <c r="BP297">
        <f t="shared" si="56"/>
        <v>0</v>
      </c>
      <c r="BQ297">
        <f t="shared" si="57"/>
        <v>0</v>
      </c>
      <c r="BR297">
        <f t="shared" si="58"/>
        <v>0</v>
      </c>
      <c r="BS297">
        <f t="shared" si="59"/>
        <v>0</v>
      </c>
      <c r="BT297">
        <f t="shared" si="60"/>
        <v>0</v>
      </c>
      <c r="BU297">
        <f t="shared" si="61"/>
        <v>0</v>
      </c>
      <c r="BV297">
        <f t="shared" si="62"/>
        <v>0</v>
      </c>
      <c r="BW297">
        <f t="shared" si="63"/>
        <v>0</v>
      </c>
      <c r="CA297" t="str">
        <f>IF(98&gt;ROWS(DGArchive[模组]),"",IF(INDEX(DGArchive[模组],98)="","",INDEX(DGArchive[模组],98)))</f>
        <v/>
      </c>
      <c r="CB297" t="str">
        <f>IF(98&gt;ROWS(DGArchive[阶段]),"",IF(INDEX(DGArchive[阶段],98)="","",INDEX(DGArchive[阶段],98)))</f>
        <v/>
      </c>
      <c r="CC297" t="str">
        <f>IF(98&gt;ROWS(DGArchive[游戏内日期]),"",IF(INDEX(DGArchive[游戏内日期],98)="","",INDEX(DGArchive[游戏内日期],98)))</f>
        <v/>
      </c>
      <c r="CD297" t="str">
        <f>IF(98&gt;ROWS(DGArchive[目标]),"",IF(INDEX(DGArchive[目标],98)="","",INDEX(DGArchive[目标],98)))</f>
        <v/>
      </c>
      <c r="CE297" t="str">
        <f>IF(98&gt;ROWS(DGArchive[变更前]),"",IF(INDEX(DGArchive[变更前],98)="","",INDEX(DGArchive[变更前],98)))</f>
        <v/>
      </c>
      <c r="CF297" t="str">
        <f>IF(98&gt;ROWS(DGArchive[增减]),"",IF(INDEX(DGArchive[增减],98)="","",INDEX(DGArchive[增减],98)))</f>
        <v/>
      </c>
      <c r="CG297" t="str">
        <f>IF(98&gt;ROWS(DGArchive[变更后]),"",IF(INDEX(DGArchive[变更后],98)="","",INDEX(DGArchive[变更后],98)))</f>
        <v/>
      </c>
      <c r="CH297" t="str">
        <f>IF(98&gt;ROWS(DGArchive[事件／活动]),"",IF(INDEX(DGArchive[事件／活动],98)="","",INDEX(DGArchive[事件／活动],98)))</f>
        <v/>
      </c>
      <c r="CI297" t="str">
        <f>IF(98&gt;ROWS(DGArchive[记录编号]),"",IF(INDEX(DGArchive[记录编号],98)="","",INDEX(DGArchive[记录编号],98)))</f>
        <v/>
      </c>
      <c r="CL297">
        <f t="shared" si="44"/>
        <v>0</v>
      </c>
      <c r="CM297">
        <f>IF(AND(A297=$AO$5,B297=$AQ$3,H297=1),COUNTIFS($A$200:A297,$AO$5,$B$200:B297,$AQ$3,$H$200:H297,1),0)</f>
        <v>0</v>
      </c>
      <c r="CN297">
        <f>IF(CA297="",98,1001)</f>
        <v>98</v>
      </c>
      <c r="GA297">
        <f t="shared" si="64"/>
        <v>0</v>
      </c>
      <c r="GB297">
        <f t="shared" si="65"/>
        <v>0</v>
      </c>
      <c r="GC297">
        <f>IF(AND(C297="事件记录",H297=1),COUNTIFS($C$200:C297,"事件记录",$H$200:H297,1),0)</f>
        <v>0</v>
      </c>
      <c r="GD297">
        <f t="shared" si="45"/>
        <v>0</v>
      </c>
      <c r="GH297">
        <f>IF(AND(H297=1,A297=$GA$10,B297=$GA$11),COUNTIFS($A$200:A297,$GA$10,$B$200:B297,$GA$11,$H$200:H297,1),0)</f>
        <v>0</v>
      </c>
    </row>
    <row r="298" spans="1:190">
      <c r="A298" t="str">
        <f t="shared" si="36"/>
        <v/>
      </c>
      <c r="B298" t="str">
        <f t="shared" si="37"/>
        <v/>
      </c>
      <c r="C298" t="str">
        <f t="shared" si="38"/>
        <v/>
      </c>
      <c r="D298" t="str">
        <f t="shared" si="39"/>
        <v/>
      </c>
      <c r="E298">
        <f t="shared" si="40"/>
        <v>0</v>
      </c>
      <c r="F298" t="str">
        <f t="shared" si="41"/>
        <v/>
      </c>
      <c r="G298">
        <f t="shared" si="42"/>
        <v>0</v>
      </c>
      <c r="H298">
        <f>IF(AND(G298=1,COUNTIFS($I$200:I298,I298,$G$200:G298,1)=1),1,0)</f>
        <v>0</v>
      </c>
      <c r="I298" t="str">
        <f t="shared" si="43"/>
        <v/>
      </c>
      <c r="BF298">
        <f t="shared" si="46"/>
        <v>0</v>
      </c>
      <c r="BG298">
        <f t="shared" si="47"/>
        <v>0</v>
      </c>
      <c r="BH298">
        <f t="shared" si="48"/>
        <v>0</v>
      </c>
      <c r="BI298">
        <f t="shared" si="49"/>
        <v>0</v>
      </c>
      <c r="BJ298">
        <f t="shared" si="50"/>
        <v>0</v>
      </c>
      <c r="BK298">
        <f t="shared" si="51"/>
        <v>0</v>
      </c>
      <c r="BL298">
        <f t="shared" si="52"/>
        <v>0</v>
      </c>
      <c r="BM298">
        <f t="shared" si="53"/>
        <v>0</v>
      </c>
      <c r="BN298">
        <f t="shared" si="54"/>
        <v>0</v>
      </c>
      <c r="BO298">
        <f t="shared" si="55"/>
        <v>0</v>
      </c>
      <c r="BP298">
        <f t="shared" si="56"/>
        <v>0</v>
      </c>
      <c r="BQ298">
        <f t="shared" si="57"/>
        <v>0</v>
      </c>
      <c r="BR298">
        <f t="shared" si="58"/>
        <v>0</v>
      </c>
      <c r="BS298">
        <f t="shared" si="59"/>
        <v>0</v>
      </c>
      <c r="BT298">
        <f t="shared" si="60"/>
        <v>0</v>
      </c>
      <c r="BU298">
        <f t="shared" si="61"/>
        <v>0</v>
      </c>
      <c r="BV298">
        <f t="shared" si="62"/>
        <v>0</v>
      </c>
      <c r="BW298">
        <f t="shared" si="63"/>
        <v>0</v>
      </c>
      <c r="CA298" t="str">
        <f>IF(99&gt;ROWS(DGArchive[模组]),"",IF(INDEX(DGArchive[模组],99)="","",INDEX(DGArchive[模组],99)))</f>
        <v/>
      </c>
      <c r="CB298" t="str">
        <f>IF(99&gt;ROWS(DGArchive[阶段]),"",IF(INDEX(DGArchive[阶段],99)="","",INDEX(DGArchive[阶段],99)))</f>
        <v/>
      </c>
      <c r="CC298" t="str">
        <f>IF(99&gt;ROWS(DGArchive[游戏内日期]),"",IF(INDEX(DGArchive[游戏内日期],99)="","",INDEX(DGArchive[游戏内日期],99)))</f>
        <v/>
      </c>
      <c r="CD298" t="str">
        <f>IF(99&gt;ROWS(DGArchive[目标]),"",IF(INDEX(DGArchive[目标],99)="","",INDEX(DGArchive[目标],99)))</f>
        <v/>
      </c>
      <c r="CE298" t="str">
        <f>IF(99&gt;ROWS(DGArchive[变更前]),"",IF(INDEX(DGArchive[变更前],99)="","",INDEX(DGArchive[变更前],99)))</f>
        <v/>
      </c>
      <c r="CF298" t="str">
        <f>IF(99&gt;ROWS(DGArchive[增减]),"",IF(INDEX(DGArchive[增减],99)="","",INDEX(DGArchive[增减],99)))</f>
        <v/>
      </c>
      <c r="CG298" t="str">
        <f>IF(99&gt;ROWS(DGArchive[变更后]),"",IF(INDEX(DGArchive[变更后],99)="","",INDEX(DGArchive[变更后],99)))</f>
        <v/>
      </c>
      <c r="CH298" t="str">
        <f>IF(99&gt;ROWS(DGArchive[事件／活动]),"",IF(INDEX(DGArchive[事件／活动],99)="","",INDEX(DGArchive[事件／活动],99)))</f>
        <v/>
      </c>
      <c r="CI298" t="str">
        <f>IF(99&gt;ROWS(DGArchive[记录编号]),"",IF(INDEX(DGArchive[记录编号],99)="","",INDEX(DGArchive[记录编号],99)))</f>
        <v/>
      </c>
      <c r="CL298">
        <f t="shared" si="44"/>
        <v>0</v>
      </c>
      <c r="CM298">
        <f>IF(AND(A298=$AO$5,B298=$AQ$3,H298=1),COUNTIFS($A$200:A298,$AO$5,$B$200:B298,$AQ$3,$H$200:H298,1),0)</f>
        <v>0</v>
      </c>
      <c r="CN298">
        <f>IF(CA298="",99,1001)</f>
        <v>99</v>
      </c>
      <c r="GA298">
        <f t="shared" si="64"/>
        <v>0</v>
      </c>
      <c r="GB298">
        <f t="shared" si="65"/>
        <v>0</v>
      </c>
      <c r="GC298">
        <f>IF(AND(C298="事件记录",H298=1),COUNTIFS($C$200:C298,"事件记录",$H$200:H298,1),0)</f>
        <v>0</v>
      </c>
      <c r="GD298">
        <f t="shared" si="45"/>
        <v>0</v>
      </c>
      <c r="GH298">
        <f>IF(AND(H298=1,A298=$GA$10,B298=$GA$11),COUNTIFS($A$200:A298,$GA$10,$B$200:B298,$GA$11,$H$200:H298,1),0)</f>
        <v>0</v>
      </c>
    </row>
    <row r="299" spans="1:190">
      <c r="A299" t="str">
        <f t="shared" si="36"/>
        <v/>
      </c>
      <c r="B299" t="str">
        <f t="shared" si="37"/>
        <v/>
      </c>
      <c r="C299" t="str">
        <f t="shared" si="38"/>
        <v/>
      </c>
      <c r="D299" t="str">
        <f t="shared" si="39"/>
        <v/>
      </c>
      <c r="E299">
        <f t="shared" si="40"/>
        <v>0</v>
      </c>
      <c r="F299" t="str">
        <f t="shared" si="41"/>
        <v/>
      </c>
      <c r="G299">
        <f t="shared" si="42"/>
        <v>0</v>
      </c>
      <c r="H299">
        <f>IF(AND(G299=1,COUNTIFS($I$200:I299,I299,$G$200:G299,1)=1),1,0)</f>
        <v>0</v>
      </c>
      <c r="I299" t="str">
        <f t="shared" si="43"/>
        <v/>
      </c>
      <c r="BF299">
        <f t="shared" si="46"/>
        <v>0</v>
      </c>
      <c r="BG299">
        <f t="shared" si="47"/>
        <v>0</v>
      </c>
      <c r="BH299">
        <f t="shared" si="48"/>
        <v>0</v>
      </c>
      <c r="BI299">
        <f t="shared" si="49"/>
        <v>0</v>
      </c>
      <c r="BJ299">
        <f t="shared" si="50"/>
        <v>0</v>
      </c>
      <c r="BK299">
        <f t="shared" si="51"/>
        <v>0</v>
      </c>
      <c r="BL299">
        <f t="shared" si="52"/>
        <v>0</v>
      </c>
      <c r="BM299">
        <f t="shared" si="53"/>
        <v>0</v>
      </c>
      <c r="BN299">
        <f t="shared" si="54"/>
        <v>0</v>
      </c>
      <c r="BO299">
        <f t="shared" si="55"/>
        <v>0</v>
      </c>
      <c r="BP299">
        <f t="shared" si="56"/>
        <v>0</v>
      </c>
      <c r="BQ299">
        <f t="shared" si="57"/>
        <v>0</v>
      </c>
      <c r="BR299">
        <f t="shared" si="58"/>
        <v>0</v>
      </c>
      <c r="BS299">
        <f t="shared" si="59"/>
        <v>0</v>
      </c>
      <c r="BT299">
        <f t="shared" si="60"/>
        <v>0</v>
      </c>
      <c r="BU299">
        <f t="shared" si="61"/>
        <v>0</v>
      </c>
      <c r="BV299">
        <f t="shared" si="62"/>
        <v>0</v>
      </c>
      <c r="BW299">
        <f t="shared" si="63"/>
        <v>0</v>
      </c>
      <c r="CA299" t="str">
        <f>IF(100&gt;ROWS(DGArchive[模组]),"",IF(INDEX(DGArchive[模组],100)="","",INDEX(DGArchive[模组],100)))</f>
        <v/>
      </c>
      <c r="CB299" t="str">
        <f>IF(100&gt;ROWS(DGArchive[阶段]),"",IF(INDEX(DGArchive[阶段],100)="","",INDEX(DGArchive[阶段],100)))</f>
        <v/>
      </c>
      <c r="CC299" t="str">
        <f>IF(100&gt;ROWS(DGArchive[游戏内日期]),"",IF(INDEX(DGArchive[游戏内日期],100)="","",INDEX(DGArchive[游戏内日期],100)))</f>
        <v/>
      </c>
      <c r="CD299" t="str">
        <f>IF(100&gt;ROWS(DGArchive[目标]),"",IF(INDEX(DGArchive[目标],100)="","",INDEX(DGArchive[目标],100)))</f>
        <v/>
      </c>
      <c r="CE299" t="str">
        <f>IF(100&gt;ROWS(DGArchive[变更前]),"",IF(INDEX(DGArchive[变更前],100)="","",INDEX(DGArchive[变更前],100)))</f>
        <v/>
      </c>
      <c r="CF299" t="str">
        <f>IF(100&gt;ROWS(DGArchive[增减]),"",IF(INDEX(DGArchive[增减],100)="","",INDEX(DGArchive[增减],100)))</f>
        <v/>
      </c>
      <c r="CG299" t="str">
        <f>IF(100&gt;ROWS(DGArchive[变更后]),"",IF(INDEX(DGArchive[变更后],100)="","",INDEX(DGArchive[变更后],100)))</f>
        <v/>
      </c>
      <c r="CH299" t="str">
        <f>IF(100&gt;ROWS(DGArchive[事件／活动]),"",IF(INDEX(DGArchive[事件／活动],100)="","",INDEX(DGArchive[事件／活动],100)))</f>
        <v/>
      </c>
      <c r="CI299" t="str">
        <f>IF(100&gt;ROWS(DGArchive[记录编号]),"",IF(INDEX(DGArchive[记录编号],100)="","",INDEX(DGArchive[记录编号],100)))</f>
        <v/>
      </c>
      <c r="CL299">
        <f t="shared" si="44"/>
        <v>0</v>
      </c>
      <c r="CM299">
        <f>IF(AND(A299=$AO$5,B299=$AQ$3,H299=1),COUNTIFS($A$200:A299,$AO$5,$B$200:B299,$AQ$3,$H$200:H299,1),0)</f>
        <v>0</v>
      </c>
      <c r="CN299">
        <f>IF(CA299="",100,1001)</f>
        <v>100</v>
      </c>
      <c r="GA299">
        <f t="shared" si="64"/>
        <v>0</v>
      </c>
      <c r="GB299">
        <f t="shared" si="65"/>
        <v>0</v>
      </c>
      <c r="GC299">
        <f>IF(AND(C299="事件记录",H299=1),COUNTIFS($C$200:C299,"事件记录",$H$200:H299,1),0)</f>
        <v>0</v>
      </c>
      <c r="GD299">
        <f t="shared" si="45"/>
        <v>0</v>
      </c>
      <c r="GH299">
        <f>IF(AND(H299=1,A299=$GA$10,B299=$GA$11),COUNTIFS($A$200:A299,$GA$10,$B$200:B299,$GA$11,$H$200:H299,1),0)</f>
        <v>0</v>
      </c>
    </row>
    <row r="300" spans="1:190">
      <c r="A300" t="str">
        <f t="shared" si="36"/>
        <v/>
      </c>
      <c r="B300" t="str">
        <f t="shared" si="37"/>
        <v/>
      </c>
      <c r="C300" t="str">
        <f t="shared" si="38"/>
        <v/>
      </c>
      <c r="D300" t="str">
        <f t="shared" si="39"/>
        <v/>
      </c>
      <c r="E300">
        <f t="shared" si="40"/>
        <v>0</v>
      </c>
      <c r="F300" t="str">
        <f t="shared" si="41"/>
        <v/>
      </c>
      <c r="G300">
        <f t="shared" si="42"/>
        <v>0</v>
      </c>
      <c r="H300">
        <f>IF(AND(G300=1,COUNTIFS($I$200:I300,I300,$G$200:G300,1)=1),1,0)</f>
        <v>0</v>
      </c>
      <c r="I300" t="str">
        <f t="shared" si="43"/>
        <v/>
      </c>
      <c r="BF300">
        <f t="shared" si="46"/>
        <v>0</v>
      </c>
      <c r="BG300">
        <f t="shared" si="47"/>
        <v>0</v>
      </c>
      <c r="BH300">
        <f t="shared" si="48"/>
        <v>0</v>
      </c>
      <c r="BI300">
        <f t="shared" si="49"/>
        <v>0</v>
      </c>
      <c r="BJ300">
        <f t="shared" si="50"/>
        <v>0</v>
      </c>
      <c r="BK300">
        <f t="shared" si="51"/>
        <v>0</v>
      </c>
      <c r="BL300">
        <f t="shared" si="52"/>
        <v>0</v>
      </c>
      <c r="BM300">
        <f t="shared" si="53"/>
        <v>0</v>
      </c>
      <c r="BN300">
        <f t="shared" si="54"/>
        <v>0</v>
      </c>
      <c r="BO300">
        <f t="shared" si="55"/>
        <v>0</v>
      </c>
      <c r="BP300">
        <f t="shared" si="56"/>
        <v>0</v>
      </c>
      <c r="BQ300">
        <f t="shared" si="57"/>
        <v>0</v>
      </c>
      <c r="BR300">
        <f t="shared" si="58"/>
        <v>0</v>
      </c>
      <c r="BS300">
        <f t="shared" si="59"/>
        <v>0</v>
      </c>
      <c r="BT300">
        <f t="shared" si="60"/>
        <v>0</v>
      </c>
      <c r="BU300">
        <f t="shared" si="61"/>
        <v>0</v>
      </c>
      <c r="BV300">
        <f t="shared" si="62"/>
        <v>0</v>
      </c>
      <c r="BW300">
        <f t="shared" si="63"/>
        <v>0</v>
      </c>
      <c r="CA300" t="str">
        <f>IF(101&gt;ROWS(DGArchive[模组]),"",IF(INDEX(DGArchive[模组],101)="","",INDEX(DGArchive[模组],101)))</f>
        <v/>
      </c>
      <c r="CB300" t="str">
        <f>IF(101&gt;ROWS(DGArchive[阶段]),"",IF(INDEX(DGArchive[阶段],101)="","",INDEX(DGArchive[阶段],101)))</f>
        <v/>
      </c>
      <c r="CC300" t="str">
        <f>IF(101&gt;ROWS(DGArchive[游戏内日期]),"",IF(INDEX(DGArchive[游戏内日期],101)="","",INDEX(DGArchive[游戏内日期],101)))</f>
        <v/>
      </c>
      <c r="CD300" t="str">
        <f>IF(101&gt;ROWS(DGArchive[目标]),"",IF(INDEX(DGArchive[目标],101)="","",INDEX(DGArchive[目标],101)))</f>
        <v/>
      </c>
      <c r="CE300" t="str">
        <f>IF(101&gt;ROWS(DGArchive[变更前]),"",IF(INDEX(DGArchive[变更前],101)="","",INDEX(DGArchive[变更前],101)))</f>
        <v/>
      </c>
      <c r="CF300" t="str">
        <f>IF(101&gt;ROWS(DGArchive[增减]),"",IF(INDEX(DGArchive[增减],101)="","",INDEX(DGArchive[增减],101)))</f>
        <v/>
      </c>
      <c r="CG300" t="str">
        <f>IF(101&gt;ROWS(DGArchive[变更后]),"",IF(INDEX(DGArchive[变更后],101)="","",INDEX(DGArchive[变更后],101)))</f>
        <v/>
      </c>
      <c r="CH300" t="str">
        <f>IF(101&gt;ROWS(DGArchive[事件／活动]),"",IF(INDEX(DGArchive[事件／活动],101)="","",INDEX(DGArchive[事件／活动],101)))</f>
        <v/>
      </c>
      <c r="CI300" t="str">
        <f>IF(101&gt;ROWS(DGArchive[记录编号]),"",IF(INDEX(DGArchive[记录编号],101)="","",INDEX(DGArchive[记录编号],101)))</f>
        <v/>
      </c>
      <c r="CL300">
        <f t="shared" si="44"/>
        <v>0</v>
      </c>
      <c r="CM300">
        <f>IF(AND(A300=$AO$5,B300=$AQ$3,H300=1),COUNTIFS($A$200:A300,$AO$5,$B$200:B300,$AQ$3,$H$200:H300,1),0)</f>
        <v>0</v>
      </c>
      <c r="CN300">
        <f>IF(CA300="",101,1001)</f>
        <v>101</v>
      </c>
      <c r="GA300">
        <f t="shared" si="64"/>
        <v>0</v>
      </c>
      <c r="GB300">
        <f t="shared" si="65"/>
        <v>0</v>
      </c>
      <c r="GC300">
        <f>IF(AND(C300="事件记录",H300=1),COUNTIFS($C$200:C300,"事件记录",$H$200:H300,1),0)</f>
        <v>0</v>
      </c>
      <c r="GD300">
        <f t="shared" si="45"/>
        <v>0</v>
      </c>
      <c r="GH300">
        <f>IF(AND(H300=1,A300=$GA$10,B300=$GA$11),COUNTIFS($A$200:A300,$GA$10,$B$200:B300,$GA$11,$H$200:H300,1),0)</f>
        <v>0</v>
      </c>
    </row>
    <row r="301" spans="1:190">
      <c r="A301" t="str">
        <f t="shared" si="36"/>
        <v/>
      </c>
      <c r="B301" t="str">
        <f t="shared" si="37"/>
        <v/>
      </c>
      <c r="C301" t="str">
        <f t="shared" si="38"/>
        <v/>
      </c>
      <c r="D301" t="str">
        <f t="shared" si="39"/>
        <v/>
      </c>
      <c r="E301">
        <f t="shared" si="40"/>
        <v>0</v>
      </c>
      <c r="F301" t="str">
        <f t="shared" si="41"/>
        <v/>
      </c>
      <c r="G301">
        <f t="shared" si="42"/>
        <v>0</v>
      </c>
      <c r="H301">
        <f>IF(AND(G301=1,COUNTIFS($I$200:I301,I301,$G$200:G301,1)=1),1,0)</f>
        <v>0</v>
      </c>
      <c r="I301" t="str">
        <f t="shared" si="43"/>
        <v/>
      </c>
      <c r="BF301">
        <f t="shared" si="46"/>
        <v>0</v>
      </c>
      <c r="BG301">
        <f t="shared" si="47"/>
        <v>0</v>
      </c>
      <c r="BH301">
        <f t="shared" si="48"/>
        <v>0</v>
      </c>
      <c r="BI301">
        <f t="shared" si="49"/>
        <v>0</v>
      </c>
      <c r="BJ301">
        <f t="shared" si="50"/>
        <v>0</v>
      </c>
      <c r="BK301">
        <f t="shared" si="51"/>
        <v>0</v>
      </c>
      <c r="BL301">
        <f t="shared" si="52"/>
        <v>0</v>
      </c>
      <c r="BM301">
        <f t="shared" si="53"/>
        <v>0</v>
      </c>
      <c r="BN301">
        <f t="shared" si="54"/>
        <v>0</v>
      </c>
      <c r="BO301">
        <f t="shared" si="55"/>
        <v>0</v>
      </c>
      <c r="BP301">
        <f t="shared" si="56"/>
        <v>0</v>
      </c>
      <c r="BQ301">
        <f t="shared" si="57"/>
        <v>0</v>
      </c>
      <c r="BR301">
        <f t="shared" si="58"/>
        <v>0</v>
      </c>
      <c r="BS301">
        <f t="shared" si="59"/>
        <v>0</v>
      </c>
      <c r="BT301">
        <f t="shared" si="60"/>
        <v>0</v>
      </c>
      <c r="BU301">
        <f t="shared" si="61"/>
        <v>0</v>
      </c>
      <c r="BV301">
        <f t="shared" si="62"/>
        <v>0</v>
      </c>
      <c r="BW301">
        <f t="shared" si="63"/>
        <v>0</v>
      </c>
      <c r="CA301" t="str">
        <f>IF(102&gt;ROWS(DGArchive[模组]),"",IF(INDEX(DGArchive[模组],102)="","",INDEX(DGArchive[模组],102)))</f>
        <v/>
      </c>
      <c r="CB301" t="str">
        <f>IF(102&gt;ROWS(DGArchive[阶段]),"",IF(INDEX(DGArchive[阶段],102)="","",INDEX(DGArchive[阶段],102)))</f>
        <v/>
      </c>
      <c r="CC301" t="str">
        <f>IF(102&gt;ROWS(DGArchive[游戏内日期]),"",IF(INDEX(DGArchive[游戏内日期],102)="","",INDEX(DGArchive[游戏内日期],102)))</f>
        <v/>
      </c>
      <c r="CD301" t="str">
        <f>IF(102&gt;ROWS(DGArchive[目标]),"",IF(INDEX(DGArchive[目标],102)="","",INDEX(DGArchive[目标],102)))</f>
        <v/>
      </c>
      <c r="CE301" t="str">
        <f>IF(102&gt;ROWS(DGArchive[变更前]),"",IF(INDEX(DGArchive[变更前],102)="","",INDEX(DGArchive[变更前],102)))</f>
        <v/>
      </c>
      <c r="CF301" t="str">
        <f>IF(102&gt;ROWS(DGArchive[增减]),"",IF(INDEX(DGArchive[增减],102)="","",INDEX(DGArchive[增减],102)))</f>
        <v/>
      </c>
      <c r="CG301" t="str">
        <f>IF(102&gt;ROWS(DGArchive[变更后]),"",IF(INDEX(DGArchive[变更后],102)="","",INDEX(DGArchive[变更后],102)))</f>
        <v/>
      </c>
      <c r="CH301" t="str">
        <f>IF(102&gt;ROWS(DGArchive[事件／活动]),"",IF(INDEX(DGArchive[事件／活动],102)="","",INDEX(DGArchive[事件／活动],102)))</f>
        <v/>
      </c>
      <c r="CI301" t="str">
        <f>IF(102&gt;ROWS(DGArchive[记录编号]),"",IF(INDEX(DGArchive[记录编号],102)="","",INDEX(DGArchive[记录编号],102)))</f>
        <v/>
      </c>
      <c r="CL301">
        <f t="shared" si="44"/>
        <v>0</v>
      </c>
      <c r="CM301">
        <f>IF(AND(A301=$AO$5,B301=$AQ$3,H301=1),COUNTIFS($A$200:A301,$AO$5,$B$200:B301,$AQ$3,$H$200:H301,1),0)</f>
        <v>0</v>
      </c>
      <c r="CN301">
        <f>IF(CA301="",102,1001)</f>
        <v>102</v>
      </c>
      <c r="GA301">
        <f t="shared" si="64"/>
        <v>0</v>
      </c>
      <c r="GB301">
        <f t="shared" si="65"/>
        <v>0</v>
      </c>
      <c r="GC301">
        <f>IF(AND(C301="事件记录",H301=1),COUNTIFS($C$200:C301,"事件记录",$H$200:H301,1),0)</f>
        <v>0</v>
      </c>
      <c r="GD301">
        <f t="shared" si="45"/>
        <v>0</v>
      </c>
      <c r="GH301">
        <f>IF(AND(H301=1,A301=$GA$10,B301=$GA$11),COUNTIFS($A$200:A301,$GA$10,$B$200:B301,$GA$11,$H$200:H301,1),0)</f>
        <v>0</v>
      </c>
    </row>
    <row r="302" spans="1:190">
      <c r="A302" t="str">
        <f t="shared" si="36"/>
        <v/>
      </c>
      <c r="B302" t="str">
        <f t="shared" si="37"/>
        <v/>
      </c>
      <c r="C302" t="str">
        <f t="shared" si="38"/>
        <v/>
      </c>
      <c r="D302" t="str">
        <f t="shared" si="39"/>
        <v/>
      </c>
      <c r="E302">
        <f t="shared" si="40"/>
        <v>0</v>
      </c>
      <c r="F302" t="str">
        <f t="shared" si="41"/>
        <v/>
      </c>
      <c r="G302">
        <f t="shared" si="42"/>
        <v>0</v>
      </c>
      <c r="H302">
        <f>IF(AND(G302=1,COUNTIFS($I$200:I302,I302,$G$200:G302,1)=1),1,0)</f>
        <v>0</v>
      </c>
      <c r="I302" t="str">
        <f t="shared" si="43"/>
        <v/>
      </c>
      <c r="BF302">
        <f t="shared" si="46"/>
        <v>0</v>
      </c>
      <c r="BG302">
        <f t="shared" si="47"/>
        <v>0</v>
      </c>
      <c r="BH302">
        <f t="shared" si="48"/>
        <v>0</v>
      </c>
      <c r="BI302">
        <f t="shared" si="49"/>
        <v>0</v>
      </c>
      <c r="BJ302">
        <f t="shared" si="50"/>
        <v>0</v>
      </c>
      <c r="BK302">
        <f t="shared" si="51"/>
        <v>0</v>
      </c>
      <c r="BL302">
        <f t="shared" si="52"/>
        <v>0</v>
      </c>
      <c r="BM302">
        <f t="shared" si="53"/>
        <v>0</v>
      </c>
      <c r="BN302">
        <f t="shared" si="54"/>
        <v>0</v>
      </c>
      <c r="BO302">
        <f t="shared" si="55"/>
        <v>0</v>
      </c>
      <c r="BP302">
        <f t="shared" si="56"/>
        <v>0</v>
      </c>
      <c r="BQ302">
        <f t="shared" si="57"/>
        <v>0</v>
      </c>
      <c r="BR302">
        <f t="shared" si="58"/>
        <v>0</v>
      </c>
      <c r="BS302">
        <f t="shared" si="59"/>
        <v>0</v>
      </c>
      <c r="BT302">
        <f t="shared" si="60"/>
        <v>0</v>
      </c>
      <c r="BU302">
        <f t="shared" si="61"/>
        <v>0</v>
      </c>
      <c r="BV302">
        <f t="shared" si="62"/>
        <v>0</v>
      </c>
      <c r="BW302">
        <f t="shared" si="63"/>
        <v>0</v>
      </c>
      <c r="CA302" t="str">
        <f>IF(103&gt;ROWS(DGArchive[模组]),"",IF(INDEX(DGArchive[模组],103)="","",INDEX(DGArchive[模组],103)))</f>
        <v/>
      </c>
      <c r="CB302" t="str">
        <f>IF(103&gt;ROWS(DGArchive[阶段]),"",IF(INDEX(DGArchive[阶段],103)="","",INDEX(DGArchive[阶段],103)))</f>
        <v/>
      </c>
      <c r="CC302" t="str">
        <f>IF(103&gt;ROWS(DGArchive[游戏内日期]),"",IF(INDEX(DGArchive[游戏内日期],103)="","",INDEX(DGArchive[游戏内日期],103)))</f>
        <v/>
      </c>
      <c r="CD302" t="str">
        <f>IF(103&gt;ROWS(DGArchive[目标]),"",IF(INDEX(DGArchive[目标],103)="","",INDEX(DGArchive[目标],103)))</f>
        <v/>
      </c>
      <c r="CE302" t="str">
        <f>IF(103&gt;ROWS(DGArchive[变更前]),"",IF(INDEX(DGArchive[变更前],103)="","",INDEX(DGArchive[变更前],103)))</f>
        <v/>
      </c>
      <c r="CF302" t="str">
        <f>IF(103&gt;ROWS(DGArchive[增减]),"",IF(INDEX(DGArchive[增减],103)="","",INDEX(DGArchive[增减],103)))</f>
        <v/>
      </c>
      <c r="CG302" t="str">
        <f>IF(103&gt;ROWS(DGArchive[变更后]),"",IF(INDEX(DGArchive[变更后],103)="","",INDEX(DGArchive[变更后],103)))</f>
        <v/>
      </c>
      <c r="CH302" t="str">
        <f>IF(103&gt;ROWS(DGArchive[事件／活动]),"",IF(INDEX(DGArchive[事件／活动],103)="","",INDEX(DGArchive[事件／活动],103)))</f>
        <v/>
      </c>
      <c r="CI302" t="str">
        <f>IF(103&gt;ROWS(DGArchive[记录编号]),"",IF(INDEX(DGArchive[记录编号],103)="","",INDEX(DGArchive[记录编号],103)))</f>
        <v/>
      </c>
      <c r="CL302">
        <f t="shared" si="44"/>
        <v>0</v>
      </c>
      <c r="CM302">
        <f>IF(AND(A302=$AO$5,B302=$AQ$3,H302=1),COUNTIFS($A$200:A302,$AO$5,$B$200:B302,$AQ$3,$H$200:H302,1),0)</f>
        <v>0</v>
      </c>
      <c r="CN302">
        <f>IF(CA302="",103,1001)</f>
        <v>103</v>
      </c>
      <c r="GA302">
        <f t="shared" si="64"/>
        <v>0</v>
      </c>
      <c r="GB302">
        <f t="shared" si="65"/>
        <v>0</v>
      </c>
      <c r="GC302">
        <f>IF(AND(C302="事件记录",H302=1),COUNTIFS($C$200:C302,"事件记录",$H$200:H302,1),0)</f>
        <v>0</v>
      </c>
      <c r="GD302">
        <f t="shared" si="45"/>
        <v>0</v>
      </c>
      <c r="GH302">
        <f>IF(AND(H302=1,A302=$GA$10,B302=$GA$11),COUNTIFS($A$200:A302,$GA$10,$B$200:B302,$GA$11,$H$200:H302,1),0)</f>
        <v>0</v>
      </c>
    </row>
    <row r="303" spans="1:190">
      <c r="A303" t="str">
        <f t="shared" si="36"/>
        <v/>
      </c>
      <c r="B303" t="str">
        <f t="shared" si="37"/>
        <v/>
      </c>
      <c r="C303" t="str">
        <f t="shared" si="38"/>
        <v/>
      </c>
      <c r="D303" t="str">
        <f t="shared" si="39"/>
        <v/>
      </c>
      <c r="E303">
        <f t="shared" si="40"/>
        <v>0</v>
      </c>
      <c r="F303" t="str">
        <f t="shared" si="41"/>
        <v/>
      </c>
      <c r="G303">
        <f t="shared" si="42"/>
        <v>0</v>
      </c>
      <c r="H303">
        <f>IF(AND(G303=1,COUNTIFS($I$200:I303,I303,$G$200:G303,1)=1),1,0)</f>
        <v>0</v>
      </c>
      <c r="I303" t="str">
        <f t="shared" si="43"/>
        <v/>
      </c>
      <c r="BF303">
        <f t="shared" si="46"/>
        <v>0</v>
      </c>
      <c r="BG303">
        <f t="shared" si="47"/>
        <v>0</v>
      </c>
      <c r="BH303">
        <f t="shared" si="48"/>
        <v>0</v>
      </c>
      <c r="BI303">
        <f t="shared" si="49"/>
        <v>0</v>
      </c>
      <c r="BJ303">
        <f t="shared" si="50"/>
        <v>0</v>
      </c>
      <c r="BK303">
        <f t="shared" si="51"/>
        <v>0</v>
      </c>
      <c r="BL303">
        <f t="shared" si="52"/>
        <v>0</v>
      </c>
      <c r="BM303">
        <f t="shared" si="53"/>
        <v>0</v>
      </c>
      <c r="BN303">
        <f t="shared" si="54"/>
        <v>0</v>
      </c>
      <c r="BO303">
        <f t="shared" si="55"/>
        <v>0</v>
      </c>
      <c r="BP303">
        <f t="shared" si="56"/>
        <v>0</v>
      </c>
      <c r="BQ303">
        <f t="shared" si="57"/>
        <v>0</v>
      </c>
      <c r="BR303">
        <f t="shared" si="58"/>
        <v>0</v>
      </c>
      <c r="BS303">
        <f t="shared" si="59"/>
        <v>0</v>
      </c>
      <c r="BT303">
        <f t="shared" si="60"/>
        <v>0</v>
      </c>
      <c r="BU303">
        <f t="shared" si="61"/>
        <v>0</v>
      </c>
      <c r="BV303">
        <f t="shared" si="62"/>
        <v>0</v>
      </c>
      <c r="BW303">
        <f t="shared" si="63"/>
        <v>0</v>
      </c>
      <c r="CA303" t="str">
        <f>IF(104&gt;ROWS(DGArchive[模组]),"",IF(INDEX(DGArchive[模组],104)="","",INDEX(DGArchive[模组],104)))</f>
        <v/>
      </c>
      <c r="CB303" t="str">
        <f>IF(104&gt;ROWS(DGArchive[阶段]),"",IF(INDEX(DGArchive[阶段],104)="","",INDEX(DGArchive[阶段],104)))</f>
        <v/>
      </c>
      <c r="CC303" t="str">
        <f>IF(104&gt;ROWS(DGArchive[游戏内日期]),"",IF(INDEX(DGArchive[游戏内日期],104)="","",INDEX(DGArchive[游戏内日期],104)))</f>
        <v/>
      </c>
      <c r="CD303" t="str">
        <f>IF(104&gt;ROWS(DGArchive[目标]),"",IF(INDEX(DGArchive[目标],104)="","",INDEX(DGArchive[目标],104)))</f>
        <v/>
      </c>
      <c r="CE303" t="str">
        <f>IF(104&gt;ROWS(DGArchive[变更前]),"",IF(INDEX(DGArchive[变更前],104)="","",INDEX(DGArchive[变更前],104)))</f>
        <v/>
      </c>
      <c r="CF303" t="str">
        <f>IF(104&gt;ROWS(DGArchive[增减]),"",IF(INDEX(DGArchive[增减],104)="","",INDEX(DGArchive[增减],104)))</f>
        <v/>
      </c>
      <c r="CG303" t="str">
        <f>IF(104&gt;ROWS(DGArchive[变更后]),"",IF(INDEX(DGArchive[变更后],104)="","",INDEX(DGArchive[变更后],104)))</f>
        <v/>
      </c>
      <c r="CH303" t="str">
        <f>IF(104&gt;ROWS(DGArchive[事件／活动]),"",IF(INDEX(DGArchive[事件／活动],104)="","",INDEX(DGArchive[事件／活动],104)))</f>
        <v/>
      </c>
      <c r="CI303" t="str">
        <f>IF(104&gt;ROWS(DGArchive[记录编号]),"",IF(INDEX(DGArchive[记录编号],104)="","",INDEX(DGArchive[记录编号],104)))</f>
        <v/>
      </c>
      <c r="CL303">
        <f t="shared" si="44"/>
        <v>0</v>
      </c>
      <c r="CM303">
        <f>IF(AND(A303=$AO$5,B303=$AQ$3,H303=1),COUNTIFS($A$200:A303,$AO$5,$B$200:B303,$AQ$3,$H$200:H303,1),0)</f>
        <v>0</v>
      </c>
      <c r="CN303">
        <f>IF(CA303="",104,1001)</f>
        <v>104</v>
      </c>
      <c r="GA303">
        <f t="shared" si="64"/>
        <v>0</v>
      </c>
      <c r="GB303">
        <f t="shared" si="65"/>
        <v>0</v>
      </c>
      <c r="GC303">
        <f>IF(AND(C303="事件记录",H303=1),COUNTIFS($C$200:C303,"事件记录",$H$200:H303,1),0)</f>
        <v>0</v>
      </c>
      <c r="GD303">
        <f t="shared" si="45"/>
        <v>0</v>
      </c>
      <c r="GH303">
        <f>IF(AND(H303=1,A303=$GA$10,B303=$GA$11),COUNTIFS($A$200:A303,$GA$10,$B$200:B303,$GA$11,$H$200:H303,1),0)</f>
        <v>0</v>
      </c>
    </row>
    <row r="304" spans="1:190">
      <c r="A304" t="str">
        <f t="shared" si="36"/>
        <v/>
      </c>
      <c r="B304" t="str">
        <f t="shared" si="37"/>
        <v/>
      </c>
      <c r="C304" t="str">
        <f t="shared" si="38"/>
        <v/>
      </c>
      <c r="D304" t="str">
        <f t="shared" si="39"/>
        <v/>
      </c>
      <c r="E304">
        <f t="shared" si="40"/>
        <v>0</v>
      </c>
      <c r="F304" t="str">
        <f t="shared" si="41"/>
        <v/>
      </c>
      <c r="G304">
        <f t="shared" si="42"/>
        <v>0</v>
      </c>
      <c r="H304">
        <f>IF(AND(G304=1,COUNTIFS($I$200:I304,I304,$G$200:G304,1)=1),1,0)</f>
        <v>0</v>
      </c>
      <c r="I304" t="str">
        <f t="shared" si="43"/>
        <v/>
      </c>
      <c r="BF304">
        <f t="shared" si="46"/>
        <v>0</v>
      </c>
      <c r="BG304">
        <f t="shared" si="47"/>
        <v>0</v>
      </c>
      <c r="BH304">
        <f t="shared" si="48"/>
        <v>0</v>
      </c>
      <c r="BI304">
        <f t="shared" si="49"/>
        <v>0</v>
      </c>
      <c r="BJ304">
        <f t="shared" si="50"/>
        <v>0</v>
      </c>
      <c r="BK304">
        <f t="shared" si="51"/>
        <v>0</v>
      </c>
      <c r="BL304">
        <f t="shared" si="52"/>
        <v>0</v>
      </c>
      <c r="BM304">
        <f t="shared" si="53"/>
        <v>0</v>
      </c>
      <c r="BN304">
        <f t="shared" si="54"/>
        <v>0</v>
      </c>
      <c r="BO304">
        <f t="shared" si="55"/>
        <v>0</v>
      </c>
      <c r="BP304">
        <f t="shared" si="56"/>
        <v>0</v>
      </c>
      <c r="BQ304">
        <f t="shared" si="57"/>
        <v>0</v>
      </c>
      <c r="BR304">
        <f t="shared" si="58"/>
        <v>0</v>
      </c>
      <c r="BS304">
        <f t="shared" si="59"/>
        <v>0</v>
      </c>
      <c r="BT304">
        <f t="shared" si="60"/>
        <v>0</v>
      </c>
      <c r="BU304">
        <f t="shared" si="61"/>
        <v>0</v>
      </c>
      <c r="BV304">
        <f t="shared" si="62"/>
        <v>0</v>
      </c>
      <c r="BW304">
        <f t="shared" si="63"/>
        <v>0</v>
      </c>
      <c r="CA304" t="str">
        <f>IF(105&gt;ROWS(DGArchive[模组]),"",IF(INDEX(DGArchive[模组],105)="","",INDEX(DGArchive[模组],105)))</f>
        <v/>
      </c>
      <c r="CB304" t="str">
        <f>IF(105&gt;ROWS(DGArchive[阶段]),"",IF(INDEX(DGArchive[阶段],105)="","",INDEX(DGArchive[阶段],105)))</f>
        <v/>
      </c>
      <c r="CC304" t="str">
        <f>IF(105&gt;ROWS(DGArchive[游戏内日期]),"",IF(INDEX(DGArchive[游戏内日期],105)="","",INDEX(DGArchive[游戏内日期],105)))</f>
        <v/>
      </c>
      <c r="CD304" t="str">
        <f>IF(105&gt;ROWS(DGArchive[目标]),"",IF(INDEX(DGArchive[目标],105)="","",INDEX(DGArchive[目标],105)))</f>
        <v/>
      </c>
      <c r="CE304" t="str">
        <f>IF(105&gt;ROWS(DGArchive[变更前]),"",IF(INDEX(DGArchive[变更前],105)="","",INDEX(DGArchive[变更前],105)))</f>
        <v/>
      </c>
      <c r="CF304" t="str">
        <f>IF(105&gt;ROWS(DGArchive[增减]),"",IF(INDEX(DGArchive[增减],105)="","",INDEX(DGArchive[增减],105)))</f>
        <v/>
      </c>
      <c r="CG304" t="str">
        <f>IF(105&gt;ROWS(DGArchive[变更后]),"",IF(INDEX(DGArchive[变更后],105)="","",INDEX(DGArchive[变更后],105)))</f>
        <v/>
      </c>
      <c r="CH304" t="str">
        <f>IF(105&gt;ROWS(DGArchive[事件／活动]),"",IF(INDEX(DGArchive[事件／活动],105)="","",INDEX(DGArchive[事件／活动],105)))</f>
        <v/>
      </c>
      <c r="CI304" t="str">
        <f>IF(105&gt;ROWS(DGArchive[记录编号]),"",IF(INDEX(DGArchive[记录编号],105)="","",INDEX(DGArchive[记录编号],105)))</f>
        <v/>
      </c>
      <c r="CL304">
        <f t="shared" si="44"/>
        <v>0</v>
      </c>
      <c r="CM304">
        <f>IF(AND(A304=$AO$5,B304=$AQ$3,H304=1),COUNTIFS($A$200:A304,$AO$5,$B$200:B304,$AQ$3,$H$200:H304,1),0)</f>
        <v>0</v>
      </c>
      <c r="CN304">
        <f>IF(CA304="",105,1001)</f>
        <v>105</v>
      </c>
      <c r="GA304">
        <f t="shared" si="64"/>
        <v>0</v>
      </c>
      <c r="GB304">
        <f t="shared" si="65"/>
        <v>0</v>
      </c>
      <c r="GC304">
        <f>IF(AND(C304="事件记录",H304=1),COUNTIFS($C$200:C304,"事件记录",$H$200:H304,1),0)</f>
        <v>0</v>
      </c>
      <c r="GD304">
        <f t="shared" si="45"/>
        <v>0</v>
      </c>
      <c r="GH304">
        <f>IF(AND(H304=1,A304=$GA$10,B304=$GA$11),COUNTIFS($A$200:A304,$GA$10,$B$200:B304,$GA$11,$H$200:H304,1),0)</f>
        <v>0</v>
      </c>
    </row>
    <row r="305" spans="1:190">
      <c r="A305" t="str">
        <f t="shared" si="36"/>
        <v/>
      </c>
      <c r="B305" t="str">
        <f t="shared" si="37"/>
        <v/>
      </c>
      <c r="C305" t="str">
        <f t="shared" si="38"/>
        <v/>
      </c>
      <c r="D305" t="str">
        <f t="shared" si="39"/>
        <v/>
      </c>
      <c r="E305">
        <f t="shared" si="40"/>
        <v>0</v>
      </c>
      <c r="F305" t="str">
        <f t="shared" si="41"/>
        <v/>
      </c>
      <c r="G305">
        <f t="shared" si="42"/>
        <v>0</v>
      </c>
      <c r="H305">
        <f>IF(AND(G305=1,COUNTIFS($I$200:I305,I305,$G$200:G305,1)=1),1,0)</f>
        <v>0</v>
      </c>
      <c r="I305" t="str">
        <f t="shared" si="43"/>
        <v/>
      </c>
      <c r="BF305">
        <f t="shared" si="46"/>
        <v>0</v>
      </c>
      <c r="BG305">
        <f t="shared" si="47"/>
        <v>0</v>
      </c>
      <c r="BH305">
        <f t="shared" si="48"/>
        <v>0</v>
      </c>
      <c r="BI305">
        <f t="shared" si="49"/>
        <v>0</v>
      </c>
      <c r="BJ305">
        <f t="shared" si="50"/>
        <v>0</v>
      </c>
      <c r="BK305">
        <f t="shared" si="51"/>
        <v>0</v>
      </c>
      <c r="BL305">
        <f t="shared" si="52"/>
        <v>0</v>
      </c>
      <c r="BM305">
        <f t="shared" si="53"/>
        <v>0</v>
      </c>
      <c r="BN305">
        <f t="shared" si="54"/>
        <v>0</v>
      </c>
      <c r="BO305">
        <f t="shared" si="55"/>
        <v>0</v>
      </c>
      <c r="BP305">
        <f t="shared" si="56"/>
        <v>0</v>
      </c>
      <c r="BQ305">
        <f t="shared" si="57"/>
        <v>0</v>
      </c>
      <c r="BR305">
        <f t="shared" si="58"/>
        <v>0</v>
      </c>
      <c r="BS305">
        <f t="shared" si="59"/>
        <v>0</v>
      </c>
      <c r="BT305">
        <f t="shared" si="60"/>
        <v>0</v>
      </c>
      <c r="BU305">
        <f t="shared" si="61"/>
        <v>0</v>
      </c>
      <c r="BV305">
        <f t="shared" si="62"/>
        <v>0</v>
      </c>
      <c r="BW305">
        <f t="shared" si="63"/>
        <v>0</v>
      </c>
      <c r="CA305" t="str">
        <f>IF(106&gt;ROWS(DGArchive[模组]),"",IF(INDEX(DGArchive[模组],106)="","",INDEX(DGArchive[模组],106)))</f>
        <v/>
      </c>
      <c r="CB305" t="str">
        <f>IF(106&gt;ROWS(DGArchive[阶段]),"",IF(INDEX(DGArchive[阶段],106)="","",INDEX(DGArchive[阶段],106)))</f>
        <v/>
      </c>
      <c r="CC305" t="str">
        <f>IF(106&gt;ROWS(DGArchive[游戏内日期]),"",IF(INDEX(DGArchive[游戏内日期],106)="","",INDEX(DGArchive[游戏内日期],106)))</f>
        <v/>
      </c>
      <c r="CD305" t="str">
        <f>IF(106&gt;ROWS(DGArchive[目标]),"",IF(INDEX(DGArchive[目标],106)="","",INDEX(DGArchive[目标],106)))</f>
        <v/>
      </c>
      <c r="CE305" t="str">
        <f>IF(106&gt;ROWS(DGArchive[变更前]),"",IF(INDEX(DGArchive[变更前],106)="","",INDEX(DGArchive[变更前],106)))</f>
        <v/>
      </c>
      <c r="CF305" t="str">
        <f>IF(106&gt;ROWS(DGArchive[增减]),"",IF(INDEX(DGArchive[增减],106)="","",INDEX(DGArchive[增减],106)))</f>
        <v/>
      </c>
      <c r="CG305" t="str">
        <f>IF(106&gt;ROWS(DGArchive[变更后]),"",IF(INDEX(DGArchive[变更后],106)="","",INDEX(DGArchive[变更后],106)))</f>
        <v/>
      </c>
      <c r="CH305" t="str">
        <f>IF(106&gt;ROWS(DGArchive[事件／活动]),"",IF(INDEX(DGArchive[事件／活动],106)="","",INDEX(DGArchive[事件／活动],106)))</f>
        <v/>
      </c>
      <c r="CI305" t="str">
        <f>IF(106&gt;ROWS(DGArchive[记录编号]),"",IF(INDEX(DGArchive[记录编号],106)="","",INDEX(DGArchive[记录编号],106)))</f>
        <v/>
      </c>
      <c r="CL305">
        <f t="shared" si="44"/>
        <v>0</v>
      </c>
      <c r="CM305">
        <f>IF(AND(A305=$AO$5,B305=$AQ$3,H305=1),COUNTIFS($A$200:A305,$AO$5,$B$200:B305,$AQ$3,$H$200:H305,1),0)</f>
        <v>0</v>
      </c>
      <c r="CN305">
        <f>IF(CA305="",106,1001)</f>
        <v>106</v>
      </c>
      <c r="GA305">
        <f t="shared" si="64"/>
        <v>0</v>
      </c>
      <c r="GB305">
        <f t="shared" si="65"/>
        <v>0</v>
      </c>
      <c r="GC305">
        <f>IF(AND(C305="事件记录",H305=1),COUNTIFS($C$200:C305,"事件记录",$H$200:H305,1),0)</f>
        <v>0</v>
      </c>
      <c r="GD305">
        <f t="shared" si="45"/>
        <v>0</v>
      </c>
      <c r="GH305">
        <f>IF(AND(H305=1,A305=$GA$10,B305=$GA$11),COUNTIFS($A$200:A305,$GA$10,$B$200:B305,$GA$11,$H$200:H305,1),0)</f>
        <v>0</v>
      </c>
    </row>
    <row r="306" spans="1:190">
      <c r="A306" t="str">
        <f t="shared" si="36"/>
        <v/>
      </c>
      <c r="B306" t="str">
        <f t="shared" si="37"/>
        <v/>
      </c>
      <c r="C306" t="str">
        <f t="shared" si="38"/>
        <v/>
      </c>
      <c r="D306" t="str">
        <f t="shared" si="39"/>
        <v/>
      </c>
      <c r="E306">
        <f t="shared" si="40"/>
        <v>0</v>
      </c>
      <c r="F306" t="str">
        <f t="shared" si="41"/>
        <v/>
      </c>
      <c r="G306">
        <f t="shared" si="42"/>
        <v>0</v>
      </c>
      <c r="H306">
        <f>IF(AND(G306=1,COUNTIFS($I$200:I306,I306,$G$200:G306,1)=1),1,0)</f>
        <v>0</v>
      </c>
      <c r="I306" t="str">
        <f t="shared" si="43"/>
        <v/>
      </c>
      <c r="BF306">
        <f t="shared" si="46"/>
        <v>0</v>
      </c>
      <c r="BG306">
        <f t="shared" si="47"/>
        <v>0</v>
      </c>
      <c r="BH306">
        <f t="shared" si="48"/>
        <v>0</v>
      </c>
      <c r="BI306">
        <f t="shared" si="49"/>
        <v>0</v>
      </c>
      <c r="BJ306">
        <f t="shared" si="50"/>
        <v>0</v>
      </c>
      <c r="BK306">
        <f t="shared" si="51"/>
        <v>0</v>
      </c>
      <c r="BL306">
        <f t="shared" si="52"/>
        <v>0</v>
      </c>
      <c r="BM306">
        <f t="shared" si="53"/>
        <v>0</v>
      </c>
      <c r="BN306">
        <f t="shared" si="54"/>
        <v>0</v>
      </c>
      <c r="BO306">
        <f t="shared" si="55"/>
        <v>0</v>
      </c>
      <c r="BP306">
        <f t="shared" si="56"/>
        <v>0</v>
      </c>
      <c r="BQ306">
        <f t="shared" si="57"/>
        <v>0</v>
      </c>
      <c r="BR306">
        <f t="shared" si="58"/>
        <v>0</v>
      </c>
      <c r="BS306">
        <f t="shared" si="59"/>
        <v>0</v>
      </c>
      <c r="BT306">
        <f t="shared" si="60"/>
        <v>0</v>
      </c>
      <c r="BU306">
        <f t="shared" si="61"/>
        <v>0</v>
      </c>
      <c r="BV306">
        <f t="shared" si="62"/>
        <v>0</v>
      </c>
      <c r="BW306">
        <f t="shared" si="63"/>
        <v>0</v>
      </c>
      <c r="CA306" t="str">
        <f>IF(107&gt;ROWS(DGArchive[模组]),"",IF(INDEX(DGArchive[模组],107)="","",INDEX(DGArchive[模组],107)))</f>
        <v/>
      </c>
      <c r="CB306" t="str">
        <f>IF(107&gt;ROWS(DGArchive[阶段]),"",IF(INDEX(DGArchive[阶段],107)="","",INDEX(DGArchive[阶段],107)))</f>
        <v/>
      </c>
      <c r="CC306" t="str">
        <f>IF(107&gt;ROWS(DGArchive[游戏内日期]),"",IF(INDEX(DGArchive[游戏内日期],107)="","",INDEX(DGArchive[游戏内日期],107)))</f>
        <v/>
      </c>
      <c r="CD306" t="str">
        <f>IF(107&gt;ROWS(DGArchive[目标]),"",IF(INDEX(DGArchive[目标],107)="","",INDEX(DGArchive[目标],107)))</f>
        <v/>
      </c>
      <c r="CE306" t="str">
        <f>IF(107&gt;ROWS(DGArchive[变更前]),"",IF(INDEX(DGArchive[变更前],107)="","",INDEX(DGArchive[变更前],107)))</f>
        <v/>
      </c>
      <c r="CF306" t="str">
        <f>IF(107&gt;ROWS(DGArchive[增减]),"",IF(INDEX(DGArchive[增减],107)="","",INDEX(DGArchive[增减],107)))</f>
        <v/>
      </c>
      <c r="CG306" t="str">
        <f>IF(107&gt;ROWS(DGArchive[变更后]),"",IF(INDEX(DGArchive[变更后],107)="","",INDEX(DGArchive[变更后],107)))</f>
        <v/>
      </c>
      <c r="CH306" t="str">
        <f>IF(107&gt;ROWS(DGArchive[事件／活动]),"",IF(INDEX(DGArchive[事件／活动],107)="","",INDEX(DGArchive[事件／活动],107)))</f>
        <v/>
      </c>
      <c r="CI306" t="str">
        <f>IF(107&gt;ROWS(DGArchive[记录编号]),"",IF(INDEX(DGArchive[记录编号],107)="","",INDEX(DGArchive[记录编号],107)))</f>
        <v/>
      </c>
      <c r="CL306">
        <f t="shared" si="44"/>
        <v>0</v>
      </c>
      <c r="CM306">
        <f>IF(AND(A306=$AO$5,B306=$AQ$3,H306=1),COUNTIFS($A$200:A306,$AO$5,$B$200:B306,$AQ$3,$H$200:H306,1),0)</f>
        <v>0</v>
      </c>
      <c r="CN306">
        <f>IF(CA306="",107,1001)</f>
        <v>107</v>
      </c>
      <c r="GA306">
        <f t="shared" si="64"/>
        <v>0</v>
      </c>
      <c r="GB306">
        <f t="shared" si="65"/>
        <v>0</v>
      </c>
      <c r="GC306">
        <f>IF(AND(C306="事件记录",H306=1),COUNTIFS($C$200:C306,"事件记录",$H$200:H306,1),0)</f>
        <v>0</v>
      </c>
      <c r="GD306">
        <f t="shared" si="45"/>
        <v>0</v>
      </c>
      <c r="GH306">
        <f>IF(AND(H306=1,A306=$GA$10,B306=$GA$11),COUNTIFS($A$200:A306,$GA$10,$B$200:B306,$GA$11,$H$200:H306,1),0)</f>
        <v>0</v>
      </c>
    </row>
    <row r="307" spans="1:190">
      <c r="A307" t="str">
        <f t="shared" si="36"/>
        <v/>
      </c>
      <c r="B307" t="str">
        <f t="shared" si="37"/>
        <v/>
      </c>
      <c r="C307" t="str">
        <f t="shared" si="38"/>
        <v/>
      </c>
      <c r="D307" t="str">
        <f t="shared" si="39"/>
        <v/>
      </c>
      <c r="E307">
        <f t="shared" si="40"/>
        <v>0</v>
      </c>
      <c r="F307" t="str">
        <f t="shared" si="41"/>
        <v/>
      </c>
      <c r="G307">
        <f t="shared" si="42"/>
        <v>0</v>
      </c>
      <c r="H307">
        <f>IF(AND(G307=1,COUNTIFS($I$200:I307,I307,$G$200:G307,1)=1),1,0)</f>
        <v>0</v>
      </c>
      <c r="I307" t="str">
        <f t="shared" si="43"/>
        <v/>
      </c>
      <c r="BF307">
        <f t="shared" si="46"/>
        <v>0</v>
      </c>
      <c r="BG307">
        <f t="shared" si="47"/>
        <v>0</v>
      </c>
      <c r="BH307">
        <f t="shared" si="48"/>
        <v>0</v>
      </c>
      <c r="BI307">
        <f t="shared" si="49"/>
        <v>0</v>
      </c>
      <c r="BJ307">
        <f t="shared" si="50"/>
        <v>0</v>
      </c>
      <c r="BK307">
        <f t="shared" si="51"/>
        <v>0</v>
      </c>
      <c r="BL307">
        <f t="shared" si="52"/>
        <v>0</v>
      </c>
      <c r="BM307">
        <f t="shared" si="53"/>
        <v>0</v>
      </c>
      <c r="BN307">
        <f t="shared" si="54"/>
        <v>0</v>
      </c>
      <c r="BO307">
        <f t="shared" si="55"/>
        <v>0</v>
      </c>
      <c r="BP307">
        <f t="shared" si="56"/>
        <v>0</v>
      </c>
      <c r="BQ307">
        <f t="shared" si="57"/>
        <v>0</v>
      </c>
      <c r="BR307">
        <f t="shared" si="58"/>
        <v>0</v>
      </c>
      <c r="BS307">
        <f t="shared" si="59"/>
        <v>0</v>
      </c>
      <c r="BT307">
        <f t="shared" si="60"/>
        <v>0</v>
      </c>
      <c r="BU307">
        <f t="shared" si="61"/>
        <v>0</v>
      </c>
      <c r="BV307">
        <f t="shared" si="62"/>
        <v>0</v>
      </c>
      <c r="BW307">
        <f t="shared" si="63"/>
        <v>0</v>
      </c>
      <c r="CA307" t="str">
        <f>IF(108&gt;ROWS(DGArchive[模组]),"",IF(INDEX(DGArchive[模组],108)="","",INDEX(DGArchive[模组],108)))</f>
        <v/>
      </c>
      <c r="CB307" t="str">
        <f>IF(108&gt;ROWS(DGArchive[阶段]),"",IF(INDEX(DGArchive[阶段],108)="","",INDEX(DGArchive[阶段],108)))</f>
        <v/>
      </c>
      <c r="CC307" t="str">
        <f>IF(108&gt;ROWS(DGArchive[游戏内日期]),"",IF(INDEX(DGArchive[游戏内日期],108)="","",INDEX(DGArchive[游戏内日期],108)))</f>
        <v/>
      </c>
      <c r="CD307" t="str">
        <f>IF(108&gt;ROWS(DGArchive[目标]),"",IF(INDEX(DGArchive[目标],108)="","",INDEX(DGArchive[目标],108)))</f>
        <v/>
      </c>
      <c r="CE307" t="str">
        <f>IF(108&gt;ROWS(DGArchive[变更前]),"",IF(INDEX(DGArchive[变更前],108)="","",INDEX(DGArchive[变更前],108)))</f>
        <v/>
      </c>
      <c r="CF307" t="str">
        <f>IF(108&gt;ROWS(DGArchive[增减]),"",IF(INDEX(DGArchive[增减],108)="","",INDEX(DGArchive[增减],108)))</f>
        <v/>
      </c>
      <c r="CG307" t="str">
        <f>IF(108&gt;ROWS(DGArchive[变更后]),"",IF(INDEX(DGArchive[变更后],108)="","",INDEX(DGArchive[变更后],108)))</f>
        <v/>
      </c>
      <c r="CH307" t="str">
        <f>IF(108&gt;ROWS(DGArchive[事件／活动]),"",IF(INDEX(DGArchive[事件／活动],108)="","",INDEX(DGArchive[事件／活动],108)))</f>
        <v/>
      </c>
      <c r="CI307" t="str">
        <f>IF(108&gt;ROWS(DGArchive[记录编号]),"",IF(INDEX(DGArchive[记录编号],108)="","",INDEX(DGArchive[记录编号],108)))</f>
        <v/>
      </c>
      <c r="CL307">
        <f t="shared" si="44"/>
        <v>0</v>
      </c>
      <c r="CM307">
        <f>IF(AND(A307=$AO$5,B307=$AQ$3,H307=1),COUNTIFS($A$200:A307,$AO$5,$B$200:B307,$AQ$3,$H$200:H307,1),0)</f>
        <v>0</v>
      </c>
      <c r="CN307">
        <f>IF(CA307="",108,1001)</f>
        <v>108</v>
      </c>
      <c r="GA307">
        <f t="shared" si="64"/>
        <v>0</v>
      </c>
      <c r="GB307">
        <f t="shared" si="65"/>
        <v>0</v>
      </c>
      <c r="GC307">
        <f>IF(AND(C307="事件记录",H307=1),COUNTIFS($C$200:C307,"事件记录",$H$200:H307,1),0)</f>
        <v>0</v>
      </c>
      <c r="GD307">
        <f t="shared" si="45"/>
        <v>0</v>
      </c>
      <c r="GH307">
        <f>IF(AND(H307=1,A307=$GA$10,B307=$GA$11),COUNTIFS($A$200:A307,$GA$10,$B$200:B307,$GA$11,$H$200:H307,1),0)</f>
        <v>0</v>
      </c>
    </row>
    <row r="308" spans="1:190">
      <c r="A308" t="str">
        <f t="shared" si="36"/>
        <v/>
      </c>
      <c r="B308" t="str">
        <f t="shared" si="37"/>
        <v/>
      </c>
      <c r="C308" t="str">
        <f t="shared" si="38"/>
        <v/>
      </c>
      <c r="D308" t="str">
        <f t="shared" si="39"/>
        <v/>
      </c>
      <c r="E308">
        <f t="shared" si="40"/>
        <v>0</v>
      </c>
      <c r="F308" t="str">
        <f t="shared" si="41"/>
        <v/>
      </c>
      <c r="G308">
        <f t="shared" si="42"/>
        <v>0</v>
      </c>
      <c r="H308">
        <f>IF(AND(G308=1,COUNTIFS($I$200:I308,I308,$G$200:G308,1)=1),1,0)</f>
        <v>0</v>
      </c>
      <c r="I308" t="str">
        <f t="shared" si="43"/>
        <v/>
      </c>
      <c r="BF308">
        <f t="shared" si="46"/>
        <v>0</v>
      </c>
      <c r="BG308">
        <f t="shared" si="47"/>
        <v>0</v>
      </c>
      <c r="BH308">
        <f t="shared" si="48"/>
        <v>0</v>
      </c>
      <c r="BI308">
        <f t="shared" si="49"/>
        <v>0</v>
      </c>
      <c r="BJ308">
        <f t="shared" si="50"/>
        <v>0</v>
      </c>
      <c r="BK308">
        <f t="shared" si="51"/>
        <v>0</v>
      </c>
      <c r="BL308">
        <f t="shared" si="52"/>
        <v>0</v>
      </c>
      <c r="BM308">
        <f t="shared" si="53"/>
        <v>0</v>
      </c>
      <c r="BN308">
        <f t="shared" si="54"/>
        <v>0</v>
      </c>
      <c r="BO308">
        <f t="shared" si="55"/>
        <v>0</v>
      </c>
      <c r="BP308">
        <f t="shared" si="56"/>
        <v>0</v>
      </c>
      <c r="BQ308">
        <f t="shared" si="57"/>
        <v>0</v>
      </c>
      <c r="BR308">
        <f t="shared" si="58"/>
        <v>0</v>
      </c>
      <c r="BS308">
        <f t="shared" si="59"/>
        <v>0</v>
      </c>
      <c r="BT308">
        <f t="shared" si="60"/>
        <v>0</v>
      </c>
      <c r="BU308">
        <f t="shared" si="61"/>
        <v>0</v>
      </c>
      <c r="BV308">
        <f t="shared" si="62"/>
        <v>0</v>
      </c>
      <c r="BW308">
        <f t="shared" si="63"/>
        <v>0</v>
      </c>
      <c r="CA308" t="str">
        <f>IF(109&gt;ROWS(DGArchive[模组]),"",IF(INDEX(DGArchive[模组],109)="","",INDEX(DGArchive[模组],109)))</f>
        <v/>
      </c>
      <c r="CB308" t="str">
        <f>IF(109&gt;ROWS(DGArchive[阶段]),"",IF(INDEX(DGArchive[阶段],109)="","",INDEX(DGArchive[阶段],109)))</f>
        <v/>
      </c>
      <c r="CC308" t="str">
        <f>IF(109&gt;ROWS(DGArchive[游戏内日期]),"",IF(INDEX(DGArchive[游戏内日期],109)="","",INDEX(DGArchive[游戏内日期],109)))</f>
        <v/>
      </c>
      <c r="CD308" t="str">
        <f>IF(109&gt;ROWS(DGArchive[目标]),"",IF(INDEX(DGArchive[目标],109)="","",INDEX(DGArchive[目标],109)))</f>
        <v/>
      </c>
      <c r="CE308" t="str">
        <f>IF(109&gt;ROWS(DGArchive[变更前]),"",IF(INDEX(DGArchive[变更前],109)="","",INDEX(DGArchive[变更前],109)))</f>
        <v/>
      </c>
      <c r="CF308" t="str">
        <f>IF(109&gt;ROWS(DGArchive[增减]),"",IF(INDEX(DGArchive[增减],109)="","",INDEX(DGArchive[增减],109)))</f>
        <v/>
      </c>
      <c r="CG308" t="str">
        <f>IF(109&gt;ROWS(DGArchive[变更后]),"",IF(INDEX(DGArchive[变更后],109)="","",INDEX(DGArchive[变更后],109)))</f>
        <v/>
      </c>
      <c r="CH308" t="str">
        <f>IF(109&gt;ROWS(DGArchive[事件／活动]),"",IF(INDEX(DGArchive[事件／活动],109)="","",INDEX(DGArchive[事件／活动],109)))</f>
        <v/>
      </c>
      <c r="CI308" t="str">
        <f>IF(109&gt;ROWS(DGArchive[记录编号]),"",IF(INDEX(DGArchive[记录编号],109)="","",INDEX(DGArchive[记录编号],109)))</f>
        <v/>
      </c>
      <c r="CL308">
        <f t="shared" si="44"/>
        <v>0</v>
      </c>
      <c r="CM308">
        <f>IF(AND(A308=$AO$5,B308=$AQ$3,H308=1),COUNTIFS($A$200:A308,$AO$5,$B$200:B308,$AQ$3,$H$200:H308,1),0)</f>
        <v>0</v>
      </c>
      <c r="CN308">
        <f>IF(CA308="",109,1001)</f>
        <v>109</v>
      </c>
      <c r="GA308">
        <f t="shared" si="64"/>
        <v>0</v>
      </c>
      <c r="GB308">
        <f t="shared" si="65"/>
        <v>0</v>
      </c>
      <c r="GC308">
        <f>IF(AND(C308="事件记录",H308=1),COUNTIFS($C$200:C308,"事件记录",$H$200:H308,1),0)</f>
        <v>0</v>
      </c>
      <c r="GD308">
        <f t="shared" si="45"/>
        <v>0</v>
      </c>
      <c r="GH308">
        <f>IF(AND(H308=1,A308=$GA$10,B308=$GA$11),COUNTIFS($A$200:A308,$GA$10,$B$200:B308,$GA$11,$H$200:H308,1),0)</f>
        <v>0</v>
      </c>
    </row>
    <row r="309" spans="1:190">
      <c r="A309" t="str">
        <f t="shared" si="36"/>
        <v/>
      </c>
      <c r="B309" t="str">
        <f t="shared" si="37"/>
        <v/>
      </c>
      <c r="C309" t="str">
        <f t="shared" si="38"/>
        <v/>
      </c>
      <c r="D309" t="str">
        <f t="shared" si="39"/>
        <v/>
      </c>
      <c r="E309">
        <f t="shared" si="40"/>
        <v>0</v>
      </c>
      <c r="F309" t="str">
        <f t="shared" si="41"/>
        <v/>
      </c>
      <c r="G309">
        <f t="shared" si="42"/>
        <v>0</v>
      </c>
      <c r="H309">
        <f>IF(AND(G309=1,COUNTIFS($I$200:I309,I309,$G$200:G309,1)=1),1,0)</f>
        <v>0</v>
      </c>
      <c r="I309" t="str">
        <f t="shared" si="43"/>
        <v/>
      </c>
      <c r="BF309">
        <f t="shared" si="46"/>
        <v>0</v>
      </c>
      <c r="BG309">
        <f t="shared" si="47"/>
        <v>0</v>
      </c>
      <c r="BH309">
        <f t="shared" si="48"/>
        <v>0</v>
      </c>
      <c r="BI309">
        <f t="shared" si="49"/>
        <v>0</v>
      </c>
      <c r="BJ309">
        <f t="shared" si="50"/>
        <v>0</v>
      </c>
      <c r="BK309">
        <f t="shared" si="51"/>
        <v>0</v>
      </c>
      <c r="BL309">
        <f t="shared" si="52"/>
        <v>0</v>
      </c>
      <c r="BM309">
        <f t="shared" si="53"/>
        <v>0</v>
      </c>
      <c r="BN309">
        <f t="shared" si="54"/>
        <v>0</v>
      </c>
      <c r="BO309">
        <f t="shared" si="55"/>
        <v>0</v>
      </c>
      <c r="BP309">
        <f t="shared" si="56"/>
        <v>0</v>
      </c>
      <c r="BQ309">
        <f t="shared" si="57"/>
        <v>0</v>
      </c>
      <c r="BR309">
        <f t="shared" si="58"/>
        <v>0</v>
      </c>
      <c r="BS309">
        <f t="shared" si="59"/>
        <v>0</v>
      </c>
      <c r="BT309">
        <f t="shared" si="60"/>
        <v>0</v>
      </c>
      <c r="BU309">
        <f t="shared" si="61"/>
        <v>0</v>
      </c>
      <c r="BV309">
        <f t="shared" si="62"/>
        <v>0</v>
      </c>
      <c r="BW309">
        <f t="shared" si="63"/>
        <v>0</v>
      </c>
      <c r="CA309" t="str">
        <f>IF(110&gt;ROWS(DGArchive[模组]),"",IF(INDEX(DGArchive[模组],110)="","",INDEX(DGArchive[模组],110)))</f>
        <v/>
      </c>
      <c r="CB309" t="str">
        <f>IF(110&gt;ROWS(DGArchive[阶段]),"",IF(INDEX(DGArchive[阶段],110)="","",INDEX(DGArchive[阶段],110)))</f>
        <v/>
      </c>
      <c r="CC309" t="str">
        <f>IF(110&gt;ROWS(DGArchive[游戏内日期]),"",IF(INDEX(DGArchive[游戏内日期],110)="","",INDEX(DGArchive[游戏内日期],110)))</f>
        <v/>
      </c>
      <c r="CD309" t="str">
        <f>IF(110&gt;ROWS(DGArchive[目标]),"",IF(INDEX(DGArchive[目标],110)="","",INDEX(DGArchive[目标],110)))</f>
        <v/>
      </c>
      <c r="CE309" t="str">
        <f>IF(110&gt;ROWS(DGArchive[变更前]),"",IF(INDEX(DGArchive[变更前],110)="","",INDEX(DGArchive[变更前],110)))</f>
        <v/>
      </c>
      <c r="CF309" t="str">
        <f>IF(110&gt;ROWS(DGArchive[增减]),"",IF(INDEX(DGArchive[增减],110)="","",INDEX(DGArchive[增减],110)))</f>
        <v/>
      </c>
      <c r="CG309" t="str">
        <f>IF(110&gt;ROWS(DGArchive[变更后]),"",IF(INDEX(DGArchive[变更后],110)="","",INDEX(DGArchive[变更后],110)))</f>
        <v/>
      </c>
      <c r="CH309" t="str">
        <f>IF(110&gt;ROWS(DGArchive[事件／活动]),"",IF(INDEX(DGArchive[事件／活动],110)="","",INDEX(DGArchive[事件／活动],110)))</f>
        <v/>
      </c>
      <c r="CI309" t="str">
        <f>IF(110&gt;ROWS(DGArchive[记录编号]),"",IF(INDEX(DGArchive[记录编号],110)="","",INDEX(DGArchive[记录编号],110)))</f>
        <v/>
      </c>
      <c r="CL309">
        <f t="shared" si="44"/>
        <v>0</v>
      </c>
      <c r="CM309">
        <f>IF(AND(A309=$AO$5,B309=$AQ$3,H309=1),COUNTIFS($A$200:A309,$AO$5,$B$200:B309,$AQ$3,$H$200:H309,1),0)</f>
        <v>0</v>
      </c>
      <c r="CN309">
        <f>IF(CA309="",110,1001)</f>
        <v>110</v>
      </c>
      <c r="GA309">
        <f t="shared" si="64"/>
        <v>0</v>
      </c>
      <c r="GB309">
        <f t="shared" si="65"/>
        <v>0</v>
      </c>
      <c r="GC309">
        <f>IF(AND(C309="事件记录",H309=1),COUNTIFS($C$200:C309,"事件记录",$H$200:H309,1),0)</f>
        <v>0</v>
      </c>
      <c r="GD309">
        <f t="shared" si="45"/>
        <v>0</v>
      </c>
      <c r="GH309">
        <f>IF(AND(H309=1,A309=$GA$10,B309=$GA$11),COUNTIFS($A$200:A309,$GA$10,$B$200:B309,$GA$11,$H$200:H309,1),0)</f>
        <v>0</v>
      </c>
    </row>
    <row r="310" spans="1:190">
      <c r="A310" t="str">
        <f t="shared" si="36"/>
        <v/>
      </c>
      <c r="B310" t="str">
        <f t="shared" si="37"/>
        <v/>
      </c>
      <c r="C310" t="str">
        <f t="shared" si="38"/>
        <v/>
      </c>
      <c r="D310" t="str">
        <f t="shared" si="39"/>
        <v/>
      </c>
      <c r="E310">
        <f t="shared" si="40"/>
        <v>0</v>
      </c>
      <c r="F310" t="str">
        <f t="shared" si="41"/>
        <v/>
      </c>
      <c r="G310">
        <f t="shared" si="42"/>
        <v>0</v>
      </c>
      <c r="H310">
        <f>IF(AND(G310=1,COUNTIFS($I$200:I310,I310,$G$200:G310,1)=1),1,0)</f>
        <v>0</v>
      </c>
      <c r="I310" t="str">
        <f t="shared" si="43"/>
        <v/>
      </c>
      <c r="BF310">
        <f t="shared" si="46"/>
        <v>0</v>
      </c>
      <c r="BG310">
        <f t="shared" si="47"/>
        <v>0</v>
      </c>
      <c r="BH310">
        <f t="shared" si="48"/>
        <v>0</v>
      </c>
      <c r="BI310">
        <f t="shared" si="49"/>
        <v>0</v>
      </c>
      <c r="BJ310">
        <f t="shared" si="50"/>
        <v>0</v>
      </c>
      <c r="BK310">
        <f t="shared" si="51"/>
        <v>0</v>
      </c>
      <c r="BL310">
        <f t="shared" si="52"/>
        <v>0</v>
      </c>
      <c r="BM310">
        <f t="shared" si="53"/>
        <v>0</v>
      </c>
      <c r="BN310">
        <f t="shared" si="54"/>
        <v>0</v>
      </c>
      <c r="BO310">
        <f t="shared" si="55"/>
        <v>0</v>
      </c>
      <c r="BP310">
        <f t="shared" si="56"/>
        <v>0</v>
      </c>
      <c r="BQ310">
        <f t="shared" si="57"/>
        <v>0</v>
      </c>
      <c r="BR310">
        <f t="shared" si="58"/>
        <v>0</v>
      </c>
      <c r="BS310">
        <f t="shared" si="59"/>
        <v>0</v>
      </c>
      <c r="BT310">
        <f t="shared" si="60"/>
        <v>0</v>
      </c>
      <c r="BU310">
        <f t="shared" si="61"/>
        <v>0</v>
      </c>
      <c r="BV310">
        <f t="shared" si="62"/>
        <v>0</v>
      </c>
      <c r="BW310">
        <f t="shared" si="63"/>
        <v>0</v>
      </c>
      <c r="CA310" t="str">
        <f>IF(111&gt;ROWS(DGArchive[模组]),"",IF(INDEX(DGArchive[模组],111)="","",INDEX(DGArchive[模组],111)))</f>
        <v/>
      </c>
      <c r="CB310" t="str">
        <f>IF(111&gt;ROWS(DGArchive[阶段]),"",IF(INDEX(DGArchive[阶段],111)="","",INDEX(DGArchive[阶段],111)))</f>
        <v/>
      </c>
      <c r="CC310" t="str">
        <f>IF(111&gt;ROWS(DGArchive[游戏内日期]),"",IF(INDEX(DGArchive[游戏内日期],111)="","",INDEX(DGArchive[游戏内日期],111)))</f>
        <v/>
      </c>
      <c r="CD310" t="str">
        <f>IF(111&gt;ROWS(DGArchive[目标]),"",IF(INDEX(DGArchive[目标],111)="","",INDEX(DGArchive[目标],111)))</f>
        <v/>
      </c>
      <c r="CE310" t="str">
        <f>IF(111&gt;ROWS(DGArchive[变更前]),"",IF(INDEX(DGArchive[变更前],111)="","",INDEX(DGArchive[变更前],111)))</f>
        <v/>
      </c>
      <c r="CF310" t="str">
        <f>IF(111&gt;ROWS(DGArchive[增减]),"",IF(INDEX(DGArchive[增减],111)="","",INDEX(DGArchive[增减],111)))</f>
        <v/>
      </c>
      <c r="CG310" t="str">
        <f>IF(111&gt;ROWS(DGArchive[变更后]),"",IF(INDEX(DGArchive[变更后],111)="","",INDEX(DGArchive[变更后],111)))</f>
        <v/>
      </c>
      <c r="CH310" t="str">
        <f>IF(111&gt;ROWS(DGArchive[事件／活动]),"",IF(INDEX(DGArchive[事件／活动],111)="","",INDEX(DGArchive[事件／活动],111)))</f>
        <v/>
      </c>
      <c r="CI310" t="str">
        <f>IF(111&gt;ROWS(DGArchive[记录编号]),"",IF(INDEX(DGArchive[记录编号],111)="","",INDEX(DGArchive[记录编号],111)))</f>
        <v/>
      </c>
      <c r="CL310">
        <f t="shared" si="44"/>
        <v>0</v>
      </c>
      <c r="CM310">
        <f>IF(AND(A310=$AO$5,B310=$AQ$3,H310=1),COUNTIFS($A$200:A310,$AO$5,$B$200:B310,$AQ$3,$H$200:H310,1),0)</f>
        <v>0</v>
      </c>
      <c r="CN310">
        <f>IF(CA310="",111,1001)</f>
        <v>111</v>
      </c>
      <c r="GA310">
        <f t="shared" si="64"/>
        <v>0</v>
      </c>
      <c r="GB310">
        <f t="shared" si="65"/>
        <v>0</v>
      </c>
      <c r="GC310">
        <f>IF(AND(C310="事件记录",H310=1),COUNTIFS($C$200:C310,"事件记录",$H$200:H310,1),0)</f>
        <v>0</v>
      </c>
      <c r="GD310">
        <f t="shared" si="45"/>
        <v>0</v>
      </c>
      <c r="GH310">
        <f>IF(AND(H310=1,A310=$GA$10,B310=$GA$11),COUNTIFS($A$200:A310,$GA$10,$B$200:B310,$GA$11,$H$200:H310,1),0)</f>
        <v>0</v>
      </c>
    </row>
    <row r="311" spans="1:190">
      <c r="A311" t="str">
        <f t="shared" si="36"/>
        <v/>
      </c>
      <c r="B311" t="str">
        <f t="shared" si="37"/>
        <v/>
      </c>
      <c r="C311" t="str">
        <f t="shared" si="38"/>
        <v/>
      </c>
      <c r="D311" t="str">
        <f t="shared" si="39"/>
        <v/>
      </c>
      <c r="E311">
        <f t="shared" si="40"/>
        <v>0</v>
      </c>
      <c r="F311" t="str">
        <f t="shared" si="41"/>
        <v/>
      </c>
      <c r="G311">
        <f t="shared" si="42"/>
        <v>0</v>
      </c>
      <c r="H311">
        <f>IF(AND(G311=1,COUNTIFS($I$200:I311,I311,$G$200:G311,1)=1),1,0)</f>
        <v>0</v>
      </c>
      <c r="I311" t="str">
        <f t="shared" si="43"/>
        <v/>
      </c>
      <c r="BF311">
        <f t="shared" si="46"/>
        <v>0</v>
      </c>
      <c r="BG311">
        <f t="shared" si="47"/>
        <v>0</v>
      </c>
      <c r="BH311">
        <f t="shared" si="48"/>
        <v>0</v>
      </c>
      <c r="BI311">
        <f t="shared" si="49"/>
        <v>0</v>
      </c>
      <c r="BJ311">
        <f t="shared" si="50"/>
        <v>0</v>
      </c>
      <c r="BK311">
        <f t="shared" si="51"/>
        <v>0</v>
      </c>
      <c r="BL311">
        <f t="shared" si="52"/>
        <v>0</v>
      </c>
      <c r="BM311">
        <f t="shared" si="53"/>
        <v>0</v>
      </c>
      <c r="BN311">
        <f t="shared" si="54"/>
        <v>0</v>
      </c>
      <c r="BO311">
        <f t="shared" si="55"/>
        <v>0</v>
      </c>
      <c r="BP311">
        <f t="shared" si="56"/>
        <v>0</v>
      </c>
      <c r="BQ311">
        <f t="shared" si="57"/>
        <v>0</v>
      </c>
      <c r="BR311">
        <f t="shared" si="58"/>
        <v>0</v>
      </c>
      <c r="BS311">
        <f t="shared" si="59"/>
        <v>0</v>
      </c>
      <c r="BT311">
        <f t="shared" si="60"/>
        <v>0</v>
      </c>
      <c r="BU311">
        <f t="shared" si="61"/>
        <v>0</v>
      </c>
      <c r="BV311">
        <f t="shared" si="62"/>
        <v>0</v>
      </c>
      <c r="BW311">
        <f t="shared" si="63"/>
        <v>0</v>
      </c>
      <c r="CA311" t="str">
        <f>IF(112&gt;ROWS(DGArchive[模组]),"",IF(INDEX(DGArchive[模组],112)="","",INDEX(DGArchive[模组],112)))</f>
        <v/>
      </c>
      <c r="CB311" t="str">
        <f>IF(112&gt;ROWS(DGArchive[阶段]),"",IF(INDEX(DGArchive[阶段],112)="","",INDEX(DGArchive[阶段],112)))</f>
        <v/>
      </c>
      <c r="CC311" t="str">
        <f>IF(112&gt;ROWS(DGArchive[游戏内日期]),"",IF(INDEX(DGArchive[游戏内日期],112)="","",INDEX(DGArchive[游戏内日期],112)))</f>
        <v/>
      </c>
      <c r="CD311" t="str">
        <f>IF(112&gt;ROWS(DGArchive[目标]),"",IF(INDEX(DGArchive[目标],112)="","",INDEX(DGArchive[目标],112)))</f>
        <v/>
      </c>
      <c r="CE311" t="str">
        <f>IF(112&gt;ROWS(DGArchive[变更前]),"",IF(INDEX(DGArchive[变更前],112)="","",INDEX(DGArchive[变更前],112)))</f>
        <v/>
      </c>
      <c r="CF311" t="str">
        <f>IF(112&gt;ROWS(DGArchive[增减]),"",IF(INDEX(DGArchive[增减],112)="","",INDEX(DGArchive[增减],112)))</f>
        <v/>
      </c>
      <c r="CG311" t="str">
        <f>IF(112&gt;ROWS(DGArchive[变更后]),"",IF(INDEX(DGArchive[变更后],112)="","",INDEX(DGArchive[变更后],112)))</f>
        <v/>
      </c>
      <c r="CH311" t="str">
        <f>IF(112&gt;ROWS(DGArchive[事件／活动]),"",IF(INDEX(DGArchive[事件／活动],112)="","",INDEX(DGArchive[事件／活动],112)))</f>
        <v/>
      </c>
      <c r="CI311" t="str">
        <f>IF(112&gt;ROWS(DGArchive[记录编号]),"",IF(INDEX(DGArchive[记录编号],112)="","",INDEX(DGArchive[记录编号],112)))</f>
        <v/>
      </c>
      <c r="CL311">
        <f t="shared" si="44"/>
        <v>0</v>
      </c>
      <c r="CM311">
        <f>IF(AND(A311=$AO$5,B311=$AQ$3,H311=1),COUNTIFS($A$200:A311,$AO$5,$B$200:B311,$AQ$3,$H$200:H311,1),0)</f>
        <v>0</v>
      </c>
      <c r="CN311">
        <f>IF(CA311="",112,1001)</f>
        <v>112</v>
      </c>
      <c r="GA311">
        <f t="shared" si="64"/>
        <v>0</v>
      </c>
      <c r="GB311">
        <f t="shared" si="65"/>
        <v>0</v>
      </c>
      <c r="GC311">
        <f>IF(AND(C311="事件记录",H311=1),COUNTIFS($C$200:C311,"事件记录",$H$200:H311,1),0)</f>
        <v>0</v>
      </c>
      <c r="GD311">
        <f t="shared" si="45"/>
        <v>0</v>
      </c>
      <c r="GH311">
        <f>IF(AND(H311=1,A311=$GA$10,B311=$GA$11),COUNTIFS($A$200:A311,$GA$10,$B$200:B311,$GA$11,$H$200:H311,1),0)</f>
        <v>0</v>
      </c>
    </row>
    <row r="312" spans="1:190">
      <c r="A312" t="str">
        <f t="shared" si="36"/>
        <v/>
      </c>
      <c r="B312" t="str">
        <f t="shared" si="37"/>
        <v/>
      </c>
      <c r="C312" t="str">
        <f t="shared" si="38"/>
        <v/>
      </c>
      <c r="D312" t="str">
        <f t="shared" si="39"/>
        <v/>
      </c>
      <c r="E312">
        <f t="shared" si="40"/>
        <v>0</v>
      </c>
      <c r="F312" t="str">
        <f t="shared" si="41"/>
        <v/>
      </c>
      <c r="G312">
        <f t="shared" si="42"/>
        <v>0</v>
      </c>
      <c r="H312">
        <f>IF(AND(G312=1,COUNTIFS($I$200:I312,I312,$G$200:G312,1)=1),1,0)</f>
        <v>0</v>
      </c>
      <c r="I312" t="str">
        <f t="shared" si="43"/>
        <v/>
      </c>
      <c r="BF312">
        <f t="shared" si="46"/>
        <v>0</v>
      </c>
      <c r="BG312">
        <f t="shared" si="47"/>
        <v>0</v>
      </c>
      <c r="BH312">
        <f t="shared" si="48"/>
        <v>0</v>
      </c>
      <c r="BI312">
        <f t="shared" si="49"/>
        <v>0</v>
      </c>
      <c r="BJ312">
        <f t="shared" si="50"/>
        <v>0</v>
      </c>
      <c r="BK312">
        <f t="shared" si="51"/>
        <v>0</v>
      </c>
      <c r="BL312">
        <f t="shared" si="52"/>
        <v>0</v>
      </c>
      <c r="BM312">
        <f t="shared" si="53"/>
        <v>0</v>
      </c>
      <c r="BN312">
        <f t="shared" si="54"/>
        <v>0</v>
      </c>
      <c r="BO312">
        <f t="shared" si="55"/>
        <v>0</v>
      </c>
      <c r="BP312">
        <f t="shared" si="56"/>
        <v>0</v>
      </c>
      <c r="BQ312">
        <f t="shared" si="57"/>
        <v>0</v>
      </c>
      <c r="BR312">
        <f t="shared" si="58"/>
        <v>0</v>
      </c>
      <c r="BS312">
        <f t="shared" si="59"/>
        <v>0</v>
      </c>
      <c r="BT312">
        <f t="shared" si="60"/>
        <v>0</v>
      </c>
      <c r="BU312">
        <f t="shared" si="61"/>
        <v>0</v>
      </c>
      <c r="BV312">
        <f t="shared" si="62"/>
        <v>0</v>
      </c>
      <c r="BW312">
        <f t="shared" si="63"/>
        <v>0</v>
      </c>
      <c r="CA312" t="str">
        <f>IF(113&gt;ROWS(DGArchive[模组]),"",IF(INDEX(DGArchive[模组],113)="","",INDEX(DGArchive[模组],113)))</f>
        <v/>
      </c>
      <c r="CB312" t="str">
        <f>IF(113&gt;ROWS(DGArchive[阶段]),"",IF(INDEX(DGArchive[阶段],113)="","",INDEX(DGArchive[阶段],113)))</f>
        <v/>
      </c>
      <c r="CC312" t="str">
        <f>IF(113&gt;ROWS(DGArchive[游戏内日期]),"",IF(INDEX(DGArchive[游戏内日期],113)="","",INDEX(DGArchive[游戏内日期],113)))</f>
        <v/>
      </c>
      <c r="CD312" t="str">
        <f>IF(113&gt;ROWS(DGArchive[目标]),"",IF(INDEX(DGArchive[目标],113)="","",INDEX(DGArchive[目标],113)))</f>
        <v/>
      </c>
      <c r="CE312" t="str">
        <f>IF(113&gt;ROWS(DGArchive[变更前]),"",IF(INDEX(DGArchive[变更前],113)="","",INDEX(DGArchive[变更前],113)))</f>
        <v/>
      </c>
      <c r="CF312" t="str">
        <f>IF(113&gt;ROWS(DGArchive[增减]),"",IF(INDEX(DGArchive[增减],113)="","",INDEX(DGArchive[增减],113)))</f>
        <v/>
      </c>
      <c r="CG312" t="str">
        <f>IF(113&gt;ROWS(DGArchive[变更后]),"",IF(INDEX(DGArchive[变更后],113)="","",INDEX(DGArchive[变更后],113)))</f>
        <v/>
      </c>
      <c r="CH312" t="str">
        <f>IF(113&gt;ROWS(DGArchive[事件／活动]),"",IF(INDEX(DGArchive[事件／活动],113)="","",INDEX(DGArchive[事件／活动],113)))</f>
        <v/>
      </c>
      <c r="CI312" t="str">
        <f>IF(113&gt;ROWS(DGArchive[记录编号]),"",IF(INDEX(DGArchive[记录编号],113)="","",INDEX(DGArchive[记录编号],113)))</f>
        <v/>
      </c>
      <c r="CL312">
        <f t="shared" si="44"/>
        <v>0</v>
      </c>
      <c r="CM312">
        <f>IF(AND(A312=$AO$5,B312=$AQ$3,H312=1),COUNTIFS($A$200:A312,$AO$5,$B$200:B312,$AQ$3,$H$200:H312,1),0)</f>
        <v>0</v>
      </c>
      <c r="CN312">
        <f>IF(CA312="",113,1001)</f>
        <v>113</v>
      </c>
      <c r="GA312">
        <f t="shared" si="64"/>
        <v>0</v>
      </c>
      <c r="GB312">
        <f t="shared" si="65"/>
        <v>0</v>
      </c>
      <c r="GC312">
        <f>IF(AND(C312="事件记录",H312=1),COUNTIFS($C$200:C312,"事件记录",$H$200:H312,1),0)</f>
        <v>0</v>
      </c>
      <c r="GD312">
        <f t="shared" si="45"/>
        <v>0</v>
      </c>
      <c r="GH312">
        <f>IF(AND(H312=1,A312=$GA$10,B312=$GA$11),COUNTIFS($A$200:A312,$GA$10,$B$200:B312,$GA$11,$H$200:H312,1),0)</f>
        <v>0</v>
      </c>
    </row>
    <row r="313" spans="1:190">
      <c r="A313" t="str">
        <f t="shared" si="36"/>
        <v/>
      </c>
      <c r="B313" t="str">
        <f t="shared" si="37"/>
        <v/>
      </c>
      <c r="C313" t="str">
        <f t="shared" si="38"/>
        <v/>
      </c>
      <c r="D313" t="str">
        <f t="shared" si="39"/>
        <v/>
      </c>
      <c r="E313">
        <f t="shared" si="40"/>
        <v>0</v>
      </c>
      <c r="F313" t="str">
        <f t="shared" si="41"/>
        <v/>
      </c>
      <c r="G313">
        <f t="shared" si="42"/>
        <v>0</v>
      </c>
      <c r="H313">
        <f>IF(AND(G313=1,COUNTIFS($I$200:I313,I313,$G$200:G313,1)=1),1,0)</f>
        <v>0</v>
      </c>
      <c r="I313" t="str">
        <f t="shared" si="43"/>
        <v/>
      </c>
      <c r="BF313">
        <f t="shared" si="46"/>
        <v>0</v>
      </c>
      <c r="BG313">
        <f t="shared" si="47"/>
        <v>0</v>
      </c>
      <c r="BH313">
        <f t="shared" si="48"/>
        <v>0</v>
      </c>
      <c r="BI313">
        <f t="shared" si="49"/>
        <v>0</v>
      </c>
      <c r="BJ313">
        <f t="shared" si="50"/>
        <v>0</v>
      </c>
      <c r="BK313">
        <f t="shared" si="51"/>
        <v>0</v>
      </c>
      <c r="BL313">
        <f t="shared" si="52"/>
        <v>0</v>
      </c>
      <c r="BM313">
        <f t="shared" si="53"/>
        <v>0</v>
      </c>
      <c r="BN313">
        <f t="shared" si="54"/>
        <v>0</v>
      </c>
      <c r="BO313">
        <f t="shared" si="55"/>
        <v>0</v>
      </c>
      <c r="BP313">
        <f t="shared" si="56"/>
        <v>0</v>
      </c>
      <c r="BQ313">
        <f t="shared" si="57"/>
        <v>0</v>
      </c>
      <c r="BR313">
        <f t="shared" si="58"/>
        <v>0</v>
      </c>
      <c r="BS313">
        <f t="shared" si="59"/>
        <v>0</v>
      </c>
      <c r="BT313">
        <f t="shared" si="60"/>
        <v>0</v>
      </c>
      <c r="BU313">
        <f t="shared" si="61"/>
        <v>0</v>
      </c>
      <c r="BV313">
        <f t="shared" si="62"/>
        <v>0</v>
      </c>
      <c r="BW313">
        <f t="shared" si="63"/>
        <v>0</v>
      </c>
      <c r="CA313" t="str">
        <f>IF(114&gt;ROWS(DGArchive[模组]),"",IF(INDEX(DGArchive[模组],114)="","",INDEX(DGArchive[模组],114)))</f>
        <v/>
      </c>
      <c r="CB313" t="str">
        <f>IF(114&gt;ROWS(DGArchive[阶段]),"",IF(INDEX(DGArchive[阶段],114)="","",INDEX(DGArchive[阶段],114)))</f>
        <v/>
      </c>
      <c r="CC313" t="str">
        <f>IF(114&gt;ROWS(DGArchive[游戏内日期]),"",IF(INDEX(DGArchive[游戏内日期],114)="","",INDEX(DGArchive[游戏内日期],114)))</f>
        <v/>
      </c>
      <c r="CD313" t="str">
        <f>IF(114&gt;ROWS(DGArchive[目标]),"",IF(INDEX(DGArchive[目标],114)="","",INDEX(DGArchive[目标],114)))</f>
        <v/>
      </c>
      <c r="CE313" t="str">
        <f>IF(114&gt;ROWS(DGArchive[变更前]),"",IF(INDEX(DGArchive[变更前],114)="","",INDEX(DGArchive[变更前],114)))</f>
        <v/>
      </c>
      <c r="CF313" t="str">
        <f>IF(114&gt;ROWS(DGArchive[增减]),"",IF(INDEX(DGArchive[增减],114)="","",INDEX(DGArchive[增减],114)))</f>
        <v/>
      </c>
      <c r="CG313" t="str">
        <f>IF(114&gt;ROWS(DGArchive[变更后]),"",IF(INDEX(DGArchive[变更后],114)="","",INDEX(DGArchive[变更后],114)))</f>
        <v/>
      </c>
      <c r="CH313" t="str">
        <f>IF(114&gt;ROWS(DGArchive[事件／活动]),"",IF(INDEX(DGArchive[事件／活动],114)="","",INDEX(DGArchive[事件／活动],114)))</f>
        <v/>
      </c>
      <c r="CI313" t="str">
        <f>IF(114&gt;ROWS(DGArchive[记录编号]),"",IF(INDEX(DGArchive[记录编号],114)="","",INDEX(DGArchive[记录编号],114)))</f>
        <v/>
      </c>
      <c r="CL313">
        <f t="shared" si="44"/>
        <v>0</v>
      </c>
      <c r="CM313">
        <f>IF(AND(A313=$AO$5,B313=$AQ$3,H313=1),COUNTIFS($A$200:A313,$AO$5,$B$200:B313,$AQ$3,$H$200:H313,1),0)</f>
        <v>0</v>
      </c>
      <c r="CN313">
        <f>IF(CA313="",114,1001)</f>
        <v>114</v>
      </c>
      <c r="GA313">
        <f t="shared" si="64"/>
        <v>0</v>
      </c>
      <c r="GB313">
        <f t="shared" si="65"/>
        <v>0</v>
      </c>
      <c r="GC313">
        <f>IF(AND(C313="事件记录",H313=1),COUNTIFS($C$200:C313,"事件记录",$H$200:H313,1),0)</f>
        <v>0</v>
      </c>
      <c r="GD313">
        <f t="shared" si="45"/>
        <v>0</v>
      </c>
      <c r="GH313">
        <f>IF(AND(H313=1,A313=$GA$10,B313=$GA$11),COUNTIFS($A$200:A313,$GA$10,$B$200:B313,$GA$11,$H$200:H313,1),0)</f>
        <v>0</v>
      </c>
    </row>
    <row r="314" spans="1:190">
      <c r="A314" t="str">
        <f t="shared" si="36"/>
        <v/>
      </c>
      <c r="B314" t="str">
        <f t="shared" si="37"/>
        <v/>
      </c>
      <c r="C314" t="str">
        <f t="shared" si="38"/>
        <v/>
      </c>
      <c r="D314" t="str">
        <f t="shared" si="39"/>
        <v/>
      </c>
      <c r="E314">
        <f t="shared" si="40"/>
        <v>0</v>
      </c>
      <c r="F314" t="str">
        <f t="shared" si="41"/>
        <v/>
      </c>
      <c r="G314">
        <f t="shared" si="42"/>
        <v>0</v>
      </c>
      <c r="H314">
        <f>IF(AND(G314=1,COUNTIFS($I$200:I314,I314,$G$200:G314,1)=1),1,0)</f>
        <v>0</v>
      </c>
      <c r="I314" t="str">
        <f t="shared" si="43"/>
        <v/>
      </c>
      <c r="BF314">
        <f t="shared" si="46"/>
        <v>0</v>
      </c>
      <c r="BG314">
        <f t="shared" si="47"/>
        <v>0</v>
      </c>
      <c r="BH314">
        <f t="shared" si="48"/>
        <v>0</v>
      </c>
      <c r="BI314">
        <f t="shared" si="49"/>
        <v>0</v>
      </c>
      <c r="BJ314">
        <f t="shared" si="50"/>
        <v>0</v>
      </c>
      <c r="BK314">
        <f t="shared" si="51"/>
        <v>0</v>
      </c>
      <c r="BL314">
        <f t="shared" si="52"/>
        <v>0</v>
      </c>
      <c r="BM314">
        <f t="shared" si="53"/>
        <v>0</v>
      </c>
      <c r="BN314">
        <f t="shared" si="54"/>
        <v>0</v>
      </c>
      <c r="BO314">
        <f t="shared" si="55"/>
        <v>0</v>
      </c>
      <c r="BP314">
        <f t="shared" si="56"/>
        <v>0</v>
      </c>
      <c r="BQ314">
        <f t="shared" si="57"/>
        <v>0</v>
      </c>
      <c r="BR314">
        <f t="shared" si="58"/>
        <v>0</v>
      </c>
      <c r="BS314">
        <f t="shared" si="59"/>
        <v>0</v>
      </c>
      <c r="BT314">
        <f t="shared" si="60"/>
        <v>0</v>
      </c>
      <c r="BU314">
        <f t="shared" si="61"/>
        <v>0</v>
      </c>
      <c r="BV314">
        <f t="shared" si="62"/>
        <v>0</v>
      </c>
      <c r="BW314">
        <f t="shared" si="63"/>
        <v>0</v>
      </c>
      <c r="CA314" t="str">
        <f>IF(115&gt;ROWS(DGArchive[模组]),"",IF(INDEX(DGArchive[模组],115)="","",INDEX(DGArchive[模组],115)))</f>
        <v/>
      </c>
      <c r="CB314" t="str">
        <f>IF(115&gt;ROWS(DGArchive[阶段]),"",IF(INDEX(DGArchive[阶段],115)="","",INDEX(DGArchive[阶段],115)))</f>
        <v/>
      </c>
      <c r="CC314" t="str">
        <f>IF(115&gt;ROWS(DGArchive[游戏内日期]),"",IF(INDEX(DGArchive[游戏内日期],115)="","",INDEX(DGArchive[游戏内日期],115)))</f>
        <v/>
      </c>
      <c r="CD314" t="str">
        <f>IF(115&gt;ROWS(DGArchive[目标]),"",IF(INDEX(DGArchive[目标],115)="","",INDEX(DGArchive[目标],115)))</f>
        <v/>
      </c>
      <c r="CE314" t="str">
        <f>IF(115&gt;ROWS(DGArchive[变更前]),"",IF(INDEX(DGArchive[变更前],115)="","",INDEX(DGArchive[变更前],115)))</f>
        <v/>
      </c>
      <c r="CF314" t="str">
        <f>IF(115&gt;ROWS(DGArchive[增减]),"",IF(INDEX(DGArchive[增减],115)="","",INDEX(DGArchive[增减],115)))</f>
        <v/>
      </c>
      <c r="CG314" t="str">
        <f>IF(115&gt;ROWS(DGArchive[变更后]),"",IF(INDEX(DGArchive[变更后],115)="","",INDEX(DGArchive[变更后],115)))</f>
        <v/>
      </c>
      <c r="CH314" t="str">
        <f>IF(115&gt;ROWS(DGArchive[事件／活动]),"",IF(INDEX(DGArchive[事件／活动],115)="","",INDEX(DGArchive[事件／活动],115)))</f>
        <v/>
      </c>
      <c r="CI314" t="str">
        <f>IF(115&gt;ROWS(DGArchive[记录编号]),"",IF(INDEX(DGArchive[记录编号],115)="","",INDEX(DGArchive[记录编号],115)))</f>
        <v/>
      </c>
      <c r="CL314">
        <f t="shared" si="44"/>
        <v>0</v>
      </c>
      <c r="CM314">
        <f>IF(AND(A314=$AO$5,B314=$AQ$3,H314=1),COUNTIFS($A$200:A314,$AO$5,$B$200:B314,$AQ$3,$H$200:H314,1),0)</f>
        <v>0</v>
      </c>
      <c r="CN314">
        <f>IF(CA314="",115,1001)</f>
        <v>115</v>
      </c>
      <c r="GA314">
        <f t="shared" si="64"/>
        <v>0</v>
      </c>
      <c r="GB314">
        <f t="shared" si="65"/>
        <v>0</v>
      </c>
      <c r="GC314">
        <f>IF(AND(C314="事件记录",H314=1),COUNTIFS($C$200:C314,"事件记录",$H$200:H314,1),0)</f>
        <v>0</v>
      </c>
      <c r="GD314">
        <f t="shared" si="45"/>
        <v>0</v>
      </c>
      <c r="GH314">
        <f>IF(AND(H314=1,A314=$GA$10,B314=$GA$11),COUNTIFS($A$200:A314,$GA$10,$B$200:B314,$GA$11,$H$200:H314,1),0)</f>
        <v>0</v>
      </c>
    </row>
    <row r="315" spans="1:190">
      <c r="A315" t="str">
        <f t="shared" si="36"/>
        <v/>
      </c>
      <c r="B315" t="str">
        <f t="shared" si="37"/>
        <v/>
      </c>
      <c r="C315" t="str">
        <f t="shared" si="38"/>
        <v/>
      </c>
      <c r="D315" t="str">
        <f t="shared" si="39"/>
        <v/>
      </c>
      <c r="E315">
        <f t="shared" si="40"/>
        <v>0</v>
      </c>
      <c r="F315" t="str">
        <f t="shared" si="41"/>
        <v/>
      </c>
      <c r="G315">
        <f t="shared" si="42"/>
        <v>0</v>
      </c>
      <c r="H315">
        <f>IF(AND(G315=1,COUNTIFS($I$200:I315,I315,$G$200:G315,1)=1),1,0)</f>
        <v>0</v>
      </c>
      <c r="I315" t="str">
        <f t="shared" si="43"/>
        <v/>
      </c>
      <c r="BF315">
        <f t="shared" si="46"/>
        <v>0</v>
      </c>
      <c r="BG315">
        <f t="shared" si="47"/>
        <v>0</v>
      </c>
      <c r="BH315">
        <f t="shared" si="48"/>
        <v>0</v>
      </c>
      <c r="BI315">
        <f t="shared" si="49"/>
        <v>0</v>
      </c>
      <c r="BJ315">
        <f t="shared" si="50"/>
        <v>0</v>
      </c>
      <c r="BK315">
        <f t="shared" si="51"/>
        <v>0</v>
      </c>
      <c r="BL315">
        <f t="shared" si="52"/>
        <v>0</v>
      </c>
      <c r="BM315">
        <f t="shared" si="53"/>
        <v>0</v>
      </c>
      <c r="BN315">
        <f t="shared" si="54"/>
        <v>0</v>
      </c>
      <c r="BO315">
        <f t="shared" si="55"/>
        <v>0</v>
      </c>
      <c r="BP315">
        <f t="shared" si="56"/>
        <v>0</v>
      </c>
      <c r="BQ315">
        <f t="shared" si="57"/>
        <v>0</v>
      </c>
      <c r="BR315">
        <f t="shared" si="58"/>
        <v>0</v>
      </c>
      <c r="BS315">
        <f t="shared" si="59"/>
        <v>0</v>
      </c>
      <c r="BT315">
        <f t="shared" si="60"/>
        <v>0</v>
      </c>
      <c r="BU315">
        <f t="shared" si="61"/>
        <v>0</v>
      </c>
      <c r="BV315">
        <f t="shared" si="62"/>
        <v>0</v>
      </c>
      <c r="BW315">
        <f t="shared" si="63"/>
        <v>0</v>
      </c>
      <c r="CA315" t="str">
        <f>IF(116&gt;ROWS(DGArchive[模组]),"",IF(INDEX(DGArchive[模组],116)="","",INDEX(DGArchive[模组],116)))</f>
        <v/>
      </c>
      <c r="CB315" t="str">
        <f>IF(116&gt;ROWS(DGArchive[阶段]),"",IF(INDEX(DGArchive[阶段],116)="","",INDEX(DGArchive[阶段],116)))</f>
        <v/>
      </c>
      <c r="CC315" t="str">
        <f>IF(116&gt;ROWS(DGArchive[游戏内日期]),"",IF(INDEX(DGArchive[游戏内日期],116)="","",INDEX(DGArchive[游戏内日期],116)))</f>
        <v/>
      </c>
      <c r="CD315" t="str">
        <f>IF(116&gt;ROWS(DGArchive[目标]),"",IF(INDEX(DGArchive[目标],116)="","",INDEX(DGArchive[目标],116)))</f>
        <v/>
      </c>
      <c r="CE315" t="str">
        <f>IF(116&gt;ROWS(DGArchive[变更前]),"",IF(INDEX(DGArchive[变更前],116)="","",INDEX(DGArchive[变更前],116)))</f>
        <v/>
      </c>
      <c r="CF315" t="str">
        <f>IF(116&gt;ROWS(DGArchive[增减]),"",IF(INDEX(DGArchive[增减],116)="","",INDEX(DGArchive[增减],116)))</f>
        <v/>
      </c>
      <c r="CG315" t="str">
        <f>IF(116&gt;ROWS(DGArchive[变更后]),"",IF(INDEX(DGArchive[变更后],116)="","",INDEX(DGArchive[变更后],116)))</f>
        <v/>
      </c>
      <c r="CH315" t="str">
        <f>IF(116&gt;ROWS(DGArchive[事件／活动]),"",IF(INDEX(DGArchive[事件／活动],116)="","",INDEX(DGArchive[事件／活动],116)))</f>
        <v/>
      </c>
      <c r="CI315" t="str">
        <f>IF(116&gt;ROWS(DGArchive[记录编号]),"",IF(INDEX(DGArchive[记录编号],116)="","",INDEX(DGArchive[记录编号],116)))</f>
        <v/>
      </c>
      <c r="CL315">
        <f t="shared" si="44"/>
        <v>0</v>
      </c>
      <c r="CM315">
        <f>IF(AND(A315=$AO$5,B315=$AQ$3,H315=1),COUNTIFS($A$200:A315,$AO$5,$B$200:B315,$AQ$3,$H$200:H315,1),0)</f>
        <v>0</v>
      </c>
      <c r="CN315">
        <f>IF(CA315="",116,1001)</f>
        <v>116</v>
      </c>
      <c r="GA315">
        <f t="shared" si="64"/>
        <v>0</v>
      </c>
      <c r="GB315">
        <f t="shared" si="65"/>
        <v>0</v>
      </c>
      <c r="GC315">
        <f>IF(AND(C315="事件记录",H315=1),COUNTIFS($C$200:C315,"事件记录",$H$200:H315,1),0)</f>
        <v>0</v>
      </c>
      <c r="GD315">
        <f t="shared" si="45"/>
        <v>0</v>
      </c>
      <c r="GH315">
        <f>IF(AND(H315=1,A315=$GA$10,B315=$GA$11),COUNTIFS($A$200:A315,$GA$10,$B$200:B315,$GA$11,$H$200:H315,1),0)</f>
        <v>0</v>
      </c>
    </row>
    <row r="316" spans="1:190">
      <c r="A316" t="str">
        <f t="shared" si="36"/>
        <v/>
      </c>
      <c r="B316" t="str">
        <f t="shared" si="37"/>
        <v/>
      </c>
      <c r="C316" t="str">
        <f t="shared" si="38"/>
        <v/>
      </c>
      <c r="D316" t="str">
        <f t="shared" si="39"/>
        <v/>
      </c>
      <c r="E316">
        <f t="shared" si="40"/>
        <v>0</v>
      </c>
      <c r="F316" t="str">
        <f t="shared" si="41"/>
        <v/>
      </c>
      <c r="G316">
        <f t="shared" si="42"/>
        <v>0</v>
      </c>
      <c r="H316">
        <f>IF(AND(G316=1,COUNTIFS($I$200:I316,I316,$G$200:G316,1)=1),1,0)</f>
        <v>0</v>
      </c>
      <c r="I316" t="str">
        <f t="shared" si="43"/>
        <v/>
      </c>
      <c r="BF316">
        <f t="shared" si="46"/>
        <v>0</v>
      </c>
      <c r="BG316">
        <f t="shared" si="47"/>
        <v>0</v>
      </c>
      <c r="BH316">
        <f t="shared" si="48"/>
        <v>0</v>
      </c>
      <c r="BI316">
        <f t="shared" si="49"/>
        <v>0</v>
      </c>
      <c r="BJ316">
        <f t="shared" si="50"/>
        <v>0</v>
      </c>
      <c r="BK316">
        <f t="shared" si="51"/>
        <v>0</v>
      </c>
      <c r="BL316">
        <f t="shared" si="52"/>
        <v>0</v>
      </c>
      <c r="BM316">
        <f t="shared" si="53"/>
        <v>0</v>
      </c>
      <c r="BN316">
        <f t="shared" si="54"/>
        <v>0</v>
      </c>
      <c r="BO316">
        <f t="shared" si="55"/>
        <v>0</v>
      </c>
      <c r="BP316">
        <f t="shared" si="56"/>
        <v>0</v>
      </c>
      <c r="BQ316">
        <f t="shared" si="57"/>
        <v>0</v>
      </c>
      <c r="BR316">
        <f t="shared" si="58"/>
        <v>0</v>
      </c>
      <c r="BS316">
        <f t="shared" si="59"/>
        <v>0</v>
      </c>
      <c r="BT316">
        <f t="shared" si="60"/>
        <v>0</v>
      </c>
      <c r="BU316">
        <f t="shared" si="61"/>
        <v>0</v>
      </c>
      <c r="BV316">
        <f t="shared" si="62"/>
        <v>0</v>
      </c>
      <c r="BW316">
        <f t="shared" si="63"/>
        <v>0</v>
      </c>
      <c r="CA316" t="str">
        <f>IF(117&gt;ROWS(DGArchive[模组]),"",IF(INDEX(DGArchive[模组],117)="","",INDEX(DGArchive[模组],117)))</f>
        <v/>
      </c>
      <c r="CB316" t="str">
        <f>IF(117&gt;ROWS(DGArchive[阶段]),"",IF(INDEX(DGArchive[阶段],117)="","",INDEX(DGArchive[阶段],117)))</f>
        <v/>
      </c>
      <c r="CC316" t="str">
        <f>IF(117&gt;ROWS(DGArchive[游戏内日期]),"",IF(INDEX(DGArchive[游戏内日期],117)="","",INDEX(DGArchive[游戏内日期],117)))</f>
        <v/>
      </c>
      <c r="CD316" t="str">
        <f>IF(117&gt;ROWS(DGArchive[目标]),"",IF(INDEX(DGArchive[目标],117)="","",INDEX(DGArchive[目标],117)))</f>
        <v/>
      </c>
      <c r="CE316" t="str">
        <f>IF(117&gt;ROWS(DGArchive[变更前]),"",IF(INDEX(DGArchive[变更前],117)="","",INDEX(DGArchive[变更前],117)))</f>
        <v/>
      </c>
      <c r="CF316" t="str">
        <f>IF(117&gt;ROWS(DGArchive[增减]),"",IF(INDEX(DGArchive[增减],117)="","",INDEX(DGArchive[增减],117)))</f>
        <v/>
      </c>
      <c r="CG316" t="str">
        <f>IF(117&gt;ROWS(DGArchive[变更后]),"",IF(INDEX(DGArchive[变更后],117)="","",INDEX(DGArchive[变更后],117)))</f>
        <v/>
      </c>
      <c r="CH316" t="str">
        <f>IF(117&gt;ROWS(DGArchive[事件／活动]),"",IF(INDEX(DGArchive[事件／活动],117)="","",INDEX(DGArchive[事件／活动],117)))</f>
        <v/>
      </c>
      <c r="CI316" t="str">
        <f>IF(117&gt;ROWS(DGArchive[记录编号]),"",IF(INDEX(DGArchive[记录编号],117)="","",INDEX(DGArchive[记录编号],117)))</f>
        <v/>
      </c>
      <c r="CL316">
        <f t="shared" si="44"/>
        <v>0</v>
      </c>
      <c r="CM316">
        <f>IF(AND(A316=$AO$5,B316=$AQ$3,H316=1),COUNTIFS($A$200:A316,$AO$5,$B$200:B316,$AQ$3,$H$200:H316,1),0)</f>
        <v>0</v>
      </c>
      <c r="CN316">
        <f>IF(CA316="",117,1001)</f>
        <v>117</v>
      </c>
      <c r="GA316">
        <f t="shared" si="64"/>
        <v>0</v>
      </c>
      <c r="GB316">
        <f t="shared" si="65"/>
        <v>0</v>
      </c>
      <c r="GC316">
        <f>IF(AND(C316="事件记录",H316=1),COUNTIFS($C$200:C316,"事件记录",$H$200:H316,1),0)</f>
        <v>0</v>
      </c>
      <c r="GD316">
        <f t="shared" si="45"/>
        <v>0</v>
      </c>
      <c r="GH316">
        <f>IF(AND(H316=1,A316=$GA$10,B316=$GA$11),COUNTIFS($A$200:A316,$GA$10,$B$200:B316,$GA$11,$H$200:H316,1),0)</f>
        <v>0</v>
      </c>
    </row>
    <row r="317" spans="1:190">
      <c r="A317" t="str">
        <f t="shared" si="36"/>
        <v/>
      </c>
      <c r="B317" t="str">
        <f t="shared" si="37"/>
        <v/>
      </c>
      <c r="C317" t="str">
        <f t="shared" si="38"/>
        <v/>
      </c>
      <c r="D317" t="str">
        <f t="shared" si="39"/>
        <v/>
      </c>
      <c r="E317">
        <f t="shared" si="40"/>
        <v>0</v>
      </c>
      <c r="F317" t="str">
        <f t="shared" si="41"/>
        <v/>
      </c>
      <c r="G317">
        <f t="shared" si="42"/>
        <v>0</v>
      </c>
      <c r="H317">
        <f>IF(AND(G317=1,COUNTIFS($I$200:I317,I317,$G$200:G317,1)=1),1,0)</f>
        <v>0</v>
      </c>
      <c r="I317" t="str">
        <f t="shared" si="43"/>
        <v/>
      </c>
      <c r="BF317">
        <f t="shared" si="46"/>
        <v>0</v>
      </c>
      <c r="BG317">
        <f t="shared" si="47"/>
        <v>0</v>
      </c>
      <c r="BH317">
        <f t="shared" si="48"/>
        <v>0</v>
      </c>
      <c r="BI317">
        <f t="shared" si="49"/>
        <v>0</v>
      </c>
      <c r="BJ317">
        <f t="shared" si="50"/>
        <v>0</v>
      </c>
      <c r="BK317">
        <f t="shared" si="51"/>
        <v>0</v>
      </c>
      <c r="BL317">
        <f t="shared" si="52"/>
        <v>0</v>
      </c>
      <c r="BM317">
        <f t="shared" si="53"/>
        <v>0</v>
      </c>
      <c r="BN317">
        <f t="shared" si="54"/>
        <v>0</v>
      </c>
      <c r="BO317">
        <f t="shared" si="55"/>
        <v>0</v>
      </c>
      <c r="BP317">
        <f t="shared" si="56"/>
        <v>0</v>
      </c>
      <c r="BQ317">
        <f t="shared" si="57"/>
        <v>0</v>
      </c>
      <c r="BR317">
        <f t="shared" si="58"/>
        <v>0</v>
      </c>
      <c r="BS317">
        <f t="shared" si="59"/>
        <v>0</v>
      </c>
      <c r="BT317">
        <f t="shared" si="60"/>
        <v>0</v>
      </c>
      <c r="BU317">
        <f t="shared" si="61"/>
        <v>0</v>
      </c>
      <c r="BV317">
        <f t="shared" si="62"/>
        <v>0</v>
      </c>
      <c r="BW317">
        <f t="shared" si="63"/>
        <v>0</v>
      </c>
      <c r="CA317" t="str">
        <f>IF(118&gt;ROWS(DGArchive[模组]),"",IF(INDEX(DGArchive[模组],118)="","",INDEX(DGArchive[模组],118)))</f>
        <v/>
      </c>
      <c r="CB317" t="str">
        <f>IF(118&gt;ROWS(DGArchive[阶段]),"",IF(INDEX(DGArchive[阶段],118)="","",INDEX(DGArchive[阶段],118)))</f>
        <v/>
      </c>
      <c r="CC317" t="str">
        <f>IF(118&gt;ROWS(DGArchive[游戏内日期]),"",IF(INDEX(DGArchive[游戏内日期],118)="","",INDEX(DGArchive[游戏内日期],118)))</f>
        <v/>
      </c>
      <c r="CD317" t="str">
        <f>IF(118&gt;ROWS(DGArchive[目标]),"",IF(INDEX(DGArchive[目标],118)="","",INDEX(DGArchive[目标],118)))</f>
        <v/>
      </c>
      <c r="CE317" t="str">
        <f>IF(118&gt;ROWS(DGArchive[变更前]),"",IF(INDEX(DGArchive[变更前],118)="","",INDEX(DGArchive[变更前],118)))</f>
        <v/>
      </c>
      <c r="CF317" t="str">
        <f>IF(118&gt;ROWS(DGArchive[增减]),"",IF(INDEX(DGArchive[增减],118)="","",INDEX(DGArchive[增减],118)))</f>
        <v/>
      </c>
      <c r="CG317" t="str">
        <f>IF(118&gt;ROWS(DGArchive[变更后]),"",IF(INDEX(DGArchive[变更后],118)="","",INDEX(DGArchive[变更后],118)))</f>
        <v/>
      </c>
      <c r="CH317" t="str">
        <f>IF(118&gt;ROWS(DGArchive[事件／活动]),"",IF(INDEX(DGArchive[事件／活动],118)="","",INDEX(DGArchive[事件／活动],118)))</f>
        <v/>
      </c>
      <c r="CI317" t="str">
        <f>IF(118&gt;ROWS(DGArchive[记录编号]),"",IF(INDEX(DGArchive[记录编号],118)="","",INDEX(DGArchive[记录编号],118)))</f>
        <v/>
      </c>
      <c r="CL317">
        <f t="shared" si="44"/>
        <v>0</v>
      </c>
      <c r="CM317">
        <f>IF(AND(A317=$AO$5,B317=$AQ$3,H317=1),COUNTIFS($A$200:A317,$AO$5,$B$200:B317,$AQ$3,$H$200:H317,1),0)</f>
        <v>0</v>
      </c>
      <c r="CN317">
        <f>IF(CA317="",118,1001)</f>
        <v>118</v>
      </c>
      <c r="GA317">
        <f t="shared" si="64"/>
        <v>0</v>
      </c>
      <c r="GB317">
        <f t="shared" si="65"/>
        <v>0</v>
      </c>
      <c r="GC317">
        <f>IF(AND(C317="事件记录",H317=1),COUNTIFS($C$200:C317,"事件记录",$H$200:H317,1),0)</f>
        <v>0</v>
      </c>
      <c r="GD317">
        <f t="shared" si="45"/>
        <v>0</v>
      </c>
      <c r="GH317">
        <f>IF(AND(H317=1,A317=$GA$10,B317=$GA$11),COUNTIFS($A$200:A317,$GA$10,$B$200:B317,$GA$11,$H$200:H317,1),0)</f>
        <v>0</v>
      </c>
    </row>
    <row r="318" spans="1:190">
      <c r="A318" t="str">
        <f t="shared" si="36"/>
        <v/>
      </c>
      <c r="B318" t="str">
        <f t="shared" si="37"/>
        <v/>
      </c>
      <c r="C318" t="str">
        <f t="shared" si="38"/>
        <v/>
      </c>
      <c r="D318" t="str">
        <f t="shared" si="39"/>
        <v/>
      </c>
      <c r="E318">
        <f t="shared" si="40"/>
        <v>0</v>
      </c>
      <c r="F318" t="str">
        <f t="shared" si="41"/>
        <v/>
      </c>
      <c r="G318">
        <f t="shared" si="42"/>
        <v>0</v>
      </c>
      <c r="H318">
        <f>IF(AND(G318=1,COUNTIFS($I$200:I318,I318,$G$200:G318,1)=1),1,0)</f>
        <v>0</v>
      </c>
      <c r="I318" t="str">
        <f t="shared" si="43"/>
        <v/>
      </c>
      <c r="BF318">
        <f t="shared" si="46"/>
        <v>0</v>
      </c>
      <c r="BG318">
        <f t="shared" si="47"/>
        <v>0</v>
      </c>
      <c r="BH318">
        <f t="shared" si="48"/>
        <v>0</v>
      </c>
      <c r="BI318">
        <f t="shared" si="49"/>
        <v>0</v>
      </c>
      <c r="BJ318">
        <f t="shared" si="50"/>
        <v>0</v>
      </c>
      <c r="BK318">
        <f t="shared" si="51"/>
        <v>0</v>
      </c>
      <c r="BL318">
        <f t="shared" si="52"/>
        <v>0</v>
      </c>
      <c r="BM318">
        <f t="shared" si="53"/>
        <v>0</v>
      </c>
      <c r="BN318">
        <f t="shared" si="54"/>
        <v>0</v>
      </c>
      <c r="BO318">
        <f t="shared" si="55"/>
        <v>0</v>
      </c>
      <c r="BP318">
        <f t="shared" si="56"/>
        <v>0</v>
      </c>
      <c r="BQ318">
        <f t="shared" si="57"/>
        <v>0</v>
      </c>
      <c r="BR318">
        <f t="shared" si="58"/>
        <v>0</v>
      </c>
      <c r="BS318">
        <f t="shared" si="59"/>
        <v>0</v>
      </c>
      <c r="BT318">
        <f t="shared" si="60"/>
        <v>0</v>
      </c>
      <c r="BU318">
        <f t="shared" si="61"/>
        <v>0</v>
      </c>
      <c r="BV318">
        <f t="shared" si="62"/>
        <v>0</v>
      </c>
      <c r="BW318">
        <f t="shared" si="63"/>
        <v>0</v>
      </c>
      <c r="CA318" t="str">
        <f>IF(119&gt;ROWS(DGArchive[模组]),"",IF(INDEX(DGArchive[模组],119)="","",INDEX(DGArchive[模组],119)))</f>
        <v/>
      </c>
      <c r="CB318" t="str">
        <f>IF(119&gt;ROWS(DGArchive[阶段]),"",IF(INDEX(DGArchive[阶段],119)="","",INDEX(DGArchive[阶段],119)))</f>
        <v/>
      </c>
      <c r="CC318" t="str">
        <f>IF(119&gt;ROWS(DGArchive[游戏内日期]),"",IF(INDEX(DGArchive[游戏内日期],119)="","",INDEX(DGArchive[游戏内日期],119)))</f>
        <v/>
      </c>
      <c r="CD318" t="str">
        <f>IF(119&gt;ROWS(DGArchive[目标]),"",IF(INDEX(DGArchive[目标],119)="","",INDEX(DGArchive[目标],119)))</f>
        <v/>
      </c>
      <c r="CE318" t="str">
        <f>IF(119&gt;ROWS(DGArchive[变更前]),"",IF(INDEX(DGArchive[变更前],119)="","",INDEX(DGArchive[变更前],119)))</f>
        <v/>
      </c>
      <c r="CF318" t="str">
        <f>IF(119&gt;ROWS(DGArchive[增减]),"",IF(INDEX(DGArchive[增减],119)="","",INDEX(DGArchive[增减],119)))</f>
        <v/>
      </c>
      <c r="CG318" t="str">
        <f>IF(119&gt;ROWS(DGArchive[变更后]),"",IF(INDEX(DGArchive[变更后],119)="","",INDEX(DGArchive[变更后],119)))</f>
        <v/>
      </c>
      <c r="CH318" t="str">
        <f>IF(119&gt;ROWS(DGArchive[事件／活动]),"",IF(INDEX(DGArchive[事件／活动],119)="","",INDEX(DGArchive[事件／活动],119)))</f>
        <v/>
      </c>
      <c r="CI318" t="str">
        <f>IF(119&gt;ROWS(DGArchive[记录编号]),"",IF(INDEX(DGArchive[记录编号],119)="","",INDEX(DGArchive[记录编号],119)))</f>
        <v/>
      </c>
      <c r="CL318">
        <f t="shared" si="44"/>
        <v>0</v>
      </c>
      <c r="CM318">
        <f>IF(AND(A318=$AO$5,B318=$AQ$3,H318=1),COUNTIFS($A$200:A318,$AO$5,$B$200:B318,$AQ$3,$H$200:H318,1),0)</f>
        <v>0</v>
      </c>
      <c r="CN318">
        <f>IF(CA318="",119,1001)</f>
        <v>119</v>
      </c>
      <c r="GA318">
        <f t="shared" si="64"/>
        <v>0</v>
      </c>
      <c r="GB318">
        <f t="shared" si="65"/>
        <v>0</v>
      </c>
      <c r="GC318">
        <f>IF(AND(C318="事件记录",H318=1),COUNTIFS($C$200:C318,"事件记录",$H$200:H318,1),0)</f>
        <v>0</v>
      </c>
      <c r="GD318">
        <f t="shared" si="45"/>
        <v>0</v>
      </c>
      <c r="GH318">
        <f>IF(AND(H318=1,A318=$GA$10,B318=$GA$11),COUNTIFS($A$200:A318,$GA$10,$B$200:B318,$GA$11,$H$200:H318,1),0)</f>
        <v>0</v>
      </c>
    </row>
    <row r="319" spans="1:190">
      <c r="A319" t="str">
        <f t="shared" si="36"/>
        <v/>
      </c>
      <c r="B319" t="str">
        <f t="shared" si="37"/>
        <v/>
      </c>
      <c r="C319" t="str">
        <f t="shared" si="38"/>
        <v/>
      </c>
      <c r="D319" t="str">
        <f t="shared" si="39"/>
        <v/>
      </c>
      <c r="E319">
        <f t="shared" si="40"/>
        <v>0</v>
      </c>
      <c r="F319" t="str">
        <f t="shared" si="41"/>
        <v/>
      </c>
      <c r="G319">
        <f t="shared" si="42"/>
        <v>0</v>
      </c>
      <c r="H319">
        <f>IF(AND(G319=1,COUNTIFS($I$200:I319,I319,$G$200:G319,1)=1),1,0)</f>
        <v>0</v>
      </c>
      <c r="I319" t="str">
        <f t="shared" si="43"/>
        <v/>
      </c>
      <c r="BF319">
        <f t="shared" si="46"/>
        <v>0</v>
      </c>
      <c r="BG319">
        <f t="shared" si="47"/>
        <v>0</v>
      </c>
      <c r="BH319">
        <f t="shared" si="48"/>
        <v>0</v>
      </c>
      <c r="BI319">
        <f t="shared" si="49"/>
        <v>0</v>
      </c>
      <c r="BJ319">
        <f t="shared" si="50"/>
        <v>0</v>
      </c>
      <c r="BK319">
        <f t="shared" si="51"/>
        <v>0</v>
      </c>
      <c r="BL319">
        <f t="shared" si="52"/>
        <v>0</v>
      </c>
      <c r="BM319">
        <f t="shared" si="53"/>
        <v>0</v>
      </c>
      <c r="BN319">
        <f t="shared" si="54"/>
        <v>0</v>
      </c>
      <c r="BO319">
        <f t="shared" si="55"/>
        <v>0</v>
      </c>
      <c r="BP319">
        <f t="shared" si="56"/>
        <v>0</v>
      </c>
      <c r="BQ319">
        <f t="shared" si="57"/>
        <v>0</v>
      </c>
      <c r="BR319">
        <f t="shared" si="58"/>
        <v>0</v>
      </c>
      <c r="BS319">
        <f t="shared" si="59"/>
        <v>0</v>
      </c>
      <c r="BT319">
        <f t="shared" si="60"/>
        <v>0</v>
      </c>
      <c r="BU319">
        <f t="shared" si="61"/>
        <v>0</v>
      </c>
      <c r="BV319">
        <f t="shared" si="62"/>
        <v>0</v>
      </c>
      <c r="BW319">
        <f t="shared" si="63"/>
        <v>0</v>
      </c>
      <c r="CA319" t="str">
        <f>IF(120&gt;ROWS(DGArchive[模组]),"",IF(INDEX(DGArchive[模组],120)="","",INDEX(DGArchive[模组],120)))</f>
        <v/>
      </c>
      <c r="CB319" t="str">
        <f>IF(120&gt;ROWS(DGArchive[阶段]),"",IF(INDEX(DGArchive[阶段],120)="","",INDEX(DGArchive[阶段],120)))</f>
        <v/>
      </c>
      <c r="CC319" t="str">
        <f>IF(120&gt;ROWS(DGArchive[游戏内日期]),"",IF(INDEX(DGArchive[游戏内日期],120)="","",INDEX(DGArchive[游戏内日期],120)))</f>
        <v/>
      </c>
      <c r="CD319" t="str">
        <f>IF(120&gt;ROWS(DGArchive[目标]),"",IF(INDEX(DGArchive[目标],120)="","",INDEX(DGArchive[目标],120)))</f>
        <v/>
      </c>
      <c r="CE319" t="str">
        <f>IF(120&gt;ROWS(DGArchive[变更前]),"",IF(INDEX(DGArchive[变更前],120)="","",INDEX(DGArchive[变更前],120)))</f>
        <v/>
      </c>
      <c r="CF319" t="str">
        <f>IF(120&gt;ROWS(DGArchive[增减]),"",IF(INDEX(DGArchive[增减],120)="","",INDEX(DGArchive[增减],120)))</f>
        <v/>
      </c>
      <c r="CG319" t="str">
        <f>IF(120&gt;ROWS(DGArchive[变更后]),"",IF(INDEX(DGArchive[变更后],120)="","",INDEX(DGArchive[变更后],120)))</f>
        <v/>
      </c>
      <c r="CH319" t="str">
        <f>IF(120&gt;ROWS(DGArchive[事件／活动]),"",IF(INDEX(DGArchive[事件／活动],120)="","",INDEX(DGArchive[事件／活动],120)))</f>
        <v/>
      </c>
      <c r="CI319" t="str">
        <f>IF(120&gt;ROWS(DGArchive[记录编号]),"",IF(INDEX(DGArchive[记录编号],120)="","",INDEX(DGArchive[记录编号],120)))</f>
        <v/>
      </c>
      <c r="CL319">
        <f t="shared" si="44"/>
        <v>0</v>
      </c>
      <c r="CM319">
        <f>IF(AND(A319=$AO$5,B319=$AQ$3,H319=1),COUNTIFS($A$200:A319,$AO$5,$B$200:B319,$AQ$3,$H$200:H319,1),0)</f>
        <v>0</v>
      </c>
      <c r="CN319">
        <f>IF(CA319="",120,1001)</f>
        <v>120</v>
      </c>
      <c r="GA319">
        <f t="shared" si="64"/>
        <v>0</v>
      </c>
      <c r="GB319">
        <f t="shared" si="65"/>
        <v>0</v>
      </c>
      <c r="GC319">
        <f>IF(AND(C319="事件记录",H319=1),COUNTIFS($C$200:C319,"事件记录",$H$200:H319,1),0)</f>
        <v>0</v>
      </c>
      <c r="GD319">
        <f t="shared" si="45"/>
        <v>0</v>
      </c>
      <c r="GH319">
        <f>IF(AND(H319=1,A319=$GA$10,B319=$GA$11),COUNTIFS($A$200:A319,$GA$10,$B$200:B319,$GA$11,$H$200:H319,1),0)</f>
        <v>0</v>
      </c>
    </row>
    <row r="320" spans="1:190">
      <c r="A320" t="str">
        <f t="shared" si="36"/>
        <v/>
      </c>
      <c r="B320" t="str">
        <f t="shared" si="37"/>
        <v/>
      </c>
      <c r="C320" t="str">
        <f t="shared" si="38"/>
        <v/>
      </c>
      <c r="D320" t="str">
        <f t="shared" si="39"/>
        <v/>
      </c>
      <c r="E320">
        <f t="shared" si="40"/>
        <v>0</v>
      </c>
      <c r="F320" t="str">
        <f t="shared" si="41"/>
        <v/>
      </c>
      <c r="G320">
        <f t="shared" si="42"/>
        <v>0</v>
      </c>
      <c r="H320">
        <f>IF(AND(G320=1,COUNTIFS($I$200:I320,I320,$G$200:G320,1)=1),1,0)</f>
        <v>0</v>
      </c>
      <c r="I320" t="str">
        <f t="shared" si="43"/>
        <v/>
      </c>
      <c r="BF320">
        <f t="shared" si="46"/>
        <v>0</v>
      </c>
      <c r="BG320">
        <f t="shared" si="47"/>
        <v>0</v>
      </c>
      <c r="BH320">
        <f t="shared" si="48"/>
        <v>0</v>
      </c>
      <c r="BI320">
        <f t="shared" si="49"/>
        <v>0</v>
      </c>
      <c r="BJ320">
        <f t="shared" si="50"/>
        <v>0</v>
      </c>
      <c r="BK320">
        <f t="shared" si="51"/>
        <v>0</v>
      </c>
      <c r="BL320">
        <f t="shared" si="52"/>
        <v>0</v>
      </c>
      <c r="BM320">
        <f t="shared" si="53"/>
        <v>0</v>
      </c>
      <c r="BN320">
        <f t="shared" si="54"/>
        <v>0</v>
      </c>
      <c r="BO320">
        <f t="shared" si="55"/>
        <v>0</v>
      </c>
      <c r="BP320">
        <f t="shared" si="56"/>
        <v>0</v>
      </c>
      <c r="BQ320">
        <f t="shared" si="57"/>
        <v>0</v>
      </c>
      <c r="BR320">
        <f t="shared" si="58"/>
        <v>0</v>
      </c>
      <c r="BS320">
        <f t="shared" si="59"/>
        <v>0</v>
      </c>
      <c r="BT320">
        <f t="shared" si="60"/>
        <v>0</v>
      </c>
      <c r="BU320">
        <f t="shared" si="61"/>
        <v>0</v>
      </c>
      <c r="BV320">
        <f t="shared" si="62"/>
        <v>0</v>
      </c>
      <c r="BW320">
        <f t="shared" si="63"/>
        <v>0</v>
      </c>
      <c r="CA320" t="str">
        <f>IF(121&gt;ROWS(DGArchive[模组]),"",IF(INDEX(DGArchive[模组],121)="","",INDEX(DGArchive[模组],121)))</f>
        <v/>
      </c>
      <c r="CB320" t="str">
        <f>IF(121&gt;ROWS(DGArchive[阶段]),"",IF(INDEX(DGArchive[阶段],121)="","",INDEX(DGArchive[阶段],121)))</f>
        <v/>
      </c>
      <c r="CC320" t="str">
        <f>IF(121&gt;ROWS(DGArchive[游戏内日期]),"",IF(INDEX(DGArchive[游戏内日期],121)="","",INDEX(DGArchive[游戏内日期],121)))</f>
        <v/>
      </c>
      <c r="CD320" t="str">
        <f>IF(121&gt;ROWS(DGArchive[目标]),"",IF(INDEX(DGArchive[目标],121)="","",INDEX(DGArchive[目标],121)))</f>
        <v/>
      </c>
      <c r="CE320" t="str">
        <f>IF(121&gt;ROWS(DGArchive[变更前]),"",IF(INDEX(DGArchive[变更前],121)="","",INDEX(DGArchive[变更前],121)))</f>
        <v/>
      </c>
      <c r="CF320" t="str">
        <f>IF(121&gt;ROWS(DGArchive[增减]),"",IF(INDEX(DGArchive[增减],121)="","",INDEX(DGArchive[增减],121)))</f>
        <v/>
      </c>
      <c r="CG320" t="str">
        <f>IF(121&gt;ROWS(DGArchive[变更后]),"",IF(INDEX(DGArchive[变更后],121)="","",INDEX(DGArchive[变更后],121)))</f>
        <v/>
      </c>
      <c r="CH320" t="str">
        <f>IF(121&gt;ROWS(DGArchive[事件／活动]),"",IF(INDEX(DGArchive[事件／活动],121)="","",INDEX(DGArchive[事件／活动],121)))</f>
        <v/>
      </c>
      <c r="CI320" t="str">
        <f>IF(121&gt;ROWS(DGArchive[记录编号]),"",IF(INDEX(DGArchive[记录编号],121)="","",INDEX(DGArchive[记录编号],121)))</f>
        <v/>
      </c>
      <c r="CL320">
        <f t="shared" si="44"/>
        <v>0</v>
      </c>
      <c r="CM320">
        <f>IF(AND(A320=$AO$5,B320=$AQ$3,H320=1),COUNTIFS($A$200:A320,$AO$5,$B$200:B320,$AQ$3,$H$200:H320,1),0)</f>
        <v>0</v>
      </c>
      <c r="CN320">
        <f>IF(CA320="",121,1001)</f>
        <v>121</v>
      </c>
      <c r="GA320">
        <f t="shared" si="64"/>
        <v>0</v>
      </c>
      <c r="GB320">
        <f t="shared" si="65"/>
        <v>0</v>
      </c>
      <c r="GC320">
        <f>IF(AND(C320="事件记录",H320=1),COUNTIFS($C$200:C320,"事件记录",$H$200:H320,1),0)</f>
        <v>0</v>
      </c>
      <c r="GD320">
        <f t="shared" si="45"/>
        <v>0</v>
      </c>
      <c r="GH320">
        <f>IF(AND(H320=1,A320=$GA$10,B320=$GA$11),COUNTIFS($A$200:A320,$GA$10,$B$200:B320,$GA$11,$H$200:H320,1),0)</f>
        <v>0</v>
      </c>
    </row>
    <row r="321" spans="1:190">
      <c r="A321" t="str">
        <f t="shared" si="36"/>
        <v/>
      </c>
      <c r="B321" t="str">
        <f t="shared" si="37"/>
        <v/>
      </c>
      <c r="C321" t="str">
        <f t="shared" si="38"/>
        <v/>
      </c>
      <c r="D321" t="str">
        <f t="shared" si="39"/>
        <v/>
      </c>
      <c r="E321">
        <f t="shared" si="40"/>
        <v>0</v>
      </c>
      <c r="F321" t="str">
        <f t="shared" si="41"/>
        <v/>
      </c>
      <c r="G321">
        <f t="shared" si="42"/>
        <v>0</v>
      </c>
      <c r="H321">
        <f>IF(AND(G321=1,COUNTIFS($I$200:I321,I321,$G$200:G321,1)=1),1,0)</f>
        <v>0</v>
      </c>
      <c r="I321" t="str">
        <f t="shared" si="43"/>
        <v/>
      </c>
      <c r="BF321">
        <f t="shared" si="46"/>
        <v>0</v>
      </c>
      <c r="BG321">
        <f t="shared" si="47"/>
        <v>0</v>
      </c>
      <c r="BH321">
        <f t="shared" si="48"/>
        <v>0</v>
      </c>
      <c r="BI321">
        <f t="shared" si="49"/>
        <v>0</v>
      </c>
      <c r="BJ321">
        <f t="shared" si="50"/>
        <v>0</v>
      </c>
      <c r="BK321">
        <f t="shared" si="51"/>
        <v>0</v>
      </c>
      <c r="BL321">
        <f t="shared" si="52"/>
        <v>0</v>
      </c>
      <c r="BM321">
        <f t="shared" si="53"/>
        <v>0</v>
      </c>
      <c r="BN321">
        <f t="shared" si="54"/>
        <v>0</v>
      </c>
      <c r="BO321">
        <f t="shared" si="55"/>
        <v>0</v>
      </c>
      <c r="BP321">
        <f t="shared" si="56"/>
        <v>0</v>
      </c>
      <c r="BQ321">
        <f t="shared" si="57"/>
        <v>0</v>
      </c>
      <c r="BR321">
        <f t="shared" si="58"/>
        <v>0</v>
      </c>
      <c r="BS321">
        <f t="shared" si="59"/>
        <v>0</v>
      </c>
      <c r="BT321">
        <f t="shared" si="60"/>
        <v>0</v>
      </c>
      <c r="BU321">
        <f t="shared" si="61"/>
        <v>0</v>
      </c>
      <c r="BV321">
        <f t="shared" si="62"/>
        <v>0</v>
      </c>
      <c r="BW321">
        <f t="shared" si="63"/>
        <v>0</v>
      </c>
      <c r="CA321" t="str">
        <f>IF(122&gt;ROWS(DGArchive[模组]),"",IF(INDEX(DGArchive[模组],122)="","",INDEX(DGArchive[模组],122)))</f>
        <v/>
      </c>
      <c r="CB321" t="str">
        <f>IF(122&gt;ROWS(DGArchive[阶段]),"",IF(INDEX(DGArchive[阶段],122)="","",INDEX(DGArchive[阶段],122)))</f>
        <v/>
      </c>
      <c r="CC321" t="str">
        <f>IF(122&gt;ROWS(DGArchive[游戏内日期]),"",IF(INDEX(DGArchive[游戏内日期],122)="","",INDEX(DGArchive[游戏内日期],122)))</f>
        <v/>
      </c>
      <c r="CD321" t="str">
        <f>IF(122&gt;ROWS(DGArchive[目标]),"",IF(INDEX(DGArchive[目标],122)="","",INDEX(DGArchive[目标],122)))</f>
        <v/>
      </c>
      <c r="CE321" t="str">
        <f>IF(122&gt;ROWS(DGArchive[变更前]),"",IF(INDEX(DGArchive[变更前],122)="","",INDEX(DGArchive[变更前],122)))</f>
        <v/>
      </c>
      <c r="CF321" t="str">
        <f>IF(122&gt;ROWS(DGArchive[增减]),"",IF(INDEX(DGArchive[增减],122)="","",INDEX(DGArchive[增减],122)))</f>
        <v/>
      </c>
      <c r="CG321" t="str">
        <f>IF(122&gt;ROWS(DGArchive[变更后]),"",IF(INDEX(DGArchive[变更后],122)="","",INDEX(DGArchive[变更后],122)))</f>
        <v/>
      </c>
      <c r="CH321" t="str">
        <f>IF(122&gt;ROWS(DGArchive[事件／活动]),"",IF(INDEX(DGArchive[事件／活动],122)="","",INDEX(DGArchive[事件／活动],122)))</f>
        <v/>
      </c>
      <c r="CI321" t="str">
        <f>IF(122&gt;ROWS(DGArchive[记录编号]),"",IF(INDEX(DGArchive[记录编号],122)="","",INDEX(DGArchive[记录编号],122)))</f>
        <v/>
      </c>
      <c r="CL321">
        <f t="shared" si="44"/>
        <v>0</v>
      </c>
      <c r="CM321">
        <f>IF(AND(A321=$AO$5,B321=$AQ$3,H321=1),COUNTIFS($A$200:A321,$AO$5,$B$200:B321,$AQ$3,$H$200:H321,1),0)</f>
        <v>0</v>
      </c>
      <c r="CN321">
        <f>IF(CA321="",122,1001)</f>
        <v>122</v>
      </c>
      <c r="GA321">
        <f t="shared" si="64"/>
        <v>0</v>
      </c>
      <c r="GB321">
        <f t="shared" si="65"/>
        <v>0</v>
      </c>
      <c r="GC321">
        <f>IF(AND(C321="事件记录",H321=1),COUNTIFS($C$200:C321,"事件记录",$H$200:H321,1),0)</f>
        <v>0</v>
      </c>
      <c r="GD321">
        <f t="shared" si="45"/>
        <v>0</v>
      </c>
      <c r="GH321">
        <f>IF(AND(H321=1,A321=$GA$10,B321=$GA$11),COUNTIFS($A$200:A321,$GA$10,$B$200:B321,$GA$11,$H$200:H321,1),0)</f>
        <v>0</v>
      </c>
    </row>
    <row r="322" spans="1:190">
      <c r="A322" t="str">
        <f t="shared" si="36"/>
        <v/>
      </c>
      <c r="B322" t="str">
        <f t="shared" si="37"/>
        <v/>
      </c>
      <c r="C322" t="str">
        <f t="shared" si="38"/>
        <v/>
      </c>
      <c r="D322" t="str">
        <f t="shared" si="39"/>
        <v/>
      </c>
      <c r="E322">
        <f t="shared" si="40"/>
        <v>0</v>
      </c>
      <c r="F322" t="str">
        <f t="shared" si="41"/>
        <v/>
      </c>
      <c r="G322">
        <f t="shared" si="42"/>
        <v>0</v>
      </c>
      <c r="H322">
        <f>IF(AND(G322=1,COUNTIFS($I$200:I322,I322,$G$200:G322,1)=1),1,0)</f>
        <v>0</v>
      </c>
      <c r="I322" t="str">
        <f t="shared" si="43"/>
        <v/>
      </c>
      <c r="BF322">
        <f t="shared" si="46"/>
        <v>0</v>
      </c>
      <c r="BG322">
        <f t="shared" si="47"/>
        <v>0</v>
      </c>
      <c r="BH322">
        <f t="shared" si="48"/>
        <v>0</v>
      </c>
      <c r="BI322">
        <f t="shared" si="49"/>
        <v>0</v>
      </c>
      <c r="BJ322">
        <f t="shared" si="50"/>
        <v>0</v>
      </c>
      <c r="BK322">
        <f t="shared" si="51"/>
        <v>0</v>
      </c>
      <c r="BL322">
        <f t="shared" si="52"/>
        <v>0</v>
      </c>
      <c r="BM322">
        <f t="shared" si="53"/>
        <v>0</v>
      </c>
      <c r="BN322">
        <f t="shared" si="54"/>
        <v>0</v>
      </c>
      <c r="BO322">
        <f t="shared" si="55"/>
        <v>0</v>
      </c>
      <c r="BP322">
        <f t="shared" si="56"/>
        <v>0</v>
      </c>
      <c r="BQ322">
        <f t="shared" si="57"/>
        <v>0</v>
      </c>
      <c r="BR322">
        <f t="shared" si="58"/>
        <v>0</v>
      </c>
      <c r="BS322">
        <f t="shared" si="59"/>
        <v>0</v>
      </c>
      <c r="BT322">
        <f t="shared" si="60"/>
        <v>0</v>
      </c>
      <c r="BU322">
        <f t="shared" si="61"/>
        <v>0</v>
      </c>
      <c r="BV322">
        <f t="shared" si="62"/>
        <v>0</v>
      </c>
      <c r="BW322">
        <f t="shared" si="63"/>
        <v>0</v>
      </c>
      <c r="CA322" t="str">
        <f>IF(123&gt;ROWS(DGArchive[模组]),"",IF(INDEX(DGArchive[模组],123)="","",INDEX(DGArchive[模组],123)))</f>
        <v/>
      </c>
      <c r="CB322" t="str">
        <f>IF(123&gt;ROWS(DGArchive[阶段]),"",IF(INDEX(DGArchive[阶段],123)="","",INDEX(DGArchive[阶段],123)))</f>
        <v/>
      </c>
      <c r="CC322" t="str">
        <f>IF(123&gt;ROWS(DGArchive[游戏内日期]),"",IF(INDEX(DGArchive[游戏内日期],123)="","",INDEX(DGArchive[游戏内日期],123)))</f>
        <v/>
      </c>
      <c r="CD322" t="str">
        <f>IF(123&gt;ROWS(DGArchive[目标]),"",IF(INDEX(DGArchive[目标],123)="","",INDEX(DGArchive[目标],123)))</f>
        <v/>
      </c>
      <c r="CE322" t="str">
        <f>IF(123&gt;ROWS(DGArchive[变更前]),"",IF(INDEX(DGArchive[变更前],123)="","",INDEX(DGArchive[变更前],123)))</f>
        <v/>
      </c>
      <c r="CF322" t="str">
        <f>IF(123&gt;ROWS(DGArchive[增减]),"",IF(INDEX(DGArchive[增减],123)="","",INDEX(DGArchive[增减],123)))</f>
        <v/>
      </c>
      <c r="CG322" t="str">
        <f>IF(123&gt;ROWS(DGArchive[变更后]),"",IF(INDEX(DGArchive[变更后],123)="","",INDEX(DGArchive[变更后],123)))</f>
        <v/>
      </c>
      <c r="CH322" t="str">
        <f>IF(123&gt;ROWS(DGArchive[事件／活动]),"",IF(INDEX(DGArchive[事件／活动],123)="","",INDEX(DGArchive[事件／活动],123)))</f>
        <v/>
      </c>
      <c r="CI322" t="str">
        <f>IF(123&gt;ROWS(DGArchive[记录编号]),"",IF(INDEX(DGArchive[记录编号],123)="","",INDEX(DGArchive[记录编号],123)))</f>
        <v/>
      </c>
      <c r="CL322">
        <f t="shared" si="44"/>
        <v>0</v>
      </c>
      <c r="CM322">
        <f>IF(AND(A322=$AO$5,B322=$AQ$3,H322=1),COUNTIFS($A$200:A322,$AO$5,$B$200:B322,$AQ$3,$H$200:H322,1),0)</f>
        <v>0</v>
      </c>
      <c r="CN322">
        <f>IF(CA322="",123,1001)</f>
        <v>123</v>
      </c>
      <c r="GA322">
        <f t="shared" si="64"/>
        <v>0</v>
      </c>
      <c r="GB322">
        <f t="shared" si="65"/>
        <v>0</v>
      </c>
      <c r="GC322">
        <f>IF(AND(C322="事件记录",H322=1),COUNTIFS($C$200:C322,"事件记录",$H$200:H322,1),0)</f>
        <v>0</v>
      </c>
      <c r="GD322">
        <f t="shared" si="45"/>
        <v>0</v>
      </c>
      <c r="GH322">
        <f>IF(AND(H322=1,A322=$GA$10,B322=$GA$11),COUNTIFS($A$200:A322,$GA$10,$B$200:B322,$GA$11,$H$200:H322,1),0)</f>
        <v>0</v>
      </c>
    </row>
    <row r="323" spans="1:190">
      <c r="A323" t="str">
        <f t="shared" si="36"/>
        <v/>
      </c>
      <c r="B323" t="str">
        <f t="shared" si="37"/>
        <v/>
      </c>
      <c r="C323" t="str">
        <f t="shared" si="38"/>
        <v/>
      </c>
      <c r="D323" t="str">
        <f t="shared" si="39"/>
        <v/>
      </c>
      <c r="E323">
        <f t="shared" si="40"/>
        <v>0</v>
      </c>
      <c r="F323" t="str">
        <f t="shared" si="41"/>
        <v/>
      </c>
      <c r="G323">
        <f t="shared" si="42"/>
        <v>0</v>
      </c>
      <c r="H323">
        <f>IF(AND(G323=1,COUNTIFS($I$200:I323,I323,$G$200:G323,1)=1),1,0)</f>
        <v>0</v>
      </c>
      <c r="I323" t="str">
        <f t="shared" si="43"/>
        <v/>
      </c>
      <c r="BF323">
        <f t="shared" si="46"/>
        <v>0</v>
      </c>
      <c r="BG323">
        <f t="shared" si="47"/>
        <v>0</v>
      </c>
      <c r="BH323">
        <f t="shared" si="48"/>
        <v>0</v>
      </c>
      <c r="BI323">
        <f t="shared" si="49"/>
        <v>0</v>
      </c>
      <c r="BJ323">
        <f t="shared" si="50"/>
        <v>0</v>
      </c>
      <c r="BK323">
        <f t="shared" si="51"/>
        <v>0</v>
      </c>
      <c r="BL323">
        <f t="shared" si="52"/>
        <v>0</v>
      </c>
      <c r="BM323">
        <f t="shared" si="53"/>
        <v>0</v>
      </c>
      <c r="BN323">
        <f t="shared" si="54"/>
        <v>0</v>
      </c>
      <c r="BO323">
        <f t="shared" si="55"/>
        <v>0</v>
      </c>
      <c r="BP323">
        <f t="shared" si="56"/>
        <v>0</v>
      </c>
      <c r="BQ323">
        <f t="shared" si="57"/>
        <v>0</v>
      </c>
      <c r="BR323">
        <f t="shared" si="58"/>
        <v>0</v>
      </c>
      <c r="BS323">
        <f t="shared" si="59"/>
        <v>0</v>
      </c>
      <c r="BT323">
        <f t="shared" si="60"/>
        <v>0</v>
      </c>
      <c r="BU323">
        <f t="shared" si="61"/>
        <v>0</v>
      </c>
      <c r="BV323">
        <f t="shared" si="62"/>
        <v>0</v>
      </c>
      <c r="BW323">
        <f t="shared" si="63"/>
        <v>0</v>
      </c>
      <c r="CA323" t="str">
        <f>IF(124&gt;ROWS(DGArchive[模组]),"",IF(INDEX(DGArchive[模组],124)="","",INDEX(DGArchive[模组],124)))</f>
        <v/>
      </c>
      <c r="CB323" t="str">
        <f>IF(124&gt;ROWS(DGArchive[阶段]),"",IF(INDEX(DGArchive[阶段],124)="","",INDEX(DGArchive[阶段],124)))</f>
        <v/>
      </c>
      <c r="CC323" t="str">
        <f>IF(124&gt;ROWS(DGArchive[游戏内日期]),"",IF(INDEX(DGArchive[游戏内日期],124)="","",INDEX(DGArchive[游戏内日期],124)))</f>
        <v/>
      </c>
      <c r="CD323" t="str">
        <f>IF(124&gt;ROWS(DGArchive[目标]),"",IF(INDEX(DGArchive[目标],124)="","",INDEX(DGArchive[目标],124)))</f>
        <v/>
      </c>
      <c r="CE323" t="str">
        <f>IF(124&gt;ROWS(DGArchive[变更前]),"",IF(INDEX(DGArchive[变更前],124)="","",INDEX(DGArchive[变更前],124)))</f>
        <v/>
      </c>
      <c r="CF323" t="str">
        <f>IF(124&gt;ROWS(DGArchive[增减]),"",IF(INDEX(DGArchive[增减],124)="","",INDEX(DGArchive[增减],124)))</f>
        <v/>
      </c>
      <c r="CG323" t="str">
        <f>IF(124&gt;ROWS(DGArchive[变更后]),"",IF(INDEX(DGArchive[变更后],124)="","",INDEX(DGArchive[变更后],124)))</f>
        <v/>
      </c>
      <c r="CH323" t="str">
        <f>IF(124&gt;ROWS(DGArchive[事件／活动]),"",IF(INDEX(DGArchive[事件／活动],124)="","",INDEX(DGArchive[事件／活动],124)))</f>
        <v/>
      </c>
      <c r="CI323" t="str">
        <f>IF(124&gt;ROWS(DGArchive[记录编号]),"",IF(INDEX(DGArchive[记录编号],124)="","",INDEX(DGArchive[记录编号],124)))</f>
        <v/>
      </c>
      <c r="CL323">
        <f t="shared" si="44"/>
        <v>0</v>
      </c>
      <c r="CM323">
        <f>IF(AND(A323=$AO$5,B323=$AQ$3,H323=1),COUNTIFS($A$200:A323,$AO$5,$B$200:B323,$AQ$3,$H$200:H323,1),0)</f>
        <v>0</v>
      </c>
      <c r="CN323">
        <f>IF(CA323="",124,1001)</f>
        <v>124</v>
      </c>
      <c r="GA323">
        <f t="shared" si="64"/>
        <v>0</v>
      </c>
      <c r="GB323">
        <f t="shared" si="65"/>
        <v>0</v>
      </c>
      <c r="GC323">
        <f>IF(AND(C323="事件记录",H323=1),COUNTIFS($C$200:C323,"事件记录",$H$200:H323,1),0)</f>
        <v>0</v>
      </c>
      <c r="GD323">
        <f t="shared" si="45"/>
        <v>0</v>
      </c>
      <c r="GH323">
        <f>IF(AND(H323=1,A323=$GA$10,B323=$GA$11),COUNTIFS($A$200:A323,$GA$10,$B$200:B323,$GA$11,$H$200:H323,1),0)</f>
        <v>0</v>
      </c>
    </row>
    <row r="324" spans="1:190">
      <c r="A324" t="str">
        <f t="shared" si="36"/>
        <v/>
      </c>
      <c r="B324" t="str">
        <f t="shared" si="37"/>
        <v/>
      </c>
      <c r="C324" t="str">
        <f t="shared" si="38"/>
        <v/>
      </c>
      <c r="D324" t="str">
        <f t="shared" si="39"/>
        <v/>
      </c>
      <c r="E324">
        <f t="shared" si="40"/>
        <v>0</v>
      </c>
      <c r="F324" t="str">
        <f t="shared" si="41"/>
        <v/>
      </c>
      <c r="G324">
        <f t="shared" si="42"/>
        <v>0</v>
      </c>
      <c r="H324">
        <f>IF(AND(G324=1,COUNTIFS($I$200:I324,I324,$G$200:G324,1)=1),1,0)</f>
        <v>0</v>
      </c>
      <c r="I324" t="str">
        <f t="shared" si="43"/>
        <v/>
      </c>
      <c r="BF324">
        <f t="shared" si="46"/>
        <v>0</v>
      </c>
      <c r="BG324">
        <f t="shared" si="47"/>
        <v>0</v>
      </c>
      <c r="BH324">
        <f t="shared" si="48"/>
        <v>0</v>
      </c>
      <c r="BI324">
        <f t="shared" si="49"/>
        <v>0</v>
      </c>
      <c r="BJ324">
        <f t="shared" si="50"/>
        <v>0</v>
      </c>
      <c r="BK324">
        <f t="shared" si="51"/>
        <v>0</v>
      </c>
      <c r="BL324">
        <f t="shared" si="52"/>
        <v>0</v>
      </c>
      <c r="BM324">
        <f t="shared" si="53"/>
        <v>0</v>
      </c>
      <c r="BN324">
        <f t="shared" si="54"/>
        <v>0</v>
      </c>
      <c r="BO324">
        <f t="shared" si="55"/>
        <v>0</v>
      </c>
      <c r="BP324">
        <f t="shared" si="56"/>
        <v>0</v>
      </c>
      <c r="BQ324">
        <f t="shared" si="57"/>
        <v>0</v>
      </c>
      <c r="BR324">
        <f t="shared" si="58"/>
        <v>0</v>
      </c>
      <c r="BS324">
        <f t="shared" si="59"/>
        <v>0</v>
      </c>
      <c r="BT324">
        <f t="shared" si="60"/>
        <v>0</v>
      </c>
      <c r="BU324">
        <f t="shared" si="61"/>
        <v>0</v>
      </c>
      <c r="BV324">
        <f t="shared" si="62"/>
        <v>0</v>
      </c>
      <c r="BW324">
        <f t="shared" si="63"/>
        <v>0</v>
      </c>
      <c r="CA324" t="str">
        <f>IF(125&gt;ROWS(DGArchive[模组]),"",IF(INDEX(DGArchive[模组],125)="","",INDEX(DGArchive[模组],125)))</f>
        <v/>
      </c>
      <c r="CB324" t="str">
        <f>IF(125&gt;ROWS(DGArchive[阶段]),"",IF(INDEX(DGArchive[阶段],125)="","",INDEX(DGArchive[阶段],125)))</f>
        <v/>
      </c>
      <c r="CC324" t="str">
        <f>IF(125&gt;ROWS(DGArchive[游戏内日期]),"",IF(INDEX(DGArchive[游戏内日期],125)="","",INDEX(DGArchive[游戏内日期],125)))</f>
        <v/>
      </c>
      <c r="CD324" t="str">
        <f>IF(125&gt;ROWS(DGArchive[目标]),"",IF(INDEX(DGArchive[目标],125)="","",INDEX(DGArchive[目标],125)))</f>
        <v/>
      </c>
      <c r="CE324" t="str">
        <f>IF(125&gt;ROWS(DGArchive[变更前]),"",IF(INDEX(DGArchive[变更前],125)="","",INDEX(DGArchive[变更前],125)))</f>
        <v/>
      </c>
      <c r="CF324" t="str">
        <f>IF(125&gt;ROWS(DGArchive[增减]),"",IF(INDEX(DGArchive[增减],125)="","",INDEX(DGArchive[增减],125)))</f>
        <v/>
      </c>
      <c r="CG324" t="str">
        <f>IF(125&gt;ROWS(DGArchive[变更后]),"",IF(INDEX(DGArchive[变更后],125)="","",INDEX(DGArchive[变更后],125)))</f>
        <v/>
      </c>
      <c r="CH324" t="str">
        <f>IF(125&gt;ROWS(DGArchive[事件／活动]),"",IF(INDEX(DGArchive[事件／活动],125)="","",INDEX(DGArchive[事件／活动],125)))</f>
        <v/>
      </c>
      <c r="CI324" t="str">
        <f>IF(125&gt;ROWS(DGArchive[记录编号]),"",IF(INDEX(DGArchive[记录编号],125)="","",INDEX(DGArchive[记录编号],125)))</f>
        <v/>
      </c>
      <c r="CL324">
        <f t="shared" si="44"/>
        <v>0</v>
      </c>
      <c r="CM324">
        <f>IF(AND(A324=$AO$5,B324=$AQ$3,H324=1),COUNTIFS($A$200:A324,$AO$5,$B$200:B324,$AQ$3,$H$200:H324,1),0)</f>
        <v>0</v>
      </c>
      <c r="CN324">
        <f>IF(CA324="",125,1001)</f>
        <v>125</v>
      </c>
      <c r="GA324">
        <f t="shared" si="64"/>
        <v>0</v>
      </c>
      <c r="GB324">
        <f t="shared" si="65"/>
        <v>0</v>
      </c>
      <c r="GC324">
        <f>IF(AND(C324="事件记录",H324=1),COUNTIFS($C$200:C324,"事件记录",$H$200:H324,1),0)</f>
        <v>0</v>
      </c>
      <c r="GD324">
        <f t="shared" si="45"/>
        <v>0</v>
      </c>
      <c r="GH324">
        <f>IF(AND(H324=1,A324=$GA$10,B324=$GA$11),COUNTIFS($A$200:A324,$GA$10,$B$200:B324,$GA$11,$H$200:H324,1),0)</f>
        <v>0</v>
      </c>
    </row>
    <row r="325" spans="1:190">
      <c r="A325" t="str">
        <f t="shared" si="36"/>
        <v/>
      </c>
      <c r="B325" t="str">
        <f t="shared" si="37"/>
        <v/>
      </c>
      <c r="C325" t="str">
        <f t="shared" si="38"/>
        <v/>
      </c>
      <c r="D325" t="str">
        <f t="shared" si="39"/>
        <v/>
      </c>
      <c r="E325">
        <f t="shared" si="40"/>
        <v>0</v>
      </c>
      <c r="F325" t="str">
        <f t="shared" si="41"/>
        <v/>
      </c>
      <c r="G325">
        <f t="shared" si="42"/>
        <v>0</v>
      </c>
      <c r="H325">
        <f>IF(AND(G325=1,COUNTIFS($I$200:I325,I325,$G$200:G325,1)=1),1,0)</f>
        <v>0</v>
      </c>
      <c r="I325" t="str">
        <f t="shared" si="43"/>
        <v/>
      </c>
      <c r="BF325">
        <f t="shared" si="46"/>
        <v>0</v>
      </c>
      <c r="BG325">
        <f t="shared" si="47"/>
        <v>0</v>
      </c>
      <c r="BH325">
        <f t="shared" si="48"/>
        <v>0</v>
      </c>
      <c r="BI325">
        <f t="shared" si="49"/>
        <v>0</v>
      </c>
      <c r="BJ325">
        <f t="shared" si="50"/>
        <v>0</v>
      </c>
      <c r="BK325">
        <f t="shared" si="51"/>
        <v>0</v>
      </c>
      <c r="BL325">
        <f t="shared" si="52"/>
        <v>0</v>
      </c>
      <c r="BM325">
        <f t="shared" si="53"/>
        <v>0</v>
      </c>
      <c r="BN325">
        <f t="shared" si="54"/>
        <v>0</v>
      </c>
      <c r="BO325">
        <f t="shared" si="55"/>
        <v>0</v>
      </c>
      <c r="BP325">
        <f t="shared" si="56"/>
        <v>0</v>
      </c>
      <c r="BQ325">
        <f t="shared" si="57"/>
        <v>0</v>
      </c>
      <c r="BR325">
        <f t="shared" si="58"/>
        <v>0</v>
      </c>
      <c r="BS325">
        <f t="shared" si="59"/>
        <v>0</v>
      </c>
      <c r="BT325">
        <f t="shared" si="60"/>
        <v>0</v>
      </c>
      <c r="BU325">
        <f t="shared" si="61"/>
        <v>0</v>
      </c>
      <c r="BV325">
        <f t="shared" si="62"/>
        <v>0</v>
      </c>
      <c r="BW325">
        <f t="shared" si="63"/>
        <v>0</v>
      </c>
      <c r="CA325" t="str">
        <f>IF(126&gt;ROWS(DGArchive[模组]),"",IF(INDEX(DGArchive[模组],126)="","",INDEX(DGArchive[模组],126)))</f>
        <v/>
      </c>
      <c r="CB325" t="str">
        <f>IF(126&gt;ROWS(DGArchive[阶段]),"",IF(INDEX(DGArchive[阶段],126)="","",INDEX(DGArchive[阶段],126)))</f>
        <v/>
      </c>
      <c r="CC325" t="str">
        <f>IF(126&gt;ROWS(DGArchive[游戏内日期]),"",IF(INDEX(DGArchive[游戏内日期],126)="","",INDEX(DGArchive[游戏内日期],126)))</f>
        <v/>
      </c>
      <c r="CD325" t="str">
        <f>IF(126&gt;ROWS(DGArchive[目标]),"",IF(INDEX(DGArchive[目标],126)="","",INDEX(DGArchive[目标],126)))</f>
        <v/>
      </c>
      <c r="CE325" t="str">
        <f>IF(126&gt;ROWS(DGArchive[变更前]),"",IF(INDEX(DGArchive[变更前],126)="","",INDEX(DGArchive[变更前],126)))</f>
        <v/>
      </c>
      <c r="CF325" t="str">
        <f>IF(126&gt;ROWS(DGArchive[增减]),"",IF(INDEX(DGArchive[增减],126)="","",INDEX(DGArchive[增减],126)))</f>
        <v/>
      </c>
      <c r="CG325" t="str">
        <f>IF(126&gt;ROWS(DGArchive[变更后]),"",IF(INDEX(DGArchive[变更后],126)="","",INDEX(DGArchive[变更后],126)))</f>
        <v/>
      </c>
      <c r="CH325" t="str">
        <f>IF(126&gt;ROWS(DGArchive[事件／活动]),"",IF(INDEX(DGArchive[事件／活动],126)="","",INDEX(DGArchive[事件／活动],126)))</f>
        <v/>
      </c>
      <c r="CI325" t="str">
        <f>IF(126&gt;ROWS(DGArchive[记录编号]),"",IF(INDEX(DGArchive[记录编号],126)="","",INDEX(DGArchive[记录编号],126)))</f>
        <v/>
      </c>
      <c r="CL325">
        <f t="shared" si="44"/>
        <v>0</v>
      </c>
      <c r="CM325">
        <f>IF(AND(A325=$AO$5,B325=$AQ$3,H325=1),COUNTIFS($A$200:A325,$AO$5,$B$200:B325,$AQ$3,$H$200:H325,1),0)</f>
        <v>0</v>
      </c>
      <c r="CN325">
        <f>IF(CA325="",126,1001)</f>
        <v>126</v>
      </c>
      <c r="GA325">
        <f t="shared" si="64"/>
        <v>0</v>
      </c>
      <c r="GB325">
        <f t="shared" si="65"/>
        <v>0</v>
      </c>
      <c r="GC325">
        <f>IF(AND(C325="事件记录",H325=1),COUNTIFS($C$200:C325,"事件记录",$H$200:H325,1),0)</f>
        <v>0</v>
      </c>
      <c r="GD325">
        <f t="shared" si="45"/>
        <v>0</v>
      </c>
      <c r="GH325">
        <f>IF(AND(H325=1,A325=$GA$10,B325=$GA$11),COUNTIFS($A$200:A325,$GA$10,$B$200:B325,$GA$11,$H$200:H325,1),0)</f>
        <v>0</v>
      </c>
    </row>
    <row r="326" spans="1:190">
      <c r="A326" t="str">
        <f t="shared" si="36"/>
        <v/>
      </c>
      <c r="B326" t="str">
        <f t="shared" si="37"/>
        <v/>
      </c>
      <c r="C326" t="str">
        <f t="shared" si="38"/>
        <v/>
      </c>
      <c r="D326" t="str">
        <f t="shared" si="39"/>
        <v/>
      </c>
      <c r="E326">
        <f t="shared" si="40"/>
        <v>0</v>
      </c>
      <c r="F326" t="str">
        <f t="shared" si="41"/>
        <v/>
      </c>
      <c r="G326">
        <f t="shared" si="42"/>
        <v>0</v>
      </c>
      <c r="H326">
        <f>IF(AND(G326=1,COUNTIFS($I$200:I326,I326,$G$200:G326,1)=1),1,0)</f>
        <v>0</v>
      </c>
      <c r="I326" t="str">
        <f t="shared" si="43"/>
        <v/>
      </c>
      <c r="BF326">
        <f t="shared" si="46"/>
        <v>0</v>
      </c>
      <c r="BG326">
        <f t="shared" si="47"/>
        <v>0</v>
      </c>
      <c r="BH326">
        <f t="shared" si="48"/>
        <v>0</v>
      </c>
      <c r="BI326">
        <f t="shared" si="49"/>
        <v>0</v>
      </c>
      <c r="BJ326">
        <f t="shared" si="50"/>
        <v>0</v>
      </c>
      <c r="BK326">
        <f t="shared" si="51"/>
        <v>0</v>
      </c>
      <c r="BL326">
        <f t="shared" si="52"/>
        <v>0</v>
      </c>
      <c r="BM326">
        <f t="shared" si="53"/>
        <v>0</v>
      </c>
      <c r="BN326">
        <f t="shared" si="54"/>
        <v>0</v>
      </c>
      <c r="BO326">
        <f t="shared" si="55"/>
        <v>0</v>
      </c>
      <c r="BP326">
        <f t="shared" si="56"/>
        <v>0</v>
      </c>
      <c r="BQ326">
        <f t="shared" si="57"/>
        <v>0</v>
      </c>
      <c r="BR326">
        <f t="shared" si="58"/>
        <v>0</v>
      </c>
      <c r="BS326">
        <f t="shared" si="59"/>
        <v>0</v>
      </c>
      <c r="BT326">
        <f t="shared" si="60"/>
        <v>0</v>
      </c>
      <c r="BU326">
        <f t="shared" si="61"/>
        <v>0</v>
      </c>
      <c r="BV326">
        <f t="shared" si="62"/>
        <v>0</v>
      </c>
      <c r="BW326">
        <f t="shared" si="63"/>
        <v>0</v>
      </c>
      <c r="CA326" t="str">
        <f>IF(127&gt;ROWS(DGArchive[模组]),"",IF(INDEX(DGArchive[模组],127)="","",INDEX(DGArchive[模组],127)))</f>
        <v/>
      </c>
      <c r="CB326" t="str">
        <f>IF(127&gt;ROWS(DGArchive[阶段]),"",IF(INDEX(DGArchive[阶段],127)="","",INDEX(DGArchive[阶段],127)))</f>
        <v/>
      </c>
      <c r="CC326" t="str">
        <f>IF(127&gt;ROWS(DGArchive[游戏内日期]),"",IF(INDEX(DGArchive[游戏内日期],127)="","",INDEX(DGArchive[游戏内日期],127)))</f>
        <v/>
      </c>
      <c r="CD326" t="str">
        <f>IF(127&gt;ROWS(DGArchive[目标]),"",IF(INDEX(DGArchive[目标],127)="","",INDEX(DGArchive[目标],127)))</f>
        <v/>
      </c>
      <c r="CE326" t="str">
        <f>IF(127&gt;ROWS(DGArchive[变更前]),"",IF(INDEX(DGArchive[变更前],127)="","",INDEX(DGArchive[变更前],127)))</f>
        <v/>
      </c>
      <c r="CF326" t="str">
        <f>IF(127&gt;ROWS(DGArchive[增减]),"",IF(INDEX(DGArchive[增减],127)="","",INDEX(DGArchive[增减],127)))</f>
        <v/>
      </c>
      <c r="CG326" t="str">
        <f>IF(127&gt;ROWS(DGArchive[变更后]),"",IF(INDEX(DGArchive[变更后],127)="","",INDEX(DGArchive[变更后],127)))</f>
        <v/>
      </c>
      <c r="CH326" t="str">
        <f>IF(127&gt;ROWS(DGArchive[事件／活动]),"",IF(INDEX(DGArchive[事件／活动],127)="","",INDEX(DGArchive[事件／活动],127)))</f>
        <v/>
      </c>
      <c r="CI326" t="str">
        <f>IF(127&gt;ROWS(DGArchive[记录编号]),"",IF(INDEX(DGArchive[记录编号],127)="","",INDEX(DGArchive[记录编号],127)))</f>
        <v/>
      </c>
      <c r="CL326">
        <f t="shared" si="44"/>
        <v>0</v>
      </c>
      <c r="CM326">
        <f>IF(AND(A326=$AO$5,B326=$AQ$3,H326=1),COUNTIFS($A$200:A326,$AO$5,$B$200:B326,$AQ$3,$H$200:H326,1),0)</f>
        <v>0</v>
      </c>
      <c r="CN326">
        <f>IF(CA326="",127,1001)</f>
        <v>127</v>
      </c>
      <c r="GA326">
        <f t="shared" si="64"/>
        <v>0</v>
      </c>
      <c r="GB326">
        <f t="shared" si="65"/>
        <v>0</v>
      </c>
      <c r="GC326">
        <f>IF(AND(C326="事件记录",H326=1),COUNTIFS($C$200:C326,"事件记录",$H$200:H326,1),0)</f>
        <v>0</v>
      </c>
      <c r="GD326">
        <f t="shared" si="45"/>
        <v>0</v>
      </c>
      <c r="GH326">
        <f>IF(AND(H326=1,A326=$GA$10,B326=$GA$11),COUNTIFS($A$200:A326,$GA$10,$B$200:B326,$GA$11,$H$200:H326,1),0)</f>
        <v>0</v>
      </c>
    </row>
    <row r="327" spans="1:190">
      <c r="A327" t="str">
        <f t="shared" si="36"/>
        <v/>
      </c>
      <c r="B327" t="str">
        <f t="shared" si="37"/>
        <v/>
      </c>
      <c r="C327" t="str">
        <f t="shared" si="38"/>
        <v/>
      </c>
      <c r="D327" t="str">
        <f t="shared" si="39"/>
        <v/>
      </c>
      <c r="E327">
        <f t="shared" si="40"/>
        <v>0</v>
      </c>
      <c r="F327" t="str">
        <f t="shared" si="41"/>
        <v/>
      </c>
      <c r="G327">
        <f t="shared" si="42"/>
        <v>0</v>
      </c>
      <c r="H327">
        <f>IF(AND(G327=1,COUNTIFS($I$200:I327,I327,$G$200:G327,1)=1),1,0)</f>
        <v>0</v>
      </c>
      <c r="I327" t="str">
        <f t="shared" si="43"/>
        <v/>
      </c>
      <c r="BF327">
        <f t="shared" si="46"/>
        <v>0</v>
      </c>
      <c r="BG327">
        <f t="shared" si="47"/>
        <v>0</v>
      </c>
      <c r="BH327">
        <f t="shared" si="48"/>
        <v>0</v>
      </c>
      <c r="BI327">
        <f t="shared" si="49"/>
        <v>0</v>
      </c>
      <c r="BJ327">
        <f t="shared" si="50"/>
        <v>0</v>
      </c>
      <c r="BK327">
        <f t="shared" si="51"/>
        <v>0</v>
      </c>
      <c r="BL327">
        <f t="shared" si="52"/>
        <v>0</v>
      </c>
      <c r="BM327">
        <f t="shared" si="53"/>
        <v>0</v>
      </c>
      <c r="BN327">
        <f t="shared" si="54"/>
        <v>0</v>
      </c>
      <c r="BO327">
        <f t="shared" si="55"/>
        <v>0</v>
      </c>
      <c r="BP327">
        <f t="shared" si="56"/>
        <v>0</v>
      </c>
      <c r="BQ327">
        <f t="shared" si="57"/>
        <v>0</v>
      </c>
      <c r="BR327">
        <f t="shared" si="58"/>
        <v>0</v>
      </c>
      <c r="BS327">
        <f t="shared" si="59"/>
        <v>0</v>
      </c>
      <c r="BT327">
        <f t="shared" si="60"/>
        <v>0</v>
      </c>
      <c r="BU327">
        <f t="shared" si="61"/>
        <v>0</v>
      </c>
      <c r="BV327">
        <f t="shared" si="62"/>
        <v>0</v>
      </c>
      <c r="BW327">
        <f t="shared" si="63"/>
        <v>0</v>
      </c>
      <c r="CA327" t="str">
        <f>IF(128&gt;ROWS(DGArchive[模组]),"",IF(INDEX(DGArchive[模组],128)="","",INDEX(DGArchive[模组],128)))</f>
        <v/>
      </c>
      <c r="CB327" t="str">
        <f>IF(128&gt;ROWS(DGArchive[阶段]),"",IF(INDEX(DGArchive[阶段],128)="","",INDEX(DGArchive[阶段],128)))</f>
        <v/>
      </c>
      <c r="CC327" t="str">
        <f>IF(128&gt;ROWS(DGArchive[游戏内日期]),"",IF(INDEX(DGArchive[游戏内日期],128)="","",INDEX(DGArchive[游戏内日期],128)))</f>
        <v/>
      </c>
      <c r="CD327" t="str">
        <f>IF(128&gt;ROWS(DGArchive[目标]),"",IF(INDEX(DGArchive[目标],128)="","",INDEX(DGArchive[目标],128)))</f>
        <v/>
      </c>
      <c r="CE327" t="str">
        <f>IF(128&gt;ROWS(DGArchive[变更前]),"",IF(INDEX(DGArchive[变更前],128)="","",INDEX(DGArchive[变更前],128)))</f>
        <v/>
      </c>
      <c r="CF327" t="str">
        <f>IF(128&gt;ROWS(DGArchive[增减]),"",IF(INDEX(DGArchive[增减],128)="","",INDEX(DGArchive[增减],128)))</f>
        <v/>
      </c>
      <c r="CG327" t="str">
        <f>IF(128&gt;ROWS(DGArchive[变更后]),"",IF(INDEX(DGArchive[变更后],128)="","",INDEX(DGArchive[变更后],128)))</f>
        <v/>
      </c>
      <c r="CH327" t="str">
        <f>IF(128&gt;ROWS(DGArchive[事件／活动]),"",IF(INDEX(DGArchive[事件／活动],128)="","",INDEX(DGArchive[事件／活动],128)))</f>
        <v/>
      </c>
      <c r="CI327" t="str">
        <f>IF(128&gt;ROWS(DGArchive[记录编号]),"",IF(INDEX(DGArchive[记录编号],128)="","",INDEX(DGArchive[记录编号],128)))</f>
        <v/>
      </c>
      <c r="CL327">
        <f t="shared" si="44"/>
        <v>0</v>
      </c>
      <c r="CM327">
        <f>IF(AND(A327=$AO$5,B327=$AQ$3,H327=1),COUNTIFS($A$200:A327,$AO$5,$B$200:B327,$AQ$3,$H$200:H327,1),0)</f>
        <v>0</v>
      </c>
      <c r="CN327">
        <f>IF(CA327="",128,1001)</f>
        <v>128</v>
      </c>
      <c r="GA327">
        <f t="shared" si="64"/>
        <v>0</v>
      </c>
      <c r="GB327">
        <f t="shared" si="65"/>
        <v>0</v>
      </c>
      <c r="GC327">
        <f>IF(AND(C327="事件记录",H327=1),COUNTIFS($C$200:C327,"事件记录",$H$200:H327,1),0)</f>
        <v>0</v>
      </c>
      <c r="GD327">
        <f t="shared" si="45"/>
        <v>0</v>
      </c>
      <c r="GH327">
        <f>IF(AND(H327=1,A327=$GA$10,B327=$GA$11),COUNTIFS($A$200:A327,$GA$10,$B$200:B327,$GA$11,$H$200:H327,1),0)</f>
        <v>0</v>
      </c>
    </row>
    <row r="328" spans="1:190">
      <c r="A328" t="str">
        <f t="shared" ref="A328:A391" si="66">IFERROR(TEXT(VALUE(CA328),"00"),"")</f>
        <v/>
      </c>
      <c r="B328" t="str">
        <f t="shared" ref="B328:B391" si="67">CB328</f>
        <v/>
      </c>
      <c r="C328" t="str">
        <f t="shared" ref="C328:C391" si="68">CD328</f>
        <v/>
      </c>
      <c r="D328" t="str">
        <f t="shared" ref="D328:D391" si="69">CF328</f>
        <v/>
      </c>
      <c r="E328">
        <f t="shared" ref="E328:E391" si="70">IF(H328=1,MAX(-CE328,MIN(D328,IF(LEFT(C328,3)="技能：",99,IF(COUNTIF($L$2:$L$7,C328)&gt;0,18,999))-CE328)),0)</f>
        <v>0</v>
      </c>
      <c r="F328" t="str">
        <f t="shared" ref="F328:F391" si="71">IF(OR(C328=0,C328=""),"",IF(G328=0,"记录不完整",IF(H328=0,"重复未计","已计入")))</f>
        <v/>
      </c>
      <c r="G328">
        <f t="shared" ref="G328:G391" si="72">IF(AND(AND(CA328&lt;&gt;"",CB328&lt;&gt;"",CI328&lt;&gt;"",OR(LEFT(C328,3)="技能：",COUNTIF($L$2:$L$19,C328)&gt;0,C328="事件记录",C328="暴力进度",C328="无力进度"),ISNUMBER(CE328),ISNUMBER(CF328),ISNUMBER(CG328),CE328&gt;=0,CG328=SUM(CE328,CF328)),OR(B328&lt;&gt;"成长",AND(LEFT(C328,3)="技能：",C328&lt;&gt;"技能：非自然知识",CE328&gt;=1,CE328&lt;=99,CF328&gt;=0,CF328&lt;=4,CG328&lt;=99))),1,0)</f>
        <v>0</v>
      </c>
      <c r="H328">
        <f>IF(AND(G328=1,COUNTIFS($I$200:I328,I328,$G$200:G328,1)=1),1,0)</f>
        <v>0</v>
      </c>
      <c r="I328" t="str">
        <f t="shared" ref="I328:I391" si="73">IF(G328=1,IF(B328="成长",A328&amp;"-成长-"&amp;C328,CI328),"")</f>
        <v/>
      </c>
      <c r="BF328">
        <f t="shared" si="46"/>
        <v>0</v>
      </c>
      <c r="BG328">
        <f t="shared" si="47"/>
        <v>0</v>
      </c>
      <c r="BH328">
        <f t="shared" si="48"/>
        <v>0</v>
      </c>
      <c r="BI328">
        <f t="shared" si="49"/>
        <v>0</v>
      </c>
      <c r="BJ328">
        <f t="shared" si="50"/>
        <v>0</v>
      </c>
      <c r="BK328">
        <f t="shared" si="51"/>
        <v>0</v>
      </c>
      <c r="BL328">
        <f t="shared" si="52"/>
        <v>0</v>
      </c>
      <c r="BM328">
        <f t="shared" si="53"/>
        <v>0</v>
      </c>
      <c r="BN328">
        <f t="shared" si="54"/>
        <v>0</v>
      </c>
      <c r="BO328">
        <f t="shared" si="55"/>
        <v>0</v>
      </c>
      <c r="BP328">
        <f t="shared" si="56"/>
        <v>0</v>
      </c>
      <c r="BQ328">
        <f t="shared" si="57"/>
        <v>0</v>
      </c>
      <c r="BR328">
        <f t="shared" si="58"/>
        <v>0</v>
      </c>
      <c r="BS328">
        <f t="shared" si="59"/>
        <v>0</v>
      </c>
      <c r="BT328">
        <f t="shared" si="60"/>
        <v>0</v>
      </c>
      <c r="BU328">
        <f t="shared" si="61"/>
        <v>0</v>
      </c>
      <c r="BV328">
        <f t="shared" si="62"/>
        <v>0</v>
      </c>
      <c r="BW328">
        <f t="shared" si="63"/>
        <v>0</v>
      </c>
      <c r="CA328" t="str">
        <f>IF(129&gt;ROWS(DGArchive[模组]),"",IF(INDEX(DGArchive[模组],129)="","",INDEX(DGArchive[模组],129)))</f>
        <v/>
      </c>
      <c r="CB328" t="str">
        <f>IF(129&gt;ROWS(DGArchive[阶段]),"",IF(INDEX(DGArchive[阶段],129)="","",INDEX(DGArchive[阶段],129)))</f>
        <v/>
      </c>
      <c r="CC328" t="str">
        <f>IF(129&gt;ROWS(DGArchive[游戏内日期]),"",IF(INDEX(DGArchive[游戏内日期],129)="","",INDEX(DGArchive[游戏内日期],129)))</f>
        <v/>
      </c>
      <c r="CD328" t="str">
        <f>IF(129&gt;ROWS(DGArchive[目标]),"",IF(INDEX(DGArchive[目标],129)="","",INDEX(DGArchive[目标],129)))</f>
        <v/>
      </c>
      <c r="CE328" t="str">
        <f>IF(129&gt;ROWS(DGArchive[变更前]),"",IF(INDEX(DGArchive[变更前],129)="","",INDEX(DGArchive[变更前],129)))</f>
        <v/>
      </c>
      <c r="CF328" t="str">
        <f>IF(129&gt;ROWS(DGArchive[增减]),"",IF(INDEX(DGArchive[增减],129)="","",INDEX(DGArchive[增减],129)))</f>
        <v/>
      </c>
      <c r="CG328" t="str">
        <f>IF(129&gt;ROWS(DGArchive[变更后]),"",IF(INDEX(DGArchive[变更后],129)="","",INDEX(DGArchive[变更后],129)))</f>
        <v/>
      </c>
      <c r="CH328" t="str">
        <f>IF(129&gt;ROWS(DGArchive[事件／活动]),"",IF(INDEX(DGArchive[事件／活动],129)="","",INDEX(DGArchive[事件／活动],129)))</f>
        <v/>
      </c>
      <c r="CI328" t="str">
        <f>IF(129&gt;ROWS(DGArchive[记录编号]),"",IF(INDEX(DGArchive[记录编号],129)="","",INDEX(DGArchive[记录编号],129)))</f>
        <v/>
      </c>
      <c r="CL328">
        <f t="shared" ref="CL328:CL391" si="74">IF(AND(A328=$AO$5,H328=1,LEFT(B328,2)="幕间"),IFERROR(VALUE(MID(B328,3,20)),0),0)</f>
        <v>0</v>
      </c>
      <c r="CM328">
        <f>IF(AND(A328=$AO$5,B328=$AQ$3,H328=1),COUNTIFS($A$200:A328,$AO$5,$B$200:B328,$AQ$3,$H$200:H328,1),0)</f>
        <v>0</v>
      </c>
      <c r="CN328">
        <f>IF(CA328="",129,1001)</f>
        <v>129</v>
      </c>
      <c r="GA328">
        <f t="shared" si="64"/>
        <v>0</v>
      </c>
      <c r="GB328">
        <f t="shared" si="65"/>
        <v>0</v>
      </c>
      <c r="GC328">
        <f>IF(AND(C328="事件记录",H328=1),COUNTIFS($C$200:C328,"事件记录",$H$200:H328,1),0)</f>
        <v>0</v>
      </c>
      <c r="GD328">
        <f t="shared" ref="GD328:GD391" si="75">IF(AND(H328=1,A328=$GA$10,LEFT(B328,2)="事件"),IFERROR(VALUE(MID(B328,3,20)),0),0)</f>
        <v>0</v>
      </c>
      <c r="GH328">
        <f>IF(AND(H328=1,A328=$GA$10,B328=$GA$11),COUNTIFS($A$200:A328,$GA$10,$B$200:B328,$GA$11,$H$200:H328,1),0)</f>
        <v>0</v>
      </c>
    </row>
    <row r="329" spans="1:190">
      <c r="A329" t="str">
        <f t="shared" si="66"/>
        <v/>
      </c>
      <c r="B329" t="str">
        <f t="shared" si="67"/>
        <v/>
      </c>
      <c r="C329" t="str">
        <f t="shared" si="68"/>
        <v/>
      </c>
      <c r="D329" t="str">
        <f t="shared" si="69"/>
        <v/>
      </c>
      <c r="E329">
        <f t="shared" si="70"/>
        <v>0</v>
      </c>
      <c r="F329" t="str">
        <f t="shared" si="71"/>
        <v/>
      </c>
      <c r="G329">
        <f t="shared" si="72"/>
        <v>0</v>
      </c>
      <c r="H329">
        <f>IF(AND(G329=1,COUNTIFS($I$200:I329,I329,$G$200:G329,1)=1),1,0)</f>
        <v>0</v>
      </c>
      <c r="I329" t="str">
        <f t="shared" si="73"/>
        <v/>
      </c>
      <c r="BF329">
        <f t="shared" ref="BF329:BF392" si="76">MAX(0,MIN(18,BF328+IF(C329="力量",E329,0)))</f>
        <v>0</v>
      </c>
      <c r="BG329">
        <f t="shared" ref="BG329:BG392" si="77">MAX(0,MIN(18,BG328+IF(C329="体质",E329,0)))</f>
        <v>0</v>
      </c>
      <c r="BH329">
        <f t="shared" ref="BH329:BH392" si="78">MAX(0,MIN(18,BH328+IF(C329="敏捷",E329,0)))</f>
        <v>0</v>
      </c>
      <c r="BI329">
        <f t="shared" ref="BI329:BI392" si="79">MAX(0,MIN(18,BI328+IF(C329="智力",E329,0)))</f>
        <v>0</v>
      </c>
      <c r="BJ329">
        <f t="shared" ref="BJ329:BJ392" si="80">MAX(0,MIN(18,BJ328+IF(C329="意志",E329,0)))</f>
        <v>0</v>
      </c>
      <c r="BK329">
        <f t="shared" ref="BK329:BK392" si="81">MAX(0,MIN(18,BK328+IF(C329="魅力",E329,0)))</f>
        <v>0</v>
      </c>
      <c r="BL329">
        <f t="shared" ref="BL329:BL392" si="82">MAX(0,MIN(99,BL328+IF(C329="技能：非自然知识",E329,0)))</f>
        <v>0</v>
      </c>
      <c r="BM329">
        <f t="shared" ref="BM329:BM392" si="83">MAX(0,MIN(CEILING((BF329+BG329)/2,1),BM328+IF(C329="体力",E329,0)))</f>
        <v>0</v>
      </c>
      <c r="BN329">
        <f t="shared" ref="BN329:BN392" si="84">MAX(0,MIN(BJ329,BN328+IF(C329="毅力",E329,0)))</f>
        <v>0</v>
      </c>
      <c r="BO329">
        <f t="shared" ref="BO329:BO392" si="85">MAX(0,MIN(99-BL329,BO328+IF(C329="理智",E329,0)))</f>
        <v>0</v>
      </c>
      <c r="BP329">
        <f t="shared" ref="BP329:BP392" si="86">MAX(0,MIN(99,BP328+IF(C329="崩溃点",E329,0)))</f>
        <v>0</v>
      </c>
      <c r="BQ329">
        <f t="shared" ref="BQ329:BQ392" si="87">MAX(0,MIN(BK329,IF(AND(H329=1,C329="重要关系1",LEFT(CH329,8)="建立新的重要关系"),CE329+E329,IF(BQ328=0,0,BQ328+IF(C329="重要关系1",E329,0))+IF(AND(C329="魅力",E329&lt;0),E329,0))))</f>
        <v>0</v>
      </c>
      <c r="BR329">
        <f t="shared" ref="BR329:BR392" si="88">MAX(0,MIN(BK329,IF(AND(H329=1,C329="重要关系2",LEFT(CH329,8)="建立新的重要关系"),CE329+E329,IF(BR328=0,0,BR328+IF(C329="重要关系2",E329,0))+IF(AND(C329="魅力",E329&lt;0),E329,0))))</f>
        <v>0</v>
      </c>
      <c r="BS329">
        <f t="shared" ref="BS329:BS392" si="89">MAX(0,MIN(BK329,IF(AND(H329=1,C329="重要关系3",LEFT(CH329,8)="建立新的重要关系"),CE329+E329,IF(BS328=0,0,BS328+IF(C329="重要关系3",E329,0))+IF(AND(C329="魅力",E329&lt;0),E329,0))))</f>
        <v>0</v>
      </c>
      <c r="BT329">
        <f t="shared" ref="BT329:BT392" si="90">MAX(0,MIN(BK329,IF(AND(H329=1,C329="重要关系4",LEFT(CH329,8)="建立新的重要关系"),CE329+E329,IF(BT328=0,0,BT328+IF(C329="重要关系4",E329,0))+IF(AND(C329="魅力",E329&lt;0),E329,0))))</f>
        <v>0</v>
      </c>
      <c r="BU329">
        <f t="shared" ref="BU329:BU392" si="91">MAX(0,MIN(BK329,IF(AND(H329=1,C329="重要关系5",LEFT(CH329,8)="建立新的重要关系"),CE329+E329,IF(BU328=0,0,BU328+IF(C329="重要关系5",E329,0))+IF(AND(C329="魅力",E329&lt;0),E329,0))))</f>
        <v>0</v>
      </c>
      <c r="BV329">
        <f t="shared" ref="BV329:BV392" si="92">MAX(0,MIN(BK329,IF(AND(H329=1,C329="重要关系6",LEFT(CH329,8)="建立新的重要关系"),CE329+E329,IF(BV328=0,0,BV328+IF(C329="重要关系6",E329,0))+IF(AND(C329="魅力",E329&lt;0),E329,0))))</f>
        <v>0</v>
      </c>
      <c r="BW329">
        <f t="shared" ref="BW329:BW392" si="93">MAX(0,MIN(BK329,IF(AND(H329=1,C329="重要关系7",LEFT(CH329,8)="建立新的重要关系"),CE329+E329,IF(BW328=0,0,BW328+IF(C329="重要关系7",E329,0))+IF(AND(C329="魅力",E329&lt;0),E329,0))))</f>
        <v>0</v>
      </c>
      <c r="CA329" t="str">
        <f>IF(130&gt;ROWS(DGArchive[模组]),"",IF(INDEX(DGArchive[模组],130)="","",INDEX(DGArchive[模组],130)))</f>
        <v/>
      </c>
      <c r="CB329" t="str">
        <f>IF(130&gt;ROWS(DGArchive[阶段]),"",IF(INDEX(DGArchive[阶段],130)="","",INDEX(DGArchive[阶段],130)))</f>
        <v/>
      </c>
      <c r="CC329" t="str">
        <f>IF(130&gt;ROWS(DGArchive[游戏内日期]),"",IF(INDEX(DGArchive[游戏内日期],130)="","",INDEX(DGArchive[游戏内日期],130)))</f>
        <v/>
      </c>
      <c r="CD329" t="str">
        <f>IF(130&gt;ROWS(DGArchive[目标]),"",IF(INDEX(DGArchive[目标],130)="","",INDEX(DGArchive[目标],130)))</f>
        <v/>
      </c>
      <c r="CE329" t="str">
        <f>IF(130&gt;ROWS(DGArchive[变更前]),"",IF(INDEX(DGArchive[变更前],130)="","",INDEX(DGArchive[变更前],130)))</f>
        <v/>
      </c>
      <c r="CF329" t="str">
        <f>IF(130&gt;ROWS(DGArchive[增减]),"",IF(INDEX(DGArchive[增减],130)="","",INDEX(DGArchive[增减],130)))</f>
        <v/>
      </c>
      <c r="CG329" t="str">
        <f>IF(130&gt;ROWS(DGArchive[变更后]),"",IF(INDEX(DGArchive[变更后],130)="","",INDEX(DGArchive[变更后],130)))</f>
        <v/>
      </c>
      <c r="CH329" t="str">
        <f>IF(130&gt;ROWS(DGArchive[事件／活动]),"",IF(INDEX(DGArchive[事件／活动],130)="","",INDEX(DGArchive[事件／活动],130)))</f>
        <v/>
      </c>
      <c r="CI329" t="str">
        <f>IF(130&gt;ROWS(DGArchive[记录编号]),"",IF(INDEX(DGArchive[记录编号],130)="","",INDEX(DGArchive[记录编号],130)))</f>
        <v/>
      </c>
      <c r="CL329">
        <f t="shared" si="74"/>
        <v>0</v>
      </c>
      <c r="CM329">
        <f>IF(AND(A329=$AO$5,B329=$AQ$3,H329=1),COUNTIFS($A$200:A329,$AO$5,$B$200:B329,$AQ$3,$H$200:H329,1),0)</f>
        <v>0</v>
      </c>
      <c r="CN329">
        <f>IF(CA329="",130,1001)</f>
        <v>130</v>
      </c>
      <c r="GA329">
        <f t="shared" ref="GA329:GA392" si="94">MAX(0,MIN(3,GA328+IF(C329="暴力进度",E329,0)))</f>
        <v>0</v>
      </c>
      <c r="GB329">
        <f t="shared" ref="GB329:GB392" si="95">MAX(0,MIN(3,GB328+IF(C329="无力进度",E329,0)))</f>
        <v>0</v>
      </c>
      <c r="GC329">
        <f>IF(AND(C329="事件记录",H329=1),COUNTIFS($C$200:C329,"事件记录",$H$200:H329,1),0)</f>
        <v>0</v>
      </c>
      <c r="GD329">
        <f t="shared" si="75"/>
        <v>0</v>
      </c>
      <c r="GH329">
        <f>IF(AND(H329=1,A329=$GA$10,B329=$GA$11),COUNTIFS($A$200:A329,$GA$10,$B$200:B329,$GA$11,$H$200:H329,1),0)</f>
        <v>0</v>
      </c>
    </row>
    <row r="330" spans="1:190">
      <c r="A330" t="str">
        <f t="shared" si="66"/>
        <v/>
      </c>
      <c r="B330" t="str">
        <f t="shared" si="67"/>
        <v/>
      </c>
      <c r="C330" t="str">
        <f t="shared" si="68"/>
        <v/>
      </c>
      <c r="D330" t="str">
        <f t="shared" si="69"/>
        <v/>
      </c>
      <c r="E330">
        <f t="shared" si="70"/>
        <v>0</v>
      </c>
      <c r="F330" t="str">
        <f t="shared" si="71"/>
        <v/>
      </c>
      <c r="G330">
        <f t="shared" si="72"/>
        <v>0</v>
      </c>
      <c r="H330">
        <f>IF(AND(G330=1,COUNTIFS($I$200:I330,I330,$G$200:G330,1)=1),1,0)</f>
        <v>0</v>
      </c>
      <c r="I330" t="str">
        <f t="shared" si="73"/>
        <v/>
      </c>
      <c r="BF330">
        <f t="shared" si="76"/>
        <v>0</v>
      </c>
      <c r="BG330">
        <f t="shared" si="77"/>
        <v>0</v>
      </c>
      <c r="BH330">
        <f t="shared" si="78"/>
        <v>0</v>
      </c>
      <c r="BI330">
        <f t="shared" si="79"/>
        <v>0</v>
      </c>
      <c r="BJ330">
        <f t="shared" si="80"/>
        <v>0</v>
      </c>
      <c r="BK330">
        <f t="shared" si="81"/>
        <v>0</v>
      </c>
      <c r="BL330">
        <f t="shared" si="82"/>
        <v>0</v>
      </c>
      <c r="BM330">
        <f t="shared" si="83"/>
        <v>0</v>
      </c>
      <c r="BN330">
        <f t="shared" si="84"/>
        <v>0</v>
      </c>
      <c r="BO330">
        <f t="shared" si="85"/>
        <v>0</v>
      </c>
      <c r="BP330">
        <f t="shared" si="86"/>
        <v>0</v>
      </c>
      <c r="BQ330">
        <f t="shared" si="87"/>
        <v>0</v>
      </c>
      <c r="BR330">
        <f t="shared" si="88"/>
        <v>0</v>
      </c>
      <c r="BS330">
        <f t="shared" si="89"/>
        <v>0</v>
      </c>
      <c r="BT330">
        <f t="shared" si="90"/>
        <v>0</v>
      </c>
      <c r="BU330">
        <f t="shared" si="91"/>
        <v>0</v>
      </c>
      <c r="BV330">
        <f t="shared" si="92"/>
        <v>0</v>
      </c>
      <c r="BW330">
        <f t="shared" si="93"/>
        <v>0</v>
      </c>
      <c r="CA330" t="str">
        <f>IF(131&gt;ROWS(DGArchive[模组]),"",IF(INDEX(DGArchive[模组],131)="","",INDEX(DGArchive[模组],131)))</f>
        <v/>
      </c>
      <c r="CB330" t="str">
        <f>IF(131&gt;ROWS(DGArchive[阶段]),"",IF(INDEX(DGArchive[阶段],131)="","",INDEX(DGArchive[阶段],131)))</f>
        <v/>
      </c>
      <c r="CC330" t="str">
        <f>IF(131&gt;ROWS(DGArchive[游戏内日期]),"",IF(INDEX(DGArchive[游戏内日期],131)="","",INDEX(DGArchive[游戏内日期],131)))</f>
        <v/>
      </c>
      <c r="CD330" t="str">
        <f>IF(131&gt;ROWS(DGArchive[目标]),"",IF(INDEX(DGArchive[目标],131)="","",INDEX(DGArchive[目标],131)))</f>
        <v/>
      </c>
      <c r="CE330" t="str">
        <f>IF(131&gt;ROWS(DGArchive[变更前]),"",IF(INDEX(DGArchive[变更前],131)="","",INDEX(DGArchive[变更前],131)))</f>
        <v/>
      </c>
      <c r="CF330" t="str">
        <f>IF(131&gt;ROWS(DGArchive[增减]),"",IF(INDEX(DGArchive[增减],131)="","",INDEX(DGArchive[增减],131)))</f>
        <v/>
      </c>
      <c r="CG330" t="str">
        <f>IF(131&gt;ROWS(DGArchive[变更后]),"",IF(INDEX(DGArchive[变更后],131)="","",INDEX(DGArchive[变更后],131)))</f>
        <v/>
      </c>
      <c r="CH330" t="str">
        <f>IF(131&gt;ROWS(DGArchive[事件／活动]),"",IF(INDEX(DGArchive[事件／活动],131)="","",INDEX(DGArchive[事件／活动],131)))</f>
        <v/>
      </c>
      <c r="CI330" t="str">
        <f>IF(131&gt;ROWS(DGArchive[记录编号]),"",IF(INDEX(DGArchive[记录编号],131)="","",INDEX(DGArchive[记录编号],131)))</f>
        <v/>
      </c>
      <c r="CL330">
        <f t="shared" si="74"/>
        <v>0</v>
      </c>
      <c r="CM330">
        <f>IF(AND(A330=$AO$5,B330=$AQ$3,H330=1),COUNTIFS($A$200:A330,$AO$5,$B$200:B330,$AQ$3,$H$200:H330,1),0)</f>
        <v>0</v>
      </c>
      <c r="CN330">
        <f>IF(CA330="",131,1001)</f>
        <v>131</v>
      </c>
      <c r="GA330">
        <f t="shared" si="94"/>
        <v>0</v>
      </c>
      <c r="GB330">
        <f t="shared" si="95"/>
        <v>0</v>
      </c>
      <c r="GC330">
        <f>IF(AND(C330="事件记录",H330=1),COUNTIFS($C$200:C330,"事件记录",$H$200:H330,1),0)</f>
        <v>0</v>
      </c>
      <c r="GD330">
        <f t="shared" si="75"/>
        <v>0</v>
      </c>
      <c r="GH330">
        <f>IF(AND(H330=1,A330=$GA$10,B330=$GA$11),COUNTIFS($A$200:A330,$GA$10,$B$200:B330,$GA$11,$H$200:H330,1),0)</f>
        <v>0</v>
      </c>
    </row>
    <row r="331" spans="1:190">
      <c r="A331" t="str">
        <f t="shared" si="66"/>
        <v/>
      </c>
      <c r="B331" t="str">
        <f t="shared" si="67"/>
        <v/>
      </c>
      <c r="C331" t="str">
        <f t="shared" si="68"/>
        <v/>
      </c>
      <c r="D331" t="str">
        <f t="shared" si="69"/>
        <v/>
      </c>
      <c r="E331">
        <f t="shared" si="70"/>
        <v>0</v>
      </c>
      <c r="F331" t="str">
        <f t="shared" si="71"/>
        <v/>
      </c>
      <c r="G331">
        <f t="shared" si="72"/>
        <v>0</v>
      </c>
      <c r="H331">
        <f>IF(AND(G331=1,COUNTIFS($I$200:I331,I331,$G$200:G331,1)=1),1,0)</f>
        <v>0</v>
      </c>
      <c r="I331" t="str">
        <f t="shared" si="73"/>
        <v/>
      </c>
      <c r="BF331">
        <f t="shared" si="76"/>
        <v>0</v>
      </c>
      <c r="BG331">
        <f t="shared" si="77"/>
        <v>0</v>
      </c>
      <c r="BH331">
        <f t="shared" si="78"/>
        <v>0</v>
      </c>
      <c r="BI331">
        <f t="shared" si="79"/>
        <v>0</v>
      </c>
      <c r="BJ331">
        <f t="shared" si="80"/>
        <v>0</v>
      </c>
      <c r="BK331">
        <f t="shared" si="81"/>
        <v>0</v>
      </c>
      <c r="BL331">
        <f t="shared" si="82"/>
        <v>0</v>
      </c>
      <c r="BM331">
        <f t="shared" si="83"/>
        <v>0</v>
      </c>
      <c r="BN331">
        <f t="shared" si="84"/>
        <v>0</v>
      </c>
      <c r="BO331">
        <f t="shared" si="85"/>
        <v>0</v>
      </c>
      <c r="BP331">
        <f t="shared" si="86"/>
        <v>0</v>
      </c>
      <c r="BQ331">
        <f t="shared" si="87"/>
        <v>0</v>
      </c>
      <c r="BR331">
        <f t="shared" si="88"/>
        <v>0</v>
      </c>
      <c r="BS331">
        <f t="shared" si="89"/>
        <v>0</v>
      </c>
      <c r="BT331">
        <f t="shared" si="90"/>
        <v>0</v>
      </c>
      <c r="BU331">
        <f t="shared" si="91"/>
        <v>0</v>
      </c>
      <c r="BV331">
        <f t="shared" si="92"/>
        <v>0</v>
      </c>
      <c r="BW331">
        <f t="shared" si="93"/>
        <v>0</v>
      </c>
      <c r="CA331" t="str">
        <f>IF(132&gt;ROWS(DGArchive[模组]),"",IF(INDEX(DGArchive[模组],132)="","",INDEX(DGArchive[模组],132)))</f>
        <v/>
      </c>
      <c r="CB331" t="str">
        <f>IF(132&gt;ROWS(DGArchive[阶段]),"",IF(INDEX(DGArchive[阶段],132)="","",INDEX(DGArchive[阶段],132)))</f>
        <v/>
      </c>
      <c r="CC331" t="str">
        <f>IF(132&gt;ROWS(DGArchive[游戏内日期]),"",IF(INDEX(DGArchive[游戏内日期],132)="","",INDEX(DGArchive[游戏内日期],132)))</f>
        <v/>
      </c>
      <c r="CD331" t="str">
        <f>IF(132&gt;ROWS(DGArchive[目标]),"",IF(INDEX(DGArchive[目标],132)="","",INDEX(DGArchive[目标],132)))</f>
        <v/>
      </c>
      <c r="CE331" t="str">
        <f>IF(132&gt;ROWS(DGArchive[变更前]),"",IF(INDEX(DGArchive[变更前],132)="","",INDEX(DGArchive[变更前],132)))</f>
        <v/>
      </c>
      <c r="CF331" t="str">
        <f>IF(132&gt;ROWS(DGArchive[增减]),"",IF(INDEX(DGArchive[增减],132)="","",INDEX(DGArchive[增减],132)))</f>
        <v/>
      </c>
      <c r="CG331" t="str">
        <f>IF(132&gt;ROWS(DGArchive[变更后]),"",IF(INDEX(DGArchive[变更后],132)="","",INDEX(DGArchive[变更后],132)))</f>
        <v/>
      </c>
      <c r="CH331" t="str">
        <f>IF(132&gt;ROWS(DGArchive[事件／活动]),"",IF(INDEX(DGArchive[事件／活动],132)="","",INDEX(DGArchive[事件／活动],132)))</f>
        <v/>
      </c>
      <c r="CI331" t="str">
        <f>IF(132&gt;ROWS(DGArchive[记录编号]),"",IF(INDEX(DGArchive[记录编号],132)="","",INDEX(DGArchive[记录编号],132)))</f>
        <v/>
      </c>
      <c r="CL331">
        <f t="shared" si="74"/>
        <v>0</v>
      </c>
      <c r="CM331">
        <f>IF(AND(A331=$AO$5,B331=$AQ$3,H331=1),COUNTIFS($A$200:A331,$AO$5,$B$200:B331,$AQ$3,$H$200:H331,1),0)</f>
        <v>0</v>
      </c>
      <c r="CN331">
        <f>IF(CA331="",132,1001)</f>
        <v>132</v>
      </c>
      <c r="GA331">
        <f t="shared" si="94"/>
        <v>0</v>
      </c>
      <c r="GB331">
        <f t="shared" si="95"/>
        <v>0</v>
      </c>
      <c r="GC331">
        <f>IF(AND(C331="事件记录",H331=1),COUNTIFS($C$200:C331,"事件记录",$H$200:H331,1),0)</f>
        <v>0</v>
      </c>
      <c r="GD331">
        <f t="shared" si="75"/>
        <v>0</v>
      </c>
      <c r="GH331">
        <f>IF(AND(H331=1,A331=$GA$10,B331=$GA$11),COUNTIFS($A$200:A331,$GA$10,$B$200:B331,$GA$11,$H$200:H331,1),0)</f>
        <v>0</v>
      </c>
    </row>
    <row r="332" spans="1:190">
      <c r="A332" t="str">
        <f t="shared" si="66"/>
        <v/>
      </c>
      <c r="B332" t="str">
        <f t="shared" si="67"/>
        <v/>
      </c>
      <c r="C332" t="str">
        <f t="shared" si="68"/>
        <v/>
      </c>
      <c r="D332" t="str">
        <f t="shared" si="69"/>
        <v/>
      </c>
      <c r="E332">
        <f t="shared" si="70"/>
        <v>0</v>
      </c>
      <c r="F332" t="str">
        <f t="shared" si="71"/>
        <v/>
      </c>
      <c r="G332">
        <f t="shared" si="72"/>
        <v>0</v>
      </c>
      <c r="H332">
        <f>IF(AND(G332=1,COUNTIFS($I$200:I332,I332,$G$200:G332,1)=1),1,0)</f>
        <v>0</v>
      </c>
      <c r="I332" t="str">
        <f t="shared" si="73"/>
        <v/>
      </c>
      <c r="BF332">
        <f t="shared" si="76"/>
        <v>0</v>
      </c>
      <c r="BG332">
        <f t="shared" si="77"/>
        <v>0</v>
      </c>
      <c r="BH332">
        <f t="shared" si="78"/>
        <v>0</v>
      </c>
      <c r="BI332">
        <f t="shared" si="79"/>
        <v>0</v>
      </c>
      <c r="BJ332">
        <f t="shared" si="80"/>
        <v>0</v>
      </c>
      <c r="BK332">
        <f t="shared" si="81"/>
        <v>0</v>
      </c>
      <c r="BL332">
        <f t="shared" si="82"/>
        <v>0</v>
      </c>
      <c r="BM332">
        <f t="shared" si="83"/>
        <v>0</v>
      </c>
      <c r="BN332">
        <f t="shared" si="84"/>
        <v>0</v>
      </c>
      <c r="BO332">
        <f t="shared" si="85"/>
        <v>0</v>
      </c>
      <c r="BP332">
        <f t="shared" si="86"/>
        <v>0</v>
      </c>
      <c r="BQ332">
        <f t="shared" si="87"/>
        <v>0</v>
      </c>
      <c r="BR332">
        <f t="shared" si="88"/>
        <v>0</v>
      </c>
      <c r="BS332">
        <f t="shared" si="89"/>
        <v>0</v>
      </c>
      <c r="BT332">
        <f t="shared" si="90"/>
        <v>0</v>
      </c>
      <c r="BU332">
        <f t="shared" si="91"/>
        <v>0</v>
      </c>
      <c r="BV332">
        <f t="shared" si="92"/>
        <v>0</v>
      </c>
      <c r="BW332">
        <f t="shared" si="93"/>
        <v>0</v>
      </c>
      <c r="CA332" t="str">
        <f>IF(133&gt;ROWS(DGArchive[模组]),"",IF(INDEX(DGArchive[模组],133)="","",INDEX(DGArchive[模组],133)))</f>
        <v/>
      </c>
      <c r="CB332" t="str">
        <f>IF(133&gt;ROWS(DGArchive[阶段]),"",IF(INDEX(DGArchive[阶段],133)="","",INDEX(DGArchive[阶段],133)))</f>
        <v/>
      </c>
      <c r="CC332" t="str">
        <f>IF(133&gt;ROWS(DGArchive[游戏内日期]),"",IF(INDEX(DGArchive[游戏内日期],133)="","",INDEX(DGArchive[游戏内日期],133)))</f>
        <v/>
      </c>
      <c r="CD332" t="str">
        <f>IF(133&gt;ROWS(DGArchive[目标]),"",IF(INDEX(DGArchive[目标],133)="","",INDEX(DGArchive[目标],133)))</f>
        <v/>
      </c>
      <c r="CE332" t="str">
        <f>IF(133&gt;ROWS(DGArchive[变更前]),"",IF(INDEX(DGArchive[变更前],133)="","",INDEX(DGArchive[变更前],133)))</f>
        <v/>
      </c>
      <c r="CF332" t="str">
        <f>IF(133&gt;ROWS(DGArchive[增减]),"",IF(INDEX(DGArchive[增减],133)="","",INDEX(DGArchive[增减],133)))</f>
        <v/>
      </c>
      <c r="CG332" t="str">
        <f>IF(133&gt;ROWS(DGArchive[变更后]),"",IF(INDEX(DGArchive[变更后],133)="","",INDEX(DGArchive[变更后],133)))</f>
        <v/>
      </c>
      <c r="CH332" t="str">
        <f>IF(133&gt;ROWS(DGArchive[事件／活动]),"",IF(INDEX(DGArchive[事件／活动],133)="","",INDEX(DGArchive[事件／活动],133)))</f>
        <v/>
      </c>
      <c r="CI332" t="str">
        <f>IF(133&gt;ROWS(DGArchive[记录编号]),"",IF(INDEX(DGArchive[记录编号],133)="","",INDEX(DGArchive[记录编号],133)))</f>
        <v/>
      </c>
      <c r="CL332">
        <f t="shared" si="74"/>
        <v>0</v>
      </c>
      <c r="CM332">
        <f>IF(AND(A332=$AO$5,B332=$AQ$3,H332=1),COUNTIFS($A$200:A332,$AO$5,$B$200:B332,$AQ$3,$H$200:H332,1),0)</f>
        <v>0</v>
      </c>
      <c r="CN332">
        <f>IF(CA332="",133,1001)</f>
        <v>133</v>
      </c>
      <c r="GA332">
        <f t="shared" si="94"/>
        <v>0</v>
      </c>
      <c r="GB332">
        <f t="shared" si="95"/>
        <v>0</v>
      </c>
      <c r="GC332">
        <f>IF(AND(C332="事件记录",H332=1),COUNTIFS($C$200:C332,"事件记录",$H$200:H332,1),0)</f>
        <v>0</v>
      </c>
      <c r="GD332">
        <f t="shared" si="75"/>
        <v>0</v>
      </c>
      <c r="GH332">
        <f>IF(AND(H332=1,A332=$GA$10,B332=$GA$11),COUNTIFS($A$200:A332,$GA$10,$B$200:B332,$GA$11,$H$200:H332,1),0)</f>
        <v>0</v>
      </c>
    </row>
    <row r="333" spans="1:190">
      <c r="A333" t="str">
        <f t="shared" si="66"/>
        <v/>
      </c>
      <c r="B333" t="str">
        <f t="shared" si="67"/>
        <v/>
      </c>
      <c r="C333" t="str">
        <f t="shared" si="68"/>
        <v/>
      </c>
      <c r="D333" t="str">
        <f t="shared" si="69"/>
        <v/>
      </c>
      <c r="E333">
        <f t="shared" si="70"/>
        <v>0</v>
      </c>
      <c r="F333" t="str">
        <f t="shared" si="71"/>
        <v/>
      </c>
      <c r="G333">
        <f t="shared" si="72"/>
        <v>0</v>
      </c>
      <c r="H333">
        <f>IF(AND(G333=1,COUNTIFS($I$200:I333,I333,$G$200:G333,1)=1),1,0)</f>
        <v>0</v>
      </c>
      <c r="I333" t="str">
        <f t="shared" si="73"/>
        <v/>
      </c>
      <c r="BF333">
        <f t="shared" si="76"/>
        <v>0</v>
      </c>
      <c r="BG333">
        <f t="shared" si="77"/>
        <v>0</v>
      </c>
      <c r="BH333">
        <f t="shared" si="78"/>
        <v>0</v>
      </c>
      <c r="BI333">
        <f t="shared" si="79"/>
        <v>0</v>
      </c>
      <c r="BJ333">
        <f t="shared" si="80"/>
        <v>0</v>
      </c>
      <c r="BK333">
        <f t="shared" si="81"/>
        <v>0</v>
      </c>
      <c r="BL333">
        <f t="shared" si="82"/>
        <v>0</v>
      </c>
      <c r="BM333">
        <f t="shared" si="83"/>
        <v>0</v>
      </c>
      <c r="BN333">
        <f t="shared" si="84"/>
        <v>0</v>
      </c>
      <c r="BO333">
        <f t="shared" si="85"/>
        <v>0</v>
      </c>
      <c r="BP333">
        <f t="shared" si="86"/>
        <v>0</v>
      </c>
      <c r="BQ333">
        <f t="shared" si="87"/>
        <v>0</v>
      </c>
      <c r="BR333">
        <f t="shared" si="88"/>
        <v>0</v>
      </c>
      <c r="BS333">
        <f t="shared" si="89"/>
        <v>0</v>
      </c>
      <c r="BT333">
        <f t="shared" si="90"/>
        <v>0</v>
      </c>
      <c r="BU333">
        <f t="shared" si="91"/>
        <v>0</v>
      </c>
      <c r="BV333">
        <f t="shared" si="92"/>
        <v>0</v>
      </c>
      <c r="BW333">
        <f t="shared" si="93"/>
        <v>0</v>
      </c>
      <c r="CA333" t="str">
        <f>IF(134&gt;ROWS(DGArchive[模组]),"",IF(INDEX(DGArchive[模组],134)="","",INDEX(DGArchive[模组],134)))</f>
        <v/>
      </c>
      <c r="CB333" t="str">
        <f>IF(134&gt;ROWS(DGArchive[阶段]),"",IF(INDEX(DGArchive[阶段],134)="","",INDEX(DGArchive[阶段],134)))</f>
        <v/>
      </c>
      <c r="CC333" t="str">
        <f>IF(134&gt;ROWS(DGArchive[游戏内日期]),"",IF(INDEX(DGArchive[游戏内日期],134)="","",INDEX(DGArchive[游戏内日期],134)))</f>
        <v/>
      </c>
      <c r="CD333" t="str">
        <f>IF(134&gt;ROWS(DGArchive[目标]),"",IF(INDEX(DGArchive[目标],134)="","",INDEX(DGArchive[目标],134)))</f>
        <v/>
      </c>
      <c r="CE333" t="str">
        <f>IF(134&gt;ROWS(DGArchive[变更前]),"",IF(INDEX(DGArchive[变更前],134)="","",INDEX(DGArchive[变更前],134)))</f>
        <v/>
      </c>
      <c r="CF333" t="str">
        <f>IF(134&gt;ROWS(DGArchive[增减]),"",IF(INDEX(DGArchive[增减],134)="","",INDEX(DGArchive[增减],134)))</f>
        <v/>
      </c>
      <c r="CG333" t="str">
        <f>IF(134&gt;ROWS(DGArchive[变更后]),"",IF(INDEX(DGArchive[变更后],134)="","",INDEX(DGArchive[变更后],134)))</f>
        <v/>
      </c>
      <c r="CH333" t="str">
        <f>IF(134&gt;ROWS(DGArchive[事件／活动]),"",IF(INDEX(DGArchive[事件／活动],134)="","",INDEX(DGArchive[事件／活动],134)))</f>
        <v/>
      </c>
      <c r="CI333" t="str">
        <f>IF(134&gt;ROWS(DGArchive[记录编号]),"",IF(INDEX(DGArchive[记录编号],134)="","",INDEX(DGArchive[记录编号],134)))</f>
        <v/>
      </c>
      <c r="CL333">
        <f t="shared" si="74"/>
        <v>0</v>
      </c>
      <c r="CM333">
        <f>IF(AND(A333=$AO$5,B333=$AQ$3,H333=1),COUNTIFS($A$200:A333,$AO$5,$B$200:B333,$AQ$3,$H$200:H333,1),0)</f>
        <v>0</v>
      </c>
      <c r="CN333">
        <f>IF(CA333="",134,1001)</f>
        <v>134</v>
      </c>
      <c r="GA333">
        <f t="shared" si="94"/>
        <v>0</v>
      </c>
      <c r="GB333">
        <f t="shared" si="95"/>
        <v>0</v>
      </c>
      <c r="GC333">
        <f>IF(AND(C333="事件记录",H333=1),COUNTIFS($C$200:C333,"事件记录",$H$200:H333,1),0)</f>
        <v>0</v>
      </c>
      <c r="GD333">
        <f t="shared" si="75"/>
        <v>0</v>
      </c>
      <c r="GH333">
        <f>IF(AND(H333=1,A333=$GA$10,B333=$GA$11),COUNTIFS($A$200:A333,$GA$10,$B$200:B333,$GA$11,$H$200:H333,1),0)</f>
        <v>0</v>
      </c>
    </row>
    <row r="334" spans="1:190">
      <c r="A334" t="str">
        <f t="shared" si="66"/>
        <v/>
      </c>
      <c r="B334" t="str">
        <f t="shared" si="67"/>
        <v/>
      </c>
      <c r="C334" t="str">
        <f t="shared" si="68"/>
        <v/>
      </c>
      <c r="D334" t="str">
        <f t="shared" si="69"/>
        <v/>
      </c>
      <c r="E334">
        <f t="shared" si="70"/>
        <v>0</v>
      </c>
      <c r="F334" t="str">
        <f t="shared" si="71"/>
        <v/>
      </c>
      <c r="G334">
        <f t="shared" si="72"/>
        <v>0</v>
      </c>
      <c r="H334">
        <f>IF(AND(G334=1,COUNTIFS($I$200:I334,I334,$G$200:G334,1)=1),1,0)</f>
        <v>0</v>
      </c>
      <c r="I334" t="str">
        <f t="shared" si="73"/>
        <v/>
      </c>
      <c r="BF334">
        <f t="shared" si="76"/>
        <v>0</v>
      </c>
      <c r="BG334">
        <f t="shared" si="77"/>
        <v>0</v>
      </c>
      <c r="BH334">
        <f t="shared" si="78"/>
        <v>0</v>
      </c>
      <c r="BI334">
        <f t="shared" si="79"/>
        <v>0</v>
      </c>
      <c r="BJ334">
        <f t="shared" si="80"/>
        <v>0</v>
      </c>
      <c r="BK334">
        <f t="shared" si="81"/>
        <v>0</v>
      </c>
      <c r="BL334">
        <f t="shared" si="82"/>
        <v>0</v>
      </c>
      <c r="BM334">
        <f t="shared" si="83"/>
        <v>0</v>
      </c>
      <c r="BN334">
        <f t="shared" si="84"/>
        <v>0</v>
      </c>
      <c r="BO334">
        <f t="shared" si="85"/>
        <v>0</v>
      </c>
      <c r="BP334">
        <f t="shared" si="86"/>
        <v>0</v>
      </c>
      <c r="BQ334">
        <f t="shared" si="87"/>
        <v>0</v>
      </c>
      <c r="BR334">
        <f t="shared" si="88"/>
        <v>0</v>
      </c>
      <c r="BS334">
        <f t="shared" si="89"/>
        <v>0</v>
      </c>
      <c r="BT334">
        <f t="shared" si="90"/>
        <v>0</v>
      </c>
      <c r="BU334">
        <f t="shared" si="91"/>
        <v>0</v>
      </c>
      <c r="BV334">
        <f t="shared" si="92"/>
        <v>0</v>
      </c>
      <c r="BW334">
        <f t="shared" si="93"/>
        <v>0</v>
      </c>
      <c r="CA334" t="str">
        <f>IF(135&gt;ROWS(DGArchive[模组]),"",IF(INDEX(DGArchive[模组],135)="","",INDEX(DGArchive[模组],135)))</f>
        <v/>
      </c>
      <c r="CB334" t="str">
        <f>IF(135&gt;ROWS(DGArchive[阶段]),"",IF(INDEX(DGArchive[阶段],135)="","",INDEX(DGArchive[阶段],135)))</f>
        <v/>
      </c>
      <c r="CC334" t="str">
        <f>IF(135&gt;ROWS(DGArchive[游戏内日期]),"",IF(INDEX(DGArchive[游戏内日期],135)="","",INDEX(DGArchive[游戏内日期],135)))</f>
        <v/>
      </c>
      <c r="CD334" t="str">
        <f>IF(135&gt;ROWS(DGArchive[目标]),"",IF(INDEX(DGArchive[目标],135)="","",INDEX(DGArchive[目标],135)))</f>
        <v/>
      </c>
      <c r="CE334" t="str">
        <f>IF(135&gt;ROWS(DGArchive[变更前]),"",IF(INDEX(DGArchive[变更前],135)="","",INDEX(DGArchive[变更前],135)))</f>
        <v/>
      </c>
      <c r="CF334" t="str">
        <f>IF(135&gt;ROWS(DGArchive[增减]),"",IF(INDEX(DGArchive[增减],135)="","",INDEX(DGArchive[增减],135)))</f>
        <v/>
      </c>
      <c r="CG334" t="str">
        <f>IF(135&gt;ROWS(DGArchive[变更后]),"",IF(INDEX(DGArchive[变更后],135)="","",INDEX(DGArchive[变更后],135)))</f>
        <v/>
      </c>
      <c r="CH334" t="str">
        <f>IF(135&gt;ROWS(DGArchive[事件／活动]),"",IF(INDEX(DGArchive[事件／活动],135)="","",INDEX(DGArchive[事件／活动],135)))</f>
        <v/>
      </c>
      <c r="CI334" t="str">
        <f>IF(135&gt;ROWS(DGArchive[记录编号]),"",IF(INDEX(DGArchive[记录编号],135)="","",INDEX(DGArchive[记录编号],135)))</f>
        <v/>
      </c>
      <c r="CL334">
        <f t="shared" si="74"/>
        <v>0</v>
      </c>
      <c r="CM334">
        <f>IF(AND(A334=$AO$5,B334=$AQ$3,H334=1),COUNTIFS($A$200:A334,$AO$5,$B$200:B334,$AQ$3,$H$200:H334,1),0)</f>
        <v>0</v>
      </c>
      <c r="CN334">
        <f>IF(CA334="",135,1001)</f>
        <v>135</v>
      </c>
      <c r="GA334">
        <f t="shared" si="94"/>
        <v>0</v>
      </c>
      <c r="GB334">
        <f t="shared" si="95"/>
        <v>0</v>
      </c>
      <c r="GC334">
        <f>IF(AND(C334="事件记录",H334=1),COUNTIFS($C$200:C334,"事件记录",$H$200:H334,1),0)</f>
        <v>0</v>
      </c>
      <c r="GD334">
        <f t="shared" si="75"/>
        <v>0</v>
      </c>
      <c r="GH334">
        <f>IF(AND(H334=1,A334=$GA$10,B334=$GA$11),COUNTIFS($A$200:A334,$GA$10,$B$200:B334,$GA$11,$H$200:H334,1),0)</f>
        <v>0</v>
      </c>
    </row>
    <row r="335" spans="1:190">
      <c r="A335" t="str">
        <f t="shared" si="66"/>
        <v/>
      </c>
      <c r="B335" t="str">
        <f t="shared" si="67"/>
        <v/>
      </c>
      <c r="C335" t="str">
        <f t="shared" si="68"/>
        <v/>
      </c>
      <c r="D335" t="str">
        <f t="shared" si="69"/>
        <v/>
      </c>
      <c r="E335">
        <f t="shared" si="70"/>
        <v>0</v>
      </c>
      <c r="F335" t="str">
        <f t="shared" si="71"/>
        <v/>
      </c>
      <c r="G335">
        <f t="shared" si="72"/>
        <v>0</v>
      </c>
      <c r="H335">
        <f>IF(AND(G335=1,COUNTIFS($I$200:I335,I335,$G$200:G335,1)=1),1,0)</f>
        <v>0</v>
      </c>
      <c r="I335" t="str">
        <f t="shared" si="73"/>
        <v/>
      </c>
      <c r="BF335">
        <f t="shared" si="76"/>
        <v>0</v>
      </c>
      <c r="BG335">
        <f t="shared" si="77"/>
        <v>0</v>
      </c>
      <c r="BH335">
        <f t="shared" si="78"/>
        <v>0</v>
      </c>
      <c r="BI335">
        <f t="shared" si="79"/>
        <v>0</v>
      </c>
      <c r="BJ335">
        <f t="shared" si="80"/>
        <v>0</v>
      </c>
      <c r="BK335">
        <f t="shared" si="81"/>
        <v>0</v>
      </c>
      <c r="BL335">
        <f t="shared" si="82"/>
        <v>0</v>
      </c>
      <c r="BM335">
        <f t="shared" si="83"/>
        <v>0</v>
      </c>
      <c r="BN335">
        <f t="shared" si="84"/>
        <v>0</v>
      </c>
      <c r="BO335">
        <f t="shared" si="85"/>
        <v>0</v>
      </c>
      <c r="BP335">
        <f t="shared" si="86"/>
        <v>0</v>
      </c>
      <c r="BQ335">
        <f t="shared" si="87"/>
        <v>0</v>
      </c>
      <c r="BR335">
        <f t="shared" si="88"/>
        <v>0</v>
      </c>
      <c r="BS335">
        <f t="shared" si="89"/>
        <v>0</v>
      </c>
      <c r="BT335">
        <f t="shared" si="90"/>
        <v>0</v>
      </c>
      <c r="BU335">
        <f t="shared" si="91"/>
        <v>0</v>
      </c>
      <c r="BV335">
        <f t="shared" si="92"/>
        <v>0</v>
      </c>
      <c r="BW335">
        <f t="shared" si="93"/>
        <v>0</v>
      </c>
      <c r="CA335" t="str">
        <f>IF(136&gt;ROWS(DGArchive[模组]),"",IF(INDEX(DGArchive[模组],136)="","",INDEX(DGArchive[模组],136)))</f>
        <v/>
      </c>
      <c r="CB335" t="str">
        <f>IF(136&gt;ROWS(DGArchive[阶段]),"",IF(INDEX(DGArchive[阶段],136)="","",INDEX(DGArchive[阶段],136)))</f>
        <v/>
      </c>
      <c r="CC335" t="str">
        <f>IF(136&gt;ROWS(DGArchive[游戏内日期]),"",IF(INDEX(DGArchive[游戏内日期],136)="","",INDEX(DGArchive[游戏内日期],136)))</f>
        <v/>
      </c>
      <c r="CD335" t="str">
        <f>IF(136&gt;ROWS(DGArchive[目标]),"",IF(INDEX(DGArchive[目标],136)="","",INDEX(DGArchive[目标],136)))</f>
        <v/>
      </c>
      <c r="CE335" t="str">
        <f>IF(136&gt;ROWS(DGArchive[变更前]),"",IF(INDEX(DGArchive[变更前],136)="","",INDEX(DGArchive[变更前],136)))</f>
        <v/>
      </c>
      <c r="CF335" t="str">
        <f>IF(136&gt;ROWS(DGArchive[增减]),"",IF(INDEX(DGArchive[增减],136)="","",INDEX(DGArchive[增减],136)))</f>
        <v/>
      </c>
      <c r="CG335" t="str">
        <f>IF(136&gt;ROWS(DGArchive[变更后]),"",IF(INDEX(DGArchive[变更后],136)="","",INDEX(DGArchive[变更后],136)))</f>
        <v/>
      </c>
      <c r="CH335" t="str">
        <f>IF(136&gt;ROWS(DGArchive[事件／活动]),"",IF(INDEX(DGArchive[事件／活动],136)="","",INDEX(DGArchive[事件／活动],136)))</f>
        <v/>
      </c>
      <c r="CI335" t="str">
        <f>IF(136&gt;ROWS(DGArchive[记录编号]),"",IF(INDEX(DGArchive[记录编号],136)="","",INDEX(DGArchive[记录编号],136)))</f>
        <v/>
      </c>
      <c r="CL335">
        <f t="shared" si="74"/>
        <v>0</v>
      </c>
      <c r="CM335">
        <f>IF(AND(A335=$AO$5,B335=$AQ$3,H335=1),COUNTIFS($A$200:A335,$AO$5,$B$200:B335,$AQ$3,$H$200:H335,1),0)</f>
        <v>0</v>
      </c>
      <c r="CN335">
        <f>IF(CA335="",136,1001)</f>
        <v>136</v>
      </c>
      <c r="GA335">
        <f t="shared" si="94"/>
        <v>0</v>
      </c>
      <c r="GB335">
        <f t="shared" si="95"/>
        <v>0</v>
      </c>
      <c r="GC335">
        <f>IF(AND(C335="事件记录",H335=1),COUNTIFS($C$200:C335,"事件记录",$H$200:H335,1),0)</f>
        <v>0</v>
      </c>
      <c r="GD335">
        <f t="shared" si="75"/>
        <v>0</v>
      </c>
      <c r="GH335">
        <f>IF(AND(H335=1,A335=$GA$10,B335=$GA$11),COUNTIFS($A$200:A335,$GA$10,$B$200:B335,$GA$11,$H$200:H335,1),0)</f>
        <v>0</v>
      </c>
    </row>
    <row r="336" spans="1:190">
      <c r="A336" t="str">
        <f t="shared" si="66"/>
        <v/>
      </c>
      <c r="B336" t="str">
        <f t="shared" si="67"/>
        <v/>
      </c>
      <c r="C336" t="str">
        <f t="shared" si="68"/>
        <v/>
      </c>
      <c r="D336" t="str">
        <f t="shared" si="69"/>
        <v/>
      </c>
      <c r="E336">
        <f t="shared" si="70"/>
        <v>0</v>
      </c>
      <c r="F336" t="str">
        <f t="shared" si="71"/>
        <v/>
      </c>
      <c r="G336">
        <f t="shared" si="72"/>
        <v>0</v>
      </c>
      <c r="H336">
        <f>IF(AND(G336=1,COUNTIFS($I$200:I336,I336,$G$200:G336,1)=1),1,0)</f>
        <v>0</v>
      </c>
      <c r="I336" t="str">
        <f t="shared" si="73"/>
        <v/>
      </c>
      <c r="BF336">
        <f t="shared" si="76"/>
        <v>0</v>
      </c>
      <c r="BG336">
        <f t="shared" si="77"/>
        <v>0</v>
      </c>
      <c r="BH336">
        <f t="shared" si="78"/>
        <v>0</v>
      </c>
      <c r="BI336">
        <f t="shared" si="79"/>
        <v>0</v>
      </c>
      <c r="BJ336">
        <f t="shared" si="80"/>
        <v>0</v>
      </c>
      <c r="BK336">
        <f t="shared" si="81"/>
        <v>0</v>
      </c>
      <c r="BL336">
        <f t="shared" si="82"/>
        <v>0</v>
      </c>
      <c r="BM336">
        <f t="shared" si="83"/>
        <v>0</v>
      </c>
      <c r="BN336">
        <f t="shared" si="84"/>
        <v>0</v>
      </c>
      <c r="BO336">
        <f t="shared" si="85"/>
        <v>0</v>
      </c>
      <c r="BP336">
        <f t="shared" si="86"/>
        <v>0</v>
      </c>
      <c r="BQ336">
        <f t="shared" si="87"/>
        <v>0</v>
      </c>
      <c r="BR336">
        <f t="shared" si="88"/>
        <v>0</v>
      </c>
      <c r="BS336">
        <f t="shared" si="89"/>
        <v>0</v>
      </c>
      <c r="BT336">
        <f t="shared" si="90"/>
        <v>0</v>
      </c>
      <c r="BU336">
        <f t="shared" si="91"/>
        <v>0</v>
      </c>
      <c r="BV336">
        <f t="shared" si="92"/>
        <v>0</v>
      </c>
      <c r="BW336">
        <f t="shared" si="93"/>
        <v>0</v>
      </c>
      <c r="CA336" t="str">
        <f>IF(137&gt;ROWS(DGArchive[模组]),"",IF(INDEX(DGArchive[模组],137)="","",INDEX(DGArchive[模组],137)))</f>
        <v/>
      </c>
      <c r="CB336" t="str">
        <f>IF(137&gt;ROWS(DGArchive[阶段]),"",IF(INDEX(DGArchive[阶段],137)="","",INDEX(DGArchive[阶段],137)))</f>
        <v/>
      </c>
      <c r="CC336" t="str">
        <f>IF(137&gt;ROWS(DGArchive[游戏内日期]),"",IF(INDEX(DGArchive[游戏内日期],137)="","",INDEX(DGArchive[游戏内日期],137)))</f>
        <v/>
      </c>
      <c r="CD336" t="str">
        <f>IF(137&gt;ROWS(DGArchive[目标]),"",IF(INDEX(DGArchive[目标],137)="","",INDEX(DGArchive[目标],137)))</f>
        <v/>
      </c>
      <c r="CE336" t="str">
        <f>IF(137&gt;ROWS(DGArchive[变更前]),"",IF(INDEX(DGArchive[变更前],137)="","",INDEX(DGArchive[变更前],137)))</f>
        <v/>
      </c>
      <c r="CF336" t="str">
        <f>IF(137&gt;ROWS(DGArchive[增减]),"",IF(INDEX(DGArchive[增减],137)="","",INDEX(DGArchive[增减],137)))</f>
        <v/>
      </c>
      <c r="CG336" t="str">
        <f>IF(137&gt;ROWS(DGArchive[变更后]),"",IF(INDEX(DGArchive[变更后],137)="","",INDEX(DGArchive[变更后],137)))</f>
        <v/>
      </c>
      <c r="CH336" t="str">
        <f>IF(137&gt;ROWS(DGArchive[事件／活动]),"",IF(INDEX(DGArchive[事件／活动],137)="","",INDEX(DGArchive[事件／活动],137)))</f>
        <v/>
      </c>
      <c r="CI336" t="str">
        <f>IF(137&gt;ROWS(DGArchive[记录编号]),"",IF(INDEX(DGArchive[记录编号],137)="","",INDEX(DGArchive[记录编号],137)))</f>
        <v/>
      </c>
      <c r="CL336">
        <f t="shared" si="74"/>
        <v>0</v>
      </c>
      <c r="CM336">
        <f>IF(AND(A336=$AO$5,B336=$AQ$3,H336=1),COUNTIFS($A$200:A336,$AO$5,$B$200:B336,$AQ$3,$H$200:H336,1),0)</f>
        <v>0</v>
      </c>
      <c r="CN336">
        <f>IF(CA336="",137,1001)</f>
        <v>137</v>
      </c>
      <c r="GA336">
        <f t="shared" si="94"/>
        <v>0</v>
      </c>
      <c r="GB336">
        <f t="shared" si="95"/>
        <v>0</v>
      </c>
      <c r="GC336">
        <f>IF(AND(C336="事件记录",H336=1),COUNTIFS($C$200:C336,"事件记录",$H$200:H336,1),0)</f>
        <v>0</v>
      </c>
      <c r="GD336">
        <f t="shared" si="75"/>
        <v>0</v>
      </c>
      <c r="GH336">
        <f>IF(AND(H336=1,A336=$GA$10,B336=$GA$11),COUNTIFS($A$200:A336,$GA$10,$B$200:B336,$GA$11,$H$200:H336,1),0)</f>
        <v>0</v>
      </c>
    </row>
    <row r="337" spans="1:190">
      <c r="A337" t="str">
        <f t="shared" si="66"/>
        <v/>
      </c>
      <c r="B337" t="str">
        <f t="shared" si="67"/>
        <v/>
      </c>
      <c r="C337" t="str">
        <f t="shared" si="68"/>
        <v/>
      </c>
      <c r="D337" t="str">
        <f t="shared" si="69"/>
        <v/>
      </c>
      <c r="E337">
        <f t="shared" si="70"/>
        <v>0</v>
      </c>
      <c r="F337" t="str">
        <f t="shared" si="71"/>
        <v/>
      </c>
      <c r="G337">
        <f t="shared" si="72"/>
        <v>0</v>
      </c>
      <c r="H337">
        <f>IF(AND(G337=1,COUNTIFS($I$200:I337,I337,$G$200:G337,1)=1),1,0)</f>
        <v>0</v>
      </c>
      <c r="I337" t="str">
        <f t="shared" si="73"/>
        <v/>
      </c>
      <c r="BF337">
        <f t="shared" si="76"/>
        <v>0</v>
      </c>
      <c r="BG337">
        <f t="shared" si="77"/>
        <v>0</v>
      </c>
      <c r="BH337">
        <f t="shared" si="78"/>
        <v>0</v>
      </c>
      <c r="BI337">
        <f t="shared" si="79"/>
        <v>0</v>
      </c>
      <c r="BJ337">
        <f t="shared" si="80"/>
        <v>0</v>
      </c>
      <c r="BK337">
        <f t="shared" si="81"/>
        <v>0</v>
      </c>
      <c r="BL337">
        <f t="shared" si="82"/>
        <v>0</v>
      </c>
      <c r="BM337">
        <f t="shared" si="83"/>
        <v>0</v>
      </c>
      <c r="BN337">
        <f t="shared" si="84"/>
        <v>0</v>
      </c>
      <c r="BO337">
        <f t="shared" si="85"/>
        <v>0</v>
      </c>
      <c r="BP337">
        <f t="shared" si="86"/>
        <v>0</v>
      </c>
      <c r="BQ337">
        <f t="shared" si="87"/>
        <v>0</v>
      </c>
      <c r="BR337">
        <f t="shared" si="88"/>
        <v>0</v>
      </c>
      <c r="BS337">
        <f t="shared" si="89"/>
        <v>0</v>
      </c>
      <c r="BT337">
        <f t="shared" si="90"/>
        <v>0</v>
      </c>
      <c r="BU337">
        <f t="shared" si="91"/>
        <v>0</v>
      </c>
      <c r="BV337">
        <f t="shared" si="92"/>
        <v>0</v>
      </c>
      <c r="BW337">
        <f t="shared" si="93"/>
        <v>0</v>
      </c>
      <c r="CA337" t="str">
        <f>IF(138&gt;ROWS(DGArchive[模组]),"",IF(INDEX(DGArchive[模组],138)="","",INDEX(DGArchive[模组],138)))</f>
        <v/>
      </c>
      <c r="CB337" t="str">
        <f>IF(138&gt;ROWS(DGArchive[阶段]),"",IF(INDEX(DGArchive[阶段],138)="","",INDEX(DGArchive[阶段],138)))</f>
        <v/>
      </c>
      <c r="CC337" t="str">
        <f>IF(138&gt;ROWS(DGArchive[游戏内日期]),"",IF(INDEX(DGArchive[游戏内日期],138)="","",INDEX(DGArchive[游戏内日期],138)))</f>
        <v/>
      </c>
      <c r="CD337" t="str">
        <f>IF(138&gt;ROWS(DGArchive[目标]),"",IF(INDEX(DGArchive[目标],138)="","",INDEX(DGArchive[目标],138)))</f>
        <v/>
      </c>
      <c r="CE337" t="str">
        <f>IF(138&gt;ROWS(DGArchive[变更前]),"",IF(INDEX(DGArchive[变更前],138)="","",INDEX(DGArchive[变更前],138)))</f>
        <v/>
      </c>
      <c r="CF337" t="str">
        <f>IF(138&gt;ROWS(DGArchive[增减]),"",IF(INDEX(DGArchive[增减],138)="","",INDEX(DGArchive[增减],138)))</f>
        <v/>
      </c>
      <c r="CG337" t="str">
        <f>IF(138&gt;ROWS(DGArchive[变更后]),"",IF(INDEX(DGArchive[变更后],138)="","",INDEX(DGArchive[变更后],138)))</f>
        <v/>
      </c>
      <c r="CH337" t="str">
        <f>IF(138&gt;ROWS(DGArchive[事件／活动]),"",IF(INDEX(DGArchive[事件／活动],138)="","",INDEX(DGArchive[事件／活动],138)))</f>
        <v/>
      </c>
      <c r="CI337" t="str">
        <f>IF(138&gt;ROWS(DGArchive[记录编号]),"",IF(INDEX(DGArchive[记录编号],138)="","",INDEX(DGArchive[记录编号],138)))</f>
        <v/>
      </c>
      <c r="CL337">
        <f t="shared" si="74"/>
        <v>0</v>
      </c>
      <c r="CM337">
        <f>IF(AND(A337=$AO$5,B337=$AQ$3,H337=1),COUNTIFS($A$200:A337,$AO$5,$B$200:B337,$AQ$3,$H$200:H337,1),0)</f>
        <v>0</v>
      </c>
      <c r="CN337">
        <f>IF(CA337="",138,1001)</f>
        <v>138</v>
      </c>
      <c r="GA337">
        <f t="shared" si="94"/>
        <v>0</v>
      </c>
      <c r="GB337">
        <f t="shared" si="95"/>
        <v>0</v>
      </c>
      <c r="GC337">
        <f>IF(AND(C337="事件记录",H337=1),COUNTIFS($C$200:C337,"事件记录",$H$200:H337,1),0)</f>
        <v>0</v>
      </c>
      <c r="GD337">
        <f t="shared" si="75"/>
        <v>0</v>
      </c>
      <c r="GH337">
        <f>IF(AND(H337=1,A337=$GA$10,B337=$GA$11),COUNTIFS($A$200:A337,$GA$10,$B$200:B337,$GA$11,$H$200:H337,1),0)</f>
        <v>0</v>
      </c>
    </row>
    <row r="338" spans="1:190">
      <c r="A338" t="str">
        <f t="shared" si="66"/>
        <v/>
      </c>
      <c r="B338" t="str">
        <f t="shared" si="67"/>
        <v/>
      </c>
      <c r="C338" t="str">
        <f t="shared" si="68"/>
        <v/>
      </c>
      <c r="D338" t="str">
        <f t="shared" si="69"/>
        <v/>
      </c>
      <c r="E338">
        <f t="shared" si="70"/>
        <v>0</v>
      </c>
      <c r="F338" t="str">
        <f t="shared" si="71"/>
        <v/>
      </c>
      <c r="G338">
        <f t="shared" si="72"/>
        <v>0</v>
      </c>
      <c r="H338">
        <f>IF(AND(G338=1,COUNTIFS($I$200:I338,I338,$G$200:G338,1)=1),1,0)</f>
        <v>0</v>
      </c>
      <c r="I338" t="str">
        <f t="shared" si="73"/>
        <v/>
      </c>
      <c r="BF338">
        <f t="shared" si="76"/>
        <v>0</v>
      </c>
      <c r="BG338">
        <f t="shared" si="77"/>
        <v>0</v>
      </c>
      <c r="BH338">
        <f t="shared" si="78"/>
        <v>0</v>
      </c>
      <c r="BI338">
        <f t="shared" si="79"/>
        <v>0</v>
      </c>
      <c r="BJ338">
        <f t="shared" si="80"/>
        <v>0</v>
      </c>
      <c r="BK338">
        <f t="shared" si="81"/>
        <v>0</v>
      </c>
      <c r="BL338">
        <f t="shared" si="82"/>
        <v>0</v>
      </c>
      <c r="BM338">
        <f t="shared" si="83"/>
        <v>0</v>
      </c>
      <c r="BN338">
        <f t="shared" si="84"/>
        <v>0</v>
      </c>
      <c r="BO338">
        <f t="shared" si="85"/>
        <v>0</v>
      </c>
      <c r="BP338">
        <f t="shared" si="86"/>
        <v>0</v>
      </c>
      <c r="BQ338">
        <f t="shared" si="87"/>
        <v>0</v>
      </c>
      <c r="BR338">
        <f t="shared" si="88"/>
        <v>0</v>
      </c>
      <c r="BS338">
        <f t="shared" si="89"/>
        <v>0</v>
      </c>
      <c r="BT338">
        <f t="shared" si="90"/>
        <v>0</v>
      </c>
      <c r="BU338">
        <f t="shared" si="91"/>
        <v>0</v>
      </c>
      <c r="BV338">
        <f t="shared" si="92"/>
        <v>0</v>
      </c>
      <c r="BW338">
        <f t="shared" si="93"/>
        <v>0</v>
      </c>
      <c r="CA338" t="str">
        <f>IF(139&gt;ROWS(DGArchive[模组]),"",IF(INDEX(DGArchive[模组],139)="","",INDEX(DGArchive[模组],139)))</f>
        <v/>
      </c>
      <c r="CB338" t="str">
        <f>IF(139&gt;ROWS(DGArchive[阶段]),"",IF(INDEX(DGArchive[阶段],139)="","",INDEX(DGArchive[阶段],139)))</f>
        <v/>
      </c>
      <c r="CC338" t="str">
        <f>IF(139&gt;ROWS(DGArchive[游戏内日期]),"",IF(INDEX(DGArchive[游戏内日期],139)="","",INDEX(DGArchive[游戏内日期],139)))</f>
        <v/>
      </c>
      <c r="CD338" t="str">
        <f>IF(139&gt;ROWS(DGArchive[目标]),"",IF(INDEX(DGArchive[目标],139)="","",INDEX(DGArchive[目标],139)))</f>
        <v/>
      </c>
      <c r="CE338" t="str">
        <f>IF(139&gt;ROWS(DGArchive[变更前]),"",IF(INDEX(DGArchive[变更前],139)="","",INDEX(DGArchive[变更前],139)))</f>
        <v/>
      </c>
      <c r="CF338" t="str">
        <f>IF(139&gt;ROWS(DGArchive[增减]),"",IF(INDEX(DGArchive[增减],139)="","",INDEX(DGArchive[增减],139)))</f>
        <v/>
      </c>
      <c r="CG338" t="str">
        <f>IF(139&gt;ROWS(DGArchive[变更后]),"",IF(INDEX(DGArchive[变更后],139)="","",INDEX(DGArchive[变更后],139)))</f>
        <v/>
      </c>
      <c r="CH338" t="str">
        <f>IF(139&gt;ROWS(DGArchive[事件／活动]),"",IF(INDEX(DGArchive[事件／活动],139)="","",INDEX(DGArchive[事件／活动],139)))</f>
        <v/>
      </c>
      <c r="CI338" t="str">
        <f>IF(139&gt;ROWS(DGArchive[记录编号]),"",IF(INDEX(DGArchive[记录编号],139)="","",INDEX(DGArchive[记录编号],139)))</f>
        <v/>
      </c>
      <c r="CL338">
        <f t="shared" si="74"/>
        <v>0</v>
      </c>
      <c r="CM338">
        <f>IF(AND(A338=$AO$5,B338=$AQ$3,H338=1),COUNTIFS($A$200:A338,$AO$5,$B$200:B338,$AQ$3,$H$200:H338,1),0)</f>
        <v>0</v>
      </c>
      <c r="CN338">
        <f>IF(CA338="",139,1001)</f>
        <v>139</v>
      </c>
      <c r="GA338">
        <f t="shared" si="94"/>
        <v>0</v>
      </c>
      <c r="GB338">
        <f t="shared" si="95"/>
        <v>0</v>
      </c>
      <c r="GC338">
        <f>IF(AND(C338="事件记录",H338=1),COUNTIFS($C$200:C338,"事件记录",$H$200:H338,1),0)</f>
        <v>0</v>
      </c>
      <c r="GD338">
        <f t="shared" si="75"/>
        <v>0</v>
      </c>
      <c r="GH338">
        <f>IF(AND(H338=1,A338=$GA$10,B338=$GA$11),COUNTIFS($A$200:A338,$GA$10,$B$200:B338,$GA$11,$H$200:H338,1),0)</f>
        <v>0</v>
      </c>
    </row>
    <row r="339" spans="1:190">
      <c r="A339" t="str">
        <f t="shared" si="66"/>
        <v/>
      </c>
      <c r="B339" t="str">
        <f t="shared" si="67"/>
        <v/>
      </c>
      <c r="C339" t="str">
        <f t="shared" si="68"/>
        <v/>
      </c>
      <c r="D339" t="str">
        <f t="shared" si="69"/>
        <v/>
      </c>
      <c r="E339">
        <f t="shared" si="70"/>
        <v>0</v>
      </c>
      <c r="F339" t="str">
        <f t="shared" si="71"/>
        <v/>
      </c>
      <c r="G339">
        <f t="shared" si="72"/>
        <v>0</v>
      </c>
      <c r="H339">
        <f>IF(AND(G339=1,COUNTIFS($I$200:I339,I339,$G$200:G339,1)=1),1,0)</f>
        <v>0</v>
      </c>
      <c r="I339" t="str">
        <f t="shared" si="73"/>
        <v/>
      </c>
      <c r="BF339">
        <f t="shared" si="76"/>
        <v>0</v>
      </c>
      <c r="BG339">
        <f t="shared" si="77"/>
        <v>0</v>
      </c>
      <c r="BH339">
        <f t="shared" si="78"/>
        <v>0</v>
      </c>
      <c r="BI339">
        <f t="shared" si="79"/>
        <v>0</v>
      </c>
      <c r="BJ339">
        <f t="shared" si="80"/>
        <v>0</v>
      </c>
      <c r="BK339">
        <f t="shared" si="81"/>
        <v>0</v>
      </c>
      <c r="BL339">
        <f t="shared" si="82"/>
        <v>0</v>
      </c>
      <c r="BM339">
        <f t="shared" si="83"/>
        <v>0</v>
      </c>
      <c r="BN339">
        <f t="shared" si="84"/>
        <v>0</v>
      </c>
      <c r="BO339">
        <f t="shared" si="85"/>
        <v>0</v>
      </c>
      <c r="BP339">
        <f t="shared" si="86"/>
        <v>0</v>
      </c>
      <c r="BQ339">
        <f t="shared" si="87"/>
        <v>0</v>
      </c>
      <c r="BR339">
        <f t="shared" si="88"/>
        <v>0</v>
      </c>
      <c r="BS339">
        <f t="shared" si="89"/>
        <v>0</v>
      </c>
      <c r="BT339">
        <f t="shared" si="90"/>
        <v>0</v>
      </c>
      <c r="BU339">
        <f t="shared" si="91"/>
        <v>0</v>
      </c>
      <c r="BV339">
        <f t="shared" si="92"/>
        <v>0</v>
      </c>
      <c r="BW339">
        <f t="shared" si="93"/>
        <v>0</v>
      </c>
      <c r="CA339" t="str">
        <f>IF(140&gt;ROWS(DGArchive[模组]),"",IF(INDEX(DGArchive[模组],140)="","",INDEX(DGArchive[模组],140)))</f>
        <v/>
      </c>
      <c r="CB339" t="str">
        <f>IF(140&gt;ROWS(DGArchive[阶段]),"",IF(INDEX(DGArchive[阶段],140)="","",INDEX(DGArchive[阶段],140)))</f>
        <v/>
      </c>
      <c r="CC339" t="str">
        <f>IF(140&gt;ROWS(DGArchive[游戏内日期]),"",IF(INDEX(DGArchive[游戏内日期],140)="","",INDEX(DGArchive[游戏内日期],140)))</f>
        <v/>
      </c>
      <c r="CD339" t="str">
        <f>IF(140&gt;ROWS(DGArchive[目标]),"",IF(INDEX(DGArchive[目标],140)="","",INDEX(DGArchive[目标],140)))</f>
        <v/>
      </c>
      <c r="CE339" t="str">
        <f>IF(140&gt;ROWS(DGArchive[变更前]),"",IF(INDEX(DGArchive[变更前],140)="","",INDEX(DGArchive[变更前],140)))</f>
        <v/>
      </c>
      <c r="CF339" t="str">
        <f>IF(140&gt;ROWS(DGArchive[增减]),"",IF(INDEX(DGArchive[增减],140)="","",INDEX(DGArchive[增减],140)))</f>
        <v/>
      </c>
      <c r="CG339" t="str">
        <f>IF(140&gt;ROWS(DGArchive[变更后]),"",IF(INDEX(DGArchive[变更后],140)="","",INDEX(DGArchive[变更后],140)))</f>
        <v/>
      </c>
      <c r="CH339" t="str">
        <f>IF(140&gt;ROWS(DGArchive[事件／活动]),"",IF(INDEX(DGArchive[事件／活动],140)="","",INDEX(DGArchive[事件／活动],140)))</f>
        <v/>
      </c>
      <c r="CI339" t="str">
        <f>IF(140&gt;ROWS(DGArchive[记录编号]),"",IF(INDEX(DGArchive[记录编号],140)="","",INDEX(DGArchive[记录编号],140)))</f>
        <v/>
      </c>
      <c r="CL339">
        <f t="shared" si="74"/>
        <v>0</v>
      </c>
      <c r="CM339">
        <f>IF(AND(A339=$AO$5,B339=$AQ$3,H339=1),COUNTIFS($A$200:A339,$AO$5,$B$200:B339,$AQ$3,$H$200:H339,1),0)</f>
        <v>0</v>
      </c>
      <c r="CN339">
        <f>IF(CA339="",140,1001)</f>
        <v>140</v>
      </c>
      <c r="GA339">
        <f t="shared" si="94"/>
        <v>0</v>
      </c>
      <c r="GB339">
        <f t="shared" si="95"/>
        <v>0</v>
      </c>
      <c r="GC339">
        <f>IF(AND(C339="事件记录",H339=1),COUNTIFS($C$200:C339,"事件记录",$H$200:H339,1),0)</f>
        <v>0</v>
      </c>
      <c r="GD339">
        <f t="shared" si="75"/>
        <v>0</v>
      </c>
      <c r="GH339">
        <f>IF(AND(H339=1,A339=$GA$10,B339=$GA$11),COUNTIFS($A$200:A339,$GA$10,$B$200:B339,$GA$11,$H$200:H339,1),0)</f>
        <v>0</v>
      </c>
    </row>
    <row r="340" spans="1:190">
      <c r="A340" t="str">
        <f t="shared" si="66"/>
        <v/>
      </c>
      <c r="B340" t="str">
        <f t="shared" si="67"/>
        <v/>
      </c>
      <c r="C340" t="str">
        <f t="shared" si="68"/>
        <v/>
      </c>
      <c r="D340" t="str">
        <f t="shared" si="69"/>
        <v/>
      </c>
      <c r="E340">
        <f t="shared" si="70"/>
        <v>0</v>
      </c>
      <c r="F340" t="str">
        <f t="shared" si="71"/>
        <v/>
      </c>
      <c r="G340">
        <f t="shared" si="72"/>
        <v>0</v>
      </c>
      <c r="H340">
        <f>IF(AND(G340=1,COUNTIFS($I$200:I340,I340,$G$200:G340,1)=1),1,0)</f>
        <v>0</v>
      </c>
      <c r="I340" t="str">
        <f t="shared" si="73"/>
        <v/>
      </c>
      <c r="BF340">
        <f t="shared" si="76"/>
        <v>0</v>
      </c>
      <c r="BG340">
        <f t="shared" si="77"/>
        <v>0</v>
      </c>
      <c r="BH340">
        <f t="shared" si="78"/>
        <v>0</v>
      </c>
      <c r="BI340">
        <f t="shared" si="79"/>
        <v>0</v>
      </c>
      <c r="BJ340">
        <f t="shared" si="80"/>
        <v>0</v>
      </c>
      <c r="BK340">
        <f t="shared" si="81"/>
        <v>0</v>
      </c>
      <c r="BL340">
        <f t="shared" si="82"/>
        <v>0</v>
      </c>
      <c r="BM340">
        <f t="shared" si="83"/>
        <v>0</v>
      </c>
      <c r="BN340">
        <f t="shared" si="84"/>
        <v>0</v>
      </c>
      <c r="BO340">
        <f t="shared" si="85"/>
        <v>0</v>
      </c>
      <c r="BP340">
        <f t="shared" si="86"/>
        <v>0</v>
      </c>
      <c r="BQ340">
        <f t="shared" si="87"/>
        <v>0</v>
      </c>
      <c r="BR340">
        <f t="shared" si="88"/>
        <v>0</v>
      </c>
      <c r="BS340">
        <f t="shared" si="89"/>
        <v>0</v>
      </c>
      <c r="BT340">
        <f t="shared" si="90"/>
        <v>0</v>
      </c>
      <c r="BU340">
        <f t="shared" si="91"/>
        <v>0</v>
      </c>
      <c r="BV340">
        <f t="shared" si="92"/>
        <v>0</v>
      </c>
      <c r="BW340">
        <f t="shared" si="93"/>
        <v>0</v>
      </c>
      <c r="CA340" t="str">
        <f>IF(141&gt;ROWS(DGArchive[模组]),"",IF(INDEX(DGArchive[模组],141)="","",INDEX(DGArchive[模组],141)))</f>
        <v/>
      </c>
      <c r="CB340" t="str">
        <f>IF(141&gt;ROWS(DGArchive[阶段]),"",IF(INDEX(DGArchive[阶段],141)="","",INDEX(DGArchive[阶段],141)))</f>
        <v/>
      </c>
      <c r="CC340" t="str">
        <f>IF(141&gt;ROWS(DGArchive[游戏内日期]),"",IF(INDEX(DGArchive[游戏内日期],141)="","",INDEX(DGArchive[游戏内日期],141)))</f>
        <v/>
      </c>
      <c r="CD340" t="str">
        <f>IF(141&gt;ROWS(DGArchive[目标]),"",IF(INDEX(DGArchive[目标],141)="","",INDEX(DGArchive[目标],141)))</f>
        <v/>
      </c>
      <c r="CE340" t="str">
        <f>IF(141&gt;ROWS(DGArchive[变更前]),"",IF(INDEX(DGArchive[变更前],141)="","",INDEX(DGArchive[变更前],141)))</f>
        <v/>
      </c>
      <c r="CF340" t="str">
        <f>IF(141&gt;ROWS(DGArchive[增减]),"",IF(INDEX(DGArchive[增减],141)="","",INDEX(DGArchive[增减],141)))</f>
        <v/>
      </c>
      <c r="CG340" t="str">
        <f>IF(141&gt;ROWS(DGArchive[变更后]),"",IF(INDEX(DGArchive[变更后],141)="","",INDEX(DGArchive[变更后],141)))</f>
        <v/>
      </c>
      <c r="CH340" t="str">
        <f>IF(141&gt;ROWS(DGArchive[事件／活动]),"",IF(INDEX(DGArchive[事件／活动],141)="","",INDEX(DGArchive[事件／活动],141)))</f>
        <v/>
      </c>
      <c r="CI340" t="str">
        <f>IF(141&gt;ROWS(DGArchive[记录编号]),"",IF(INDEX(DGArchive[记录编号],141)="","",INDEX(DGArchive[记录编号],141)))</f>
        <v/>
      </c>
      <c r="CL340">
        <f t="shared" si="74"/>
        <v>0</v>
      </c>
      <c r="CM340">
        <f>IF(AND(A340=$AO$5,B340=$AQ$3,H340=1),COUNTIFS($A$200:A340,$AO$5,$B$200:B340,$AQ$3,$H$200:H340,1),0)</f>
        <v>0</v>
      </c>
      <c r="CN340">
        <f>IF(CA340="",141,1001)</f>
        <v>141</v>
      </c>
      <c r="GA340">
        <f t="shared" si="94"/>
        <v>0</v>
      </c>
      <c r="GB340">
        <f t="shared" si="95"/>
        <v>0</v>
      </c>
      <c r="GC340">
        <f>IF(AND(C340="事件记录",H340=1),COUNTIFS($C$200:C340,"事件记录",$H$200:H340,1),0)</f>
        <v>0</v>
      </c>
      <c r="GD340">
        <f t="shared" si="75"/>
        <v>0</v>
      </c>
      <c r="GH340">
        <f>IF(AND(H340=1,A340=$GA$10,B340=$GA$11),COUNTIFS($A$200:A340,$GA$10,$B$200:B340,$GA$11,$H$200:H340,1),0)</f>
        <v>0</v>
      </c>
    </row>
    <row r="341" spans="1:190">
      <c r="A341" t="str">
        <f t="shared" si="66"/>
        <v/>
      </c>
      <c r="B341" t="str">
        <f t="shared" si="67"/>
        <v/>
      </c>
      <c r="C341" t="str">
        <f t="shared" si="68"/>
        <v/>
      </c>
      <c r="D341" t="str">
        <f t="shared" si="69"/>
        <v/>
      </c>
      <c r="E341">
        <f t="shared" si="70"/>
        <v>0</v>
      </c>
      <c r="F341" t="str">
        <f t="shared" si="71"/>
        <v/>
      </c>
      <c r="G341">
        <f t="shared" si="72"/>
        <v>0</v>
      </c>
      <c r="H341">
        <f>IF(AND(G341=1,COUNTIFS($I$200:I341,I341,$G$200:G341,1)=1),1,0)</f>
        <v>0</v>
      </c>
      <c r="I341" t="str">
        <f t="shared" si="73"/>
        <v/>
      </c>
      <c r="BF341">
        <f t="shared" si="76"/>
        <v>0</v>
      </c>
      <c r="BG341">
        <f t="shared" si="77"/>
        <v>0</v>
      </c>
      <c r="BH341">
        <f t="shared" si="78"/>
        <v>0</v>
      </c>
      <c r="BI341">
        <f t="shared" si="79"/>
        <v>0</v>
      </c>
      <c r="BJ341">
        <f t="shared" si="80"/>
        <v>0</v>
      </c>
      <c r="BK341">
        <f t="shared" si="81"/>
        <v>0</v>
      </c>
      <c r="BL341">
        <f t="shared" si="82"/>
        <v>0</v>
      </c>
      <c r="BM341">
        <f t="shared" si="83"/>
        <v>0</v>
      </c>
      <c r="BN341">
        <f t="shared" si="84"/>
        <v>0</v>
      </c>
      <c r="BO341">
        <f t="shared" si="85"/>
        <v>0</v>
      </c>
      <c r="BP341">
        <f t="shared" si="86"/>
        <v>0</v>
      </c>
      <c r="BQ341">
        <f t="shared" si="87"/>
        <v>0</v>
      </c>
      <c r="BR341">
        <f t="shared" si="88"/>
        <v>0</v>
      </c>
      <c r="BS341">
        <f t="shared" si="89"/>
        <v>0</v>
      </c>
      <c r="BT341">
        <f t="shared" si="90"/>
        <v>0</v>
      </c>
      <c r="BU341">
        <f t="shared" si="91"/>
        <v>0</v>
      </c>
      <c r="BV341">
        <f t="shared" si="92"/>
        <v>0</v>
      </c>
      <c r="BW341">
        <f t="shared" si="93"/>
        <v>0</v>
      </c>
      <c r="CA341" t="str">
        <f>IF(142&gt;ROWS(DGArchive[模组]),"",IF(INDEX(DGArchive[模组],142)="","",INDEX(DGArchive[模组],142)))</f>
        <v/>
      </c>
      <c r="CB341" t="str">
        <f>IF(142&gt;ROWS(DGArchive[阶段]),"",IF(INDEX(DGArchive[阶段],142)="","",INDEX(DGArchive[阶段],142)))</f>
        <v/>
      </c>
      <c r="CC341" t="str">
        <f>IF(142&gt;ROWS(DGArchive[游戏内日期]),"",IF(INDEX(DGArchive[游戏内日期],142)="","",INDEX(DGArchive[游戏内日期],142)))</f>
        <v/>
      </c>
      <c r="CD341" t="str">
        <f>IF(142&gt;ROWS(DGArchive[目标]),"",IF(INDEX(DGArchive[目标],142)="","",INDEX(DGArchive[目标],142)))</f>
        <v/>
      </c>
      <c r="CE341" t="str">
        <f>IF(142&gt;ROWS(DGArchive[变更前]),"",IF(INDEX(DGArchive[变更前],142)="","",INDEX(DGArchive[变更前],142)))</f>
        <v/>
      </c>
      <c r="CF341" t="str">
        <f>IF(142&gt;ROWS(DGArchive[增减]),"",IF(INDEX(DGArchive[增减],142)="","",INDEX(DGArchive[增减],142)))</f>
        <v/>
      </c>
      <c r="CG341" t="str">
        <f>IF(142&gt;ROWS(DGArchive[变更后]),"",IF(INDEX(DGArchive[变更后],142)="","",INDEX(DGArchive[变更后],142)))</f>
        <v/>
      </c>
      <c r="CH341" t="str">
        <f>IF(142&gt;ROWS(DGArchive[事件／活动]),"",IF(INDEX(DGArchive[事件／活动],142)="","",INDEX(DGArchive[事件／活动],142)))</f>
        <v/>
      </c>
      <c r="CI341" t="str">
        <f>IF(142&gt;ROWS(DGArchive[记录编号]),"",IF(INDEX(DGArchive[记录编号],142)="","",INDEX(DGArchive[记录编号],142)))</f>
        <v/>
      </c>
      <c r="CL341">
        <f t="shared" si="74"/>
        <v>0</v>
      </c>
      <c r="CM341">
        <f>IF(AND(A341=$AO$5,B341=$AQ$3,H341=1),COUNTIFS($A$200:A341,$AO$5,$B$200:B341,$AQ$3,$H$200:H341,1),0)</f>
        <v>0</v>
      </c>
      <c r="CN341">
        <f>IF(CA341="",142,1001)</f>
        <v>142</v>
      </c>
      <c r="GA341">
        <f t="shared" si="94"/>
        <v>0</v>
      </c>
      <c r="GB341">
        <f t="shared" si="95"/>
        <v>0</v>
      </c>
      <c r="GC341">
        <f>IF(AND(C341="事件记录",H341=1),COUNTIFS($C$200:C341,"事件记录",$H$200:H341,1),0)</f>
        <v>0</v>
      </c>
      <c r="GD341">
        <f t="shared" si="75"/>
        <v>0</v>
      </c>
      <c r="GH341">
        <f>IF(AND(H341=1,A341=$GA$10,B341=$GA$11),COUNTIFS($A$200:A341,$GA$10,$B$200:B341,$GA$11,$H$200:H341,1),0)</f>
        <v>0</v>
      </c>
    </row>
    <row r="342" spans="1:190">
      <c r="A342" t="str">
        <f t="shared" si="66"/>
        <v/>
      </c>
      <c r="B342" t="str">
        <f t="shared" si="67"/>
        <v/>
      </c>
      <c r="C342" t="str">
        <f t="shared" si="68"/>
        <v/>
      </c>
      <c r="D342" t="str">
        <f t="shared" si="69"/>
        <v/>
      </c>
      <c r="E342">
        <f t="shared" si="70"/>
        <v>0</v>
      </c>
      <c r="F342" t="str">
        <f t="shared" si="71"/>
        <v/>
      </c>
      <c r="G342">
        <f t="shared" si="72"/>
        <v>0</v>
      </c>
      <c r="H342">
        <f>IF(AND(G342=1,COUNTIFS($I$200:I342,I342,$G$200:G342,1)=1),1,0)</f>
        <v>0</v>
      </c>
      <c r="I342" t="str">
        <f t="shared" si="73"/>
        <v/>
      </c>
      <c r="BF342">
        <f t="shared" si="76"/>
        <v>0</v>
      </c>
      <c r="BG342">
        <f t="shared" si="77"/>
        <v>0</v>
      </c>
      <c r="BH342">
        <f t="shared" si="78"/>
        <v>0</v>
      </c>
      <c r="BI342">
        <f t="shared" si="79"/>
        <v>0</v>
      </c>
      <c r="BJ342">
        <f t="shared" si="80"/>
        <v>0</v>
      </c>
      <c r="BK342">
        <f t="shared" si="81"/>
        <v>0</v>
      </c>
      <c r="BL342">
        <f t="shared" si="82"/>
        <v>0</v>
      </c>
      <c r="BM342">
        <f t="shared" si="83"/>
        <v>0</v>
      </c>
      <c r="BN342">
        <f t="shared" si="84"/>
        <v>0</v>
      </c>
      <c r="BO342">
        <f t="shared" si="85"/>
        <v>0</v>
      </c>
      <c r="BP342">
        <f t="shared" si="86"/>
        <v>0</v>
      </c>
      <c r="BQ342">
        <f t="shared" si="87"/>
        <v>0</v>
      </c>
      <c r="BR342">
        <f t="shared" si="88"/>
        <v>0</v>
      </c>
      <c r="BS342">
        <f t="shared" si="89"/>
        <v>0</v>
      </c>
      <c r="BT342">
        <f t="shared" si="90"/>
        <v>0</v>
      </c>
      <c r="BU342">
        <f t="shared" si="91"/>
        <v>0</v>
      </c>
      <c r="BV342">
        <f t="shared" si="92"/>
        <v>0</v>
      </c>
      <c r="BW342">
        <f t="shared" si="93"/>
        <v>0</v>
      </c>
      <c r="CA342" t="str">
        <f>IF(143&gt;ROWS(DGArchive[模组]),"",IF(INDEX(DGArchive[模组],143)="","",INDEX(DGArchive[模组],143)))</f>
        <v/>
      </c>
      <c r="CB342" t="str">
        <f>IF(143&gt;ROWS(DGArchive[阶段]),"",IF(INDEX(DGArchive[阶段],143)="","",INDEX(DGArchive[阶段],143)))</f>
        <v/>
      </c>
      <c r="CC342" t="str">
        <f>IF(143&gt;ROWS(DGArchive[游戏内日期]),"",IF(INDEX(DGArchive[游戏内日期],143)="","",INDEX(DGArchive[游戏内日期],143)))</f>
        <v/>
      </c>
      <c r="CD342" t="str">
        <f>IF(143&gt;ROWS(DGArchive[目标]),"",IF(INDEX(DGArchive[目标],143)="","",INDEX(DGArchive[目标],143)))</f>
        <v/>
      </c>
      <c r="CE342" t="str">
        <f>IF(143&gt;ROWS(DGArchive[变更前]),"",IF(INDEX(DGArchive[变更前],143)="","",INDEX(DGArchive[变更前],143)))</f>
        <v/>
      </c>
      <c r="CF342" t="str">
        <f>IF(143&gt;ROWS(DGArchive[增减]),"",IF(INDEX(DGArchive[增减],143)="","",INDEX(DGArchive[增减],143)))</f>
        <v/>
      </c>
      <c r="CG342" t="str">
        <f>IF(143&gt;ROWS(DGArchive[变更后]),"",IF(INDEX(DGArchive[变更后],143)="","",INDEX(DGArchive[变更后],143)))</f>
        <v/>
      </c>
      <c r="CH342" t="str">
        <f>IF(143&gt;ROWS(DGArchive[事件／活动]),"",IF(INDEX(DGArchive[事件／活动],143)="","",INDEX(DGArchive[事件／活动],143)))</f>
        <v/>
      </c>
      <c r="CI342" t="str">
        <f>IF(143&gt;ROWS(DGArchive[记录编号]),"",IF(INDEX(DGArchive[记录编号],143)="","",INDEX(DGArchive[记录编号],143)))</f>
        <v/>
      </c>
      <c r="CL342">
        <f t="shared" si="74"/>
        <v>0</v>
      </c>
      <c r="CM342">
        <f>IF(AND(A342=$AO$5,B342=$AQ$3,H342=1),COUNTIFS($A$200:A342,$AO$5,$B$200:B342,$AQ$3,$H$200:H342,1),0)</f>
        <v>0</v>
      </c>
      <c r="CN342">
        <f>IF(CA342="",143,1001)</f>
        <v>143</v>
      </c>
      <c r="GA342">
        <f t="shared" si="94"/>
        <v>0</v>
      </c>
      <c r="GB342">
        <f t="shared" si="95"/>
        <v>0</v>
      </c>
      <c r="GC342">
        <f>IF(AND(C342="事件记录",H342=1),COUNTIFS($C$200:C342,"事件记录",$H$200:H342,1),0)</f>
        <v>0</v>
      </c>
      <c r="GD342">
        <f t="shared" si="75"/>
        <v>0</v>
      </c>
      <c r="GH342">
        <f>IF(AND(H342=1,A342=$GA$10,B342=$GA$11),COUNTIFS($A$200:A342,$GA$10,$B$200:B342,$GA$11,$H$200:H342,1),0)</f>
        <v>0</v>
      </c>
    </row>
    <row r="343" spans="1:190">
      <c r="A343" t="str">
        <f t="shared" si="66"/>
        <v/>
      </c>
      <c r="B343" t="str">
        <f t="shared" si="67"/>
        <v/>
      </c>
      <c r="C343" t="str">
        <f t="shared" si="68"/>
        <v/>
      </c>
      <c r="D343" t="str">
        <f t="shared" si="69"/>
        <v/>
      </c>
      <c r="E343">
        <f t="shared" si="70"/>
        <v>0</v>
      </c>
      <c r="F343" t="str">
        <f t="shared" si="71"/>
        <v/>
      </c>
      <c r="G343">
        <f t="shared" si="72"/>
        <v>0</v>
      </c>
      <c r="H343">
        <f>IF(AND(G343=1,COUNTIFS($I$200:I343,I343,$G$200:G343,1)=1),1,0)</f>
        <v>0</v>
      </c>
      <c r="I343" t="str">
        <f t="shared" si="73"/>
        <v/>
      </c>
      <c r="BF343">
        <f t="shared" si="76"/>
        <v>0</v>
      </c>
      <c r="BG343">
        <f t="shared" si="77"/>
        <v>0</v>
      </c>
      <c r="BH343">
        <f t="shared" si="78"/>
        <v>0</v>
      </c>
      <c r="BI343">
        <f t="shared" si="79"/>
        <v>0</v>
      </c>
      <c r="BJ343">
        <f t="shared" si="80"/>
        <v>0</v>
      </c>
      <c r="BK343">
        <f t="shared" si="81"/>
        <v>0</v>
      </c>
      <c r="BL343">
        <f t="shared" si="82"/>
        <v>0</v>
      </c>
      <c r="BM343">
        <f t="shared" si="83"/>
        <v>0</v>
      </c>
      <c r="BN343">
        <f t="shared" si="84"/>
        <v>0</v>
      </c>
      <c r="BO343">
        <f t="shared" si="85"/>
        <v>0</v>
      </c>
      <c r="BP343">
        <f t="shared" si="86"/>
        <v>0</v>
      </c>
      <c r="BQ343">
        <f t="shared" si="87"/>
        <v>0</v>
      </c>
      <c r="BR343">
        <f t="shared" si="88"/>
        <v>0</v>
      </c>
      <c r="BS343">
        <f t="shared" si="89"/>
        <v>0</v>
      </c>
      <c r="BT343">
        <f t="shared" si="90"/>
        <v>0</v>
      </c>
      <c r="BU343">
        <f t="shared" si="91"/>
        <v>0</v>
      </c>
      <c r="BV343">
        <f t="shared" si="92"/>
        <v>0</v>
      </c>
      <c r="BW343">
        <f t="shared" si="93"/>
        <v>0</v>
      </c>
      <c r="CA343" t="str">
        <f>IF(144&gt;ROWS(DGArchive[模组]),"",IF(INDEX(DGArchive[模组],144)="","",INDEX(DGArchive[模组],144)))</f>
        <v/>
      </c>
      <c r="CB343" t="str">
        <f>IF(144&gt;ROWS(DGArchive[阶段]),"",IF(INDEX(DGArchive[阶段],144)="","",INDEX(DGArchive[阶段],144)))</f>
        <v/>
      </c>
      <c r="CC343" t="str">
        <f>IF(144&gt;ROWS(DGArchive[游戏内日期]),"",IF(INDEX(DGArchive[游戏内日期],144)="","",INDEX(DGArchive[游戏内日期],144)))</f>
        <v/>
      </c>
      <c r="CD343" t="str">
        <f>IF(144&gt;ROWS(DGArchive[目标]),"",IF(INDEX(DGArchive[目标],144)="","",INDEX(DGArchive[目标],144)))</f>
        <v/>
      </c>
      <c r="CE343" t="str">
        <f>IF(144&gt;ROWS(DGArchive[变更前]),"",IF(INDEX(DGArchive[变更前],144)="","",INDEX(DGArchive[变更前],144)))</f>
        <v/>
      </c>
      <c r="CF343" t="str">
        <f>IF(144&gt;ROWS(DGArchive[增减]),"",IF(INDEX(DGArchive[增减],144)="","",INDEX(DGArchive[增减],144)))</f>
        <v/>
      </c>
      <c r="CG343" t="str">
        <f>IF(144&gt;ROWS(DGArchive[变更后]),"",IF(INDEX(DGArchive[变更后],144)="","",INDEX(DGArchive[变更后],144)))</f>
        <v/>
      </c>
      <c r="CH343" t="str">
        <f>IF(144&gt;ROWS(DGArchive[事件／活动]),"",IF(INDEX(DGArchive[事件／活动],144)="","",INDEX(DGArchive[事件／活动],144)))</f>
        <v/>
      </c>
      <c r="CI343" t="str">
        <f>IF(144&gt;ROWS(DGArchive[记录编号]),"",IF(INDEX(DGArchive[记录编号],144)="","",INDEX(DGArchive[记录编号],144)))</f>
        <v/>
      </c>
      <c r="CL343">
        <f t="shared" si="74"/>
        <v>0</v>
      </c>
      <c r="CM343">
        <f>IF(AND(A343=$AO$5,B343=$AQ$3,H343=1),COUNTIFS($A$200:A343,$AO$5,$B$200:B343,$AQ$3,$H$200:H343,1),0)</f>
        <v>0</v>
      </c>
      <c r="CN343">
        <f>IF(CA343="",144,1001)</f>
        <v>144</v>
      </c>
      <c r="GA343">
        <f t="shared" si="94"/>
        <v>0</v>
      </c>
      <c r="GB343">
        <f t="shared" si="95"/>
        <v>0</v>
      </c>
      <c r="GC343">
        <f>IF(AND(C343="事件记录",H343=1),COUNTIFS($C$200:C343,"事件记录",$H$200:H343,1),0)</f>
        <v>0</v>
      </c>
      <c r="GD343">
        <f t="shared" si="75"/>
        <v>0</v>
      </c>
      <c r="GH343">
        <f>IF(AND(H343=1,A343=$GA$10,B343=$GA$11),COUNTIFS($A$200:A343,$GA$10,$B$200:B343,$GA$11,$H$200:H343,1),0)</f>
        <v>0</v>
      </c>
    </row>
    <row r="344" spans="1:190">
      <c r="A344" t="str">
        <f t="shared" si="66"/>
        <v/>
      </c>
      <c r="B344" t="str">
        <f t="shared" si="67"/>
        <v/>
      </c>
      <c r="C344" t="str">
        <f t="shared" si="68"/>
        <v/>
      </c>
      <c r="D344" t="str">
        <f t="shared" si="69"/>
        <v/>
      </c>
      <c r="E344">
        <f t="shared" si="70"/>
        <v>0</v>
      </c>
      <c r="F344" t="str">
        <f t="shared" si="71"/>
        <v/>
      </c>
      <c r="G344">
        <f t="shared" si="72"/>
        <v>0</v>
      </c>
      <c r="H344">
        <f>IF(AND(G344=1,COUNTIFS($I$200:I344,I344,$G$200:G344,1)=1),1,0)</f>
        <v>0</v>
      </c>
      <c r="I344" t="str">
        <f t="shared" si="73"/>
        <v/>
      </c>
      <c r="BF344">
        <f t="shared" si="76"/>
        <v>0</v>
      </c>
      <c r="BG344">
        <f t="shared" si="77"/>
        <v>0</v>
      </c>
      <c r="BH344">
        <f t="shared" si="78"/>
        <v>0</v>
      </c>
      <c r="BI344">
        <f t="shared" si="79"/>
        <v>0</v>
      </c>
      <c r="BJ344">
        <f t="shared" si="80"/>
        <v>0</v>
      </c>
      <c r="BK344">
        <f t="shared" si="81"/>
        <v>0</v>
      </c>
      <c r="BL344">
        <f t="shared" si="82"/>
        <v>0</v>
      </c>
      <c r="BM344">
        <f t="shared" si="83"/>
        <v>0</v>
      </c>
      <c r="BN344">
        <f t="shared" si="84"/>
        <v>0</v>
      </c>
      <c r="BO344">
        <f t="shared" si="85"/>
        <v>0</v>
      </c>
      <c r="BP344">
        <f t="shared" si="86"/>
        <v>0</v>
      </c>
      <c r="BQ344">
        <f t="shared" si="87"/>
        <v>0</v>
      </c>
      <c r="BR344">
        <f t="shared" si="88"/>
        <v>0</v>
      </c>
      <c r="BS344">
        <f t="shared" si="89"/>
        <v>0</v>
      </c>
      <c r="BT344">
        <f t="shared" si="90"/>
        <v>0</v>
      </c>
      <c r="BU344">
        <f t="shared" si="91"/>
        <v>0</v>
      </c>
      <c r="BV344">
        <f t="shared" si="92"/>
        <v>0</v>
      </c>
      <c r="BW344">
        <f t="shared" si="93"/>
        <v>0</v>
      </c>
      <c r="CA344" t="str">
        <f>IF(145&gt;ROWS(DGArchive[模组]),"",IF(INDEX(DGArchive[模组],145)="","",INDEX(DGArchive[模组],145)))</f>
        <v/>
      </c>
      <c r="CB344" t="str">
        <f>IF(145&gt;ROWS(DGArchive[阶段]),"",IF(INDEX(DGArchive[阶段],145)="","",INDEX(DGArchive[阶段],145)))</f>
        <v/>
      </c>
      <c r="CC344" t="str">
        <f>IF(145&gt;ROWS(DGArchive[游戏内日期]),"",IF(INDEX(DGArchive[游戏内日期],145)="","",INDEX(DGArchive[游戏内日期],145)))</f>
        <v/>
      </c>
      <c r="CD344" t="str">
        <f>IF(145&gt;ROWS(DGArchive[目标]),"",IF(INDEX(DGArchive[目标],145)="","",INDEX(DGArchive[目标],145)))</f>
        <v/>
      </c>
      <c r="CE344" t="str">
        <f>IF(145&gt;ROWS(DGArchive[变更前]),"",IF(INDEX(DGArchive[变更前],145)="","",INDEX(DGArchive[变更前],145)))</f>
        <v/>
      </c>
      <c r="CF344" t="str">
        <f>IF(145&gt;ROWS(DGArchive[增减]),"",IF(INDEX(DGArchive[增减],145)="","",INDEX(DGArchive[增减],145)))</f>
        <v/>
      </c>
      <c r="CG344" t="str">
        <f>IF(145&gt;ROWS(DGArchive[变更后]),"",IF(INDEX(DGArchive[变更后],145)="","",INDEX(DGArchive[变更后],145)))</f>
        <v/>
      </c>
      <c r="CH344" t="str">
        <f>IF(145&gt;ROWS(DGArchive[事件／活动]),"",IF(INDEX(DGArchive[事件／活动],145)="","",INDEX(DGArchive[事件／活动],145)))</f>
        <v/>
      </c>
      <c r="CI344" t="str">
        <f>IF(145&gt;ROWS(DGArchive[记录编号]),"",IF(INDEX(DGArchive[记录编号],145)="","",INDEX(DGArchive[记录编号],145)))</f>
        <v/>
      </c>
      <c r="CL344">
        <f t="shared" si="74"/>
        <v>0</v>
      </c>
      <c r="CM344">
        <f>IF(AND(A344=$AO$5,B344=$AQ$3,H344=1),COUNTIFS($A$200:A344,$AO$5,$B$200:B344,$AQ$3,$H$200:H344,1),0)</f>
        <v>0</v>
      </c>
      <c r="CN344">
        <f>IF(CA344="",145,1001)</f>
        <v>145</v>
      </c>
      <c r="GA344">
        <f t="shared" si="94"/>
        <v>0</v>
      </c>
      <c r="GB344">
        <f t="shared" si="95"/>
        <v>0</v>
      </c>
      <c r="GC344">
        <f>IF(AND(C344="事件记录",H344=1),COUNTIFS($C$200:C344,"事件记录",$H$200:H344,1),0)</f>
        <v>0</v>
      </c>
      <c r="GD344">
        <f t="shared" si="75"/>
        <v>0</v>
      </c>
      <c r="GH344">
        <f>IF(AND(H344=1,A344=$GA$10,B344=$GA$11),COUNTIFS($A$200:A344,$GA$10,$B$200:B344,$GA$11,$H$200:H344,1),0)</f>
        <v>0</v>
      </c>
    </row>
    <row r="345" spans="1:190">
      <c r="A345" t="str">
        <f t="shared" si="66"/>
        <v/>
      </c>
      <c r="B345" t="str">
        <f t="shared" si="67"/>
        <v/>
      </c>
      <c r="C345" t="str">
        <f t="shared" si="68"/>
        <v/>
      </c>
      <c r="D345" t="str">
        <f t="shared" si="69"/>
        <v/>
      </c>
      <c r="E345">
        <f t="shared" si="70"/>
        <v>0</v>
      </c>
      <c r="F345" t="str">
        <f t="shared" si="71"/>
        <v/>
      </c>
      <c r="G345">
        <f t="shared" si="72"/>
        <v>0</v>
      </c>
      <c r="H345">
        <f>IF(AND(G345=1,COUNTIFS($I$200:I345,I345,$G$200:G345,1)=1),1,0)</f>
        <v>0</v>
      </c>
      <c r="I345" t="str">
        <f t="shared" si="73"/>
        <v/>
      </c>
      <c r="BF345">
        <f t="shared" si="76"/>
        <v>0</v>
      </c>
      <c r="BG345">
        <f t="shared" si="77"/>
        <v>0</v>
      </c>
      <c r="BH345">
        <f t="shared" si="78"/>
        <v>0</v>
      </c>
      <c r="BI345">
        <f t="shared" si="79"/>
        <v>0</v>
      </c>
      <c r="BJ345">
        <f t="shared" si="80"/>
        <v>0</v>
      </c>
      <c r="BK345">
        <f t="shared" si="81"/>
        <v>0</v>
      </c>
      <c r="BL345">
        <f t="shared" si="82"/>
        <v>0</v>
      </c>
      <c r="BM345">
        <f t="shared" si="83"/>
        <v>0</v>
      </c>
      <c r="BN345">
        <f t="shared" si="84"/>
        <v>0</v>
      </c>
      <c r="BO345">
        <f t="shared" si="85"/>
        <v>0</v>
      </c>
      <c r="BP345">
        <f t="shared" si="86"/>
        <v>0</v>
      </c>
      <c r="BQ345">
        <f t="shared" si="87"/>
        <v>0</v>
      </c>
      <c r="BR345">
        <f t="shared" si="88"/>
        <v>0</v>
      </c>
      <c r="BS345">
        <f t="shared" si="89"/>
        <v>0</v>
      </c>
      <c r="BT345">
        <f t="shared" si="90"/>
        <v>0</v>
      </c>
      <c r="BU345">
        <f t="shared" si="91"/>
        <v>0</v>
      </c>
      <c r="BV345">
        <f t="shared" si="92"/>
        <v>0</v>
      </c>
      <c r="BW345">
        <f t="shared" si="93"/>
        <v>0</v>
      </c>
      <c r="CA345" t="str">
        <f>IF(146&gt;ROWS(DGArchive[模组]),"",IF(INDEX(DGArchive[模组],146)="","",INDEX(DGArchive[模组],146)))</f>
        <v/>
      </c>
      <c r="CB345" t="str">
        <f>IF(146&gt;ROWS(DGArchive[阶段]),"",IF(INDEX(DGArchive[阶段],146)="","",INDEX(DGArchive[阶段],146)))</f>
        <v/>
      </c>
      <c r="CC345" t="str">
        <f>IF(146&gt;ROWS(DGArchive[游戏内日期]),"",IF(INDEX(DGArchive[游戏内日期],146)="","",INDEX(DGArchive[游戏内日期],146)))</f>
        <v/>
      </c>
      <c r="CD345" t="str">
        <f>IF(146&gt;ROWS(DGArchive[目标]),"",IF(INDEX(DGArchive[目标],146)="","",INDEX(DGArchive[目标],146)))</f>
        <v/>
      </c>
      <c r="CE345" t="str">
        <f>IF(146&gt;ROWS(DGArchive[变更前]),"",IF(INDEX(DGArchive[变更前],146)="","",INDEX(DGArchive[变更前],146)))</f>
        <v/>
      </c>
      <c r="CF345" t="str">
        <f>IF(146&gt;ROWS(DGArchive[增减]),"",IF(INDEX(DGArchive[增减],146)="","",INDEX(DGArchive[增减],146)))</f>
        <v/>
      </c>
      <c r="CG345" t="str">
        <f>IF(146&gt;ROWS(DGArchive[变更后]),"",IF(INDEX(DGArchive[变更后],146)="","",INDEX(DGArchive[变更后],146)))</f>
        <v/>
      </c>
      <c r="CH345" t="str">
        <f>IF(146&gt;ROWS(DGArchive[事件／活动]),"",IF(INDEX(DGArchive[事件／活动],146)="","",INDEX(DGArchive[事件／活动],146)))</f>
        <v/>
      </c>
      <c r="CI345" t="str">
        <f>IF(146&gt;ROWS(DGArchive[记录编号]),"",IF(INDEX(DGArchive[记录编号],146)="","",INDEX(DGArchive[记录编号],146)))</f>
        <v/>
      </c>
      <c r="CL345">
        <f t="shared" si="74"/>
        <v>0</v>
      </c>
      <c r="CM345">
        <f>IF(AND(A345=$AO$5,B345=$AQ$3,H345=1),COUNTIFS($A$200:A345,$AO$5,$B$200:B345,$AQ$3,$H$200:H345,1),0)</f>
        <v>0</v>
      </c>
      <c r="CN345">
        <f>IF(CA345="",146,1001)</f>
        <v>146</v>
      </c>
      <c r="GA345">
        <f t="shared" si="94"/>
        <v>0</v>
      </c>
      <c r="GB345">
        <f t="shared" si="95"/>
        <v>0</v>
      </c>
      <c r="GC345">
        <f>IF(AND(C345="事件记录",H345=1),COUNTIFS($C$200:C345,"事件记录",$H$200:H345,1),0)</f>
        <v>0</v>
      </c>
      <c r="GD345">
        <f t="shared" si="75"/>
        <v>0</v>
      </c>
      <c r="GH345">
        <f>IF(AND(H345=1,A345=$GA$10,B345=$GA$11),COUNTIFS($A$200:A345,$GA$10,$B$200:B345,$GA$11,$H$200:H345,1),0)</f>
        <v>0</v>
      </c>
    </row>
    <row r="346" spans="1:190">
      <c r="A346" t="str">
        <f t="shared" si="66"/>
        <v/>
      </c>
      <c r="B346" t="str">
        <f t="shared" si="67"/>
        <v/>
      </c>
      <c r="C346" t="str">
        <f t="shared" si="68"/>
        <v/>
      </c>
      <c r="D346" t="str">
        <f t="shared" si="69"/>
        <v/>
      </c>
      <c r="E346">
        <f t="shared" si="70"/>
        <v>0</v>
      </c>
      <c r="F346" t="str">
        <f t="shared" si="71"/>
        <v/>
      </c>
      <c r="G346">
        <f t="shared" si="72"/>
        <v>0</v>
      </c>
      <c r="H346">
        <f>IF(AND(G346=1,COUNTIFS($I$200:I346,I346,$G$200:G346,1)=1),1,0)</f>
        <v>0</v>
      </c>
      <c r="I346" t="str">
        <f t="shared" si="73"/>
        <v/>
      </c>
      <c r="BF346">
        <f t="shared" si="76"/>
        <v>0</v>
      </c>
      <c r="BG346">
        <f t="shared" si="77"/>
        <v>0</v>
      </c>
      <c r="BH346">
        <f t="shared" si="78"/>
        <v>0</v>
      </c>
      <c r="BI346">
        <f t="shared" si="79"/>
        <v>0</v>
      </c>
      <c r="BJ346">
        <f t="shared" si="80"/>
        <v>0</v>
      </c>
      <c r="BK346">
        <f t="shared" si="81"/>
        <v>0</v>
      </c>
      <c r="BL346">
        <f t="shared" si="82"/>
        <v>0</v>
      </c>
      <c r="BM346">
        <f t="shared" si="83"/>
        <v>0</v>
      </c>
      <c r="BN346">
        <f t="shared" si="84"/>
        <v>0</v>
      </c>
      <c r="BO346">
        <f t="shared" si="85"/>
        <v>0</v>
      </c>
      <c r="BP346">
        <f t="shared" si="86"/>
        <v>0</v>
      </c>
      <c r="BQ346">
        <f t="shared" si="87"/>
        <v>0</v>
      </c>
      <c r="BR346">
        <f t="shared" si="88"/>
        <v>0</v>
      </c>
      <c r="BS346">
        <f t="shared" si="89"/>
        <v>0</v>
      </c>
      <c r="BT346">
        <f t="shared" si="90"/>
        <v>0</v>
      </c>
      <c r="BU346">
        <f t="shared" si="91"/>
        <v>0</v>
      </c>
      <c r="BV346">
        <f t="shared" si="92"/>
        <v>0</v>
      </c>
      <c r="BW346">
        <f t="shared" si="93"/>
        <v>0</v>
      </c>
      <c r="CA346" t="str">
        <f>IF(147&gt;ROWS(DGArchive[模组]),"",IF(INDEX(DGArchive[模组],147)="","",INDEX(DGArchive[模组],147)))</f>
        <v/>
      </c>
      <c r="CB346" t="str">
        <f>IF(147&gt;ROWS(DGArchive[阶段]),"",IF(INDEX(DGArchive[阶段],147)="","",INDEX(DGArchive[阶段],147)))</f>
        <v/>
      </c>
      <c r="CC346" t="str">
        <f>IF(147&gt;ROWS(DGArchive[游戏内日期]),"",IF(INDEX(DGArchive[游戏内日期],147)="","",INDEX(DGArchive[游戏内日期],147)))</f>
        <v/>
      </c>
      <c r="CD346" t="str">
        <f>IF(147&gt;ROWS(DGArchive[目标]),"",IF(INDEX(DGArchive[目标],147)="","",INDEX(DGArchive[目标],147)))</f>
        <v/>
      </c>
      <c r="CE346" t="str">
        <f>IF(147&gt;ROWS(DGArchive[变更前]),"",IF(INDEX(DGArchive[变更前],147)="","",INDEX(DGArchive[变更前],147)))</f>
        <v/>
      </c>
      <c r="CF346" t="str">
        <f>IF(147&gt;ROWS(DGArchive[增减]),"",IF(INDEX(DGArchive[增减],147)="","",INDEX(DGArchive[增减],147)))</f>
        <v/>
      </c>
      <c r="CG346" t="str">
        <f>IF(147&gt;ROWS(DGArchive[变更后]),"",IF(INDEX(DGArchive[变更后],147)="","",INDEX(DGArchive[变更后],147)))</f>
        <v/>
      </c>
      <c r="CH346" t="str">
        <f>IF(147&gt;ROWS(DGArchive[事件／活动]),"",IF(INDEX(DGArchive[事件／活动],147)="","",INDEX(DGArchive[事件／活动],147)))</f>
        <v/>
      </c>
      <c r="CI346" t="str">
        <f>IF(147&gt;ROWS(DGArchive[记录编号]),"",IF(INDEX(DGArchive[记录编号],147)="","",INDEX(DGArchive[记录编号],147)))</f>
        <v/>
      </c>
      <c r="CL346">
        <f t="shared" si="74"/>
        <v>0</v>
      </c>
      <c r="CM346">
        <f>IF(AND(A346=$AO$5,B346=$AQ$3,H346=1),COUNTIFS($A$200:A346,$AO$5,$B$200:B346,$AQ$3,$H$200:H346,1),0)</f>
        <v>0</v>
      </c>
      <c r="CN346">
        <f>IF(CA346="",147,1001)</f>
        <v>147</v>
      </c>
      <c r="GA346">
        <f t="shared" si="94"/>
        <v>0</v>
      </c>
      <c r="GB346">
        <f t="shared" si="95"/>
        <v>0</v>
      </c>
      <c r="GC346">
        <f>IF(AND(C346="事件记录",H346=1),COUNTIFS($C$200:C346,"事件记录",$H$200:H346,1),0)</f>
        <v>0</v>
      </c>
      <c r="GD346">
        <f t="shared" si="75"/>
        <v>0</v>
      </c>
      <c r="GH346">
        <f>IF(AND(H346=1,A346=$GA$10,B346=$GA$11),COUNTIFS($A$200:A346,$GA$10,$B$200:B346,$GA$11,$H$200:H346,1),0)</f>
        <v>0</v>
      </c>
    </row>
    <row r="347" spans="1:190">
      <c r="A347" t="str">
        <f t="shared" si="66"/>
        <v/>
      </c>
      <c r="B347" t="str">
        <f t="shared" si="67"/>
        <v/>
      </c>
      <c r="C347" t="str">
        <f t="shared" si="68"/>
        <v/>
      </c>
      <c r="D347" t="str">
        <f t="shared" si="69"/>
        <v/>
      </c>
      <c r="E347">
        <f t="shared" si="70"/>
        <v>0</v>
      </c>
      <c r="F347" t="str">
        <f t="shared" si="71"/>
        <v/>
      </c>
      <c r="G347">
        <f t="shared" si="72"/>
        <v>0</v>
      </c>
      <c r="H347">
        <f>IF(AND(G347=1,COUNTIFS($I$200:I347,I347,$G$200:G347,1)=1),1,0)</f>
        <v>0</v>
      </c>
      <c r="I347" t="str">
        <f t="shared" si="73"/>
        <v/>
      </c>
      <c r="BF347">
        <f t="shared" si="76"/>
        <v>0</v>
      </c>
      <c r="BG347">
        <f t="shared" si="77"/>
        <v>0</v>
      </c>
      <c r="BH347">
        <f t="shared" si="78"/>
        <v>0</v>
      </c>
      <c r="BI347">
        <f t="shared" si="79"/>
        <v>0</v>
      </c>
      <c r="BJ347">
        <f t="shared" si="80"/>
        <v>0</v>
      </c>
      <c r="BK347">
        <f t="shared" si="81"/>
        <v>0</v>
      </c>
      <c r="BL347">
        <f t="shared" si="82"/>
        <v>0</v>
      </c>
      <c r="BM347">
        <f t="shared" si="83"/>
        <v>0</v>
      </c>
      <c r="BN347">
        <f t="shared" si="84"/>
        <v>0</v>
      </c>
      <c r="BO347">
        <f t="shared" si="85"/>
        <v>0</v>
      </c>
      <c r="BP347">
        <f t="shared" si="86"/>
        <v>0</v>
      </c>
      <c r="BQ347">
        <f t="shared" si="87"/>
        <v>0</v>
      </c>
      <c r="BR347">
        <f t="shared" si="88"/>
        <v>0</v>
      </c>
      <c r="BS347">
        <f t="shared" si="89"/>
        <v>0</v>
      </c>
      <c r="BT347">
        <f t="shared" si="90"/>
        <v>0</v>
      </c>
      <c r="BU347">
        <f t="shared" si="91"/>
        <v>0</v>
      </c>
      <c r="BV347">
        <f t="shared" si="92"/>
        <v>0</v>
      </c>
      <c r="BW347">
        <f t="shared" si="93"/>
        <v>0</v>
      </c>
      <c r="CA347" t="str">
        <f>IF(148&gt;ROWS(DGArchive[模组]),"",IF(INDEX(DGArchive[模组],148)="","",INDEX(DGArchive[模组],148)))</f>
        <v/>
      </c>
      <c r="CB347" t="str">
        <f>IF(148&gt;ROWS(DGArchive[阶段]),"",IF(INDEX(DGArchive[阶段],148)="","",INDEX(DGArchive[阶段],148)))</f>
        <v/>
      </c>
      <c r="CC347" t="str">
        <f>IF(148&gt;ROWS(DGArchive[游戏内日期]),"",IF(INDEX(DGArchive[游戏内日期],148)="","",INDEX(DGArchive[游戏内日期],148)))</f>
        <v/>
      </c>
      <c r="CD347" t="str">
        <f>IF(148&gt;ROWS(DGArchive[目标]),"",IF(INDEX(DGArchive[目标],148)="","",INDEX(DGArchive[目标],148)))</f>
        <v/>
      </c>
      <c r="CE347" t="str">
        <f>IF(148&gt;ROWS(DGArchive[变更前]),"",IF(INDEX(DGArchive[变更前],148)="","",INDEX(DGArchive[变更前],148)))</f>
        <v/>
      </c>
      <c r="CF347" t="str">
        <f>IF(148&gt;ROWS(DGArchive[增减]),"",IF(INDEX(DGArchive[增减],148)="","",INDEX(DGArchive[增减],148)))</f>
        <v/>
      </c>
      <c r="CG347" t="str">
        <f>IF(148&gt;ROWS(DGArchive[变更后]),"",IF(INDEX(DGArchive[变更后],148)="","",INDEX(DGArchive[变更后],148)))</f>
        <v/>
      </c>
      <c r="CH347" t="str">
        <f>IF(148&gt;ROWS(DGArchive[事件／活动]),"",IF(INDEX(DGArchive[事件／活动],148)="","",INDEX(DGArchive[事件／活动],148)))</f>
        <v/>
      </c>
      <c r="CI347" t="str">
        <f>IF(148&gt;ROWS(DGArchive[记录编号]),"",IF(INDEX(DGArchive[记录编号],148)="","",INDEX(DGArchive[记录编号],148)))</f>
        <v/>
      </c>
      <c r="CL347">
        <f t="shared" si="74"/>
        <v>0</v>
      </c>
      <c r="CM347">
        <f>IF(AND(A347=$AO$5,B347=$AQ$3,H347=1),COUNTIFS($A$200:A347,$AO$5,$B$200:B347,$AQ$3,$H$200:H347,1),0)</f>
        <v>0</v>
      </c>
      <c r="CN347">
        <f>IF(CA347="",148,1001)</f>
        <v>148</v>
      </c>
      <c r="GA347">
        <f t="shared" si="94"/>
        <v>0</v>
      </c>
      <c r="GB347">
        <f t="shared" si="95"/>
        <v>0</v>
      </c>
      <c r="GC347">
        <f>IF(AND(C347="事件记录",H347=1),COUNTIFS($C$200:C347,"事件记录",$H$200:H347,1),0)</f>
        <v>0</v>
      </c>
      <c r="GD347">
        <f t="shared" si="75"/>
        <v>0</v>
      </c>
      <c r="GH347">
        <f>IF(AND(H347=1,A347=$GA$10,B347=$GA$11),COUNTIFS($A$200:A347,$GA$10,$B$200:B347,$GA$11,$H$200:H347,1),0)</f>
        <v>0</v>
      </c>
    </row>
    <row r="348" spans="1:190">
      <c r="A348" t="str">
        <f t="shared" si="66"/>
        <v/>
      </c>
      <c r="B348" t="str">
        <f t="shared" si="67"/>
        <v/>
      </c>
      <c r="C348" t="str">
        <f t="shared" si="68"/>
        <v/>
      </c>
      <c r="D348" t="str">
        <f t="shared" si="69"/>
        <v/>
      </c>
      <c r="E348">
        <f t="shared" si="70"/>
        <v>0</v>
      </c>
      <c r="F348" t="str">
        <f t="shared" si="71"/>
        <v/>
      </c>
      <c r="G348">
        <f t="shared" si="72"/>
        <v>0</v>
      </c>
      <c r="H348">
        <f>IF(AND(G348=1,COUNTIFS($I$200:I348,I348,$G$200:G348,1)=1),1,0)</f>
        <v>0</v>
      </c>
      <c r="I348" t="str">
        <f t="shared" si="73"/>
        <v/>
      </c>
      <c r="BF348">
        <f t="shared" si="76"/>
        <v>0</v>
      </c>
      <c r="BG348">
        <f t="shared" si="77"/>
        <v>0</v>
      </c>
      <c r="BH348">
        <f t="shared" si="78"/>
        <v>0</v>
      </c>
      <c r="BI348">
        <f t="shared" si="79"/>
        <v>0</v>
      </c>
      <c r="BJ348">
        <f t="shared" si="80"/>
        <v>0</v>
      </c>
      <c r="BK348">
        <f t="shared" si="81"/>
        <v>0</v>
      </c>
      <c r="BL348">
        <f t="shared" si="82"/>
        <v>0</v>
      </c>
      <c r="BM348">
        <f t="shared" si="83"/>
        <v>0</v>
      </c>
      <c r="BN348">
        <f t="shared" si="84"/>
        <v>0</v>
      </c>
      <c r="BO348">
        <f t="shared" si="85"/>
        <v>0</v>
      </c>
      <c r="BP348">
        <f t="shared" si="86"/>
        <v>0</v>
      </c>
      <c r="BQ348">
        <f t="shared" si="87"/>
        <v>0</v>
      </c>
      <c r="BR348">
        <f t="shared" si="88"/>
        <v>0</v>
      </c>
      <c r="BS348">
        <f t="shared" si="89"/>
        <v>0</v>
      </c>
      <c r="BT348">
        <f t="shared" si="90"/>
        <v>0</v>
      </c>
      <c r="BU348">
        <f t="shared" si="91"/>
        <v>0</v>
      </c>
      <c r="BV348">
        <f t="shared" si="92"/>
        <v>0</v>
      </c>
      <c r="BW348">
        <f t="shared" si="93"/>
        <v>0</v>
      </c>
      <c r="CA348" t="str">
        <f>IF(149&gt;ROWS(DGArchive[模组]),"",IF(INDEX(DGArchive[模组],149)="","",INDEX(DGArchive[模组],149)))</f>
        <v/>
      </c>
      <c r="CB348" t="str">
        <f>IF(149&gt;ROWS(DGArchive[阶段]),"",IF(INDEX(DGArchive[阶段],149)="","",INDEX(DGArchive[阶段],149)))</f>
        <v/>
      </c>
      <c r="CC348" t="str">
        <f>IF(149&gt;ROWS(DGArchive[游戏内日期]),"",IF(INDEX(DGArchive[游戏内日期],149)="","",INDEX(DGArchive[游戏内日期],149)))</f>
        <v/>
      </c>
      <c r="CD348" t="str">
        <f>IF(149&gt;ROWS(DGArchive[目标]),"",IF(INDEX(DGArchive[目标],149)="","",INDEX(DGArchive[目标],149)))</f>
        <v/>
      </c>
      <c r="CE348" t="str">
        <f>IF(149&gt;ROWS(DGArchive[变更前]),"",IF(INDEX(DGArchive[变更前],149)="","",INDEX(DGArchive[变更前],149)))</f>
        <v/>
      </c>
      <c r="CF348" t="str">
        <f>IF(149&gt;ROWS(DGArchive[增减]),"",IF(INDEX(DGArchive[增减],149)="","",INDEX(DGArchive[增减],149)))</f>
        <v/>
      </c>
      <c r="CG348" t="str">
        <f>IF(149&gt;ROWS(DGArchive[变更后]),"",IF(INDEX(DGArchive[变更后],149)="","",INDEX(DGArchive[变更后],149)))</f>
        <v/>
      </c>
      <c r="CH348" t="str">
        <f>IF(149&gt;ROWS(DGArchive[事件／活动]),"",IF(INDEX(DGArchive[事件／活动],149)="","",INDEX(DGArchive[事件／活动],149)))</f>
        <v/>
      </c>
      <c r="CI348" t="str">
        <f>IF(149&gt;ROWS(DGArchive[记录编号]),"",IF(INDEX(DGArchive[记录编号],149)="","",INDEX(DGArchive[记录编号],149)))</f>
        <v/>
      </c>
      <c r="CL348">
        <f t="shared" si="74"/>
        <v>0</v>
      </c>
      <c r="CM348">
        <f>IF(AND(A348=$AO$5,B348=$AQ$3,H348=1),COUNTIFS($A$200:A348,$AO$5,$B$200:B348,$AQ$3,$H$200:H348,1),0)</f>
        <v>0</v>
      </c>
      <c r="CN348">
        <f>IF(CA348="",149,1001)</f>
        <v>149</v>
      </c>
      <c r="GA348">
        <f t="shared" si="94"/>
        <v>0</v>
      </c>
      <c r="GB348">
        <f t="shared" si="95"/>
        <v>0</v>
      </c>
      <c r="GC348">
        <f>IF(AND(C348="事件记录",H348=1),COUNTIFS($C$200:C348,"事件记录",$H$200:H348,1),0)</f>
        <v>0</v>
      </c>
      <c r="GD348">
        <f t="shared" si="75"/>
        <v>0</v>
      </c>
      <c r="GH348">
        <f>IF(AND(H348=1,A348=$GA$10,B348=$GA$11),COUNTIFS($A$200:A348,$GA$10,$B$200:B348,$GA$11,$H$200:H348,1),0)</f>
        <v>0</v>
      </c>
    </row>
    <row r="349" spans="1:190">
      <c r="A349" t="str">
        <f t="shared" si="66"/>
        <v/>
      </c>
      <c r="B349" t="str">
        <f t="shared" si="67"/>
        <v/>
      </c>
      <c r="C349" t="str">
        <f t="shared" si="68"/>
        <v/>
      </c>
      <c r="D349" t="str">
        <f t="shared" si="69"/>
        <v/>
      </c>
      <c r="E349">
        <f t="shared" si="70"/>
        <v>0</v>
      </c>
      <c r="F349" t="str">
        <f t="shared" si="71"/>
        <v/>
      </c>
      <c r="G349">
        <f t="shared" si="72"/>
        <v>0</v>
      </c>
      <c r="H349">
        <f>IF(AND(G349=1,COUNTIFS($I$200:I349,I349,$G$200:G349,1)=1),1,0)</f>
        <v>0</v>
      </c>
      <c r="I349" t="str">
        <f t="shared" si="73"/>
        <v/>
      </c>
      <c r="BF349">
        <f t="shared" si="76"/>
        <v>0</v>
      </c>
      <c r="BG349">
        <f t="shared" si="77"/>
        <v>0</v>
      </c>
      <c r="BH349">
        <f t="shared" si="78"/>
        <v>0</v>
      </c>
      <c r="BI349">
        <f t="shared" si="79"/>
        <v>0</v>
      </c>
      <c r="BJ349">
        <f t="shared" si="80"/>
        <v>0</v>
      </c>
      <c r="BK349">
        <f t="shared" si="81"/>
        <v>0</v>
      </c>
      <c r="BL349">
        <f t="shared" si="82"/>
        <v>0</v>
      </c>
      <c r="BM349">
        <f t="shared" si="83"/>
        <v>0</v>
      </c>
      <c r="BN349">
        <f t="shared" si="84"/>
        <v>0</v>
      </c>
      <c r="BO349">
        <f t="shared" si="85"/>
        <v>0</v>
      </c>
      <c r="BP349">
        <f t="shared" si="86"/>
        <v>0</v>
      </c>
      <c r="BQ349">
        <f t="shared" si="87"/>
        <v>0</v>
      </c>
      <c r="BR349">
        <f t="shared" si="88"/>
        <v>0</v>
      </c>
      <c r="BS349">
        <f t="shared" si="89"/>
        <v>0</v>
      </c>
      <c r="BT349">
        <f t="shared" si="90"/>
        <v>0</v>
      </c>
      <c r="BU349">
        <f t="shared" si="91"/>
        <v>0</v>
      </c>
      <c r="BV349">
        <f t="shared" si="92"/>
        <v>0</v>
      </c>
      <c r="BW349">
        <f t="shared" si="93"/>
        <v>0</v>
      </c>
      <c r="CA349" t="str">
        <f>IF(150&gt;ROWS(DGArchive[模组]),"",IF(INDEX(DGArchive[模组],150)="","",INDEX(DGArchive[模组],150)))</f>
        <v/>
      </c>
      <c r="CB349" t="str">
        <f>IF(150&gt;ROWS(DGArchive[阶段]),"",IF(INDEX(DGArchive[阶段],150)="","",INDEX(DGArchive[阶段],150)))</f>
        <v/>
      </c>
      <c r="CC349" t="str">
        <f>IF(150&gt;ROWS(DGArchive[游戏内日期]),"",IF(INDEX(DGArchive[游戏内日期],150)="","",INDEX(DGArchive[游戏内日期],150)))</f>
        <v/>
      </c>
      <c r="CD349" t="str">
        <f>IF(150&gt;ROWS(DGArchive[目标]),"",IF(INDEX(DGArchive[目标],150)="","",INDEX(DGArchive[目标],150)))</f>
        <v/>
      </c>
      <c r="CE349" t="str">
        <f>IF(150&gt;ROWS(DGArchive[变更前]),"",IF(INDEX(DGArchive[变更前],150)="","",INDEX(DGArchive[变更前],150)))</f>
        <v/>
      </c>
      <c r="CF349" t="str">
        <f>IF(150&gt;ROWS(DGArchive[增减]),"",IF(INDEX(DGArchive[增减],150)="","",INDEX(DGArchive[增减],150)))</f>
        <v/>
      </c>
      <c r="CG349" t="str">
        <f>IF(150&gt;ROWS(DGArchive[变更后]),"",IF(INDEX(DGArchive[变更后],150)="","",INDEX(DGArchive[变更后],150)))</f>
        <v/>
      </c>
      <c r="CH349" t="str">
        <f>IF(150&gt;ROWS(DGArchive[事件／活动]),"",IF(INDEX(DGArchive[事件／活动],150)="","",INDEX(DGArchive[事件／活动],150)))</f>
        <v/>
      </c>
      <c r="CI349" t="str">
        <f>IF(150&gt;ROWS(DGArchive[记录编号]),"",IF(INDEX(DGArchive[记录编号],150)="","",INDEX(DGArchive[记录编号],150)))</f>
        <v/>
      </c>
      <c r="CL349">
        <f t="shared" si="74"/>
        <v>0</v>
      </c>
      <c r="CM349">
        <f>IF(AND(A349=$AO$5,B349=$AQ$3,H349=1),COUNTIFS($A$200:A349,$AO$5,$B$200:B349,$AQ$3,$H$200:H349,1),0)</f>
        <v>0</v>
      </c>
      <c r="CN349">
        <f>IF(CA349="",150,1001)</f>
        <v>150</v>
      </c>
      <c r="GA349">
        <f t="shared" si="94"/>
        <v>0</v>
      </c>
      <c r="GB349">
        <f t="shared" si="95"/>
        <v>0</v>
      </c>
      <c r="GC349">
        <f>IF(AND(C349="事件记录",H349=1),COUNTIFS($C$200:C349,"事件记录",$H$200:H349,1),0)</f>
        <v>0</v>
      </c>
      <c r="GD349">
        <f t="shared" si="75"/>
        <v>0</v>
      </c>
      <c r="GH349">
        <f>IF(AND(H349=1,A349=$GA$10,B349=$GA$11),COUNTIFS($A$200:A349,$GA$10,$B$200:B349,$GA$11,$H$200:H349,1),0)</f>
        <v>0</v>
      </c>
    </row>
    <row r="350" spans="1:190">
      <c r="A350" t="str">
        <f t="shared" si="66"/>
        <v/>
      </c>
      <c r="B350" t="str">
        <f t="shared" si="67"/>
        <v/>
      </c>
      <c r="C350" t="str">
        <f t="shared" si="68"/>
        <v/>
      </c>
      <c r="D350" t="str">
        <f t="shared" si="69"/>
        <v/>
      </c>
      <c r="E350">
        <f t="shared" si="70"/>
        <v>0</v>
      </c>
      <c r="F350" t="str">
        <f t="shared" si="71"/>
        <v/>
      </c>
      <c r="G350">
        <f t="shared" si="72"/>
        <v>0</v>
      </c>
      <c r="H350">
        <f>IF(AND(G350=1,COUNTIFS($I$200:I350,I350,$G$200:G350,1)=1),1,0)</f>
        <v>0</v>
      </c>
      <c r="I350" t="str">
        <f t="shared" si="73"/>
        <v/>
      </c>
      <c r="BF350">
        <f t="shared" si="76"/>
        <v>0</v>
      </c>
      <c r="BG350">
        <f t="shared" si="77"/>
        <v>0</v>
      </c>
      <c r="BH350">
        <f t="shared" si="78"/>
        <v>0</v>
      </c>
      <c r="BI350">
        <f t="shared" si="79"/>
        <v>0</v>
      </c>
      <c r="BJ350">
        <f t="shared" si="80"/>
        <v>0</v>
      </c>
      <c r="BK350">
        <f t="shared" si="81"/>
        <v>0</v>
      </c>
      <c r="BL350">
        <f t="shared" si="82"/>
        <v>0</v>
      </c>
      <c r="BM350">
        <f t="shared" si="83"/>
        <v>0</v>
      </c>
      <c r="BN350">
        <f t="shared" si="84"/>
        <v>0</v>
      </c>
      <c r="BO350">
        <f t="shared" si="85"/>
        <v>0</v>
      </c>
      <c r="BP350">
        <f t="shared" si="86"/>
        <v>0</v>
      </c>
      <c r="BQ350">
        <f t="shared" si="87"/>
        <v>0</v>
      </c>
      <c r="BR350">
        <f t="shared" si="88"/>
        <v>0</v>
      </c>
      <c r="BS350">
        <f t="shared" si="89"/>
        <v>0</v>
      </c>
      <c r="BT350">
        <f t="shared" si="90"/>
        <v>0</v>
      </c>
      <c r="BU350">
        <f t="shared" si="91"/>
        <v>0</v>
      </c>
      <c r="BV350">
        <f t="shared" si="92"/>
        <v>0</v>
      </c>
      <c r="BW350">
        <f t="shared" si="93"/>
        <v>0</v>
      </c>
      <c r="CA350" t="str">
        <f>IF(151&gt;ROWS(DGArchive[模组]),"",IF(INDEX(DGArchive[模组],151)="","",INDEX(DGArchive[模组],151)))</f>
        <v/>
      </c>
      <c r="CB350" t="str">
        <f>IF(151&gt;ROWS(DGArchive[阶段]),"",IF(INDEX(DGArchive[阶段],151)="","",INDEX(DGArchive[阶段],151)))</f>
        <v/>
      </c>
      <c r="CC350" t="str">
        <f>IF(151&gt;ROWS(DGArchive[游戏内日期]),"",IF(INDEX(DGArchive[游戏内日期],151)="","",INDEX(DGArchive[游戏内日期],151)))</f>
        <v/>
      </c>
      <c r="CD350" t="str">
        <f>IF(151&gt;ROWS(DGArchive[目标]),"",IF(INDEX(DGArchive[目标],151)="","",INDEX(DGArchive[目标],151)))</f>
        <v/>
      </c>
      <c r="CE350" t="str">
        <f>IF(151&gt;ROWS(DGArchive[变更前]),"",IF(INDEX(DGArchive[变更前],151)="","",INDEX(DGArchive[变更前],151)))</f>
        <v/>
      </c>
      <c r="CF350" t="str">
        <f>IF(151&gt;ROWS(DGArchive[增减]),"",IF(INDEX(DGArchive[增减],151)="","",INDEX(DGArchive[增减],151)))</f>
        <v/>
      </c>
      <c r="CG350" t="str">
        <f>IF(151&gt;ROWS(DGArchive[变更后]),"",IF(INDEX(DGArchive[变更后],151)="","",INDEX(DGArchive[变更后],151)))</f>
        <v/>
      </c>
      <c r="CH350" t="str">
        <f>IF(151&gt;ROWS(DGArchive[事件／活动]),"",IF(INDEX(DGArchive[事件／活动],151)="","",INDEX(DGArchive[事件／活动],151)))</f>
        <v/>
      </c>
      <c r="CI350" t="str">
        <f>IF(151&gt;ROWS(DGArchive[记录编号]),"",IF(INDEX(DGArchive[记录编号],151)="","",INDEX(DGArchive[记录编号],151)))</f>
        <v/>
      </c>
      <c r="CL350">
        <f t="shared" si="74"/>
        <v>0</v>
      </c>
      <c r="CM350">
        <f>IF(AND(A350=$AO$5,B350=$AQ$3,H350=1),COUNTIFS($A$200:A350,$AO$5,$B$200:B350,$AQ$3,$H$200:H350,1),0)</f>
        <v>0</v>
      </c>
      <c r="CN350">
        <f>IF(CA350="",151,1001)</f>
        <v>151</v>
      </c>
      <c r="GA350">
        <f t="shared" si="94"/>
        <v>0</v>
      </c>
      <c r="GB350">
        <f t="shared" si="95"/>
        <v>0</v>
      </c>
      <c r="GC350">
        <f>IF(AND(C350="事件记录",H350=1),COUNTIFS($C$200:C350,"事件记录",$H$200:H350,1),0)</f>
        <v>0</v>
      </c>
      <c r="GD350">
        <f t="shared" si="75"/>
        <v>0</v>
      </c>
      <c r="GH350">
        <f>IF(AND(H350=1,A350=$GA$10,B350=$GA$11),COUNTIFS($A$200:A350,$GA$10,$B$200:B350,$GA$11,$H$200:H350,1),0)</f>
        <v>0</v>
      </c>
    </row>
    <row r="351" spans="1:190">
      <c r="A351" t="str">
        <f t="shared" si="66"/>
        <v/>
      </c>
      <c r="B351" t="str">
        <f t="shared" si="67"/>
        <v/>
      </c>
      <c r="C351" t="str">
        <f t="shared" si="68"/>
        <v/>
      </c>
      <c r="D351" t="str">
        <f t="shared" si="69"/>
        <v/>
      </c>
      <c r="E351">
        <f t="shared" si="70"/>
        <v>0</v>
      </c>
      <c r="F351" t="str">
        <f t="shared" si="71"/>
        <v/>
      </c>
      <c r="G351">
        <f t="shared" si="72"/>
        <v>0</v>
      </c>
      <c r="H351">
        <f>IF(AND(G351=1,COUNTIFS($I$200:I351,I351,$G$200:G351,1)=1),1,0)</f>
        <v>0</v>
      </c>
      <c r="I351" t="str">
        <f t="shared" si="73"/>
        <v/>
      </c>
      <c r="BF351">
        <f t="shared" si="76"/>
        <v>0</v>
      </c>
      <c r="BG351">
        <f t="shared" si="77"/>
        <v>0</v>
      </c>
      <c r="BH351">
        <f t="shared" si="78"/>
        <v>0</v>
      </c>
      <c r="BI351">
        <f t="shared" si="79"/>
        <v>0</v>
      </c>
      <c r="BJ351">
        <f t="shared" si="80"/>
        <v>0</v>
      </c>
      <c r="BK351">
        <f t="shared" si="81"/>
        <v>0</v>
      </c>
      <c r="BL351">
        <f t="shared" si="82"/>
        <v>0</v>
      </c>
      <c r="BM351">
        <f t="shared" si="83"/>
        <v>0</v>
      </c>
      <c r="BN351">
        <f t="shared" si="84"/>
        <v>0</v>
      </c>
      <c r="BO351">
        <f t="shared" si="85"/>
        <v>0</v>
      </c>
      <c r="BP351">
        <f t="shared" si="86"/>
        <v>0</v>
      </c>
      <c r="BQ351">
        <f t="shared" si="87"/>
        <v>0</v>
      </c>
      <c r="BR351">
        <f t="shared" si="88"/>
        <v>0</v>
      </c>
      <c r="BS351">
        <f t="shared" si="89"/>
        <v>0</v>
      </c>
      <c r="BT351">
        <f t="shared" si="90"/>
        <v>0</v>
      </c>
      <c r="BU351">
        <f t="shared" si="91"/>
        <v>0</v>
      </c>
      <c r="BV351">
        <f t="shared" si="92"/>
        <v>0</v>
      </c>
      <c r="BW351">
        <f t="shared" si="93"/>
        <v>0</v>
      </c>
      <c r="CA351" t="str">
        <f>IF(152&gt;ROWS(DGArchive[模组]),"",IF(INDEX(DGArchive[模组],152)="","",INDEX(DGArchive[模组],152)))</f>
        <v/>
      </c>
      <c r="CB351" t="str">
        <f>IF(152&gt;ROWS(DGArchive[阶段]),"",IF(INDEX(DGArchive[阶段],152)="","",INDEX(DGArchive[阶段],152)))</f>
        <v/>
      </c>
      <c r="CC351" t="str">
        <f>IF(152&gt;ROWS(DGArchive[游戏内日期]),"",IF(INDEX(DGArchive[游戏内日期],152)="","",INDEX(DGArchive[游戏内日期],152)))</f>
        <v/>
      </c>
      <c r="CD351" t="str">
        <f>IF(152&gt;ROWS(DGArchive[目标]),"",IF(INDEX(DGArchive[目标],152)="","",INDEX(DGArchive[目标],152)))</f>
        <v/>
      </c>
      <c r="CE351" t="str">
        <f>IF(152&gt;ROWS(DGArchive[变更前]),"",IF(INDEX(DGArchive[变更前],152)="","",INDEX(DGArchive[变更前],152)))</f>
        <v/>
      </c>
      <c r="CF351" t="str">
        <f>IF(152&gt;ROWS(DGArchive[增减]),"",IF(INDEX(DGArchive[增减],152)="","",INDEX(DGArchive[增减],152)))</f>
        <v/>
      </c>
      <c r="CG351" t="str">
        <f>IF(152&gt;ROWS(DGArchive[变更后]),"",IF(INDEX(DGArchive[变更后],152)="","",INDEX(DGArchive[变更后],152)))</f>
        <v/>
      </c>
      <c r="CH351" t="str">
        <f>IF(152&gt;ROWS(DGArchive[事件／活动]),"",IF(INDEX(DGArchive[事件／活动],152)="","",INDEX(DGArchive[事件／活动],152)))</f>
        <v/>
      </c>
      <c r="CI351" t="str">
        <f>IF(152&gt;ROWS(DGArchive[记录编号]),"",IF(INDEX(DGArchive[记录编号],152)="","",INDEX(DGArchive[记录编号],152)))</f>
        <v/>
      </c>
      <c r="CL351">
        <f t="shared" si="74"/>
        <v>0</v>
      </c>
      <c r="CM351">
        <f>IF(AND(A351=$AO$5,B351=$AQ$3,H351=1),COUNTIFS($A$200:A351,$AO$5,$B$200:B351,$AQ$3,$H$200:H351,1),0)</f>
        <v>0</v>
      </c>
      <c r="CN351">
        <f>IF(CA351="",152,1001)</f>
        <v>152</v>
      </c>
      <c r="GA351">
        <f t="shared" si="94"/>
        <v>0</v>
      </c>
      <c r="GB351">
        <f t="shared" si="95"/>
        <v>0</v>
      </c>
      <c r="GC351">
        <f>IF(AND(C351="事件记录",H351=1),COUNTIFS($C$200:C351,"事件记录",$H$200:H351,1),0)</f>
        <v>0</v>
      </c>
      <c r="GD351">
        <f t="shared" si="75"/>
        <v>0</v>
      </c>
      <c r="GH351">
        <f>IF(AND(H351=1,A351=$GA$10,B351=$GA$11),COUNTIFS($A$200:A351,$GA$10,$B$200:B351,$GA$11,$H$200:H351,1),0)</f>
        <v>0</v>
      </c>
    </row>
    <row r="352" spans="1:190">
      <c r="A352" t="str">
        <f t="shared" si="66"/>
        <v/>
      </c>
      <c r="B352" t="str">
        <f t="shared" si="67"/>
        <v/>
      </c>
      <c r="C352" t="str">
        <f t="shared" si="68"/>
        <v/>
      </c>
      <c r="D352" t="str">
        <f t="shared" si="69"/>
        <v/>
      </c>
      <c r="E352">
        <f t="shared" si="70"/>
        <v>0</v>
      </c>
      <c r="F352" t="str">
        <f t="shared" si="71"/>
        <v/>
      </c>
      <c r="G352">
        <f t="shared" si="72"/>
        <v>0</v>
      </c>
      <c r="H352">
        <f>IF(AND(G352=1,COUNTIFS($I$200:I352,I352,$G$200:G352,1)=1),1,0)</f>
        <v>0</v>
      </c>
      <c r="I352" t="str">
        <f t="shared" si="73"/>
        <v/>
      </c>
      <c r="BF352">
        <f t="shared" si="76"/>
        <v>0</v>
      </c>
      <c r="BG352">
        <f t="shared" si="77"/>
        <v>0</v>
      </c>
      <c r="BH352">
        <f t="shared" si="78"/>
        <v>0</v>
      </c>
      <c r="BI352">
        <f t="shared" si="79"/>
        <v>0</v>
      </c>
      <c r="BJ352">
        <f t="shared" si="80"/>
        <v>0</v>
      </c>
      <c r="BK352">
        <f t="shared" si="81"/>
        <v>0</v>
      </c>
      <c r="BL352">
        <f t="shared" si="82"/>
        <v>0</v>
      </c>
      <c r="BM352">
        <f t="shared" si="83"/>
        <v>0</v>
      </c>
      <c r="BN352">
        <f t="shared" si="84"/>
        <v>0</v>
      </c>
      <c r="BO352">
        <f t="shared" si="85"/>
        <v>0</v>
      </c>
      <c r="BP352">
        <f t="shared" si="86"/>
        <v>0</v>
      </c>
      <c r="BQ352">
        <f t="shared" si="87"/>
        <v>0</v>
      </c>
      <c r="BR352">
        <f t="shared" si="88"/>
        <v>0</v>
      </c>
      <c r="BS352">
        <f t="shared" si="89"/>
        <v>0</v>
      </c>
      <c r="BT352">
        <f t="shared" si="90"/>
        <v>0</v>
      </c>
      <c r="BU352">
        <f t="shared" si="91"/>
        <v>0</v>
      </c>
      <c r="BV352">
        <f t="shared" si="92"/>
        <v>0</v>
      </c>
      <c r="BW352">
        <f t="shared" si="93"/>
        <v>0</v>
      </c>
      <c r="CA352" t="str">
        <f>IF(153&gt;ROWS(DGArchive[模组]),"",IF(INDEX(DGArchive[模组],153)="","",INDEX(DGArchive[模组],153)))</f>
        <v/>
      </c>
      <c r="CB352" t="str">
        <f>IF(153&gt;ROWS(DGArchive[阶段]),"",IF(INDEX(DGArchive[阶段],153)="","",INDEX(DGArchive[阶段],153)))</f>
        <v/>
      </c>
      <c r="CC352" t="str">
        <f>IF(153&gt;ROWS(DGArchive[游戏内日期]),"",IF(INDEX(DGArchive[游戏内日期],153)="","",INDEX(DGArchive[游戏内日期],153)))</f>
        <v/>
      </c>
      <c r="CD352" t="str">
        <f>IF(153&gt;ROWS(DGArchive[目标]),"",IF(INDEX(DGArchive[目标],153)="","",INDEX(DGArchive[目标],153)))</f>
        <v/>
      </c>
      <c r="CE352" t="str">
        <f>IF(153&gt;ROWS(DGArchive[变更前]),"",IF(INDEX(DGArchive[变更前],153)="","",INDEX(DGArchive[变更前],153)))</f>
        <v/>
      </c>
      <c r="CF352" t="str">
        <f>IF(153&gt;ROWS(DGArchive[增减]),"",IF(INDEX(DGArchive[增减],153)="","",INDEX(DGArchive[增减],153)))</f>
        <v/>
      </c>
      <c r="CG352" t="str">
        <f>IF(153&gt;ROWS(DGArchive[变更后]),"",IF(INDEX(DGArchive[变更后],153)="","",INDEX(DGArchive[变更后],153)))</f>
        <v/>
      </c>
      <c r="CH352" t="str">
        <f>IF(153&gt;ROWS(DGArchive[事件／活动]),"",IF(INDEX(DGArchive[事件／活动],153)="","",INDEX(DGArchive[事件／活动],153)))</f>
        <v/>
      </c>
      <c r="CI352" t="str">
        <f>IF(153&gt;ROWS(DGArchive[记录编号]),"",IF(INDEX(DGArchive[记录编号],153)="","",INDEX(DGArchive[记录编号],153)))</f>
        <v/>
      </c>
      <c r="CL352">
        <f t="shared" si="74"/>
        <v>0</v>
      </c>
      <c r="CM352">
        <f>IF(AND(A352=$AO$5,B352=$AQ$3,H352=1),COUNTIFS($A$200:A352,$AO$5,$B$200:B352,$AQ$3,$H$200:H352,1),0)</f>
        <v>0</v>
      </c>
      <c r="CN352">
        <f>IF(CA352="",153,1001)</f>
        <v>153</v>
      </c>
      <c r="GA352">
        <f t="shared" si="94"/>
        <v>0</v>
      </c>
      <c r="GB352">
        <f t="shared" si="95"/>
        <v>0</v>
      </c>
      <c r="GC352">
        <f>IF(AND(C352="事件记录",H352=1),COUNTIFS($C$200:C352,"事件记录",$H$200:H352,1),0)</f>
        <v>0</v>
      </c>
      <c r="GD352">
        <f t="shared" si="75"/>
        <v>0</v>
      </c>
      <c r="GH352">
        <f>IF(AND(H352=1,A352=$GA$10,B352=$GA$11),COUNTIFS($A$200:A352,$GA$10,$B$200:B352,$GA$11,$H$200:H352,1),0)</f>
        <v>0</v>
      </c>
    </row>
    <row r="353" spans="1:190">
      <c r="A353" t="str">
        <f t="shared" si="66"/>
        <v/>
      </c>
      <c r="B353" t="str">
        <f t="shared" si="67"/>
        <v/>
      </c>
      <c r="C353" t="str">
        <f t="shared" si="68"/>
        <v/>
      </c>
      <c r="D353" t="str">
        <f t="shared" si="69"/>
        <v/>
      </c>
      <c r="E353">
        <f t="shared" si="70"/>
        <v>0</v>
      </c>
      <c r="F353" t="str">
        <f t="shared" si="71"/>
        <v/>
      </c>
      <c r="G353">
        <f t="shared" si="72"/>
        <v>0</v>
      </c>
      <c r="H353">
        <f>IF(AND(G353=1,COUNTIFS($I$200:I353,I353,$G$200:G353,1)=1),1,0)</f>
        <v>0</v>
      </c>
      <c r="I353" t="str">
        <f t="shared" si="73"/>
        <v/>
      </c>
      <c r="BF353">
        <f t="shared" si="76"/>
        <v>0</v>
      </c>
      <c r="BG353">
        <f t="shared" si="77"/>
        <v>0</v>
      </c>
      <c r="BH353">
        <f t="shared" si="78"/>
        <v>0</v>
      </c>
      <c r="BI353">
        <f t="shared" si="79"/>
        <v>0</v>
      </c>
      <c r="BJ353">
        <f t="shared" si="80"/>
        <v>0</v>
      </c>
      <c r="BK353">
        <f t="shared" si="81"/>
        <v>0</v>
      </c>
      <c r="BL353">
        <f t="shared" si="82"/>
        <v>0</v>
      </c>
      <c r="BM353">
        <f t="shared" si="83"/>
        <v>0</v>
      </c>
      <c r="BN353">
        <f t="shared" si="84"/>
        <v>0</v>
      </c>
      <c r="BO353">
        <f t="shared" si="85"/>
        <v>0</v>
      </c>
      <c r="BP353">
        <f t="shared" si="86"/>
        <v>0</v>
      </c>
      <c r="BQ353">
        <f t="shared" si="87"/>
        <v>0</v>
      </c>
      <c r="BR353">
        <f t="shared" si="88"/>
        <v>0</v>
      </c>
      <c r="BS353">
        <f t="shared" si="89"/>
        <v>0</v>
      </c>
      <c r="BT353">
        <f t="shared" si="90"/>
        <v>0</v>
      </c>
      <c r="BU353">
        <f t="shared" si="91"/>
        <v>0</v>
      </c>
      <c r="BV353">
        <f t="shared" si="92"/>
        <v>0</v>
      </c>
      <c r="BW353">
        <f t="shared" si="93"/>
        <v>0</v>
      </c>
      <c r="CA353" t="str">
        <f>IF(154&gt;ROWS(DGArchive[模组]),"",IF(INDEX(DGArchive[模组],154)="","",INDEX(DGArchive[模组],154)))</f>
        <v/>
      </c>
      <c r="CB353" t="str">
        <f>IF(154&gt;ROWS(DGArchive[阶段]),"",IF(INDEX(DGArchive[阶段],154)="","",INDEX(DGArchive[阶段],154)))</f>
        <v/>
      </c>
      <c r="CC353" t="str">
        <f>IF(154&gt;ROWS(DGArchive[游戏内日期]),"",IF(INDEX(DGArchive[游戏内日期],154)="","",INDEX(DGArchive[游戏内日期],154)))</f>
        <v/>
      </c>
      <c r="CD353" t="str">
        <f>IF(154&gt;ROWS(DGArchive[目标]),"",IF(INDEX(DGArchive[目标],154)="","",INDEX(DGArchive[目标],154)))</f>
        <v/>
      </c>
      <c r="CE353" t="str">
        <f>IF(154&gt;ROWS(DGArchive[变更前]),"",IF(INDEX(DGArchive[变更前],154)="","",INDEX(DGArchive[变更前],154)))</f>
        <v/>
      </c>
      <c r="CF353" t="str">
        <f>IF(154&gt;ROWS(DGArchive[增减]),"",IF(INDEX(DGArchive[增减],154)="","",INDEX(DGArchive[增减],154)))</f>
        <v/>
      </c>
      <c r="CG353" t="str">
        <f>IF(154&gt;ROWS(DGArchive[变更后]),"",IF(INDEX(DGArchive[变更后],154)="","",INDEX(DGArchive[变更后],154)))</f>
        <v/>
      </c>
      <c r="CH353" t="str">
        <f>IF(154&gt;ROWS(DGArchive[事件／活动]),"",IF(INDEX(DGArchive[事件／活动],154)="","",INDEX(DGArchive[事件／活动],154)))</f>
        <v/>
      </c>
      <c r="CI353" t="str">
        <f>IF(154&gt;ROWS(DGArchive[记录编号]),"",IF(INDEX(DGArchive[记录编号],154)="","",INDEX(DGArchive[记录编号],154)))</f>
        <v/>
      </c>
      <c r="CL353">
        <f t="shared" si="74"/>
        <v>0</v>
      </c>
      <c r="CM353">
        <f>IF(AND(A353=$AO$5,B353=$AQ$3,H353=1),COUNTIFS($A$200:A353,$AO$5,$B$200:B353,$AQ$3,$H$200:H353,1),0)</f>
        <v>0</v>
      </c>
      <c r="CN353">
        <f>IF(CA353="",154,1001)</f>
        <v>154</v>
      </c>
      <c r="GA353">
        <f t="shared" si="94"/>
        <v>0</v>
      </c>
      <c r="GB353">
        <f t="shared" si="95"/>
        <v>0</v>
      </c>
      <c r="GC353">
        <f>IF(AND(C353="事件记录",H353=1),COUNTIFS($C$200:C353,"事件记录",$H$200:H353,1),0)</f>
        <v>0</v>
      </c>
      <c r="GD353">
        <f t="shared" si="75"/>
        <v>0</v>
      </c>
      <c r="GH353">
        <f>IF(AND(H353=1,A353=$GA$10,B353=$GA$11),COUNTIFS($A$200:A353,$GA$10,$B$200:B353,$GA$11,$H$200:H353,1),0)</f>
        <v>0</v>
      </c>
    </row>
    <row r="354" spans="1:190">
      <c r="A354" t="str">
        <f t="shared" si="66"/>
        <v/>
      </c>
      <c r="B354" t="str">
        <f t="shared" si="67"/>
        <v/>
      </c>
      <c r="C354" t="str">
        <f t="shared" si="68"/>
        <v/>
      </c>
      <c r="D354" t="str">
        <f t="shared" si="69"/>
        <v/>
      </c>
      <c r="E354">
        <f t="shared" si="70"/>
        <v>0</v>
      </c>
      <c r="F354" t="str">
        <f t="shared" si="71"/>
        <v/>
      </c>
      <c r="G354">
        <f t="shared" si="72"/>
        <v>0</v>
      </c>
      <c r="H354">
        <f>IF(AND(G354=1,COUNTIFS($I$200:I354,I354,$G$200:G354,1)=1),1,0)</f>
        <v>0</v>
      </c>
      <c r="I354" t="str">
        <f t="shared" si="73"/>
        <v/>
      </c>
      <c r="BF354">
        <f t="shared" si="76"/>
        <v>0</v>
      </c>
      <c r="BG354">
        <f t="shared" si="77"/>
        <v>0</v>
      </c>
      <c r="BH354">
        <f t="shared" si="78"/>
        <v>0</v>
      </c>
      <c r="BI354">
        <f t="shared" si="79"/>
        <v>0</v>
      </c>
      <c r="BJ354">
        <f t="shared" si="80"/>
        <v>0</v>
      </c>
      <c r="BK354">
        <f t="shared" si="81"/>
        <v>0</v>
      </c>
      <c r="BL354">
        <f t="shared" si="82"/>
        <v>0</v>
      </c>
      <c r="BM354">
        <f t="shared" si="83"/>
        <v>0</v>
      </c>
      <c r="BN354">
        <f t="shared" si="84"/>
        <v>0</v>
      </c>
      <c r="BO354">
        <f t="shared" si="85"/>
        <v>0</v>
      </c>
      <c r="BP354">
        <f t="shared" si="86"/>
        <v>0</v>
      </c>
      <c r="BQ354">
        <f t="shared" si="87"/>
        <v>0</v>
      </c>
      <c r="BR354">
        <f t="shared" si="88"/>
        <v>0</v>
      </c>
      <c r="BS354">
        <f t="shared" si="89"/>
        <v>0</v>
      </c>
      <c r="BT354">
        <f t="shared" si="90"/>
        <v>0</v>
      </c>
      <c r="BU354">
        <f t="shared" si="91"/>
        <v>0</v>
      </c>
      <c r="BV354">
        <f t="shared" si="92"/>
        <v>0</v>
      </c>
      <c r="BW354">
        <f t="shared" si="93"/>
        <v>0</v>
      </c>
      <c r="CA354" t="str">
        <f>IF(155&gt;ROWS(DGArchive[模组]),"",IF(INDEX(DGArchive[模组],155)="","",INDEX(DGArchive[模组],155)))</f>
        <v/>
      </c>
      <c r="CB354" t="str">
        <f>IF(155&gt;ROWS(DGArchive[阶段]),"",IF(INDEX(DGArchive[阶段],155)="","",INDEX(DGArchive[阶段],155)))</f>
        <v/>
      </c>
      <c r="CC354" t="str">
        <f>IF(155&gt;ROWS(DGArchive[游戏内日期]),"",IF(INDEX(DGArchive[游戏内日期],155)="","",INDEX(DGArchive[游戏内日期],155)))</f>
        <v/>
      </c>
      <c r="CD354" t="str">
        <f>IF(155&gt;ROWS(DGArchive[目标]),"",IF(INDEX(DGArchive[目标],155)="","",INDEX(DGArchive[目标],155)))</f>
        <v/>
      </c>
      <c r="CE354" t="str">
        <f>IF(155&gt;ROWS(DGArchive[变更前]),"",IF(INDEX(DGArchive[变更前],155)="","",INDEX(DGArchive[变更前],155)))</f>
        <v/>
      </c>
      <c r="CF354" t="str">
        <f>IF(155&gt;ROWS(DGArchive[增减]),"",IF(INDEX(DGArchive[增减],155)="","",INDEX(DGArchive[增减],155)))</f>
        <v/>
      </c>
      <c r="CG354" t="str">
        <f>IF(155&gt;ROWS(DGArchive[变更后]),"",IF(INDEX(DGArchive[变更后],155)="","",INDEX(DGArchive[变更后],155)))</f>
        <v/>
      </c>
      <c r="CH354" t="str">
        <f>IF(155&gt;ROWS(DGArchive[事件／活动]),"",IF(INDEX(DGArchive[事件／活动],155)="","",INDEX(DGArchive[事件／活动],155)))</f>
        <v/>
      </c>
      <c r="CI354" t="str">
        <f>IF(155&gt;ROWS(DGArchive[记录编号]),"",IF(INDEX(DGArchive[记录编号],155)="","",INDEX(DGArchive[记录编号],155)))</f>
        <v/>
      </c>
      <c r="CL354">
        <f t="shared" si="74"/>
        <v>0</v>
      </c>
      <c r="CM354">
        <f>IF(AND(A354=$AO$5,B354=$AQ$3,H354=1),COUNTIFS($A$200:A354,$AO$5,$B$200:B354,$AQ$3,$H$200:H354,1),0)</f>
        <v>0</v>
      </c>
      <c r="CN354">
        <f>IF(CA354="",155,1001)</f>
        <v>155</v>
      </c>
      <c r="GA354">
        <f t="shared" si="94"/>
        <v>0</v>
      </c>
      <c r="GB354">
        <f t="shared" si="95"/>
        <v>0</v>
      </c>
      <c r="GC354">
        <f>IF(AND(C354="事件记录",H354=1),COUNTIFS($C$200:C354,"事件记录",$H$200:H354,1),0)</f>
        <v>0</v>
      </c>
      <c r="GD354">
        <f t="shared" si="75"/>
        <v>0</v>
      </c>
      <c r="GH354">
        <f>IF(AND(H354=1,A354=$GA$10,B354=$GA$11),COUNTIFS($A$200:A354,$GA$10,$B$200:B354,$GA$11,$H$200:H354,1),0)</f>
        <v>0</v>
      </c>
    </row>
    <row r="355" spans="1:190">
      <c r="A355" t="str">
        <f t="shared" si="66"/>
        <v/>
      </c>
      <c r="B355" t="str">
        <f t="shared" si="67"/>
        <v/>
      </c>
      <c r="C355" t="str">
        <f t="shared" si="68"/>
        <v/>
      </c>
      <c r="D355" t="str">
        <f t="shared" si="69"/>
        <v/>
      </c>
      <c r="E355">
        <f t="shared" si="70"/>
        <v>0</v>
      </c>
      <c r="F355" t="str">
        <f t="shared" si="71"/>
        <v/>
      </c>
      <c r="G355">
        <f t="shared" si="72"/>
        <v>0</v>
      </c>
      <c r="H355">
        <f>IF(AND(G355=1,COUNTIFS($I$200:I355,I355,$G$200:G355,1)=1),1,0)</f>
        <v>0</v>
      </c>
      <c r="I355" t="str">
        <f t="shared" si="73"/>
        <v/>
      </c>
      <c r="BF355">
        <f t="shared" si="76"/>
        <v>0</v>
      </c>
      <c r="BG355">
        <f t="shared" si="77"/>
        <v>0</v>
      </c>
      <c r="BH355">
        <f t="shared" si="78"/>
        <v>0</v>
      </c>
      <c r="BI355">
        <f t="shared" si="79"/>
        <v>0</v>
      </c>
      <c r="BJ355">
        <f t="shared" si="80"/>
        <v>0</v>
      </c>
      <c r="BK355">
        <f t="shared" si="81"/>
        <v>0</v>
      </c>
      <c r="BL355">
        <f t="shared" si="82"/>
        <v>0</v>
      </c>
      <c r="BM355">
        <f t="shared" si="83"/>
        <v>0</v>
      </c>
      <c r="BN355">
        <f t="shared" si="84"/>
        <v>0</v>
      </c>
      <c r="BO355">
        <f t="shared" si="85"/>
        <v>0</v>
      </c>
      <c r="BP355">
        <f t="shared" si="86"/>
        <v>0</v>
      </c>
      <c r="BQ355">
        <f t="shared" si="87"/>
        <v>0</v>
      </c>
      <c r="BR355">
        <f t="shared" si="88"/>
        <v>0</v>
      </c>
      <c r="BS355">
        <f t="shared" si="89"/>
        <v>0</v>
      </c>
      <c r="BT355">
        <f t="shared" si="90"/>
        <v>0</v>
      </c>
      <c r="BU355">
        <f t="shared" si="91"/>
        <v>0</v>
      </c>
      <c r="BV355">
        <f t="shared" si="92"/>
        <v>0</v>
      </c>
      <c r="BW355">
        <f t="shared" si="93"/>
        <v>0</v>
      </c>
      <c r="CA355" t="str">
        <f>IF(156&gt;ROWS(DGArchive[模组]),"",IF(INDEX(DGArchive[模组],156)="","",INDEX(DGArchive[模组],156)))</f>
        <v/>
      </c>
      <c r="CB355" t="str">
        <f>IF(156&gt;ROWS(DGArchive[阶段]),"",IF(INDEX(DGArchive[阶段],156)="","",INDEX(DGArchive[阶段],156)))</f>
        <v/>
      </c>
      <c r="CC355" t="str">
        <f>IF(156&gt;ROWS(DGArchive[游戏内日期]),"",IF(INDEX(DGArchive[游戏内日期],156)="","",INDEX(DGArchive[游戏内日期],156)))</f>
        <v/>
      </c>
      <c r="CD355" t="str">
        <f>IF(156&gt;ROWS(DGArchive[目标]),"",IF(INDEX(DGArchive[目标],156)="","",INDEX(DGArchive[目标],156)))</f>
        <v/>
      </c>
      <c r="CE355" t="str">
        <f>IF(156&gt;ROWS(DGArchive[变更前]),"",IF(INDEX(DGArchive[变更前],156)="","",INDEX(DGArchive[变更前],156)))</f>
        <v/>
      </c>
      <c r="CF355" t="str">
        <f>IF(156&gt;ROWS(DGArchive[增减]),"",IF(INDEX(DGArchive[增减],156)="","",INDEX(DGArchive[增减],156)))</f>
        <v/>
      </c>
      <c r="CG355" t="str">
        <f>IF(156&gt;ROWS(DGArchive[变更后]),"",IF(INDEX(DGArchive[变更后],156)="","",INDEX(DGArchive[变更后],156)))</f>
        <v/>
      </c>
      <c r="CH355" t="str">
        <f>IF(156&gt;ROWS(DGArchive[事件／活动]),"",IF(INDEX(DGArchive[事件／活动],156)="","",INDEX(DGArchive[事件／活动],156)))</f>
        <v/>
      </c>
      <c r="CI355" t="str">
        <f>IF(156&gt;ROWS(DGArchive[记录编号]),"",IF(INDEX(DGArchive[记录编号],156)="","",INDEX(DGArchive[记录编号],156)))</f>
        <v/>
      </c>
      <c r="CL355">
        <f t="shared" si="74"/>
        <v>0</v>
      </c>
      <c r="CM355">
        <f>IF(AND(A355=$AO$5,B355=$AQ$3,H355=1),COUNTIFS($A$200:A355,$AO$5,$B$200:B355,$AQ$3,$H$200:H355,1),0)</f>
        <v>0</v>
      </c>
      <c r="CN355">
        <f>IF(CA355="",156,1001)</f>
        <v>156</v>
      </c>
      <c r="GA355">
        <f t="shared" si="94"/>
        <v>0</v>
      </c>
      <c r="GB355">
        <f t="shared" si="95"/>
        <v>0</v>
      </c>
      <c r="GC355">
        <f>IF(AND(C355="事件记录",H355=1),COUNTIFS($C$200:C355,"事件记录",$H$200:H355,1),0)</f>
        <v>0</v>
      </c>
      <c r="GD355">
        <f t="shared" si="75"/>
        <v>0</v>
      </c>
      <c r="GH355">
        <f>IF(AND(H355=1,A355=$GA$10,B355=$GA$11),COUNTIFS($A$200:A355,$GA$10,$B$200:B355,$GA$11,$H$200:H355,1),0)</f>
        <v>0</v>
      </c>
    </row>
    <row r="356" spans="1:190">
      <c r="A356" t="str">
        <f t="shared" si="66"/>
        <v/>
      </c>
      <c r="B356" t="str">
        <f t="shared" si="67"/>
        <v/>
      </c>
      <c r="C356" t="str">
        <f t="shared" si="68"/>
        <v/>
      </c>
      <c r="D356" t="str">
        <f t="shared" si="69"/>
        <v/>
      </c>
      <c r="E356">
        <f t="shared" si="70"/>
        <v>0</v>
      </c>
      <c r="F356" t="str">
        <f t="shared" si="71"/>
        <v/>
      </c>
      <c r="G356">
        <f t="shared" si="72"/>
        <v>0</v>
      </c>
      <c r="H356">
        <f>IF(AND(G356=1,COUNTIFS($I$200:I356,I356,$G$200:G356,1)=1),1,0)</f>
        <v>0</v>
      </c>
      <c r="I356" t="str">
        <f t="shared" si="73"/>
        <v/>
      </c>
      <c r="BF356">
        <f t="shared" si="76"/>
        <v>0</v>
      </c>
      <c r="BG356">
        <f t="shared" si="77"/>
        <v>0</v>
      </c>
      <c r="BH356">
        <f t="shared" si="78"/>
        <v>0</v>
      </c>
      <c r="BI356">
        <f t="shared" si="79"/>
        <v>0</v>
      </c>
      <c r="BJ356">
        <f t="shared" si="80"/>
        <v>0</v>
      </c>
      <c r="BK356">
        <f t="shared" si="81"/>
        <v>0</v>
      </c>
      <c r="BL356">
        <f t="shared" si="82"/>
        <v>0</v>
      </c>
      <c r="BM356">
        <f t="shared" si="83"/>
        <v>0</v>
      </c>
      <c r="BN356">
        <f t="shared" si="84"/>
        <v>0</v>
      </c>
      <c r="BO356">
        <f t="shared" si="85"/>
        <v>0</v>
      </c>
      <c r="BP356">
        <f t="shared" si="86"/>
        <v>0</v>
      </c>
      <c r="BQ356">
        <f t="shared" si="87"/>
        <v>0</v>
      </c>
      <c r="BR356">
        <f t="shared" si="88"/>
        <v>0</v>
      </c>
      <c r="BS356">
        <f t="shared" si="89"/>
        <v>0</v>
      </c>
      <c r="BT356">
        <f t="shared" si="90"/>
        <v>0</v>
      </c>
      <c r="BU356">
        <f t="shared" si="91"/>
        <v>0</v>
      </c>
      <c r="BV356">
        <f t="shared" si="92"/>
        <v>0</v>
      </c>
      <c r="BW356">
        <f t="shared" si="93"/>
        <v>0</v>
      </c>
      <c r="CA356" t="str">
        <f>IF(157&gt;ROWS(DGArchive[模组]),"",IF(INDEX(DGArchive[模组],157)="","",INDEX(DGArchive[模组],157)))</f>
        <v/>
      </c>
      <c r="CB356" t="str">
        <f>IF(157&gt;ROWS(DGArchive[阶段]),"",IF(INDEX(DGArchive[阶段],157)="","",INDEX(DGArchive[阶段],157)))</f>
        <v/>
      </c>
      <c r="CC356" t="str">
        <f>IF(157&gt;ROWS(DGArchive[游戏内日期]),"",IF(INDEX(DGArchive[游戏内日期],157)="","",INDEX(DGArchive[游戏内日期],157)))</f>
        <v/>
      </c>
      <c r="CD356" t="str">
        <f>IF(157&gt;ROWS(DGArchive[目标]),"",IF(INDEX(DGArchive[目标],157)="","",INDEX(DGArchive[目标],157)))</f>
        <v/>
      </c>
      <c r="CE356" t="str">
        <f>IF(157&gt;ROWS(DGArchive[变更前]),"",IF(INDEX(DGArchive[变更前],157)="","",INDEX(DGArchive[变更前],157)))</f>
        <v/>
      </c>
      <c r="CF356" t="str">
        <f>IF(157&gt;ROWS(DGArchive[增减]),"",IF(INDEX(DGArchive[增减],157)="","",INDEX(DGArchive[增减],157)))</f>
        <v/>
      </c>
      <c r="CG356" t="str">
        <f>IF(157&gt;ROWS(DGArchive[变更后]),"",IF(INDEX(DGArchive[变更后],157)="","",INDEX(DGArchive[变更后],157)))</f>
        <v/>
      </c>
      <c r="CH356" t="str">
        <f>IF(157&gt;ROWS(DGArchive[事件／活动]),"",IF(INDEX(DGArchive[事件／活动],157)="","",INDEX(DGArchive[事件／活动],157)))</f>
        <v/>
      </c>
      <c r="CI356" t="str">
        <f>IF(157&gt;ROWS(DGArchive[记录编号]),"",IF(INDEX(DGArchive[记录编号],157)="","",INDEX(DGArchive[记录编号],157)))</f>
        <v/>
      </c>
      <c r="CL356">
        <f t="shared" si="74"/>
        <v>0</v>
      </c>
      <c r="CM356">
        <f>IF(AND(A356=$AO$5,B356=$AQ$3,H356=1),COUNTIFS($A$200:A356,$AO$5,$B$200:B356,$AQ$3,$H$200:H356,1),0)</f>
        <v>0</v>
      </c>
      <c r="CN356">
        <f>IF(CA356="",157,1001)</f>
        <v>157</v>
      </c>
      <c r="GA356">
        <f t="shared" si="94"/>
        <v>0</v>
      </c>
      <c r="GB356">
        <f t="shared" si="95"/>
        <v>0</v>
      </c>
      <c r="GC356">
        <f>IF(AND(C356="事件记录",H356=1),COUNTIFS($C$200:C356,"事件记录",$H$200:H356,1),0)</f>
        <v>0</v>
      </c>
      <c r="GD356">
        <f t="shared" si="75"/>
        <v>0</v>
      </c>
      <c r="GH356">
        <f>IF(AND(H356=1,A356=$GA$10,B356=$GA$11),COUNTIFS($A$200:A356,$GA$10,$B$200:B356,$GA$11,$H$200:H356,1),0)</f>
        <v>0</v>
      </c>
    </row>
    <row r="357" spans="1:190">
      <c r="A357" t="str">
        <f t="shared" si="66"/>
        <v/>
      </c>
      <c r="B357" t="str">
        <f t="shared" si="67"/>
        <v/>
      </c>
      <c r="C357" t="str">
        <f t="shared" si="68"/>
        <v/>
      </c>
      <c r="D357" t="str">
        <f t="shared" si="69"/>
        <v/>
      </c>
      <c r="E357">
        <f t="shared" si="70"/>
        <v>0</v>
      </c>
      <c r="F357" t="str">
        <f t="shared" si="71"/>
        <v/>
      </c>
      <c r="G357">
        <f t="shared" si="72"/>
        <v>0</v>
      </c>
      <c r="H357">
        <f>IF(AND(G357=1,COUNTIFS($I$200:I357,I357,$G$200:G357,1)=1),1,0)</f>
        <v>0</v>
      </c>
      <c r="I357" t="str">
        <f t="shared" si="73"/>
        <v/>
      </c>
      <c r="BF357">
        <f t="shared" si="76"/>
        <v>0</v>
      </c>
      <c r="BG357">
        <f t="shared" si="77"/>
        <v>0</v>
      </c>
      <c r="BH357">
        <f t="shared" si="78"/>
        <v>0</v>
      </c>
      <c r="BI357">
        <f t="shared" si="79"/>
        <v>0</v>
      </c>
      <c r="BJ357">
        <f t="shared" si="80"/>
        <v>0</v>
      </c>
      <c r="BK357">
        <f t="shared" si="81"/>
        <v>0</v>
      </c>
      <c r="BL357">
        <f t="shared" si="82"/>
        <v>0</v>
      </c>
      <c r="BM357">
        <f t="shared" si="83"/>
        <v>0</v>
      </c>
      <c r="BN357">
        <f t="shared" si="84"/>
        <v>0</v>
      </c>
      <c r="BO357">
        <f t="shared" si="85"/>
        <v>0</v>
      </c>
      <c r="BP357">
        <f t="shared" si="86"/>
        <v>0</v>
      </c>
      <c r="BQ357">
        <f t="shared" si="87"/>
        <v>0</v>
      </c>
      <c r="BR357">
        <f t="shared" si="88"/>
        <v>0</v>
      </c>
      <c r="BS357">
        <f t="shared" si="89"/>
        <v>0</v>
      </c>
      <c r="BT357">
        <f t="shared" si="90"/>
        <v>0</v>
      </c>
      <c r="BU357">
        <f t="shared" si="91"/>
        <v>0</v>
      </c>
      <c r="BV357">
        <f t="shared" si="92"/>
        <v>0</v>
      </c>
      <c r="BW357">
        <f t="shared" si="93"/>
        <v>0</v>
      </c>
      <c r="CA357" t="str">
        <f>IF(158&gt;ROWS(DGArchive[模组]),"",IF(INDEX(DGArchive[模组],158)="","",INDEX(DGArchive[模组],158)))</f>
        <v/>
      </c>
      <c r="CB357" t="str">
        <f>IF(158&gt;ROWS(DGArchive[阶段]),"",IF(INDEX(DGArchive[阶段],158)="","",INDEX(DGArchive[阶段],158)))</f>
        <v/>
      </c>
      <c r="CC357" t="str">
        <f>IF(158&gt;ROWS(DGArchive[游戏内日期]),"",IF(INDEX(DGArchive[游戏内日期],158)="","",INDEX(DGArchive[游戏内日期],158)))</f>
        <v/>
      </c>
      <c r="CD357" t="str">
        <f>IF(158&gt;ROWS(DGArchive[目标]),"",IF(INDEX(DGArchive[目标],158)="","",INDEX(DGArchive[目标],158)))</f>
        <v/>
      </c>
      <c r="CE357" t="str">
        <f>IF(158&gt;ROWS(DGArchive[变更前]),"",IF(INDEX(DGArchive[变更前],158)="","",INDEX(DGArchive[变更前],158)))</f>
        <v/>
      </c>
      <c r="CF357" t="str">
        <f>IF(158&gt;ROWS(DGArchive[增减]),"",IF(INDEX(DGArchive[增减],158)="","",INDEX(DGArchive[增减],158)))</f>
        <v/>
      </c>
      <c r="CG357" t="str">
        <f>IF(158&gt;ROWS(DGArchive[变更后]),"",IF(INDEX(DGArchive[变更后],158)="","",INDEX(DGArchive[变更后],158)))</f>
        <v/>
      </c>
      <c r="CH357" t="str">
        <f>IF(158&gt;ROWS(DGArchive[事件／活动]),"",IF(INDEX(DGArchive[事件／活动],158)="","",INDEX(DGArchive[事件／活动],158)))</f>
        <v/>
      </c>
      <c r="CI357" t="str">
        <f>IF(158&gt;ROWS(DGArchive[记录编号]),"",IF(INDEX(DGArchive[记录编号],158)="","",INDEX(DGArchive[记录编号],158)))</f>
        <v/>
      </c>
      <c r="CL357">
        <f t="shared" si="74"/>
        <v>0</v>
      </c>
      <c r="CM357">
        <f>IF(AND(A357=$AO$5,B357=$AQ$3,H357=1),COUNTIFS($A$200:A357,$AO$5,$B$200:B357,$AQ$3,$H$200:H357,1),0)</f>
        <v>0</v>
      </c>
      <c r="CN357">
        <f>IF(CA357="",158,1001)</f>
        <v>158</v>
      </c>
      <c r="GA357">
        <f t="shared" si="94"/>
        <v>0</v>
      </c>
      <c r="GB357">
        <f t="shared" si="95"/>
        <v>0</v>
      </c>
      <c r="GC357">
        <f>IF(AND(C357="事件记录",H357=1),COUNTIFS($C$200:C357,"事件记录",$H$200:H357,1),0)</f>
        <v>0</v>
      </c>
      <c r="GD357">
        <f t="shared" si="75"/>
        <v>0</v>
      </c>
      <c r="GH357">
        <f>IF(AND(H357=1,A357=$GA$10,B357=$GA$11),COUNTIFS($A$200:A357,$GA$10,$B$200:B357,$GA$11,$H$200:H357,1),0)</f>
        <v>0</v>
      </c>
    </row>
    <row r="358" spans="1:190">
      <c r="A358" t="str">
        <f t="shared" si="66"/>
        <v/>
      </c>
      <c r="B358" t="str">
        <f t="shared" si="67"/>
        <v/>
      </c>
      <c r="C358" t="str">
        <f t="shared" si="68"/>
        <v/>
      </c>
      <c r="D358" t="str">
        <f t="shared" si="69"/>
        <v/>
      </c>
      <c r="E358">
        <f t="shared" si="70"/>
        <v>0</v>
      </c>
      <c r="F358" t="str">
        <f t="shared" si="71"/>
        <v/>
      </c>
      <c r="G358">
        <f t="shared" si="72"/>
        <v>0</v>
      </c>
      <c r="H358">
        <f>IF(AND(G358=1,COUNTIFS($I$200:I358,I358,$G$200:G358,1)=1),1,0)</f>
        <v>0</v>
      </c>
      <c r="I358" t="str">
        <f t="shared" si="73"/>
        <v/>
      </c>
      <c r="BF358">
        <f t="shared" si="76"/>
        <v>0</v>
      </c>
      <c r="BG358">
        <f t="shared" si="77"/>
        <v>0</v>
      </c>
      <c r="BH358">
        <f t="shared" si="78"/>
        <v>0</v>
      </c>
      <c r="BI358">
        <f t="shared" si="79"/>
        <v>0</v>
      </c>
      <c r="BJ358">
        <f t="shared" si="80"/>
        <v>0</v>
      </c>
      <c r="BK358">
        <f t="shared" si="81"/>
        <v>0</v>
      </c>
      <c r="BL358">
        <f t="shared" si="82"/>
        <v>0</v>
      </c>
      <c r="BM358">
        <f t="shared" si="83"/>
        <v>0</v>
      </c>
      <c r="BN358">
        <f t="shared" si="84"/>
        <v>0</v>
      </c>
      <c r="BO358">
        <f t="shared" si="85"/>
        <v>0</v>
      </c>
      <c r="BP358">
        <f t="shared" si="86"/>
        <v>0</v>
      </c>
      <c r="BQ358">
        <f t="shared" si="87"/>
        <v>0</v>
      </c>
      <c r="BR358">
        <f t="shared" si="88"/>
        <v>0</v>
      </c>
      <c r="BS358">
        <f t="shared" si="89"/>
        <v>0</v>
      </c>
      <c r="BT358">
        <f t="shared" si="90"/>
        <v>0</v>
      </c>
      <c r="BU358">
        <f t="shared" si="91"/>
        <v>0</v>
      </c>
      <c r="BV358">
        <f t="shared" si="92"/>
        <v>0</v>
      </c>
      <c r="BW358">
        <f t="shared" si="93"/>
        <v>0</v>
      </c>
      <c r="CA358" t="str">
        <f>IF(159&gt;ROWS(DGArchive[模组]),"",IF(INDEX(DGArchive[模组],159)="","",INDEX(DGArchive[模组],159)))</f>
        <v/>
      </c>
      <c r="CB358" t="str">
        <f>IF(159&gt;ROWS(DGArchive[阶段]),"",IF(INDEX(DGArchive[阶段],159)="","",INDEX(DGArchive[阶段],159)))</f>
        <v/>
      </c>
      <c r="CC358" t="str">
        <f>IF(159&gt;ROWS(DGArchive[游戏内日期]),"",IF(INDEX(DGArchive[游戏内日期],159)="","",INDEX(DGArchive[游戏内日期],159)))</f>
        <v/>
      </c>
      <c r="CD358" t="str">
        <f>IF(159&gt;ROWS(DGArchive[目标]),"",IF(INDEX(DGArchive[目标],159)="","",INDEX(DGArchive[目标],159)))</f>
        <v/>
      </c>
      <c r="CE358" t="str">
        <f>IF(159&gt;ROWS(DGArchive[变更前]),"",IF(INDEX(DGArchive[变更前],159)="","",INDEX(DGArchive[变更前],159)))</f>
        <v/>
      </c>
      <c r="CF358" t="str">
        <f>IF(159&gt;ROWS(DGArchive[增减]),"",IF(INDEX(DGArchive[增减],159)="","",INDEX(DGArchive[增减],159)))</f>
        <v/>
      </c>
      <c r="CG358" t="str">
        <f>IF(159&gt;ROWS(DGArchive[变更后]),"",IF(INDEX(DGArchive[变更后],159)="","",INDEX(DGArchive[变更后],159)))</f>
        <v/>
      </c>
      <c r="CH358" t="str">
        <f>IF(159&gt;ROWS(DGArchive[事件／活动]),"",IF(INDEX(DGArchive[事件／活动],159)="","",INDEX(DGArchive[事件／活动],159)))</f>
        <v/>
      </c>
      <c r="CI358" t="str">
        <f>IF(159&gt;ROWS(DGArchive[记录编号]),"",IF(INDEX(DGArchive[记录编号],159)="","",INDEX(DGArchive[记录编号],159)))</f>
        <v/>
      </c>
      <c r="CL358">
        <f t="shared" si="74"/>
        <v>0</v>
      </c>
      <c r="CM358">
        <f>IF(AND(A358=$AO$5,B358=$AQ$3,H358=1),COUNTIFS($A$200:A358,$AO$5,$B$200:B358,$AQ$3,$H$200:H358,1),0)</f>
        <v>0</v>
      </c>
      <c r="CN358">
        <f>IF(CA358="",159,1001)</f>
        <v>159</v>
      </c>
      <c r="GA358">
        <f t="shared" si="94"/>
        <v>0</v>
      </c>
      <c r="GB358">
        <f t="shared" si="95"/>
        <v>0</v>
      </c>
      <c r="GC358">
        <f>IF(AND(C358="事件记录",H358=1),COUNTIFS($C$200:C358,"事件记录",$H$200:H358,1),0)</f>
        <v>0</v>
      </c>
      <c r="GD358">
        <f t="shared" si="75"/>
        <v>0</v>
      </c>
      <c r="GH358">
        <f>IF(AND(H358=1,A358=$GA$10,B358=$GA$11),COUNTIFS($A$200:A358,$GA$10,$B$200:B358,$GA$11,$H$200:H358,1),0)</f>
        <v>0</v>
      </c>
    </row>
    <row r="359" spans="1:190">
      <c r="A359" t="str">
        <f t="shared" si="66"/>
        <v/>
      </c>
      <c r="B359" t="str">
        <f t="shared" si="67"/>
        <v/>
      </c>
      <c r="C359" t="str">
        <f t="shared" si="68"/>
        <v/>
      </c>
      <c r="D359" t="str">
        <f t="shared" si="69"/>
        <v/>
      </c>
      <c r="E359">
        <f t="shared" si="70"/>
        <v>0</v>
      </c>
      <c r="F359" t="str">
        <f t="shared" si="71"/>
        <v/>
      </c>
      <c r="G359">
        <f t="shared" si="72"/>
        <v>0</v>
      </c>
      <c r="H359">
        <f>IF(AND(G359=1,COUNTIFS($I$200:I359,I359,$G$200:G359,1)=1),1,0)</f>
        <v>0</v>
      </c>
      <c r="I359" t="str">
        <f t="shared" si="73"/>
        <v/>
      </c>
      <c r="BF359">
        <f t="shared" si="76"/>
        <v>0</v>
      </c>
      <c r="BG359">
        <f t="shared" si="77"/>
        <v>0</v>
      </c>
      <c r="BH359">
        <f t="shared" si="78"/>
        <v>0</v>
      </c>
      <c r="BI359">
        <f t="shared" si="79"/>
        <v>0</v>
      </c>
      <c r="BJ359">
        <f t="shared" si="80"/>
        <v>0</v>
      </c>
      <c r="BK359">
        <f t="shared" si="81"/>
        <v>0</v>
      </c>
      <c r="BL359">
        <f t="shared" si="82"/>
        <v>0</v>
      </c>
      <c r="BM359">
        <f t="shared" si="83"/>
        <v>0</v>
      </c>
      <c r="BN359">
        <f t="shared" si="84"/>
        <v>0</v>
      </c>
      <c r="BO359">
        <f t="shared" si="85"/>
        <v>0</v>
      </c>
      <c r="BP359">
        <f t="shared" si="86"/>
        <v>0</v>
      </c>
      <c r="BQ359">
        <f t="shared" si="87"/>
        <v>0</v>
      </c>
      <c r="BR359">
        <f t="shared" si="88"/>
        <v>0</v>
      </c>
      <c r="BS359">
        <f t="shared" si="89"/>
        <v>0</v>
      </c>
      <c r="BT359">
        <f t="shared" si="90"/>
        <v>0</v>
      </c>
      <c r="BU359">
        <f t="shared" si="91"/>
        <v>0</v>
      </c>
      <c r="BV359">
        <f t="shared" si="92"/>
        <v>0</v>
      </c>
      <c r="BW359">
        <f t="shared" si="93"/>
        <v>0</v>
      </c>
      <c r="CA359" t="str">
        <f>IF(160&gt;ROWS(DGArchive[模组]),"",IF(INDEX(DGArchive[模组],160)="","",INDEX(DGArchive[模组],160)))</f>
        <v/>
      </c>
      <c r="CB359" t="str">
        <f>IF(160&gt;ROWS(DGArchive[阶段]),"",IF(INDEX(DGArchive[阶段],160)="","",INDEX(DGArchive[阶段],160)))</f>
        <v/>
      </c>
      <c r="CC359" t="str">
        <f>IF(160&gt;ROWS(DGArchive[游戏内日期]),"",IF(INDEX(DGArchive[游戏内日期],160)="","",INDEX(DGArchive[游戏内日期],160)))</f>
        <v/>
      </c>
      <c r="CD359" t="str">
        <f>IF(160&gt;ROWS(DGArchive[目标]),"",IF(INDEX(DGArchive[目标],160)="","",INDEX(DGArchive[目标],160)))</f>
        <v/>
      </c>
      <c r="CE359" t="str">
        <f>IF(160&gt;ROWS(DGArchive[变更前]),"",IF(INDEX(DGArchive[变更前],160)="","",INDEX(DGArchive[变更前],160)))</f>
        <v/>
      </c>
      <c r="CF359" t="str">
        <f>IF(160&gt;ROWS(DGArchive[增减]),"",IF(INDEX(DGArchive[增减],160)="","",INDEX(DGArchive[增减],160)))</f>
        <v/>
      </c>
      <c r="CG359" t="str">
        <f>IF(160&gt;ROWS(DGArchive[变更后]),"",IF(INDEX(DGArchive[变更后],160)="","",INDEX(DGArchive[变更后],160)))</f>
        <v/>
      </c>
      <c r="CH359" t="str">
        <f>IF(160&gt;ROWS(DGArchive[事件／活动]),"",IF(INDEX(DGArchive[事件／活动],160)="","",INDEX(DGArchive[事件／活动],160)))</f>
        <v/>
      </c>
      <c r="CI359" t="str">
        <f>IF(160&gt;ROWS(DGArchive[记录编号]),"",IF(INDEX(DGArchive[记录编号],160)="","",INDEX(DGArchive[记录编号],160)))</f>
        <v/>
      </c>
      <c r="CL359">
        <f t="shared" si="74"/>
        <v>0</v>
      </c>
      <c r="CM359">
        <f>IF(AND(A359=$AO$5,B359=$AQ$3,H359=1),COUNTIFS($A$200:A359,$AO$5,$B$200:B359,$AQ$3,$H$200:H359,1),0)</f>
        <v>0</v>
      </c>
      <c r="CN359">
        <f>IF(CA359="",160,1001)</f>
        <v>160</v>
      </c>
      <c r="GA359">
        <f t="shared" si="94"/>
        <v>0</v>
      </c>
      <c r="GB359">
        <f t="shared" si="95"/>
        <v>0</v>
      </c>
      <c r="GC359">
        <f>IF(AND(C359="事件记录",H359=1),COUNTIFS($C$200:C359,"事件记录",$H$200:H359,1),0)</f>
        <v>0</v>
      </c>
      <c r="GD359">
        <f t="shared" si="75"/>
        <v>0</v>
      </c>
      <c r="GH359">
        <f>IF(AND(H359=1,A359=$GA$10,B359=$GA$11),COUNTIFS($A$200:A359,$GA$10,$B$200:B359,$GA$11,$H$200:H359,1),0)</f>
        <v>0</v>
      </c>
    </row>
    <row r="360" spans="1:190">
      <c r="A360" t="str">
        <f t="shared" si="66"/>
        <v/>
      </c>
      <c r="B360" t="str">
        <f t="shared" si="67"/>
        <v/>
      </c>
      <c r="C360" t="str">
        <f t="shared" si="68"/>
        <v/>
      </c>
      <c r="D360" t="str">
        <f t="shared" si="69"/>
        <v/>
      </c>
      <c r="E360">
        <f t="shared" si="70"/>
        <v>0</v>
      </c>
      <c r="F360" t="str">
        <f t="shared" si="71"/>
        <v/>
      </c>
      <c r="G360">
        <f t="shared" si="72"/>
        <v>0</v>
      </c>
      <c r="H360">
        <f>IF(AND(G360=1,COUNTIFS($I$200:I360,I360,$G$200:G360,1)=1),1,0)</f>
        <v>0</v>
      </c>
      <c r="I360" t="str">
        <f t="shared" si="73"/>
        <v/>
      </c>
      <c r="BF360">
        <f t="shared" si="76"/>
        <v>0</v>
      </c>
      <c r="BG360">
        <f t="shared" si="77"/>
        <v>0</v>
      </c>
      <c r="BH360">
        <f t="shared" si="78"/>
        <v>0</v>
      </c>
      <c r="BI360">
        <f t="shared" si="79"/>
        <v>0</v>
      </c>
      <c r="BJ360">
        <f t="shared" si="80"/>
        <v>0</v>
      </c>
      <c r="BK360">
        <f t="shared" si="81"/>
        <v>0</v>
      </c>
      <c r="BL360">
        <f t="shared" si="82"/>
        <v>0</v>
      </c>
      <c r="BM360">
        <f t="shared" si="83"/>
        <v>0</v>
      </c>
      <c r="BN360">
        <f t="shared" si="84"/>
        <v>0</v>
      </c>
      <c r="BO360">
        <f t="shared" si="85"/>
        <v>0</v>
      </c>
      <c r="BP360">
        <f t="shared" si="86"/>
        <v>0</v>
      </c>
      <c r="BQ360">
        <f t="shared" si="87"/>
        <v>0</v>
      </c>
      <c r="BR360">
        <f t="shared" si="88"/>
        <v>0</v>
      </c>
      <c r="BS360">
        <f t="shared" si="89"/>
        <v>0</v>
      </c>
      <c r="BT360">
        <f t="shared" si="90"/>
        <v>0</v>
      </c>
      <c r="BU360">
        <f t="shared" si="91"/>
        <v>0</v>
      </c>
      <c r="BV360">
        <f t="shared" si="92"/>
        <v>0</v>
      </c>
      <c r="BW360">
        <f t="shared" si="93"/>
        <v>0</v>
      </c>
      <c r="CA360" t="str">
        <f>IF(161&gt;ROWS(DGArchive[模组]),"",IF(INDEX(DGArchive[模组],161)="","",INDEX(DGArchive[模组],161)))</f>
        <v/>
      </c>
      <c r="CB360" t="str">
        <f>IF(161&gt;ROWS(DGArchive[阶段]),"",IF(INDEX(DGArchive[阶段],161)="","",INDEX(DGArchive[阶段],161)))</f>
        <v/>
      </c>
      <c r="CC360" t="str">
        <f>IF(161&gt;ROWS(DGArchive[游戏内日期]),"",IF(INDEX(DGArchive[游戏内日期],161)="","",INDEX(DGArchive[游戏内日期],161)))</f>
        <v/>
      </c>
      <c r="CD360" t="str">
        <f>IF(161&gt;ROWS(DGArchive[目标]),"",IF(INDEX(DGArchive[目标],161)="","",INDEX(DGArchive[目标],161)))</f>
        <v/>
      </c>
      <c r="CE360" t="str">
        <f>IF(161&gt;ROWS(DGArchive[变更前]),"",IF(INDEX(DGArchive[变更前],161)="","",INDEX(DGArchive[变更前],161)))</f>
        <v/>
      </c>
      <c r="CF360" t="str">
        <f>IF(161&gt;ROWS(DGArchive[增减]),"",IF(INDEX(DGArchive[增减],161)="","",INDEX(DGArchive[增减],161)))</f>
        <v/>
      </c>
      <c r="CG360" t="str">
        <f>IF(161&gt;ROWS(DGArchive[变更后]),"",IF(INDEX(DGArchive[变更后],161)="","",INDEX(DGArchive[变更后],161)))</f>
        <v/>
      </c>
      <c r="CH360" t="str">
        <f>IF(161&gt;ROWS(DGArchive[事件／活动]),"",IF(INDEX(DGArchive[事件／活动],161)="","",INDEX(DGArchive[事件／活动],161)))</f>
        <v/>
      </c>
      <c r="CI360" t="str">
        <f>IF(161&gt;ROWS(DGArchive[记录编号]),"",IF(INDEX(DGArchive[记录编号],161)="","",INDEX(DGArchive[记录编号],161)))</f>
        <v/>
      </c>
      <c r="CL360">
        <f t="shared" si="74"/>
        <v>0</v>
      </c>
      <c r="CM360">
        <f>IF(AND(A360=$AO$5,B360=$AQ$3,H360=1),COUNTIFS($A$200:A360,$AO$5,$B$200:B360,$AQ$3,$H$200:H360,1),0)</f>
        <v>0</v>
      </c>
      <c r="CN360">
        <f>IF(CA360="",161,1001)</f>
        <v>161</v>
      </c>
      <c r="GA360">
        <f t="shared" si="94"/>
        <v>0</v>
      </c>
      <c r="GB360">
        <f t="shared" si="95"/>
        <v>0</v>
      </c>
      <c r="GC360">
        <f>IF(AND(C360="事件记录",H360=1),COUNTIFS($C$200:C360,"事件记录",$H$200:H360,1),0)</f>
        <v>0</v>
      </c>
      <c r="GD360">
        <f t="shared" si="75"/>
        <v>0</v>
      </c>
      <c r="GH360">
        <f>IF(AND(H360=1,A360=$GA$10,B360=$GA$11),COUNTIFS($A$200:A360,$GA$10,$B$200:B360,$GA$11,$H$200:H360,1),0)</f>
        <v>0</v>
      </c>
    </row>
    <row r="361" spans="1:190">
      <c r="A361" t="str">
        <f t="shared" si="66"/>
        <v/>
      </c>
      <c r="B361" t="str">
        <f t="shared" si="67"/>
        <v/>
      </c>
      <c r="C361" t="str">
        <f t="shared" si="68"/>
        <v/>
      </c>
      <c r="D361" t="str">
        <f t="shared" si="69"/>
        <v/>
      </c>
      <c r="E361">
        <f t="shared" si="70"/>
        <v>0</v>
      </c>
      <c r="F361" t="str">
        <f t="shared" si="71"/>
        <v/>
      </c>
      <c r="G361">
        <f t="shared" si="72"/>
        <v>0</v>
      </c>
      <c r="H361">
        <f>IF(AND(G361=1,COUNTIFS($I$200:I361,I361,$G$200:G361,1)=1),1,0)</f>
        <v>0</v>
      </c>
      <c r="I361" t="str">
        <f t="shared" si="73"/>
        <v/>
      </c>
      <c r="BF361">
        <f t="shared" si="76"/>
        <v>0</v>
      </c>
      <c r="BG361">
        <f t="shared" si="77"/>
        <v>0</v>
      </c>
      <c r="BH361">
        <f t="shared" si="78"/>
        <v>0</v>
      </c>
      <c r="BI361">
        <f t="shared" si="79"/>
        <v>0</v>
      </c>
      <c r="BJ361">
        <f t="shared" si="80"/>
        <v>0</v>
      </c>
      <c r="BK361">
        <f t="shared" si="81"/>
        <v>0</v>
      </c>
      <c r="BL361">
        <f t="shared" si="82"/>
        <v>0</v>
      </c>
      <c r="BM361">
        <f t="shared" si="83"/>
        <v>0</v>
      </c>
      <c r="BN361">
        <f t="shared" si="84"/>
        <v>0</v>
      </c>
      <c r="BO361">
        <f t="shared" si="85"/>
        <v>0</v>
      </c>
      <c r="BP361">
        <f t="shared" si="86"/>
        <v>0</v>
      </c>
      <c r="BQ361">
        <f t="shared" si="87"/>
        <v>0</v>
      </c>
      <c r="BR361">
        <f t="shared" si="88"/>
        <v>0</v>
      </c>
      <c r="BS361">
        <f t="shared" si="89"/>
        <v>0</v>
      </c>
      <c r="BT361">
        <f t="shared" si="90"/>
        <v>0</v>
      </c>
      <c r="BU361">
        <f t="shared" si="91"/>
        <v>0</v>
      </c>
      <c r="BV361">
        <f t="shared" si="92"/>
        <v>0</v>
      </c>
      <c r="BW361">
        <f t="shared" si="93"/>
        <v>0</v>
      </c>
      <c r="CA361" t="str">
        <f>IF(162&gt;ROWS(DGArchive[模组]),"",IF(INDEX(DGArchive[模组],162)="","",INDEX(DGArchive[模组],162)))</f>
        <v/>
      </c>
      <c r="CB361" t="str">
        <f>IF(162&gt;ROWS(DGArchive[阶段]),"",IF(INDEX(DGArchive[阶段],162)="","",INDEX(DGArchive[阶段],162)))</f>
        <v/>
      </c>
      <c r="CC361" t="str">
        <f>IF(162&gt;ROWS(DGArchive[游戏内日期]),"",IF(INDEX(DGArchive[游戏内日期],162)="","",INDEX(DGArchive[游戏内日期],162)))</f>
        <v/>
      </c>
      <c r="CD361" t="str">
        <f>IF(162&gt;ROWS(DGArchive[目标]),"",IF(INDEX(DGArchive[目标],162)="","",INDEX(DGArchive[目标],162)))</f>
        <v/>
      </c>
      <c r="CE361" t="str">
        <f>IF(162&gt;ROWS(DGArchive[变更前]),"",IF(INDEX(DGArchive[变更前],162)="","",INDEX(DGArchive[变更前],162)))</f>
        <v/>
      </c>
      <c r="CF361" t="str">
        <f>IF(162&gt;ROWS(DGArchive[增减]),"",IF(INDEX(DGArchive[增减],162)="","",INDEX(DGArchive[增减],162)))</f>
        <v/>
      </c>
      <c r="CG361" t="str">
        <f>IF(162&gt;ROWS(DGArchive[变更后]),"",IF(INDEX(DGArchive[变更后],162)="","",INDEX(DGArchive[变更后],162)))</f>
        <v/>
      </c>
      <c r="CH361" t="str">
        <f>IF(162&gt;ROWS(DGArchive[事件／活动]),"",IF(INDEX(DGArchive[事件／活动],162)="","",INDEX(DGArchive[事件／活动],162)))</f>
        <v/>
      </c>
      <c r="CI361" t="str">
        <f>IF(162&gt;ROWS(DGArchive[记录编号]),"",IF(INDEX(DGArchive[记录编号],162)="","",INDEX(DGArchive[记录编号],162)))</f>
        <v/>
      </c>
      <c r="CL361">
        <f t="shared" si="74"/>
        <v>0</v>
      </c>
      <c r="CM361">
        <f>IF(AND(A361=$AO$5,B361=$AQ$3,H361=1),COUNTIFS($A$200:A361,$AO$5,$B$200:B361,$AQ$3,$H$200:H361,1),0)</f>
        <v>0</v>
      </c>
      <c r="CN361">
        <f>IF(CA361="",162,1001)</f>
        <v>162</v>
      </c>
      <c r="GA361">
        <f t="shared" si="94"/>
        <v>0</v>
      </c>
      <c r="GB361">
        <f t="shared" si="95"/>
        <v>0</v>
      </c>
      <c r="GC361">
        <f>IF(AND(C361="事件记录",H361=1),COUNTIFS($C$200:C361,"事件记录",$H$200:H361,1),0)</f>
        <v>0</v>
      </c>
      <c r="GD361">
        <f t="shared" si="75"/>
        <v>0</v>
      </c>
      <c r="GH361">
        <f>IF(AND(H361=1,A361=$GA$10,B361=$GA$11),COUNTIFS($A$200:A361,$GA$10,$B$200:B361,$GA$11,$H$200:H361,1),0)</f>
        <v>0</v>
      </c>
    </row>
    <row r="362" spans="1:190">
      <c r="A362" t="str">
        <f t="shared" si="66"/>
        <v/>
      </c>
      <c r="B362" t="str">
        <f t="shared" si="67"/>
        <v/>
      </c>
      <c r="C362" t="str">
        <f t="shared" si="68"/>
        <v/>
      </c>
      <c r="D362" t="str">
        <f t="shared" si="69"/>
        <v/>
      </c>
      <c r="E362">
        <f t="shared" si="70"/>
        <v>0</v>
      </c>
      <c r="F362" t="str">
        <f t="shared" si="71"/>
        <v/>
      </c>
      <c r="G362">
        <f t="shared" si="72"/>
        <v>0</v>
      </c>
      <c r="H362">
        <f>IF(AND(G362=1,COUNTIFS($I$200:I362,I362,$G$200:G362,1)=1),1,0)</f>
        <v>0</v>
      </c>
      <c r="I362" t="str">
        <f t="shared" si="73"/>
        <v/>
      </c>
      <c r="BF362">
        <f t="shared" si="76"/>
        <v>0</v>
      </c>
      <c r="BG362">
        <f t="shared" si="77"/>
        <v>0</v>
      </c>
      <c r="BH362">
        <f t="shared" si="78"/>
        <v>0</v>
      </c>
      <c r="BI362">
        <f t="shared" si="79"/>
        <v>0</v>
      </c>
      <c r="BJ362">
        <f t="shared" si="80"/>
        <v>0</v>
      </c>
      <c r="BK362">
        <f t="shared" si="81"/>
        <v>0</v>
      </c>
      <c r="BL362">
        <f t="shared" si="82"/>
        <v>0</v>
      </c>
      <c r="BM362">
        <f t="shared" si="83"/>
        <v>0</v>
      </c>
      <c r="BN362">
        <f t="shared" si="84"/>
        <v>0</v>
      </c>
      <c r="BO362">
        <f t="shared" si="85"/>
        <v>0</v>
      </c>
      <c r="BP362">
        <f t="shared" si="86"/>
        <v>0</v>
      </c>
      <c r="BQ362">
        <f t="shared" si="87"/>
        <v>0</v>
      </c>
      <c r="BR362">
        <f t="shared" si="88"/>
        <v>0</v>
      </c>
      <c r="BS362">
        <f t="shared" si="89"/>
        <v>0</v>
      </c>
      <c r="BT362">
        <f t="shared" si="90"/>
        <v>0</v>
      </c>
      <c r="BU362">
        <f t="shared" si="91"/>
        <v>0</v>
      </c>
      <c r="BV362">
        <f t="shared" si="92"/>
        <v>0</v>
      </c>
      <c r="BW362">
        <f t="shared" si="93"/>
        <v>0</v>
      </c>
      <c r="CA362" t="str">
        <f>IF(163&gt;ROWS(DGArchive[模组]),"",IF(INDEX(DGArchive[模组],163)="","",INDEX(DGArchive[模组],163)))</f>
        <v/>
      </c>
      <c r="CB362" t="str">
        <f>IF(163&gt;ROWS(DGArchive[阶段]),"",IF(INDEX(DGArchive[阶段],163)="","",INDEX(DGArchive[阶段],163)))</f>
        <v/>
      </c>
      <c r="CC362" t="str">
        <f>IF(163&gt;ROWS(DGArchive[游戏内日期]),"",IF(INDEX(DGArchive[游戏内日期],163)="","",INDEX(DGArchive[游戏内日期],163)))</f>
        <v/>
      </c>
      <c r="CD362" t="str">
        <f>IF(163&gt;ROWS(DGArchive[目标]),"",IF(INDEX(DGArchive[目标],163)="","",INDEX(DGArchive[目标],163)))</f>
        <v/>
      </c>
      <c r="CE362" t="str">
        <f>IF(163&gt;ROWS(DGArchive[变更前]),"",IF(INDEX(DGArchive[变更前],163)="","",INDEX(DGArchive[变更前],163)))</f>
        <v/>
      </c>
      <c r="CF362" t="str">
        <f>IF(163&gt;ROWS(DGArchive[增减]),"",IF(INDEX(DGArchive[增减],163)="","",INDEX(DGArchive[增减],163)))</f>
        <v/>
      </c>
      <c r="CG362" t="str">
        <f>IF(163&gt;ROWS(DGArchive[变更后]),"",IF(INDEX(DGArchive[变更后],163)="","",INDEX(DGArchive[变更后],163)))</f>
        <v/>
      </c>
      <c r="CH362" t="str">
        <f>IF(163&gt;ROWS(DGArchive[事件／活动]),"",IF(INDEX(DGArchive[事件／活动],163)="","",INDEX(DGArchive[事件／活动],163)))</f>
        <v/>
      </c>
      <c r="CI362" t="str">
        <f>IF(163&gt;ROWS(DGArchive[记录编号]),"",IF(INDEX(DGArchive[记录编号],163)="","",INDEX(DGArchive[记录编号],163)))</f>
        <v/>
      </c>
      <c r="CL362">
        <f t="shared" si="74"/>
        <v>0</v>
      </c>
      <c r="CM362">
        <f>IF(AND(A362=$AO$5,B362=$AQ$3,H362=1),COUNTIFS($A$200:A362,$AO$5,$B$200:B362,$AQ$3,$H$200:H362,1),0)</f>
        <v>0</v>
      </c>
      <c r="CN362">
        <f>IF(CA362="",163,1001)</f>
        <v>163</v>
      </c>
      <c r="GA362">
        <f t="shared" si="94"/>
        <v>0</v>
      </c>
      <c r="GB362">
        <f t="shared" si="95"/>
        <v>0</v>
      </c>
      <c r="GC362">
        <f>IF(AND(C362="事件记录",H362=1),COUNTIFS($C$200:C362,"事件记录",$H$200:H362,1),0)</f>
        <v>0</v>
      </c>
      <c r="GD362">
        <f t="shared" si="75"/>
        <v>0</v>
      </c>
      <c r="GH362">
        <f>IF(AND(H362=1,A362=$GA$10,B362=$GA$11),COUNTIFS($A$200:A362,$GA$10,$B$200:B362,$GA$11,$H$200:H362,1),0)</f>
        <v>0</v>
      </c>
    </row>
    <row r="363" spans="1:190">
      <c r="A363" t="str">
        <f t="shared" si="66"/>
        <v/>
      </c>
      <c r="B363" t="str">
        <f t="shared" si="67"/>
        <v/>
      </c>
      <c r="C363" t="str">
        <f t="shared" si="68"/>
        <v/>
      </c>
      <c r="D363" t="str">
        <f t="shared" si="69"/>
        <v/>
      </c>
      <c r="E363">
        <f t="shared" si="70"/>
        <v>0</v>
      </c>
      <c r="F363" t="str">
        <f t="shared" si="71"/>
        <v/>
      </c>
      <c r="G363">
        <f t="shared" si="72"/>
        <v>0</v>
      </c>
      <c r="H363">
        <f>IF(AND(G363=1,COUNTIFS($I$200:I363,I363,$G$200:G363,1)=1),1,0)</f>
        <v>0</v>
      </c>
      <c r="I363" t="str">
        <f t="shared" si="73"/>
        <v/>
      </c>
      <c r="BF363">
        <f t="shared" si="76"/>
        <v>0</v>
      </c>
      <c r="BG363">
        <f t="shared" si="77"/>
        <v>0</v>
      </c>
      <c r="BH363">
        <f t="shared" si="78"/>
        <v>0</v>
      </c>
      <c r="BI363">
        <f t="shared" si="79"/>
        <v>0</v>
      </c>
      <c r="BJ363">
        <f t="shared" si="80"/>
        <v>0</v>
      </c>
      <c r="BK363">
        <f t="shared" si="81"/>
        <v>0</v>
      </c>
      <c r="BL363">
        <f t="shared" si="82"/>
        <v>0</v>
      </c>
      <c r="BM363">
        <f t="shared" si="83"/>
        <v>0</v>
      </c>
      <c r="BN363">
        <f t="shared" si="84"/>
        <v>0</v>
      </c>
      <c r="BO363">
        <f t="shared" si="85"/>
        <v>0</v>
      </c>
      <c r="BP363">
        <f t="shared" si="86"/>
        <v>0</v>
      </c>
      <c r="BQ363">
        <f t="shared" si="87"/>
        <v>0</v>
      </c>
      <c r="BR363">
        <f t="shared" si="88"/>
        <v>0</v>
      </c>
      <c r="BS363">
        <f t="shared" si="89"/>
        <v>0</v>
      </c>
      <c r="BT363">
        <f t="shared" si="90"/>
        <v>0</v>
      </c>
      <c r="BU363">
        <f t="shared" si="91"/>
        <v>0</v>
      </c>
      <c r="BV363">
        <f t="shared" si="92"/>
        <v>0</v>
      </c>
      <c r="BW363">
        <f t="shared" si="93"/>
        <v>0</v>
      </c>
      <c r="CA363" t="str">
        <f>IF(164&gt;ROWS(DGArchive[模组]),"",IF(INDEX(DGArchive[模组],164)="","",INDEX(DGArchive[模组],164)))</f>
        <v/>
      </c>
      <c r="CB363" t="str">
        <f>IF(164&gt;ROWS(DGArchive[阶段]),"",IF(INDEX(DGArchive[阶段],164)="","",INDEX(DGArchive[阶段],164)))</f>
        <v/>
      </c>
      <c r="CC363" t="str">
        <f>IF(164&gt;ROWS(DGArchive[游戏内日期]),"",IF(INDEX(DGArchive[游戏内日期],164)="","",INDEX(DGArchive[游戏内日期],164)))</f>
        <v/>
      </c>
      <c r="CD363" t="str">
        <f>IF(164&gt;ROWS(DGArchive[目标]),"",IF(INDEX(DGArchive[目标],164)="","",INDEX(DGArchive[目标],164)))</f>
        <v/>
      </c>
      <c r="CE363" t="str">
        <f>IF(164&gt;ROWS(DGArchive[变更前]),"",IF(INDEX(DGArchive[变更前],164)="","",INDEX(DGArchive[变更前],164)))</f>
        <v/>
      </c>
      <c r="CF363" t="str">
        <f>IF(164&gt;ROWS(DGArchive[增减]),"",IF(INDEX(DGArchive[增减],164)="","",INDEX(DGArchive[增减],164)))</f>
        <v/>
      </c>
      <c r="CG363" t="str">
        <f>IF(164&gt;ROWS(DGArchive[变更后]),"",IF(INDEX(DGArchive[变更后],164)="","",INDEX(DGArchive[变更后],164)))</f>
        <v/>
      </c>
      <c r="CH363" t="str">
        <f>IF(164&gt;ROWS(DGArchive[事件／活动]),"",IF(INDEX(DGArchive[事件／活动],164)="","",INDEX(DGArchive[事件／活动],164)))</f>
        <v/>
      </c>
      <c r="CI363" t="str">
        <f>IF(164&gt;ROWS(DGArchive[记录编号]),"",IF(INDEX(DGArchive[记录编号],164)="","",INDEX(DGArchive[记录编号],164)))</f>
        <v/>
      </c>
      <c r="CL363">
        <f t="shared" si="74"/>
        <v>0</v>
      </c>
      <c r="CM363">
        <f>IF(AND(A363=$AO$5,B363=$AQ$3,H363=1),COUNTIFS($A$200:A363,$AO$5,$B$200:B363,$AQ$3,$H$200:H363,1),0)</f>
        <v>0</v>
      </c>
      <c r="CN363">
        <f>IF(CA363="",164,1001)</f>
        <v>164</v>
      </c>
      <c r="GA363">
        <f t="shared" si="94"/>
        <v>0</v>
      </c>
      <c r="GB363">
        <f t="shared" si="95"/>
        <v>0</v>
      </c>
      <c r="GC363">
        <f>IF(AND(C363="事件记录",H363=1),COUNTIFS($C$200:C363,"事件记录",$H$200:H363,1),0)</f>
        <v>0</v>
      </c>
      <c r="GD363">
        <f t="shared" si="75"/>
        <v>0</v>
      </c>
      <c r="GH363">
        <f>IF(AND(H363=1,A363=$GA$10,B363=$GA$11),COUNTIFS($A$200:A363,$GA$10,$B$200:B363,$GA$11,$H$200:H363,1),0)</f>
        <v>0</v>
      </c>
    </row>
    <row r="364" spans="1:190">
      <c r="A364" t="str">
        <f t="shared" si="66"/>
        <v/>
      </c>
      <c r="B364" t="str">
        <f t="shared" si="67"/>
        <v/>
      </c>
      <c r="C364" t="str">
        <f t="shared" si="68"/>
        <v/>
      </c>
      <c r="D364" t="str">
        <f t="shared" si="69"/>
        <v/>
      </c>
      <c r="E364">
        <f t="shared" si="70"/>
        <v>0</v>
      </c>
      <c r="F364" t="str">
        <f t="shared" si="71"/>
        <v/>
      </c>
      <c r="G364">
        <f t="shared" si="72"/>
        <v>0</v>
      </c>
      <c r="H364">
        <f>IF(AND(G364=1,COUNTIFS($I$200:I364,I364,$G$200:G364,1)=1),1,0)</f>
        <v>0</v>
      </c>
      <c r="I364" t="str">
        <f t="shared" si="73"/>
        <v/>
      </c>
      <c r="BF364">
        <f t="shared" si="76"/>
        <v>0</v>
      </c>
      <c r="BG364">
        <f t="shared" si="77"/>
        <v>0</v>
      </c>
      <c r="BH364">
        <f t="shared" si="78"/>
        <v>0</v>
      </c>
      <c r="BI364">
        <f t="shared" si="79"/>
        <v>0</v>
      </c>
      <c r="BJ364">
        <f t="shared" si="80"/>
        <v>0</v>
      </c>
      <c r="BK364">
        <f t="shared" si="81"/>
        <v>0</v>
      </c>
      <c r="BL364">
        <f t="shared" si="82"/>
        <v>0</v>
      </c>
      <c r="BM364">
        <f t="shared" si="83"/>
        <v>0</v>
      </c>
      <c r="BN364">
        <f t="shared" si="84"/>
        <v>0</v>
      </c>
      <c r="BO364">
        <f t="shared" si="85"/>
        <v>0</v>
      </c>
      <c r="BP364">
        <f t="shared" si="86"/>
        <v>0</v>
      </c>
      <c r="BQ364">
        <f t="shared" si="87"/>
        <v>0</v>
      </c>
      <c r="BR364">
        <f t="shared" si="88"/>
        <v>0</v>
      </c>
      <c r="BS364">
        <f t="shared" si="89"/>
        <v>0</v>
      </c>
      <c r="BT364">
        <f t="shared" si="90"/>
        <v>0</v>
      </c>
      <c r="BU364">
        <f t="shared" si="91"/>
        <v>0</v>
      </c>
      <c r="BV364">
        <f t="shared" si="92"/>
        <v>0</v>
      </c>
      <c r="BW364">
        <f t="shared" si="93"/>
        <v>0</v>
      </c>
      <c r="CA364" t="str">
        <f>IF(165&gt;ROWS(DGArchive[模组]),"",IF(INDEX(DGArchive[模组],165)="","",INDEX(DGArchive[模组],165)))</f>
        <v/>
      </c>
      <c r="CB364" t="str">
        <f>IF(165&gt;ROWS(DGArchive[阶段]),"",IF(INDEX(DGArchive[阶段],165)="","",INDEX(DGArchive[阶段],165)))</f>
        <v/>
      </c>
      <c r="CC364" t="str">
        <f>IF(165&gt;ROWS(DGArchive[游戏内日期]),"",IF(INDEX(DGArchive[游戏内日期],165)="","",INDEX(DGArchive[游戏内日期],165)))</f>
        <v/>
      </c>
      <c r="CD364" t="str">
        <f>IF(165&gt;ROWS(DGArchive[目标]),"",IF(INDEX(DGArchive[目标],165)="","",INDEX(DGArchive[目标],165)))</f>
        <v/>
      </c>
      <c r="CE364" t="str">
        <f>IF(165&gt;ROWS(DGArchive[变更前]),"",IF(INDEX(DGArchive[变更前],165)="","",INDEX(DGArchive[变更前],165)))</f>
        <v/>
      </c>
      <c r="CF364" t="str">
        <f>IF(165&gt;ROWS(DGArchive[增减]),"",IF(INDEX(DGArchive[增减],165)="","",INDEX(DGArchive[增减],165)))</f>
        <v/>
      </c>
      <c r="CG364" t="str">
        <f>IF(165&gt;ROWS(DGArchive[变更后]),"",IF(INDEX(DGArchive[变更后],165)="","",INDEX(DGArchive[变更后],165)))</f>
        <v/>
      </c>
      <c r="CH364" t="str">
        <f>IF(165&gt;ROWS(DGArchive[事件／活动]),"",IF(INDEX(DGArchive[事件／活动],165)="","",INDEX(DGArchive[事件／活动],165)))</f>
        <v/>
      </c>
      <c r="CI364" t="str">
        <f>IF(165&gt;ROWS(DGArchive[记录编号]),"",IF(INDEX(DGArchive[记录编号],165)="","",INDEX(DGArchive[记录编号],165)))</f>
        <v/>
      </c>
      <c r="CL364">
        <f t="shared" si="74"/>
        <v>0</v>
      </c>
      <c r="CM364">
        <f>IF(AND(A364=$AO$5,B364=$AQ$3,H364=1),COUNTIFS($A$200:A364,$AO$5,$B$200:B364,$AQ$3,$H$200:H364,1),0)</f>
        <v>0</v>
      </c>
      <c r="CN364">
        <f>IF(CA364="",165,1001)</f>
        <v>165</v>
      </c>
      <c r="GA364">
        <f t="shared" si="94"/>
        <v>0</v>
      </c>
      <c r="GB364">
        <f t="shared" si="95"/>
        <v>0</v>
      </c>
      <c r="GC364">
        <f>IF(AND(C364="事件记录",H364=1),COUNTIFS($C$200:C364,"事件记录",$H$200:H364,1),0)</f>
        <v>0</v>
      </c>
      <c r="GD364">
        <f t="shared" si="75"/>
        <v>0</v>
      </c>
      <c r="GH364">
        <f>IF(AND(H364=1,A364=$GA$10,B364=$GA$11),COUNTIFS($A$200:A364,$GA$10,$B$200:B364,$GA$11,$H$200:H364,1),0)</f>
        <v>0</v>
      </c>
    </row>
    <row r="365" spans="1:190">
      <c r="A365" t="str">
        <f t="shared" si="66"/>
        <v/>
      </c>
      <c r="B365" t="str">
        <f t="shared" si="67"/>
        <v/>
      </c>
      <c r="C365" t="str">
        <f t="shared" si="68"/>
        <v/>
      </c>
      <c r="D365" t="str">
        <f t="shared" si="69"/>
        <v/>
      </c>
      <c r="E365">
        <f t="shared" si="70"/>
        <v>0</v>
      </c>
      <c r="F365" t="str">
        <f t="shared" si="71"/>
        <v/>
      </c>
      <c r="G365">
        <f t="shared" si="72"/>
        <v>0</v>
      </c>
      <c r="H365">
        <f>IF(AND(G365=1,COUNTIFS($I$200:I365,I365,$G$200:G365,1)=1),1,0)</f>
        <v>0</v>
      </c>
      <c r="I365" t="str">
        <f t="shared" si="73"/>
        <v/>
      </c>
      <c r="BF365">
        <f t="shared" si="76"/>
        <v>0</v>
      </c>
      <c r="BG365">
        <f t="shared" si="77"/>
        <v>0</v>
      </c>
      <c r="BH365">
        <f t="shared" si="78"/>
        <v>0</v>
      </c>
      <c r="BI365">
        <f t="shared" si="79"/>
        <v>0</v>
      </c>
      <c r="BJ365">
        <f t="shared" si="80"/>
        <v>0</v>
      </c>
      <c r="BK365">
        <f t="shared" si="81"/>
        <v>0</v>
      </c>
      <c r="BL365">
        <f t="shared" si="82"/>
        <v>0</v>
      </c>
      <c r="BM365">
        <f t="shared" si="83"/>
        <v>0</v>
      </c>
      <c r="BN365">
        <f t="shared" si="84"/>
        <v>0</v>
      </c>
      <c r="BO365">
        <f t="shared" si="85"/>
        <v>0</v>
      </c>
      <c r="BP365">
        <f t="shared" si="86"/>
        <v>0</v>
      </c>
      <c r="BQ365">
        <f t="shared" si="87"/>
        <v>0</v>
      </c>
      <c r="BR365">
        <f t="shared" si="88"/>
        <v>0</v>
      </c>
      <c r="BS365">
        <f t="shared" si="89"/>
        <v>0</v>
      </c>
      <c r="BT365">
        <f t="shared" si="90"/>
        <v>0</v>
      </c>
      <c r="BU365">
        <f t="shared" si="91"/>
        <v>0</v>
      </c>
      <c r="BV365">
        <f t="shared" si="92"/>
        <v>0</v>
      </c>
      <c r="BW365">
        <f t="shared" si="93"/>
        <v>0</v>
      </c>
      <c r="CA365" t="str">
        <f>IF(166&gt;ROWS(DGArchive[模组]),"",IF(INDEX(DGArchive[模组],166)="","",INDEX(DGArchive[模组],166)))</f>
        <v/>
      </c>
      <c r="CB365" t="str">
        <f>IF(166&gt;ROWS(DGArchive[阶段]),"",IF(INDEX(DGArchive[阶段],166)="","",INDEX(DGArchive[阶段],166)))</f>
        <v/>
      </c>
      <c r="CC365" t="str">
        <f>IF(166&gt;ROWS(DGArchive[游戏内日期]),"",IF(INDEX(DGArchive[游戏内日期],166)="","",INDEX(DGArchive[游戏内日期],166)))</f>
        <v/>
      </c>
      <c r="CD365" t="str">
        <f>IF(166&gt;ROWS(DGArchive[目标]),"",IF(INDEX(DGArchive[目标],166)="","",INDEX(DGArchive[目标],166)))</f>
        <v/>
      </c>
      <c r="CE365" t="str">
        <f>IF(166&gt;ROWS(DGArchive[变更前]),"",IF(INDEX(DGArchive[变更前],166)="","",INDEX(DGArchive[变更前],166)))</f>
        <v/>
      </c>
      <c r="CF365" t="str">
        <f>IF(166&gt;ROWS(DGArchive[增减]),"",IF(INDEX(DGArchive[增减],166)="","",INDEX(DGArchive[增减],166)))</f>
        <v/>
      </c>
      <c r="CG365" t="str">
        <f>IF(166&gt;ROWS(DGArchive[变更后]),"",IF(INDEX(DGArchive[变更后],166)="","",INDEX(DGArchive[变更后],166)))</f>
        <v/>
      </c>
      <c r="CH365" t="str">
        <f>IF(166&gt;ROWS(DGArchive[事件／活动]),"",IF(INDEX(DGArchive[事件／活动],166)="","",INDEX(DGArchive[事件／活动],166)))</f>
        <v/>
      </c>
      <c r="CI365" t="str">
        <f>IF(166&gt;ROWS(DGArchive[记录编号]),"",IF(INDEX(DGArchive[记录编号],166)="","",INDEX(DGArchive[记录编号],166)))</f>
        <v/>
      </c>
      <c r="CL365">
        <f t="shared" si="74"/>
        <v>0</v>
      </c>
      <c r="CM365">
        <f>IF(AND(A365=$AO$5,B365=$AQ$3,H365=1),COUNTIFS($A$200:A365,$AO$5,$B$200:B365,$AQ$3,$H$200:H365,1),0)</f>
        <v>0</v>
      </c>
      <c r="CN365">
        <f>IF(CA365="",166,1001)</f>
        <v>166</v>
      </c>
      <c r="GA365">
        <f t="shared" si="94"/>
        <v>0</v>
      </c>
      <c r="GB365">
        <f t="shared" si="95"/>
        <v>0</v>
      </c>
      <c r="GC365">
        <f>IF(AND(C365="事件记录",H365=1),COUNTIFS($C$200:C365,"事件记录",$H$200:H365,1),0)</f>
        <v>0</v>
      </c>
      <c r="GD365">
        <f t="shared" si="75"/>
        <v>0</v>
      </c>
      <c r="GH365">
        <f>IF(AND(H365=1,A365=$GA$10,B365=$GA$11),COUNTIFS($A$200:A365,$GA$10,$B$200:B365,$GA$11,$H$200:H365,1),0)</f>
        <v>0</v>
      </c>
    </row>
    <row r="366" spans="1:190">
      <c r="A366" t="str">
        <f t="shared" si="66"/>
        <v/>
      </c>
      <c r="B366" t="str">
        <f t="shared" si="67"/>
        <v/>
      </c>
      <c r="C366" t="str">
        <f t="shared" si="68"/>
        <v/>
      </c>
      <c r="D366" t="str">
        <f t="shared" si="69"/>
        <v/>
      </c>
      <c r="E366">
        <f t="shared" si="70"/>
        <v>0</v>
      </c>
      <c r="F366" t="str">
        <f t="shared" si="71"/>
        <v/>
      </c>
      <c r="G366">
        <f t="shared" si="72"/>
        <v>0</v>
      </c>
      <c r="H366">
        <f>IF(AND(G366=1,COUNTIFS($I$200:I366,I366,$G$200:G366,1)=1),1,0)</f>
        <v>0</v>
      </c>
      <c r="I366" t="str">
        <f t="shared" si="73"/>
        <v/>
      </c>
      <c r="BF366">
        <f t="shared" si="76"/>
        <v>0</v>
      </c>
      <c r="BG366">
        <f t="shared" si="77"/>
        <v>0</v>
      </c>
      <c r="BH366">
        <f t="shared" si="78"/>
        <v>0</v>
      </c>
      <c r="BI366">
        <f t="shared" si="79"/>
        <v>0</v>
      </c>
      <c r="BJ366">
        <f t="shared" si="80"/>
        <v>0</v>
      </c>
      <c r="BK366">
        <f t="shared" si="81"/>
        <v>0</v>
      </c>
      <c r="BL366">
        <f t="shared" si="82"/>
        <v>0</v>
      </c>
      <c r="BM366">
        <f t="shared" si="83"/>
        <v>0</v>
      </c>
      <c r="BN366">
        <f t="shared" si="84"/>
        <v>0</v>
      </c>
      <c r="BO366">
        <f t="shared" si="85"/>
        <v>0</v>
      </c>
      <c r="BP366">
        <f t="shared" si="86"/>
        <v>0</v>
      </c>
      <c r="BQ366">
        <f t="shared" si="87"/>
        <v>0</v>
      </c>
      <c r="BR366">
        <f t="shared" si="88"/>
        <v>0</v>
      </c>
      <c r="BS366">
        <f t="shared" si="89"/>
        <v>0</v>
      </c>
      <c r="BT366">
        <f t="shared" si="90"/>
        <v>0</v>
      </c>
      <c r="BU366">
        <f t="shared" si="91"/>
        <v>0</v>
      </c>
      <c r="BV366">
        <f t="shared" si="92"/>
        <v>0</v>
      </c>
      <c r="BW366">
        <f t="shared" si="93"/>
        <v>0</v>
      </c>
      <c r="CA366" t="str">
        <f>IF(167&gt;ROWS(DGArchive[模组]),"",IF(INDEX(DGArchive[模组],167)="","",INDEX(DGArchive[模组],167)))</f>
        <v/>
      </c>
      <c r="CB366" t="str">
        <f>IF(167&gt;ROWS(DGArchive[阶段]),"",IF(INDEX(DGArchive[阶段],167)="","",INDEX(DGArchive[阶段],167)))</f>
        <v/>
      </c>
      <c r="CC366" t="str">
        <f>IF(167&gt;ROWS(DGArchive[游戏内日期]),"",IF(INDEX(DGArchive[游戏内日期],167)="","",INDEX(DGArchive[游戏内日期],167)))</f>
        <v/>
      </c>
      <c r="CD366" t="str">
        <f>IF(167&gt;ROWS(DGArchive[目标]),"",IF(INDEX(DGArchive[目标],167)="","",INDEX(DGArchive[目标],167)))</f>
        <v/>
      </c>
      <c r="CE366" t="str">
        <f>IF(167&gt;ROWS(DGArchive[变更前]),"",IF(INDEX(DGArchive[变更前],167)="","",INDEX(DGArchive[变更前],167)))</f>
        <v/>
      </c>
      <c r="CF366" t="str">
        <f>IF(167&gt;ROWS(DGArchive[增减]),"",IF(INDEX(DGArchive[增减],167)="","",INDEX(DGArchive[增减],167)))</f>
        <v/>
      </c>
      <c r="CG366" t="str">
        <f>IF(167&gt;ROWS(DGArchive[变更后]),"",IF(INDEX(DGArchive[变更后],167)="","",INDEX(DGArchive[变更后],167)))</f>
        <v/>
      </c>
      <c r="CH366" t="str">
        <f>IF(167&gt;ROWS(DGArchive[事件／活动]),"",IF(INDEX(DGArchive[事件／活动],167)="","",INDEX(DGArchive[事件／活动],167)))</f>
        <v/>
      </c>
      <c r="CI366" t="str">
        <f>IF(167&gt;ROWS(DGArchive[记录编号]),"",IF(INDEX(DGArchive[记录编号],167)="","",INDEX(DGArchive[记录编号],167)))</f>
        <v/>
      </c>
      <c r="CL366">
        <f t="shared" si="74"/>
        <v>0</v>
      </c>
      <c r="CM366">
        <f>IF(AND(A366=$AO$5,B366=$AQ$3,H366=1),COUNTIFS($A$200:A366,$AO$5,$B$200:B366,$AQ$3,$H$200:H366,1),0)</f>
        <v>0</v>
      </c>
      <c r="CN366">
        <f>IF(CA366="",167,1001)</f>
        <v>167</v>
      </c>
      <c r="GA366">
        <f t="shared" si="94"/>
        <v>0</v>
      </c>
      <c r="GB366">
        <f t="shared" si="95"/>
        <v>0</v>
      </c>
      <c r="GC366">
        <f>IF(AND(C366="事件记录",H366=1),COUNTIFS($C$200:C366,"事件记录",$H$200:H366,1),0)</f>
        <v>0</v>
      </c>
      <c r="GD366">
        <f t="shared" si="75"/>
        <v>0</v>
      </c>
      <c r="GH366">
        <f>IF(AND(H366=1,A366=$GA$10,B366=$GA$11),COUNTIFS($A$200:A366,$GA$10,$B$200:B366,$GA$11,$H$200:H366,1),0)</f>
        <v>0</v>
      </c>
    </row>
    <row r="367" spans="1:190">
      <c r="A367" t="str">
        <f t="shared" si="66"/>
        <v/>
      </c>
      <c r="B367" t="str">
        <f t="shared" si="67"/>
        <v/>
      </c>
      <c r="C367" t="str">
        <f t="shared" si="68"/>
        <v/>
      </c>
      <c r="D367" t="str">
        <f t="shared" si="69"/>
        <v/>
      </c>
      <c r="E367">
        <f t="shared" si="70"/>
        <v>0</v>
      </c>
      <c r="F367" t="str">
        <f t="shared" si="71"/>
        <v/>
      </c>
      <c r="G367">
        <f t="shared" si="72"/>
        <v>0</v>
      </c>
      <c r="H367">
        <f>IF(AND(G367=1,COUNTIFS($I$200:I367,I367,$G$200:G367,1)=1),1,0)</f>
        <v>0</v>
      </c>
      <c r="I367" t="str">
        <f t="shared" si="73"/>
        <v/>
      </c>
      <c r="BF367">
        <f t="shared" si="76"/>
        <v>0</v>
      </c>
      <c r="BG367">
        <f t="shared" si="77"/>
        <v>0</v>
      </c>
      <c r="BH367">
        <f t="shared" si="78"/>
        <v>0</v>
      </c>
      <c r="BI367">
        <f t="shared" si="79"/>
        <v>0</v>
      </c>
      <c r="BJ367">
        <f t="shared" si="80"/>
        <v>0</v>
      </c>
      <c r="BK367">
        <f t="shared" si="81"/>
        <v>0</v>
      </c>
      <c r="BL367">
        <f t="shared" si="82"/>
        <v>0</v>
      </c>
      <c r="BM367">
        <f t="shared" si="83"/>
        <v>0</v>
      </c>
      <c r="BN367">
        <f t="shared" si="84"/>
        <v>0</v>
      </c>
      <c r="BO367">
        <f t="shared" si="85"/>
        <v>0</v>
      </c>
      <c r="BP367">
        <f t="shared" si="86"/>
        <v>0</v>
      </c>
      <c r="BQ367">
        <f t="shared" si="87"/>
        <v>0</v>
      </c>
      <c r="BR367">
        <f t="shared" si="88"/>
        <v>0</v>
      </c>
      <c r="BS367">
        <f t="shared" si="89"/>
        <v>0</v>
      </c>
      <c r="BT367">
        <f t="shared" si="90"/>
        <v>0</v>
      </c>
      <c r="BU367">
        <f t="shared" si="91"/>
        <v>0</v>
      </c>
      <c r="BV367">
        <f t="shared" si="92"/>
        <v>0</v>
      </c>
      <c r="BW367">
        <f t="shared" si="93"/>
        <v>0</v>
      </c>
      <c r="CA367" t="str">
        <f>IF(168&gt;ROWS(DGArchive[模组]),"",IF(INDEX(DGArchive[模组],168)="","",INDEX(DGArchive[模组],168)))</f>
        <v/>
      </c>
      <c r="CB367" t="str">
        <f>IF(168&gt;ROWS(DGArchive[阶段]),"",IF(INDEX(DGArchive[阶段],168)="","",INDEX(DGArchive[阶段],168)))</f>
        <v/>
      </c>
      <c r="CC367" t="str">
        <f>IF(168&gt;ROWS(DGArchive[游戏内日期]),"",IF(INDEX(DGArchive[游戏内日期],168)="","",INDEX(DGArchive[游戏内日期],168)))</f>
        <v/>
      </c>
      <c r="CD367" t="str">
        <f>IF(168&gt;ROWS(DGArchive[目标]),"",IF(INDEX(DGArchive[目标],168)="","",INDEX(DGArchive[目标],168)))</f>
        <v/>
      </c>
      <c r="CE367" t="str">
        <f>IF(168&gt;ROWS(DGArchive[变更前]),"",IF(INDEX(DGArchive[变更前],168)="","",INDEX(DGArchive[变更前],168)))</f>
        <v/>
      </c>
      <c r="CF367" t="str">
        <f>IF(168&gt;ROWS(DGArchive[增减]),"",IF(INDEX(DGArchive[增减],168)="","",INDEX(DGArchive[增减],168)))</f>
        <v/>
      </c>
      <c r="CG367" t="str">
        <f>IF(168&gt;ROWS(DGArchive[变更后]),"",IF(INDEX(DGArchive[变更后],168)="","",INDEX(DGArchive[变更后],168)))</f>
        <v/>
      </c>
      <c r="CH367" t="str">
        <f>IF(168&gt;ROWS(DGArchive[事件／活动]),"",IF(INDEX(DGArchive[事件／活动],168)="","",INDEX(DGArchive[事件／活动],168)))</f>
        <v/>
      </c>
      <c r="CI367" t="str">
        <f>IF(168&gt;ROWS(DGArchive[记录编号]),"",IF(INDEX(DGArchive[记录编号],168)="","",INDEX(DGArchive[记录编号],168)))</f>
        <v/>
      </c>
      <c r="CL367">
        <f t="shared" si="74"/>
        <v>0</v>
      </c>
      <c r="CM367">
        <f>IF(AND(A367=$AO$5,B367=$AQ$3,H367=1),COUNTIFS($A$200:A367,$AO$5,$B$200:B367,$AQ$3,$H$200:H367,1),0)</f>
        <v>0</v>
      </c>
      <c r="CN367">
        <f>IF(CA367="",168,1001)</f>
        <v>168</v>
      </c>
      <c r="GA367">
        <f t="shared" si="94"/>
        <v>0</v>
      </c>
      <c r="GB367">
        <f t="shared" si="95"/>
        <v>0</v>
      </c>
      <c r="GC367">
        <f>IF(AND(C367="事件记录",H367=1),COUNTIFS($C$200:C367,"事件记录",$H$200:H367,1),0)</f>
        <v>0</v>
      </c>
      <c r="GD367">
        <f t="shared" si="75"/>
        <v>0</v>
      </c>
      <c r="GH367">
        <f>IF(AND(H367=1,A367=$GA$10,B367=$GA$11),COUNTIFS($A$200:A367,$GA$10,$B$200:B367,$GA$11,$H$200:H367,1),0)</f>
        <v>0</v>
      </c>
    </row>
    <row r="368" spans="1:190">
      <c r="A368" t="str">
        <f t="shared" si="66"/>
        <v/>
      </c>
      <c r="B368" t="str">
        <f t="shared" si="67"/>
        <v/>
      </c>
      <c r="C368" t="str">
        <f t="shared" si="68"/>
        <v/>
      </c>
      <c r="D368" t="str">
        <f t="shared" si="69"/>
        <v/>
      </c>
      <c r="E368">
        <f t="shared" si="70"/>
        <v>0</v>
      </c>
      <c r="F368" t="str">
        <f t="shared" si="71"/>
        <v/>
      </c>
      <c r="G368">
        <f t="shared" si="72"/>
        <v>0</v>
      </c>
      <c r="H368">
        <f>IF(AND(G368=1,COUNTIFS($I$200:I368,I368,$G$200:G368,1)=1),1,0)</f>
        <v>0</v>
      </c>
      <c r="I368" t="str">
        <f t="shared" si="73"/>
        <v/>
      </c>
      <c r="BF368">
        <f t="shared" si="76"/>
        <v>0</v>
      </c>
      <c r="BG368">
        <f t="shared" si="77"/>
        <v>0</v>
      </c>
      <c r="BH368">
        <f t="shared" si="78"/>
        <v>0</v>
      </c>
      <c r="BI368">
        <f t="shared" si="79"/>
        <v>0</v>
      </c>
      <c r="BJ368">
        <f t="shared" si="80"/>
        <v>0</v>
      </c>
      <c r="BK368">
        <f t="shared" si="81"/>
        <v>0</v>
      </c>
      <c r="BL368">
        <f t="shared" si="82"/>
        <v>0</v>
      </c>
      <c r="BM368">
        <f t="shared" si="83"/>
        <v>0</v>
      </c>
      <c r="BN368">
        <f t="shared" si="84"/>
        <v>0</v>
      </c>
      <c r="BO368">
        <f t="shared" si="85"/>
        <v>0</v>
      </c>
      <c r="BP368">
        <f t="shared" si="86"/>
        <v>0</v>
      </c>
      <c r="BQ368">
        <f t="shared" si="87"/>
        <v>0</v>
      </c>
      <c r="BR368">
        <f t="shared" si="88"/>
        <v>0</v>
      </c>
      <c r="BS368">
        <f t="shared" si="89"/>
        <v>0</v>
      </c>
      <c r="BT368">
        <f t="shared" si="90"/>
        <v>0</v>
      </c>
      <c r="BU368">
        <f t="shared" si="91"/>
        <v>0</v>
      </c>
      <c r="BV368">
        <f t="shared" si="92"/>
        <v>0</v>
      </c>
      <c r="BW368">
        <f t="shared" si="93"/>
        <v>0</v>
      </c>
      <c r="CA368" t="str">
        <f>IF(169&gt;ROWS(DGArchive[模组]),"",IF(INDEX(DGArchive[模组],169)="","",INDEX(DGArchive[模组],169)))</f>
        <v/>
      </c>
      <c r="CB368" t="str">
        <f>IF(169&gt;ROWS(DGArchive[阶段]),"",IF(INDEX(DGArchive[阶段],169)="","",INDEX(DGArchive[阶段],169)))</f>
        <v/>
      </c>
      <c r="CC368" t="str">
        <f>IF(169&gt;ROWS(DGArchive[游戏内日期]),"",IF(INDEX(DGArchive[游戏内日期],169)="","",INDEX(DGArchive[游戏内日期],169)))</f>
        <v/>
      </c>
      <c r="CD368" t="str">
        <f>IF(169&gt;ROWS(DGArchive[目标]),"",IF(INDEX(DGArchive[目标],169)="","",INDEX(DGArchive[目标],169)))</f>
        <v/>
      </c>
      <c r="CE368" t="str">
        <f>IF(169&gt;ROWS(DGArchive[变更前]),"",IF(INDEX(DGArchive[变更前],169)="","",INDEX(DGArchive[变更前],169)))</f>
        <v/>
      </c>
      <c r="CF368" t="str">
        <f>IF(169&gt;ROWS(DGArchive[增减]),"",IF(INDEX(DGArchive[增减],169)="","",INDEX(DGArchive[增减],169)))</f>
        <v/>
      </c>
      <c r="CG368" t="str">
        <f>IF(169&gt;ROWS(DGArchive[变更后]),"",IF(INDEX(DGArchive[变更后],169)="","",INDEX(DGArchive[变更后],169)))</f>
        <v/>
      </c>
      <c r="CH368" t="str">
        <f>IF(169&gt;ROWS(DGArchive[事件／活动]),"",IF(INDEX(DGArchive[事件／活动],169)="","",INDEX(DGArchive[事件／活动],169)))</f>
        <v/>
      </c>
      <c r="CI368" t="str">
        <f>IF(169&gt;ROWS(DGArchive[记录编号]),"",IF(INDEX(DGArchive[记录编号],169)="","",INDEX(DGArchive[记录编号],169)))</f>
        <v/>
      </c>
      <c r="CL368">
        <f t="shared" si="74"/>
        <v>0</v>
      </c>
      <c r="CM368">
        <f>IF(AND(A368=$AO$5,B368=$AQ$3,H368=1),COUNTIFS($A$200:A368,$AO$5,$B$200:B368,$AQ$3,$H$200:H368,1),0)</f>
        <v>0</v>
      </c>
      <c r="CN368">
        <f>IF(CA368="",169,1001)</f>
        <v>169</v>
      </c>
      <c r="GA368">
        <f t="shared" si="94"/>
        <v>0</v>
      </c>
      <c r="GB368">
        <f t="shared" si="95"/>
        <v>0</v>
      </c>
      <c r="GC368">
        <f>IF(AND(C368="事件记录",H368=1),COUNTIFS($C$200:C368,"事件记录",$H$200:H368,1),0)</f>
        <v>0</v>
      </c>
      <c r="GD368">
        <f t="shared" si="75"/>
        <v>0</v>
      </c>
      <c r="GH368">
        <f>IF(AND(H368=1,A368=$GA$10,B368=$GA$11),COUNTIFS($A$200:A368,$GA$10,$B$200:B368,$GA$11,$H$200:H368,1),0)</f>
        <v>0</v>
      </c>
    </row>
    <row r="369" spans="1:190">
      <c r="A369" t="str">
        <f t="shared" si="66"/>
        <v/>
      </c>
      <c r="B369" t="str">
        <f t="shared" si="67"/>
        <v/>
      </c>
      <c r="C369" t="str">
        <f t="shared" si="68"/>
        <v/>
      </c>
      <c r="D369" t="str">
        <f t="shared" si="69"/>
        <v/>
      </c>
      <c r="E369">
        <f t="shared" si="70"/>
        <v>0</v>
      </c>
      <c r="F369" t="str">
        <f t="shared" si="71"/>
        <v/>
      </c>
      <c r="G369">
        <f t="shared" si="72"/>
        <v>0</v>
      </c>
      <c r="H369">
        <f>IF(AND(G369=1,COUNTIFS($I$200:I369,I369,$G$200:G369,1)=1),1,0)</f>
        <v>0</v>
      </c>
      <c r="I369" t="str">
        <f t="shared" si="73"/>
        <v/>
      </c>
      <c r="BF369">
        <f t="shared" si="76"/>
        <v>0</v>
      </c>
      <c r="BG369">
        <f t="shared" si="77"/>
        <v>0</v>
      </c>
      <c r="BH369">
        <f t="shared" si="78"/>
        <v>0</v>
      </c>
      <c r="BI369">
        <f t="shared" si="79"/>
        <v>0</v>
      </c>
      <c r="BJ369">
        <f t="shared" si="80"/>
        <v>0</v>
      </c>
      <c r="BK369">
        <f t="shared" si="81"/>
        <v>0</v>
      </c>
      <c r="BL369">
        <f t="shared" si="82"/>
        <v>0</v>
      </c>
      <c r="BM369">
        <f t="shared" si="83"/>
        <v>0</v>
      </c>
      <c r="BN369">
        <f t="shared" si="84"/>
        <v>0</v>
      </c>
      <c r="BO369">
        <f t="shared" si="85"/>
        <v>0</v>
      </c>
      <c r="BP369">
        <f t="shared" si="86"/>
        <v>0</v>
      </c>
      <c r="BQ369">
        <f t="shared" si="87"/>
        <v>0</v>
      </c>
      <c r="BR369">
        <f t="shared" si="88"/>
        <v>0</v>
      </c>
      <c r="BS369">
        <f t="shared" si="89"/>
        <v>0</v>
      </c>
      <c r="BT369">
        <f t="shared" si="90"/>
        <v>0</v>
      </c>
      <c r="BU369">
        <f t="shared" si="91"/>
        <v>0</v>
      </c>
      <c r="BV369">
        <f t="shared" si="92"/>
        <v>0</v>
      </c>
      <c r="BW369">
        <f t="shared" si="93"/>
        <v>0</v>
      </c>
      <c r="CA369" t="str">
        <f>IF(170&gt;ROWS(DGArchive[模组]),"",IF(INDEX(DGArchive[模组],170)="","",INDEX(DGArchive[模组],170)))</f>
        <v/>
      </c>
      <c r="CB369" t="str">
        <f>IF(170&gt;ROWS(DGArchive[阶段]),"",IF(INDEX(DGArchive[阶段],170)="","",INDEX(DGArchive[阶段],170)))</f>
        <v/>
      </c>
      <c r="CC369" t="str">
        <f>IF(170&gt;ROWS(DGArchive[游戏内日期]),"",IF(INDEX(DGArchive[游戏内日期],170)="","",INDEX(DGArchive[游戏内日期],170)))</f>
        <v/>
      </c>
      <c r="CD369" t="str">
        <f>IF(170&gt;ROWS(DGArchive[目标]),"",IF(INDEX(DGArchive[目标],170)="","",INDEX(DGArchive[目标],170)))</f>
        <v/>
      </c>
      <c r="CE369" t="str">
        <f>IF(170&gt;ROWS(DGArchive[变更前]),"",IF(INDEX(DGArchive[变更前],170)="","",INDEX(DGArchive[变更前],170)))</f>
        <v/>
      </c>
      <c r="CF369" t="str">
        <f>IF(170&gt;ROWS(DGArchive[增减]),"",IF(INDEX(DGArchive[增减],170)="","",INDEX(DGArchive[增减],170)))</f>
        <v/>
      </c>
      <c r="CG369" t="str">
        <f>IF(170&gt;ROWS(DGArchive[变更后]),"",IF(INDEX(DGArchive[变更后],170)="","",INDEX(DGArchive[变更后],170)))</f>
        <v/>
      </c>
      <c r="CH369" t="str">
        <f>IF(170&gt;ROWS(DGArchive[事件／活动]),"",IF(INDEX(DGArchive[事件／活动],170)="","",INDEX(DGArchive[事件／活动],170)))</f>
        <v/>
      </c>
      <c r="CI369" t="str">
        <f>IF(170&gt;ROWS(DGArchive[记录编号]),"",IF(INDEX(DGArchive[记录编号],170)="","",INDEX(DGArchive[记录编号],170)))</f>
        <v/>
      </c>
      <c r="CL369">
        <f t="shared" si="74"/>
        <v>0</v>
      </c>
      <c r="CM369">
        <f>IF(AND(A369=$AO$5,B369=$AQ$3,H369=1),COUNTIFS($A$200:A369,$AO$5,$B$200:B369,$AQ$3,$H$200:H369,1),0)</f>
        <v>0</v>
      </c>
      <c r="CN369">
        <f>IF(CA369="",170,1001)</f>
        <v>170</v>
      </c>
      <c r="GA369">
        <f t="shared" si="94"/>
        <v>0</v>
      </c>
      <c r="GB369">
        <f t="shared" si="95"/>
        <v>0</v>
      </c>
      <c r="GC369">
        <f>IF(AND(C369="事件记录",H369=1),COUNTIFS($C$200:C369,"事件记录",$H$200:H369,1),0)</f>
        <v>0</v>
      </c>
      <c r="GD369">
        <f t="shared" si="75"/>
        <v>0</v>
      </c>
      <c r="GH369">
        <f>IF(AND(H369=1,A369=$GA$10,B369=$GA$11),COUNTIFS($A$200:A369,$GA$10,$B$200:B369,$GA$11,$H$200:H369,1),0)</f>
        <v>0</v>
      </c>
    </row>
    <row r="370" spans="1:190">
      <c r="A370" t="str">
        <f t="shared" si="66"/>
        <v/>
      </c>
      <c r="B370" t="str">
        <f t="shared" si="67"/>
        <v/>
      </c>
      <c r="C370" t="str">
        <f t="shared" si="68"/>
        <v/>
      </c>
      <c r="D370" t="str">
        <f t="shared" si="69"/>
        <v/>
      </c>
      <c r="E370">
        <f t="shared" si="70"/>
        <v>0</v>
      </c>
      <c r="F370" t="str">
        <f t="shared" si="71"/>
        <v/>
      </c>
      <c r="G370">
        <f t="shared" si="72"/>
        <v>0</v>
      </c>
      <c r="H370">
        <f>IF(AND(G370=1,COUNTIFS($I$200:I370,I370,$G$200:G370,1)=1),1,0)</f>
        <v>0</v>
      </c>
      <c r="I370" t="str">
        <f t="shared" si="73"/>
        <v/>
      </c>
      <c r="BF370">
        <f t="shared" si="76"/>
        <v>0</v>
      </c>
      <c r="BG370">
        <f t="shared" si="77"/>
        <v>0</v>
      </c>
      <c r="BH370">
        <f t="shared" si="78"/>
        <v>0</v>
      </c>
      <c r="BI370">
        <f t="shared" si="79"/>
        <v>0</v>
      </c>
      <c r="BJ370">
        <f t="shared" si="80"/>
        <v>0</v>
      </c>
      <c r="BK370">
        <f t="shared" si="81"/>
        <v>0</v>
      </c>
      <c r="BL370">
        <f t="shared" si="82"/>
        <v>0</v>
      </c>
      <c r="BM370">
        <f t="shared" si="83"/>
        <v>0</v>
      </c>
      <c r="BN370">
        <f t="shared" si="84"/>
        <v>0</v>
      </c>
      <c r="BO370">
        <f t="shared" si="85"/>
        <v>0</v>
      </c>
      <c r="BP370">
        <f t="shared" si="86"/>
        <v>0</v>
      </c>
      <c r="BQ370">
        <f t="shared" si="87"/>
        <v>0</v>
      </c>
      <c r="BR370">
        <f t="shared" si="88"/>
        <v>0</v>
      </c>
      <c r="BS370">
        <f t="shared" si="89"/>
        <v>0</v>
      </c>
      <c r="BT370">
        <f t="shared" si="90"/>
        <v>0</v>
      </c>
      <c r="BU370">
        <f t="shared" si="91"/>
        <v>0</v>
      </c>
      <c r="BV370">
        <f t="shared" si="92"/>
        <v>0</v>
      </c>
      <c r="BW370">
        <f t="shared" si="93"/>
        <v>0</v>
      </c>
      <c r="CA370" t="str">
        <f>IF(171&gt;ROWS(DGArchive[模组]),"",IF(INDEX(DGArchive[模组],171)="","",INDEX(DGArchive[模组],171)))</f>
        <v/>
      </c>
      <c r="CB370" t="str">
        <f>IF(171&gt;ROWS(DGArchive[阶段]),"",IF(INDEX(DGArchive[阶段],171)="","",INDEX(DGArchive[阶段],171)))</f>
        <v/>
      </c>
      <c r="CC370" t="str">
        <f>IF(171&gt;ROWS(DGArchive[游戏内日期]),"",IF(INDEX(DGArchive[游戏内日期],171)="","",INDEX(DGArchive[游戏内日期],171)))</f>
        <v/>
      </c>
      <c r="CD370" t="str">
        <f>IF(171&gt;ROWS(DGArchive[目标]),"",IF(INDEX(DGArchive[目标],171)="","",INDEX(DGArchive[目标],171)))</f>
        <v/>
      </c>
      <c r="CE370" t="str">
        <f>IF(171&gt;ROWS(DGArchive[变更前]),"",IF(INDEX(DGArchive[变更前],171)="","",INDEX(DGArchive[变更前],171)))</f>
        <v/>
      </c>
      <c r="CF370" t="str">
        <f>IF(171&gt;ROWS(DGArchive[增减]),"",IF(INDEX(DGArchive[增减],171)="","",INDEX(DGArchive[增减],171)))</f>
        <v/>
      </c>
      <c r="CG370" t="str">
        <f>IF(171&gt;ROWS(DGArchive[变更后]),"",IF(INDEX(DGArchive[变更后],171)="","",INDEX(DGArchive[变更后],171)))</f>
        <v/>
      </c>
      <c r="CH370" t="str">
        <f>IF(171&gt;ROWS(DGArchive[事件／活动]),"",IF(INDEX(DGArchive[事件／活动],171)="","",INDEX(DGArchive[事件／活动],171)))</f>
        <v/>
      </c>
      <c r="CI370" t="str">
        <f>IF(171&gt;ROWS(DGArchive[记录编号]),"",IF(INDEX(DGArchive[记录编号],171)="","",INDEX(DGArchive[记录编号],171)))</f>
        <v/>
      </c>
      <c r="CL370">
        <f t="shared" si="74"/>
        <v>0</v>
      </c>
      <c r="CM370">
        <f>IF(AND(A370=$AO$5,B370=$AQ$3,H370=1),COUNTIFS($A$200:A370,$AO$5,$B$200:B370,$AQ$3,$H$200:H370,1),0)</f>
        <v>0</v>
      </c>
      <c r="CN370">
        <f>IF(CA370="",171,1001)</f>
        <v>171</v>
      </c>
      <c r="GA370">
        <f t="shared" si="94"/>
        <v>0</v>
      </c>
      <c r="GB370">
        <f t="shared" si="95"/>
        <v>0</v>
      </c>
      <c r="GC370">
        <f>IF(AND(C370="事件记录",H370=1),COUNTIFS($C$200:C370,"事件记录",$H$200:H370,1),0)</f>
        <v>0</v>
      </c>
      <c r="GD370">
        <f t="shared" si="75"/>
        <v>0</v>
      </c>
      <c r="GH370">
        <f>IF(AND(H370=1,A370=$GA$10,B370=$GA$11),COUNTIFS($A$200:A370,$GA$10,$B$200:B370,$GA$11,$H$200:H370,1),0)</f>
        <v>0</v>
      </c>
    </row>
    <row r="371" spans="1:190">
      <c r="A371" t="str">
        <f t="shared" si="66"/>
        <v/>
      </c>
      <c r="B371" t="str">
        <f t="shared" si="67"/>
        <v/>
      </c>
      <c r="C371" t="str">
        <f t="shared" si="68"/>
        <v/>
      </c>
      <c r="D371" t="str">
        <f t="shared" si="69"/>
        <v/>
      </c>
      <c r="E371">
        <f t="shared" si="70"/>
        <v>0</v>
      </c>
      <c r="F371" t="str">
        <f t="shared" si="71"/>
        <v/>
      </c>
      <c r="G371">
        <f t="shared" si="72"/>
        <v>0</v>
      </c>
      <c r="H371">
        <f>IF(AND(G371=1,COUNTIFS($I$200:I371,I371,$G$200:G371,1)=1),1,0)</f>
        <v>0</v>
      </c>
      <c r="I371" t="str">
        <f t="shared" si="73"/>
        <v/>
      </c>
      <c r="BF371">
        <f t="shared" si="76"/>
        <v>0</v>
      </c>
      <c r="BG371">
        <f t="shared" si="77"/>
        <v>0</v>
      </c>
      <c r="BH371">
        <f t="shared" si="78"/>
        <v>0</v>
      </c>
      <c r="BI371">
        <f t="shared" si="79"/>
        <v>0</v>
      </c>
      <c r="BJ371">
        <f t="shared" si="80"/>
        <v>0</v>
      </c>
      <c r="BK371">
        <f t="shared" si="81"/>
        <v>0</v>
      </c>
      <c r="BL371">
        <f t="shared" si="82"/>
        <v>0</v>
      </c>
      <c r="BM371">
        <f t="shared" si="83"/>
        <v>0</v>
      </c>
      <c r="BN371">
        <f t="shared" si="84"/>
        <v>0</v>
      </c>
      <c r="BO371">
        <f t="shared" si="85"/>
        <v>0</v>
      </c>
      <c r="BP371">
        <f t="shared" si="86"/>
        <v>0</v>
      </c>
      <c r="BQ371">
        <f t="shared" si="87"/>
        <v>0</v>
      </c>
      <c r="BR371">
        <f t="shared" si="88"/>
        <v>0</v>
      </c>
      <c r="BS371">
        <f t="shared" si="89"/>
        <v>0</v>
      </c>
      <c r="BT371">
        <f t="shared" si="90"/>
        <v>0</v>
      </c>
      <c r="BU371">
        <f t="shared" si="91"/>
        <v>0</v>
      </c>
      <c r="BV371">
        <f t="shared" si="92"/>
        <v>0</v>
      </c>
      <c r="BW371">
        <f t="shared" si="93"/>
        <v>0</v>
      </c>
      <c r="CA371" t="str">
        <f>IF(172&gt;ROWS(DGArchive[模组]),"",IF(INDEX(DGArchive[模组],172)="","",INDEX(DGArchive[模组],172)))</f>
        <v/>
      </c>
      <c r="CB371" t="str">
        <f>IF(172&gt;ROWS(DGArchive[阶段]),"",IF(INDEX(DGArchive[阶段],172)="","",INDEX(DGArchive[阶段],172)))</f>
        <v/>
      </c>
      <c r="CC371" t="str">
        <f>IF(172&gt;ROWS(DGArchive[游戏内日期]),"",IF(INDEX(DGArchive[游戏内日期],172)="","",INDEX(DGArchive[游戏内日期],172)))</f>
        <v/>
      </c>
      <c r="CD371" t="str">
        <f>IF(172&gt;ROWS(DGArchive[目标]),"",IF(INDEX(DGArchive[目标],172)="","",INDEX(DGArchive[目标],172)))</f>
        <v/>
      </c>
      <c r="CE371" t="str">
        <f>IF(172&gt;ROWS(DGArchive[变更前]),"",IF(INDEX(DGArchive[变更前],172)="","",INDEX(DGArchive[变更前],172)))</f>
        <v/>
      </c>
      <c r="CF371" t="str">
        <f>IF(172&gt;ROWS(DGArchive[增减]),"",IF(INDEX(DGArchive[增减],172)="","",INDEX(DGArchive[增减],172)))</f>
        <v/>
      </c>
      <c r="CG371" t="str">
        <f>IF(172&gt;ROWS(DGArchive[变更后]),"",IF(INDEX(DGArchive[变更后],172)="","",INDEX(DGArchive[变更后],172)))</f>
        <v/>
      </c>
      <c r="CH371" t="str">
        <f>IF(172&gt;ROWS(DGArchive[事件／活动]),"",IF(INDEX(DGArchive[事件／活动],172)="","",INDEX(DGArchive[事件／活动],172)))</f>
        <v/>
      </c>
      <c r="CI371" t="str">
        <f>IF(172&gt;ROWS(DGArchive[记录编号]),"",IF(INDEX(DGArchive[记录编号],172)="","",INDEX(DGArchive[记录编号],172)))</f>
        <v/>
      </c>
      <c r="CL371">
        <f t="shared" si="74"/>
        <v>0</v>
      </c>
      <c r="CM371">
        <f>IF(AND(A371=$AO$5,B371=$AQ$3,H371=1),COUNTIFS($A$200:A371,$AO$5,$B$200:B371,$AQ$3,$H$200:H371,1),0)</f>
        <v>0</v>
      </c>
      <c r="CN371">
        <f>IF(CA371="",172,1001)</f>
        <v>172</v>
      </c>
      <c r="GA371">
        <f t="shared" si="94"/>
        <v>0</v>
      </c>
      <c r="GB371">
        <f t="shared" si="95"/>
        <v>0</v>
      </c>
      <c r="GC371">
        <f>IF(AND(C371="事件记录",H371=1),COUNTIFS($C$200:C371,"事件记录",$H$200:H371,1),0)</f>
        <v>0</v>
      </c>
      <c r="GD371">
        <f t="shared" si="75"/>
        <v>0</v>
      </c>
      <c r="GH371">
        <f>IF(AND(H371=1,A371=$GA$10,B371=$GA$11),COUNTIFS($A$200:A371,$GA$10,$B$200:B371,$GA$11,$H$200:H371,1),0)</f>
        <v>0</v>
      </c>
    </row>
    <row r="372" spans="1:190">
      <c r="A372" t="str">
        <f t="shared" si="66"/>
        <v/>
      </c>
      <c r="B372" t="str">
        <f t="shared" si="67"/>
        <v/>
      </c>
      <c r="C372" t="str">
        <f t="shared" si="68"/>
        <v/>
      </c>
      <c r="D372" t="str">
        <f t="shared" si="69"/>
        <v/>
      </c>
      <c r="E372">
        <f t="shared" si="70"/>
        <v>0</v>
      </c>
      <c r="F372" t="str">
        <f t="shared" si="71"/>
        <v/>
      </c>
      <c r="G372">
        <f t="shared" si="72"/>
        <v>0</v>
      </c>
      <c r="H372">
        <f>IF(AND(G372=1,COUNTIFS($I$200:I372,I372,$G$200:G372,1)=1),1,0)</f>
        <v>0</v>
      </c>
      <c r="I372" t="str">
        <f t="shared" si="73"/>
        <v/>
      </c>
      <c r="BF372">
        <f t="shared" si="76"/>
        <v>0</v>
      </c>
      <c r="BG372">
        <f t="shared" si="77"/>
        <v>0</v>
      </c>
      <c r="BH372">
        <f t="shared" si="78"/>
        <v>0</v>
      </c>
      <c r="BI372">
        <f t="shared" si="79"/>
        <v>0</v>
      </c>
      <c r="BJ372">
        <f t="shared" si="80"/>
        <v>0</v>
      </c>
      <c r="BK372">
        <f t="shared" si="81"/>
        <v>0</v>
      </c>
      <c r="BL372">
        <f t="shared" si="82"/>
        <v>0</v>
      </c>
      <c r="BM372">
        <f t="shared" si="83"/>
        <v>0</v>
      </c>
      <c r="BN372">
        <f t="shared" si="84"/>
        <v>0</v>
      </c>
      <c r="BO372">
        <f t="shared" si="85"/>
        <v>0</v>
      </c>
      <c r="BP372">
        <f t="shared" si="86"/>
        <v>0</v>
      </c>
      <c r="BQ372">
        <f t="shared" si="87"/>
        <v>0</v>
      </c>
      <c r="BR372">
        <f t="shared" si="88"/>
        <v>0</v>
      </c>
      <c r="BS372">
        <f t="shared" si="89"/>
        <v>0</v>
      </c>
      <c r="BT372">
        <f t="shared" si="90"/>
        <v>0</v>
      </c>
      <c r="BU372">
        <f t="shared" si="91"/>
        <v>0</v>
      </c>
      <c r="BV372">
        <f t="shared" si="92"/>
        <v>0</v>
      </c>
      <c r="BW372">
        <f t="shared" si="93"/>
        <v>0</v>
      </c>
      <c r="CA372" t="str">
        <f>IF(173&gt;ROWS(DGArchive[模组]),"",IF(INDEX(DGArchive[模组],173)="","",INDEX(DGArchive[模组],173)))</f>
        <v/>
      </c>
      <c r="CB372" t="str">
        <f>IF(173&gt;ROWS(DGArchive[阶段]),"",IF(INDEX(DGArchive[阶段],173)="","",INDEX(DGArchive[阶段],173)))</f>
        <v/>
      </c>
      <c r="CC372" t="str">
        <f>IF(173&gt;ROWS(DGArchive[游戏内日期]),"",IF(INDEX(DGArchive[游戏内日期],173)="","",INDEX(DGArchive[游戏内日期],173)))</f>
        <v/>
      </c>
      <c r="CD372" t="str">
        <f>IF(173&gt;ROWS(DGArchive[目标]),"",IF(INDEX(DGArchive[目标],173)="","",INDEX(DGArchive[目标],173)))</f>
        <v/>
      </c>
      <c r="CE372" t="str">
        <f>IF(173&gt;ROWS(DGArchive[变更前]),"",IF(INDEX(DGArchive[变更前],173)="","",INDEX(DGArchive[变更前],173)))</f>
        <v/>
      </c>
      <c r="CF372" t="str">
        <f>IF(173&gt;ROWS(DGArchive[增减]),"",IF(INDEX(DGArchive[增减],173)="","",INDEX(DGArchive[增减],173)))</f>
        <v/>
      </c>
      <c r="CG372" t="str">
        <f>IF(173&gt;ROWS(DGArchive[变更后]),"",IF(INDEX(DGArchive[变更后],173)="","",INDEX(DGArchive[变更后],173)))</f>
        <v/>
      </c>
      <c r="CH372" t="str">
        <f>IF(173&gt;ROWS(DGArchive[事件／活动]),"",IF(INDEX(DGArchive[事件／活动],173)="","",INDEX(DGArchive[事件／活动],173)))</f>
        <v/>
      </c>
      <c r="CI372" t="str">
        <f>IF(173&gt;ROWS(DGArchive[记录编号]),"",IF(INDEX(DGArchive[记录编号],173)="","",INDEX(DGArchive[记录编号],173)))</f>
        <v/>
      </c>
      <c r="CL372">
        <f t="shared" si="74"/>
        <v>0</v>
      </c>
      <c r="CM372">
        <f>IF(AND(A372=$AO$5,B372=$AQ$3,H372=1),COUNTIFS($A$200:A372,$AO$5,$B$200:B372,$AQ$3,$H$200:H372,1),0)</f>
        <v>0</v>
      </c>
      <c r="CN372">
        <f>IF(CA372="",173,1001)</f>
        <v>173</v>
      </c>
      <c r="GA372">
        <f t="shared" si="94"/>
        <v>0</v>
      </c>
      <c r="GB372">
        <f t="shared" si="95"/>
        <v>0</v>
      </c>
      <c r="GC372">
        <f>IF(AND(C372="事件记录",H372=1),COUNTIFS($C$200:C372,"事件记录",$H$200:H372,1),0)</f>
        <v>0</v>
      </c>
      <c r="GD372">
        <f t="shared" si="75"/>
        <v>0</v>
      </c>
      <c r="GH372">
        <f>IF(AND(H372=1,A372=$GA$10,B372=$GA$11),COUNTIFS($A$200:A372,$GA$10,$B$200:B372,$GA$11,$H$200:H372,1),0)</f>
        <v>0</v>
      </c>
    </row>
    <row r="373" spans="1:190">
      <c r="A373" t="str">
        <f t="shared" si="66"/>
        <v/>
      </c>
      <c r="B373" t="str">
        <f t="shared" si="67"/>
        <v/>
      </c>
      <c r="C373" t="str">
        <f t="shared" si="68"/>
        <v/>
      </c>
      <c r="D373" t="str">
        <f t="shared" si="69"/>
        <v/>
      </c>
      <c r="E373">
        <f t="shared" si="70"/>
        <v>0</v>
      </c>
      <c r="F373" t="str">
        <f t="shared" si="71"/>
        <v/>
      </c>
      <c r="G373">
        <f t="shared" si="72"/>
        <v>0</v>
      </c>
      <c r="H373">
        <f>IF(AND(G373=1,COUNTIFS($I$200:I373,I373,$G$200:G373,1)=1),1,0)</f>
        <v>0</v>
      </c>
      <c r="I373" t="str">
        <f t="shared" si="73"/>
        <v/>
      </c>
      <c r="BF373">
        <f t="shared" si="76"/>
        <v>0</v>
      </c>
      <c r="BG373">
        <f t="shared" si="77"/>
        <v>0</v>
      </c>
      <c r="BH373">
        <f t="shared" si="78"/>
        <v>0</v>
      </c>
      <c r="BI373">
        <f t="shared" si="79"/>
        <v>0</v>
      </c>
      <c r="BJ373">
        <f t="shared" si="80"/>
        <v>0</v>
      </c>
      <c r="BK373">
        <f t="shared" si="81"/>
        <v>0</v>
      </c>
      <c r="BL373">
        <f t="shared" si="82"/>
        <v>0</v>
      </c>
      <c r="BM373">
        <f t="shared" si="83"/>
        <v>0</v>
      </c>
      <c r="BN373">
        <f t="shared" si="84"/>
        <v>0</v>
      </c>
      <c r="BO373">
        <f t="shared" si="85"/>
        <v>0</v>
      </c>
      <c r="BP373">
        <f t="shared" si="86"/>
        <v>0</v>
      </c>
      <c r="BQ373">
        <f t="shared" si="87"/>
        <v>0</v>
      </c>
      <c r="BR373">
        <f t="shared" si="88"/>
        <v>0</v>
      </c>
      <c r="BS373">
        <f t="shared" si="89"/>
        <v>0</v>
      </c>
      <c r="BT373">
        <f t="shared" si="90"/>
        <v>0</v>
      </c>
      <c r="BU373">
        <f t="shared" si="91"/>
        <v>0</v>
      </c>
      <c r="BV373">
        <f t="shared" si="92"/>
        <v>0</v>
      </c>
      <c r="BW373">
        <f t="shared" si="93"/>
        <v>0</v>
      </c>
      <c r="CA373" t="str">
        <f>IF(174&gt;ROWS(DGArchive[模组]),"",IF(INDEX(DGArchive[模组],174)="","",INDEX(DGArchive[模组],174)))</f>
        <v/>
      </c>
      <c r="CB373" t="str">
        <f>IF(174&gt;ROWS(DGArchive[阶段]),"",IF(INDEX(DGArchive[阶段],174)="","",INDEX(DGArchive[阶段],174)))</f>
        <v/>
      </c>
      <c r="CC373" t="str">
        <f>IF(174&gt;ROWS(DGArchive[游戏内日期]),"",IF(INDEX(DGArchive[游戏内日期],174)="","",INDEX(DGArchive[游戏内日期],174)))</f>
        <v/>
      </c>
      <c r="CD373" t="str">
        <f>IF(174&gt;ROWS(DGArchive[目标]),"",IF(INDEX(DGArchive[目标],174)="","",INDEX(DGArchive[目标],174)))</f>
        <v/>
      </c>
      <c r="CE373" t="str">
        <f>IF(174&gt;ROWS(DGArchive[变更前]),"",IF(INDEX(DGArchive[变更前],174)="","",INDEX(DGArchive[变更前],174)))</f>
        <v/>
      </c>
      <c r="CF373" t="str">
        <f>IF(174&gt;ROWS(DGArchive[增减]),"",IF(INDEX(DGArchive[增减],174)="","",INDEX(DGArchive[增减],174)))</f>
        <v/>
      </c>
      <c r="CG373" t="str">
        <f>IF(174&gt;ROWS(DGArchive[变更后]),"",IF(INDEX(DGArchive[变更后],174)="","",INDEX(DGArchive[变更后],174)))</f>
        <v/>
      </c>
      <c r="CH373" t="str">
        <f>IF(174&gt;ROWS(DGArchive[事件／活动]),"",IF(INDEX(DGArchive[事件／活动],174)="","",INDEX(DGArchive[事件／活动],174)))</f>
        <v/>
      </c>
      <c r="CI373" t="str">
        <f>IF(174&gt;ROWS(DGArchive[记录编号]),"",IF(INDEX(DGArchive[记录编号],174)="","",INDEX(DGArchive[记录编号],174)))</f>
        <v/>
      </c>
      <c r="CL373">
        <f t="shared" si="74"/>
        <v>0</v>
      </c>
      <c r="CM373">
        <f>IF(AND(A373=$AO$5,B373=$AQ$3,H373=1),COUNTIFS($A$200:A373,$AO$5,$B$200:B373,$AQ$3,$H$200:H373,1),0)</f>
        <v>0</v>
      </c>
      <c r="CN373">
        <f>IF(CA373="",174,1001)</f>
        <v>174</v>
      </c>
      <c r="GA373">
        <f t="shared" si="94"/>
        <v>0</v>
      </c>
      <c r="GB373">
        <f t="shared" si="95"/>
        <v>0</v>
      </c>
      <c r="GC373">
        <f>IF(AND(C373="事件记录",H373=1),COUNTIFS($C$200:C373,"事件记录",$H$200:H373,1),0)</f>
        <v>0</v>
      </c>
      <c r="GD373">
        <f t="shared" si="75"/>
        <v>0</v>
      </c>
      <c r="GH373">
        <f>IF(AND(H373=1,A373=$GA$10,B373=$GA$11),COUNTIFS($A$200:A373,$GA$10,$B$200:B373,$GA$11,$H$200:H373,1),0)</f>
        <v>0</v>
      </c>
    </row>
    <row r="374" spans="1:190">
      <c r="A374" t="str">
        <f t="shared" si="66"/>
        <v/>
      </c>
      <c r="B374" t="str">
        <f t="shared" si="67"/>
        <v/>
      </c>
      <c r="C374" t="str">
        <f t="shared" si="68"/>
        <v/>
      </c>
      <c r="D374" t="str">
        <f t="shared" si="69"/>
        <v/>
      </c>
      <c r="E374">
        <f t="shared" si="70"/>
        <v>0</v>
      </c>
      <c r="F374" t="str">
        <f t="shared" si="71"/>
        <v/>
      </c>
      <c r="G374">
        <f t="shared" si="72"/>
        <v>0</v>
      </c>
      <c r="H374">
        <f>IF(AND(G374=1,COUNTIFS($I$200:I374,I374,$G$200:G374,1)=1),1,0)</f>
        <v>0</v>
      </c>
      <c r="I374" t="str">
        <f t="shared" si="73"/>
        <v/>
      </c>
      <c r="BF374">
        <f t="shared" si="76"/>
        <v>0</v>
      </c>
      <c r="BG374">
        <f t="shared" si="77"/>
        <v>0</v>
      </c>
      <c r="BH374">
        <f t="shared" si="78"/>
        <v>0</v>
      </c>
      <c r="BI374">
        <f t="shared" si="79"/>
        <v>0</v>
      </c>
      <c r="BJ374">
        <f t="shared" si="80"/>
        <v>0</v>
      </c>
      <c r="BK374">
        <f t="shared" si="81"/>
        <v>0</v>
      </c>
      <c r="BL374">
        <f t="shared" si="82"/>
        <v>0</v>
      </c>
      <c r="BM374">
        <f t="shared" si="83"/>
        <v>0</v>
      </c>
      <c r="BN374">
        <f t="shared" si="84"/>
        <v>0</v>
      </c>
      <c r="BO374">
        <f t="shared" si="85"/>
        <v>0</v>
      </c>
      <c r="BP374">
        <f t="shared" si="86"/>
        <v>0</v>
      </c>
      <c r="BQ374">
        <f t="shared" si="87"/>
        <v>0</v>
      </c>
      <c r="BR374">
        <f t="shared" si="88"/>
        <v>0</v>
      </c>
      <c r="BS374">
        <f t="shared" si="89"/>
        <v>0</v>
      </c>
      <c r="BT374">
        <f t="shared" si="90"/>
        <v>0</v>
      </c>
      <c r="BU374">
        <f t="shared" si="91"/>
        <v>0</v>
      </c>
      <c r="BV374">
        <f t="shared" si="92"/>
        <v>0</v>
      </c>
      <c r="BW374">
        <f t="shared" si="93"/>
        <v>0</v>
      </c>
      <c r="CA374" t="str">
        <f>IF(175&gt;ROWS(DGArchive[模组]),"",IF(INDEX(DGArchive[模组],175)="","",INDEX(DGArchive[模组],175)))</f>
        <v/>
      </c>
      <c r="CB374" t="str">
        <f>IF(175&gt;ROWS(DGArchive[阶段]),"",IF(INDEX(DGArchive[阶段],175)="","",INDEX(DGArchive[阶段],175)))</f>
        <v/>
      </c>
      <c r="CC374" t="str">
        <f>IF(175&gt;ROWS(DGArchive[游戏内日期]),"",IF(INDEX(DGArchive[游戏内日期],175)="","",INDEX(DGArchive[游戏内日期],175)))</f>
        <v/>
      </c>
      <c r="CD374" t="str">
        <f>IF(175&gt;ROWS(DGArchive[目标]),"",IF(INDEX(DGArchive[目标],175)="","",INDEX(DGArchive[目标],175)))</f>
        <v/>
      </c>
      <c r="CE374" t="str">
        <f>IF(175&gt;ROWS(DGArchive[变更前]),"",IF(INDEX(DGArchive[变更前],175)="","",INDEX(DGArchive[变更前],175)))</f>
        <v/>
      </c>
      <c r="CF374" t="str">
        <f>IF(175&gt;ROWS(DGArchive[增减]),"",IF(INDEX(DGArchive[增减],175)="","",INDEX(DGArchive[增减],175)))</f>
        <v/>
      </c>
      <c r="CG374" t="str">
        <f>IF(175&gt;ROWS(DGArchive[变更后]),"",IF(INDEX(DGArchive[变更后],175)="","",INDEX(DGArchive[变更后],175)))</f>
        <v/>
      </c>
      <c r="CH374" t="str">
        <f>IF(175&gt;ROWS(DGArchive[事件／活动]),"",IF(INDEX(DGArchive[事件／活动],175)="","",INDEX(DGArchive[事件／活动],175)))</f>
        <v/>
      </c>
      <c r="CI374" t="str">
        <f>IF(175&gt;ROWS(DGArchive[记录编号]),"",IF(INDEX(DGArchive[记录编号],175)="","",INDEX(DGArchive[记录编号],175)))</f>
        <v/>
      </c>
      <c r="CL374">
        <f t="shared" si="74"/>
        <v>0</v>
      </c>
      <c r="CM374">
        <f>IF(AND(A374=$AO$5,B374=$AQ$3,H374=1),COUNTIFS($A$200:A374,$AO$5,$B$200:B374,$AQ$3,$H$200:H374,1),0)</f>
        <v>0</v>
      </c>
      <c r="CN374">
        <f>IF(CA374="",175,1001)</f>
        <v>175</v>
      </c>
      <c r="GA374">
        <f t="shared" si="94"/>
        <v>0</v>
      </c>
      <c r="GB374">
        <f t="shared" si="95"/>
        <v>0</v>
      </c>
      <c r="GC374">
        <f>IF(AND(C374="事件记录",H374=1),COUNTIFS($C$200:C374,"事件记录",$H$200:H374,1),0)</f>
        <v>0</v>
      </c>
      <c r="GD374">
        <f t="shared" si="75"/>
        <v>0</v>
      </c>
      <c r="GH374">
        <f>IF(AND(H374=1,A374=$GA$10,B374=$GA$11),COUNTIFS($A$200:A374,$GA$10,$B$200:B374,$GA$11,$H$200:H374,1),0)</f>
        <v>0</v>
      </c>
    </row>
    <row r="375" spans="1:190">
      <c r="A375" t="str">
        <f t="shared" si="66"/>
        <v/>
      </c>
      <c r="B375" t="str">
        <f t="shared" si="67"/>
        <v/>
      </c>
      <c r="C375" t="str">
        <f t="shared" si="68"/>
        <v/>
      </c>
      <c r="D375" t="str">
        <f t="shared" si="69"/>
        <v/>
      </c>
      <c r="E375">
        <f t="shared" si="70"/>
        <v>0</v>
      </c>
      <c r="F375" t="str">
        <f t="shared" si="71"/>
        <v/>
      </c>
      <c r="G375">
        <f t="shared" si="72"/>
        <v>0</v>
      </c>
      <c r="H375">
        <f>IF(AND(G375=1,COUNTIFS($I$200:I375,I375,$G$200:G375,1)=1),1,0)</f>
        <v>0</v>
      </c>
      <c r="I375" t="str">
        <f t="shared" si="73"/>
        <v/>
      </c>
      <c r="BF375">
        <f t="shared" si="76"/>
        <v>0</v>
      </c>
      <c r="BG375">
        <f t="shared" si="77"/>
        <v>0</v>
      </c>
      <c r="BH375">
        <f t="shared" si="78"/>
        <v>0</v>
      </c>
      <c r="BI375">
        <f t="shared" si="79"/>
        <v>0</v>
      </c>
      <c r="BJ375">
        <f t="shared" si="80"/>
        <v>0</v>
      </c>
      <c r="BK375">
        <f t="shared" si="81"/>
        <v>0</v>
      </c>
      <c r="BL375">
        <f t="shared" si="82"/>
        <v>0</v>
      </c>
      <c r="BM375">
        <f t="shared" si="83"/>
        <v>0</v>
      </c>
      <c r="BN375">
        <f t="shared" si="84"/>
        <v>0</v>
      </c>
      <c r="BO375">
        <f t="shared" si="85"/>
        <v>0</v>
      </c>
      <c r="BP375">
        <f t="shared" si="86"/>
        <v>0</v>
      </c>
      <c r="BQ375">
        <f t="shared" si="87"/>
        <v>0</v>
      </c>
      <c r="BR375">
        <f t="shared" si="88"/>
        <v>0</v>
      </c>
      <c r="BS375">
        <f t="shared" si="89"/>
        <v>0</v>
      </c>
      <c r="BT375">
        <f t="shared" si="90"/>
        <v>0</v>
      </c>
      <c r="BU375">
        <f t="shared" si="91"/>
        <v>0</v>
      </c>
      <c r="BV375">
        <f t="shared" si="92"/>
        <v>0</v>
      </c>
      <c r="BW375">
        <f t="shared" si="93"/>
        <v>0</v>
      </c>
      <c r="CA375" t="str">
        <f>IF(176&gt;ROWS(DGArchive[模组]),"",IF(INDEX(DGArchive[模组],176)="","",INDEX(DGArchive[模组],176)))</f>
        <v/>
      </c>
      <c r="CB375" t="str">
        <f>IF(176&gt;ROWS(DGArchive[阶段]),"",IF(INDEX(DGArchive[阶段],176)="","",INDEX(DGArchive[阶段],176)))</f>
        <v/>
      </c>
      <c r="CC375" t="str">
        <f>IF(176&gt;ROWS(DGArchive[游戏内日期]),"",IF(INDEX(DGArchive[游戏内日期],176)="","",INDEX(DGArchive[游戏内日期],176)))</f>
        <v/>
      </c>
      <c r="CD375" t="str">
        <f>IF(176&gt;ROWS(DGArchive[目标]),"",IF(INDEX(DGArchive[目标],176)="","",INDEX(DGArchive[目标],176)))</f>
        <v/>
      </c>
      <c r="CE375" t="str">
        <f>IF(176&gt;ROWS(DGArchive[变更前]),"",IF(INDEX(DGArchive[变更前],176)="","",INDEX(DGArchive[变更前],176)))</f>
        <v/>
      </c>
      <c r="CF375" t="str">
        <f>IF(176&gt;ROWS(DGArchive[增减]),"",IF(INDEX(DGArchive[增减],176)="","",INDEX(DGArchive[增减],176)))</f>
        <v/>
      </c>
      <c r="CG375" t="str">
        <f>IF(176&gt;ROWS(DGArchive[变更后]),"",IF(INDEX(DGArchive[变更后],176)="","",INDEX(DGArchive[变更后],176)))</f>
        <v/>
      </c>
      <c r="CH375" t="str">
        <f>IF(176&gt;ROWS(DGArchive[事件／活动]),"",IF(INDEX(DGArchive[事件／活动],176)="","",INDEX(DGArchive[事件／活动],176)))</f>
        <v/>
      </c>
      <c r="CI375" t="str">
        <f>IF(176&gt;ROWS(DGArchive[记录编号]),"",IF(INDEX(DGArchive[记录编号],176)="","",INDEX(DGArchive[记录编号],176)))</f>
        <v/>
      </c>
      <c r="CL375">
        <f t="shared" si="74"/>
        <v>0</v>
      </c>
      <c r="CM375">
        <f>IF(AND(A375=$AO$5,B375=$AQ$3,H375=1),COUNTIFS($A$200:A375,$AO$5,$B$200:B375,$AQ$3,$H$200:H375,1),0)</f>
        <v>0</v>
      </c>
      <c r="CN375">
        <f>IF(CA375="",176,1001)</f>
        <v>176</v>
      </c>
      <c r="GA375">
        <f t="shared" si="94"/>
        <v>0</v>
      </c>
      <c r="GB375">
        <f t="shared" si="95"/>
        <v>0</v>
      </c>
      <c r="GC375">
        <f>IF(AND(C375="事件记录",H375=1),COUNTIFS($C$200:C375,"事件记录",$H$200:H375,1),0)</f>
        <v>0</v>
      </c>
      <c r="GD375">
        <f t="shared" si="75"/>
        <v>0</v>
      </c>
      <c r="GH375">
        <f>IF(AND(H375=1,A375=$GA$10,B375=$GA$11),COUNTIFS($A$200:A375,$GA$10,$B$200:B375,$GA$11,$H$200:H375,1),0)</f>
        <v>0</v>
      </c>
    </row>
    <row r="376" spans="1:190">
      <c r="A376" t="str">
        <f t="shared" si="66"/>
        <v/>
      </c>
      <c r="B376" t="str">
        <f t="shared" si="67"/>
        <v/>
      </c>
      <c r="C376" t="str">
        <f t="shared" si="68"/>
        <v/>
      </c>
      <c r="D376" t="str">
        <f t="shared" si="69"/>
        <v/>
      </c>
      <c r="E376">
        <f t="shared" si="70"/>
        <v>0</v>
      </c>
      <c r="F376" t="str">
        <f t="shared" si="71"/>
        <v/>
      </c>
      <c r="G376">
        <f t="shared" si="72"/>
        <v>0</v>
      </c>
      <c r="H376">
        <f>IF(AND(G376=1,COUNTIFS($I$200:I376,I376,$G$200:G376,1)=1),1,0)</f>
        <v>0</v>
      </c>
      <c r="I376" t="str">
        <f t="shared" si="73"/>
        <v/>
      </c>
      <c r="BF376">
        <f t="shared" si="76"/>
        <v>0</v>
      </c>
      <c r="BG376">
        <f t="shared" si="77"/>
        <v>0</v>
      </c>
      <c r="BH376">
        <f t="shared" si="78"/>
        <v>0</v>
      </c>
      <c r="BI376">
        <f t="shared" si="79"/>
        <v>0</v>
      </c>
      <c r="BJ376">
        <f t="shared" si="80"/>
        <v>0</v>
      </c>
      <c r="BK376">
        <f t="shared" si="81"/>
        <v>0</v>
      </c>
      <c r="BL376">
        <f t="shared" si="82"/>
        <v>0</v>
      </c>
      <c r="BM376">
        <f t="shared" si="83"/>
        <v>0</v>
      </c>
      <c r="BN376">
        <f t="shared" si="84"/>
        <v>0</v>
      </c>
      <c r="BO376">
        <f t="shared" si="85"/>
        <v>0</v>
      </c>
      <c r="BP376">
        <f t="shared" si="86"/>
        <v>0</v>
      </c>
      <c r="BQ376">
        <f t="shared" si="87"/>
        <v>0</v>
      </c>
      <c r="BR376">
        <f t="shared" si="88"/>
        <v>0</v>
      </c>
      <c r="BS376">
        <f t="shared" si="89"/>
        <v>0</v>
      </c>
      <c r="BT376">
        <f t="shared" si="90"/>
        <v>0</v>
      </c>
      <c r="BU376">
        <f t="shared" si="91"/>
        <v>0</v>
      </c>
      <c r="BV376">
        <f t="shared" si="92"/>
        <v>0</v>
      </c>
      <c r="BW376">
        <f t="shared" si="93"/>
        <v>0</v>
      </c>
      <c r="CA376" t="str">
        <f>IF(177&gt;ROWS(DGArchive[模组]),"",IF(INDEX(DGArchive[模组],177)="","",INDEX(DGArchive[模组],177)))</f>
        <v/>
      </c>
      <c r="CB376" t="str">
        <f>IF(177&gt;ROWS(DGArchive[阶段]),"",IF(INDEX(DGArchive[阶段],177)="","",INDEX(DGArchive[阶段],177)))</f>
        <v/>
      </c>
      <c r="CC376" t="str">
        <f>IF(177&gt;ROWS(DGArchive[游戏内日期]),"",IF(INDEX(DGArchive[游戏内日期],177)="","",INDEX(DGArchive[游戏内日期],177)))</f>
        <v/>
      </c>
      <c r="CD376" t="str">
        <f>IF(177&gt;ROWS(DGArchive[目标]),"",IF(INDEX(DGArchive[目标],177)="","",INDEX(DGArchive[目标],177)))</f>
        <v/>
      </c>
      <c r="CE376" t="str">
        <f>IF(177&gt;ROWS(DGArchive[变更前]),"",IF(INDEX(DGArchive[变更前],177)="","",INDEX(DGArchive[变更前],177)))</f>
        <v/>
      </c>
      <c r="CF376" t="str">
        <f>IF(177&gt;ROWS(DGArchive[增减]),"",IF(INDEX(DGArchive[增减],177)="","",INDEX(DGArchive[增减],177)))</f>
        <v/>
      </c>
      <c r="CG376" t="str">
        <f>IF(177&gt;ROWS(DGArchive[变更后]),"",IF(INDEX(DGArchive[变更后],177)="","",INDEX(DGArchive[变更后],177)))</f>
        <v/>
      </c>
      <c r="CH376" t="str">
        <f>IF(177&gt;ROWS(DGArchive[事件／活动]),"",IF(INDEX(DGArchive[事件／活动],177)="","",INDEX(DGArchive[事件／活动],177)))</f>
        <v/>
      </c>
      <c r="CI376" t="str">
        <f>IF(177&gt;ROWS(DGArchive[记录编号]),"",IF(INDEX(DGArchive[记录编号],177)="","",INDEX(DGArchive[记录编号],177)))</f>
        <v/>
      </c>
      <c r="CL376">
        <f t="shared" si="74"/>
        <v>0</v>
      </c>
      <c r="CM376">
        <f>IF(AND(A376=$AO$5,B376=$AQ$3,H376=1),COUNTIFS($A$200:A376,$AO$5,$B$200:B376,$AQ$3,$H$200:H376,1),0)</f>
        <v>0</v>
      </c>
      <c r="CN376">
        <f>IF(CA376="",177,1001)</f>
        <v>177</v>
      </c>
      <c r="GA376">
        <f t="shared" si="94"/>
        <v>0</v>
      </c>
      <c r="GB376">
        <f t="shared" si="95"/>
        <v>0</v>
      </c>
      <c r="GC376">
        <f>IF(AND(C376="事件记录",H376=1),COUNTIFS($C$200:C376,"事件记录",$H$200:H376,1),0)</f>
        <v>0</v>
      </c>
      <c r="GD376">
        <f t="shared" si="75"/>
        <v>0</v>
      </c>
      <c r="GH376">
        <f>IF(AND(H376=1,A376=$GA$10,B376=$GA$11),COUNTIFS($A$200:A376,$GA$10,$B$200:B376,$GA$11,$H$200:H376,1),0)</f>
        <v>0</v>
      </c>
    </row>
    <row r="377" spans="1:190">
      <c r="A377" t="str">
        <f t="shared" si="66"/>
        <v/>
      </c>
      <c r="B377" t="str">
        <f t="shared" si="67"/>
        <v/>
      </c>
      <c r="C377" t="str">
        <f t="shared" si="68"/>
        <v/>
      </c>
      <c r="D377" t="str">
        <f t="shared" si="69"/>
        <v/>
      </c>
      <c r="E377">
        <f t="shared" si="70"/>
        <v>0</v>
      </c>
      <c r="F377" t="str">
        <f t="shared" si="71"/>
        <v/>
      </c>
      <c r="G377">
        <f t="shared" si="72"/>
        <v>0</v>
      </c>
      <c r="H377">
        <f>IF(AND(G377=1,COUNTIFS($I$200:I377,I377,$G$200:G377,1)=1),1,0)</f>
        <v>0</v>
      </c>
      <c r="I377" t="str">
        <f t="shared" si="73"/>
        <v/>
      </c>
      <c r="BF377">
        <f t="shared" si="76"/>
        <v>0</v>
      </c>
      <c r="BG377">
        <f t="shared" si="77"/>
        <v>0</v>
      </c>
      <c r="BH377">
        <f t="shared" si="78"/>
        <v>0</v>
      </c>
      <c r="BI377">
        <f t="shared" si="79"/>
        <v>0</v>
      </c>
      <c r="BJ377">
        <f t="shared" si="80"/>
        <v>0</v>
      </c>
      <c r="BK377">
        <f t="shared" si="81"/>
        <v>0</v>
      </c>
      <c r="BL377">
        <f t="shared" si="82"/>
        <v>0</v>
      </c>
      <c r="BM377">
        <f t="shared" si="83"/>
        <v>0</v>
      </c>
      <c r="BN377">
        <f t="shared" si="84"/>
        <v>0</v>
      </c>
      <c r="BO377">
        <f t="shared" si="85"/>
        <v>0</v>
      </c>
      <c r="BP377">
        <f t="shared" si="86"/>
        <v>0</v>
      </c>
      <c r="BQ377">
        <f t="shared" si="87"/>
        <v>0</v>
      </c>
      <c r="BR377">
        <f t="shared" si="88"/>
        <v>0</v>
      </c>
      <c r="BS377">
        <f t="shared" si="89"/>
        <v>0</v>
      </c>
      <c r="BT377">
        <f t="shared" si="90"/>
        <v>0</v>
      </c>
      <c r="BU377">
        <f t="shared" si="91"/>
        <v>0</v>
      </c>
      <c r="BV377">
        <f t="shared" si="92"/>
        <v>0</v>
      </c>
      <c r="BW377">
        <f t="shared" si="93"/>
        <v>0</v>
      </c>
      <c r="CA377" t="str">
        <f>IF(178&gt;ROWS(DGArchive[模组]),"",IF(INDEX(DGArchive[模组],178)="","",INDEX(DGArchive[模组],178)))</f>
        <v/>
      </c>
      <c r="CB377" t="str">
        <f>IF(178&gt;ROWS(DGArchive[阶段]),"",IF(INDEX(DGArchive[阶段],178)="","",INDEX(DGArchive[阶段],178)))</f>
        <v/>
      </c>
      <c r="CC377" t="str">
        <f>IF(178&gt;ROWS(DGArchive[游戏内日期]),"",IF(INDEX(DGArchive[游戏内日期],178)="","",INDEX(DGArchive[游戏内日期],178)))</f>
        <v/>
      </c>
      <c r="CD377" t="str">
        <f>IF(178&gt;ROWS(DGArchive[目标]),"",IF(INDEX(DGArchive[目标],178)="","",INDEX(DGArchive[目标],178)))</f>
        <v/>
      </c>
      <c r="CE377" t="str">
        <f>IF(178&gt;ROWS(DGArchive[变更前]),"",IF(INDEX(DGArchive[变更前],178)="","",INDEX(DGArchive[变更前],178)))</f>
        <v/>
      </c>
      <c r="CF377" t="str">
        <f>IF(178&gt;ROWS(DGArchive[增减]),"",IF(INDEX(DGArchive[增减],178)="","",INDEX(DGArchive[增减],178)))</f>
        <v/>
      </c>
      <c r="CG377" t="str">
        <f>IF(178&gt;ROWS(DGArchive[变更后]),"",IF(INDEX(DGArchive[变更后],178)="","",INDEX(DGArchive[变更后],178)))</f>
        <v/>
      </c>
      <c r="CH377" t="str">
        <f>IF(178&gt;ROWS(DGArchive[事件／活动]),"",IF(INDEX(DGArchive[事件／活动],178)="","",INDEX(DGArchive[事件／活动],178)))</f>
        <v/>
      </c>
      <c r="CI377" t="str">
        <f>IF(178&gt;ROWS(DGArchive[记录编号]),"",IF(INDEX(DGArchive[记录编号],178)="","",INDEX(DGArchive[记录编号],178)))</f>
        <v/>
      </c>
      <c r="CL377">
        <f t="shared" si="74"/>
        <v>0</v>
      </c>
      <c r="CM377">
        <f>IF(AND(A377=$AO$5,B377=$AQ$3,H377=1),COUNTIFS($A$200:A377,$AO$5,$B$200:B377,$AQ$3,$H$200:H377,1),0)</f>
        <v>0</v>
      </c>
      <c r="CN377">
        <f>IF(CA377="",178,1001)</f>
        <v>178</v>
      </c>
      <c r="GA377">
        <f t="shared" si="94"/>
        <v>0</v>
      </c>
      <c r="GB377">
        <f t="shared" si="95"/>
        <v>0</v>
      </c>
      <c r="GC377">
        <f>IF(AND(C377="事件记录",H377=1),COUNTIFS($C$200:C377,"事件记录",$H$200:H377,1),0)</f>
        <v>0</v>
      </c>
      <c r="GD377">
        <f t="shared" si="75"/>
        <v>0</v>
      </c>
      <c r="GH377">
        <f>IF(AND(H377=1,A377=$GA$10,B377=$GA$11),COUNTIFS($A$200:A377,$GA$10,$B$200:B377,$GA$11,$H$200:H377,1),0)</f>
        <v>0</v>
      </c>
    </row>
    <row r="378" spans="1:190">
      <c r="A378" t="str">
        <f t="shared" si="66"/>
        <v/>
      </c>
      <c r="B378" t="str">
        <f t="shared" si="67"/>
        <v/>
      </c>
      <c r="C378" t="str">
        <f t="shared" si="68"/>
        <v/>
      </c>
      <c r="D378" t="str">
        <f t="shared" si="69"/>
        <v/>
      </c>
      <c r="E378">
        <f t="shared" si="70"/>
        <v>0</v>
      </c>
      <c r="F378" t="str">
        <f t="shared" si="71"/>
        <v/>
      </c>
      <c r="G378">
        <f t="shared" si="72"/>
        <v>0</v>
      </c>
      <c r="H378">
        <f>IF(AND(G378=1,COUNTIFS($I$200:I378,I378,$G$200:G378,1)=1),1,0)</f>
        <v>0</v>
      </c>
      <c r="I378" t="str">
        <f t="shared" si="73"/>
        <v/>
      </c>
      <c r="BF378">
        <f t="shared" si="76"/>
        <v>0</v>
      </c>
      <c r="BG378">
        <f t="shared" si="77"/>
        <v>0</v>
      </c>
      <c r="BH378">
        <f t="shared" si="78"/>
        <v>0</v>
      </c>
      <c r="BI378">
        <f t="shared" si="79"/>
        <v>0</v>
      </c>
      <c r="BJ378">
        <f t="shared" si="80"/>
        <v>0</v>
      </c>
      <c r="BK378">
        <f t="shared" si="81"/>
        <v>0</v>
      </c>
      <c r="BL378">
        <f t="shared" si="82"/>
        <v>0</v>
      </c>
      <c r="BM378">
        <f t="shared" si="83"/>
        <v>0</v>
      </c>
      <c r="BN378">
        <f t="shared" si="84"/>
        <v>0</v>
      </c>
      <c r="BO378">
        <f t="shared" si="85"/>
        <v>0</v>
      </c>
      <c r="BP378">
        <f t="shared" si="86"/>
        <v>0</v>
      </c>
      <c r="BQ378">
        <f t="shared" si="87"/>
        <v>0</v>
      </c>
      <c r="BR378">
        <f t="shared" si="88"/>
        <v>0</v>
      </c>
      <c r="BS378">
        <f t="shared" si="89"/>
        <v>0</v>
      </c>
      <c r="BT378">
        <f t="shared" si="90"/>
        <v>0</v>
      </c>
      <c r="BU378">
        <f t="shared" si="91"/>
        <v>0</v>
      </c>
      <c r="BV378">
        <f t="shared" si="92"/>
        <v>0</v>
      </c>
      <c r="BW378">
        <f t="shared" si="93"/>
        <v>0</v>
      </c>
      <c r="CA378" t="str">
        <f>IF(179&gt;ROWS(DGArchive[模组]),"",IF(INDEX(DGArchive[模组],179)="","",INDEX(DGArchive[模组],179)))</f>
        <v/>
      </c>
      <c r="CB378" t="str">
        <f>IF(179&gt;ROWS(DGArchive[阶段]),"",IF(INDEX(DGArchive[阶段],179)="","",INDEX(DGArchive[阶段],179)))</f>
        <v/>
      </c>
      <c r="CC378" t="str">
        <f>IF(179&gt;ROWS(DGArchive[游戏内日期]),"",IF(INDEX(DGArchive[游戏内日期],179)="","",INDEX(DGArchive[游戏内日期],179)))</f>
        <v/>
      </c>
      <c r="CD378" t="str">
        <f>IF(179&gt;ROWS(DGArchive[目标]),"",IF(INDEX(DGArchive[目标],179)="","",INDEX(DGArchive[目标],179)))</f>
        <v/>
      </c>
      <c r="CE378" t="str">
        <f>IF(179&gt;ROWS(DGArchive[变更前]),"",IF(INDEX(DGArchive[变更前],179)="","",INDEX(DGArchive[变更前],179)))</f>
        <v/>
      </c>
      <c r="CF378" t="str">
        <f>IF(179&gt;ROWS(DGArchive[增减]),"",IF(INDEX(DGArchive[增减],179)="","",INDEX(DGArchive[增减],179)))</f>
        <v/>
      </c>
      <c r="CG378" t="str">
        <f>IF(179&gt;ROWS(DGArchive[变更后]),"",IF(INDEX(DGArchive[变更后],179)="","",INDEX(DGArchive[变更后],179)))</f>
        <v/>
      </c>
      <c r="CH378" t="str">
        <f>IF(179&gt;ROWS(DGArchive[事件／活动]),"",IF(INDEX(DGArchive[事件／活动],179)="","",INDEX(DGArchive[事件／活动],179)))</f>
        <v/>
      </c>
      <c r="CI378" t="str">
        <f>IF(179&gt;ROWS(DGArchive[记录编号]),"",IF(INDEX(DGArchive[记录编号],179)="","",INDEX(DGArchive[记录编号],179)))</f>
        <v/>
      </c>
      <c r="CL378">
        <f t="shared" si="74"/>
        <v>0</v>
      </c>
      <c r="CM378">
        <f>IF(AND(A378=$AO$5,B378=$AQ$3,H378=1),COUNTIFS($A$200:A378,$AO$5,$B$200:B378,$AQ$3,$H$200:H378,1),0)</f>
        <v>0</v>
      </c>
      <c r="CN378">
        <f>IF(CA378="",179,1001)</f>
        <v>179</v>
      </c>
      <c r="GA378">
        <f t="shared" si="94"/>
        <v>0</v>
      </c>
      <c r="GB378">
        <f t="shared" si="95"/>
        <v>0</v>
      </c>
      <c r="GC378">
        <f>IF(AND(C378="事件记录",H378=1),COUNTIFS($C$200:C378,"事件记录",$H$200:H378,1),0)</f>
        <v>0</v>
      </c>
      <c r="GD378">
        <f t="shared" si="75"/>
        <v>0</v>
      </c>
      <c r="GH378">
        <f>IF(AND(H378=1,A378=$GA$10,B378=$GA$11),COUNTIFS($A$200:A378,$GA$10,$B$200:B378,$GA$11,$H$200:H378,1),0)</f>
        <v>0</v>
      </c>
    </row>
    <row r="379" spans="1:190">
      <c r="A379" t="str">
        <f t="shared" si="66"/>
        <v/>
      </c>
      <c r="B379" t="str">
        <f t="shared" si="67"/>
        <v/>
      </c>
      <c r="C379" t="str">
        <f t="shared" si="68"/>
        <v/>
      </c>
      <c r="D379" t="str">
        <f t="shared" si="69"/>
        <v/>
      </c>
      <c r="E379">
        <f t="shared" si="70"/>
        <v>0</v>
      </c>
      <c r="F379" t="str">
        <f t="shared" si="71"/>
        <v/>
      </c>
      <c r="G379">
        <f t="shared" si="72"/>
        <v>0</v>
      </c>
      <c r="H379">
        <f>IF(AND(G379=1,COUNTIFS($I$200:I379,I379,$G$200:G379,1)=1),1,0)</f>
        <v>0</v>
      </c>
      <c r="I379" t="str">
        <f t="shared" si="73"/>
        <v/>
      </c>
      <c r="BF379">
        <f t="shared" si="76"/>
        <v>0</v>
      </c>
      <c r="BG379">
        <f t="shared" si="77"/>
        <v>0</v>
      </c>
      <c r="BH379">
        <f t="shared" si="78"/>
        <v>0</v>
      </c>
      <c r="BI379">
        <f t="shared" si="79"/>
        <v>0</v>
      </c>
      <c r="BJ379">
        <f t="shared" si="80"/>
        <v>0</v>
      </c>
      <c r="BK379">
        <f t="shared" si="81"/>
        <v>0</v>
      </c>
      <c r="BL379">
        <f t="shared" si="82"/>
        <v>0</v>
      </c>
      <c r="BM379">
        <f t="shared" si="83"/>
        <v>0</v>
      </c>
      <c r="BN379">
        <f t="shared" si="84"/>
        <v>0</v>
      </c>
      <c r="BO379">
        <f t="shared" si="85"/>
        <v>0</v>
      </c>
      <c r="BP379">
        <f t="shared" si="86"/>
        <v>0</v>
      </c>
      <c r="BQ379">
        <f t="shared" si="87"/>
        <v>0</v>
      </c>
      <c r="BR379">
        <f t="shared" si="88"/>
        <v>0</v>
      </c>
      <c r="BS379">
        <f t="shared" si="89"/>
        <v>0</v>
      </c>
      <c r="BT379">
        <f t="shared" si="90"/>
        <v>0</v>
      </c>
      <c r="BU379">
        <f t="shared" si="91"/>
        <v>0</v>
      </c>
      <c r="BV379">
        <f t="shared" si="92"/>
        <v>0</v>
      </c>
      <c r="BW379">
        <f t="shared" si="93"/>
        <v>0</v>
      </c>
      <c r="CA379" t="str">
        <f>IF(180&gt;ROWS(DGArchive[模组]),"",IF(INDEX(DGArchive[模组],180)="","",INDEX(DGArchive[模组],180)))</f>
        <v/>
      </c>
      <c r="CB379" t="str">
        <f>IF(180&gt;ROWS(DGArchive[阶段]),"",IF(INDEX(DGArchive[阶段],180)="","",INDEX(DGArchive[阶段],180)))</f>
        <v/>
      </c>
      <c r="CC379" t="str">
        <f>IF(180&gt;ROWS(DGArchive[游戏内日期]),"",IF(INDEX(DGArchive[游戏内日期],180)="","",INDEX(DGArchive[游戏内日期],180)))</f>
        <v/>
      </c>
      <c r="CD379" t="str">
        <f>IF(180&gt;ROWS(DGArchive[目标]),"",IF(INDEX(DGArchive[目标],180)="","",INDEX(DGArchive[目标],180)))</f>
        <v/>
      </c>
      <c r="CE379" t="str">
        <f>IF(180&gt;ROWS(DGArchive[变更前]),"",IF(INDEX(DGArchive[变更前],180)="","",INDEX(DGArchive[变更前],180)))</f>
        <v/>
      </c>
      <c r="CF379" t="str">
        <f>IF(180&gt;ROWS(DGArchive[增减]),"",IF(INDEX(DGArchive[增减],180)="","",INDEX(DGArchive[增减],180)))</f>
        <v/>
      </c>
      <c r="CG379" t="str">
        <f>IF(180&gt;ROWS(DGArchive[变更后]),"",IF(INDEX(DGArchive[变更后],180)="","",INDEX(DGArchive[变更后],180)))</f>
        <v/>
      </c>
      <c r="CH379" t="str">
        <f>IF(180&gt;ROWS(DGArchive[事件／活动]),"",IF(INDEX(DGArchive[事件／活动],180)="","",INDEX(DGArchive[事件／活动],180)))</f>
        <v/>
      </c>
      <c r="CI379" t="str">
        <f>IF(180&gt;ROWS(DGArchive[记录编号]),"",IF(INDEX(DGArchive[记录编号],180)="","",INDEX(DGArchive[记录编号],180)))</f>
        <v/>
      </c>
      <c r="CL379">
        <f t="shared" si="74"/>
        <v>0</v>
      </c>
      <c r="CM379">
        <f>IF(AND(A379=$AO$5,B379=$AQ$3,H379=1),COUNTIFS($A$200:A379,$AO$5,$B$200:B379,$AQ$3,$H$200:H379,1),0)</f>
        <v>0</v>
      </c>
      <c r="CN379">
        <f>IF(CA379="",180,1001)</f>
        <v>180</v>
      </c>
      <c r="GA379">
        <f t="shared" si="94"/>
        <v>0</v>
      </c>
      <c r="GB379">
        <f t="shared" si="95"/>
        <v>0</v>
      </c>
      <c r="GC379">
        <f>IF(AND(C379="事件记录",H379=1),COUNTIFS($C$200:C379,"事件记录",$H$200:H379,1),0)</f>
        <v>0</v>
      </c>
      <c r="GD379">
        <f t="shared" si="75"/>
        <v>0</v>
      </c>
      <c r="GH379">
        <f>IF(AND(H379=1,A379=$GA$10,B379=$GA$11),COUNTIFS($A$200:A379,$GA$10,$B$200:B379,$GA$11,$H$200:H379,1),0)</f>
        <v>0</v>
      </c>
    </row>
    <row r="380" spans="1:190">
      <c r="A380" t="str">
        <f t="shared" si="66"/>
        <v/>
      </c>
      <c r="B380" t="str">
        <f t="shared" si="67"/>
        <v/>
      </c>
      <c r="C380" t="str">
        <f t="shared" si="68"/>
        <v/>
      </c>
      <c r="D380" t="str">
        <f t="shared" si="69"/>
        <v/>
      </c>
      <c r="E380">
        <f t="shared" si="70"/>
        <v>0</v>
      </c>
      <c r="F380" t="str">
        <f t="shared" si="71"/>
        <v/>
      </c>
      <c r="G380">
        <f t="shared" si="72"/>
        <v>0</v>
      </c>
      <c r="H380">
        <f>IF(AND(G380=1,COUNTIFS($I$200:I380,I380,$G$200:G380,1)=1),1,0)</f>
        <v>0</v>
      </c>
      <c r="I380" t="str">
        <f t="shared" si="73"/>
        <v/>
      </c>
      <c r="BF380">
        <f t="shared" si="76"/>
        <v>0</v>
      </c>
      <c r="BG380">
        <f t="shared" si="77"/>
        <v>0</v>
      </c>
      <c r="BH380">
        <f t="shared" si="78"/>
        <v>0</v>
      </c>
      <c r="BI380">
        <f t="shared" si="79"/>
        <v>0</v>
      </c>
      <c r="BJ380">
        <f t="shared" si="80"/>
        <v>0</v>
      </c>
      <c r="BK380">
        <f t="shared" si="81"/>
        <v>0</v>
      </c>
      <c r="BL380">
        <f t="shared" si="82"/>
        <v>0</v>
      </c>
      <c r="BM380">
        <f t="shared" si="83"/>
        <v>0</v>
      </c>
      <c r="BN380">
        <f t="shared" si="84"/>
        <v>0</v>
      </c>
      <c r="BO380">
        <f t="shared" si="85"/>
        <v>0</v>
      </c>
      <c r="BP380">
        <f t="shared" si="86"/>
        <v>0</v>
      </c>
      <c r="BQ380">
        <f t="shared" si="87"/>
        <v>0</v>
      </c>
      <c r="BR380">
        <f t="shared" si="88"/>
        <v>0</v>
      </c>
      <c r="BS380">
        <f t="shared" si="89"/>
        <v>0</v>
      </c>
      <c r="BT380">
        <f t="shared" si="90"/>
        <v>0</v>
      </c>
      <c r="BU380">
        <f t="shared" si="91"/>
        <v>0</v>
      </c>
      <c r="BV380">
        <f t="shared" si="92"/>
        <v>0</v>
      </c>
      <c r="BW380">
        <f t="shared" si="93"/>
        <v>0</v>
      </c>
      <c r="CA380" t="str">
        <f>IF(181&gt;ROWS(DGArchive[模组]),"",IF(INDEX(DGArchive[模组],181)="","",INDEX(DGArchive[模组],181)))</f>
        <v/>
      </c>
      <c r="CB380" t="str">
        <f>IF(181&gt;ROWS(DGArchive[阶段]),"",IF(INDEX(DGArchive[阶段],181)="","",INDEX(DGArchive[阶段],181)))</f>
        <v/>
      </c>
      <c r="CC380" t="str">
        <f>IF(181&gt;ROWS(DGArchive[游戏内日期]),"",IF(INDEX(DGArchive[游戏内日期],181)="","",INDEX(DGArchive[游戏内日期],181)))</f>
        <v/>
      </c>
      <c r="CD380" t="str">
        <f>IF(181&gt;ROWS(DGArchive[目标]),"",IF(INDEX(DGArchive[目标],181)="","",INDEX(DGArchive[目标],181)))</f>
        <v/>
      </c>
      <c r="CE380" t="str">
        <f>IF(181&gt;ROWS(DGArchive[变更前]),"",IF(INDEX(DGArchive[变更前],181)="","",INDEX(DGArchive[变更前],181)))</f>
        <v/>
      </c>
      <c r="CF380" t="str">
        <f>IF(181&gt;ROWS(DGArchive[增减]),"",IF(INDEX(DGArchive[增减],181)="","",INDEX(DGArchive[增减],181)))</f>
        <v/>
      </c>
      <c r="CG380" t="str">
        <f>IF(181&gt;ROWS(DGArchive[变更后]),"",IF(INDEX(DGArchive[变更后],181)="","",INDEX(DGArchive[变更后],181)))</f>
        <v/>
      </c>
      <c r="CH380" t="str">
        <f>IF(181&gt;ROWS(DGArchive[事件／活动]),"",IF(INDEX(DGArchive[事件／活动],181)="","",INDEX(DGArchive[事件／活动],181)))</f>
        <v/>
      </c>
      <c r="CI380" t="str">
        <f>IF(181&gt;ROWS(DGArchive[记录编号]),"",IF(INDEX(DGArchive[记录编号],181)="","",INDEX(DGArchive[记录编号],181)))</f>
        <v/>
      </c>
      <c r="CL380">
        <f t="shared" si="74"/>
        <v>0</v>
      </c>
      <c r="CM380">
        <f>IF(AND(A380=$AO$5,B380=$AQ$3,H380=1),COUNTIFS($A$200:A380,$AO$5,$B$200:B380,$AQ$3,$H$200:H380,1),0)</f>
        <v>0</v>
      </c>
      <c r="CN380">
        <f>IF(CA380="",181,1001)</f>
        <v>181</v>
      </c>
      <c r="GA380">
        <f t="shared" si="94"/>
        <v>0</v>
      </c>
      <c r="GB380">
        <f t="shared" si="95"/>
        <v>0</v>
      </c>
      <c r="GC380">
        <f>IF(AND(C380="事件记录",H380=1),COUNTIFS($C$200:C380,"事件记录",$H$200:H380,1),0)</f>
        <v>0</v>
      </c>
      <c r="GD380">
        <f t="shared" si="75"/>
        <v>0</v>
      </c>
      <c r="GH380">
        <f>IF(AND(H380=1,A380=$GA$10,B380=$GA$11),COUNTIFS($A$200:A380,$GA$10,$B$200:B380,$GA$11,$H$200:H380,1),0)</f>
        <v>0</v>
      </c>
    </row>
    <row r="381" spans="1:190">
      <c r="A381" t="str">
        <f t="shared" si="66"/>
        <v/>
      </c>
      <c r="B381" t="str">
        <f t="shared" si="67"/>
        <v/>
      </c>
      <c r="C381" t="str">
        <f t="shared" si="68"/>
        <v/>
      </c>
      <c r="D381" t="str">
        <f t="shared" si="69"/>
        <v/>
      </c>
      <c r="E381">
        <f t="shared" si="70"/>
        <v>0</v>
      </c>
      <c r="F381" t="str">
        <f t="shared" si="71"/>
        <v/>
      </c>
      <c r="G381">
        <f t="shared" si="72"/>
        <v>0</v>
      </c>
      <c r="H381">
        <f>IF(AND(G381=1,COUNTIFS($I$200:I381,I381,$G$200:G381,1)=1),1,0)</f>
        <v>0</v>
      </c>
      <c r="I381" t="str">
        <f t="shared" si="73"/>
        <v/>
      </c>
      <c r="BF381">
        <f t="shared" si="76"/>
        <v>0</v>
      </c>
      <c r="BG381">
        <f t="shared" si="77"/>
        <v>0</v>
      </c>
      <c r="BH381">
        <f t="shared" si="78"/>
        <v>0</v>
      </c>
      <c r="BI381">
        <f t="shared" si="79"/>
        <v>0</v>
      </c>
      <c r="BJ381">
        <f t="shared" si="80"/>
        <v>0</v>
      </c>
      <c r="BK381">
        <f t="shared" si="81"/>
        <v>0</v>
      </c>
      <c r="BL381">
        <f t="shared" si="82"/>
        <v>0</v>
      </c>
      <c r="BM381">
        <f t="shared" si="83"/>
        <v>0</v>
      </c>
      <c r="BN381">
        <f t="shared" si="84"/>
        <v>0</v>
      </c>
      <c r="BO381">
        <f t="shared" si="85"/>
        <v>0</v>
      </c>
      <c r="BP381">
        <f t="shared" si="86"/>
        <v>0</v>
      </c>
      <c r="BQ381">
        <f t="shared" si="87"/>
        <v>0</v>
      </c>
      <c r="BR381">
        <f t="shared" si="88"/>
        <v>0</v>
      </c>
      <c r="BS381">
        <f t="shared" si="89"/>
        <v>0</v>
      </c>
      <c r="BT381">
        <f t="shared" si="90"/>
        <v>0</v>
      </c>
      <c r="BU381">
        <f t="shared" si="91"/>
        <v>0</v>
      </c>
      <c r="BV381">
        <f t="shared" si="92"/>
        <v>0</v>
      </c>
      <c r="BW381">
        <f t="shared" si="93"/>
        <v>0</v>
      </c>
      <c r="CA381" t="str">
        <f>IF(182&gt;ROWS(DGArchive[模组]),"",IF(INDEX(DGArchive[模组],182)="","",INDEX(DGArchive[模组],182)))</f>
        <v/>
      </c>
      <c r="CB381" t="str">
        <f>IF(182&gt;ROWS(DGArchive[阶段]),"",IF(INDEX(DGArchive[阶段],182)="","",INDEX(DGArchive[阶段],182)))</f>
        <v/>
      </c>
      <c r="CC381" t="str">
        <f>IF(182&gt;ROWS(DGArchive[游戏内日期]),"",IF(INDEX(DGArchive[游戏内日期],182)="","",INDEX(DGArchive[游戏内日期],182)))</f>
        <v/>
      </c>
      <c r="CD381" t="str">
        <f>IF(182&gt;ROWS(DGArchive[目标]),"",IF(INDEX(DGArchive[目标],182)="","",INDEX(DGArchive[目标],182)))</f>
        <v/>
      </c>
      <c r="CE381" t="str">
        <f>IF(182&gt;ROWS(DGArchive[变更前]),"",IF(INDEX(DGArchive[变更前],182)="","",INDEX(DGArchive[变更前],182)))</f>
        <v/>
      </c>
      <c r="CF381" t="str">
        <f>IF(182&gt;ROWS(DGArchive[增减]),"",IF(INDEX(DGArchive[增减],182)="","",INDEX(DGArchive[增减],182)))</f>
        <v/>
      </c>
      <c r="CG381" t="str">
        <f>IF(182&gt;ROWS(DGArchive[变更后]),"",IF(INDEX(DGArchive[变更后],182)="","",INDEX(DGArchive[变更后],182)))</f>
        <v/>
      </c>
      <c r="CH381" t="str">
        <f>IF(182&gt;ROWS(DGArchive[事件／活动]),"",IF(INDEX(DGArchive[事件／活动],182)="","",INDEX(DGArchive[事件／活动],182)))</f>
        <v/>
      </c>
      <c r="CI381" t="str">
        <f>IF(182&gt;ROWS(DGArchive[记录编号]),"",IF(INDEX(DGArchive[记录编号],182)="","",INDEX(DGArchive[记录编号],182)))</f>
        <v/>
      </c>
      <c r="CL381">
        <f t="shared" si="74"/>
        <v>0</v>
      </c>
      <c r="CM381">
        <f>IF(AND(A381=$AO$5,B381=$AQ$3,H381=1),COUNTIFS($A$200:A381,$AO$5,$B$200:B381,$AQ$3,$H$200:H381,1),0)</f>
        <v>0</v>
      </c>
      <c r="CN381">
        <f>IF(CA381="",182,1001)</f>
        <v>182</v>
      </c>
      <c r="GA381">
        <f t="shared" si="94"/>
        <v>0</v>
      </c>
      <c r="GB381">
        <f t="shared" si="95"/>
        <v>0</v>
      </c>
      <c r="GC381">
        <f>IF(AND(C381="事件记录",H381=1),COUNTIFS($C$200:C381,"事件记录",$H$200:H381,1),0)</f>
        <v>0</v>
      </c>
      <c r="GD381">
        <f t="shared" si="75"/>
        <v>0</v>
      </c>
      <c r="GH381">
        <f>IF(AND(H381=1,A381=$GA$10,B381=$GA$11),COUNTIFS($A$200:A381,$GA$10,$B$200:B381,$GA$11,$H$200:H381,1),0)</f>
        <v>0</v>
      </c>
    </row>
    <row r="382" spans="1:190">
      <c r="A382" t="str">
        <f t="shared" si="66"/>
        <v/>
      </c>
      <c r="B382" t="str">
        <f t="shared" si="67"/>
        <v/>
      </c>
      <c r="C382" t="str">
        <f t="shared" si="68"/>
        <v/>
      </c>
      <c r="D382" t="str">
        <f t="shared" si="69"/>
        <v/>
      </c>
      <c r="E382">
        <f t="shared" si="70"/>
        <v>0</v>
      </c>
      <c r="F382" t="str">
        <f t="shared" si="71"/>
        <v/>
      </c>
      <c r="G382">
        <f t="shared" si="72"/>
        <v>0</v>
      </c>
      <c r="H382">
        <f>IF(AND(G382=1,COUNTIFS($I$200:I382,I382,$G$200:G382,1)=1),1,0)</f>
        <v>0</v>
      </c>
      <c r="I382" t="str">
        <f t="shared" si="73"/>
        <v/>
      </c>
      <c r="BF382">
        <f t="shared" si="76"/>
        <v>0</v>
      </c>
      <c r="BG382">
        <f t="shared" si="77"/>
        <v>0</v>
      </c>
      <c r="BH382">
        <f t="shared" si="78"/>
        <v>0</v>
      </c>
      <c r="BI382">
        <f t="shared" si="79"/>
        <v>0</v>
      </c>
      <c r="BJ382">
        <f t="shared" si="80"/>
        <v>0</v>
      </c>
      <c r="BK382">
        <f t="shared" si="81"/>
        <v>0</v>
      </c>
      <c r="BL382">
        <f t="shared" si="82"/>
        <v>0</v>
      </c>
      <c r="BM382">
        <f t="shared" si="83"/>
        <v>0</v>
      </c>
      <c r="BN382">
        <f t="shared" si="84"/>
        <v>0</v>
      </c>
      <c r="BO382">
        <f t="shared" si="85"/>
        <v>0</v>
      </c>
      <c r="BP382">
        <f t="shared" si="86"/>
        <v>0</v>
      </c>
      <c r="BQ382">
        <f t="shared" si="87"/>
        <v>0</v>
      </c>
      <c r="BR382">
        <f t="shared" si="88"/>
        <v>0</v>
      </c>
      <c r="BS382">
        <f t="shared" si="89"/>
        <v>0</v>
      </c>
      <c r="BT382">
        <f t="shared" si="90"/>
        <v>0</v>
      </c>
      <c r="BU382">
        <f t="shared" si="91"/>
        <v>0</v>
      </c>
      <c r="BV382">
        <f t="shared" si="92"/>
        <v>0</v>
      </c>
      <c r="BW382">
        <f t="shared" si="93"/>
        <v>0</v>
      </c>
      <c r="CA382" t="str">
        <f>IF(183&gt;ROWS(DGArchive[模组]),"",IF(INDEX(DGArchive[模组],183)="","",INDEX(DGArchive[模组],183)))</f>
        <v/>
      </c>
      <c r="CB382" t="str">
        <f>IF(183&gt;ROWS(DGArchive[阶段]),"",IF(INDEX(DGArchive[阶段],183)="","",INDEX(DGArchive[阶段],183)))</f>
        <v/>
      </c>
      <c r="CC382" t="str">
        <f>IF(183&gt;ROWS(DGArchive[游戏内日期]),"",IF(INDEX(DGArchive[游戏内日期],183)="","",INDEX(DGArchive[游戏内日期],183)))</f>
        <v/>
      </c>
      <c r="CD382" t="str">
        <f>IF(183&gt;ROWS(DGArchive[目标]),"",IF(INDEX(DGArchive[目标],183)="","",INDEX(DGArchive[目标],183)))</f>
        <v/>
      </c>
      <c r="CE382" t="str">
        <f>IF(183&gt;ROWS(DGArchive[变更前]),"",IF(INDEX(DGArchive[变更前],183)="","",INDEX(DGArchive[变更前],183)))</f>
        <v/>
      </c>
      <c r="CF382" t="str">
        <f>IF(183&gt;ROWS(DGArchive[增减]),"",IF(INDEX(DGArchive[增减],183)="","",INDEX(DGArchive[增减],183)))</f>
        <v/>
      </c>
      <c r="CG382" t="str">
        <f>IF(183&gt;ROWS(DGArchive[变更后]),"",IF(INDEX(DGArchive[变更后],183)="","",INDEX(DGArchive[变更后],183)))</f>
        <v/>
      </c>
      <c r="CH382" t="str">
        <f>IF(183&gt;ROWS(DGArchive[事件／活动]),"",IF(INDEX(DGArchive[事件／活动],183)="","",INDEX(DGArchive[事件／活动],183)))</f>
        <v/>
      </c>
      <c r="CI382" t="str">
        <f>IF(183&gt;ROWS(DGArchive[记录编号]),"",IF(INDEX(DGArchive[记录编号],183)="","",INDEX(DGArchive[记录编号],183)))</f>
        <v/>
      </c>
      <c r="CL382">
        <f t="shared" si="74"/>
        <v>0</v>
      </c>
      <c r="CM382">
        <f>IF(AND(A382=$AO$5,B382=$AQ$3,H382=1),COUNTIFS($A$200:A382,$AO$5,$B$200:B382,$AQ$3,$H$200:H382,1),0)</f>
        <v>0</v>
      </c>
      <c r="CN382">
        <f>IF(CA382="",183,1001)</f>
        <v>183</v>
      </c>
      <c r="GA382">
        <f t="shared" si="94"/>
        <v>0</v>
      </c>
      <c r="GB382">
        <f t="shared" si="95"/>
        <v>0</v>
      </c>
      <c r="GC382">
        <f>IF(AND(C382="事件记录",H382=1),COUNTIFS($C$200:C382,"事件记录",$H$200:H382,1),0)</f>
        <v>0</v>
      </c>
      <c r="GD382">
        <f t="shared" si="75"/>
        <v>0</v>
      </c>
      <c r="GH382">
        <f>IF(AND(H382=1,A382=$GA$10,B382=$GA$11),COUNTIFS($A$200:A382,$GA$10,$B$200:B382,$GA$11,$H$200:H382,1),0)</f>
        <v>0</v>
      </c>
    </row>
    <row r="383" spans="1:190">
      <c r="A383" t="str">
        <f t="shared" si="66"/>
        <v/>
      </c>
      <c r="B383" t="str">
        <f t="shared" si="67"/>
        <v/>
      </c>
      <c r="C383" t="str">
        <f t="shared" si="68"/>
        <v/>
      </c>
      <c r="D383" t="str">
        <f t="shared" si="69"/>
        <v/>
      </c>
      <c r="E383">
        <f t="shared" si="70"/>
        <v>0</v>
      </c>
      <c r="F383" t="str">
        <f t="shared" si="71"/>
        <v/>
      </c>
      <c r="G383">
        <f t="shared" si="72"/>
        <v>0</v>
      </c>
      <c r="H383">
        <f>IF(AND(G383=1,COUNTIFS($I$200:I383,I383,$G$200:G383,1)=1),1,0)</f>
        <v>0</v>
      </c>
      <c r="I383" t="str">
        <f t="shared" si="73"/>
        <v/>
      </c>
      <c r="BF383">
        <f t="shared" si="76"/>
        <v>0</v>
      </c>
      <c r="BG383">
        <f t="shared" si="77"/>
        <v>0</v>
      </c>
      <c r="BH383">
        <f t="shared" si="78"/>
        <v>0</v>
      </c>
      <c r="BI383">
        <f t="shared" si="79"/>
        <v>0</v>
      </c>
      <c r="BJ383">
        <f t="shared" si="80"/>
        <v>0</v>
      </c>
      <c r="BK383">
        <f t="shared" si="81"/>
        <v>0</v>
      </c>
      <c r="BL383">
        <f t="shared" si="82"/>
        <v>0</v>
      </c>
      <c r="BM383">
        <f t="shared" si="83"/>
        <v>0</v>
      </c>
      <c r="BN383">
        <f t="shared" si="84"/>
        <v>0</v>
      </c>
      <c r="BO383">
        <f t="shared" si="85"/>
        <v>0</v>
      </c>
      <c r="BP383">
        <f t="shared" si="86"/>
        <v>0</v>
      </c>
      <c r="BQ383">
        <f t="shared" si="87"/>
        <v>0</v>
      </c>
      <c r="BR383">
        <f t="shared" si="88"/>
        <v>0</v>
      </c>
      <c r="BS383">
        <f t="shared" si="89"/>
        <v>0</v>
      </c>
      <c r="BT383">
        <f t="shared" si="90"/>
        <v>0</v>
      </c>
      <c r="BU383">
        <f t="shared" si="91"/>
        <v>0</v>
      </c>
      <c r="BV383">
        <f t="shared" si="92"/>
        <v>0</v>
      </c>
      <c r="BW383">
        <f t="shared" si="93"/>
        <v>0</v>
      </c>
      <c r="CA383" t="str">
        <f>IF(184&gt;ROWS(DGArchive[模组]),"",IF(INDEX(DGArchive[模组],184)="","",INDEX(DGArchive[模组],184)))</f>
        <v/>
      </c>
      <c r="CB383" t="str">
        <f>IF(184&gt;ROWS(DGArchive[阶段]),"",IF(INDEX(DGArchive[阶段],184)="","",INDEX(DGArchive[阶段],184)))</f>
        <v/>
      </c>
      <c r="CC383" t="str">
        <f>IF(184&gt;ROWS(DGArchive[游戏内日期]),"",IF(INDEX(DGArchive[游戏内日期],184)="","",INDEX(DGArchive[游戏内日期],184)))</f>
        <v/>
      </c>
      <c r="CD383" t="str">
        <f>IF(184&gt;ROWS(DGArchive[目标]),"",IF(INDEX(DGArchive[目标],184)="","",INDEX(DGArchive[目标],184)))</f>
        <v/>
      </c>
      <c r="CE383" t="str">
        <f>IF(184&gt;ROWS(DGArchive[变更前]),"",IF(INDEX(DGArchive[变更前],184)="","",INDEX(DGArchive[变更前],184)))</f>
        <v/>
      </c>
      <c r="CF383" t="str">
        <f>IF(184&gt;ROWS(DGArchive[增减]),"",IF(INDEX(DGArchive[增减],184)="","",INDEX(DGArchive[增减],184)))</f>
        <v/>
      </c>
      <c r="CG383" t="str">
        <f>IF(184&gt;ROWS(DGArchive[变更后]),"",IF(INDEX(DGArchive[变更后],184)="","",INDEX(DGArchive[变更后],184)))</f>
        <v/>
      </c>
      <c r="CH383" t="str">
        <f>IF(184&gt;ROWS(DGArchive[事件／活动]),"",IF(INDEX(DGArchive[事件／活动],184)="","",INDEX(DGArchive[事件／活动],184)))</f>
        <v/>
      </c>
      <c r="CI383" t="str">
        <f>IF(184&gt;ROWS(DGArchive[记录编号]),"",IF(INDEX(DGArchive[记录编号],184)="","",INDEX(DGArchive[记录编号],184)))</f>
        <v/>
      </c>
      <c r="CL383">
        <f t="shared" si="74"/>
        <v>0</v>
      </c>
      <c r="CM383">
        <f>IF(AND(A383=$AO$5,B383=$AQ$3,H383=1),COUNTIFS($A$200:A383,$AO$5,$B$200:B383,$AQ$3,$H$200:H383,1),0)</f>
        <v>0</v>
      </c>
      <c r="CN383">
        <f>IF(CA383="",184,1001)</f>
        <v>184</v>
      </c>
      <c r="GA383">
        <f t="shared" si="94"/>
        <v>0</v>
      </c>
      <c r="GB383">
        <f t="shared" si="95"/>
        <v>0</v>
      </c>
      <c r="GC383">
        <f>IF(AND(C383="事件记录",H383=1),COUNTIFS($C$200:C383,"事件记录",$H$200:H383,1),0)</f>
        <v>0</v>
      </c>
      <c r="GD383">
        <f t="shared" si="75"/>
        <v>0</v>
      </c>
      <c r="GH383">
        <f>IF(AND(H383=1,A383=$GA$10,B383=$GA$11),COUNTIFS($A$200:A383,$GA$10,$B$200:B383,$GA$11,$H$200:H383,1),0)</f>
        <v>0</v>
      </c>
    </row>
    <row r="384" spans="1:190">
      <c r="A384" t="str">
        <f t="shared" si="66"/>
        <v/>
      </c>
      <c r="B384" t="str">
        <f t="shared" si="67"/>
        <v/>
      </c>
      <c r="C384" t="str">
        <f t="shared" si="68"/>
        <v/>
      </c>
      <c r="D384" t="str">
        <f t="shared" si="69"/>
        <v/>
      </c>
      <c r="E384">
        <f t="shared" si="70"/>
        <v>0</v>
      </c>
      <c r="F384" t="str">
        <f t="shared" si="71"/>
        <v/>
      </c>
      <c r="G384">
        <f t="shared" si="72"/>
        <v>0</v>
      </c>
      <c r="H384">
        <f>IF(AND(G384=1,COUNTIFS($I$200:I384,I384,$G$200:G384,1)=1),1,0)</f>
        <v>0</v>
      </c>
      <c r="I384" t="str">
        <f t="shared" si="73"/>
        <v/>
      </c>
      <c r="BF384">
        <f t="shared" si="76"/>
        <v>0</v>
      </c>
      <c r="BG384">
        <f t="shared" si="77"/>
        <v>0</v>
      </c>
      <c r="BH384">
        <f t="shared" si="78"/>
        <v>0</v>
      </c>
      <c r="BI384">
        <f t="shared" si="79"/>
        <v>0</v>
      </c>
      <c r="BJ384">
        <f t="shared" si="80"/>
        <v>0</v>
      </c>
      <c r="BK384">
        <f t="shared" si="81"/>
        <v>0</v>
      </c>
      <c r="BL384">
        <f t="shared" si="82"/>
        <v>0</v>
      </c>
      <c r="BM384">
        <f t="shared" si="83"/>
        <v>0</v>
      </c>
      <c r="BN384">
        <f t="shared" si="84"/>
        <v>0</v>
      </c>
      <c r="BO384">
        <f t="shared" si="85"/>
        <v>0</v>
      </c>
      <c r="BP384">
        <f t="shared" si="86"/>
        <v>0</v>
      </c>
      <c r="BQ384">
        <f t="shared" si="87"/>
        <v>0</v>
      </c>
      <c r="BR384">
        <f t="shared" si="88"/>
        <v>0</v>
      </c>
      <c r="BS384">
        <f t="shared" si="89"/>
        <v>0</v>
      </c>
      <c r="BT384">
        <f t="shared" si="90"/>
        <v>0</v>
      </c>
      <c r="BU384">
        <f t="shared" si="91"/>
        <v>0</v>
      </c>
      <c r="BV384">
        <f t="shared" si="92"/>
        <v>0</v>
      </c>
      <c r="BW384">
        <f t="shared" si="93"/>
        <v>0</v>
      </c>
      <c r="CA384" t="str">
        <f>IF(185&gt;ROWS(DGArchive[模组]),"",IF(INDEX(DGArchive[模组],185)="","",INDEX(DGArchive[模组],185)))</f>
        <v/>
      </c>
      <c r="CB384" t="str">
        <f>IF(185&gt;ROWS(DGArchive[阶段]),"",IF(INDEX(DGArchive[阶段],185)="","",INDEX(DGArchive[阶段],185)))</f>
        <v/>
      </c>
      <c r="CC384" t="str">
        <f>IF(185&gt;ROWS(DGArchive[游戏内日期]),"",IF(INDEX(DGArchive[游戏内日期],185)="","",INDEX(DGArchive[游戏内日期],185)))</f>
        <v/>
      </c>
      <c r="CD384" t="str">
        <f>IF(185&gt;ROWS(DGArchive[目标]),"",IF(INDEX(DGArchive[目标],185)="","",INDEX(DGArchive[目标],185)))</f>
        <v/>
      </c>
      <c r="CE384" t="str">
        <f>IF(185&gt;ROWS(DGArchive[变更前]),"",IF(INDEX(DGArchive[变更前],185)="","",INDEX(DGArchive[变更前],185)))</f>
        <v/>
      </c>
      <c r="CF384" t="str">
        <f>IF(185&gt;ROWS(DGArchive[增减]),"",IF(INDEX(DGArchive[增减],185)="","",INDEX(DGArchive[增减],185)))</f>
        <v/>
      </c>
      <c r="CG384" t="str">
        <f>IF(185&gt;ROWS(DGArchive[变更后]),"",IF(INDEX(DGArchive[变更后],185)="","",INDEX(DGArchive[变更后],185)))</f>
        <v/>
      </c>
      <c r="CH384" t="str">
        <f>IF(185&gt;ROWS(DGArchive[事件／活动]),"",IF(INDEX(DGArchive[事件／活动],185)="","",INDEX(DGArchive[事件／活动],185)))</f>
        <v/>
      </c>
      <c r="CI384" t="str">
        <f>IF(185&gt;ROWS(DGArchive[记录编号]),"",IF(INDEX(DGArchive[记录编号],185)="","",INDEX(DGArchive[记录编号],185)))</f>
        <v/>
      </c>
      <c r="CL384">
        <f t="shared" si="74"/>
        <v>0</v>
      </c>
      <c r="CM384">
        <f>IF(AND(A384=$AO$5,B384=$AQ$3,H384=1),COUNTIFS($A$200:A384,$AO$5,$B$200:B384,$AQ$3,$H$200:H384,1),0)</f>
        <v>0</v>
      </c>
      <c r="CN384">
        <f>IF(CA384="",185,1001)</f>
        <v>185</v>
      </c>
      <c r="GA384">
        <f t="shared" si="94"/>
        <v>0</v>
      </c>
      <c r="GB384">
        <f t="shared" si="95"/>
        <v>0</v>
      </c>
      <c r="GC384">
        <f>IF(AND(C384="事件记录",H384=1),COUNTIFS($C$200:C384,"事件记录",$H$200:H384,1),0)</f>
        <v>0</v>
      </c>
      <c r="GD384">
        <f t="shared" si="75"/>
        <v>0</v>
      </c>
      <c r="GH384">
        <f>IF(AND(H384=1,A384=$GA$10,B384=$GA$11),COUNTIFS($A$200:A384,$GA$10,$B$200:B384,$GA$11,$H$200:H384,1),0)</f>
        <v>0</v>
      </c>
    </row>
    <row r="385" spans="1:190">
      <c r="A385" t="str">
        <f t="shared" si="66"/>
        <v/>
      </c>
      <c r="B385" t="str">
        <f t="shared" si="67"/>
        <v/>
      </c>
      <c r="C385" t="str">
        <f t="shared" si="68"/>
        <v/>
      </c>
      <c r="D385" t="str">
        <f t="shared" si="69"/>
        <v/>
      </c>
      <c r="E385">
        <f t="shared" si="70"/>
        <v>0</v>
      </c>
      <c r="F385" t="str">
        <f t="shared" si="71"/>
        <v/>
      </c>
      <c r="G385">
        <f t="shared" si="72"/>
        <v>0</v>
      </c>
      <c r="H385">
        <f>IF(AND(G385=1,COUNTIFS($I$200:I385,I385,$G$200:G385,1)=1),1,0)</f>
        <v>0</v>
      </c>
      <c r="I385" t="str">
        <f t="shared" si="73"/>
        <v/>
      </c>
      <c r="BF385">
        <f t="shared" si="76"/>
        <v>0</v>
      </c>
      <c r="BG385">
        <f t="shared" si="77"/>
        <v>0</v>
      </c>
      <c r="BH385">
        <f t="shared" si="78"/>
        <v>0</v>
      </c>
      <c r="BI385">
        <f t="shared" si="79"/>
        <v>0</v>
      </c>
      <c r="BJ385">
        <f t="shared" si="80"/>
        <v>0</v>
      </c>
      <c r="BK385">
        <f t="shared" si="81"/>
        <v>0</v>
      </c>
      <c r="BL385">
        <f t="shared" si="82"/>
        <v>0</v>
      </c>
      <c r="BM385">
        <f t="shared" si="83"/>
        <v>0</v>
      </c>
      <c r="BN385">
        <f t="shared" si="84"/>
        <v>0</v>
      </c>
      <c r="BO385">
        <f t="shared" si="85"/>
        <v>0</v>
      </c>
      <c r="BP385">
        <f t="shared" si="86"/>
        <v>0</v>
      </c>
      <c r="BQ385">
        <f t="shared" si="87"/>
        <v>0</v>
      </c>
      <c r="BR385">
        <f t="shared" si="88"/>
        <v>0</v>
      </c>
      <c r="BS385">
        <f t="shared" si="89"/>
        <v>0</v>
      </c>
      <c r="BT385">
        <f t="shared" si="90"/>
        <v>0</v>
      </c>
      <c r="BU385">
        <f t="shared" si="91"/>
        <v>0</v>
      </c>
      <c r="BV385">
        <f t="shared" si="92"/>
        <v>0</v>
      </c>
      <c r="BW385">
        <f t="shared" si="93"/>
        <v>0</v>
      </c>
      <c r="CA385" t="str">
        <f>IF(186&gt;ROWS(DGArchive[模组]),"",IF(INDEX(DGArchive[模组],186)="","",INDEX(DGArchive[模组],186)))</f>
        <v/>
      </c>
      <c r="CB385" t="str">
        <f>IF(186&gt;ROWS(DGArchive[阶段]),"",IF(INDEX(DGArchive[阶段],186)="","",INDEX(DGArchive[阶段],186)))</f>
        <v/>
      </c>
      <c r="CC385" t="str">
        <f>IF(186&gt;ROWS(DGArchive[游戏内日期]),"",IF(INDEX(DGArchive[游戏内日期],186)="","",INDEX(DGArchive[游戏内日期],186)))</f>
        <v/>
      </c>
      <c r="CD385" t="str">
        <f>IF(186&gt;ROWS(DGArchive[目标]),"",IF(INDEX(DGArchive[目标],186)="","",INDEX(DGArchive[目标],186)))</f>
        <v/>
      </c>
      <c r="CE385" t="str">
        <f>IF(186&gt;ROWS(DGArchive[变更前]),"",IF(INDEX(DGArchive[变更前],186)="","",INDEX(DGArchive[变更前],186)))</f>
        <v/>
      </c>
      <c r="CF385" t="str">
        <f>IF(186&gt;ROWS(DGArchive[增减]),"",IF(INDEX(DGArchive[增减],186)="","",INDEX(DGArchive[增减],186)))</f>
        <v/>
      </c>
      <c r="CG385" t="str">
        <f>IF(186&gt;ROWS(DGArchive[变更后]),"",IF(INDEX(DGArchive[变更后],186)="","",INDEX(DGArchive[变更后],186)))</f>
        <v/>
      </c>
      <c r="CH385" t="str">
        <f>IF(186&gt;ROWS(DGArchive[事件／活动]),"",IF(INDEX(DGArchive[事件／活动],186)="","",INDEX(DGArchive[事件／活动],186)))</f>
        <v/>
      </c>
      <c r="CI385" t="str">
        <f>IF(186&gt;ROWS(DGArchive[记录编号]),"",IF(INDEX(DGArchive[记录编号],186)="","",INDEX(DGArchive[记录编号],186)))</f>
        <v/>
      </c>
      <c r="CL385">
        <f t="shared" si="74"/>
        <v>0</v>
      </c>
      <c r="CM385">
        <f>IF(AND(A385=$AO$5,B385=$AQ$3,H385=1),COUNTIFS($A$200:A385,$AO$5,$B$200:B385,$AQ$3,$H$200:H385,1),0)</f>
        <v>0</v>
      </c>
      <c r="CN385">
        <f>IF(CA385="",186,1001)</f>
        <v>186</v>
      </c>
      <c r="GA385">
        <f t="shared" si="94"/>
        <v>0</v>
      </c>
      <c r="GB385">
        <f t="shared" si="95"/>
        <v>0</v>
      </c>
      <c r="GC385">
        <f>IF(AND(C385="事件记录",H385=1),COUNTIFS($C$200:C385,"事件记录",$H$200:H385,1),0)</f>
        <v>0</v>
      </c>
      <c r="GD385">
        <f t="shared" si="75"/>
        <v>0</v>
      </c>
      <c r="GH385">
        <f>IF(AND(H385=1,A385=$GA$10,B385=$GA$11),COUNTIFS($A$200:A385,$GA$10,$B$200:B385,$GA$11,$H$200:H385,1),0)</f>
        <v>0</v>
      </c>
    </row>
    <row r="386" spans="1:190">
      <c r="A386" t="str">
        <f t="shared" si="66"/>
        <v/>
      </c>
      <c r="B386" t="str">
        <f t="shared" si="67"/>
        <v/>
      </c>
      <c r="C386" t="str">
        <f t="shared" si="68"/>
        <v/>
      </c>
      <c r="D386" t="str">
        <f t="shared" si="69"/>
        <v/>
      </c>
      <c r="E386">
        <f t="shared" si="70"/>
        <v>0</v>
      </c>
      <c r="F386" t="str">
        <f t="shared" si="71"/>
        <v/>
      </c>
      <c r="G386">
        <f t="shared" si="72"/>
        <v>0</v>
      </c>
      <c r="H386">
        <f>IF(AND(G386=1,COUNTIFS($I$200:I386,I386,$G$200:G386,1)=1),1,0)</f>
        <v>0</v>
      </c>
      <c r="I386" t="str">
        <f t="shared" si="73"/>
        <v/>
      </c>
      <c r="BF386">
        <f t="shared" si="76"/>
        <v>0</v>
      </c>
      <c r="BG386">
        <f t="shared" si="77"/>
        <v>0</v>
      </c>
      <c r="BH386">
        <f t="shared" si="78"/>
        <v>0</v>
      </c>
      <c r="BI386">
        <f t="shared" si="79"/>
        <v>0</v>
      </c>
      <c r="BJ386">
        <f t="shared" si="80"/>
        <v>0</v>
      </c>
      <c r="BK386">
        <f t="shared" si="81"/>
        <v>0</v>
      </c>
      <c r="BL386">
        <f t="shared" si="82"/>
        <v>0</v>
      </c>
      <c r="BM386">
        <f t="shared" si="83"/>
        <v>0</v>
      </c>
      <c r="BN386">
        <f t="shared" si="84"/>
        <v>0</v>
      </c>
      <c r="BO386">
        <f t="shared" si="85"/>
        <v>0</v>
      </c>
      <c r="BP386">
        <f t="shared" si="86"/>
        <v>0</v>
      </c>
      <c r="BQ386">
        <f t="shared" si="87"/>
        <v>0</v>
      </c>
      <c r="BR386">
        <f t="shared" si="88"/>
        <v>0</v>
      </c>
      <c r="BS386">
        <f t="shared" si="89"/>
        <v>0</v>
      </c>
      <c r="BT386">
        <f t="shared" si="90"/>
        <v>0</v>
      </c>
      <c r="BU386">
        <f t="shared" si="91"/>
        <v>0</v>
      </c>
      <c r="BV386">
        <f t="shared" si="92"/>
        <v>0</v>
      </c>
      <c r="BW386">
        <f t="shared" si="93"/>
        <v>0</v>
      </c>
      <c r="CA386" t="str">
        <f>IF(187&gt;ROWS(DGArchive[模组]),"",IF(INDEX(DGArchive[模组],187)="","",INDEX(DGArchive[模组],187)))</f>
        <v/>
      </c>
      <c r="CB386" t="str">
        <f>IF(187&gt;ROWS(DGArchive[阶段]),"",IF(INDEX(DGArchive[阶段],187)="","",INDEX(DGArchive[阶段],187)))</f>
        <v/>
      </c>
      <c r="CC386" t="str">
        <f>IF(187&gt;ROWS(DGArchive[游戏内日期]),"",IF(INDEX(DGArchive[游戏内日期],187)="","",INDEX(DGArchive[游戏内日期],187)))</f>
        <v/>
      </c>
      <c r="CD386" t="str">
        <f>IF(187&gt;ROWS(DGArchive[目标]),"",IF(INDEX(DGArchive[目标],187)="","",INDEX(DGArchive[目标],187)))</f>
        <v/>
      </c>
      <c r="CE386" t="str">
        <f>IF(187&gt;ROWS(DGArchive[变更前]),"",IF(INDEX(DGArchive[变更前],187)="","",INDEX(DGArchive[变更前],187)))</f>
        <v/>
      </c>
      <c r="CF386" t="str">
        <f>IF(187&gt;ROWS(DGArchive[增减]),"",IF(INDEX(DGArchive[增减],187)="","",INDEX(DGArchive[增减],187)))</f>
        <v/>
      </c>
      <c r="CG386" t="str">
        <f>IF(187&gt;ROWS(DGArchive[变更后]),"",IF(INDEX(DGArchive[变更后],187)="","",INDEX(DGArchive[变更后],187)))</f>
        <v/>
      </c>
      <c r="CH386" t="str">
        <f>IF(187&gt;ROWS(DGArchive[事件／活动]),"",IF(INDEX(DGArchive[事件／活动],187)="","",INDEX(DGArchive[事件／活动],187)))</f>
        <v/>
      </c>
      <c r="CI386" t="str">
        <f>IF(187&gt;ROWS(DGArchive[记录编号]),"",IF(INDEX(DGArchive[记录编号],187)="","",INDEX(DGArchive[记录编号],187)))</f>
        <v/>
      </c>
      <c r="CL386">
        <f t="shared" si="74"/>
        <v>0</v>
      </c>
      <c r="CM386">
        <f>IF(AND(A386=$AO$5,B386=$AQ$3,H386=1),COUNTIFS($A$200:A386,$AO$5,$B$200:B386,$AQ$3,$H$200:H386,1),0)</f>
        <v>0</v>
      </c>
      <c r="CN386">
        <f>IF(CA386="",187,1001)</f>
        <v>187</v>
      </c>
      <c r="GA386">
        <f t="shared" si="94"/>
        <v>0</v>
      </c>
      <c r="GB386">
        <f t="shared" si="95"/>
        <v>0</v>
      </c>
      <c r="GC386">
        <f>IF(AND(C386="事件记录",H386=1),COUNTIFS($C$200:C386,"事件记录",$H$200:H386,1),0)</f>
        <v>0</v>
      </c>
      <c r="GD386">
        <f t="shared" si="75"/>
        <v>0</v>
      </c>
      <c r="GH386">
        <f>IF(AND(H386=1,A386=$GA$10,B386=$GA$11),COUNTIFS($A$200:A386,$GA$10,$B$200:B386,$GA$11,$H$200:H386,1),0)</f>
        <v>0</v>
      </c>
    </row>
    <row r="387" spans="1:190">
      <c r="A387" t="str">
        <f t="shared" si="66"/>
        <v/>
      </c>
      <c r="B387" t="str">
        <f t="shared" si="67"/>
        <v/>
      </c>
      <c r="C387" t="str">
        <f t="shared" si="68"/>
        <v/>
      </c>
      <c r="D387" t="str">
        <f t="shared" si="69"/>
        <v/>
      </c>
      <c r="E387">
        <f t="shared" si="70"/>
        <v>0</v>
      </c>
      <c r="F387" t="str">
        <f t="shared" si="71"/>
        <v/>
      </c>
      <c r="G387">
        <f t="shared" si="72"/>
        <v>0</v>
      </c>
      <c r="H387">
        <f>IF(AND(G387=1,COUNTIFS($I$200:I387,I387,$G$200:G387,1)=1),1,0)</f>
        <v>0</v>
      </c>
      <c r="I387" t="str">
        <f t="shared" si="73"/>
        <v/>
      </c>
      <c r="BF387">
        <f t="shared" si="76"/>
        <v>0</v>
      </c>
      <c r="BG387">
        <f t="shared" si="77"/>
        <v>0</v>
      </c>
      <c r="BH387">
        <f t="shared" si="78"/>
        <v>0</v>
      </c>
      <c r="BI387">
        <f t="shared" si="79"/>
        <v>0</v>
      </c>
      <c r="BJ387">
        <f t="shared" si="80"/>
        <v>0</v>
      </c>
      <c r="BK387">
        <f t="shared" si="81"/>
        <v>0</v>
      </c>
      <c r="BL387">
        <f t="shared" si="82"/>
        <v>0</v>
      </c>
      <c r="BM387">
        <f t="shared" si="83"/>
        <v>0</v>
      </c>
      <c r="BN387">
        <f t="shared" si="84"/>
        <v>0</v>
      </c>
      <c r="BO387">
        <f t="shared" si="85"/>
        <v>0</v>
      </c>
      <c r="BP387">
        <f t="shared" si="86"/>
        <v>0</v>
      </c>
      <c r="BQ387">
        <f t="shared" si="87"/>
        <v>0</v>
      </c>
      <c r="BR387">
        <f t="shared" si="88"/>
        <v>0</v>
      </c>
      <c r="BS387">
        <f t="shared" si="89"/>
        <v>0</v>
      </c>
      <c r="BT387">
        <f t="shared" si="90"/>
        <v>0</v>
      </c>
      <c r="BU387">
        <f t="shared" si="91"/>
        <v>0</v>
      </c>
      <c r="BV387">
        <f t="shared" si="92"/>
        <v>0</v>
      </c>
      <c r="BW387">
        <f t="shared" si="93"/>
        <v>0</v>
      </c>
      <c r="CA387" t="str">
        <f>IF(188&gt;ROWS(DGArchive[模组]),"",IF(INDEX(DGArchive[模组],188)="","",INDEX(DGArchive[模组],188)))</f>
        <v/>
      </c>
      <c r="CB387" t="str">
        <f>IF(188&gt;ROWS(DGArchive[阶段]),"",IF(INDEX(DGArchive[阶段],188)="","",INDEX(DGArchive[阶段],188)))</f>
        <v/>
      </c>
      <c r="CC387" t="str">
        <f>IF(188&gt;ROWS(DGArchive[游戏内日期]),"",IF(INDEX(DGArchive[游戏内日期],188)="","",INDEX(DGArchive[游戏内日期],188)))</f>
        <v/>
      </c>
      <c r="CD387" t="str">
        <f>IF(188&gt;ROWS(DGArchive[目标]),"",IF(INDEX(DGArchive[目标],188)="","",INDEX(DGArchive[目标],188)))</f>
        <v/>
      </c>
      <c r="CE387" t="str">
        <f>IF(188&gt;ROWS(DGArchive[变更前]),"",IF(INDEX(DGArchive[变更前],188)="","",INDEX(DGArchive[变更前],188)))</f>
        <v/>
      </c>
      <c r="CF387" t="str">
        <f>IF(188&gt;ROWS(DGArchive[增减]),"",IF(INDEX(DGArchive[增减],188)="","",INDEX(DGArchive[增减],188)))</f>
        <v/>
      </c>
      <c r="CG387" t="str">
        <f>IF(188&gt;ROWS(DGArchive[变更后]),"",IF(INDEX(DGArchive[变更后],188)="","",INDEX(DGArchive[变更后],188)))</f>
        <v/>
      </c>
      <c r="CH387" t="str">
        <f>IF(188&gt;ROWS(DGArchive[事件／活动]),"",IF(INDEX(DGArchive[事件／活动],188)="","",INDEX(DGArchive[事件／活动],188)))</f>
        <v/>
      </c>
      <c r="CI387" t="str">
        <f>IF(188&gt;ROWS(DGArchive[记录编号]),"",IF(INDEX(DGArchive[记录编号],188)="","",INDEX(DGArchive[记录编号],188)))</f>
        <v/>
      </c>
      <c r="CL387">
        <f t="shared" si="74"/>
        <v>0</v>
      </c>
      <c r="CM387">
        <f>IF(AND(A387=$AO$5,B387=$AQ$3,H387=1),COUNTIFS($A$200:A387,$AO$5,$B$200:B387,$AQ$3,$H$200:H387,1),0)</f>
        <v>0</v>
      </c>
      <c r="CN387">
        <f>IF(CA387="",188,1001)</f>
        <v>188</v>
      </c>
      <c r="GA387">
        <f t="shared" si="94"/>
        <v>0</v>
      </c>
      <c r="GB387">
        <f t="shared" si="95"/>
        <v>0</v>
      </c>
      <c r="GC387">
        <f>IF(AND(C387="事件记录",H387=1),COUNTIFS($C$200:C387,"事件记录",$H$200:H387,1),0)</f>
        <v>0</v>
      </c>
      <c r="GD387">
        <f t="shared" si="75"/>
        <v>0</v>
      </c>
      <c r="GH387">
        <f>IF(AND(H387=1,A387=$GA$10,B387=$GA$11),COUNTIFS($A$200:A387,$GA$10,$B$200:B387,$GA$11,$H$200:H387,1),0)</f>
        <v>0</v>
      </c>
    </row>
    <row r="388" spans="1:190">
      <c r="A388" t="str">
        <f t="shared" si="66"/>
        <v/>
      </c>
      <c r="B388" t="str">
        <f t="shared" si="67"/>
        <v/>
      </c>
      <c r="C388" t="str">
        <f t="shared" si="68"/>
        <v/>
      </c>
      <c r="D388" t="str">
        <f t="shared" si="69"/>
        <v/>
      </c>
      <c r="E388">
        <f t="shared" si="70"/>
        <v>0</v>
      </c>
      <c r="F388" t="str">
        <f t="shared" si="71"/>
        <v/>
      </c>
      <c r="G388">
        <f t="shared" si="72"/>
        <v>0</v>
      </c>
      <c r="H388">
        <f>IF(AND(G388=1,COUNTIFS($I$200:I388,I388,$G$200:G388,1)=1),1,0)</f>
        <v>0</v>
      </c>
      <c r="I388" t="str">
        <f t="shared" si="73"/>
        <v/>
      </c>
      <c r="BF388">
        <f t="shared" si="76"/>
        <v>0</v>
      </c>
      <c r="BG388">
        <f t="shared" si="77"/>
        <v>0</v>
      </c>
      <c r="BH388">
        <f t="shared" si="78"/>
        <v>0</v>
      </c>
      <c r="BI388">
        <f t="shared" si="79"/>
        <v>0</v>
      </c>
      <c r="BJ388">
        <f t="shared" si="80"/>
        <v>0</v>
      </c>
      <c r="BK388">
        <f t="shared" si="81"/>
        <v>0</v>
      </c>
      <c r="BL388">
        <f t="shared" si="82"/>
        <v>0</v>
      </c>
      <c r="BM388">
        <f t="shared" si="83"/>
        <v>0</v>
      </c>
      <c r="BN388">
        <f t="shared" si="84"/>
        <v>0</v>
      </c>
      <c r="BO388">
        <f t="shared" si="85"/>
        <v>0</v>
      </c>
      <c r="BP388">
        <f t="shared" si="86"/>
        <v>0</v>
      </c>
      <c r="BQ388">
        <f t="shared" si="87"/>
        <v>0</v>
      </c>
      <c r="BR388">
        <f t="shared" si="88"/>
        <v>0</v>
      </c>
      <c r="BS388">
        <f t="shared" si="89"/>
        <v>0</v>
      </c>
      <c r="BT388">
        <f t="shared" si="90"/>
        <v>0</v>
      </c>
      <c r="BU388">
        <f t="shared" si="91"/>
        <v>0</v>
      </c>
      <c r="BV388">
        <f t="shared" si="92"/>
        <v>0</v>
      </c>
      <c r="BW388">
        <f t="shared" si="93"/>
        <v>0</v>
      </c>
      <c r="CA388" t="str">
        <f>IF(189&gt;ROWS(DGArchive[模组]),"",IF(INDEX(DGArchive[模组],189)="","",INDEX(DGArchive[模组],189)))</f>
        <v/>
      </c>
      <c r="CB388" t="str">
        <f>IF(189&gt;ROWS(DGArchive[阶段]),"",IF(INDEX(DGArchive[阶段],189)="","",INDEX(DGArchive[阶段],189)))</f>
        <v/>
      </c>
      <c r="CC388" t="str">
        <f>IF(189&gt;ROWS(DGArchive[游戏内日期]),"",IF(INDEX(DGArchive[游戏内日期],189)="","",INDEX(DGArchive[游戏内日期],189)))</f>
        <v/>
      </c>
      <c r="CD388" t="str">
        <f>IF(189&gt;ROWS(DGArchive[目标]),"",IF(INDEX(DGArchive[目标],189)="","",INDEX(DGArchive[目标],189)))</f>
        <v/>
      </c>
      <c r="CE388" t="str">
        <f>IF(189&gt;ROWS(DGArchive[变更前]),"",IF(INDEX(DGArchive[变更前],189)="","",INDEX(DGArchive[变更前],189)))</f>
        <v/>
      </c>
      <c r="CF388" t="str">
        <f>IF(189&gt;ROWS(DGArchive[增减]),"",IF(INDEX(DGArchive[增减],189)="","",INDEX(DGArchive[增减],189)))</f>
        <v/>
      </c>
      <c r="CG388" t="str">
        <f>IF(189&gt;ROWS(DGArchive[变更后]),"",IF(INDEX(DGArchive[变更后],189)="","",INDEX(DGArchive[变更后],189)))</f>
        <v/>
      </c>
      <c r="CH388" t="str">
        <f>IF(189&gt;ROWS(DGArchive[事件／活动]),"",IF(INDEX(DGArchive[事件／活动],189)="","",INDEX(DGArchive[事件／活动],189)))</f>
        <v/>
      </c>
      <c r="CI388" t="str">
        <f>IF(189&gt;ROWS(DGArchive[记录编号]),"",IF(INDEX(DGArchive[记录编号],189)="","",INDEX(DGArchive[记录编号],189)))</f>
        <v/>
      </c>
      <c r="CL388">
        <f t="shared" si="74"/>
        <v>0</v>
      </c>
      <c r="CM388">
        <f>IF(AND(A388=$AO$5,B388=$AQ$3,H388=1),COUNTIFS($A$200:A388,$AO$5,$B$200:B388,$AQ$3,$H$200:H388,1),0)</f>
        <v>0</v>
      </c>
      <c r="CN388">
        <f>IF(CA388="",189,1001)</f>
        <v>189</v>
      </c>
      <c r="GA388">
        <f t="shared" si="94"/>
        <v>0</v>
      </c>
      <c r="GB388">
        <f t="shared" si="95"/>
        <v>0</v>
      </c>
      <c r="GC388">
        <f>IF(AND(C388="事件记录",H388=1),COUNTIFS($C$200:C388,"事件记录",$H$200:H388,1),0)</f>
        <v>0</v>
      </c>
      <c r="GD388">
        <f t="shared" si="75"/>
        <v>0</v>
      </c>
      <c r="GH388">
        <f>IF(AND(H388=1,A388=$GA$10,B388=$GA$11),COUNTIFS($A$200:A388,$GA$10,$B$200:B388,$GA$11,$H$200:H388,1),0)</f>
        <v>0</v>
      </c>
    </row>
    <row r="389" spans="1:190">
      <c r="A389" t="str">
        <f t="shared" si="66"/>
        <v/>
      </c>
      <c r="B389" t="str">
        <f t="shared" si="67"/>
        <v/>
      </c>
      <c r="C389" t="str">
        <f t="shared" si="68"/>
        <v/>
      </c>
      <c r="D389" t="str">
        <f t="shared" si="69"/>
        <v/>
      </c>
      <c r="E389">
        <f t="shared" si="70"/>
        <v>0</v>
      </c>
      <c r="F389" t="str">
        <f t="shared" si="71"/>
        <v/>
      </c>
      <c r="G389">
        <f t="shared" si="72"/>
        <v>0</v>
      </c>
      <c r="H389">
        <f>IF(AND(G389=1,COUNTIFS($I$200:I389,I389,$G$200:G389,1)=1),1,0)</f>
        <v>0</v>
      </c>
      <c r="I389" t="str">
        <f t="shared" si="73"/>
        <v/>
      </c>
      <c r="BF389">
        <f t="shared" si="76"/>
        <v>0</v>
      </c>
      <c r="BG389">
        <f t="shared" si="77"/>
        <v>0</v>
      </c>
      <c r="BH389">
        <f t="shared" si="78"/>
        <v>0</v>
      </c>
      <c r="BI389">
        <f t="shared" si="79"/>
        <v>0</v>
      </c>
      <c r="BJ389">
        <f t="shared" si="80"/>
        <v>0</v>
      </c>
      <c r="BK389">
        <f t="shared" si="81"/>
        <v>0</v>
      </c>
      <c r="BL389">
        <f t="shared" si="82"/>
        <v>0</v>
      </c>
      <c r="BM389">
        <f t="shared" si="83"/>
        <v>0</v>
      </c>
      <c r="BN389">
        <f t="shared" si="84"/>
        <v>0</v>
      </c>
      <c r="BO389">
        <f t="shared" si="85"/>
        <v>0</v>
      </c>
      <c r="BP389">
        <f t="shared" si="86"/>
        <v>0</v>
      </c>
      <c r="BQ389">
        <f t="shared" si="87"/>
        <v>0</v>
      </c>
      <c r="BR389">
        <f t="shared" si="88"/>
        <v>0</v>
      </c>
      <c r="BS389">
        <f t="shared" si="89"/>
        <v>0</v>
      </c>
      <c r="BT389">
        <f t="shared" si="90"/>
        <v>0</v>
      </c>
      <c r="BU389">
        <f t="shared" si="91"/>
        <v>0</v>
      </c>
      <c r="BV389">
        <f t="shared" si="92"/>
        <v>0</v>
      </c>
      <c r="BW389">
        <f t="shared" si="93"/>
        <v>0</v>
      </c>
      <c r="CA389" t="str">
        <f>IF(190&gt;ROWS(DGArchive[模组]),"",IF(INDEX(DGArchive[模组],190)="","",INDEX(DGArchive[模组],190)))</f>
        <v/>
      </c>
      <c r="CB389" t="str">
        <f>IF(190&gt;ROWS(DGArchive[阶段]),"",IF(INDEX(DGArchive[阶段],190)="","",INDEX(DGArchive[阶段],190)))</f>
        <v/>
      </c>
      <c r="CC389" t="str">
        <f>IF(190&gt;ROWS(DGArchive[游戏内日期]),"",IF(INDEX(DGArchive[游戏内日期],190)="","",INDEX(DGArchive[游戏内日期],190)))</f>
        <v/>
      </c>
      <c r="CD389" t="str">
        <f>IF(190&gt;ROWS(DGArchive[目标]),"",IF(INDEX(DGArchive[目标],190)="","",INDEX(DGArchive[目标],190)))</f>
        <v/>
      </c>
      <c r="CE389" t="str">
        <f>IF(190&gt;ROWS(DGArchive[变更前]),"",IF(INDEX(DGArchive[变更前],190)="","",INDEX(DGArchive[变更前],190)))</f>
        <v/>
      </c>
      <c r="CF389" t="str">
        <f>IF(190&gt;ROWS(DGArchive[增减]),"",IF(INDEX(DGArchive[增减],190)="","",INDEX(DGArchive[增减],190)))</f>
        <v/>
      </c>
      <c r="CG389" t="str">
        <f>IF(190&gt;ROWS(DGArchive[变更后]),"",IF(INDEX(DGArchive[变更后],190)="","",INDEX(DGArchive[变更后],190)))</f>
        <v/>
      </c>
      <c r="CH389" t="str">
        <f>IF(190&gt;ROWS(DGArchive[事件／活动]),"",IF(INDEX(DGArchive[事件／活动],190)="","",INDEX(DGArchive[事件／活动],190)))</f>
        <v/>
      </c>
      <c r="CI389" t="str">
        <f>IF(190&gt;ROWS(DGArchive[记录编号]),"",IF(INDEX(DGArchive[记录编号],190)="","",INDEX(DGArchive[记录编号],190)))</f>
        <v/>
      </c>
      <c r="CL389">
        <f t="shared" si="74"/>
        <v>0</v>
      </c>
      <c r="CM389">
        <f>IF(AND(A389=$AO$5,B389=$AQ$3,H389=1),COUNTIFS($A$200:A389,$AO$5,$B$200:B389,$AQ$3,$H$200:H389,1),0)</f>
        <v>0</v>
      </c>
      <c r="CN389">
        <f>IF(CA389="",190,1001)</f>
        <v>190</v>
      </c>
      <c r="GA389">
        <f t="shared" si="94"/>
        <v>0</v>
      </c>
      <c r="GB389">
        <f t="shared" si="95"/>
        <v>0</v>
      </c>
      <c r="GC389">
        <f>IF(AND(C389="事件记录",H389=1),COUNTIFS($C$200:C389,"事件记录",$H$200:H389,1),0)</f>
        <v>0</v>
      </c>
      <c r="GD389">
        <f t="shared" si="75"/>
        <v>0</v>
      </c>
      <c r="GH389">
        <f>IF(AND(H389=1,A389=$GA$10,B389=$GA$11),COUNTIFS($A$200:A389,$GA$10,$B$200:B389,$GA$11,$H$200:H389,1),0)</f>
        <v>0</v>
      </c>
    </row>
    <row r="390" spans="1:190">
      <c r="A390" t="str">
        <f t="shared" si="66"/>
        <v/>
      </c>
      <c r="B390" t="str">
        <f t="shared" si="67"/>
        <v/>
      </c>
      <c r="C390" t="str">
        <f t="shared" si="68"/>
        <v/>
      </c>
      <c r="D390" t="str">
        <f t="shared" si="69"/>
        <v/>
      </c>
      <c r="E390">
        <f t="shared" si="70"/>
        <v>0</v>
      </c>
      <c r="F390" t="str">
        <f t="shared" si="71"/>
        <v/>
      </c>
      <c r="G390">
        <f t="shared" si="72"/>
        <v>0</v>
      </c>
      <c r="H390">
        <f>IF(AND(G390=1,COUNTIFS($I$200:I390,I390,$G$200:G390,1)=1),1,0)</f>
        <v>0</v>
      </c>
      <c r="I390" t="str">
        <f t="shared" si="73"/>
        <v/>
      </c>
      <c r="BF390">
        <f t="shared" si="76"/>
        <v>0</v>
      </c>
      <c r="BG390">
        <f t="shared" si="77"/>
        <v>0</v>
      </c>
      <c r="BH390">
        <f t="shared" si="78"/>
        <v>0</v>
      </c>
      <c r="BI390">
        <f t="shared" si="79"/>
        <v>0</v>
      </c>
      <c r="BJ390">
        <f t="shared" si="80"/>
        <v>0</v>
      </c>
      <c r="BK390">
        <f t="shared" si="81"/>
        <v>0</v>
      </c>
      <c r="BL390">
        <f t="shared" si="82"/>
        <v>0</v>
      </c>
      <c r="BM390">
        <f t="shared" si="83"/>
        <v>0</v>
      </c>
      <c r="BN390">
        <f t="shared" si="84"/>
        <v>0</v>
      </c>
      <c r="BO390">
        <f t="shared" si="85"/>
        <v>0</v>
      </c>
      <c r="BP390">
        <f t="shared" si="86"/>
        <v>0</v>
      </c>
      <c r="BQ390">
        <f t="shared" si="87"/>
        <v>0</v>
      </c>
      <c r="BR390">
        <f t="shared" si="88"/>
        <v>0</v>
      </c>
      <c r="BS390">
        <f t="shared" si="89"/>
        <v>0</v>
      </c>
      <c r="BT390">
        <f t="shared" si="90"/>
        <v>0</v>
      </c>
      <c r="BU390">
        <f t="shared" si="91"/>
        <v>0</v>
      </c>
      <c r="BV390">
        <f t="shared" si="92"/>
        <v>0</v>
      </c>
      <c r="BW390">
        <f t="shared" si="93"/>
        <v>0</v>
      </c>
      <c r="CA390" t="str">
        <f>IF(191&gt;ROWS(DGArchive[模组]),"",IF(INDEX(DGArchive[模组],191)="","",INDEX(DGArchive[模组],191)))</f>
        <v/>
      </c>
      <c r="CB390" t="str">
        <f>IF(191&gt;ROWS(DGArchive[阶段]),"",IF(INDEX(DGArchive[阶段],191)="","",INDEX(DGArchive[阶段],191)))</f>
        <v/>
      </c>
      <c r="CC390" t="str">
        <f>IF(191&gt;ROWS(DGArchive[游戏内日期]),"",IF(INDEX(DGArchive[游戏内日期],191)="","",INDEX(DGArchive[游戏内日期],191)))</f>
        <v/>
      </c>
      <c r="CD390" t="str">
        <f>IF(191&gt;ROWS(DGArchive[目标]),"",IF(INDEX(DGArchive[目标],191)="","",INDEX(DGArchive[目标],191)))</f>
        <v/>
      </c>
      <c r="CE390" t="str">
        <f>IF(191&gt;ROWS(DGArchive[变更前]),"",IF(INDEX(DGArchive[变更前],191)="","",INDEX(DGArchive[变更前],191)))</f>
        <v/>
      </c>
      <c r="CF390" t="str">
        <f>IF(191&gt;ROWS(DGArchive[增减]),"",IF(INDEX(DGArchive[增减],191)="","",INDEX(DGArchive[增减],191)))</f>
        <v/>
      </c>
      <c r="CG390" t="str">
        <f>IF(191&gt;ROWS(DGArchive[变更后]),"",IF(INDEX(DGArchive[变更后],191)="","",INDEX(DGArchive[变更后],191)))</f>
        <v/>
      </c>
      <c r="CH390" t="str">
        <f>IF(191&gt;ROWS(DGArchive[事件／活动]),"",IF(INDEX(DGArchive[事件／活动],191)="","",INDEX(DGArchive[事件／活动],191)))</f>
        <v/>
      </c>
      <c r="CI390" t="str">
        <f>IF(191&gt;ROWS(DGArchive[记录编号]),"",IF(INDEX(DGArchive[记录编号],191)="","",INDEX(DGArchive[记录编号],191)))</f>
        <v/>
      </c>
      <c r="CL390">
        <f t="shared" si="74"/>
        <v>0</v>
      </c>
      <c r="CM390">
        <f>IF(AND(A390=$AO$5,B390=$AQ$3,H390=1),COUNTIFS($A$200:A390,$AO$5,$B$200:B390,$AQ$3,$H$200:H390,1),0)</f>
        <v>0</v>
      </c>
      <c r="CN390">
        <f>IF(CA390="",191,1001)</f>
        <v>191</v>
      </c>
      <c r="GA390">
        <f t="shared" si="94"/>
        <v>0</v>
      </c>
      <c r="GB390">
        <f t="shared" si="95"/>
        <v>0</v>
      </c>
      <c r="GC390">
        <f>IF(AND(C390="事件记录",H390=1),COUNTIFS($C$200:C390,"事件记录",$H$200:H390,1),0)</f>
        <v>0</v>
      </c>
      <c r="GD390">
        <f t="shared" si="75"/>
        <v>0</v>
      </c>
      <c r="GH390">
        <f>IF(AND(H390=1,A390=$GA$10,B390=$GA$11),COUNTIFS($A$200:A390,$GA$10,$B$200:B390,$GA$11,$H$200:H390,1),0)</f>
        <v>0</v>
      </c>
    </row>
    <row r="391" spans="1:190">
      <c r="A391" t="str">
        <f t="shared" si="66"/>
        <v/>
      </c>
      <c r="B391" t="str">
        <f t="shared" si="67"/>
        <v/>
      </c>
      <c r="C391" t="str">
        <f t="shared" si="68"/>
        <v/>
      </c>
      <c r="D391" t="str">
        <f t="shared" si="69"/>
        <v/>
      </c>
      <c r="E391">
        <f t="shared" si="70"/>
        <v>0</v>
      </c>
      <c r="F391" t="str">
        <f t="shared" si="71"/>
        <v/>
      </c>
      <c r="G391">
        <f t="shared" si="72"/>
        <v>0</v>
      </c>
      <c r="H391">
        <f>IF(AND(G391=1,COUNTIFS($I$200:I391,I391,$G$200:G391,1)=1),1,0)</f>
        <v>0</v>
      </c>
      <c r="I391" t="str">
        <f t="shared" si="73"/>
        <v/>
      </c>
      <c r="BF391">
        <f t="shared" si="76"/>
        <v>0</v>
      </c>
      <c r="BG391">
        <f t="shared" si="77"/>
        <v>0</v>
      </c>
      <c r="BH391">
        <f t="shared" si="78"/>
        <v>0</v>
      </c>
      <c r="BI391">
        <f t="shared" si="79"/>
        <v>0</v>
      </c>
      <c r="BJ391">
        <f t="shared" si="80"/>
        <v>0</v>
      </c>
      <c r="BK391">
        <f t="shared" si="81"/>
        <v>0</v>
      </c>
      <c r="BL391">
        <f t="shared" si="82"/>
        <v>0</v>
      </c>
      <c r="BM391">
        <f t="shared" si="83"/>
        <v>0</v>
      </c>
      <c r="BN391">
        <f t="shared" si="84"/>
        <v>0</v>
      </c>
      <c r="BO391">
        <f t="shared" si="85"/>
        <v>0</v>
      </c>
      <c r="BP391">
        <f t="shared" si="86"/>
        <v>0</v>
      </c>
      <c r="BQ391">
        <f t="shared" si="87"/>
        <v>0</v>
      </c>
      <c r="BR391">
        <f t="shared" si="88"/>
        <v>0</v>
      </c>
      <c r="BS391">
        <f t="shared" si="89"/>
        <v>0</v>
      </c>
      <c r="BT391">
        <f t="shared" si="90"/>
        <v>0</v>
      </c>
      <c r="BU391">
        <f t="shared" si="91"/>
        <v>0</v>
      </c>
      <c r="BV391">
        <f t="shared" si="92"/>
        <v>0</v>
      </c>
      <c r="BW391">
        <f t="shared" si="93"/>
        <v>0</v>
      </c>
      <c r="CA391" t="str">
        <f>IF(192&gt;ROWS(DGArchive[模组]),"",IF(INDEX(DGArchive[模组],192)="","",INDEX(DGArchive[模组],192)))</f>
        <v/>
      </c>
      <c r="CB391" t="str">
        <f>IF(192&gt;ROWS(DGArchive[阶段]),"",IF(INDEX(DGArchive[阶段],192)="","",INDEX(DGArchive[阶段],192)))</f>
        <v/>
      </c>
      <c r="CC391" t="str">
        <f>IF(192&gt;ROWS(DGArchive[游戏内日期]),"",IF(INDEX(DGArchive[游戏内日期],192)="","",INDEX(DGArchive[游戏内日期],192)))</f>
        <v/>
      </c>
      <c r="CD391" t="str">
        <f>IF(192&gt;ROWS(DGArchive[目标]),"",IF(INDEX(DGArchive[目标],192)="","",INDEX(DGArchive[目标],192)))</f>
        <v/>
      </c>
      <c r="CE391" t="str">
        <f>IF(192&gt;ROWS(DGArchive[变更前]),"",IF(INDEX(DGArchive[变更前],192)="","",INDEX(DGArchive[变更前],192)))</f>
        <v/>
      </c>
      <c r="CF391" t="str">
        <f>IF(192&gt;ROWS(DGArchive[增减]),"",IF(INDEX(DGArchive[增减],192)="","",INDEX(DGArchive[增减],192)))</f>
        <v/>
      </c>
      <c r="CG391" t="str">
        <f>IF(192&gt;ROWS(DGArchive[变更后]),"",IF(INDEX(DGArchive[变更后],192)="","",INDEX(DGArchive[变更后],192)))</f>
        <v/>
      </c>
      <c r="CH391" t="str">
        <f>IF(192&gt;ROWS(DGArchive[事件／活动]),"",IF(INDEX(DGArchive[事件／活动],192)="","",INDEX(DGArchive[事件／活动],192)))</f>
        <v/>
      </c>
      <c r="CI391" t="str">
        <f>IF(192&gt;ROWS(DGArchive[记录编号]),"",IF(INDEX(DGArchive[记录编号],192)="","",INDEX(DGArchive[记录编号],192)))</f>
        <v/>
      </c>
      <c r="CL391">
        <f t="shared" si="74"/>
        <v>0</v>
      </c>
      <c r="CM391">
        <f>IF(AND(A391=$AO$5,B391=$AQ$3,H391=1),COUNTIFS($A$200:A391,$AO$5,$B$200:B391,$AQ$3,$H$200:H391,1),0)</f>
        <v>0</v>
      </c>
      <c r="CN391">
        <f>IF(CA391="",192,1001)</f>
        <v>192</v>
      </c>
      <c r="GA391">
        <f t="shared" si="94"/>
        <v>0</v>
      </c>
      <c r="GB391">
        <f t="shared" si="95"/>
        <v>0</v>
      </c>
      <c r="GC391">
        <f>IF(AND(C391="事件记录",H391=1),COUNTIFS($C$200:C391,"事件记录",$H$200:H391,1),0)</f>
        <v>0</v>
      </c>
      <c r="GD391">
        <f t="shared" si="75"/>
        <v>0</v>
      </c>
      <c r="GH391">
        <f>IF(AND(H391=1,A391=$GA$10,B391=$GA$11),COUNTIFS($A$200:A391,$GA$10,$B$200:B391,$GA$11,$H$200:H391,1),0)</f>
        <v>0</v>
      </c>
    </row>
    <row r="392" spans="1:190">
      <c r="A392" t="str">
        <f t="shared" ref="A392:A455" si="96">IFERROR(TEXT(VALUE(CA392),"00"),"")</f>
        <v/>
      </c>
      <c r="B392" t="str">
        <f t="shared" ref="B392:B455" si="97">CB392</f>
        <v/>
      </c>
      <c r="C392" t="str">
        <f t="shared" ref="C392:C455" si="98">CD392</f>
        <v/>
      </c>
      <c r="D392" t="str">
        <f t="shared" ref="D392:D455" si="99">CF392</f>
        <v/>
      </c>
      <c r="E392">
        <f t="shared" ref="E392:E455" si="100">IF(H392=1,MAX(-CE392,MIN(D392,IF(LEFT(C392,3)="技能：",99,IF(COUNTIF($L$2:$L$7,C392)&gt;0,18,999))-CE392)),0)</f>
        <v>0</v>
      </c>
      <c r="F392" t="str">
        <f t="shared" ref="F392:F455" si="101">IF(OR(C392=0,C392=""),"",IF(G392=0,"记录不完整",IF(H392=0,"重复未计","已计入")))</f>
        <v/>
      </c>
      <c r="G392">
        <f t="shared" ref="G392:G455" si="102">IF(AND(AND(CA392&lt;&gt;"",CB392&lt;&gt;"",CI392&lt;&gt;"",OR(LEFT(C392,3)="技能：",COUNTIF($L$2:$L$19,C392)&gt;0,C392="事件记录",C392="暴力进度",C392="无力进度"),ISNUMBER(CE392),ISNUMBER(CF392),ISNUMBER(CG392),CE392&gt;=0,CG392=SUM(CE392,CF392)),OR(B392&lt;&gt;"成长",AND(LEFT(C392,3)="技能：",C392&lt;&gt;"技能：非自然知识",CE392&gt;=1,CE392&lt;=99,CF392&gt;=0,CF392&lt;=4,CG392&lt;=99))),1,0)</f>
        <v>0</v>
      </c>
      <c r="H392">
        <f>IF(AND(G392=1,COUNTIFS($I$200:I392,I392,$G$200:G392,1)=1),1,0)</f>
        <v>0</v>
      </c>
      <c r="I392" t="str">
        <f t="shared" ref="I392:I455" si="103">IF(G392=1,IF(B392="成长",A392&amp;"-成长-"&amp;C392,CI392),"")</f>
        <v/>
      </c>
      <c r="BF392">
        <f t="shared" si="76"/>
        <v>0</v>
      </c>
      <c r="BG392">
        <f t="shared" si="77"/>
        <v>0</v>
      </c>
      <c r="BH392">
        <f t="shared" si="78"/>
        <v>0</v>
      </c>
      <c r="BI392">
        <f t="shared" si="79"/>
        <v>0</v>
      </c>
      <c r="BJ392">
        <f t="shared" si="80"/>
        <v>0</v>
      </c>
      <c r="BK392">
        <f t="shared" si="81"/>
        <v>0</v>
      </c>
      <c r="BL392">
        <f t="shared" si="82"/>
        <v>0</v>
      </c>
      <c r="BM392">
        <f t="shared" si="83"/>
        <v>0</v>
      </c>
      <c r="BN392">
        <f t="shared" si="84"/>
        <v>0</v>
      </c>
      <c r="BO392">
        <f t="shared" si="85"/>
        <v>0</v>
      </c>
      <c r="BP392">
        <f t="shared" si="86"/>
        <v>0</v>
      </c>
      <c r="BQ392">
        <f t="shared" si="87"/>
        <v>0</v>
      </c>
      <c r="BR392">
        <f t="shared" si="88"/>
        <v>0</v>
      </c>
      <c r="BS392">
        <f t="shared" si="89"/>
        <v>0</v>
      </c>
      <c r="BT392">
        <f t="shared" si="90"/>
        <v>0</v>
      </c>
      <c r="BU392">
        <f t="shared" si="91"/>
        <v>0</v>
      </c>
      <c r="BV392">
        <f t="shared" si="92"/>
        <v>0</v>
      </c>
      <c r="BW392">
        <f t="shared" si="93"/>
        <v>0</v>
      </c>
      <c r="CA392" t="str">
        <f>IF(193&gt;ROWS(DGArchive[模组]),"",IF(INDEX(DGArchive[模组],193)="","",INDEX(DGArchive[模组],193)))</f>
        <v/>
      </c>
      <c r="CB392" t="str">
        <f>IF(193&gt;ROWS(DGArchive[阶段]),"",IF(INDEX(DGArchive[阶段],193)="","",INDEX(DGArchive[阶段],193)))</f>
        <v/>
      </c>
      <c r="CC392" t="str">
        <f>IF(193&gt;ROWS(DGArchive[游戏内日期]),"",IF(INDEX(DGArchive[游戏内日期],193)="","",INDEX(DGArchive[游戏内日期],193)))</f>
        <v/>
      </c>
      <c r="CD392" t="str">
        <f>IF(193&gt;ROWS(DGArchive[目标]),"",IF(INDEX(DGArchive[目标],193)="","",INDEX(DGArchive[目标],193)))</f>
        <v/>
      </c>
      <c r="CE392" t="str">
        <f>IF(193&gt;ROWS(DGArchive[变更前]),"",IF(INDEX(DGArchive[变更前],193)="","",INDEX(DGArchive[变更前],193)))</f>
        <v/>
      </c>
      <c r="CF392" t="str">
        <f>IF(193&gt;ROWS(DGArchive[增减]),"",IF(INDEX(DGArchive[增减],193)="","",INDEX(DGArchive[增减],193)))</f>
        <v/>
      </c>
      <c r="CG392" t="str">
        <f>IF(193&gt;ROWS(DGArchive[变更后]),"",IF(INDEX(DGArchive[变更后],193)="","",INDEX(DGArchive[变更后],193)))</f>
        <v/>
      </c>
      <c r="CH392" t="str">
        <f>IF(193&gt;ROWS(DGArchive[事件／活动]),"",IF(INDEX(DGArchive[事件／活动],193)="","",INDEX(DGArchive[事件／活动],193)))</f>
        <v/>
      </c>
      <c r="CI392" t="str">
        <f>IF(193&gt;ROWS(DGArchive[记录编号]),"",IF(INDEX(DGArchive[记录编号],193)="","",INDEX(DGArchive[记录编号],193)))</f>
        <v/>
      </c>
      <c r="CL392">
        <f t="shared" ref="CL392:CL455" si="104">IF(AND(A392=$AO$5,H392=1,LEFT(B392,2)="幕间"),IFERROR(VALUE(MID(B392,3,20)),0),0)</f>
        <v>0</v>
      </c>
      <c r="CM392">
        <f>IF(AND(A392=$AO$5,B392=$AQ$3,H392=1),COUNTIFS($A$200:A392,$AO$5,$B$200:B392,$AQ$3,$H$200:H392,1),0)</f>
        <v>0</v>
      </c>
      <c r="CN392">
        <f>IF(CA392="",193,1001)</f>
        <v>193</v>
      </c>
      <c r="GA392">
        <f t="shared" si="94"/>
        <v>0</v>
      </c>
      <c r="GB392">
        <f t="shared" si="95"/>
        <v>0</v>
      </c>
      <c r="GC392">
        <f>IF(AND(C392="事件记录",H392=1),COUNTIFS($C$200:C392,"事件记录",$H$200:H392,1),0)</f>
        <v>0</v>
      </c>
      <c r="GD392">
        <f t="shared" ref="GD392:GD455" si="105">IF(AND(H392=1,A392=$GA$10,LEFT(B392,2)="事件"),IFERROR(VALUE(MID(B392,3,20)),0),0)</f>
        <v>0</v>
      </c>
      <c r="GH392">
        <f>IF(AND(H392=1,A392=$GA$10,B392=$GA$11),COUNTIFS($A$200:A392,$GA$10,$B$200:B392,$GA$11,$H$200:H392,1),0)</f>
        <v>0</v>
      </c>
    </row>
    <row r="393" spans="1:190">
      <c r="A393" t="str">
        <f t="shared" si="96"/>
        <v/>
      </c>
      <c r="B393" t="str">
        <f t="shared" si="97"/>
        <v/>
      </c>
      <c r="C393" t="str">
        <f t="shared" si="98"/>
        <v/>
      </c>
      <c r="D393" t="str">
        <f t="shared" si="99"/>
        <v/>
      </c>
      <c r="E393">
        <f t="shared" si="100"/>
        <v>0</v>
      </c>
      <c r="F393" t="str">
        <f t="shared" si="101"/>
        <v/>
      </c>
      <c r="G393">
        <f t="shared" si="102"/>
        <v>0</v>
      </c>
      <c r="H393">
        <f>IF(AND(G393=1,COUNTIFS($I$200:I393,I393,$G$200:G393,1)=1),1,0)</f>
        <v>0</v>
      </c>
      <c r="I393" t="str">
        <f t="shared" si="103"/>
        <v/>
      </c>
      <c r="BF393">
        <f t="shared" ref="BF393:BF456" si="106">MAX(0,MIN(18,BF392+IF(C393="力量",E393,0)))</f>
        <v>0</v>
      </c>
      <c r="BG393">
        <f t="shared" ref="BG393:BG456" si="107">MAX(0,MIN(18,BG392+IF(C393="体质",E393,0)))</f>
        <v>0</v>
      </c>
      <c r="BH393">
        <f t="shared" ref="BH393:BH456" si="108">MAX(0,MIN(18,BH392+IF(C393="敏捷",E393,0)))</f>
        <v>0</v>
      </c>
      <c r="BI393">
        <f t="shared" ref="BI393:BI456" si="109">MAX(0,MIN(18,BI392+IF(C393="智力",E393,0)))</f>
        <v>0</v>
      </c>
      <c r="BJ393">
        <f t="shared" ref="BJ393:BJ456" si="110">MAX(0,MIN(18,BJ392+IF(C393="意志",E393,0)))</f>
        <v>0</v>
      </c>
      <c r="BK393">
        <f t="shared" ref="BK393:BK456" si="111">MAX(0,MIN(18,BK392+IF(C393="魅力",E393,0)))</f>
        <v>0</v>
      </c>
      <c r="BL393">
        <f t="shared" ref="BL393:BL456" si="112">MAX(0,MIN(99,BL392+IF(C393="技能：非自然知识",E393,0)))</f>
        <v>0</v>
      </c>
      <c r="BM393">
        <f t="shared" ref="BM393:BM456" si="113">MAX(0,MIN(CEILING((BF393+BG393)/2,1),BM392+IF(C393="体力",E393,0)))</f>
        <v>0</v>
      </c>
      <c r="BN393">
        <f t="shared" ref="BN393:BN456" si="114">MAX(0,MIN(BJ393,BN392+IF(C393="毅力",E393,0)))</f>
        <v>0</v>
      </c>
      <c r="BO393">
        <f t="shared" ref="BO393:BO456" si="115">MAX(0,MIN(99-BL393,BO392+IF(C393="理智",E393,0)))</f>
        <v>0</v>
      </c>
      <c r="BP393">
        <f t="shared" ref="BP393:BP456" si="116">MAX(0,MIN(99,BP392+IF(C393="崩溃点",E393,0)))</f>
        <v>0</v>
      </c>
      <c r="BQ393">
        <f t="shared" ref="BQ393:BQ456" si="117">MAX(0,MIN(BK393,IF(AND(H393=1,C393="重要关系1",LEFT(CH393,8)="建立新的重要关系"),CE393+E393,IF(BQ392=0,0,BQ392+IF(C393="重要关系1",E393,0))+IF(AND(C393="魅力",E393&lt;0),E393,0))))</f>
        <v>0</v>
      </c>
      <c r="BR393">
        <f t="shared" ref="BR393:BR456" si="118">MAX(0,MIN(BK393,IF(AND(H393=1,C393="重要关系2",LEFT(CH393,8)="建立新的重要关系"),CE393+E393,IF(BR392=0,0,BR392+IF(C393="重要关系2",E393,0))+IF(AND(C393="魅力",E393&lt;0),E393,0))))</f>
        <v>0</v>
      </c>
      <c r="BS393">
        <f t="shared" ref="BS393:BS456" si="119">MAX(0,MIN(BK393,IF(AND(H393=1,C393="重要关系3",LEFT(CH393,8)="建立新的重要关系"),CE393+E393,IF(BS392=0,0,BS392+IF(C393="重要关系3",E393,0))+IF(AND(C393="魅力",E393&lt;0),E393,0))))</f>
        <v>0</v>
      </c>
      <c r="BT393">
        <f t="shared" ref="BT393:BT456" si="120">MAX(0,MIN(BK393,IF(AND(H393=1,C393="重要关系4",LEFT(CH393,8)="建立新的重要关系"),CE393+E393,IF(BT392=0,0,BT392+IF(C393="重要关系4",E393,0))+IF(AND(C393="魅力",E393&lt;0),E393,0))))</f>
        <v>0</v>
      </c>
      <c r="BU393">
        <f t="shared" ref="BU393:BU456" si="121">MAX(0,MIN(BK393,IF(AND(H393=1,C393="重要关系5",LEFT(CH393,8)="建立新的重要关系"),CE393+E393,IF(BU392=0,0,BU392+IF(C393="重要关系5",E393,0))+IF(AND(C393="魅力",E393&lt;0),E393,0))))</f>
        <v>0</v>
      </c>
      <c r="BV393">
        <f t="shared" ref="BV393:BV456" si="122">MAX(0,MIN(BK393,IF(AND(H393=1,C393="重要关系6",LEFT(CH393,8)="建立新的重要关系"),CE393+E393,IF(BV392=0,0,BV392+IF(C393="重要关系6",E393,0))+IF(AND(C393="魅力",E393&lt;0),E393,0))))</f>
        <v>0</v>
      </c>
      <c r="BW393">
        <f t="shared" ref="BW393:BW456" si="123">MAX(0,MIN(BK393,IF(AND(H393=1,C393="重要关系7",LEFT(CH393,8)="建立新的重要关系"),CE393+E393,IF(BW392=0,0,BW392+IF(C393="重要关系7",E393,0))+IF(AND(C393="魅力",E393&lt;0),E393,0))))</f>
        <v>0</v>
      </c>
      <c r="CA393" t="str">
        <f>IF(194&gt;ROWS(DGArchive[模组]),"",IF(INDEX(DGArchive[模组],194)="","",INDEX(DGArchive[模组],194)))</f>
        <v/>
      </c>
      <c r="CB393" t="str">
        <f>IF(194&gt;ROWS(DGArchive[阶段]),"",IF(INDEX(DGArchive[阶段],194)="","",INDEX(DGArchive[阶段],194)))</f>
        <v/>
      </c>
      <c r="CC393" t="str">
        <f>IF(194&gt;ROWS(DGArchive[游戏内日期]),"",IF(INDEX(DGArchive[游戏内日期],194)="","",INDEX(DGArchive[游戏内日期],194)))</f>
        <v/>
      </c>
      <c r="CD393" t="str">
        <f>IF(194&gt;ROWS(DGArchive[目标]),"",IF(INDEX(DGArchive[目标],194)="","",INDEX(DGArchive[目标],194)))</f>
        <v/>
      </c>
      <c r="CE393" t="str">
        <f>IF(194&gt;ROWS(DGArchive[变更前]),"",IF(INDEX(DGArchive[变更前],194)="","",INDEX(DGArchive[变更前],194)))</f>
        <v/>
      </c>
      <c r="CF393" t="str">
        <f>IF(194&gt;ROWS(DGArchive[增减]),"",IF(INDEX(DGArchive[增减],194)="","",INDEX(DGArchive[增减],194)))</f>
        <v/>
      </c>
      <c r="CG393" t="str">
        <f>IF(194&gt;ROWS(DGArchive[变更后]),"",IF(INDEX(DGArchive[变更后],194)="","",INDEX(DGArchive[变更后],194)))</f>
        <v/>
      </c>
      <c r="CH393" t="str">
        <f>IF(194&gt;ROWS(DGArchive[事件／活动]),"",IF(INDEX(DGArchive[事件／活动],194)="","",INDEX(DGArchive[事件／活动],194)))</f>
        <v/>
      </c>
      <c r="CI393" t="str">
        <f>IF(194&gt;ROWS(DGArchive[记录编号]),"",IF(INDEX(DGArchive[记录编号],194)="","",INDEX(DGArchive[记录编号],194)))</f>
        <v/>
      </c>
      <c r="CL393">
        <f t="shared" si="104"/>
        <v>0</v>
      </c>
      <c r="CM393">
        <f>IF(AND(A393=$AO$5,B393=$AQ$3,H393=1),COUNTIFS($A$200:A393,$AO$5,$B$200:B393,$AQ$3,$H$200:H393,1),0)</f>
        <v>0</v>
      </c>
      <c r="CN393">
        <f>IF(CA393="",194,1001)</f>
        <v>194</v>
      </c>
      <c r="GA393">
        <f t="shared" ref="GA393:GA456" si="124">MAX(0,MIN(3,GA392+IF(C393="暴力进度",E393,0)))</f>
        <v>0</v>
      </c>
      <c r="GB393">
        <f t="shared" ref="GB393:GB456" si="125">MAX(0,MIN(3,GB392+IF(C393="无力进度",E393,0)))</f>
        <v>0</v>
      </c>
      <c r="GC393">
        <f>IF(AND(C393="事件记录",H393=1),COUNTIFS($C$200:C393,"事件记录",$H$200:H393,1),0)</f>
        <v>0</v>
      </c>
      <c r="GD393">
        <f t="shared" si="105"/>
        <v>0</v>
      </c>
      <c r="GH393">
        <f>IF(AND(H393=1,A393=$GA$10,B393=$GA$11),COUNTIFS($A$200:A393,$GA$10,$B$200:B393,$GA$11,$H$200:H393,1),0)</f>
        <v>0</v>
      </c>
    </row>
    <row r="394" spans="1:190">
      <c r="A394" t="str">
        <f t="shared" si="96"/>
        <v/>
      </c>
      <c r="B394" t="str">
        <f t="shared" si="97"/>
        <v/>
      </c>
      <c r="C394" t="str">
        <f t="shared" si="98"/>
        <v/>
      </c>
      <c r="D394" t="str">
        <f t="shared" si="99"/>
        <v/>
      </c>
      <c r="E394">
        <f t="shared" si="100"/>
        <v>0</v>
      </c>
      <c r="F394" t="str">
        <f t="shared" si="101"/>
        <v/>
      </c>
      <c r="G394">
        <f t="shared" si="102"/>
        <v>0</v>
      </c>
      <c r="H394">
        <f>IF(AND(G394=1,COUNTIFS($I$200:I394,I394,$G$200:G394,1)=1),1,0)</f>
        <v>0</v>
      </c>
      <c r="I394" t="str">
        <f t="shared" si="103"/>
        <v/>
      </c>
      <c r="BF394">
        <f t="shared" si="106"/>
        <v>0</v>
      </c>
      <c r="BG394">
        <f t="shared" si="107"/>
        <v>0</v>
      </c>
      <c r="BH394">
        <f t="shared" si="108"/>
        <v>0</v>
      </c>
      <c r="BI394">
        <f t="shared" si="109"/>
        <v>0</v>
      </c>
      <c r="BJ394">
        <f t="shared" si="110"/>
        <v>0</v>
      </c>
      <c r="BK394">
        <f t="shared" si="111"/>
        <v>0</v>
      </c>
      <c r="BL394">
        <f t="shared" si="112"/>
        <v>0</v>
      </c>
      <c r="BM394">
        <f t="shared" si="113"/>
        <v>0</v>
      </c>
      <c r="BN394">
        <f t="shared" si="114"/>
        <v>0</v>
      </c>
      <c r="BO394">
        <f t="shared" si="115"/>
        <v>0</v>
      </c>
      <c r="BP394">
        <f t="shared" si="116"/>
        <v>0</v>
      </c>
      <c r="BQ394">
        <f t="shared" si="117"/>
        <v>0</v>
      </c>
      <c r="BR394">
        <f t="shared" si="118"/>
        <v>0</v>
      </c>
      <c r="BS394">
        <f t="shared" si="119"/>
        <v>0</v>
      </c>
      <c r="BT394">
        <f t="shared" si="120"/>
        <v>0</v>
      </c>
      <c r="BU394">
        <f t="shared" si="121"/>
        <v>0</v>
      </c>
      <c r="BV394">
        <f t="shared" si="122"/>
        <v>0</v>
      </c>
      <c r="BW394">
        <f t="shared" si="123"/>
        <v>0</v>
      </c>
      <c r="CA394" t="str">
        <f>IF(195&gt;ROWS(DGArchive[模组]),"",IF(INDEX(DGArchive[模组],195)="","",INDEX(DGArchive[模组],195)))</f>
        <v/>
      </c>
      <c r="CB394" t="str">
        <f>IF(195&gt;ROWS(DGArchive[阶段]),"",IF(INDEX(DGArchive[阶段],195)="","",INDEX(DGArchive[阶段],195)))</f>
        <v/>
      </c>
      <c r="CC394" t="str">
        <f>IF(195&gt;ROWS(DGArchive[游戏内日期]),"",IF(INDEX(DGArchive[游戏内日期],195)="","",INDEX(DGArchive[游戏内日期],195)))</f>
        <v/>
      </c>
      <c r="CD394" t="str">
        <f>IF(195&gt;ROWS(DGArchive[目标]),"",IF(INDEX(DGArchive[目标],195)="","",INDEX(DGArchive[目标],195)))</f>
        <v/>
      </c>
      <c r="CE394" t="str">
        <f>IF(195&gt;ROWS(DGArchive[变更前]),"",IF(INDEX(DGArchive[变更前],195)="","",INDEX(DGArchive[变更前],195)))</f>
        <v/>
      </c>
      <c r="CF394" t="str">
        <f>IF(195&gt;ROWS(DGArchive[增减]),"",IF(INDEX(DGArchive[增减],195)="","",INDEX(DGArchive[增减],195)))</f>
        <v/>
      </c>
      <c r="CG394" t="str">
        <f>IF(195&gt;ROWS(DGArchive[变更后]),"",IF(INDEX(DGArchive[变更后],195)="","",INDEX(DGArchive[变更后],195)))</f>
        <v/>
      </c>
      <c r="CH394" t="str">
        <f>IF(195&gt;ROWS(DGArchive[事件／活动]),"",IF(INDEX(DGArchive[事件／活动],195)="","",INDEX(DGArchive[事件／活动],195)))</f>
        <v/>
      </c>
      <c r="CI394" t="str">
        <f>IF(195&gt;ROWS(DGArchive[记录编号]),"",IF(INDEX(DGArchive[记录编号],195)="","",INDEX(DGArchive[记录编号],195)))</f>
        <v/>
      </c>
      <c r="CL394">
        <f t="shared" si="104"/>
        <v>0</v>
      </c>
      <c r="CM394">
        <f>IF(AND(A394=$AO$5,B394=$AQ$3,H394=1),COUNTIFS($A$200:A394,$AO$5,$B$200:B394,$AQ$3,$H$200:H394,1),0)</f>
        <v>0</v>
      </c>
      <c r="CN394">
        <f>IF(CA394="",195,1001)</f>
        <v>195</v>
      </c>
      <c r="GA394">
        <f t="shared" si="124"/>
        <v>0</v>
      </c>
      <c r="GB394">
        <f t="shared" si="125"/>
        <v>0</v>
      </c>
      <c r="GC394">
        <f>IF(AND(C394="事件记录",H394=1),COUNTIFS($C$200:C394,"事件记录",$H$200:H394,1),0)</f>
        <v>0</v>
      </c>
      <c r="GD394">
        <f t="shared" si="105"/>
        <v>0</v>
      </c>
      <c r="GH394">
        <f>IF(AND(H394=1,A394=$GA$10,B394=$GA$11),COUNTIFS($A$200:A394,$GA$10,$B$200:B394,$GA$11,$H$200:H394,1),0)</f>
        <v>0</v>
      </c>
    </row>
    <row r="395" spans="1:190">
      <c r="A395" t="str">
        <f t="shared" si="96"/>
        <v/>
      </c>
      <c r="B395" t="str">
        <f t="shared" si="97"/>
        <v/>
      </c>
      <c r="C395" t="str">
        <f t="shared" si="98"/>
        <v/>
      </c>
      <c r="D395" t="str">
        <f t="shared" si="99"/>
        <v/>
      </c>
      <c r="E395">
        <f t="shared" si="100"/>
        <v>0</v>
      </c>
      <c r="F395" t="str">
        <f t="shared" si="101"/>
        <v/>
      </c>
      <c r="G395">
        <f t="shared" si="102"/>
        <v>0</v>
      </c>
      <c r="H395">
        <f>IF(AND(G395=1,COUNTIFS($I$200:I395,I395,$G$200:G395,1)=1),1,0)</f>
        <v>0</v>
      </c>
      <c r="I395" t="str">
        <f t="shared" si="103"/>
        <v/>
      </c>
      <c r="BF395">
        <f t="shared" si="106"/>
        <v>0</v>
      </c>
      <c r="BG395">
        <f t="shared" si="107"/>
        <v>0</v>
      </c>
      <c r="BH395">
        <f t="shared" si="108"/>
        <v>0</v>
      </c>
      <c r="BI395">
        <f t="shared" si="109"/>
        <v>0</v>
      </c>
      <c r="BJ395">
        <f t="shared" si="110"/>
        <v>0</v>
      </c>
      <c r="BK395">
        <f t="shared" si="111"/>
        <v>0</v>
      </c>
      <c r="BL395">
        <f t="shared" si="112"/>
        <v>0</v>
      </c>
      <c r="BM395">
        <f t="shared" si="113"/>
        <v>0</v>
      </c>
      <c r="BN395">
        <f t="shared" si="114"/>
        <v>0</v>
      </c>
      <c r="BO395">
        <f t="shared" si="115"/>
        <v>0</v>
      </c>
      <c r="BP395">
        <f t="shared" si="116"/>
        <v>0</v>
      </c>
      <c r="BQ395">
        <f t="shared" si="117"/>
        <v>0</v>
      </c>
      <c r="BR395">
        <f t="shared" si="118"/>
        <v>0</v>
      </c>
      <c r="BS395">
        <f t="shared" si="119"/>
        <v>0</v>
      </c>
      <c r="BT395">
        <f t="shared" si="120"/>
        <v>0</v>
      </c>
      <c r="BU395">
        <f t="shared" si="121"/>
        <v>0</v>
      </c>
      <c r="BV395">
        <f t="shared" si="122"/>
        <v>0</v>
      </c>
      <c r="BW395">
        <f t="shared" si="123"/>
        <v>0</v>
      </c>
      <c r="CA395" t="str">
        <f>IF(196&gt;ROWS(DGArchive[模组]),"",IF(INDEX(DGArchive[模组],196)="","",INDEX(DGArchive[模组],196)))</f>
        <v/>
      </c>
      <c r="CB395" t="str">
        <f>IF(196&gt;ROWS(DGArchive[阶段]),"",IF(INDEX(DGArchive[阶段],196)="","",INDEX(DGArchive[阶段],196)))</f>
        <v/>
      </c>
      <c r="CC395" t="str">
        <f>IF(196&gt;ROWS(DGArchive[游戏内日期]),"",IF(INDEX(DGArchive[游戏内日期],196)="","",INDEX(DGArchive[游戏内日期],196)))</f>
        <v/>
      </c>
      <c r="CD395" t="str">
        <f>IF(196&gt;ROWS(DGArchive[目标]),"",IF(INDEX(DGArchive[目标],196)="","",INDEX(DGArchive[目标],196)))</f>
        <v/>
      </c>
      <c r="CE395" t="str">
        <f>IF(196&gt;ROWS(DGArchive[变更前]),"",IF(INDEX(DGArchive[变更前],196)="","",INDEX(DGArchive[变更前],196)))</f>
        <v/>
      </c>
      <c r="CF395" t="str">
        <f>IF(196&gt;ROWS(DGArchive[增减]),"",IF(INDEX(DGArchive[增减],196)="","",INDEX(DGArchive[增减],196)))</f>
        <v/>
      </c>
      <c r="CG395" t="str">
        <f>IF(196&gt;ROWS(DGArchive[变更后]),"",IF(INDEX(DGArchive[变更后],196)="","",INDEX(DGArchive[变更后],196)))</f>
        <v/>
      </c>
      <c r="CH395" t="str">
        <f>IF(196&gt;ROWS(DGArchive[事件／活动]),"",IF(INDEX(DGArchive[事件／活动],196)="","",INDEX(DGArchive[事件／活动],196)))</f>
        <v/>
      </c>
      <c r="CI395" t="str">
        <f>IF(196&gt;ROWS(DGArchive[记录编号]),"",IF(INDEX(DGArchive[记录编号],196)="","",INDEX(DGArchive[记录编号],196)))</f>
        <v/>
      </c>
      <c r="CL395">
        <f t="shared" si="104"/>
        <v>0</v>
      </c>
      <c r="CM395">
        <f>IF(AND(A395=$AO$5,B395=$AQ$3,H395=1),COUNTIFS($A$200:A395,$AO$5,$B$200:B395,$AQ$3,$H$200:H395,1),0)</f>
        <v>0</v>
      </c>
      <c r="CN395">
        <f>IF(CA395="",196,1001)</f>
        <v>196</v>
      </c>
      <c r="GA395">
        <f t="shared" si="124"/>
        <v>0</v>
      </c>
      <c r="GB395">
        <f t="shared" si="125"/>
        <v>0</v>
      </c>
      <c r="GC395">
        <f>IF(AND(C395="事件记录",H395=1),COUNTIFS($C$200:C395,"事件记录",$H$200:H395,1),0)</f>
        <v>0</v>
      </c>
      <c r="GD395">
        <f t="shared" si="105"/>
        <v>0</v>
      </c>
      <c r="GH395">
        <f>IF(AND(H395=1,A395=$GA$10,B395=$GA$11),COUNTIFS($A$200:A395,$GA$10,$B$200:B395,$GA$11,$H$200:H395,1),0)</f>
        <v>0</v>
      </c>
    </row>
    <row r="396" spans="1:190">
      <c r="A396" t="str">
        <f t="shared" si="96"/>
        <v/>
      </c>
      <c r="B396" t="str">
        <f t="shared" si="97"/>
        <v/>
      </c>
      <c r="C396" t="str">
        <f t="shared" si="98"/>
        <v/>
      </c>
      <c r="D396" t="str">
        <f t="shared" si="99"/>
        <v/>
      </c>
      <c r="E396">
        <f t="shared" si="100"/>
        <v>0</v>
      </c>
      <c r="F396" t="str">
        <f t="shared" si="101"/>
        <v/>
      </c>
      <c r="G396">
        <f t="shared" si="102"/>
        <v>0</v>
      </c>
      <c r="H396">
        <f>IF(AND(G396=1,COUNTIFS($I$200:I396,I396,$G$200:G396,1)=1),1,0)</f>
        <v>0</v>
      </c>
      <c r="I396" t="str">
        <f t="shared" si="103"/>
        <v/>
      </c>
      <c r="BF396">
        <f t="shared" si="106"/>
        <v>0</v>
      </c>
      <c r="BG396">
        <f t="shared" si="107"/>
        <v>0</v>
      </c>
      <c r="BH396">
        <f t="shared" si="108"/>
        <v>0</v>
      </c>
      <c r="BI396">
        <f t="shared" si="109"/>
        <v>0</v>
      </c>
      <c r="BJ396">
        <f t="shared" si="110"/>
        <v>0</v>
      </c>
      <c r="BK396">
        <f t="shared" si="111"/>
        <v>0</v>
      </c>
      <c r="BL396">
        <f t="shared" si="112"/>
        <v>0</v>
      </c>
      <c r="BM396">
        <f t="shared" si="113"/>
        <v>0</v>
      </c>
      <c r="BN396">
        <f t="shared" si="114"/>
        <v>0</v>
      </c>
      <c r="BO396">
        <f t="shared" si="115"/>
        <v>0</v>
      </c>
      <c r="BP396">
        <f t="shared" si="116"/>
        <v>0</v>
      </c>
      <c r="BQ396">
        <f t="shared" si="117"/>
        <v>0</v>
      </c>
      <c r="BR396">
        <f t="shared" si="118"/>
        <v>0</v>
      </c>
      <c r="BS396">
        <f t="shared" si="119"/>
        <v>0</v>
      </c>
      <c r="BT396">
        <f t="shared" si="120"/>
        <v>0</v>
      </c>
      <c r="BU396">
        <f t="shared" si="121"/>
        <v>0</v>
      </c>
      <c r="BV396">
        <f t="shared" si="122"/>
        <v>0</v>
      </c>
      <c r="BW396">
        <f t="shared" si="123"/>
        <v>0</v>
      </c>
      <c r="CA396" t="str">
        <f>IF(197&gt;ROWS(DGArchive[模组]),"",IF(INDEX(DGArchive[模组],197)="","",INDEX(DGArchive[模组],197)))</f>
        <v/>
      </c>
      <c r="CB396" t="str">
        <f>IF(197&gt;ROWS(DGArchive[阶段]),"",IF(INDEX(DGArchive[阶段],197)="","",INDEX(DGArchive[阶段],197)))</f>
        <v/>
      </c>
      <c r="CC396" t="str">
        <f>IF(197&gt;ROWS(DGArchive[游戏内日期]),"",IF(INDEX(DGArchive[游戏内日期],197)="","",INDEX(DGArchive[游戏内日期],197)))</f>
        <v/>
      </c>
      <c r="CD396" t="str">
        <f>IF(197&gt;ROWS(DGArchive[目标]),"",IF(INDEX(DGArchive[目标],197)="","",INDEX(DGArchive[目标],197)))</f>
        <v/>
      </c>
      <c r="CE396" t="str">
        <f>IF(197&gt;ROWS(DGArchive[变更前]),"",IF(INDEX(DGArchive[变更前],197)="","",INDEX(DGArchive[变更前],197)))</f>
        <v/>
      </c>
      <c r="CF396" t="str">
        <f>IF(197&gt;ROWS(DGArchive[增减]),"",IF(INDEX(DGArchive[增减],197)="","",INDEX(DGArchive[增减],197)))</f>
        <v/>
      </c>
      <c r="CG396" t="str">
        <f>IF(197&gt;ROWS(DGArchive[变更后]),"",IF(INDEX(DGArchive[变更后],197)="","",INDEX(DGArchive[变更后],197)))</f>
        <v/>
      </c>
      <c r="CH396" t="str">
        <f>IF(197&gt;ROWS(DGArchive[事件／活动]),"",IF(INDEX(DGArchive[事件／活动],197)="","",INDEX(DGArchive[事件／活动],197)))</f>
        <v/>
      </c>
      <c r="CI396" t="str">
        <f>IF(197&gt;ROWS(DGArchive[记录编号]),"",IF(INDEX(DGArchive[记录编号],197)="","",INDEX(DGArchive[记录编号],197)))</f>
        <v/>
      </c>
      <c r="CL396">
        <f t="shared" si="104"/>
        <v>0</v>
      </c>
      <c r="CM396">
        <f>IF(AND(A396=$AO$5,B396=$AQ$3,H396=1),COUNTIFS($A$200:A396,$AO$5,$B$200:B396,$AQ$3,$H$200:H396,1),0)</f>
        <v>0</v>
      </c>
      <c r="CN396">
        <f>IF(CA396="",197,1001)</f>
        <v>197</v>
      </c>
      <c r="GA396">
        <f t="shared" si="124"/>
        <v>0</v>
      </c>
      <c r="GB396">
        <f t="shared" si="125"/>
        <v>0</v>
      </c>
      <c r="GC396">
        <f>IF(AND(C396="事件记录",H396=1),COUNTIFS($C$200:C396,"事件记录",$H$200:H396,1),0)</f>
        <v>0</v>
      </c>
      <c r="GD396">
        <f t="shared" si="105"/>
        <v>0</v>
      </c>
      <c r="GH396">
        <f>IF(AND(H396=1,A396=$GA$10,B396=$GA$11),COUNTIFS($A$200:A396,$GA$10,$B$200:B396,$GA$11,$H$200:H396,1),0)</f>
        <v>0</v>
      </c>
    </row>
    <row r="397" spans="1:190">
      <c r="A397" t="str">
        <f t="shared" si="96"/>
        <v/>
      </c>
      <c r="B397" t="str">
        <f t="shared" si="97"/>
        <v/>
      </c>
      <c r="C397" t="str">
        <f t="shared" si="98"/>
        <v/>
      </c>
      <c r="D397" t="str">
        <f t="shared" si="99"/>
        <v/>
      </c>
      <c r="E397">
        <f t="shared" si="100"/>
        <v>0</v>
      </c>
      <c r="F397" t="str">
        <f t="shared" si="101"/>
        <v/>
      </c>
      <c r="G397">
        <f t="shared" si="102"/>
        <v>0</v>
      </c>
      <c r="H397">
        <f>IF(AND(G397=1,COUNTIFS($I$200:I397,I397,$G$200:G397,1)=1),1,0)</f>
        <v>0</v>
      </c>
      <c r="I397" t="str">
        <f t="shared" si="103"/>
        <v/>
      </c>
      <c r="BF397">
        <f t="shared" si="106"/>
        <v>0</v>
      </c>
      <c r="BG397">
        <f t="shared" si="107"/>
        <v>0</v>
      </c>
      <c r="BH397">
        <f t="shared" si="108"/>
        <v>0</v>
      </c>
      <c r="BI397">
        <f t="shared" si="109"/>
        <v>0</v>
      </c>
      <c r="BJ397">
        <f t="shared" si="110"/>
        <v>0</v>
      </c>
      <c r="BK397">
        <f t="shared" si="111"/>
        <v>0</v>
      </c>
      <c r="BL397">
        <f t="shared" si="112"/>
        <v>0</v>
      </c>
      <c r="BM397">
        <f t="shared" si="113"/>
        <v>0</v>
      </c>
      <c r="BN397">
        <f t="shared" si="114"/>
        <v>0</v>
      </c>
      <c r="BO397">
        <f t="shared" si="115"/>
        <v>0</v>
      </c>
      <c r="BP397">
        <f t="shared" si="116"/>
        <v>0</v>
      </c>
      <c r="BQ397">
        <f t="shared" si="117"/>
        <v>0</v>
      </c>
      <c r="BR397">
        <f t="shared" si="118"/>
        <v>0</v>
      </c>
      <c r="BS397">
        <f t="shared" si="119"/>
        <v>0</v>
      </c>
      <c r="BT397">
        <f t="shared" si="120"/>
        <v>0</v>
      </c>
      <c r="BU397">
        <f t="shared" si="121"/>
        <v>0</v>
      </c>
      <c r="BV397">
        <f t="shared" si="122"/>
        <v>0</v>
      </c>
      <c r="BW397">
        <f t="shared" si="123"/>
        <v>0</v>
      </c>
      <c r="CA397" t="str">
        <f>IF(198&gt;ROWS(DGArchive[模组]),"",IF(INDEX(DGArchive[模组],198)="","",INDEX(DGArchive[模组],198)))</f>
        <v/>
      </c>
      <c r="CB397" t="str">
        <f>IF(198&gt;ROWS(DGArchive[阶段]),"",IF(INDEX(DGArchive[阶段],198)="","",INDEX(DGArchive[阶段],198)))</f>
        <v/>
      </c>
      <c r="CC397" t="str">
        <f>IF(198&gt;ROWS(DGArchive[游戏内日期]),"",IF(INDEX(DGArchive[游戏内日期],198)="","",INDEX(DGArchive[游戏内日期],198)))</f>
        <v/>
      </c>
      <c r="CD397" t="str">
        <f>IF(198&gt;ROWS(DGArchive[目标]),"",IF(INDEX(DGArchive[目标],198)="","",INDEX(DGArchive[目标],198)))</f>
        <v/>
      </c>
      <c r="CE397" t="str">
        <f>IF(198&gt;ROWS(DGArchive[变更前]),"",IF(INDEX(DGArchive[变更前],198)="","",INDEX(DGArchive[变更前],198)))</f>
        <v/>
      </c>
      <c r="CF397" t="str">
        <f>IF(198&gt;ROWS(DGArchive[增减]),"",IF(INDEX(DGArchive[增减],198)="","",INDEX(DGArchive[增减],198)))</f>
        <v/>
      </c>
      <c r="CG397" t="str">
        <f>IF(198&gt;ROWS(DGArchive[变更后]),"",IF(INDEX(DGArchive[变更后],198)="","",INDEX(DGArchive[变更后],198)))</f>
        <v/>
      </c>
      <c r="CH397" t="str">
        <f>IF(198&gt;ROWS(DGArchive[事件／活动]),"",IF(INDEX(DGArchive[事件／活动],198)="","",INDEX(DGArchive[事件／活动],198)))</f>
        <v/>
      </c>
      <c r="CI397" t="str">
        <f>IF(198&gt;ROWS(DGArchive[记录编号]),"",IF(INDEX(DGArchive[记录编号],198)="","",INDEX(DGArchive[记录编号],198)))</f>
        <v/>
      </c>
      <c r="CL397">
        <f t="shared" si="104"/>
        <v>0</v>
      </c>
      <c r="CM397">
        <f>IF(AND(A397=$AO$5,B397=$AQ$3,H397=1),COUNTIFS($A$200:A397,$AO$5,$B$200:B397,$AQ$3,$H$200:H397,1),0)</f>
        <v>0</v>
      </c>
      <c r="CN397">
        <f>IF(CA397="",198,1001)</f>
        <v>198</v>
      </c>
      <c r="GA397">
        <f t="shared" si="124"/>
        <v>0</v>
      </c>
      <c r="GB397">
        <f t="shared" si="125"/>
        <v>0</v>
      </c>
      <c r="GC397">
        <f>IF(AND(C397="事件记录",H397=1),COUNTIFS($C$200:C397,"事件记录",$H$200:H397,1),0)</f>
        <v>0</v>
      </c>
      <c r="GD397">
        <f t="shared" si="105"/>
        <v>0</v>
      </c>
      <c r="GH397">
        <f>IF(AND(H397=1,A397=$GA$10,B397=$GA$11),COUNTIFS($A$200:A397,$GA$10,$B$200:B397,$GA$11,$H$200:H397,1),0)</f>
        <v>0</v>
      </c>
    </row>
    <row r="398" spans="1:190">
      <c r="A398" t="str">
        <f t="shared" si="96"/>
        <v/>
      </c>
      <c r="B398" t="str">
        <f t="shared" si="97"/>
        <v/>
      </c>
      <c r="C398" t="str">
        <f t="shared" si="98"/>
        <v/>
      </c>
      <c r="D398" t="str">
        <f t="shared" si="99"/>
        <v/>
      </c>
      <c r="E398">
        <f t="shared" si="100"/>
        <v>0</v>
      </c>
      <c r="F398" t="str">
        <f t="shared" si="101"/>
        <v/>
      </c>
      <c r="G398">
        <f t="shared" si="102"/>
        <v>0</v>
      </c>
      <c r="H398">
        <f>IF(AND(G398=1,COUNTIFS($I$200:I398,I398,$G$200:G398,1)=1),1,0)</f>
        <v>0</v>
      </c>
      <c r="I398" t="str">
        <f t="shared" si="103"/>
        <v/>
      </c>
      <c r="BF398">
        <f t="shared" si="106"/>
        <v>0</v>
      </c>
      <c r="BG398">
        <f t="shared" si="107"/>
        <v>0</v>
      </c>
      <c r="BH398">
        <f t="shared" si="108"/>
        <v>0</v>
      </c>
      <c r="BI398">
        <f t="shared" si="109"/>
        <v>0</v>
      </c>
      <c r="BJ398">
        <f t="shared" si="110"/>
        <v>0</v>
      </c>
      <c r="BK398">
        <f t="shared" si="111"/>
        <v>0</v>
      </c>
      <c r="BL398">
        <f t="shared" si="112"/>
        <v>0</v>
      </c>
      <c r="BM398">
        <f t="shared" si="113"/>
        <v>0</v>
      </c>
      <c r="BN398">
        <f t="shared" si="114"/>
        <v>0</v>
      </c>
      <c r="BO398">
        <f t="shared" si="115"/>
        <v>0</v>
      </c>
      <c r="BP398">
        <f t="shared" si="116"/>
        <v>0</v>
      </c>
      <c r="BQ398">
        <f t="shared" si="117"/>
        <v>0</v>
      </c>
      <c r="BR398">
        <f t="shared" si="118"/>
        <v>0</v>
      </c>
      <c r="BS398">
        <f t="shared" si="119"/>
        <v>0</v>
      </c>
      <c r="BT398">
        <f t="shared" si="120"/>
        <v>0</v>
      </c>
      <c r="BU398">
        <f t="shared" si="121"/>
        <v>0</v>
      </c>
      <c r="BV398">
        <f t="shared" si="122"/>
        <v>0</v>
      </c>
      <c r="BW398">
        <f t="shared" si="123"/>
        <v>0</v>
      </c>
      <c r="CA398" t="str">
        <f>IF(199&gt;ROWS(DGArchive[模组]),"",IF(INDEX(DGArchive[模组],199)="","",INDEX(DGArchive[模组],199)))</f>
        <v/>
      </c>
      <c r="CB398" t="str">
        <f>IF(199&gt;ROWS(DGArchive[阶段]),"",IF(INDEX(DGArchive[阶段],199)="","",INDEX(DGArchive[阶段],199)))</f>
        <v/>
      </c>
      <c r="CC398" t="str">
        <f>IF(199&gt;ROWS(DGArchive[游戏内日期]),"",IF(INDEX(DGArchive[游戏内日期],199)="","",INDEX(DGArchive[游戏内日期],199)))</f>
        <v/>
      </c>
      <c r="CD398" t="str">
        <f>IF(199&gt;ROWS(DGArchive[目标]),"",IF(INDEX(DGArchive[目标],199)="","",INDEX(DGArchive[目标],199)))</f>
        <v/>
      </c>
      <c r="CE398" t="str">
        <f>IF(199&gt;ROWS(DGArchive[变更前]),"",IF(INDEX(DGArchive[变更前],199)="","",INDEX(DGArchive[变更前],199)))</f>
        <v/>
      </c>
      <c r="CF398" t="str">
        <f>IF(199&gt;ROWS(DGArchive[增减]),"",IF(INDEX(DGArchive[增减],199)="","",INDEX(DGArchive[增减],199)))</f>
        <v/>
      </c>
      <c r="CG398" t="str">
        <f>IF(199&gt;ROWS(DGArchive[变更后]),"",IF(INDEX(DGArchive[变更后],199)="","",INDEX(DGArchive[变更后],199)))</f>
        <v/>
      </c>
      <c r="CH398" t="str">
        <f>IF(199&gt;ROWS(DGArchive[事件／活动]),"",IF(INDEX(DGArchive[事件／活动],199)="","",INDEX(DGArchive[事件／活动],199)))</f>
        <v/>
      </c>
      <c r="CI398" t="str">
        <f>IF(199&gt;ROWS(DGArchive[记录编号]),"",IF(INDEX(DGArchive[记录编号],199)="","",INDEX(DGArchive[记录编号],199)))</f>
        <v/>
      </c>
      <c r="CL398">
        <f t="shared" si="104"/>
        <v>0</v>
      </c>
      <c r="CM398">
        <f>IF(AND(A398=$AO$5,B398=$AQ$3,H398=1),COUNTIFS($A$200:A398,$AO$5,$B$200:B398,$AQ$3,$H$200:H398,1),0)</f>
        <v>0</v>
      </c>
      <c r="CN398">
        <f>IF(CA398="",199,1001)</f>
        <v>199</v>
      </c>
      <c r="GA398">
        <f t="shared" si="124"/>
        <v>0</v>
      </c>
      <c r="GB398">
        <f t="shared" si="125"/>
        <v>0</v>
      </c>
      <c r="GC398">
        <f>IF(AND(C398="事件记录",H398=1),COUNTIFS($C$200:C398,"事件记录",$H$200:H398,1),0)</f>
        <v>0</v>
      </c>
      <c r="GD398">
        <f t="shared" si="105"/>
        <v>0</v>
      </c>
      <c r="GH398">
        <f>IF(AND(H398=1,A398=$GA$10,B398=$GA$11),COUNTIFS($A$200:A398,$GA$10,$B$200:B398,$GA$11,$H$200:H398,1),0)</f>
        <v>0</v>
      </c>
    </row>
    <row r="399" spans="1:190">
      <c r="A399" t="str">
        <f t="shared" si="96"/>
        <v/>
      </c>
      <c r="B399" t="str">
        <f t="shared" si="97"/>
        <v/>
      </c>
      <c r="C399" t="str">
        <f t="shared" si="98"/>
        <v/>
      </c>
      <c r="D399" t="str">
        <f t="shared" si="99"/>
        <v/>
      </c>
      <c r="E399">
        <f t="shared" si="100"/>
        <v>0</v>
      </c>
      <c r="F399" t="str">
        <f t="shared" si="101"/>
        <v/>
      </c>
      <c r="G399">
        <f t="shared" si="102"/>
        <v>0</v>
      </c>
      <c r="H399">
        <f>IF(AND(G399=1,COUNTIFS($I$200:I399,I399,$G$200:G399,1)=1),1,0)</f>
        <v>0</v>
      </c>
      <c r="I399" t="str">
        <f t="shared" si="103"/>
        <v/>
      </c>
      <c r="BF399">
        <f t="shared" si="106"/>
        <v>0</v>
      </c>
      <c r="BG399">
        <f t="shared" si="107"/>
        <v>0</v>
      </c>
      <c r="BH399">
        <f t="shared" si="108"/>
        <v>0</v>
      </c>
      <c r="BI399">
        <f t="shared" si="109"/>
        <v>0</v>
      </c>
      <c r="BJ399">
        <f t="shared" si="110"/>
        <v>0</v>
      </c>
      <c r="BK399">
        <f t="shared" si="111"/>
        <v>0</v>
      </c>
      <c r="BL399">
        <f t="shared" si="112"/>
        <v>0</v>
      </c>
      <c r="BM399">
        <f t="shared" si="113"/>
        <v>0</v>
      </c>
      <c r="BN399">
        <f t="shared" si="114"/>
        <v>0</v>
      </c>
      <c r="BO399">
        <f t="shared" si="115"/>
        <v>0</v>
      </c>
      <c r="BP399">
        <f t="shared" si="116"/>
        <v>0</v>
      </c>
      <c r="BQ399">
        <f t="shared" si="117"/>
        <v>0</v>
      </c>
      <c r="BR399">
        <f t="shared" si="118"/>
        <v>0</v>
      </c>
      <c r="BS399">
        <f t="shared" si="119"/>
        <v>0</v>
      </c>
      <c r="BT399">
        <f t="shared" si="120"/>
        <v>0</v>
      </c>
      <c r="BU399">
        <f t="shared" si="121"/>
        <v>0</v>
      </c>
      <c r="BV399">
        <f t="shared" si="122"/>
        <v>0</v>
      </c>
      <c r="BW399">
        <f t="shared" si="123"/>
        <v>0</v>
      </c>
      <c r="CA399" t="str">
        <f>IF(200&gt;ROWS(DGArchive[模组]),"",IF(INDEX(DGArchive[模组],200)="","",INDEX(DGArchive[模组],200)))</f>
        <v/>
      </c>
      <c r="CB399" t="str">
        <f>IF(200&gt;ROWS(DGArchive[阶段]),"",IF(INDEX(DGArchive[阶段],200)="","",INDEX(DGArchive[阶段],200)))</f>
        <v/>
      </c>
      <c r="CC399" t="str">
        <f>IF(200&gt;ROWS(DGArchive[游戏内日期]),"",IF(INDEX(DGArchive[游戏内日期],200)="","",INDEX(DGArchive[游戏内日期],200)))</f>
        <v/>
      </c>
      <c r="CD399" t="str">
        <f>IF(200&gt;ROWS(DGArchive[目标]),"",IF(INDEX(DGArchive[目标],200)="","",INDEX(DGArchive[目标],200)))</f>
        <v/>
      </c>
      <c r="CE399" t="str">
        <f>IF(200&gt;ROWS(DGArchive[变更前]),"",IF(INDEX(DGArchive[变更前],200)="","",INDEX(DGArchive[变更前],200)))</f>
        <v/>
      </c>
      <c r="CF399" t="str">
        <f>IF(200&gt;ROWS(DGArchive[增减]),"",IF(INDEX(DGArchive[增减],200)="","",INDEX(DGArchive[增减],200)))</f>
        <v/>
      </c>
      <c r="CG399" t="str">
        <f>IF(200&gt;ROWS(DGArchive[变更后]),"",IF(INDEX(DGArchive[变更后],200)="","",INDEX(DGArchive[变更后],200)))</f>
        <v/>
      </c>
      <c r="CH399" t="str">
        <f>IF(200&gt;ROWS(DGArchive[事件／活动]),"",IF(INDEX(DGArchive[事件／活动],200)="","",INDEX(DGArchive[事件／活动],200)))</f>
        <v/>
      </c>
      <c r="CI399" t="str">
        <f>IF(200&gt;ROWS(DGArchive[记录编号]),"",IF(INDEX(DGArchive[记录编号],200)="","",INDEX(DGArchive[记录编号],200)))</f>
        <v/>
      </c>
      <c r="CL399">
        <f t="shared" si="104"/>
        <v>0</v>
      </c>
      <c r="CM399">
        <f>IF(AND(A399=$AO$5,B399=$AQ$3,H399=1),COUNTIFS($A$200:A399,$AO$5,$B$200:B399,$AQ$3,$H$200:H399,1),0)</f>
        <v>0</v>
      </c>
      <c r="CN399">
        <f>IF(CA399="",200,1001)</f>
        <v>200</v>
      </c>
      <c r="GA399">
        <f t="shared" si="124"/>
        <v>0</v>
      </c>
      <c r="GB399">
        <f t="shared" si="125"/>
        <v>0</v>
      </c>
      <c r="GC399">
        <f>IF(AND(C399="事件记录",H399=1),COUNTIFS($C$200:C399,"事件记录",$H$200:H399,1),0)</f>
        <v>0</v>
      </c>
      <c r="GD399">
        <f t="shared" si="105"/>
        <v>0</v>
      </c>
      <c r="GH399">
        <f>IF(AND(H399=1,A399=$GA$10,B399=$GA$11),COUNTIFS($A$200:A399,$GA$10,$B$200:B399,$GA$11,$H$200:H399,1),0)</f>
        <v>0</v>
      </c>
    </row>
    <row r="400" spans="1:190">
      <c r="A400" t="str">
        <f t="shared" si="96"/>
        <v/>
      </c>
      <c r="B400" t="str">
        <f t="shared" si="97"/>
        <v/>
      </c>
      <c r="C400" t="str">
        <f t="shared" si="98"/>
        <v/>
      </c>
      <c r="D400" t="str">
        <f t="shared" si="99"/>
        <v/>
      </c>
      <c r="E400">
        <f t="shared" si="100"/>
        <v>0</v>
      </c>
      <c r="F400" t="str">
        <f t="shared" si="101"/>
        <v/>
      </c>
      <c r="G400">
        <f t="shared" si="102"/>
        <v>0</v>
      </c>
      <c r="H400">
        <f>IF(AND(G400=1,COUNTIFS($I$200:I400,I400,$G$200:G400,1)=1),1,0)</f>
        <v>0</v>
      </c>
      <c r="I400" t="str">
        <f t="shared" si="103"/>
        <v/>
      </c>
      <c r="BF400">
        <f t="shared" si="106"/>
        <v>0</v>
      </c>
      <c r="BG400">
        <f t="shared" si="107"/>
        <v>0</v>
      </c>
      <c r="BH400">
        <f t="shared" si="108"/>
        <v>0</v>
      </c>
      <c r="BI400">
        <f t="shared" si="109"/>
        <v>0</v>
      </c>
      <c r="BJ400">
        <f t="shared" si="110"/>
        <v>0</v>
      </c>
      <c r="BK400">
        <f t="shared" si="111"/>
        <v>0</v>
      </c>
      <c r="BL400">
        <f t="shared" si="112"/>
        <v>0</v>
      </c>
      <c r="BM400">
        <f t="shared" si="113"/>
        <v>0</v>
      </c>
      <c r="BN400">
        <f t="shared" si="114"/>
        <v>0</v>
      </c>
      <c r="BO400">
        <f t="shared" si="115"/>
        <v>0</v>
      </c>
      <c r="BP400">
        <f t="shared" si="116"/>
        <v>0</v>
      </c>
      <c r="BQ400">
        <f t="shared" si="117"/>
        <v>0</v>
      </c>
      <c r="BR400">
        <f t="shared" si="118"/>
        <v>0</v>
      </c>
      <c r="BS400">
        <f t="shared" si="119"/>
        <v>0</v>
      </c>
      <c r="BT400">
        <f t="shared" si="120"/>
        <v>0</v>
      </c>
      <c r="BU400">
        <f t="shared" si="121"/>
        <v>0</v>
      </c>
      <c r="BV400">
        <f t="shared" si="122"/>
        <v>0</v>
      </c>
      <c r="BW400">
        <f t="shared" si="123"/>
        <v>0</v>
      </c>
      <c r="CA400" t="str">
        <f>IF(201&gt;ROWS(DGArchive[模组]),"",IF(INDEX(DGArchive[模组],201)="","",INDEX(DGArchive[模组],201)))</f>
        <v/>
      </c>
      <c r="CB400" t="str">
        <f>IF(201&gt;ROWS(DGArchive[阶段]),"",IF(INDEX(DGArchive[阶段],201)="","",INDEX(DGArchive[阶段],201)))</f>
        <v/>
      </c>
      <c r="CC400" t="str">
        <f>IF(201&gt;ROWS(DGArchive[游戏内日期]),"",IF(INDEX(DGArchive[游戏内日期],201)="","",INDEX(DGArchive[游戏内日期],201)))</f>
        <v/>
      </c>
      <c r="CD400" t="str">
        <f>IF(201&gt;ROWS(DGArchive[目标]),"",IF(INDEX(DGArchive[目标],201)="","",INDEX(DGArchive[目标],201)))</f>
        <v/>
      </c>
      <c r="CE400" t="str">
        <f>IF(201&gt;ROWS(DGArchive[变更前]),"",IF(INDEX(DGArchive[变更前],201)="","",INDEX(DGArchive[变更前],201)))</f>
        <v/>
      </c>
      <c r="CF400" t="str">
        <f>IF(201&gt;ROWS(DGArchive[增减]),"",IF(INDEX(DGArchive[增减],201)="","",INDEX(DGArchive[增减],201)))</f>
        <v/>
      </c>
      <c r="CG400" t="str">
        <f>IF(201&gt;ROWS(DGArchive[变更后]),"",IF(INDEX(DGArchive[变更后],201)="","",INDEX(DGArchive[变更后],201)))</f>
        <v/>
      </c>
      <c r="CH400" t="str">
        <f>IF(201&gt;ROWS(DGArchive[事件／活动]),"",IF(INDEX(DGArchive[事件／活动],201)="","",INDEX(DGArchive[事件／活动],201)))</f>
        <v/>
      </c>
      <c r="CI400" t="str">
        <f>IF(201&gt;ROWS(DGArchive[记录编号]),"",IF(INDEX(DGArchive[记录编号],201)="","",INDEX(DGArchive[记录编号],201)))</f>
        <v/>
      </c>
      <c r="CL400">
        <f t="shared" si="104"/>
        <v>0</v>
      </c>
      <c r="CM400">
        <f>IF(AND(A400=$AO$5,B400=$AQ$3,H400=1),COUNTIFS($A$200:A400,$AO$5,$B$200:B400,$AQ$3,$H$200:H400,1),0)</f>
        <v>0</v>
      </c>
      <c r="CN400">
        <f>IF(CA400="",201,1001)</f>
        <v>201</v>
      </c>
      <c r="GA400">
        <f t="shared" si="124"/>
        <v>0</v>
      </c>
      <c r="GB400">
        <f t="shared" si="125"/>
        <v>0</v>
      </c>
      <c r="GC400">
        <f>IF(AND(C400="事件记录",H400=1),COUNTIFS($C$200:C400,"事件记录",$H$200:H400,1),0)</f>
        <v>0</v>
      </c>
      <c r="GD400">
        <f t="shared" si="105"/>
        <v>0</v>
      </c>
      <c r="GH400">
        <f>IF(AND(H400=1,A400=$GA$10,B400=$GA$11),COUNTIFS($A$200:A400,$GA$10,$B$200:B400,$GA$11,$H$200:H400,1),0)</f>
        <v>0</v>
      </c>
    </row>
    <row r="401" spans="1:190">
      <c r="A401" t="str">
        <f t="shared" si="96"/>
        <v/>
      </c>
      <c r="B401" t="str">
        <f t="shared" si="97"/>
        <v/>
      </c>
      <c r="C401" t="str">
        <f t="shared" si="98"/>
        <v/>
      </c>
      <c r="D401" t="str">
        <f t="shared" si="99"/>
        <v/>
      </c>
      <c r="E401">
        <f t="shared" si="100"/>
        <v>0</v>
      </c>
      <c r="F401" t="str">
        <f t="shared" si="101"/>
        <v/>
      </c>
      <c r="G401">
        <f t="shared" si="102"/>
        <v>0</v>
      </c>
      <c r="H401">
        <f>IF(AND(G401=1,COUNTIFS($I$200:I401,I401,$G$200:G401,1)=1),1,0)</f>
        <v>0</v>
      </c>
      <c r="I401" t="str">
        <f t="shared" si="103"/>
        <v/>
      </c>
      <c r="BF401">
        <f t="shared" si="106"/>
        <v>0</v>
      </c>
      <c r="BG401">
        <f t="shared" si="107"/>
        <v>0</v>
      </c>
      <c r="BH401">
        <f t="shared" si="108"/>
        <v>0</v>
      </c>
      <c r="BI401">
        <f t="shared" si="109"/>
        <v>0</v>
      </c>
      <c r="BJ401">
        <f t="shared" si="110"/>
        <v>0</v>
      </c>
      <c r="BK401">
        <f t="shared" si="111"/>
        <v>0</v>
      </c>
      <c r="BL401">
        <f t="shared" si="112"/>
        <v>0</v>
      </c>
      <c r="BM401">
        <f t="shared" si="113"/>
        <v>0</v>
      </c>
      <c r="BN401">
        <f t="shared" si="114"/>
        <v>0</v>
      </c>
      <c r="BO401">
        <f t="shared" si="115"/>
        <v>0</v>
      </c>
      <c r="BP401">
        <f t="shared" si="116"/>
        <v>0</v>
      </c>
      <c r="BQ401">
        <f t="shared" si="117"/>
        <v>0</v>
      </c>
      <c r="BR401">
        <f t="shared" si="118"/>
        <v>0</v>
      </c>
      <c r="BS401">
        <f t="shared" si="119"/>
        <v>0</v>
      </c>
      <c r="BT401">
        <f t="shared" si="120"/>
        <v>0</v>
      </c>
      <c r="BU401">
        <f t="shared" si="121"/>
        <v>0</v>
      </c>
      <c r="BV401">
        <f t="shared" si="122"/>
        <v>0</v>
      </c>
      <c r="BW401">
        <f t="shared" si="123"/>
        <v>0</v>
      </c>
      <c r="CA401" t="str">
        <f>IF(202&gt;ROWS(DGArchive[模组]),"",IF(INDEX(DGArchive[模组],202)="","",INDEX(DGArchive[模组],202)))</f>
        <v/>
      </c>
      <c r="CB401" t="str">
        <f>IF(202&gt;ROWS(DGArchive[阶段]),"",IF(INDEX(DGArchive[阶段],202)="","",INDEX(DGArchive[阶段],202)))</f>
        <v/>
      </c>
      <c r="CC401" t="str">
        <f>IF(202&gt;ROWS(DGArchive[游戏内日期]),"",IF(INDEX(DGArchive[游戏内日期],202)="","",INDEX(DGArchive[游戏内日期],202)))</f>
        <v/>
      </c>
      <c r="CD401" t="str">
        <f>IF(202&gt;ROWS(DGArchive[目标]),"",IF(INDEX(DGArchive[目标],202)="","",INDEX(DGArchive[目标],202)))</f>
        <v/>
      </c>
      <c r="CE401" t="str">
        <f>IF(202&gt;ROWS(DGArchive[变更前]),"",IF(INDEX(DGArchive[变更前],202)="","",INDEX(DGArchive[变更前],202)))</f>
        <v/>
      </c>
      <c r="CF401" t="str">
        <f>IF(202&gt;ROWS(DGArchive[增减]),"",IF(INDEX(DGArchive[增减],202)="","",INDEX(DGArchive[增减],202)))</f>
        <v/>
      </c>
      <c r="CG401" t="str">
        <f>IF(202&gt;ROWS(DGArchive[变更后]),"",IF(INDEX(DGArchive[变更后],202)="","",INDEX(DGArchive[变更后],202)))</f>
        <v/>
      </c>
      <c r="CH401" t="str">
        <f>IF(202&gt;ROWS(DGArchive[事件／活动]),"",IF(INDEX(DGArchive[事件／活动],202)="","",INDEX(DGArchive[事件／活动],202)))</f>
        <v/>
      </c>
      <c r="CI401" t="str">
        <f>IF(202&gt;ROWS(DGArchive[记录编号]),"",IF(INDEX(DGArchive[记录编号],202)="","",INDEX(DGArchive[记录编号],202)))</f>
        <v/>
      </c>
      <c r="CL401">
        <f t="shared" si="104"/>
        <v>0</v>
      </c>
      <c r="CM401">
        <f>IF(AND(A401=$AO$5,B401=$AQ$3,H401=1),COUNTIFS($A$200:A401,$AO$5,$B$200:B401,$AQ$3,$H$200:H401,1),0)</f>
        <v>0</v>
      </c>
      <c r="CN401">
        <f>IF(CA401="",202,1001)</f>
        <v>202</v>
      </c>
      <c r="GA401">
        <f t="shared" si="124"/>
        <v>0</v>
      </c>
      <c r="GB401">
        <f t="shared" si="125"/>
        <v>0</v>
      </c>
      <c r="GC401">
        <f>IF(AND(C401="事件记录",H401=1),COUNTIFS($C$200:C401,"事件记录",$H$200:H401,1),0)</f>
        <v>0</v>
      </c>
      <c r="GD401">
        <f t="shared" si="105"/>
        <v>0</v>
      </c>
      <c r="GH401">
        <f>IF(AND(H401=1,A401=$GA$10,B401=$GA$11),COUNTIFS($A$200:A401,$GA$10,$B$200:B401,$GA$11,$H$200:H401,1),0)</f>
        <v>0</v>
      </c>
    </row>
    <row r="402" spans="1:190">
      <c r="A402" t="str">
        <f t="shared" si="96"/>
        <v/>
      </c>
      <c r="B402" t="str">
        <f t="shared" si="97"/>
        <v/>
      </c>
      <c r="C402" t="str">
        <f t="shared" si="98"/>
        <v/>
      </c>
      <c r="D402" t="str">
        <f t="shared" si="99"/>
        <v/>
      </c>
      <c r="E402">
        <f t="shared" si="100"/>
        <v>0</v>
      </c>
      <c r="F402" t="str">
        <f t="shared" si="101"/>
        <v/>
      </c>
      <c r="G402">
        <f t="shared" si="102"/>
        <v>0</v>
      </c>
      <c r="H402">
        <f>IF(AND(G402=1,COUNTIFS($I$200:I402,I402,$G$200:G402,1)=1),1,0)</f>
        <v>0</v>
      </c>
      <c r="I402" t="str">
        <f t="shared" si="103"/>
        <v/>
      </c>
      <c r="BF402">
        <f t="shared" si="106"/>
        <v>0</v>
      </c>
      <c r="BG402">
        <f t="shared" si="107"/>
        <v>0</v>
      </c>
      <c r="BH402">
        <f t="shared" si="108"/>
        <v>0</v>
      </c>
      <c r="BI402">
        <f t="shared" si="109"/>
        <v>0</v>
      </c>
      <c r="BJ402">
        <f t="shared" si="110"/>
        <v>0</v>
      </c>
      <c r="BK402">
        <f t="shared" si="111"/>
        <v>0</v>
      </c>
      <c r="BL402">
        <f t="shared" si="112"/>
        <v>0</v>
      </c>
      <c r="BM402">
        <f t="shared" si="113"/>
        <v>0</v>
      </c>
      <c r="BN402">
        <f t="shared" si="114"/>
        <v>0</v>
      </c>
      <c r="BO402">
        <f t="shared" si="115"/>
        <v>0</v>
      </c>
      <c r="BP402">
        <f t="shared" si="116"/>
        <v>0</v>
      </c>
      <c r="BQ402">
        <f t="shared" si="117"/>
        <v>0</v>
      </c>
      <c r="BR402">
        <f t="shared" si="118"/>
        <v>0</v>
      </c>
      <c r="BS402">
        <f t="shared" si="119"/>
        <v>0</v>
      </c>
      <c r="BT402">
        <f t="shared" si="120"/>
        <v>0</v>
      </c>
      <c r="BU402">
        <f t="shared" si="121"/>
        <v>0</v>
      </c>
      <c r="BV402">
        <f t="shared" si="122"/>
        <v>0</v>
      </c>
      <c r="BW402">
        <f t="shared" si="123"/>
        <v>0</v>
      </c>
      <c r="CA402" t="str">
        <f>IF(203&gt;ROWS(DGArchive[模组]),"",IF(INDEX(DGArchive[模组],203)="","",INDEX(DGArchive[模组],203)))</f>
        <v/>
      </c>
      <c r="CB402" t="str">
        <f>IF(203&gt;ROWS(DGArchive[阶段]),"",IF(INDEX(DGArchive[阶段],203)="","",INDEX(DGArchive[阶段],203)))</f>
        <v/>
      </c>
      <c r="CC402" t="str">
        <f>IF(203&gt;ROWS(DGArchive[游戏内日期]),"",IF(INDEX(DGArchive[游戏内日期],203)="","",INDEX(DGArchive[游戏内日期],203)))</f>
        <v/>
      </c>
      <c r="CD402" t="str">
        <f>IF(203&gt;ROWS(DGArchive[目标]),"",IF(INDEX(DGArchive[目标],203)="","",INDEX(DGArchive[目标],203)))</f>
        <v/>
      </c>
      <c r="CE402" t="str">
        <f>IF(203&gt;ROWS(DGArchive[变更前]),"",IF(INDEX(DGArchive[变更前],203)="","",INDEX(DGArchive[变更前],203)))</f>
        <v/>
      </c>
      <c r="CF402" t="str">
        <f>IF(203&gt;ROWS(DGArchive[增减]),"",IF(INDEX(DGArchive[增减],203)="","",INDEX(DGArchive[增减],203)))</f>
        <v/>
      </c>
      <c r="CG402" t="str">
        <f>IF(203&gt;ROWS(DGArchive[变更后]),"",IF(INDEX(DGArchive[变更后],203)="","",INDEX(DGArchive[变更后],203)))</f>
        <v/>
      </c>
      <c r="CH402" t="str">
        <f>IF(203&gt;ROWS(DGArchive[事件／活动]),"",IF(INDEX(DGArchive[事件／活动],203)="","",INDEX(DGArchive[事件／活动],203)))</f>
        <v/>
      </c>
      <c r="CI402" t="str">
        <f>IF(203&gt;ROWS(DGArchive[记录编号]),"",IF(INDEX(DGArchive[记录编号],203)="","",INDEX(DGArchive[记录编号],203)))</f>
        <v/>
      </c>
      <c r="CL402">
        <f t="shared" si="104"/>
        <v>0</v>
      </c>
      <c r="CM402">
        <f>IF(AND(A402=$AO$5,B402=$AQ$3,H402=1),COUNTIFS($A$200:A402,$AO$5,$B$200:B402,$AQ$3,$H$200:H402,1),0)</f>
        <v>0</v>
      </c>
      <c r="CN402">
        <f>IF(CA402="",203,1001)</f>
        <v>203</v>
      </c>
      <c r="GA402">
        <f t="shared" si="124"/>
        <v>0</v>
      </c>
      <c r="GB402">
        <f t="shared" si="125"/>
        <v>0</v>
      </c>
      <c r="GC402">
        <f>IF(AND(C402="事件记录",H402=1),COUNTIFS($C$200:C402,"事件记录",$H$200:H402,1),0)</f>
        <v>0</v>
      </c>
      <c r="GD402">
        <f t="shared" si="105"/>
        <v>0</v>
      </c>
      <c r="GH402">
        <f>IF(AND(H402=1,A402=$GA$10,B402=$GA$11),COUNTIFS($A$200:A402,$GA$10,$B$200:B402,$GA$11,$H$200:H402,1),0)</f>
        <v>0</v>
      </c>
    </row>
    <row r="403" spans="1:190">
      <c r="A403" t="str">
        <f t="shared" si="96"/>
        <v/>
      </c>
      <c r="B403" t="str">
        <f t="shared" si="97"/>
        <v/>
      </c>
      <c r="C403" t="str">
        <f t="shared" si="98"/>
        <v/>
      </c>
      <c r="D403" t="str">
        <f t="shared" si="99"/>
        <v/>
      </c>
      <c r="E403">
        <f t="shared" si="100"/>
        <v>0</v>
      </c>
      <c r="F403" t="str">
        <f t="shared" si="101"/>
        <v/>
      </c>
      <c r="G403">
        <f t="shared" si="102"/>
        <v>0</v>
      </c>
      <c r="H403">
        <f>IF(AND(G403=1,COUNTIFS($I$200:I403,I403,$G$200:G403,1)=1),1,0)</f>
        <v>0</v>
      </c>
      <c r="I403" t="str">
        <f t="shared" si="103"/>
        <v/>
      </c>
      <c r="BF403">
        <f t="shared" si="106"/>
        <v>0</v>
      </c>
      <c r="BG403">
        <f t="shared" si="107"/>
        <v>0</v>
      </c>
      <c r="BH403">
        <f t="shared" si="108"/>
        <v>0</v>
      </c>
      <c r="BI403">
        <f t="shared" si="109"/>
        <v>0</v>
      </c>
      <c r="BJ403">
        <f t="shared" si="110"/>
        <v>0</v>
      </c>
      <c r="BK403">
        <f t="shared" si="111"/>
        <v>0</v>
      </c>
      <c r="BL403">
        <f t="shared" si="112"/>
        <v>0</v>
      </c>
      <c r="BM403">
        <f t="shared" si="113"/>
        <v>0</v>
      </c>
      <c r="BN403">
        <f t="shared" si="114"/>
        <v>0</v>
      </c>
      <c r="BO403">
        <f t="shared" si="115"/>
        <v>0</v>
      </c>
      <c r="BP403">
        <f t="shared" si="116"/>
        <v>0</v>
      </c>
      <c r="BQ403">
        <f t="shared" si="117"/>
        <v>0</v>
      </c>
      <c r="BR403">
        <f t="shared" si="118"/>
        <v>0</v>
      </c>
      <c r="BS403">
        <f t="shared" si="119"/>
        <v>0</v>
      </c>
      <c r="BT403">
        <f t="shared" si="120"/>
        <v>0</v>
      </c>
      <c r="BU403">
        <f t="shared" si="121"/>
        <v>0</v>
      </c>
      <c r="BV403">
        <f t="shared" si="122"/>
        <v>0</v>
      </c>
      <c r="BW403">
        <f t="shared" si="123"/>
        <v>0</v>
      </c>
      <c r="CA403" t="str">
        <f>IF(204&gt;ROWS(DGArchive[模组]),"",IF(INDEX(DGArchive[模组],204)="","",INDEX(DGArchive[模组],204)))</f>
        <v/>
      </c>
      <c r="CB403" t="str">
        <f>IF(204&gt;ROWS(DGArchive[阶段]),"",IF(INDEX(DGArchive[阶段],204)="","",INDEX(DGArchive[阶段],204)))</f>
        <v/>
      </c>
      <c r="CC403" t="str">
        <f>IF(204&gt;ROWS(DGArchive[游戏内日期]),"",IF(INDEX(DGArchive[游戏内日期],204)="","",INDEX(DGArchive[游戏内日期],204)))</f>
        <v/>
      </c>
      <c r="CD403" t="str">
        <f>IF(204&gt;ROWS(DGArchive[目标]),"",IF(INDEX(DGArchive[目标],204)="","",INDEX(DGArchive[目标],204)))</f>
        <v/>
      </c>
      <c r="CE403" t="str">
        <f>IF(204&gt;ROWS(DGArchive[变更前]),"",IF(INDEX(DGArchive[变更前],204)="","",INDEX(DGArchive[变更前],204)))</f>
        <v/>
      </c>
      <c r="CF403" t="str">
        <f>IF(204&gt;ROWS(DGArchive[增减]),"",IF(INDEX(DGArchive[增减],204)="","",INDEX(DGArchive[增减],204)))</f>
        <v/>
      </c>
      <c r="CG403" t="str">
        <f>IF(204&gt;ROWS(DGArchive[变更后]),"",IF(INDEX(DGArchive[变更后],204)="","",INDEX(DGArchive[变更后],204)))</f>
        <v/>
      </c>
      <c r="CH403" t="str">
        <f>IF(204&gt;ROWS(DGArchive[事件／活动]),"",IF(INDEX(DGArchive[事件／活动],204)="","",INDEX(DGArchive[事件／活动],204)))</f>
        <v/>
      </c>
      <c r="CI403" t="str">
        <f>IF(204&gt;ROWS(DGArchive[记录编号]),"",IF(INDEX(DGArchive[记录编号],204)="","",INDEX(DGArchive[记录编号],204)))</f>
        <v/>
      </c>
      <c r="CL403">
        <f t="shared" si="104"/>
        <v>0</v>
      </c>
      <c r="CM403">
        <f>IF(AND(A403=$AO$5,B403=$AQ$3,H403=1),COUNTIFS($A$200:A403,$AO$5,$B$200:B403,$AQ$3,$H$200:H403,1),0)</f>
        <v>0</v>
      </c>
      <c r="CN403">
        <f>IF(CA403="",204,1001)</f>
        <v>204</v>
      </c>
      <c r="GA403">
        <f t="shared" si="124"/>
        <v>0</v>
      </c>
      <c r="GB403">
        <f t="shared" si="125"/>
        <v>0</v>
      </c>
      <c r="GC403">
        <f>IF(AND(C403="事件记录",H403=1),COUNTIFS($C$200:C403,"事件记录",$H$200:H403,1),0)</f>
        <v>0</v>
      </c>
      <c r="GD403">
        <f t="shared" si="105"/>
        <v>0</v>
      </c>
      <c r="GH403">
        <f>IF(AND(H403=1,A403=$GA$10,B403=$GA$11),COUNTIFS($A$200:A403,$GA$10,$B$200:B403,$GA$11,$H$200:H403,1),0)</f>
        <v>0</v>
      </c>
    </row>
    <row r="404" spans="1:190">
      <c r="A404" t="str">
        <f t="shared" si="96"/>
        <v/>
      </c>
      <c r="B404" t="str">
        <f t="shared" si="97"/>
        <v/>
      </c>
      <c r="C404" t="str">
        <f t="shared" si="98"/>
        <v/>
      </c>
      <c r="D404" t="str">
        <f t="shared" si="99"/>
        <v/>
      </c>
      <c r="E404">
        <f t="shared" si="100"/>
        <v>0</v>
      </c>
      <c r="F404" t="str">
        <f t="shared" si="101"/>
        <v/>
      </c>
      <c r="G404">
        <f t="shared" si="102"/>
        <v>0</v>
      </c>
      <c r="H404">
        <f>IF(AND(G404=1,COUNTIFS($I$200:I404,I404,$G$200:G404,1)=1),1,0)</f>
        <v>0</v>
      </c>
      <c r="I404" t="str">
        <f t="shared" si="103"/>
        <v/>
      </c>
      <c r="BF404">
        <f t="shared" si="106"/>
        <v>0</v>
      </c>
      <c r="BG404">
        <f t="shared" si="107"/>
        <v>0</v>
      </c>
      <c r="BH404">
        <f t="shared" si="108"/>
        <v>0</v>
      </c>
      <c r="BI404">
        <f t="shared" si="109"/>
        <v>0</v>
      </c>
      <c r="BJ404">
        <f t="shared" si="110"/>
        <v>0</v>
      </c>
      <c r="BK404">
        <f t="shared" si="111"/>
        <v>0</v>
      </c>
      <c r="BL404">
        <f t="shared" si="112"/>
        <v>0</v>
      </c>
      <c r="BM404">
        <f t="shared" si="113"/>
        <v>0</v>
      </c>
      <c r="BN404">
        <f t="shared" si="114"/>
        <v>0</v>
      </c>
      <c r="BO404">
        <f t="shared" si="115"/>
        <v>0</v>
      </c>
      <c r="BP404">
        <f t="shared" si="116"/>
        <v>0</v>
      </c>
      <c r="BQ404">
        <f t="shared" si="117"/>
        <v>0</v>
      </c>
      <c r="BR404">
        <f t="shared" si="118"/>
        <v>0</v>
      </c>
      <c r="BS404">
        <f t="shared" si="119"/>
        <v>0</v>
      </c>
      <c r="BT404">
        <f t="shared" si="120"/>
        <v>0</v>
      </c>
      <c r="BU404">
        <f t="shared" si="121"/>
        <v>0</v>
      </c>
      <c r="BV404">
        <f t="shared" si="122"/>
        <v>0</v>
      </c>
      <c r="BW404">
        <f t="shared" si="123"/>
        <v>0</v>
      </c>
      <c r="CA404" t="str">
        <f>IF(205&gt;ROWS(DGArchive[模组]),"",IF(INDEX(DGArchive[模组],205)="","",INDEX(DGArchive[模组],205)))</f>
        <v/>
      </c>
      <c r="CB404" t="str">
        <f>IF(205&gt;ROWS(DGArchive[阶段]),"",IF(INDEX(DGArchive[阶段],205)="","",INDEX(DGArchive[阶段],205)))</f>
        <v/>
      </c>
      <c r="CC404" t="str">
        <f>IF(205&gt;ROWS(DGArchive[游戏内日期]),"",IF(INDEX(DGArchive[游戏内日期],205)="","",INDEX(DGArchive[游戏内日期],205)))</f>
        <v/>
      </c>
      <c r="CD404" t="str">
        <f>IF(205&gt;ROWS(DGArchive[目标]),"",IF(INDEX(DGArchive[目标],205)="","",INDEX(DGArchive[目标],205)))</f>
        <v/>
      </c>
      <c r="CE404" t="str">
        <f>IF(205&gt;ROWS(DGArchive[变更前]),"",IF(INDEX(DGArchive[变更前],205)="","",INDEX(DGArchive[变更前],205)))</f>
        <v/>
      </c>
      <c r="CF404" t="str">
        <f>IF(205&gt;ROWS(DGArchive[增减]),"",IF(INDEX(DGArchive[增减],205)="","",INDEX(DGArchive[增减],205)))</f>
        <v/>
      </c>
      <c r="CG404" t="str">
        <f>IF(205&gt;ROWS(DGArchive[变更后]),"",IF(INDEX(DGArchive[变更后],205)="","",INDEX(DGArchive[变更后],205)))</f>
        <v/>
      </c>
      <c r="CH404" t="str">
        <f>IF(205&gt;ROWS(DGArchive[事件／活动]),"",IF(INDEX(DGArchive[事件／活动],205)="","",INDEX(DGArchive[事件／活动],205)))</f>
        <v/>
      </c>
      <c r="CI404" t="str">
        <f>IF(205&gt;ROWS(DGArchive[记录编号]),"",IF(INDEX(DGArchive[记录编号],205)="","",INDEX(DGArchive[记录编号],205)))</f>
        <v/>
      </c>
      <c r="CL404">
        <f t="shared" si="104"/>
        <v>0</v>
      </c>
      <c r="CM404">
        <f>IF(AND(A404=$AO$5,B404=$AQ$3,H404=1),COUNTIFS($A$200:A404,$AO$5,$B$200:B404,$AQ$3,$H$200:H404,1),0)</f>
        <v>0</v>
      </c>
      <c r="CN404">
        <f>IF(CA404="",205,1001)</f>
        <v>205</v>
      </c>
      <c r="GA404">
        <f t="shared" si="124"/>
        <v>0</v>
      </c>
      <c r="GB404">
        <f t="shared" si="125"/>
        <v>0</v>
      </c>
      <c r="GC404">
        <f>IF(AND(C404="事件记录",H404=1),COUNTIFS($C$200:C404,"事件记录",$H$200:H404,1),0)</f>
        <v>0</v>
      </c>
      <c r="GD404">
        <f t="shared" si="105"/>
        <v>0</v>
      </c>
      <c r="GH404">
        <f>IF(AND(H404=1,A404=$GA$10,B404=$GA$11),COUNTIFS($A$200:A404,$GA$10,$B$200:B404,$GA$11,$H$200:H404,1),0)</f>
        <v>0</v>
      </c>
    </row>
    <row r="405" spans="1:190">
      <c r="A405" t="str">
        <f t="shared" si="96"/>
        <v/>
      </c>
      <c r="B405" t="str">
        <f t="shared" si="97"/>
        <v/>
      </c>
      <c r="C405" t="str">
        <f t="shared" si="98"/>
        <v/>
      </c>
      <c r="D405" t="str">
        <f t="shared" si="99"/>
        <v/>
      </c>
      <c r="E405">
        <f t="shared" si="100"/>
        <v>0</v>
      </c>
      <c r="F405" t="str">
        <f t="shared" si="101"/>
        <v/>
      </c>
      <c r="G405">
        <f t="shared" si="102"/>
        <v>0</v>
      </c>
      <c r="H405">
        <f>IF(AND(G405=1,COUNTIFS($I$200:I405,I405,$G$200:G405,1)=1),1,0)</f>
        <v>0</v>
      </c>
      <c r="I405" t="str">
        <f t="shared" si="103"/>
        <v/>
      </c>
      <c r="BF405">
        <f t="shared" si="106"/>
        <v>0</v>
      </c>
      <c r="BG405">
        <f t="shared" si="107"/>
        <v>0</v>
      </c>
      <c r="BH405">
        <f t="shared" si="108"/>
        <v>0</v>
      </c>
      <c r="BI405">
        <f t="shared" si="109"/>
        <v>0</v>
      </c>
      <c r="BJ405">
        <f t="shared" si="110"/>
        <v>0</v>
      </c>
      <c r="BK405">
        <f t="shared" si="111"/>
        <v>0</v>
      </c>
      <c r="BL405">
        <f t="shared" si="112"/>
        <v>0</v>
      </c>
      <c r="BM405">
        <f t="shared" si="113"/>
        <v>0</v>
      </c>
      <c r="BN405">
        <f t="shared" si="114"/>
        <v>0</v>
      </c>
      <c r="BO405">
        <f t="shared" si="115"/>
        <v>0</v>
      </c>
      <c r="BP405">
        <f t="shared" si="116"/>
        <v>0</v>
      </c>
      <c r="BQ405">
        <f t="shared" si="117"/>
        <v>0</v>
      </c>
      <c r="BR405">
        <f t="shared" si="118"/>
        <v>0</v>
      </c>
      <c r="BS405">
        <f t="shared" si="119"/>
        <v>0</v>
      </c>
      <c r="BT405">
        <f t="shared" si="120"/>
        <v>0</v>
      </c>
      <c r="BU405">
        <f t="shared" si="121"/>
        <v>0</v>
      </c>
      <c r="BV405">
        <f t="shared" si="122"/>
        <v>0</v>
      </c>
      <c r="BW405">
        <f t="shared" si="123"/>
        <v>0</v>
      </c>
      <c r="CA405" t="str">
        <f>IF(206&gt;ROWS(DGArchive[模组]),"",IF(INDEX(DGArchive[模组],206)="","",INDEX(DGArchive[模组],206)))</f>
        <v/>
      </c>
      <c r="CB405" t="str">
        <f>IF(206&gt;ROWS(DGArchive[阶段]),"",IF(INDEX(DGArchive[阶段],206)="","",INDEX(DGArchive[阶段],206)))</f>
        <v/>
      </c>
      <c r="CC405" t="str">
        <f>IF(206&gt;ROWS(DGArchive[游戏内日期]),"",IF(INDEX(DGArchive[游戏内日期],206)="","",INDEX(DGArchive[游戏内日期],206)))</f>
        <v/>
      </c>
      <c r="CD405" t="str">
        <f>IF(206&gt;ROWS(DGArchive[目标]),"",IF(INDEX(DGArchive[目标],206)="","",INDEX(DGArchive[目标],206)))</f>
        <v/>
      </c>
      <c r="CE405" t="str">
        <f>IF(206&gt;ROWS(DGArchive[变更前]),"",IF(INDEX(DGArchive[变更前],206)="","",INDEX(DGArchive[变更前],206)))</f>
        <v/>
      </c>
      <c r="CF405" t="str">
        <f>IF(206&gt;ROWS(DGArchive[增减]),"",IF(INDEX(DGArchive[增减],206)="","",INDEX(DGArchive[增减],206)))</f>
        <v/>
      </c>
      <c r="CG405" t="str">
        <f>IF(206&gt;ROWS(DGArchive[变更后]),"",IF(INDEX(DGArchive[变更后],206)="","",INDEX(DGArchive[变更后],206)))</f>
        <v/>
      </c>
      <c r="CH405" t="str">
        <f>IF(206&gt;ROWS(DGArchive[事件／活动]),"",IF(INDEX(DGArchive[事件／活动],206)="","",INDEX(DGArchive[事件／活动],206)))</f>
        <v/>
      </c>
      <c r="CI405" t="str">
        <f>IF(206&gt;ROWS(DGArchive[记录编号]),"",IF(INDEX(DGArchive[记录编号],206)="","",INDEX(DGArchive[记录编号],206)))</f>
        <v/>
      </c>
      <c r="CL405">
        <f t="shared" si="104"/>
        <v>0</v>
      </c>
      <c r="CM405">
        <f>IF(AND(A405=$AO$5,B405=$AQ$3,H405=1),COUNTIFS($A$200:A405,$AO$5,$B$200:B405,$AQ$3,$H$200:H405,1),0)</f>
        <v>0</v>
      </c>
      <c r="CN405">
        <f>IF(CA405="",206,1001)</f>
        <v>206</v>
      </c>
      <c r="GA405">
        <f t="shared" si="124"/>
        <v>0</v>
      </c>
      <c r="GB405">
        <f t="shared" si="125"/>
        <v>0</v>
      </c>
      <c r="GC405">
        <f>IF(AND(C405="事件记录",H405=1),COUNTIFS($C$200:C405,"事件记录",$H$200:H405,1),0)</f>
        <v>0</v>
      </c>
      <c r="GD405">
        <f t="shared" si="105"/>
        <v>0</v>
      </c>
      <c r="GH405">
        <f>IF(AND(H405=1,A405=$GA$10,B405=$GA$11),COUNTIFS($A$200:A405,$GA$10,$B$200:B405,$GA$11,$H$200:H405,1),0)</f>
        <v>0</v>
      </c>
    </row>
    <row r="406" spans="1:190">
      <c r="A406" t="str">
        <f t="shared" si="96"/>
        <v/>
      </c>
      <c r="B406" t="str">
        <f t="shared" si="97"/>
        <v/>
      </c>
      <c r="C406" t="str">
        <f t="shared" si="98"/>
        <v/>
      </c>
      <c r="D406" t="str">
        <f t="shared" si="99"/>
        <v/>
      </c>
      <c r="E406">
        <f t="shared" si="100"/>
        <v>0</v>
      </c>
      <c r="F406" t="str">
        <f t="shared" si="101"/>
        <v/>
      </c>
      <c r="G406">
        <f t="shared" si="102"/>
        <v>0</v>
      </c>
      <c r="H406">
        <f>IF(AND(G406=1,COUNTIFS($I$200:I406,I406,$G$200:G406,1)=1),1,0)</f>
        <v>0</v>
      </c>
      <c r="I406" t="str">
        <f t="shared" si="103"/>
        <v/>
      </c>
      <c r="BF406">
        <f t="shared" si="106"/>
        <v>0</v>
      </c>
      <c r="BG406">
        <f t="shared" si="107"/>
        <v>0</v>
      </c>
      <c r="BH406">
        <f t="shared" si="108"/>
        <v>0</v>
      </c>
      <c r="BI406">
        <f t="shared" si="109"/>
        <v>0</v>
      </c>
      <c r="BJ406">
        <f t="shared" si="110"/>
        <v>0</v>
      </c>
      <c r="BK406">
        <f t="shared" si="111"/>
        <v>0</v>
      </c>
      <c r="BL406">
        <f t="shared" si="112"/>
        <v>0</v>
      </c>
      <c r="BM406">
        <f t="shared" si="113"/>
        <v>0</v>
      </c>
      <c r="BN406">
        <f t="shared" si="114"/>
        <v>0</v>
      </c>
      <c r="BO406">
        <f t="shared" si="115"/>
        <v>0</v>
      </c>
      <c r="BP406">
        <f t="shared" si="116"/>
        <v>0</v>
      </c>
      <c r="BQ406">
        <f t="shared" si="117"/>
        <v>0</v>
      </c>
      <c r="BR406">
        <f t="shared" si="118"/>
        <v>0</v>
      </c>
      <c r="BS406">
        <f t="shared" si="119"/>
        <v>0</v>
      </c>
      <c r="BT406">
        <f t="shared" si="120"/>
        <v>0</v>
      </c>
      <c r="BU406">
        <f t="shared" si="121"/>
        <v>0</v>
      </c>
      <c r="BV406">
        <f t="shared" si="122"/>
        <v>0</v>
      </c>
      <c r="BW406">
        <f t="shared" si="123"/>
        <v>0</v>
      </c>
      <c r="CA406" t="str">
        <f>IF(207&gt;ROWS(DGArchive[模组]),"",IF(INDEX(DGArchive[模组],207)="","",INDEX(DGArchive[模组],207)))</f>
        <v/>
      </c>
      <c r="CB406" t="str">
        <f>IF(207&gt;ROWS(DGArchive[阶段]),"",IF(INDEX(DGArchive[阶段],207)="","",INDEX(DGArchive[阶段],207)))</f>
        <v/>
      </c>
      <c r="CC406" t="str">
        <f>IF(207&gt;ROWS(DGArchive[游戏内日期]),"",IF(INDEX(DGArchive[游戏内日期],207)="","",INDEX(DGArchive[游戏内日期],207)))</f>
        <v/>
      </c>
      <c r="CD406" t="str">
        <f>IF(207&gt;ROWS(DGArchive[目标]),"",IF(INDEX(DGArchive[目标],207)="","",INDEX(DGArchive[目标],207)))</f>
        <v/>
      </c>
      <c r="CE406" t="str">
        <f>IF(207&gt;ROWS(DGArchive[变更前]),"",IF(INDEX(DGArchive[变更前],207)="","",INDEX(DGArchive[变更前],207)))</f>
        <v/>
      </c>
      <c r="CF406" t="str">
        <f>IF(207&gt;ROWS(DGArchive[增减]),"",IF(INDEX(DGArchive[增减],207)="","",INDEX(DGArchive[增减],207)))</f>
        <v/>
      </c>
      <c r="CG406" t="str">
        <f>IF(207&gt;ROWS(DGArchive[变更后]),"",IF(INDEX(DGArchive[变更后],207)="","",INDEX(DGArchive[变更后],207)))</f>
        <v/>
      </c>
      <c r="CH406" t="str">
        <f>IF(207&gt;ROWS(DGArchive[事件／活动]),"",IF(INDEX(DGArchive[事件／活动],207)="","",INDEX(DGArchive[事件／活动],207)))</f>
        <v/>
      </c>
      <c r="CI406" t="str">
        <f>IF(207&gt;ROWS(DGArchive[记录编号]),"",IF(INDEX(DGArchive[记录编号],207)="","",INDEX(DGArchive[记录编号],207)))</f>
        <v/>
      </c>
      <c r="CL406">
        <f t="shared" si="104"/>
        <v>0</v>
      </c>
      <c r="CM406">
        <f>IF(AND(A406=$AO$5,B406=$AQ$3,H406=1),COUNTIFS($A$200:A406,$AO$5,$B$200:B406,$AQ$3,$H$200:H406,1),0)</f>
        <v>0</v>
      </c>
      <c r="CN406">
        <f>IF(CA406="",207,1001)</f>
        <v>207</v>
      </c>
      <c r="GA406">
        <f t="shared" si="124"/>
        <v>0</v>
      </c>
      <c r="GB406">
        <f t="shared" si="125"/>
        <v>0</v>
      </c>
      <c r="GC406">
        <f>IF(AND(C406="事件记录",H406=1),COUNTIFS($C$200:C406,"事件记录",$H$200:H406,1),0)</f>
        <v>0</v>
      </c>
      <c r="GD406">
        <f t="shared" si="105"/>
        <v>0</v>
      </c>
      <c r="GH406">
        <f>IF(AND(H406=1,A406=$GA$10,B406=$GA$11),COUNTIFS($A$200:A406,$GA$10,$B$200:B406,$GA$11,$H$200:H406,1),0)</f>
        <v>0</v>
      </c>
    </row>
    <row r="407" spans="1:190">
      <c r="A407" t="str">
        <f t="shared" si="96"/>
        <v/>
      </c>
      <c r="B407" t="str">
        <f t="shared" si="97"/>
        <v/>
      </c>
      <c r="C407" t="str">
        <f t="shared" si="98"/>
        <v/>
      </c>
      <c r="D407" t="str">
        <f t="shared" si="99"/>
        <v/>
      </c>
      <c r="E407">
        <f t="shared" si="100"/>
        <v>0</v>
      </c>
      <c r="F407" t="str">
        <f t="shared" si="101"/>
        <v/>
      </c>
      <c r="G407">
        <f t="shared" si="102"/>
        <v>0</v>
      </c>
      <c r="H407">
        <f>IF(AND(G407=1,COUNTIFS($I$200:I407,I407,$G$200:G407,1)=1),1,0)</f>
        <v>0</v>
      </c>
      <c r="I407" t="str">
        <f t="shared" si="103"/>
        <v/>
      </c>
      <c r="BF407">
        <f t="shared" si="106"/>
        <v>0</v>
      </c>
      <c r="BG407">
        <f t="shared" si="107"/>
        <v>0</v>
      </c>
      <c r="BH407">
        <f t="shared" si="108"/>
        <v>0</v>
      </c>
      <c r="BI407">
        <f t="shared" si="109"/>
        <v>0</v>
      </c>
      <c r="BJ407">
        <f t="shared" si="110"/>
        <v>0</v>
      </c>
      <c r="BK407">
        <f t="shared" si="111"/>
        <v>0</v>
      </c>
      <c r="BL407">
        <f t="shared" si="112"/>
        <v>0</v>
      </c>
      <c r="BM407">
        <f t="shared" si="113"/>
        <v>0</v>
      </c>
      <c r="BN407">
        <f t="shared" si="114"/>
        <v>0</v>
      </c>
      <c r="BO407">
        <f t="shared" si="115"/>
        <v>0</v>
      </c>
      <c r="BP407">
        <f t="shared" si="116"/>
        <v>0</v>
      </c>
      <c r="BQ407">
        <f t="shared" si="117"/>
        <v>0</v>
      </c>
      <c r="BR407">
        <f t="shared" si="118"/>
        <v>0</v>
      </c>
      <c r="BS407">
        <f t="shared" si="119"/>
        <v>0</v>
      </c>
      <c r="BT407">
        <f t="shared" si="120"/>
        <v>0</v>
      </c>
      <c r="BU407">
        <f t="shared" si="121"/>
        <v>0</v>
      </c>
      <c r="BV407">
        <f t="shared" si="122"/>
        <v>0</v>
      </c>
      <c r="BW407">
        <f t="shared" si="123"/>
        <v>0</v>
      </c>
      <c r="CA407" t="str">
        <f>IF(208&gt;ROWS(DGArchive[模组]),"",IF(INDEX(DGArchive[模组],208)="","",INDEX(DGArchive[模组],208)))</f>
        <v/>
      </c>
      <c r="CB407" t="str">
        <f>IF(208&gt;ROWS(DGArchive[阶段]),"",IF(INDEX(DGArchive[阶段],208)="","",INDEX(DGArchive[阶段],208)))</f>
        <v/>
      </c>
      <c r="CC407" t="str">
        <f>IF(208&gt;ROWS(DGArchive[游戏内日期]),"",IF(INDEX(DGArchive[游戏内日期],208)="","",INDEX(DGArchive[游戏内日期],208)))</f>
        <v/>
      </c>
      <c r="CD407" t="str">
        <f>IF(208&gt;ROWS(DGArchive[目标]),"",IF(INDEX(DGArchive[目标],208)="","",INDEX(DGArchive[目标],208)))</f>
        <v/>
      </c>
      <c r="CE407" t="str">
        <f>IF(208&gt;ROWS(DGArchive[变更前]),"",IF(INDEX(DGArchive[变更前],208)="","",INDEX(DGArchive[变更前],208)))</f>
        <v/>
      </c>
      <c r="CF407" t="str">
        <f>IF(208&gt;ROWS(DGArchive[增减]),"",IF(INDEX(DGArchive[增减],208)="","",INDEX(DGArchive[增减],208)))</f>
        <v/>
      </c>
      <c r="CG407" t="str">
        <f>IF(208&gt;ROWS(DGArchive[变更后]),"",IF(INDEX(DGArchive[变更后],208)="","",INDEX(DGArchive[变更后],208)))</f>
        <v/>
      </c>
      <c r="CH407" t="str">
        <f>IF(208&gt;ROWS(DGArchive[事件／活动]),"",IF(INDEX(DGArchive[事件／活动],208)="","",INDEX(DGArchive[事件／活动],208)))</f>
        <v/>
      </c>
      <c r="CI407" t="str">
        <f>IF(208&gt;ROWS(DGArchive[记录编号]),"",IF(INDEX(DGArchive[记录编号],208)="","",INDEX(DGArchive[记录编号],208)))</f>
        <v/>
      </c>
      <c r="CL407">
        <f t="shared" si="104"/>
        <v>0</v>
      </c>
      <c r="CM407">
        <f>IF(AND(A407=$AO$5,B407=$AQ$3,H407=1),COUNTIFS($A$200:A407,$AO$5,$B$200:B407,$AQ$3,$H$200:H407,1),0)</f>
        <v>0</v>
      </c>
      <c r="CN407">
        <f>IF(CA407="",208,1001)</f>
        <v>208</v>
      </c>
      <c r="GA407">
        <f t="shared" si="124"/>
        <v>0</v>
      </c>
      <c r="GB407">
        <f t="shared" si="125"/>
        <v>0</v>
      </c>
      <c r="GC407">
        <f>IF(AND(C407="事件记录",H407=1),COUNTIFS($C$200:C407,"事件记录",$H$200:H407,1),0)</f>
        <v>0</v>
      </c>
      <c r="GD407">
        <f t="shared" si="105"/>
        <v>0</v>
      </c>
      <c r="GH407">
        <f>IF(AND(H407=1,A407=$GA$10,B407=$GA$11),COUNTIFS($A$200:A407,$GA$10,$B$200:B407,$GA$11,$H$200:H407,1),0)</f>
        <v>0</v>
      </c>
    </row>
    <row r="408" spans="1:190">
      <c r="A408" t="str">
        <f t="shared" si="96"/>
        <v/>
      </c>
      <c r="B408" t="str">
        <f t="shared" si="97"/>
        <v/>
      </c>
      <c r="C408" t="str">
        <f t="shared" si="98"/>
        <v/>
      </c>
      <c r="D408" t="str">
        <f t="shared" si="99"/>
        <v/>
      </c>
      <c r="E408">
        <f t="shared" si="100"/>
        <v>0</v>
      </c>
      <c r="F408" t="str">
        <f t="shared" si="101"/>
        <v/>
      </c>
      <c r="G408">
        <f t="shared" si="102"/>
        <v>0</v>
      </c>
      <c r="H408">
        <f>IF(AND(G408=1,COUNTIFS($I$200:I408,I408,$G$200:G408,1)=1),1,0)</f>
        <v>0</v>
      </c>
      <c r="I408" t="str">
        <f t="shared" si="103"/>
        <v/>
      </c>
      <c r="BF408">
        <f t="shared" si="106"/>
        <v>0</v>
      </c>
      <c r="BG408">
        <f t="shared" si="107"/>
        <v>0</v>
      </c>
      <c r="BH408">
        <f t="shared" si="108"/>
        <v>0</v>
      </c>
      <c r="BI408">
        <f t="shared" si="109"/>
        <v>0</v>
      </c>
      <c r="BJ408">
        <f t="shared" si="110"/>
        <v>0</v>
      </c>
      <c r="BK408">
        <f t="shared" si="111"/>
        <v>0</v>
      </c>
      <c r="BL408">
        <f t="shared" si="112"/>
        <v>0</v>
      </c>
      <c r="BM408">
        <f t="shared" si="113"/>
        <v>0</v>
      </c>
      <c r="BN408">
        <f t="shared" si="114"/>
        <v>0</v>
      </c>
      <c r="BO408">
        <f t="shared" si="115"/>
        <v>0</v>
      </c>
      <c r="BP408">
        <f t="shared" si="116"/>
        <v>0</v>
      </c>
      <c r="BQ408">
        <f t="shared" si="117"/>
        <v>0</v>
      </c>
      <c r="BR408">
        <f t="shared" si="118"/>
        <v>0</v>
      </c>
      <c r="BS408">
        <f t="shared" si="119"/>
        <v>0</v>
      </c>
      <c r="BT408">
        <f t="shared" si="120"/>
        <v>0</v>
      </c>
      <c r="BU408">
        <f t="shared" si="121"/>
        <v>0</v>
      </c>
      <c r="BV408">
        <f t="shared" si="122"/>
        <v>0</v>
      </c>
      <c r="BW408">
        <f t="shared" si="123"/>
        <v>0</v>
      </c>
      <c r="CA408" t="str">
        <f>IF(209&gt;ROWS(DGArchive[模组]),"",IF(INDEX(DGArchive[模组],209)="","",INDEX(DGArchive[模组],209)))</f>
        <v/>
      </c>
      <c r="CB408" t="str">
        <f>IF(209&gt;ROWS(DGArchive[阶段]),"",IF(INDEX(DGArchive[阶段],209)="","",INDEX(DGArchive[阶段],209)))</f>
        <v/>
      </c>
      <c r="CC408" t="str">
        <f>IF(209&gt;ROWS(DGArchive[游戏内日期]),"",IF(INDEX(DGArchive[游戏内日期],209)="","",INDEX(DGArchive[游戏内日期],209)))</f>
        <v/>
      </c>
      <c r="CD408" t="str">
        <f>IF(209&gt;ROWS(DGArchive[目标]),"",IF(INDEX(DGArchive[目标],209)="","",INDEX(DGArchive[目标],209)))</f>
        <v/>
      </c>
      <c r="CE408" t="str">
        <f>IF(209&gt;ROWS(DGArchive[变更前]),"",IF(INDEX(DGArchive[变更前],209)="","",INDEX(DGArchive[变更前],209)))</f>
        <v/>
      </c>
      <c r="CF408" t="str">
        <f>IF(209&gt;ROWS(DGArchive[增减]),"",IF(INDEX(DGArchive[增减],209)="","",INDEX(DGArchive[增减],209)))</f>
        <v/>
      </c>
      <c r="CG408" t="str">
        <f>IF(209&gt;ROWS(DGArchive[变更后]),"",IF(INDEX(DGArchive[变更后],209)="","",INDEX(DGArchive[变更后],209)))</f>
        <v/>
      </c>
      <c r="CH408" t="str">
        <f>IF(209&gt;ROWS(DGArchive[事件／活动]),"",IF(INDEX(DGArchive[事件／活动],209)="","",INDEX(DGArchive[事件／活动],209)))</f>
        <v/>
      </c>
      <c r="CI408" t="str">
        <f>IF(209&gt;ROWS(DGArchive[记录编号]),"",IF(INDEX(DGArchive[记录编号],209)="","",INDEX(DGArchive[记录编号],209)))</f>
        <v/>
      </c>
      <c r="CL408">
        <f t="shared" si="104"/>
        <v>0</v>
      </c>
      <c r="CM408">
        <f>IF(AND(A408=$AO$5,B408=$AQ$3,H408=1),COUNTIFS($A$200:A408,$AO$5,$B$200:B408,$AQ$3,$H$200:H408,1),0)</f>
        <v>0</v>
      </c>
      <c r="CN408">
        <f>IF(CA408="",209,1001)</f>
        <v>209</v>
      </c>
      <c r="GA408">
        <f t="shared" si="124"/>
        <v>0</v>
      </c>
      <c r="GB408">
        <f t="shared" si="125"/>
        <v>0</v>
      </c>
      <c r="GC408">
        <f>IF(AND(C408="事件记录",H408=1),COUNTIFS($C$200:C408,"事件记录",$H$200:H408,1),0)</f>
        <v>0</v>
      </c>
      <c r="GD408">
        <f t="shared" si="105"/>
        <v>0</v>
      </c>
      <c r="GH408">
        <f>IF(AND(H408=1,A408=$GA$10,B408=$GA$11),COUNTIFS($A$200:A408,$GA$10,$B$200:B408,$GA$11,$H$200:H408,1),0)</f>
        <v>0</v>
      </c>
    </row>
    <row r="409" spans="1:190">
      <c r="A409" t="str">
        <f t="shared" si="96"/>
        <v/>
      </c>
      <c r="B409" t="str">
        <f t="shared" si="97"/>
        <v/>
      </c>
      <c r="C409" t="str">
        <f t="shared" si="98"/>
        <v/>
      </c>
      <c r="D409" t="str">
        <f t="shared" si="99"/>
        <v/>
      </c>
      <c r="E409">
        <f t="shared" si="100"/>
        <v>0</v>
      </c>
      <c r="F409" t="str">
        <f t="shared" si="101"/>
        <v/>
      </c>
      <c r="G409">
        <f t="shared" si="102"/>
        <v>0</v>
      </c>
      <c r="H409">
        <f>IF(AND(G409=1,COUNTIFS($I$200:I409,I409,$G$200:G409,1)=1),1,0)</f>
        <v>0</v>
      </c>
      <c r="I409" t="str">
        <f t="shared" si="103"/>
        <v/>
      </c>
      <c r="BF409">
        <f t="shared" si="106"/>
        <v>0</v>
      </c>
      <c r="BG409">
        <f t="shared" si="107"/>
        <v>0</v>
      </c>
      <c r="BH409">
        <f t="shared" si="108"/>
        <v>0</v>
      </c>
      <c r="BI409">
        <f t="shared" si="109"/>
        <v>0</v>
      </c>
      <c r="BJ409">
        <f t="shared" si="110"/>
        <v>0</v>
      </c>
      <c r="BK409">
        <f t="shared" si="111"/>
        <v>0</v>
      </c>
      <c r="BL409">
        <f t="shared" si="112"/>
        <v>0</v>
      </c>
      <c r="BM409">
        <f t="shared" si="113"/>
        <v>0</v>
      </c>
      <c r="BN409">
        <f t="shared" si="114"/>
        <v>0</v>
      </c>
      <c r="BO409">
        <f t="shared" si="115"/>
        <v>0</v>
      </c>
      <c r="BP409">
        <f t="shared" si="116"/>
        <v>0</v>
      </c>
      <c r="BQ409">
        <f t="shared" si="117"/>
        <v>0</v>
      </c>
      <c r="BR409">
        <f t="shared" si="118"/>
        <v>0</v>
      </c>
      <c r="BS409">
        <f t="shared" si="119"/>
        <v>0</v>
      </c>
      <c r="BT409">
        <f t="shared" si="120"/>
        <v>0</v>
      </c>
      <c r="BU409">
        <f t="shared" si="121"/>
        <v>0</v>
      </c>
      <c r="BV409">
        <f t="shared" si="122"/>
        <v>0</v>
      </c>
      <c r="BW409">
        <f t="shared" si="123"/>
        <v>0</v>
      </c>
      <c r="CA409" t="str">
        <f>IF(210&gt;ROWS(DGArchive[模组]),"",IF(INDEX(DGArchive[模组],210)="","",INDEX(DGArchive[模组],210)))</f>
        <v/>
      </c>
      <c r="CB409" t="str">
        <f>IF(210&gt;ROWS(DGArchive[阶段]),"",IF(INDEX(DGArchive[阶段],210)="","",INDEX(DGArchive[阶段],210)))</f>
        <v/>
      </c>
      <c r="CC409" t="str">
        <f>IF(210&gt;ROWS(DGArchive[游戏内日期]),"",IF(INDEX(DGArchive[游戏内日期],210)="","",INDEX(DGArchive[游戏内日期],210)))</f>
        <v/>
      </c>
      <c r="CD409" t="str">
        <f>IF(210&gt;ROWS(DGArchive[目标]),"",IF(INDEX(DGArchive[目标],210)="","",INDEX(DGArchive[目标],210)))</f>
        <v/>
      </c>
      <c r="CE409" t="str">
        <f>IF(210&gt;ROWS(DGArchive[变更前]),"",IF(INDEX(DGArchive[变更前],210)="","",INDEX(DGArchive[变更前],210)))</f>
        <v/>
      </c>
      <c r="CF409" t="str">
        <f>IF(210&gt;ROWS(DGArchive[增减]),"",IF(INDEX(DGArchive[增减],210)="","",INDEX(DGArchive[增减],210)))</f>
        <v/>
      </c>
      <c r="CG409" t="str">
        <f>IF(210&gt;ROWS(DGArchive[变更后]),"",IF(INDEX(DGArchive[变更后],210)="","",INDEX(DGArchive[变更后],210)))</f>
        <v/>
      </c>
      <c r="CH409" t="str">
        <f>IF(210&gt;ROWS(DGArchive[事件／活动]),"",IF(INDEX(DGArchive[事件／活动],210)="","",INDEX(DGArchive[事件／活动],210)))</f>
        <v/>
      </c>
      <c r="CI409" t="str">
        <f>IF(210&gt;ROWS(DGArchive[记录编号]),"",IF(INDEX(DGArchive[记录编号],210)="","",INDEX(DGArchive[记录编号],210)))</f>
        <v/>
      </c>
      <c r="CL409">
        <f t="shared" si="104"/>
        <v>0</v>
      </c>
      <c r="CM409">
        <f>IF(AND(A409=$AO$5,B409=$AQ$3,H409=1),COUNTIFS($A$200:A409,$AO$5,$B$200:B409,$AQ$3,$H$200:H409,1),0)</f>
        <v>0</v>
      </c>
      <c r="CN409">
        <f>IF(CA409="",210,1001)</f>
        <v>210</v>
      </c>
      <c r="GA409">
        <f t="shared" si="124"/>
        <v>0</v>
      </c>
      <c r="GB409">
        <f t="shared" si="125"/>
        <v>0</v>
      </c>
      <c r="GC409">
        <f>IF(AND(C409="事件记录",H409=1),COUNTIFS($C$200:C409,"事件记录",$H$200:H409,1),0)</f>
        <v>0</v>
      </c>
      <c r="GD409">
        <f t="shared" si="105"/>
        <v>0</v>
      </c>
      <c r="GH409">
        <f>IF(AND(H409=1,A409=$GA$10,B409=$GA$11),COUNTIFS($A$200:A409,$GA$10,$B$200:B409,$GA$11,$H$200:H409,1),0)</f>
        <v>0</v>
      </c>
    </row>
    <row r="410" spans="1:190">
      <c r="A410" t="str">
        <f t="shared" si="96"/>
        <v/>
      </c>
      <c r="B410" t="str">
        <f t="shared" si="97"/>
        <v/>
      </c>
      <c r="C410" t="str">
        <f t="shared" si="98"/>
        <v/>
      </c>
      <c r="D410" t="str">
        <f t="shared" si="99"/>
        <v/>
      </c>
      <c r="E410">
        <f t="shared" si="100"/>
        <v>0</v>
      </c>
      <c r="F410" t="str">
        <f t="shared" si="101"/>
        <v/>
      </c>
      <c r="G410">
        <f t="shared" si="102"/>
        <v>0</v>
      </c>
      <c r="H410">
        <f>IF(AND(G410=1,COUNTIFS($I$200:I410,I410,$G$200:G410,1)=1),1,0)</f>
        <v>0</v>
      </c>
      <c r="I410" t="str">
        <f t="shared" si="103"/>
        <v/>
      </c>
      <c r="BF410">
        <f t="shared" si="106"/>
        <v>0</v>
      </c>
      <c r="BG410">
        <f t="shared" si="107"/>
        <v>0</v>
      </c>
      <c r="BH410">
        <f t="shared" si="108"/>
        <v>0</v>
      </c>
      <c r="BI410">
        <f t="shared" si="109"/>
        <v>0</v>
      </c>
      <c r="BJ410">
        <f t="shared" si="110"/>
        <v>0</v>
      </c>
      <c r="BK410">
        <f t="shared" si="111"/>
        <v>0</v>
      </c>
      <c r="BL410">
        <f t="shared" si="112"/>
        <v>0</v>
      </c>
      <c r="BM410">
        <f t="shared" si="113"/>
        <v>0</v>
      </c>
      <c r="BN410">
        <f t="shared" si="114"/>
        <v>0</v>
      </c>
      <c r="BO410">
        <f t="shared" si="115"/>
        <v>0</v>
      </c>
      <c r="BP410">
        <f t="shared" si="116"/>
        <v>0</v>
      </c>
      <c r="BQ410">
        <f t="shared" si="117"/>
        <v>0</v>
      </c>
      <c r="BR410">
        <f t="shared" si="118"/>
        <v>0</v>
      </c>
      <c r="BS410">
        <f t="shared" si="119"/>
        <v>0</v>
      </c>
      <c r="BT410">
        <f t="shared" si="120"/>
        <v>0</v>
      </c>
      <c r="BU410">
        <f t="shared" si="121"/>
        <v>0</v>
      </c>
      <c r="BV410">
        <f t="shared" si="122"/>
        <v>0</v>
      </c>
      <c r="BW410">
        <f t="shared" si="123"/>
        <v>0</v>
      </c>
      <c r="CA410" t="str">
        <f>IF(211&gt;ROWS(DGArchive[模组]),"",IF(INDEX(DGArchive[模组],211)="","",INDEX(DGArchive[模组],211)))</f>
        <v/>
      </c>
      <c r="CB410" t="str">
        <f>IF(211&gt;ROWS(DGArchive[阶段]),"",IF(INDEX(DGArchive[阶段],211)="","",INDEX(DGArchive[阶段],211)))</f>
        <v/>
      </c>
      <c r="CC410" t="str">
        <f>IF(211&gt;ROWS(DGArchive[游戏内日期]),"",IF(INDEX(DGArchive[游戏内日期],211)="","",INDEX(DGArchive[游戏内日期],211)))</f>
        <v/>
      </c>
      <c r="CD410" t="str">
        <f>IF(211&gt;ROWS(DGArchive[目标]),"",IF(INDEX(DGArchive[目标],211)="","",INDEX(DGArchive[目标],211)))</f>
        <v/>
      </c>
      <c r="CE410" t="str">
        <f>IF(211&gt;ROWS(DGArchive[变更前]),"",IF(INDEX(DGArchive[变更前],211)="","",INDEX(DGArchive[变更前],211)))</f>
        <v/>
      </c>
      <c r="CF410" t="str">
        <f>IF(211&gt;ROWS(DGArchive[增减]),"",IF(INDEX(DGArchive[增减],211)="","",INDEX(DGArchive[增减],211)))</f>
        <v/>
      </c>
      <c r="CG410" t="str">
        <f>IF(211&gt;ROWS(DGArchive[变更后]),"",IF(INDEX(DGArchive[变更后],211)="","",INDEX(DGArchive[变更后],211)))</f>
        <v/>
      </c>
      <c r="CH410" t="str">
        <f>IF(211&gt;ROWS(DGArchive[事件／活动]),"",IF(INDEX(DGArchive[事件／活动],211)="","",INDEX(DGArchive[事件／活动],211)))</f>
        <v/>
      </c>
      <c r="CI410" t="str">
        <f>IF(211&gt;ROWS(DGArchive[记录编号]),"",IF(INDEX(DGArchive[记录编号],211)="","",INDEX(DGArchive[记录编号],211)))</f>
        <v/>
      </c>
      <c r="CL410">
        <f t="shared" si="104"/>
        <v>0</v>
      </c>
      <c r="CM410">
        <f>IF(AND(A410=$AO$5,B410=$AQ$3,H410=1),COUNTIFS($A$200:A410,$AO$5,$B$200:B410,$AQ$3,$H$200:H410,1),0)</f>
        <v>0</v>
      </c>
      <c r="CN410">
        <f>IF(CA410="",211,1001)</f>
        <v>211</v>
      </c>
      <c r="GA410">
        <f t="shared" si="124"/>
        <v>0</v>
      </c>
      <c r="GB410">
        <f t="shared" si="125"/>
        <v>0</v>
      </c>
      <c r="GC410">
        <f>IF(AND(C410="事件记录",H410=1),COUNTIFS($C$200:C410,"事件记录",$H$200:H410,1),0)</f>
        <v>0</v>
      </c>
      <c r="GD410">
        <f t="shared" si="105"/>
        <v>0</v>
      </c>
      <c r="GH410">
        <f>IF(AND(H410=1,A410=$GA$10,B410=$GA$11),COUNTIFS($A$200:A410,$GA$10,$B$200:B410,$GA$11,$H$200:H410,1),0)</f>
        <v>0</v>
      </c>
    </row>
    <row r="411" spans="1:190">
      <c r="A411" t="str">
        <f t="shared" si="96"/>
        <v/>
      </c>
      <c r="B411" t="str">
        <f t="shared" si="97"/>
        <v/>
      </c>
      <c r="C411" t="str">
        <f t="shared" si="98"/>
        <v/>
      </c>
      <c r="D411" t="str">
        <f t="shared" si="99"/>
        <v/>
      </c>
      <c r="E411">
        <f t="shared" si="100"/>
        <v>0</v>
      </c>
      <c r="F411" t="str">
        <f t="shared" si="101"/>
        <v/>
      </c>
      <c r="G411">
        <f t="shared" si="102"/>
        <v>0</v>
      </c>
      <c r="H411">
        <f>IF(AND(G411=1,COUNTIFS($I$200:I411,I411,$G$200:G411,1)=1),1,0)</f>
        <v>0</v>
      </c>
      <c r="I411" t="str">
        <f t="shared" si="103"/>
        <v/>
      </c>
      <c r="BF411">
        <f t="shared" si="106"/>
        <v>0</v>
      </c>
      <c r="BG411">
        <f t="shared" si="107"/>
        <v>0</v>
      </c>
      <c r="BH411">
        <f t="shared" si="108"/>
        <v>0</v>
      </c>
      <c r="BI411">
        <f t="shared" si="109"/>
        <v>0</v>
      </c>
      <c r="BJ411">
        <f t="shared" si="110"/>
        <v>0</v>
      </c>
      <c r="BK411">
        <f t="shared" si="111"/>
        <v>0</v>
      </c>
      <c r="BL411">
        <f t="shared" si="112"/>
        <v>0</v>
      </c>
      <c r="BM411">
        <f t="shared" si="113"/>
        <v>0</v>
      </c>
      <c r="BN411">
        <f t="shared" si="114"/>
        <v>0</v>
      </c>
      <c r="BO411">
        <f t="shared" si="115"/>
        <v>0</v>
      </c>
      <c r="BP411">
        <f t="shared" si="116"/>
        <v>0</v>
      </c>
      <c r="BQ411">
        <f t="shared" si="117"/>
        <v>0</v>
      </c>
      <c r="BR411">
        <f t="shared" si="118"/>
        <v>0</v>
      </c>
      <c r="BS411">
        <f t="shared" si="119"/>
        <v>0</v>
      </c>
      <c r="BT411">
        <f t="shared" si="120"/>
        <v>0</v>
      </c>
      <c r="BU411">
        <f t="shared" si="121"/>
        <v>0</v>
      </c>
      <c r="BV411">
        <f t="shared" si="122"/>
        <v>0</v>
      </c>
      <c r="BW411">
        <f t="shared" si="123"/>
        <v>0</v>
      </c>
      <c r="CA411" t="str">
        <f>IF(212&gt;ROWS(DGArchive[模组]),"",IF(INDEX(DGArchive[模组],212)="","",INDEX(DGArchive[模组],212)))</f>
        <v/>
      </c>
      <c r="CB411" t="str">
        <f>IF(212&gt;ROWS(DGArchive[阶段]),"",IF(INDEX(DGArchive[阶段],212)="","",INDEX(DGArchive[阶段],212)))</f>
        <v/>
      </c>
      <c r="CC411" t="str">
        <f>IF(212&gt;ROWS(DGArchive[游戏内日期]),"",IF(INDEX(DGArchive[游戏内日期],212)="","",INDEX(DGArchive[游戏内日期],212)))</f>
        <v/>
      </c>
      <c r="CD411" t="str">
        <f>IF(212&gt;ROWS(DGArchive[目标]),"",IF(INDEX(DGArchive[目标],212)="","",INDEX(DGArchive[目标],212)))</f>
        <v/>
      </c>
      <c r="CE411" t="str">
        <f>IF(212&gt;ROWS(DGArchive[变更前]),"",IF(INDEX(DGArchive[变更前],212)="","",INDEX(DGArchive[变更前],212)))</f>
        <v/>
      </c>
      <c r="CF411" t="str">
        <f>IF(212&gt;ROWS(DGArchive[增减]),"",IF(INDEX(DGArchive[增减],212)="","",INDEX(DGArchive[增减],212)))</f>
        <v/>
      </c>
      <c r="CG411" t="str">
        <f>IF(212&gt;ROWS(DGArchive[变更后]),"",IF(INDEX(DGArchive[变更后],212)="","",INDEX(DGArchive[变更后],212)))</f>
        <v/>
      </c>
      <c r="CH411" t="str">
        <f>IF(212&gt;ROWS(DGArchive[事件／活动]),"",IF(INDEX(DGArchive[事件／活动],212)="","",INDEX(DGArchive[事件／活动],212)))</f>
        <v/>
      </c>
      <c r="CI411" t="str">
        <f>IF(212&gt;ROWS(DGArchive[记录编号]),"",IF(INDEX(DGArchive[记录编号],212)="","",INDEX(DGArchive[记录编号],212)))</f>
        <v/>
      </c>
      <c r="CL411">
        <f t="shared" si="104"/>
        <v>0</v>
      </c>
      <c r="CM411">
        <f>IF(AND(A411=$AO$5,B411=$AQ$3,H411=1),COUNTIFS($A$200:A411,$AO$5,$B$200:B411,$AQ$3,$H$200:H411,1),0)</f>
        <v>0</v>
      </c>
      <c r="CN411">
        <f>IF(CA411="",212,1001)</f>
        <v>212</v>
      </c>
      <c r="GA411">
        <f t="shared" si="124"/>
        <v>0</v>
      </c>
      <c r="GB411">
        <f t="shared" si="125"/>
        <v>0</v>
      </c>
      <c r="GC411">
        <f>IF(AND(C411="事件记录",H411=1),COUNTIFS($C$200:C411,"事件记录",$H$200:H411,1),0)</f>
        <v>0</v>
      </c>
      <c r="GD411">
        <f t="shared" si="105"/>
        <v>0</v>
      </c>
      <c r="GH411">
        <f>IF(AND(H411=1,A411=$GA$10,B411=$GA$11),COUNTIFS($A$200:A411,$GA$10,$B$200:B411,$GA$11,$H$200:H411,1),0)</f>
        <v>0</v>
      </c>
    </row>
    <row r="412" spans="1:190">
      <c r="A412" t="str">
        <f t="shared" si="96"/>
        <v/>
      </c>
      <c r="B412" t="str">
        <f t="shared" si="97"/>
        <v/>
      </c>
      <c r="C412" t="str">
        <f t="shared" si="98"/>
        <v/>
      </c>
      <c r="D412" t="str">
        <f t="shared" si="99"/>
        <v/>
      </c>
      <c r="E412">
        <f t="shared" si="100"/>
        <v>0</v>
      </c>
      <c r="F412" t="str">
        <f t="shared" si="101"/>
        <v/>
      </c>
      <c r="G412">
        <f t="shared" si="102"/>
        <v>0</v>
      </c>
      <c r="H412">
        <f>IF(AND(G412=1,COUNTIFS($I$200:I412,I412,$G$200:G412,1)=1),1,0)</f>
        <v>0</v>
      </c>
      <c r="I412" t="str">
        <f t="shared" si="103"/>
        <v/>
      </c>
      <c r="BF412">
        <f t="shared" si="106"/>
        <v>0</v>
      </c>
      <c r="BG412">
        <f t="shared" si="107"/>
        <v>0</v>
      </c>
      <c r="BH412">
        <f t="shared" si="108"/>
        <v>0</v>
      </c>
      <c r="BI412">
        <f t="shared" si="109"/>
        <v>0</v>
      </c>
      <c r="BJ412">
        <f t="shared" si="110"/>
        <v>0</v>
      </c>
      <c r="BK412">
        <f t="shared" si="111"/>
        <v>0</v>
      </c>
      <c r="BL412">
        <f t="shared" si="112"/>
        <v>0</v>
      </c>
      <c r="BM412">
        <f t="shared" si="113"/>
        <v>0</v>
      </c>
      <c r="BN412">
        <f t="shared" si="114"/>
        <v>0</v>
      </c>
      <c r="BO412">
        <f t="shared" si="115"/>
        <v>0</v>
      </c>
      <c r="BP412">
        <f t="shared" si="116"/>
        <v>0</v>
      </c>
      <c r="BQ412">
        <f t="shared" si="117"/>
        <v>0</v>
      </c>
      <c r="BR412">
        <f t="shared" si="118"/>
        <v>0</v>
      </c>
      <c r="BS412">
        <f t="shared" si="119"/>
        <v>0</v>
      </c>
      <c r="BT412">
        <f t="shared" si="120"/>
        <v>0</v>
      </c>
      <c r="BU412">
        <f t="shared" si="121"/>
        <v>0</v>
      </c>
      <c r="BV412">
        <f t="shared" si="122"/>
        <v>0</v>
      </c>
      <c r="BW412">
        <f t="shared" si="123"/>
        <v>0</v>
      </c>
      <c r="CA412" t="str">
        <f>IF(213&gt;ROWS(DGArchive[模组]),"",IF(INDEX(DGArchive[模组],213)="","",INDEX(DGArchive[模组],213)))</f>
        <v/>
      </c>
      <c r="CB412" t="str">
        <f>IF(213&gt;ROWS(DGArchive[阶段]),"",IF(INDEX(DGArchive[阶段],213)="","",INDEX(DGArchive[阶段],213)))</f>
        <v/>
      </c>
      <c r="CC412" t="str">
        <f>IF(213&gt;ROWS(DGArchive[游戏内日期]),"",IF(INDEX(DGArchive[游戏内日期],213)="","",INDEX(DGArchive[游戏内日期],213)))</f>
        <v/>
      </c>
      <c r="CD412" t="str">
        <f>IF(213&gt;ROWS(DGArchive[目标]),"",IF(INDEX(DGArchive[目标],213)="","",INDEX(DGArchive[目标],213)))</f>
        <v/>
      </c>
      <c r="CE412" t="str">
        <f>IF(213&gt;ROWS(DGArchive[变更前]),"",IF(INDEX(DGArchive[变更前],213)="","",INDEX(DGArchive[变更前],213)))</f>
        <v/>
      </c>
      <c r="CF412" t="str">
        <f>IF(213&gt;ROWS(DGArchive[增减]),"",IF(INDEX(DGArchive[增减],213)="","",INDEX(DGArchive[增减],213)))</f>
        <v/>
      </c>
      <c r="CG412" t="str">
        <f>IF(213&gt;ROWS(DGArchive[变更后]),"",IF(INDEX(DGArchive[变更后],213)="","",INDEX(DGArchive[变更后],213)))</f>
        <v/>
      </c>
      <c r="CH412" t="str">
        <f>IF(213&gt;ROWS(DGArchive[事件／活动]),"",IF(INDEX(DGArchive[事件／活动],213)="","",INDEX(DGArchive[事件／活动],213)))</f>
        <v/>
      </c>
      <c r="CI412" t="str">
        <f>IF(213&gt;ROWS(DGArchive[记录编号]),"",IF(INDEX(DGArchive[记录编号],213)="","",INDEX(DGArchive[记录编号],213)))</f>
        <v/>
      </c>
      <c r="CL412">
        <f t="shared" si="104"/>
        <v>0</v>
      </c>
      <c r="CM412">
        <f>IF(AND(A412=$AO$5,B412=$AQ$3,H412=1),COUNTIFS($A$200:A412,$AO$5,$B$200:B412,$AQ$3,$H$200:H412,1),0)</f>
        <v>0</v>
      </c>
      <c r="CN412">
        <f>IF(CA412="",213,1001)</f>
        <v>213</v>
      </c>
      <c r="GA412">
        <f t="shared" si="124"/>
        <v>0</v>
      </c>
      <c r="GB412">
        <f t="shared" si="125"/>
        <v>0</v>
      </c>
      <c r="GC412">
        <f>IF(AND(C412="事件记录",H412=1),COUNTIFS($C$200:C412,"事件记录",$H$200:H412,1),0)</f>
        <v>0</v>
      </c>
      <c r="GD412">
        <f t="shared" si="105"/>
        <v>0</v>
      </c>
      <c r="GH412">
        <f>IF(AND(H412=1,A412=$GA$10,B412=$GA$11),COUNTIFS($A$200:A412,$GA$10,$B$200:B412,$GA$11,$H$200:H412,1),0)</f>
        <v>0</v>
      </c>
    </row>
    <row r="413" spans="1:190">
      <c r="A413" t="str">
        <f t="shared" si="96"/>
        <v/>
      </c>
      <c r="B413" t="str">
        <f t="shared" si="97"/>
        <v/>
      </c>
      <c r="C413" t="str">
        <f t="shared" si="98"/>
        <v/>
      </c>
      <c r="D413" t="str">
        <f t="shared" si="99"/>
        <v/>
      </c>
      <c r="E413">
        <f t="shared" si="100"/>
        <v>0</v>
      </c>
      <c r="F413" t="str">
        <f t="shared" si="101"/>
        <v/>
      </c>
      <c r="G413">
        <f t="shared" si="102"/>
        <v>0</v>
      </c>
      <c r="H413">
        <f>IF(AND(G413=1,COUNTIFS($I$200:I413,I413,$G$200:G413,1)=1),1,0)</f>
        <v>0</v>
      </c>
      <c r="I413" t="str">
        <f t="shared" si="103"/>
        <v/>
      </c>
      <c r="BF413">
        <f t="shared" si="106"/>
        <v>0</v>
      </c>
      <c r="BG413">
        <f t="shared" si="107"/>
        <v>0</v>
      </c>
      <c r="BH413">
        <f t="shared" si="108"/>
        <v>0</v>
      </c>
      <c r="BI413">
        <f t="shared" si="109"/>
        <v>0</v>
      </c>
      <c r="BJ413">
        <f t="shared" si="110"/>
        <v>0</v>
      </c>
      <c r="BK413">
        <f t="shared" si="111"/>
        <v>0</v>
      </c>
      <c r="BL413">
        <f t="shared" si="112"/>
        <v>0</v>
      </c>
      <c r="BM413">
        <f t="shared" si="113"/>
        <v>0</v>
      </c>
      <c r="BN413">
        <f t="shared" si="114"/>
        <v>0</v>
      </c>
      <c r="BO413">
        <f t="shared" si="115"/>
        <v>0</v>
      </c>
      <c r="BP413">
        <f t="shared" si="116"/>
        <v>0</v>
      </c>
      <c r="BQ413">
        <f t="shared" si="117"/>
        <v>0</v>
      </c>
      <c r="BR413">
        <f t="shared" si="118"/>
        <v>0</v>
      </c>
      <c r="BS413">
        <f t="shared" si="119"/>
        <v>0</v>
      </c>
      <c r="BT413">
        <f t="shared" si="120"/>
        <v>0</v>
      </c>
      <c r="BU413">
        <f t="shared" si="121"/>
        <v>0</v>
      </c>
      <c r="BV413">
        <f t="shared" si="122"/>
        <v>0</v>
      </c>
      <c r="BW413">
        <f t="shared" si="123"/>
        <v>0</v>
      </c>
      <c r="CA413" t="str">
        <f>IF(214&gt;ROWS(DGArchive[模组]),"",IF(INDEX(DGArchive[模组],214)="","",INDEX(DGArchive[模组],214)))</f>
        <v/>
      </c>
      <c r="CB413" t="str">
        <f>IF(214&gt;ROWS(DGArchive[阶段]),"",IF(INDEX(DGArchive[阶段],214)="","",INDEX(DGArchive[阶段],214)))</f>
        <v/>
      </c>
      <c r="CC413" t="str">
        <f>IF(214&gt;ROWS(DGArchive[游戏内日期]),"",IF(INDEX(DGArchive[游戏内日期],214)="","",INDEX(DGArchive[游戏内日期],214)))</f>
        <v/>
      </c>
      <c r="CD413" t="str">
        <f>IF(214&gt;ROWS(DGArchive[目标]),"",IF(INDEX(DGArchive[目标],214)="","",INDEX(DGArchive[目标],214)))</f>
        <v/>
      </c>
      <c r="CE413" t="str">
        <f>IF(214&gt;ROWS(DGArchive[变更前]),"",IF(INDEX(DGArchive[变更前],214)="","",INDEX(DGArchive[变更前],214)))</f>
        <v/>
      </c>
      <c r="CF413" t="str">
        <f>IF(214&gt;ROWS(DGArchive[增减]),"",IF(INDEX(DGArchive[增减],214)="","",INDEX(DGArchive[增减],214)))</f>
        <v/>
      </c>
      <c r="CG413" t="str">
        <f>IF(214&gt;ROWS(DGArchive[变更后]),"",IF(INDEX(DGArchive[变更后],214)="","",INDEX(DGArchive[变更后],214)))</f>
        <v/>
      </c>
      <c r="CH413" t="str">
        <f>IF(214&gt;ROWS(DGArchive[事件／活动]),"",IF(INDEX(DGArchive[事件／活动],214)="","",INDEX(DGArchive[事件／活动],214)))</f>
        <v/>
      </c>
      <c r="CI413" t="str">
        <f>IF(214&gt;ROWS(DGArchive[记录编号]),"",IF(INDEX(DGArchive[记录编号],214)="","",INDEX(DGArchive[记录编号],214)))</f>
        <v/>
      </c>
      <c r="CL413">
        <f t="shared" si="104"/>
        <v>0</v>
      </c>
      <c r="CM413">
        <f>IF(AND(A413=$AO$5,B413=$AQ$3,H413=1),COUNTIFS($A$200:A413,$AO$5,$B$200:B413,$AQ$3,$H$200:H413,1),0)</f>
        <v>0</v>
      </c>
      <c r="CN413">
        <f>IF(CA413="",214,1001)</f>
        <v>214</v>
      </c>
      <c r="GA413">
        <f t="shared" si="124"/>
        <v>0</v>
      </c>
      <c r="GB413">
        <f t="shared" si="125"/>
        <v>0</v>
      </c>
      <c r="GC413">
        <f>IF(AND(C413="事件记录",H413=1),COUNTIFS($C$200:C413,"事件记录",$H$200:H413,1),0)</f>
        <v>0</v>
      </c>
      <c r="GD413">
        <f t="shared" si="105"/>
        <v>0</v>
      </c>
      <c r="GH413">
        <f>IF(AND(H413=1,A413=$GA$10,B413=$GA$11),COUNTIFS($A$200:A413,$GA$10,$B$200:B413,$GA$11,$H$200:H413,1),0)</f>
        <v>0</v>
      </c>
    </row>
    <row r="414" spans="1:190">
      <c r="A414" t="str">
        <f t="shared" si="96"/>
        <v/>
      </c>
      <c r="B414" t="str">
        <f t="shared" si="97"/>
        <v/>
      </c>
      <c r="C414" t="str">
        <f t="shared" si="98"/>
        <v/>
      </c>
      <c r="D414" t="str">
        <f t="shared" si="99"/>
        <v/>
      </c>
      <c r="E414">
        <f t="shared" si="100"/>
        <v>0</v>
      </c>
      <c r="F414" t="str">
        <f t="shared" si="101"/>
        <v/>
      </c>
      <c r="G414">
        <f t="shared" si="102"/>
        <v>0</v>
      </c>
      <c r="H414">
        <f>IF(AND(G414=1,COUNTIFS($I$200:I414,I414,$G$200:G414,1)=1),1,0)</f>
        <v>0</v>
      </c>
      <c r="I414" t="str">
        <f t="shared" si="103"/>
        <v/>
      </c>
      <c r="BF414">
        <f t="shared" si="106"/>
        <v>0</v>
      </c>
      <c r="BG414">
        <f t="shared" si="107"/>
        <v>0</v>
      </c>
      <c r="BH414">
        <f t="shared" si="108"/>
        <v>0</v>
      </c>
      <c r="BI414">
        <f t="shared" si="109"/>
        <v>0</v>
      </c>
      <c r="BJ414">
        <f t="shared" si="110"/>
        <v>0</v>
      </c>
      <c r="BK414">
        <f t="shared" si="111"/>
        <v>0</v>
      </c>
      <c r="BL414">
        <f t="shared" si="112"/>
        <v>0</v>
      </c>
      <c r="BM414">
        <f t="shared" si="113"/>
        <v>0</v>
      </c>
      <c r="BN414">
        <f t="shared" si="114"/>
        <v>0</v>
      </c>
      <c r="BO414">
        <f t="shared" si="115"/>
        <v>0</v>
      </c>
      <c r="BP414">
        <f t="shared" si="116"/>
        <v>0</v>
      </c>
      <c r="BQ414">
        <f t="shared" si="117"/>
        <v>0</v>
      </c>
      <c r="BR414">
        <f t="shared" si="118"/>
        <v>0</v>
      </c>
      <c r="BS414">
        <f t="shared" si="119"/>
        <v>0</v>
      </c>
      <c r="BT414">
        <f t="shared" si="120"/>
        <v>0</v>
      </c>
      <c r="BU414">
        <f t="shared" si="121"/>
        <v>0</v>
      </c>
      <c r="BV414">
        <f t="shared" si="122"/>
        <v>0</v>
      </c>
      <c r="BW414">
        <f t="shared" si="123"/>
        <v>0</v>
      </c>
      <c r="CA414" t="str">
        <f>IF(215&gt;ROWS(DGArchive[模组]),"",IF(INDEX(DGArchive[模组],215)="","",INDEX(DGArchive[模组],215)))</f>
        <v/>
      </c>
      <c r="CB414" t="str">
        <f>IF(215&gt;ROWS(DGArchive[阶段]),"",IF(INDEX(DGArchive[阶段],215)="","",INDEX(DGArchive[阶段],215)))</f>
        <v/>
      </c>
      <c r="CC414" t="str">
        <f>IF(215&gt;ROWS(DGArchive[游戏内日期]),"",IF(INDEX(DGArchive[游戏内日期],215)="","",INDEX(DGArchive[游戏内日期],215)))</f>
        <v/>
      </c>
      <c r="CD414" t="str">
        <f>IF(215&gt;ROWS(DGArchive[目标]),"",IF(INDEX(DGArchive[目标],215)="","",INDEX(DGArchive[目标],215)))</f>
        <v/>
      </c>
      <c r="CE414" t="str">
        <f>IF(215&gt;ROWS(DGArchive[变更前]),"",IF(INDEX(DGArchive[变更前],215)="","",INDEX(DGArchive[变更前],215)))</f>
        <v/>
      </c>
      <c r="CF414" t="str">
        <f>IF(215&gt;ROWS(DGArchive[增减]),"",IF(INDEX(DGArchive[增减],215)="","",INDEX(DGArchive[增减],215)))</f>
        <v/>
      </c>
      <c r="CG414" t="str">
        <f>IF(215&gt;ROWS(DGArchive[变更后]),"",IF(INDEX(DGArchive[变更后],215)="","",INDEX(DGArchive[变更后],215)))</f>
        <v/>
      </c>
      <c r="CH414" t="str">
        <f>IF(215&gt;ROWS(DGArchive[事件／活动]),"",IF(INDEX(DGArchive[事件／活动],215)="","",INDEX(DGArchive[事件／活动],215)))</f>
        <v/>
      </c>
      <c r="CI414" t="str">
        <f>IF(215&gt;ROWS(DGArchive[记录编号]),"",IF(INDEX(DGArchive[记录编号],215)="","",INDEX(DGArchive[记录编号],215)))</f>
        <v/>
      </c>
      <c r="CL414">
        <f t="shared" si="104"/>
        <v>0</v>
      </c>
      <c r="CM414">
        <f>IF(AND(A414=$AO$5,B414=$AQ$3,H414=1),COUNTIFS($A$200:A414,$AO$5,$B$200:B414,$AQ$3,$H$200:H414,1),0)</f>
        <v>0</v>
      </c>
      <c r="CN414">
        <f>IF(CA414="",215,1001)</f>
        <v>215</v>
      </c>
      <c r="GA414">
        <f t="shared" si="124"/>
        <v>0</v>
      </c>
      <c r="GB414">
        <f t="shared" si="125"/>
        <v>0</v>
      </c>
      <c r="GC414">
        <f>IF(AND(C414="事件记录",H414=1),COUNTIFS($C$200:C414,"事件记录",$H$200:H414,1),0)</f>
        <v>0</v>
      </c>
      <c r="GD414">
        <f t="shared" si="105"/>
        <v>0</v>
      </c>
      <c r="GH414">
        <f>IF(AND(H414=1,A414=$GA$10,B414=$GA$11),COUNTIFS($A$200:A414,$GA$10,$B$200:B414,$GA$11,$H$200:H414,1),0)</f>
        <v>0</v>
      </c>
    </row>
    <row r="415" spans="1:190">
      <c r="A415" t="str">
        <f t="shared" si="96"/>
        <v/>
      </c>
      <c r="B415" t="str">
        <f t="shared" si="97"/>
        <v/>
      </c>
      <c r="C415" t="str">
        <f t="shared" si="98"/>
        <v/>
      </c>
      <c r="D415" t="str">
        <f t="shared" si="99"/>
        <v/>
      </c>
      <c r="E415">
        <f t="shared" si="100"/>
        <v>0</v>
      </c>
      <c r="F415" t="str">
        <f t="shared" si="101"/>
        <v/>
      </c>
      <c r="G415">
        <f t="shared" si="102"/>
        <v>0</v>
      </c>
      <c r="H415">
        <f>IF(AND(G415=1,COUNTIFS($I$200:I415,I415,$G$200:G415,1)=1),1,0)</f>
        <v>0</v>
      </c>
      <c r="I415" t="str">
        <f t="shared" si="103"/>
        <v/>
      </c>
      <c r="BF415">
        <f t="shared" si="106"/>
        <v>0</v>
      </c>
      <c r="BG415">
        <f t="shared" si="107"/>
        <v>0</v>
      </c>
      <c r="BH415">
        <f t="shared" si="108"/>
        <v>0</v>
      </c>
      <c r="BI415">
        <f t="shared" si="109"/>
        <v>0</v>
      </c>
      <c r="BJ415">
        <f t="shared" si="110"/>
        <v>0</v>
      </c>
      <c r="BK415">
        <f t="shared" si="111"/>
        <v>0</v>
      </c>
      <c r="BL415">
        <f t="shared" si="112"/>
        <v>0</v>
      </c>
      <c r="BM415">
        <f t="shared" si="113"/>
        <v>0</v>
      </c>
      <c r="BN415">
        <f t="shared" si="114"/>
        <v>0</v>
      </c>
      <c r="BO415">
        <f t="shared" si="115"/>
        <v>0</v>
      </c>
      <c r="BP415">
        <f t="shared" si="116"/>
        <v>0</v>
      </c>
      <c r="BQ415">
        <f t="shared" si="117"/>
        <v>0</v>
      </c>
      <c r="BR415">
        <f t="shared" si="118"/>
        <v>0</v>
      </c>
      <c r="BS415">
        <f t="shared" si="119"/>
        <v>0</v>
      </c>
      <c r="BT415">
        <f t="shared" si="120"/>
        <v>0</v>
      </c>
      <c r="BU415">
        <f t="shared" si="121"/>
        <v>0</v>
      </c>
      <c r="BV415">
        <f t="shared" si="122"/>
        <v>0</v>
      </c>
      <c r="BW415">
        <f t="shared" si="123"/>
        <v>0</v>
      </c>
      <c r="CA415" t="str">
        <f>IF(216&gt;ROWS(DGArchive[模组]),"",IF(INDEX(DGArchive[模组],216)="","",INDEX(DGArchive[模组],216)))</f>
        <v/>
      </c>
      <c r="CB415" t="str">
        <f>IF(216&gt;ROWS(DGArchive[阶段]),"",IF(INDEX(DGArchive[阶段],216)="","",INDEX(DGArchive[阶段],216)))</f>
        <v/>
      </c>
      <c r="CC415" t="str">
        <f>IF(216&gt;ROWS(DGArchive[游戏内日期]),"",IF(INDEX(DGArchive[游戏内日期],216)="","",INDEX(DGArchive[游戏内日期],216)))</f>
        <v/>
      </c>
      <c r="CD415" t="str">
        <f>IF(216&gt;ROWS(DGArchive[目标]),"",IF(INDEX(DGArchive[目标],216)="","",INDEX(DGArchive[目标],216)))</f>
        <v/>
      </c>
      <c r="CE415" t="str">
        <f>IF(216&gt;ROWS(DGArchive[变更前]),"",IF(INDEX(DGArchive[变更前],216)="","",INDEX(DGArchive[变更前],216)))</f>
        <v/>
      </c>
      <c r="CF415" t="str">
        <f>IF(216&gt;ROWS(DGArchive[增减]),"",IF(INDEX(DGArchive[增减],216)="","",INDEX(DGArchive[增减],216)))</f>
        <v/>
      </c>
      <c r="CG415" t="str">
        <f>IF(216&gt;ROWS(DGArchive[变更后]),"",IF(INDEX(DGArchive[变更后],216)="","",INDEX(DGArchive[变更后],216)))</f>
        <v/>
      </c>
      <c r="CH415" t="str">
        <f>IF(216&gt;ROWS(DGArchive[事件／活动]),"",IF(INDEX(DGArchive[事件／活动],216)="","",INDEX(DGArchive[事件／活动],216)))</f>
        <v/>
      </c>
      <c r="CI415" t="str">
        <f>IF(216&gt;ROWS(DGArchive[记录编号]),"",IF(INDEX(DGArchive[记录编号],216)="","",INDEX(DGArchive[记录编号],216)))</f>
        <v/>
      </c>
      <c r="CL415">
        <f t="shared" si="104"/>
        <v>0</v>
      </c>
      <c r="CM415">
        <f>IF(AND(A415=$AO$5,B415=$AQ$3,H415=1),COUNTIFS($A$200:A415,$AO$5,$B$200:B415,$AQ$3,$H$200:H415,1),0)</f>
        <v>0</v>
      </c>
      <c r="CN415">
        <f>IF(CA415="",216,1001)</f>
        <v>216</v>
      </c>
      <c r="GA415">
        <f t="shared" si="124"/>
        <v>0</v>
      </c>
      <c r="GB415">
        <f t="shared" si="125"/>
        <v>0</v>
      </c>
      <c r="GC415">
        <f>IF(AND(C415="事件记录",H415=1),COUNTIFS($C$200:C415,"事件记录",$H$200:H415,1),0)</f>
        <v>0</v>
      </c>
      <c r="GD415">
        <f t="shared" si="105"/>
        <v>0</v>
      </c>
      <c r="GH415">
        <f>IF(AND(H415=1,A415=$GA$10,B415=$GA$11),COUNTIFS($A$200:A415,$GA$10,$B$200:B415,$GA$11,$H$200:H415,1),0)</f>
        <v>0</v>
      </c>
    </row>
    <row r="416" spans="1:190">
      <c r="A416" t="str">
        <f t="shared" si="96"/>
        <v/>
      </c>
      <c r="B416" t="str">
        <f t="shared" si="97"/>
        <v/>
      </c>
      <c r="C416" t="str">
        <f t="shared" si="98"/>
        <v/>
      </c>
      <c r="D416" t="str">
        <f t="shared" si="99"/>
        <v/>
      </c>
      <c r="E416">
        <f t="shared" si="100"/>
        <v>0</v>
      </c>
      <c r="F416" t="str">
        <f t="shared" si="101"/>
        <v/>
      </c>
      <c r="G416">
        <f t="shared" si="102"/>
        <v>0</v>
      </c>
      <c r="H416">
        <f>IF(AND(G416=1,COUNTIFS($I$200:I416,I416,$G$200:G416,1)=1),1,0)</f>
        <v>0</v>
      </c>
      <c r="I416" t="str">
        <f t="shared" si="103"/>
        <v/>
      </c>
      <c r="BF416">
        <f t="shared" si="106"/>
        <v>0</v>
      </c>
      <c r="BG416">
        <f t="shared" si="107"/>
        <v>0</v>
      </c>
      <c r="BH416">
        <f t="shared" si="108"/>
        <v>0</v>
      </c>
      <c r="BI416">
        <f t="shared" si="109"/>
        <v>0</v>
      </c>
      <c r="BJ416">
        <f t="shared" si="110"/>
        <v>0</v>
      </c>
      <c r="BK416">
        <f t="shared" si="111"/>
        <v>0</v>
      </c>
      <c r="BL416">
        <f t="shared" si="112"/>
        <v>0</v>
      </c>
      <c r="BM416">
        <f t="shared" si="113"/>
        <v>0</v>
      </c>
      <c r="BN416">
        <f t="shared" si="114"/>
        <v>0</v>
      </c>
      <c r="BO416">
        <f t="shared" si="115"/>
        <v>0</v>
      </c>
      <c r="BP416">
        <f t="shared" si="116"/>
        <v>0</v>
      </c>
      <c r="BQ416">
        <f t="shared" si="117"/>
        <v>0</v>
      </c>
      <c r="BR416">
        <f t="shared" si="118"/>
        <v>0</v>
      </c>
      <c r="BS416">
        <f t="shared" si="119"/>
        <v>0</v>
      </c>
      <c r="BT416">
        <f t="shared" si="120"/>
        <v>0</v>
      </c>
      <c r="BU416">
        <f t="shared" si="121"/>
        <v>0</v>
      </c>
      <c r="BV416">
        <f t="shared" si="122"/>
        <v>0</v>
      </c>
      <c r="BW416">
        <f t="shared" si="123"/>
        <v>0</v>
      </c>
      <c r="CA416" t="str">
        <f>IF(217&gt;ROWS(DGArchive[模组]),"",IF(INDEX(DGArchive[模组],217)="","",INDEX(DGArchive[模组],217)))</f>
        <v/>
      </c>
      <c r="CB416" t="str">
        <f>IF(217&gt;ROWS(DGArchive[阶段]),"",IF(INDEX(DGArchive[阶段],217)="","",INDEX(DGArchive[阶段],217)))</f>
        <v/>
      </c>
      <c r="CC416" t="str">
        <f>IF(217&gt;ROWS(DGArchive[游戏内日期]),"",IF(INDEX(DGArchive[游戏内日期],217)="","",INDEX(DGArchive[游戏内日期],217)))</f>
        <v/>
      </c>
      <c r="CD416" t="str">
        <f>IF(217&gt;ROWS(DGArchive[目标]),"",IF(INDEX(DGArchive[目标],217)="","",INDEX(DGArchive[目标],217)))</f>
        <v/>
      </c>
      <c r="CE416" t="str">
        <f>IF(217&gt;ROWS(DGArchive[变更前]),"",IF(INDEX(DGArchive[变更前],217)="","",INDEX(DGArchive[变更前],217)))</f>
        <v/>
      </c>
      <c r="CF416" t="str">
        <f>IF(217&gt;ROWS(DGArchive[增减]),"",IF(INDEX(DGArchive[增减],217)="","",INDEX(DGArchive[增减],217)))</f>
        <v/>
      </c>
      <c r="CG416" t="str">
        <f>IF(217&gt;ROWS(DGArchive[变更后]),"",IF(INDEX(DGArchive[变更后],217)="","",INDEX(DGArchive[变更后],217)))</f>
        <v/>
      </c>
      <c r="CH416" t="str">
        <f>IF(217&gt;ROWS(DGArchive[事件／活动]),"",IF(INDEX(DGArchive[事件／活动],217)="","",INDEX(DGArchive[事件／活动],217)))</f>
        <v/>
      </c>
      <c r="CI416" t="str">
        <f>IF(217&gt;ROWS(DGArchive[记录编号]),"",IF(INDEX(DGArchive[记录编号],217)="","",INDEX(DGArchive[记录编号],217)))</f>
        <v/>
      </c>
      <c r="CL416">
        <f t="shared" si="104"/>
        <v>0</v>
      </c>
      <c r="CM416">
        <f>IF(AND(A416=$AO$5,B416=$AQ$3,H416=1),COUNTIFS($A$200:A416,$AO$5,$B$200:B416,$AQ$3,$H$200:H416,1),0)</f>
        <v>0</v>
      </c>
      <c r="CN416">
        <f>IF(CA416="",217,1001)</f>
        <v>217</v>
      </c>
      <c r="GA416">
        <f t="shared" si="124"/>
        <v>0</v>
      </c>
      <c r="GB416">
        <f t="shared" si="125"/>
        <v>0</v>
      </c>
      <c r="GC416">
        <f>IF(AND(C416="事件记录",H416=1),COUNTIFS($C$200:C416,"事件记录",$H$200:H416,1),0)</f>
        <v>0</v>
      </c>
      <c r="GD416">
        <f t="shared" si="105"/>
        <v>0</v>
      </c>
      <c r="GH416">
        <f>IF(AND(H416=1,A416=$GA$10,B416=$GA$11),COUNTIFS($A$200:A416,$GA$10,$B$200:B416,$GA$11,$H$200:H416,1),0)</f>
        <v>0</v>
      </c>
    </row>
    <row r="417" spans="1:190">
      <c r="A417" t="str">
        <f t="shared" si="96"/>
        <v/>
      </c>
      <c r="B417" t="str">
        <f t="shared" si="97"/>
        <v/>
      </c>
      <c r="C417" t="str">
        <f t="shared" si="98"/>
        <v/>
      </c>
      <c r="D417" t="str">
        <f t="shared" si="99"/>
        <v/>
      </c>
      <c r="E417">
        <f t="shared" si="100"/>
        <v>0</v>
      </c>
      <c r="F417" t="str">
        <f t="shared" si="101"/>
        <v/>
      </c>
      <c r="G417">
        <f t="shared" si="102"/>
        <v>0</v>
      </c>
      <c r="H417">
        <f>IF(AND(G417=1,COUNTIFS($I$200:I417,I417,$G$200:G417,1)=1),1,0)</f>
        <v>0</v>
      </c>
      <c r="I417" t="str">
        <f t="shared" si="103"/>
        <v/>
      </c>
      <c r="BF417">
        <f t="shared" si="106"/>
        <v>0</v>
      </c>
      <c r="BG417">
        <f t="shared" si="107"/>
        <v>0</v>
      </c>
      <c r="BH417">
        <f t="shared" si="108"/>
        <v>0</v>
      </c>
      <c r="BI417">
        <f t="shared" si="109"/>
        <v>0</v>
      </c>
      <c r="BJ417">
        <f t="shared" si="110"/>
        <v>0</v>
      </c>
      <c r="BK417">
        <f t="shared" si="111"/>
        <v>0</v>
      </c>
      <c r="BL417">
        <f t="shared" si="112"/>
        <v>0</v>
      </c>
      <c r="BM417">
        <f t="shared" si="113"/>
        <v>0</v>
      </c>
      <c r="BN417">
        <f t="shared" si="114"/>
        <v>0</v>
      </c>
      <c r="BO417">
        <f t="shared" si="115"/>
        <v>0</v>
      </c>
      <c r="BP417">
        <f t="shared" si="116"/>
        <v>0</v>
      </c>
      <c r="BQ417">
        <f t="shared" si="117"/>
        <v>0</v>
      </c>
      <c r="BR417">
        <f t="shared" si="118"/>
        <v>0</v>
      </c>
      <c r="BS417">
        <f t="shared" si="119"/>
        <v>0</v>
      </c>
      <c r="BT417">
        <f t="shared" si="120"/>
        <v>0</v>
      </c>
      <c r="BU417">
        <f t="shared" si="121"/>
        <v>0</v>
      </c>
      <c r="BV417">
        <f t="shared" si="122"/>
        <v>0</v>
      </c>
      <c r="BW417">
        <f t="shared" si="123"/>
        <v>0</v>
      </c>
      <c r="CA417" t="str">
        <f>IF(218&gt;ROWS(DGArchive[模组]),"",IF(INDEX(DGArchive[模组],218)="","",INDEX(DGArchive[模组],218)))</f>
        <v/>
      </c>
      <c r="CB417" t="str">
        <f>IF(218&gt;ROWS(DGArchive[阶段]),"",IF(INDEX(DGArchive[阶段],218)="","",INDEX(DGArchive[阶段],218)))</f>
        <v/>
      </c>
      <c r="CC417" t="str">
        <f>IF(218&gt;ROWS(DGArchive[游戏内日期]),"",IF(INDEX(DGArchive[游戏内日期],218)="","",INDEX(DGArchive[游戏内日期],218)))</f>
        <v/>
      </c>
      <c r="CD417" t="str">
        <f>IF(218&gt;ROWS(DGArchive[目标]),"",IF(INDEX(DGArchive[目标],218)="","",INDEX(DGArchive[目标],218)))</f>
        <v/>
      </c>
      <c r="CE417" t="str">
        <f>IF(218&gt;ROWS(DGArchive[变更前]),"",IF(INDEX(DGArchive[变更前],218)="","",INDEX(DGArchive[变更前],218)))</f>
        <v/>
      </c>
      <c r="CF417" t="str">
        <f>IF(218&gt;ROWS(DGArchive[增减]),"",IF(INDEX(DGArchive[增减],218)="","",INDEX(DGArchive[增减],218)))</f>
        <v/>
      </c>
      <c r="CG417" t="str">
        <f>IF(218&gt;ROWS(DGArchive[变更后]),"",IF(INDEX(DGArchive[变更后],218)="","",INDEX(DGArchive[变更后],218)))</f>
        <v/>
      </c>
      <c r="CH417" t="str">
        <f>IF(218&gt;ROWS(DGArchive[事件／活动]),"",IF(INDEX(DGArchive[事件／活动],218)="","",INDEX(DGArchive[事件／活动],218)))</f>
        <v/>
      </c>
      <c r="CI417" t="str">
        <f>IF(218&gt;ROWS(DGArchive[记录编号]),"",IF(INDEX(DGArchive[记录编号],218)="","",INDEX(DGArchive[记录编号],218)))</f>
        <v/>
      </c>
      <c r="CL417">
        <f t="shared" si="104"/>
        <v>0</v>
      </c>
      <c r="CM417">
        <f>IF(AND(A417=$AO$5,B417=$AQ$3,H417=1),COUNTIFS($A$200:A417,$AO$5,$B$200:B417,$AQ$3,$H$200:H417,1),0)</f>
        <v>0</v>
      </c>
      <c r="CN417">
        <f>IF(CA417="",218,1001)</f>
        <v>218</v>
      </c>
      <c r="GA417">
        <f t="shared" si="124"/>
        <v>0</v>
      </c>
      <c r="GB417">
        <f t="shared" si="125"/>
        <v>0</v>
      </c>
      <c r="GC417">
        <f>IF(AND(C417="事件记录",H417=1),COUNTIFS($C$200:C417,"事件记录",$H$200:H417,1),0)</f>
        <v>0</v>
      </c>
      <c r="GD417">
        <f t="shared" si="105"/>
        <v>0</v>
      </c>
      <c r="GH417">
        <f>IF(AND(H417=1,A417=$GA$10,B417=$GA$11),COUNTIFS($A$200:A417,$GA$10,$B$200:B417,$GA$11,$H$200:H417,1),0)</f>
        <v>0</v>
      </c>
    </row>
    <row r="418" spans="1:190">
      <c r="A418" t="str">
        <f t="shared" si="96"/>
        <v/>
      </c>
      <c r="B418" t="str">
        <f t="shared" si="97"/>
        <v/>
      </c>
      <c r="C418" t="str">
        <f t="shared" si="98"/>
        <v/>
      </c>
      <c r="D418" t="str">
        <f t="shared" si="99"/>
        <v/>
      </c>
      <c r="E418">
        <f t="shared" si="100"/>
        <v>0</v>
      </c>
      <c r="F418" t="str">
        <f t="shared" si="101"/>
        <v/>
      </c>
      <c r="G418">
        <f t="shared" si="102"/>
        <v>0</v>
      </c>
      <c r="H418">
        <f>IF(AND(G418=1,COUNTIFS($I$200:I418,I418,$G$200:G418,1)=1),1,0)</f>
        <v>0</v>
      </c>
      <c r="I418" t="str">
        <f t="shared" si="103"/>
        <v/>
      </c>
      <c r="BF418">
        <f t="shared" si="106"/>
        <v>0</v>
      </c>
      <c r="BG418">
        <f t="shared" si="107"/>
        <v>0</v>
      </c>
      <c r="BH418">
        <f t="shared" si="108"/>
        <v>0</v>
      </c>
      <c r="BI418">
        <f t="shared" si="109"/>
        <v>0</v>
      </c>
      <c r="BJ418">
        <f t="shared" si="110"/>
        <v>0</v>
      </c>
      <c r="BK418">
        <f t="shared" si="111"/>
        <v>0</v>
      </c>
      <c r="BL418">
        <f t="shared" si="112"/>
        <v>0</v>
      </c>
      <c r="BM418">
        <f t="shared" si="113"/>
        <v>0</v>
      </c>
      <c r="BN418">
        <f t="shared" si="114"/>
        <v>0</v>
      </c>
      <c r="BO418">
        <f t="shared" si="115"/>
        <v>0</v>
      </c>
      <c r="BP418">
        <f t="shared" si="116"/>
        <v>0</v>
      </c>
      <c r="BQ418">
        <f t="shared" si="117"/>
        <v>0</v>
      </c>
      <c r="BR418">
        <f t="shared" si="118"/>
        <v>0</v>
      </c>
      <c r="BS418">
        <f t="shared" si="119"/>
        <v>0</v>
      </c>
      <c r="BT418">
        <f t="shared" si="120"/>
        <v>0</v>
      </c>
      <c r="BU418">
        <f t="shared" si="121"/>
        <v>0</v>
      </c>
      <c r="BV418">
        <f t="shared" si="122"/>
        <v>0</v>
      </c>
      <c r="BW418">
        <f t="shared" si="123"/>
        <v>0</v>
      </c>
      <c r="CA418" t="str">
        <f>IF(219&gt;ROWS(DGArchive[模组]),"",IF(INDEX(DGArchive[模组],219)="","",INDEX(DGArchive[模组],219)))</f>
        <v/>
      </c>
      <c r="CB418" t="str">
        <f>IF(219&gt;ROWS(DGArchive[阶段]),"",IF(INDEX(DGArchive[阶段],219)="","",INDEX(DGArchive[阶段],219)))</f>
        <v/>
      </c>
      <c r="CC418" t="str">
        <f>IF(219&gt;ROWS(DGArchive[游戏内日期]),"",IF(INDEX(DGArchive[游戏内日期],219)="","",INDEX(DGArchive[游戏内日期],219)))</f>
        <v/>
      </c>
      <c r="CD418" t="str">
        <f>IF(219&gt;ROWS(DGArchive[目标]),"",IF(INDEX(DGArchive[目标],219)="","",INDEX(DGArchive[目标],219)))</f>
        <v/>
      </c>
      <c r="CE418" t="str">
        <f>IF(219&gt;ROWS(DGArchive[变更前]),"",IF(INDEX(DGArchive[变更前],219)="","",INDEX(DGArchive[变更前],219)))</f>
        <v/>
      </c>
      <c r="CF418" t="str">
        <f>IF(219&gt;ROWS(DGArchive[增减]),"",IF(INDEX(DGArchive[增减],219)="","",INDEX(DGArchive[增减],219)))</f>
        <v/>
      </c>
      <c r="CG418" t="str">
        <f>IF(219&gt;ROWS(DGArchive[变更后]),"",IF(INDEX(DGArchive[变更后],219)="","",INDEX(DGArchive[变更后],219)))</f>
        <v/>
      </c>
      <c r="CH418" t="str">
        <f>IF(219&gt;ROWS(DGArchive[事件／活动]),"",IF(INDEX(DGArchive[事件／活动],219)="","",INDEX(DGArchive[事件／活动],219)))</f>
        <v/>
      </c>
      <c r="CI418" t="str">
        <f>IF(219&gt;ROWS(DGArchive[记录编号]),"",IF(INDEX(DGArchive[记录编号],219)="","",INDEX(DGArchive[记录编号],219)))</f>
        <v/>
      </c>
      <c r="CL418">
        <f t="shared" si="104"/>
        <v>0</v>
      </c>
      <c r="CM418">
        <f>IF(AND(A418=$AO$5,B418=$AQ$3,H418=1),COUNTIFS($A$200:A418,$AO$5,$B$200:B418,$AQ$3,$H$200:H418,1),0)</f>
        <v>0</v>
      </c>
      <c r="CN418">
        <f>IF(CA418="",219,1001)</f>
        <v>219</v>
      </c>
      <c r="GA418">
        <f t="shared" si="124"/>
        <v>0</v>
      </c>
      <c r="GB418">
        <f t="shared" si="125"/>
        <v>0</v>
      </c>
      <c r="GC418">
        <f>IF(AND(C418="事件记录",H418=1),COUNTIFS($C$200:C418,"事件记录",$H$200:H418,1),0)</f>
        <v>0</v>
      </c>
      <c r="GD418">
        <f t="shared" si="105"/>
        <v>0</v>
      </c>
      <c r="GH418">
        <f>IF(AND(H418=1,A418=$GA$10,B418=$GA$11),COUNTIFS($A$200:A418,$GA$10,$B$200:B418,$GA$11,$H$200:H418,1),0)</f>
        <v>0</v>
      </c>
    </row>
    <row r="419" spans="1:190">
      <c r="A419" t="str">
        <f t="shared" si="96"/>
        <v/>
      </c>
      <c r="B419" t="str">
        <f t="shared" si="97"/>
        <v/>
      </c>
      <c r="C419" t="str">
        <f t="shared" si="98"/>
        <v/>
      </c>
      <c r="D419" t="str">
        <f t="shared" si="99"/>
        <v/>
      </c>
      <c r="E419">
        <f t="shared" si="100"/>
        <v>0</v>
      </c>
      <c r="F419" t="str">
        <f t="shared" si="101"/>
        <v/>
      </c>
      <c r="G419">
        <f t="shared" si="102"/>
        <v>0</v>
      </c>
      <c r="H419">
        <f>IF(AND(G419=1,COUNTIFS($I$200:I419,I419,$G$200:G419,1)=1),1,0)</f>
        <v>0</v>
      </c>
      <c r="I419" t="str">
        <f t="shared" si="103"/>
        <v/>
      </c>
      <c r="BF419">
        <f t="shared" si="106"/>
        <v>0</v>
      </c>
      <c r="BG419">
        <f t="shared" si="107"/>
        <v>0</v>
      </c>
      <c r="BH419">
        <f t="shared" si="108"/>
        <v>0</v>
      </c>
      <c r="BI419">
        <f t="shared" si="109"/>
        <v>0</v>
      </c>
      <c r="BJ419">
        <f t="shared" si="110"/>
        <v>0</v>
      </c>
      <c r="BK419">
        <f t="shared" si="111"/>
        <v>0</v>
      </c>
      <c r="BL419">
        <f t="shared" si="112"/>
        <v>0</v>
      </c>
      <c r="BM419">
        <f t="shared" si="113"/>
        <v>0</v>
      </c>
      <c r="BN419">
        <f t="shared" si="114"/>
        <v>0</v>
      </c>
      <c r="BO419">
        <f t="shared" si="115"/>
        <v>0</v>
      </c>
      <c r="BP419">
        <f t="shared" si="116"/>
        <v>0</v>
      </c>
      <c r="BQ419">
        <f t="shared" si="117"/>
        <v>0</v>
      </c>
      <c r="BR419">
        <f t="shared" si="118"/>
        <v>0</v>
      </c>
      <c r="BS419">
        <f t="shared" si="119"/>
        <v>0</v>
      </c>
      <c r="BT419">
        <f t="shared" si="120"/>
        <v>0</v>
      </c>
      <c r="BU419">
        <f t="shared" si="121"/>
        <v>0</v>
      </c>
      <c r="BV419">
        <f t="shared" si="122"/>
        <v>0</v>
      </c>
      <c r="BW419">
        <f t="shared" si="123"/>
        <v>0</v>
      </c>
      <c r="CA419" t="str">
        <f>IF(220&gt;ROWS(DGArchive[模组]),"",IF(INDEX(DGArchive[模组],220)="","",INDEX(DGArchive[模组],220)))</f>
        <v/>
      </c>
      <c r="CB419" t="str">
        <f>IF(220&gt;ROWS(DGArchive[阶段]),"",IF(INDEX(DGArchive[阶段],220)="","",INDEX(DGArchive[阶段],220)))</f>
        <v/>
      </c>
      <c r="CC419" t="str">
        <f>IF(220&gt;ROWS(DGArchive[游戏内日期]),"",IF(INDEX(DGArchive[游戏内日期],220)="","",INDEX(DGArchive[游戏内日期],220)))</f>
        <v/>
      </c>
      <c r="CD419" t="str">
        <f>IF(220&gt;ROWS(DGArchive[目标]),"",IF(INDEX(DGArchive[目标],220)="","",INDEX(DGArchive[目标],220)))</f>
        <v/>
      </c>
      <c r="CE419" t="str">
        <f>IF(220&gt;ROWS(DGArchive[变更前]),"",IF(INDEX(DGArchive[变更前],220)="","",INDEX(DGArchive[变更前],220)))</f>
        <v/>
      </c>
      <c r="CF419" t="str">
        <f>IF(220&gt;ROWS(DGArchive[增减]),"",IF(INDEX(DGArchive[增减],220)="","",INDEX(DGArchive[增减],220)))</f>
        <v/>
      </c>
      <c r="CG419" t="str">
        <f>IF(220&gt;ROWS(DGArchive[变更后]),"",IF(INDEX(DGArchive[变更后],220)="","",INDEX(DGArchive[变更后],220)))</f>
        <v/>
      </c>
      <c r="CH419" t="str">
        <f>IF(220&gt;ROWS(DGArchive[事件／活动]),"",IF(INDEX(DGArchive[事件／活动],220)="","",INDEX(DGArchive[事件／活动],220)))</f>
        <v/>
      </c>
      <c r="CI419" t="str">
        <f>IF(220&gt;ROWS(DGArchive[记录编号]),"",IF(INDEX(DGArchive[记录编号],220)="","",INDEX(DGArchive[记录编号],220)))</f>
        <v/>
      </c>
      <c r="CL419">
        <f t="shared" si="104"/>
        <v>0</v>
      </c>
      <c r="CM419">
        <f>IF(AND(A419=$AO$5,B419=$AQ$3,H419=1),COUNTIFS($A$200:A419,$AO$5,$B$200:B419,$AQ$3,$H$200:H419,1),0)</f>
        <v>0</v>
      </c>
      <c r="CN419">
        <f>IF(CA419="",220,1001)</f>
        <v>220</v>
      </c>
      <c r="GA419">
        <f t="shared" si="124"/>
        <v>0</v>
      </c>
      <c r="GB419">
        <f t="shared" si="125"/>
        <v>0</v>
      </c>
      <c r="GC419">
        <f>IF(AND(C419="事件记录",H419=1),COUNTIFS($C$200:C419,"事件记录",$H$200:H419,1),0)</f>
        <v>0</v>
      </c>
      <c r="GD419">
        <f t="shared" si="105"/>
        <v>0</v>
      </c>
      <c r="GH419">
        <f>IF(AND(H419=1,A419=$GA$10,B419=$GA$11),COUNTIFS($A$200:A419,$GA$10,$B$200:B419,$GA$11,$H$200:H419,1),0)</f>
        <v>0</v>
      </c>
    </row>
    <row r="420" spans="1:190">
      <c r="A420" t="str">
        <f t="shared" si="96"/>
        <v/>
      </c>
      <c r="B420" t="str">
        <f t="shared" si="97"/>
        <v/>
      </c>
      <c r="C420" t="str">
        <f t="shared" si="98"/>
        <v/>
      </c>
      <c r="D420" t="str">
        <f t="shared" si="99"/>
        <v/>
      </c>
      <c r="E420">
        <f t="shared" si="100"/>
        <v>0</v>
      </c>
      <c r="F420" t="str">
        <f t="shared" si="101"/>
        <v/>
      </c>
      <c r="G420">
        <f t="shared" si="102"/>
        <v>0</v>
      </c>
      <c r="H420">
        <f>IF(AND(G420=1,COUNTIFS($I$200:I420,I420,$G$200:G420,1)=1),1,0)</f>
        <v>0</v>
      </c>
      <c r="I420" t="str">
        <f t="shared" si="103"/>
        <v/>
      </c>
      <c r="BF420">
        <f t="shared" si="106"/>
        <v>0</v>
      </c>
      <c r="BG420">
        <f t="shared" si="107"/>
        <v>0</v>
      </c>
      <c r="BH420">
        <f t="shared" si="108"/>
        <v>0</v>
      </c>
      <c r="BI420">
        <f t="shared" si="109"/>
        <v>0</v>
      </c>
      <c r="BJ420">
        <f t="shared" si="110"/>
        <v>0</v>
      </c>
      <c r="BK420">
        <f t="shared" si="111"/>
        <v>0</v>
      </c>
      <c r="BL420">
        <f t="shared" si="112"/>
        <v>0</v>
      </c>
      <c r="BM420">
        <f t="shared" si="113"/>
        <v>0</v>
      </c>
      <c r="BN420">
        <f t="shared" si="114"/>
        <v>0</v>
      </c>
      <c r="BO420">
        <f t="shared" si="115"/>
        <v>0</v>
      </c>
      <c r="BP420">
        <f t="shared" si="116"/>
        <v>0</v>
      </c>
      <c r="BQ420">
        <f t="shared" si="117"/>
        <v>0</v>
      </c>
      <c r="BR420">
        <f t="shared" si="118"/>
        <v>0</v>
      </c>
      <c r="BS420">
        <f t="shared" si="119"/>
        <v>0</v>
      </c>
      <c r="BT420">
        <f t="shared" si="120"/>
        <v>0</v>
      </c>
      <c r="BU420">
        <f t="shared" si="121"/>
        <v>0</v>
      </c>
      <c r="BV420">
        <f t="shared" si="122"/>
        <v>0</v>
      </c>
      <c r="BW420">
        <f t="shared" si="123"/>
        <v>0</v>
      </c>
      <c r="CA420" t="str">
        <f>IF(221&gt;ROWS(DGArchive[模组]),"",IF(INDEX(DGArchive[模组],221)="","",INDEX(DGArchive[模组],221)))</f>
        <v/>
      </c>
      <c r="CB420" t="str">
        <f>IF(221&gt;ROWS(DGArchive[阶段]),"",IF(INDEX(DGArchive[阶段],221)="","",INDEX(DGArchive[阶段],221)))</f>
        <v/>
      </c>
      <c r="CC420" t="str">
        <f>IF(221&gt;ROWS(DGArchive[游戏内日期]),"",IF(INDEX(DGArchive[游戏内日期],221)="","",INDEX(DGArchive[游戏内日期],221)))</f>
        <v/>
      </c>
      <c r="CD420" t="str">
        <f>IF(221&gt;ROWS(DGArchive[目标]),"",IF(INDEX(DGArchive[目标],221)="","",INDEX(DGArchive[目标],221)))</f>
        <v/>
      </c>
      <c r="CE420" t="str">
        <f>IF(221&gt;ROWS(DGArchive[变更前]),"",IF(INDEX(DGArchive[变更前],221)="","",INDEX(DGArchive[变更前],221)))</f>
        <v/>
      </c>
      <c r="CF420" t="str">
        <f>IF(221&gt;ROWS(DGArchive[增减]),"",IF(INDEX(DGArchive[增减],221)="","",INDEX(DGArchive[增减],221)))</f>
        <v/>
      </c>
      <c r="CG420" t="str">
        <f>IF(221&gt;ROWS(DGArchive[变更后]),"",IF(INDEX(DGArchive[变更后],221)="","",INDEX(DGArchive[变更后],221)))</f>
        <v/>
      </c>
      <c r="CH420" t="str">
        <f>IF(221&gt;ROWS(DGArchive[事件／活动]),"",IF(INDEX(DGArchive[事件／活动],221)="","",INDEX(DGArchive[事件／活动],221)))</f>
        <v/>
      </c>
      <c r="CI420" t="str">
        <f>IF(221&gt;ROWS(DGArchive[记录编号]),"",IF(INDEX(DGArchive[记录编号],221)="","",INDEX(DGArchive[记录编号],221)))</f>
        <v/>
      </c>
      <c r="CL420">
        <f t="shared" si="104"/>
        <v>0</v>
      </c>
      <c r="CM420">
        <f>IF(AND(A420=$AO$5,B420=$AQ$3,H420=1),COUNTIFS($A$200:A420,$AO$5,$B$200:B420,$AQ$3,$H$200:H420,1),0)</f>
        <v>0</v>
      </c>
      <c r="CN420">
        <f>IF(CA420="",221,1001)</f>
        <v>221</v>
      </c>
      <c r="GA420">
        <f t="shared" si="124"/>
        <v>0</v>
      </c>
      <c r="GB420">
        <f t="shared" si="125"/>
        <v>0</v>
      </c>
      <c r="GC420">
        <f>IF(AND(C420="事件记录",H420=1),COUNTIFS($C$200:C420,"事件记录",$H$200:H420,1),0)</f>
        <v>0</v>
      </c>
      <c r="GD420">
        <f t="shared" si="105"/>
        <v>0</v>
      </c>
      <c r="GH420">
        <f>IF(AND(H420=1,A420=$GA$10,B420=$GA$11),COUNTIFS($A$200:A420,$GA$10,$B$200:B420,$GA$11,$H$200:H420,1),0)</f>
        <v>0</v>
      </c>
    </row>
    <row r="421" spans="1:190">
      <c r="A421" t="str">
        <f t="shared" si="96"/>
        <v/>
      </c>
      <c r="B421" t="str">
        <f t="shared" si="97"/>
        <v/>
      </c>
      <c r="C421" t="str">
        <f t="shared" si="98"/>
        <v/>
      </c>
      <c r="D421" t="str">
        <f t="shared" si="99"/>
        <v/>
      </c>
      <c r="E421">
        <f t="shared" si="100"/>
        <v>0</v>
      </c>
      <c r="F421" t="str">
        <f t="shared" si="101"/>
        <v/>
      </c>
      <c r="G421">
        <f t="shared" si="102"/>
        <v>0</v>
      </c>
      <c r="H421">
        <f>IF(AND(G421=1,COUNTIFS($I$200:I421,I421,$G$200:G421,1)=1),1,0)</f>
        <v>0</v>
      </c>
      <c r="I421" t="str">
        <f t="shared" si="103"/>
        <v/>
      </c>
      <c r="BF421">
        <f t="shared" si="106"/>
        <v>0</v>
      </c>
      <c r="BG421">
        <f t="shared" si="107"/>
        <v>0</v>
      </c>
      <c r="BH421">
        <f t="shared" si="108"/>
        <v>0</v>
      </c>
      <c r="BI421">
        <f t="shared" si="109"/>
        <v>0</v>
      </c>
      <c r="BJ421">
        <f t="shared" si="110"/>
        <v>0</v>
      </c>
      <c r="BK421">
        <f t="shared" si="111"/>
        <v>0</v>
      </c>
      <c r="BL421">
        <f t="shared" si="112"/>
        <v>0</v>
      </c>
      <c r="BM421">
        <f t="shared" si="113"/>
        <v>0</v>
      </c>
      <c r="BN421">
        <f t="shared" si="114"/>
        <v>0</v>
      </c>
      <c r="BO421">
        <f t="shared" si="115"/>
        <v>0</v>
      </c>
      <c r="BP421">
        <f t="shared" si="116"/>
        <v>0</v>
      </c>
      <c r="BQ421">
        <f t="shared" si="117"/>
        <v>0</v>
      </c>
      <c r="BR421">
        <f t="shared" si="118"/>
        <v>0</v>
      </c>
      <c r="BS421">
        <f t="shared" si="119"/>
        <v>0</v>
      </c>
      <c r="BT421">
        <f t="shared" si="120"/>
        <v>0</v>
      </c>
      <c r="BU421">
        <f t="shared" si="121"/>
        <v>0</v>
      </c>
      <c r="BV421">
        <f t="shared" si="122"/>
        <v>0</v>
      </c>
      <c r="BW421">
        <f t="shared" si="123"/>
        <v>0</v>
      </c>
      <c r="CA421" t="str">
        <f>IF(222&gt;ROWS(DGArchive[模组]),"",IF(INDEX(DGArchive[模组],222)="","",INDEX(DGArchive[模组],222)))</f>
        <v/>
      </c>
      <c r="CB421" t="str">
        <f>IF(222&gt;ROWS(DGArchive[阶段]),"",IF(INDEX(DGArchive[阶段],222)="","",INDEX(DGArchive[阶段],222)))</f>
        <v/>
      </c>
      <c r="CC421" t="str">
        <f>IF(222&gt;ROWS(DGArchive[游戏内日期]),"",IF(INDEX(DGArchive[游戏内日期],222)="","",INDEX(DGArchive[游戏内日期],222)))</f>
        <v/>
      </c>
      <c r="CD421" t="str">
        <f>IF(222&gt;ROWS(DGArchive[目标]),"",IF(INDEX(DGArchive[目标],222)="","",INDEX(DGArchive[目标],222)))</f>
        <v/>
      </c>
      <c r="CE421" t="str">
        <f>IF(222&gt;ROWS(DGArchive[变更前]),"",IF(INDEX(DGArchive[变更前],222)="","",INDEX(DGArchive[变更前],222)))</f>
        <v/>
      </c>
      <c r="CF421" t="str">
        <f>IF(222&gt;ROWS(DGArchive[增减]),"",IF(INDEX(DGArchive[增减],222)="","",INDEX(DGArchive[增减],222)))</f>
        <v/>
      </c>
      <c r="CG421" t="str">
        <f>IF(222&gt;ROWS(DGArchive[变更后]),"",IF(INDEX(DGArchive[变更后],222)="","",INDEX(DGArchive[变更后],222)))</f>
        <v/>
      </c>
      <c r="CH421" t="str">
        <f>IF(222&gt;ROWS(DGArchive[事件／活动]),"",IF(INDEX(DGArchive[事件／活动],222)="","",INDEX(DGArchive[事件／活动],222)))</f>
        <v/>
      </c>
      <c r="CI421" t="str">
        <f>IF(222&gt;ROWS(DGArchive[记录编号]),"",IF(INDEX(DGArchive[记录编号],222)="","",INDEX(DGArchive[记录编号],222)))</f>
        <v/>
      </c>
      <c r="CL421">
        <f t="shared" si="104"/>
        <v>0</v>
      </c>
      <c r="CM421">
        <f>IF(AND(A421=$AO$5,B421=$AQ$3,H421=1),COUNTIFS($A$200:A421,$AO$5,$B$200:B421,$AQ$3,$H$200:H421,1),0)</f>
        <v>0</v>
      </c>
      <c r="CN421">
        <f>IF(CA421="",222,1001)</f>
        <v>222</v>
      </c>
      <c r="GA421">
        <f t="shared" si="124"/>
        <v>0</v>
      </c>
      <c r="GB421">
        <f t="shared" si="125"/>
        <v>0</v>
      </c>
      <c r="GC421">
        <f>IF(AND(C421="事件记录",H421=1),COUNTIFS($C$200:C421,"事件记录",$H$200:H421,1),0)</f>
        <v>0</v>
      </c>
      <c r="GD421">
        <f t="shared" si="105"/>
        <v>0</v>
      </c>
      <c r="GH421">
        <f>IF(AND(H421=1,A421=$GA$10,B421=$GA$11),COUNTIFS($A$200:A421,$GA$10,$B$200:B421,$GA$11,$H$200:H421,1),0)</f>
        <v>0</v>
      </c>
    </row>
    <row r="422" spans="1:190">
      <c r="A422" t="str">
        <f t="shared" si="96"/>
        <v/>
      </c>
      <c r="B422" t="str">
        <f t="shared" si="97"/>
        <v/>
      </c>
      <c r="C422" t="str">
        <f t="shared" si="98"/>
        <v/>
      </c>
      <c r="D422" t="str">
        <f t="shared" si="99"/>
        <v/>
      </c>
      <c r="E422">
        <f t="shared" si="100"/>
        <v>0</v>
      </c>
      <c r="F422" t="str">
        <f t="shared" si="101"/>
        <v/>
      </c>
      <c r="G422">
        <f t="shared" si="102"/>
        <v>0</v>
      </c>
      <c r="H422">
        <f>IF(AND(G422=1,COUNTIFS($I$200:I422,I422,$G$200:G422,1)=1),1,0)</f>
        <v>0</v>
      </c>
      <c r="I422" t="str">
        <f t="shared" si="103"/>
        <v/>
      </c>
      <c r="BF422">
        <f t="shared" si="106"/>
        <v>0</v>
      </c>
      <c r="BG422">
        <f t="shared" si="107"/>
        <v>0</v>
      </c>
      <c r="BH422">
        <f t="shared" si="108"/>
        <v>0</v>
      </c>
      <c r="BI422">
        <f t="shared" si="109"/>
        <v>0</v>
      </c>
      <c r="BJ422">
        <f t="shared" si="110"/>
        <v>0</v>
      </c>
      <c r="BK422">
        <f t="shared" si="111"/>
        <v>0</v>
      </c>
      <c r="BL422">
        <f t="shared" si="112"/>
        <v>0</v>
      </c>
      <c r="BM422">
        <f t="shared" si="113"/>
        <v>0</v>
      </c>
      <c r="BN422">
        <f t="shared" si="114"/>
        <v>0</v>
      </c>
      <c r="BO422">
        <f t="shared" si="115"/>
        <v>0</v>
      </c>
      <c r="BP422">
        <f t="shared" si="116"/>
        <v>0</v>
      </c>
      <c r="BQ422">
        <f t="shared" si="117"/>
        <v>0</v>
      </c>
      <c r="BR422">
        <f t="shared" si="118"/>
        <v>0</v>
      </c>
      <c r="BS422">
        <f t="shared" si="119"/>
        <v>0</v>
      </c>
      <c r="BT422">
        <f t="shared" si="120"/>
        <v>0</v>
      </c>
      <c r="BU422">
        <f t="shared" si="121"/>
        <v>0</v>
      </c>
      <c r="BV422">
        <f t="shared" si="122"/>
        <v>0</v>
      </c>
      <c r="BW422">
        <f t="shared" si="123"/>
        <v>0</v>
      </c>
      <c r="CA422" t="str">
        <f>IF(223&gt;ROWS(DGArchive[模组]),"",IF(INDEX(DGArchive[模组],223)="","",INDEX(DGArchive[模组],223)))</f>
        <v/>
      </c>
      <c r="CB422" t="str">
        <f>IF(223&gt;ROWS(DGArchive[阶段]),"",IF(INDEX(DGArchive[阶段],223)="","",INDEX(DGArchive[阶段],223)))</f>
        <v/>
      </c>
      <c r="CC422" t="str">
        <f>IF(223&gt;ROWS(DGArchive[游戏内日期]),"",IF(INDEX(DGArchive[游戏内日期],223)="","",INDEX(DGArchive[游戏内日期],223)))</f>
        <v/>
      </c>
      <c r="CD422" t="str">
        <f>IF(223&gt;ROWS(DGArchive[目标]),"",IF(INDEX(DGArchive[目标],223)="","",INDEX(DGArchive[目标],223)))</f>
        <v/>
      </c>
      <c r="CE422" t="str">
        <f>IF(223&gt;ROWS(DGArchive[变更前]),"",IF(INDEX(DGArchive[变更前],223)="","",INDEX(DGArchive[变更前],223)))</f>
        <v/>
      </c>
      <c r="CF422" t="str">
        <f>IF(223&gt;ROWS(DGArchive[增减]),"",IF(INDEX(DGArchive[增减],223)="","",INDEX(DGArchive[增减],223)))</f>
        <v/>
      </c>
      <c r="CG422" t="str">
        <f>IF(223&gt;ROWS(DGArchive[变更后]),"",IF(INDEX(DGArchive[变更后],223)="","",INDEX(DGArchive[变更后],223)))</f>
        <v/>
      </c>
      <c r="CH422" t="str">
        <f>IF(223&gt;ROWS(DGArchive[事件／活动]),"",IF(INDEX(DGArchive[事件／活动],223)="","",INDEX(DGArchive[事件／活动],223)))</f>
        <v/>
      </c>
      <c r="CI422" t="str">
        <f>IF(223&gt;ROWS(DGArchive[记录编号]),"",IF(INDEX(DGArchive[记录编号],223)="","",INDEX(DGArchive[记录编号],223)))</f>
        <v/>
      </c>
      <c r="CL422">
        <f t="shared" si="104"/>
        <v>0</v>
      </c>
      <c r="CM422">
        <f>IF(AND(A422=$AO$5,B422=$AQ$3,H422=1),COUNTIFS($A$200:A422,$AO$5,$B$200:B422,$AQ$3,$H$200:H422,1),0)</f>
        <v>0</v>
      </c>
      <c r="CN422">
        <f>IF(CA422="",223,1001)</f>
        <v>223</v>
      </c>
      <c r="GA422">
        <f t="shared" si="124"/>
        <v>0</v>
      </c>
      <c r="GB422">
        <f t="shared" si="125"/>
        <v>0</v>
      </c>
      <c r="GC422">
        <f>IF(AND(C422="事件记录",H422=1),COUNTIFS($C$200:C422,"事件记录",$H$200:H422,1),0)</f>
        <v>0</v>
      </c>
      <c r="GD422">
        <f t="shared" si="105"/>
        <v>0</v>
      </c>
      <c r="GH422">
        <f>IF(AND(H422=1,A422=$GA$10,B422=$GA$11),COUNTIFS($A$200:A422,$GA$10,$B$200:B422,$GA$11,$H$200:H422,1),0)</f>
        <v>0</v>
      </c>
    </row>
    <row r="423" spans="1:190">
      <c r="A423" t="str">
        <f t="shared" si="96"/>
        <v/>
      </c>
      <c r="B423" t="str">
        <f t="shared" si="97"/>
        <v/>
      </c>
      <c r="C423" t="str">
        <f t="shared" si="98"/>
        <v/>
      </c>
      <c r="D423" t="str">
        <f t="shared" si="99"/>
        <v/>
      </c>
      <c r="E423">
        <f t="shared" si="100"/>
        <v>0</v>
      </c>
      <c r="F423" t="str">
        <f t="shared" si="101"/>
        <v/>
      </c>
      <c r="G423">
        <f t="shared" si="102"/>
        <v>0</v>
      </c>
      <c r="H423">
        <f>IF(AND(G423=1,COUNTIFS($I$200:I423,I423,$G$200:G423,1)=1),1,0)</f>
        <v>0</v>
      </c>
      <c r="I423" t="str">
        <f t="shared" si="103"/>
        <v/>
      </c>
      <c r="BF423">
        <f t="shared" si="106"/>
        <v>0</v>
      </c>
      <c r="BG423">
        <f t="shared" si="107"/>
        <v>0</v>
      </c>
      <c r="BH423">
        <f t="shared" si="108"/>
        <v>0</v>
      </c>
      <c r="BI423">
        <f t="shared" si="109"/>
        <v>0</v>
      </c>
      <c r="BJ423">
        <f t="shared" si="110"/>
        <v>0</v>
      </c>
      <c r="BK423">
        <f t="shared" si="111"/>
        <v>0</v>
      </c>
      <c r="BL423">
        <f t="shared" si="112"/>
        <v>0</v>
      </c>
      <c r="BM423">
        <f t="shared" si="113"/>
        <v>0</v>
      </c>
      <c r="BN423">
        <f t="shared" si="114"/>
        <v>0</v>
      </c>
      <c r="BO423">
        <f t="shared" si="115"/>
        <v>0</v>
      </c>
      <c r="BP423">
        <f t="shared" si="116"/>
        <v>0</v>
      </c>
      <c r="BQ423">
        <f t="shared" si="117"/>
        <v>0</v>
      </c>
      <c r="BR423">
        <f t="shared" si="118"/>
        <v>0</v>
      </c>
      <c r="BS423">
        <f t="shared" si="119"/>
        <v>0</v>
      </c>
      <c r="BT423">
        <f t="shared" si="120"/>
        <v>0</v>
      </c>
      <c r="BU423">
        <f t="shared" si="121"/>
        <v>0</v>
      </c>
      <c r="BV423">
        <f t="shared" si="122"/>
        <v>0</v>
      </c>
      <c r="BW423">
        <f t="shared" si="123"/>
        <v>0</v>
      </c>
      <c r="CA423" t="str">
        <f>IF(224&gt;ROWS(DGArchive[模组]),"",IF(INDEX(DGArchive[模组],224)="","",INDEX(DGArchive[模组],224)))</f>
        <v/>
      </c>
      <c r="CB423" t="str">
        <f>IF(224&gt;ROWS(DGArchive[阶段]),"",IF(INDEX(DGArchive[阶段],224)="","",INDEX(DGArchive[阶段],224)))</f>
        <v/>
      </c>
      <c r="CC423" t="str">
        <f>IF(224&gt;ROWS(DGArchive[游戏内日期]),"",IF(INDEX(DGArchive[游戏内日期],224)="","",INDEX(DGArchive[游戏内日期],224)))</f>
        <v/>
      </c>
      <c r="CD423" t="str">
        <f>IF(224&gt;ROWS(DGArchive[目标]),"",IF(INDEX(DGArchive[目标],224)="","",INDEX(DGArchive[目标],224)))</f>
        <v/>
      </c>
      <c r="CE423" t="str">
        <f>IF(224&gt;ROWS(DGArchive[变更前]),"",IF(INDEX(DGArchive[变更前],224)="","",INDEX(DGArchive[变更前],224)))</f>
        <v/>
      </c>
      <c r="CF423" t="str">
        <f>IF(224&gt;ROWS(DGArchive[增减]),"",IF(INDEX(DGArchive[增减],224)="","",INDEX(DGArchive[增减],224)))</f>
        <v/>
      </c>
      <c r="CG423" t="str">
        <f>IF(224&gt;ROWS(DGArchive[变更后]),"",IF(INDEX(DGArchive[变更后],224)="","",INDEX(DGArchive[变更后],224)))</f>
        <v/>
      </c>
      <c r="CH423" t="str">
        <f>IF(224&gt;ROWS(DGArchive[事件／活动]),"",IF(INDEX(DGArchive[事件／活动],224)="","",INDEX(DGArchive[事件／活动],224)))</f>
        <v/>
      </c>
      <c r="CI423" t="str">
        <f>IF(224&gt;ROWS(DGArchive[记录编号]),"",IF(INDEX(DGArchive[记录编号],224)="","",INDEX(DGArchive[记录编号],224)))</f>
        <v/>
      </c>
      <c r="CL423">
        <f t="shared" si="104"/>
        <v>0</v>
      </c>
      <c r="CM423">
        <f>IF(AND(A423=$AO$5,B423=$AQ$3,H423=1),COUNTIFS($A$200:A423,$AO$5,$B$200:B423,$AQ$3,$H$200:H423,1),0)</f>
        <v>0</v>
      </c>
      <c r="CN423">
        <f>IF(CA423="",224,1001)</f>
        <v>224</v>
      </c>
      <c r="GA423">
        <f t="shared" si="124"/>
        <v>0</v>
      </c>
      <c r="GB423">
        <f t="shared" si="125"/>
        <v>0</v>
      </c>
      <c r="GC423">
        <f>IF(AND(C423="事件记录",H423=1),COUNTIFS($C$200:C423,"事件记录",$H$200:H423,1),0)</f>
        <v>0</v>
      </c>
      <c r="GD423">
        <f t="shared" si="105"/>
        <v>0</v>
      </c>
      <c r="GH423">
        <f>IF(AND(H423=1,A423=$GA$10,B423=$GA$11),COUNTIFS($A$200:A423,$GA$10,$B$200:B423,$GA$11,$H$200:H423,1),0)</f>
        <v>0</v>
      </c>
    </row>
    <row r="424" spans="1:190">
      <c r="A424" t="str">
        <f t="shared" si="96"/>
        <v/>
      </c>
      <c r="B424" t="str">
        <f t="shared" si="97"/>
        <v/>
      </c>
      <c r="C424" t="str">
        <f t="shared" si="98"/>
        <v/>
      </c>
      <c r="D424" t="str">
        <f t="shared" si="99"/>
        <v/>
      </c>
      <c r="E424">
        <f t="shared" si="100"/>
        <v>0</v>
      </c>
      <c r="F424" t="str">
        <f t="shared" si="101"/>
        <v/>
      </c>
      <c r="G424">
        <f t="shared" si="102"/>
        <v>0</v>
      </c>
      <c r="H424">
        <f>IF(AND(G424=1,COUNTIFS($I$200:I424,I424,$G$200:G424,1)=1),1,0)</f>
        <v>0</v>
      </c>
      <c r="I424" t="str">
        <f t="shared" si="103"/>
        <v/>
      </c>
      <c r="BF424">
        <f t="shared" si="106"/>
        <v>0</v>
      </c>
      <c r="BG424">
        <f t="shared" si="107"/>
        <v>0</v>
      </c>
      <c r="BH424">
        <f t="shared" si="108"/>
        <v>0</v>
      </c>
      <c r="BI424">
        <f t="shared" si="109"/>
        <v>0</v>
      </c>
      <c r="BJ424">
        <f t="shared" si="110"/>
        <v>0</v>
      </c>
      <c r="BK424">
        <f t="shared" si="111"/>
        <v>0</v>
      </c>
      <c r="BL424">
        <f t="shared" si="112"/>
        <v>0</v>
      </c>
      <c r="BM424">
        <f t="shared" si="113"/>
        <v>0</v>
      </c>
      <c r="BN424">
        <f t="shared" si="114"/>
        <v>0</v>
      </c>
      <c r="BO424">
        <f t="shared" si="115"/>
        <v>0</v>
      </c>
      <c r="BP424">
        <f t="shared" si="116"/>
        <v>0</v>
      </c>
      <c r="BQ424">
        <f t="shared" si="117"/>
        <v>0</v>
      </c>
      <c r="BR424">
        <f t="shared" si="118"/>
        <v>0</v>
      </c>
      <c r="BS424">
        <f t="shared" si="119"/>
        <v>0</v>
      </c>
      <c r="BT424">
        <f t="shared" si="120"/>
        <v>0</v>
      </c>
      <c r="BU424">
        <f t="shared" si="121"/>
        <v>0</v>
      </c>
      <c r="BV424">
        <f t="shared" si="122"/>
        <v>0</v>
      </c>
      <c r="BW424">
        <f t="shared" si="123"/>
        <v>0</v>
      </c>
      <c r="CA424" t="str">
        <f>IF(225&gt;ROWS(DGArchive[模组]),"",IF(INDEX(DGArchive[模组],225)="","",INDEX(DGArchive[模组],225)))</f>
        <v/>
      </c>
      <c r="CB424" t="str">
        <f>IF(225&gt;ROWS(DGArchive[阶段]),"",IF(INDEX(DGArchive[阶段],225)="","",INDEX(DGArchive[阶段],225)))</f>
        <v/>
      </c>
      <c r="CC424" t="str">
        <f>IF(225&gt;ROWS(DGArchive[游戏内日期]),"",IF(INDEX(DGArchive[游戏内日期],225)="","",INDEX(DGArchive[游戏内日期],225)))</f>
        <v/>
      </c>
      <c r="CD424" t="str">
        <f>IF(225&gt;ROWS(DGArchive[目标]),"",IF(INDEX(DGArchive[目标],225)="","",INDEX(DGArchive[目标],225)))</f>
        <v/>
      </c>
      <c r="CE424" t="str">
        <f>IF(225&gt;ROWS(DGArchive[变更前]),"",IF(INDEX(DGArchive[变更前],225)="","",INDEX(DGArchive[变更前],225)))</f>
        <v/>
      </c>
      <c r="CF424" t="str">
        <f>IF(225&gt;ROWS(DGArchive[增减]),"",IF(INDEX(DGArchive[增减],225)="","",INDEX(DGArchive[增减],225)))</f>
        <v/>
      </c>
      <c r="CG424" t="str">
        <f>IF(225&gt;ROWS(DGArchive[变更后]),"",IF(INDEX(DGArchive[变更后],225)="","",INDEX(DGArchive[变更后],225)))</f>
        <v/>
      </c>
      <c r="CH424" t="str">
        <f>IF(225&gt;ROWS(DGArchive[事件／活动]),"",IF(INDEX(DGArchive[事件／活动],225)="","",INDEX(DGArchive[事件／活动],225)))</f>
        <v/>
      </c>
      <c r="CI424" t="str">
        <f>IF(225&gt;ROWS(DGArchive[记录编号]),"",IF(INDEX(DGArchive[记录编号],225)="","",INDEX(DGArchive[记录编号],225)))</f>
        <v/>
      </c>
      <c r="CL424">
        <f t="shared" si="104"/>
        <v>0</v>
      </c>
      <c r="CM424">
        <f>IF(AND(A424=$AO$5,B424=$AQ$3,H424=1),COUNTIFS($A$200:A424,$AO$5,$B$200:B424,$AQ$3,$H$200:H424,1),0)</f>
        <v>0</v>
      </c>
      <c r="CN424">
        <f>IF(CA424="",225,1001)</f>
        <v>225</v>
      </c>
      <c r="GA424">
        <f t="shared" si="124"/>
        <v>0</v>
      </c>
      <c r="GB424">
        <f t="shared" si="125"/>
        <v>0</v>
      </c>
      <c r="GC424">
        <f>IF(AND(C424="事件记录",H424=1),COUNTIFS($C$200:C424,"事件记录",$H$200:H424,1),0)</f>
        <v>0</v>
      </c>
      <c r="GD424">
        <f t="shared" si="105"/>
        <v>0</v>
      </c>
      <c r="GH424">
        <f>IF(AND(H424=1,A424=$GA$10,B424=$GA$11),COUNTIFS($A$200:A424,$GA$10,$B$200:B424,$GA$11,$H$200:H424,1),0)</f>
        <v>0</v>
      </c>
    </row>
    <row r="425" spans="1:190">
      <c r="A425" t="str">
        <f t="shared" si="96"/>
        <v/>
      </c>
      <c r="B425" t="str">
        <f t="shared" si="97"/>
        <v/>
      </c>
      <c r="C425" t="str">
        <f t="shared" si="98"/>
        <v/>
      </c>
      <c r="D425" t="str">
        <f t="shared" si="99"/>
        <v/>
      </c>
      <c r="E425">
        <f t="shared" si="100"/>
        <v>0</v>
      </c>
      <c r="F425" t="str">
        <f t="shared" si="101"/>
        <v/>
      </c>
      <c r="G425">
        <f t="shared" si="102"/>
        <v>0</v>
      </c>
      <c r="H425">
        <f>IF(AND(G425=1,COUNTIFS($I$200:I425,I425,$G$200:G425,1)=1),1,0)</f>
        <v>0</v>
      </c>
      <c r="I425" t="str">
        <f t="shared" si="103"/>
        <v/>
      </c>
      <c r="BF425">
        <f t="shared" si="106"/>
        <v>0</v>
      </c>
      <c r="BG425">
        <f t="shared" si="107"/>
        <v>0</v>
      </c>
      <c r="BH425">
        <f t="shared" si="108"/>
        <v>0</v>
      </c>
      <c r="BI425">
        <f t="shared" si="109"/>
        <v>0</v>
      </c>
      <c r="BJ425">
        <f t="shared" si="110"/>
        <v>0</v>
      </c>
      <c r="BK425">
        <f t="shared" si="111"/>
        <v>0</v>
      </c>
      <c r="BL425">
        <f t="shared" si="112"/>
        <v>0</v>
      </c>
      <c r="BM425">
        <f t="shared" si="113"/>
        <v>0</v>
      </c>
      <c r="BN425">
        <f t="shared" si="114"/>
        <v>0</v>
      </c>
      <c r="BO425">
        <f t="shared" si="115"/>
        <v>0</v>
      </c>
      <c r="BP425">
        <f t="shared" si="116"/>
        <v>0</v>
      </c>
      <c r="BQ425">
        <f t="shared" si="117"/>
        <v>0</v>
      </c>
      <c r="BR425">
        <f t="shared" si="118"/>
        <v>0</v>
      </c>
      <c r="BS425">
        <f t="shared" si="119"/>
        <v>0</v>
      </c>
      <c r="BT425">
        <f t="shared" si="120"/>
        <v>0</v>
      </c>
      <c r="BU425">
        <f t="shared" si="121"/>
        <v>0</v>
      </c>
      <c r="BV425">
        <f t="shared" si="122"/>
        <v>0</v>
      </c>
      <c r="BW425">
        <f t="shared" si="123"/>
        <v>0</v>
      </c>
      <c r="CA425" t="str">
        <f>IF(226&gt;ROWS(DGArchive[模组]),"",IF(INDEX(DGArchive[模组],226)="","",INDEX(DGArchive[模组],226)))</f>
        <v/>
      </c>
      <c r="CB425" t="str">
        <f>IF(226&gt;ROWS(DGArchive[阶段]),"",IF(INDEX(DGArchive[阶段],226)="","",INDEX(DGArchive[阶段],226)))</f>
        <v/>
      </c>
      <c r="CC425" t="str">
        <f>IF(226&gt;ROWS(DGArchive[游戏内日期]),"",IF(INDEX(DGArchive[游戏内日期],226)="","",INDEX(DGArchive[游戏内日期],226)))</f>
        <v/>
      </c>
      <c r="CD425" t="str">
        <f>IF(226&gt;ROWS(DGArchive[目标]),"",IF(INDEX(DGArchive[目标],226)="","",INDEX(DGArchive[目标],226)))</f>
        <v/>
      </c>
      <c r="CE425" t="str">
        <f>IF(226&gt;ROWS(DGArchive[变更前]),"",IF(INDEX(DGArchive[变更前],226)="","",INDEX(DGArchive[变更前],226)))</f>
        <v/>
      </c>
      <c r="CF425" t="str">
        <f>IF(226&gt;ROWS(DGArchive[增减]),"",IF(INDEX(DGArchive[增减],226)="","",INDEX(DGArchive[增减],226)))</f>
        <v/>
      </c>
      <c r="CG425" t="str">
        <f>IF(226&gt;ROWS(DGArchive[变更后]),"",IF(INDEX(DGArchive[变更后],226)="","",INDEX(DGArchive[变更后],226)))</f>
        <v/>
      </c>
      <c r="CH425" t="str">
        <f>IF(226&gt;ROWS(DGArchive[事件／活动]),"",IF(INDEX(DGArchive[事件／活动],226)="","",INDEX(DGArchive[事件／活动],226)))</f>
        <v/>
      </c>
      <c r="CI425" t="str">
        <f>IF(226&gt;ROWS(DGArchive[记录编号]),"",IF(INDEX(DGArchive[记录编号],226)="","",INDEX(DGArchive[记录编号],226)))</f>
        <v/>
      </c>
      <c r="CL425">
        <f t="shared" si="104"/>
        <v>0</v>
      </c>
      <c r="CM425">
        <f>IF(AND(A425=$AO$5,B425=$AQ$3,H425=1),COUNTIFS($A$200:A425,$AO$5,$B$200:B425,$AQ$3,$H$200:H425,1),0)</f>
        <v>0</v>
      </c>
      <c r="CN425">
        <f>IF(CA425="",226,1001)</f>
        <v>226</v>
      </c>
      <c r="GA425">
        <f t="shared" si="124"/>
        <v>0</v>
      </c>
      <c r="GB425">
        <f t="shared" si="125"/>
        <v>0</v>
      </c>
      <c r="GC425">
        <f>IF(AND(C425="事件记录",H425=1),COUNTIFS($C$200:C425,"事件记录",$H$200:H425,1),0)</f>
        <v>0</v>
      </c>
      <c r="GD425">
        <f t="shared" si="105"/>
        <v>0</v>
      </c>
      <c r="GH425">
        <f>IF(AND(H425=1,A425=$GA$10,B425=$GA$11),COUNTIFS($A$200:A425,$GA$10,$B$200:B425,$GA$11,$H$200:H425,1),0)</f>
        <v>0</v>
      </c>
    </row>
    <row r="426" spans="1:190">
      <c r="A426" t="str">
        <f t="shared" si="96"/>
        <v/>
      </c>
      <c r="B426" t="str">
        <f t="shared" si="97"/>
        <v/>
      </c>
      <c r="C426" t="str">
        <f t="shared" si="98"/>
        <v/>
      </c>
      <c r="D426" t="str">
        <f t="shared" si="99"/>
        <v/>
      </c>
      <c r="E426">
        <f t="shared" si="100"/>
        <v>0</v>
      </c>
      <c r="F426" t="str">
        <f t="shared" si="101"/>
        <v/>
      </c>
      <c r="G426">
        <f t="shared" si="102"/>
        <v>0</v>
      </c>
      <c r="H426">
        <f>IF(AND(G426=1,COUNTIFS($I$200:I426,I426,$G$200:G426,1)=1),1,0)</f>
        <v>0</v>
      </c>
      <c r="I426" t="str">
        <f t="shared" si="103"/>
        <v/>
      </c>
      <c r="BF426">
        <f t="shared" si="106"/>
        <v>0</v>
      </c>
      <c r="BG426">
        <f t="shared" si="107"/>
        <v>0</v>
      </c>
      <c r="BH426">
        <f t="shared" si="108"/>
        <v>0</v>
      </c>
      <c r="BI426">
        <f t="shared" si="109"/>
        <v>0</v>
      </c>
      <c r="BJ426">
        <f t="shared" si="110"/>
        <v>0</v>
      </c>
      <c r="BK426">
        <f t="shared" si="111"/>
        <v>0</v>
      </c>
      <c r="BL426">
        <f t="shared" si="112"/>
        <v>0</v>
      </c>
      <c r="BM426">
        <f t="shared" si="113"/>
        <v>0</v>
      </c>
      <c r="BN426">
        <f t="shared" si="114"/>
        <v>0</v>
      </c>
      <c r="BO426">
        <f t="shared" si="115"/>
        <v>0</v>
      </c>
      <c r="BP426">
        <f t="shared" si="116"/>
        <v>0</v>
      </c>
      <c r="BQ426">
        <f t="shared" si="117"/>
        <v>0</v>
      </c>
      <c r="BR426">
        <f t="shared" si="118"/>
        <v>0</v>
      </c>
      <c r="BS426">
        <f t="shared" si="119"/>
        <v>0</v>
      </c>
      <c r="BT426">
        <f t="shared" si="120"/>
        <v>0</v>
      </c>
      <c r="BU426">
        <f t="shared" si="121"/>
        <v>0</v>
      </c>
      <c r="BV426">
        <f t="shared" si="122"/>
        <v>0</v>
      </c>
      <c r="BW426">
        <f t="shared" si="123"/>
        <v>0</v>
      </c>
      <c r="CA426" t="str">
        <f>IF(227&gt;ROWS(DGArchive[模组]),"",IF(INDEX(DGArchive[模组],227)="","",INDEX(DGArchive[模组],227)))</f>
        <v/>
      </c>
      <c r="CB426" t="str">
        <f>IF(227&gt;ROWS(DGArchive[阶段]),"",IF(INDEX(DGArchive[阶段],227)="","",INDEX(DGArchive[阶段],227)))</f>
        <v/>
      </c>
      <c r="CC426" t="str">
        <f>IF(227&gt;ROWS(DGArchive[游戏内日期]),"",IF(INDEX(DGArchive[游戏内日期],227)="","",INDEX(DGArchive[游戏内日期],227)))</f>
        <v/>
      </c>
      <c r="CD426" t="str">
        <f>IF(227&gt;ROWS(DGArchive[目标]),"",IF(INDEX(DGArchive[目标],227)="","",INDEX(DGArchive[目标],227)))</f>
        <v/>
      </c>
      <c r="CE426" t="str">
        <f>IF(227&gt;ROWS(DGArchive[变更前]),"",IF(INDEX(DGArchive[变更前],227)="","",INDEX(DGArchive[变更前],227)))</f>
        <v/>
      </c>
      <c r="CF426" t="str">
        <f>IF(227&gt;ROWS(DGArchive[增减]),"",IF(INDEX(DGArchive[增减],227)="","",INDEX(DGArchive[增减],227)))</f>
        <v/>
      </c>
      <c r="CG426" t="str">
        <f>IF(227&gt;ROWS(DGArchive[变更后]),"",IF(INDEX(DGArchive[变更后],227)="","",INDEX(DGArchive[变更后],227)))</f>
        <v/>
      </c>
      <c r="CH426" t="str">
        <f>IF(227&gt;ROWS(DGArchive[事件／活动]),"",IF(INDEX(DGArchive[事件／活动],227)="","",INDEX(DGArchive[事件／活动],227)))</f>
        <v/>
      </c>
      <c r="CI426" t="str">
        <f>IF(227&gt;ROWS(DGArchive[记录编号]),"",IF(INDEX(DGArchive[记录编号],227)="","",INDEX(DGArchive[记录编号],227)))</f>
        <v/>
      </c>
      <c r="CL426">
        <f t="shared" si="104"/>
        <v>0</v>
      </c>
      <c r="CM426">
        <f>IF(AND(A426=$AO$5,B426=$AQ$3,H426=1),COUNTIFS($A$200:A426,$AO$5,$B$200:B426,$AQ$3,$H$200:H426,1),0)</f>
        <v>0</v>
      </c>
      <c r="CN426">
        <f>IF(CA426="",227,1001)</f>
        <v>227</v>
      </c>
      <c r="GA426">
        <f t="shared" si="124"/>
        <v>0</v>
      </c>
      <c r="GB426">
        <f t="shared" si="125"/>
        <v>0</v>
      </c>
      <c r="GC426">
        <f>IF(AND(C426="事件记录",H426=1),COUNTIFS($C$200:C426,"事件记录",$H$200:H426,1),0)</f>
        <v>0</v>
      </c>
      <c r="GD426">
        <f t="shared" si="105"/>
        <v>0</v>
      </c>
      <c r="GH426">
        <f>IF(AND(H426=1,A426=$GA$10,B426=$GA$11),COUNTIFS($A$200:A426,$GA$10,$B$200:B426,$GA$11,$H$200:H426,1),0)</f>
        <v>0</v>
      </c>
    </row>
    <row r="427" spans="1:190">
      <c r="A427" t="str">
        <f t="shared" si="96"/>
        <v/>
      </c>
      <c r="B427" t="str">
        <f t="shared" si="97"/>
        <v/>
      </c>
      <c r="C427" t="str">
        <f t="shared" si="98"/>
        <v/>
      </c>
      <c r="D427" t="str">
        <f t="shared" si="99"/>
        <v/>
      </c>
      <c r="E427">
        <f t="shared" si="100"/>
        <v>0</v>
      </c>
      <c r="F427" t="str">
        <f t="shared" si="101"/>
        <v/>
      </c>
      <c r="G427">
        <f t="shared" si="102"/>
        <v>0</v>
      </c>
      <c r="H427">
        <f>IF(AND(G427=1,COUNTIFS($I$200:I427,I427,$G$200:G427,1)=1),1,0)</f>
        <v>0</v>
      </c>
      <c r="I427" t="str">
        <f t="shared" si="103"/>
        <v/>
      </c>
      <c r="BF427">
        <f t="shared" si="106"/>
        <v>0</v>
      </c>
      <c r="BG427">
        <f t="shared" si="107"/>
        <v>0</v>
      </c>
      <c r="BH427">
        <f t="shared" si="108"/>
        <v>0</v>
      </c>
      <c r="BI427">
        <f t="shared" si="109"/>
        <v>0</v>
      </c>
      <c r="BJ427">
        <f t="shared" si="110"/>
        <v>0</v>
      </c>
      <c r="BK427">
        <f t="shared" si="111"/>
        <v>0</v>
      </c>
      <c r="BL427">
        <f t="shared" si="112"/>
        <v>0</v>
      </c>
      <c r="BM427">
        <f t="shared" si="113"/>
        <v>0</v>
      </c>
      <c r="BN427">
        <f t="shared" si="114"/>
        <v>0</v>
      </c>
      <c r="BO427">
        <f t="shared" si="115"/>
        <v>0</v>
      </c>
      <c r="BP427">
        <f t="shared" si="116"/>
        <v>0</v>
      </c>
      <c r="BQ427">
        <f t="shared" si="117"/>
        <v>0</v>
      </c>
      <c r="BR427">
        <f t="shared" si="118"/>
        <v>0</v>
      </c>
      <c r="BS427">
        <f t="shared" si="119"/>
        <v>0</v>
      </c>
      <c r="BT427">
        <f t="shared" si="120"/>
        <v>0</v>
      </c>
      <c r="BU427">
        <f t="shared" si="121"/>
        <v>0</v>
      </c>
      <c r="BV427">
        <f t="shared" si="122"/>
        <v>0</v>
      </c>
      <c r="BW427">
        <f t="shared" si="123"/>
        <v>0</v>
      </c>
      <c r="CA427" t="str">
        <f>IF(228&gt;ROWS(DGArchive[模组]),"",IF(INDEX(DGArchive[模组],228)="","",INDEX(DGArchive[模组],228)))</f>
        <v/>
      </c>
      <c r="CB427" t="str">
        <f>IF(228&gt;ROWS(DGArchive[阶段]),"",IF(INDEX(DGArchive[阶段],228)="","",INDEX(DGArchive[阶段],228)))</f>
        <v/>
      </c>
      <c r="CC427" t="str">
        <f>IF(228&gt;ROWS(DGArchive[游戏内日期]),"",IF(INDEX(DGArchive[游戏内日期],228)="","",INDEX(DGArchive[游戏内日期],228)))</f>
        <v/>
      </c>
      <c r="CD427" t="str">
        <f>IF(228&gt;ROWS(DGArchive[目标]),"",IF(INDEX(DGArchive[目标],228)="","",INDEX(DGArchive[目标],228)))</f>
        <v/>
      </c>
      <c r="CE427" t="str">
        <f>IF(228&gt;ROWS(DGArchive[变更前]),"",IF(INDEX(DGArchive[变更前],228)="","",INDEX(DGArchive[变更前],228)))</f>
        <v/>
      </c>
      <c r="CF427" t="str">
        <f>IF(228&gt;ROWS(DGArchive[增减]),"",IF(INDEX(DGArchive[增减],228)="","",INDEX(DGArchive[增减],228)))</f>
        <v/>
      </c>
      <c r="CG427" t="str">
        <f>IF(228&gt;ROWS(DGArchive[变更后]),"",IF(INDEX(DGArchive[变更后],228)="","",INDEX(DGArchive[变更后],228)))</f>
        <v/>
      </c>
      <c r="CH427" t="str">
        <f>IF(228&gt;ROWS(DGArchive[事件／活动]),"",IF(INDEX(DGArchive[事件／活动],228)="","",INDEX(DGArchive[事件／活动],228)))</f>
        <v/>
      </c>
      <c r="CI427" t="str">
        <f>IF(228&gt;ROWS(DGArchive[记录编号]),"",IF(INDEX(DGArchive[记录编号],228)="","",INDEX(DGArchive[记录编号],228)))</f>
        <v/>
      </c>
      <c r="CL427">
        <f t="shared" si="104"/>
        <v>0</v>
      </c>
      <c r="CM427">
        <f>IF(AND(A427=$AO$5,B427=$AQ$3,H427=1),COUNTIFS($A$200:A427,$AO$5,$B$200:B427,$AQ$3,$H$200:H427,1),0)</f>
        <v>0</v>
      </c>
      <c r="CN427">
        <f>IF(CA427="",228,1001)</f>
        <v>228</v>
      </c>
      <c r="GA427">
        <f t="shared" si="124"/>
        <v>0</v>
      </c>
      <c r="GB427">
        <f t="shared" si="125"/>
        <v>0</v>
      </c>
      <c r="GC427">
        <f>IF(AND(C427="事件记录",H427=1),COUNTIFS($C$200:C427,"事件记录",$H$200:H427,1),0)</f>
        <v>0</v>
      </c>
      <c r="GD427">
        <f t="shared" si="105"/>
        <v>0</v>
      </c>
      <c r="GH427">
        <f>IF(AND(H427=1,A427=$GA$10,B427=$GA$11),COUNTIFS($A$200:A427,$GA$10,$B$200:B427,$GA$11,$H$200:H427,1),0)</f>
        <v>0</v>
      </c>
    </row>
    <row r="428" spans="1:190">
      <c r="A428" t="str">
        <f t="shared" si="96"/>
        <v/>
      </c>
      <c r="B428" t="str">
        <f t="shared" si="97"/>
        <v/>
      </c>
      <c r="C428" t="str">
        <f t="shared" si="98"/>
        <v/>
      </c>
      <c r="D428" t="str">
        <f t="shared" si="99"/>
        <v/>
      </c>
      <c r="E428">
        <f t="shared" si="100"/>
        <v>0</v>
      </c>
      <c r="F428" t="str">
        <f t="shared" si="101"/>
        <v/>
      </c>
      <c r="G428">
        <f t="shared" si="102"/>
        <v>0</v>
      </c>
      <c r="H428">
        <f>IF(AND(G428=1,COUNTIFS($I$200:I428,I428,$G$200:G428,1)=1),1,0)</f>
        <v>0</v>
      </c>
      <c r="I428" t="str">
        <f t="shared" si="103"/>
        <v/>
      </c>
      <c r="BF428">
        <f t="shared" si="106"/>
        <v>0</v>
      </c>
      <c r="BG428">
        <f t="shared" si="107"/>
        <v>0</v>
      </c>
      <c r="BH428">
        <f t="shared" si="108"/>
        <v>0</v>
      </c>
      <c r="BI428">
        <f t="shared" si="109"/>
        <v>0</v>
      </c>
      <c r="BJ428">
        <f t="shared" si="110"/>
        <v>0</v>
      </c>
      <c r="BK428">
        <f t="shared" si="111"/>
        <v>0</v>
      </c>
      <c r="BL428">
        <f t="shared" si="112"/>
        <v>0</v>
      </c>
      <c r="BM428">
        <f t="shared" si="113"/>
        <v>0</v>
      </c>
      <c r="BN428">
        <f t="shared" si="114"/>
        <v>0</v>
      </c>
      <c r="BO428">
        <f t="shared" si="115"/>
        <v>0</v>
      </c>
      <c r="BP428">
        <f t="shared" si="116"/>
        <v>0</v>
      </c>
      <c r="BQ428">
        <f t="shared" si="117"/>
        <v>0</v>
      </c>
      <c r="BR428">
        <f t="shared" si="118"/>
        <v>0</v>
      </c>
      <c r="BS428">
        <f t="shared" si="119"/>
        <v>0</v>
      </c>
      <c r="BT428">
        <f t="shared" si="120"/>
        <v>0</v>
      </c>
      <c r="BU428">
        <f t="shared" si="121"/>
        <v>0</v>
      </c>
      <c r="BV428">
        <f t="shared" si="122"/>
        <v>0</v>
      </c>
      <c r="BW428">
        <f t="shared" si="123"/>
        <v>0</v>
      </c>
      <c r="CA428" t="str">
        <f>IF(229&gt;ROWS(DGArchive[模组]),"",IF(INDEX(DGArchive[模组],229)="","",INDEX(DGArchive[模组],229)))</f>
        <v/>
      </c>
      <c r="CB428" t="str">
        <f>IF(229&gt;ROWS(DGArchive[阶段]),"",IF(INDEX(DGArchive[阶段],229)="","",INDEX(DGArchive[阶段],229)))</f>
        <v/>
      </c>
      <c r="CC428" t="str">
        <f>IF(229&gt;ROWS(DGArchive[游戏内日期]),"",IF(INDEX(DGArchive[游戏内日期],229)="","",INDEX(DGArchive[游戏内日期],229)))</f>
        <v/>
      </c>
      <c r="CD428" t="str">
        <f>IF(229&gt;ROWS(DGArchive[目标]),"",IF(INDEX(DGArchive[目标],229)="","",INDEX(DGArchive[目标],229)))</f>
        <v/>
      </c>
      <c r="CE428" t="str">
        <f>IF(229&gt;ROWS(DGArchive[变更前]),"",IF(INDEX(DGArchive[变更前],229)="","",INDEX(DGArchive[变更前],229)))</f>
        <v/>
      </c>
      <c r="CF428" t="str">
        <f>IF(229&gt;ROWS(DGArchive[增减]),"",IF(INDEX(DGArchive[增减],229)="","",INDEX(DGArchive[增减],229)))</f>
        <v/>
      </c>
      <c r="CG428" t="str">
        <f>IF(229&gt;ROWS(DGArchive[变更后]),"",IF(INDEX(DGArchive[变更后],229)="","",INDEX(DGArchive[变更后],229)))</f>
        <v/>
      </c>
      <c r="CH428" t="str">
        <f>IF(229&gt;ROWS(DGArchive[事件／活动]),"",IF(INDEX(DGArchive[事件／活动],229)="","",INDEX(DGArchive[事件／活动],229)))</f>
        <v/>
      </c>
      <c r="CI428" t="str">
        <f>IF(229&gt;ROWS(DGArchive[记录编号]),"",IF(INDEX(DGArchive[记录编号],229)="","",INDEX(DGArchive[记录编号],229)))</f>
        <v/>
      </c>
      <c r="CL428">
        <f t="shared" si="104"/>
        <v>0</v>
      </c>
      <c r="CM428">
        <f>IF(AND(A428=$AO$5,B428=$AQ$3,H428=1),COUNTIFS($A$200:A428,$AO$5,$B$200:B428,$AQ$3,$H$200:H428,1),0)</f>
        <v>0</v>
      </c>
      <c r="CN428">
        <f>IF(CA428="",229,1001)</f>
        <v>229</v>
      </c>
      <c r="GA428">
        <f t="shared" si="124"/>
        <v>0</v>
      </c>
      <c r="GB428">
        <f t="shared" si="125"/>
        <v>0</v>
      </c>
      <c r="GC428">
        <f>IF(AND(C428="事件记录",H428=1),COUNTIFS($C$200:C428,"事件记录",$H$200:H428,1),0)</f>
        <v>0</v>
      </c>
      <c r="GD428">
        <f t="shared" si="105"/>
        <v>0</v>
      </c>
      <c r="GH428">
        <f>IF(AND(H428=1,A428=$GA$10,B428=$GA$11),COUNTIFS($A$200:A428,$GA$10,$B$200:B428,$GA$11,$H$200:H428,1),0)</f>
        <v>0</v>
      </c>
    </row>
    <row r="429" spans="1:190">
      <c r="A429" t="str">
        <f t="shared" si="96"/>
        <v/>
      </c>
      <c r="B429" t="str">
        <f t="shared" si="97"/>
        <v/>
      </c>
      <c r="C429" t="str">
        <f t="shared" si="98"/>
        <v/>
      </c>
      <c r="D429" t="str">
        <f t="shared" si="99"/>
        <v/>
      </c>
      <c r="E429">
        <f t="shared" si="100"/>
        <v>0</v>
      </c>
      <c r="F429" t="str">
        <f t="shared" si="101"/>
        <v/>
      </c>
      <c r="G429">
        <f t="shared" si="102"/>
        <v>0</v>
      </c>
      <c r="H429">
        <f>IF(AND(G429=1,COUNTIFS($I$200:I429,I429,$G$200:G429,1)=1),1,0)</f>
        <v>0</v>
      </c>
      <c r="I429" t="str">
        <f t="shared" si="103"/>
        <v/>
      </c>
      <c r="BF429">
        <f t="shared" si="106"/>
        <v>0</v>
      </c>
      <c r="BG429">
        <f t="shared" si="107"/>
        <v>0</v>
      </c>
      <c r="BH429">
        <f t="shared" si="108"/>
        <v>0</v>
      </c>
      <c r="BI429">
        <f t="shared" si="109"/>
        <v>0</v>
      </c>
      <c r="BJ429">
        <f t="shared" si="110"/>
        <v>0</v>
      </c>
      <c r="BK429">
        <f t="shared" si="111"/>
        <v>0</v>
      </c>
      <c r="BL429">
        <f t="shared" si="112"/>
        <v>0</v>
      </c>
      <c r="BM429">
        <f t="shared" si="113"/>
        <v>0</v>
      </c>
      <c r="BN429">
        <f t="shared" si="114"/>
        <v>0</v>
      </c>
      <c r="BO429">
        <f t="shared" si="115"/>
        <v>0</v>
      </c>
      <c r="BP429">
        <f t="shared" si="116"/>
        <v>0</v>
      </c>
      <c r="BQ429">
        <f t="shared" si="117"/>
        <v>0</v>
      </c>
      <c r="BR429">
        <f t="shared" si="118"/>
        <v>0</v>
      </c>
      <c r="BS429">
        <f t="shared" si="119"/>
        <v>0</v>
      </c>
      <c r="BT429">
        <f t="shared" si="120"/>
        <v>0</v>
      </c>
      <c r="BU429">
        <f t="shared" si="121"/>
        <v>0</v>
      </c>
      <c r="BV429">
        <f t="shared" si="122"/>
        <v>0</v>
      </c>
      <c r="BW429">
        <f t="shared" si="123"/>
        <v>0</v>
      </c>
      <c r="CA429" t="str">
        <f>IF(230&gt;ROWS(DGArchive[模组]),"",IF(INDEX(DGArchive[模组],230)="","",INDEX(DGArchive[模组],230)))</f>
        <v/>
      </c>
      <c r="CB429" t="str">
        <f>IF(230&gt;ROWS(DGArchive[阶段]),"",IF(INDEX(DGArchive[阶段],230)="","",INDEX(DGArchive[阶段],230)))</f>
        <v/>
      </c>
      <c r="CC429" t="str">
        <f>IF(230&gt;ROWS(DGArchive[游戏内日期]),"",IF(INDEX(DGArchive[游戏内日期],230)="","",INDEX(DGArchive[游戏内日期],230)))</f>
        <v/>
      </c>
      <c r="CD429" t="str">
        <f>IF(230&gt;ROWS(DGArchive[目标]),"",IF(INDEX(DGArchive[目标],230)="","",INDEX(DGArchive[目标],230)))</f>
        <v/>
      </c>
      <c r="CE429" t="str">
        <f>IF(230&gt;ROWS(DGArchive[变更前]),"",IF(INDEX(DGArchive[变更前],230)="","",INDEX(DGArchive[变更前],230)))</f>
        <v/>
      </c>
      <c r="CF429" t="str">
        <f>IF(230&gt;ROWS(DGArchive[增减]),"",IF(INDEX(DGArchive[增减],230)="","",INDEX(DGArchive[增减],230)))</f>
        <v/>
      </c>
      <c r="CG429" t="str">
        <f>IF(230&gt;ROWS(DGArchive[变更后]),"",IF(INDEX(DGArchive[变更后],230)="","",INDEX(DGArchive[变更后],230)))</f>
        <v/>
      </c>
      <c r="CH429" t="str">
        <f>IF(230&gt;ROWS(DGArchive[事件／活动]),"",IF(INDEX(DGArchive[事件／活动],230)="","",INDEX(DGArchive[事件／活动],230)))</f>
        <v/>
      </c>
      <c r="CI429" t="str">
        <f>IF(230&gt;ROWS(DGArchive[记录编号]),"",IF(INDEX(DGArchive[记录编号],230)="","",INDEX(DGArchive[记录编号],230)))</f>
        <v/>
      </c>
      <c r="CL429">
        <f t="shared" si="104"/>
        <v>0</v>
      </c>
      <c r="CM429">
        <f>IF(AND(A429=$AO$5,B429=$AQ$3,H429=1),COUNTIFS($A$200:A429,$AO$5,$B$200:B429,$AQ$3,$H$200:H429,1),0)</f>
        <v>0</v>
      </c>
      <c r="CN429">
        <f>IF(CA429="",230,1001)</f>
        <v>230</v>
      </c>
      <c r="GA429">
        <f t="shared" si="124"/>
        <v>0</v>
      </c>
      <c r="GB429">
        <f t="shared" si="125"/>
        <v>0</v>
      </c>
      <c r="GC429">
        <f>IF(AND(C429="事件记录",H429=1),COUNTIFS($C$200:C429,"事件记录",$H$200:H429,1),0)</f>
        <v>0</v>
      </c>
      <c r="GD429">
        <f t="shared" si="105"/>
        <v>0</v>
      </c>
      <c r="GH429">
        <f>IF(AND(H429=1,A429=$GA$10,B429=$GA$11),COUNTIFS($A$200:A429,$GA$10,$B$200:B429,$GA$11,$H$200:H429,1),0)</f>
        <v>0</v>
      </c>
    </row>
    <row r="430" spans="1:190">
      <c r="A430" t="str">
        <f t="shared" si="96"/>
        <v/>
      </c>
      <c r="B430" t="str">
        <f t="shared" si="97"/>
        <v/>
      </c>
      <c r="C430" t="str">
        <f t="shared" si="98"/>
        <v/>
      </c>
      <c r="D430" t="str">
        <f t="shared" si="99"/>
        <v/>
      </c>
      <c r="E430">
        <f t="shared" si="100"/>
        <v>0</v>
      </c>
      <c r="F430" t="str">
        <f t="shared" si="101"/>
        <v/>
      </c>
      <c r="G430">
        <f t="shared" si="102"/>
        <v>0</v>
      </c>
      <c r="H430">
        <f>IF(AND(G430=1,COUNTIFS($I$200:I430,I430,$G$200:G430,1)=1),1,0)</f>
        <v>0</v>
      </c>
      <c r="I430" t="str">
        <f t="shared" si="103"/>
        <v/>
      </c>
      <c r="BF430">
        <f t="shared" si="106"/>
        <v>0</v>
      </c>
      <c r="BG430">
        <f t="shared" si="107"/>
        <v>0</v>
      </c>
      <c r="BH430">
        <f t="shared" si="108"/>
        <v>0</v>
      </c>
      <c r="BI430">
        <f t="shared" si="109"/>
        <v>0</v>
      </c>
      <c r="BJ430">
        <f t="shared" si="110"/>
        <v>0</v>
      </c>
      <c r="BK430">
        <f t="shared" si="111"/>
        <v>0</v>
      </c>
      <c r="BL430">
        <f t="shared" si="112"/>
        <v>0</v>
      </c>
      <c r="BM430">
        <f t="shared" si="113"/>
        <v>0</v>
      </c>
      <c r="BN430">
        <f t="shared" si="114"/>
        <v>0</v>
      </c>
      <c r="BO430">
        <f t="shared" si="115"/>
        <v>0</v>
      </c>
      <c r="BP430">
        <f t="shared" si="116"/>
        <v>0</v>
      </c>
      <c r="BQ430">
        <f t="shared" si="117"/>
        <v>0</v>
      </c>
      <c r="BR430">
        <f t="shared" si="118"/>
        <v>0</v>
      </c>
      <c r="BS430">
        <f t="shared" si="119"/>
        <v>0</v>
      </c>
      <c r="BT430">
        <f t="shared" si="120"/>
        <v>0</v>
      </c>
      <c r="BU430">
        <f t="shared" si="121"/>
        <v>0</v>
      </c>
      <c r="BV430">
        <f t="shared" si="122"/>
        <v>0</v>
      </c>
      <c r="BW430">
        <f t="shared" si="123"/>
        <v>0</v>
      </c>
      <c r="CA430" t="str">
        <f>IF(231&gt;ROWS(DGArchive[模组]),"",IF(INDEX(DGArchive[模组],231)="","",INDEX(DGArchive[模组],231)))</f>
        <v/>
      </c>
      <c r="CB430" t="str">
        <f>IF(231&gt;ROWS(DGArchive[阶段]),"",IF(INDEX(DGArchive[阶段],231)="","",INDEX(DGArchive[阶段],231)))</f>
        <v/>
      </c>
      <c r="CC430" t="str">
        <f>IF(231&gt;ROWS(DGArchive[游戏内日期]),"",IF(INDEX(DGArchive[游戏内日期],231)="","",INDEX(DGArchive[游戏内日期],231)))</f>
        <v/>
      </c>
      <c r="CD430" t="str">
        <f>IF(231&gt;ROWS(DGArchive[目标]),"",IF(INDEX(DGArchive[目标],231)="","",INDEX(DGArchive[目标],231)))</f>
        <v/>
      </c>
      <c r="CE430" t="str">
        <f>IF(231&gt;ROWS(DGArchive[变更前]),"",IF(INDEX(DGArchive[变更前],231)="","",INDEX(DGArchive[变更前],231)))</f>
        <v/>
      </c>
      <c r="CF430" t="str">
        <f>IF(231&gt;ROWS(DGArchive[增减]),"",IF(INDEX(DGArchive[增减],231)="","",INDEX(DGArchive[增减],231)))</f>
        <v/>
      </c>
      <c r="CG430" t="str">
        <f>IF(231&gt;ROWS(DGArchive[变更后]),"",IF(INDEX(DGArchive[变更后],231)="","",INDEX(DGArchive[变更后],231)))</f>
        <v/>
      </c>
      <c r="CH430" t="str">
        <f>IF(231&gt;ROWS(DGArchive[事件／活动]),"",IF(INDEX(DGArchive[事件／活动],231)="","",INDEX(DGArchive[事件／活动],231)))</f>
        <v/>
      </c>
      <c r="CI430" t="str">
        <f>IF(231&gt;ROWS(DGArchive[记录编号]),"",IF(INDEX(DGArchive[记录编号],231)="","",INDEX(DGArchive[记录编号],231)))</f>
        <v/>
      </c>
      <c r="CL430">
        <f t="shared" si="104"/>
        <v>0</v>
      </c>
      <c r="CM430">
        <f>IF(AND(A430=$AO$5,B430=$AQ$3,H430=1),COUNTIFS($A$200:A430,$AO$5,$B$200:B430,$AQ$3,$H$200:H430,1),0)</f>
        <v>0</v>
      </c>
      <c r="CN430">
        <f>IF(CA430="",231,1001)</f>
        <v>231</v>
      </c>
      <c r="GA430">
        <f t="shared" si="124"/>
        <v>0</v>
      </c>
      <c r="GB430">
        <f t="shared" si="125"/>
        <v>0</v>
      </c>
      <c r="GC430">
        <f>IF(AND(C430="事件记录",H430=1),COUNTIFS($C$200:C430,"事件记录",$H$200:H430,1),0)</f>
        <v>0</v>
      </c>
      <c r="GD430">
        <f t="shared" si="105"/>
        <v>0</v>
      </c>
      <c r="GH430">
        <f>IF(AND(H430=1,A430=$GA$10,B430=$GA$11),COUNTIFS($A$200:A430,$GA$10,$B$200:B430,$GA$11,$H$200:H430,1),0)</f>
        <v>0</v>
      </c>
    </row>
    <row r="431" spans="1:190">
      <c r="A431" t="str">
        <f t="shared" si="96"/>
        <v/>
      </c>
      <c r="B431" t="str">
        <f t="shared" si="97"/>
        <v/>
      </c>
      <c r="C431" t="str">
        <f t="shared" si="98"/>
        <v/>
      </c>
      <c r="D431" t="str">
        <f t="shared" si="99"/>
        <v/>
      </c>
      <c r="E431">
        <f t="shared" si="100"/>
        <v>0</v>
      </c>
      <c r="F431" t="str">
        <f t="shared" si="101"/>
        <v/>
      </c>
      <c r="G431">
        <f t="shared" si="102"/>
        <v>0</v>
      </c>
      <c r="H431">
        <f>IF(AND(G431=1,COUNTIFS($I$200:I431,I431,$G$200:G431,1)=1),1,0)</f>
        <v>0</v>
      </c>
      <c r="I431" t="str">
        <f t="shared" si="103"/>
        <v/>
      </c>
      <c r="BF431">
        <f t="shared" si="106"/>
        <v>0</v>
      </c>
      <c r="BG431">
        <f t="shared" si="107"/>
        <v>0</v>
      </c>
      <c r="BH431">
        <f t="shared" si="108"/>
        <v>0</v>
      </c>
      <c r="BI431">
        <f t="shared" si="109"/>
        <v>0</v>
      </c>
      <c r="BJ431">
        <f t="shared" si="110"/>
        <v>0</v>
      </c>
      <c r="BK431">
        <f t="shared" si="111"/>
        <v>0</v>
      </c>
      <c r="BL431">
        <f t="shared" si="112"/>
        <v>0</v>
      </c>
      <c r="BM431">
        <f t="shared" si="113"/>
        <v>0</v>
      </c>
      <c r="BN431">
        <f t="shared" si="114"/>
        <v>0</v>
      </c>
      <c r="BO431">
        <f t="shared" si="115"/>
        <v>0</v>
      </c>
      <c r="BP431">
        <f t="shared" si="116"/>
        <v>0</v>
      </c>
      <c r="BQ431">
        <f t="shared" si="117"/>
        <v>0</v>
      </c>
      <c r="BR431">
        <f t="shared" si="118"/>
        <v>0</v>
      </c>
      <c r="BS431">
        <f t="shared" si="119"/>
        <v>0</v>
      </c>
      <c r="BT431">
        <f t="shared" si="120"/>
        <v>0</v>
      </c>
      <c r="BU431">
        <f t="shared" si="121"/>
        <v>0</v>
      </c>
      <c r="BV431">
        <f t="shared" si="122"/>
        <v>0</v>
      </c>
      <c r="BW431">
        <f t="shared" si="123"/>
        <v>0</v>
      </c>
      <c r="CA431" t="str">
        <f>IF(232&gt;ROWS(DGArchive[模组]),"",IF(INDEX(DGArchive[模组],232)="","",INDEX(DGArchive[模组],232)))</f>
        <v/>
      </c>
      <c r="CB431" t="str">
        <f>IF(232&gt;ROWS(DGArchive[阶段]),"",IF(INDEX(DGArchive[阶段],232)="","",INDEX(DGArchive[阶段],232)))</f>
        <v/>
      </c>
      <c r="CC431" t="str">
        <f>IF(232&gt;ROWS(DGArchive[游戏内日期]),"",IF(INDEX(DGArchive[游戏内日期],232)="","",INDEX(DGArchive[游戏内日期],232)))</f>
        <v/>
      </c>
      <c r="CD431" t="str">
        <f>IF(232&gt;ROWS(DGArchive[目标]),"",IF(INDEX(DGArchive[目标],232)="","",INDEX(DGArchive[目标],232)))</f>
        <v/>
      </c>
      <c r="CE431" t="str">
        <f>IF(232&gt;ROWS(DGArchive[变更前]),"",IF(INDEX(DGArchive[变更前],232)="","",INDEX(DGArchive[变更前],232)))</f>
        <v/>
      </c>
      <c r="CF431" t="str">
        <f>IF(232&gt;ROWS(DGArchive[增减]),"",IF(INDEX(DGArchive[增减],232)="","",INDEX(DGArchive[增减],232)))</f>
        <v/>
      </c>
      <c r="CG431" t="str">
        <f>IF(232&gt;ROWS(DGArchive[变更后]),"",IF(INDEX(DGArchive[变更后],232)="","",INDEX(DGArchive[变更后],232)))</f>
        <v/>
      </c>
      <c r="CH431" t="str">
        <f>IF(232&gt;ROWS(DGArchive[事件／活动]),"",IF(INDEX(DGArchive[事件／活动],232)="","",INDEX(DGArchive[事件／活动],232)))</f>
        <v/>
      </c>
      <c r="CI431" t="str">
        <f>IF(232&gt;ROWS(DGArchive[记录编号]),"",IF(INDEX(DGArchive[记录编号],232)="","",INDEX(DGArchive[记录编号],232)))</f>
        <v/>
      </c>
      <c r="CL431">
        <f t="shared" si="104"/>
        <v>0</v>
      </c>
      <c r="CM431">
        <f>IF(AND(A431=$AO$5,B431=$AQ$3,H431=1),COUNTIFS($A$200:A431,$AO$5,$B$200:B431,$AQ$3,$H$200:H431,1),0)</f>
        <v>0</v>
      </c>
      <c r="CN431">
        <f>IF(CA431="",232,1001)</f>
        <v>232</v>
      </c>
      <c r="GA431">
        <f t="shared" si="124"/>
        <v>0</v>
      </c>
      <c r="GB431">
        <f t="shared" si="125"/>
        <v>0</v>
      </c>
      <c r="GC431">
        <f>IF(AND(C431="事件记录",H431=1),COUNTIFS($C$200:C431,"事件记录",$H$200:H431,1),0)</f>
        <v>0</v>
      </c>
      <c r="GD431">
        <f t="shared" si="105"/>
        <v>0</v>
      </c>
      <c r="GH431">
        <f>IF(AND(H431=1,A431=$GA$10,B431=$GA$11),COUNTIFS($A$200:A431,$GA$10,$B$200:B431,$GA$11,$H$200:H431,1),0)</f>
        <v>0</v>
      </c>
    </row>
    <row r="432" spans="1:190">
      <c r="A432" t="str">
        <f t="shared" si="96"/>
        <v/>
      </c>
      <c r="B432" t="str">
        <f t="shared" si="97"/>
        <v/>
      </c>
      <c r="C432" t="str">
        <f t="shared" si="98"/>
        <v/>
      </c>
      <c r="D432" t="str">
        <f t="shared" si="99"/>
        <v/>
      </c>
      <c r="E432">
        <f t="shared" si="100"/>
        <v>0</v>
      </c>
      <c r="F432" t="str">
        <f t="shared" si="101"/>
        <v/>
      </c>
      <c r="G432">
        <f t="shared" si="102"/>
        <v>0</v>
      </c>
      <c r="H432">
        <f>IF(AND(G432=1,COUNTIFS($I$200:I432,I432,$G$200:G432,1)=1),1,0)</f>
        <v>0</v>
      </c>
      <c r="I432" t="str">
        <f t="shared" si="103"/>
        <v/>
      </c>
      <c r="BF432">
        <f t="shared" si="106"/>
        <v>0</v>
      </c>
      <c r="BG432">
        <f t="shared" si="107"/>
        <v>0</v>
      </c>
      <c r="BH432">
        <f t="shared" si="108"/>
        <v>0</v>
      </c>
      <c r="BI432">
        <f t="shared" si="109"/>
        <v>0</v>
      </c>
      <c r="BJ432">
        <f t="shared" si="110"/>
        <v>0</v>
      </c>
      <c r="BK432">
        <f t="shared" si="111"/>
        <v>0</v>
      </c>
      <c r="BL432">
        <f t="shared" si="112"/>
        <v>0</v>
      </c>
      <c r="BM432">
        <f t="shared" si="113"/>
        <v>0</v>
      </c>
      <c r="BN432">
        <f t="shared" si="114"/>
        <v>0</v>
      </c>
      <c r="BO432">
        <f t="shared" si="115"/>
        <v>0</v>
      </c>
      <c r="BP432">
        <f t="shared" si="116"/>
        <v>0</v>
      </c>
      <c r="BQ432">
        <f t="shared" si="117"/>
        <v>0</v>
      </c>
      <c r="BR432">
        <f t="shared" si="118"/>
        <v>0</v>
      </c>
      <c r="BS432">
        <f t="shared" si="119"/>
        <v>0</v>
      </c>
      <c r="BT432">
        <f t="shared" si="120"/>
        <v>0</v>
      </c>
      <c r="BU432">
        <f t="shared" si="121"/>
        <v>0</v>
      </c>
      <c r="BV432">
        <f t="shared" si="122"/>
        <v>0</v>
      </c>
      <c r="BW432">
        <f t="shared" si="123"/>
        <v>0</v>
      </c>
      <c r="CA432" t="str">
        <f>IF(233&gt;ROWS(DGArchive[模组]),"",IF(INDEX(DGArchive[模组],233)="","",INDEX(DGArchive[模组],233)))</f>
        <v/>
      </c>
      <c r="CB432" t="str">
        <f>IF(233&gt;ROWS(DGArchive[阶段]),"",IF(INDEX(DGArchive[阶段],233)="","",INDEX(DGArchive[阶段],233)))</f>
        <v/>
      </c>
      <c r="CC432" t="str">
        <f>IF(233&gt;ROWS(DGArchive[游戏内日期]),"",IF(INDEX(DGArchive[游戏内日期],233)="","",INDEX(DGArchive[游戏内日期],233)))</f>
        <v/>
      </c>
      <c r="CD432" t="str">
        <f>IF(233&gt;ROWS(DGArchive[目标]),"",IF(INDEX(DGArchive[目标],233)="","",INDEX(DGArchive[目标],233)))</f>
        <v/>
      </c>
      <c r="CE432" t="str">
        <f>IF(233&gt;ROWS(DGArchive[变更前]),"",IF(INDEX(DGArchive[变更前],233)="","",INDEX(DGArchive[变更前],233)))</f>
        <v/>
      </c>
      <c r="CF432" t="str">
        <f>IF(233&gt;ROWS(DGArchive[增减]),"",IF(INDEX(DGArchive[增减],233)="","",INDEX(DGArchive[增减],233)))</f>
        <v/>
      </c>
      <c r="CG432" t="str">
        <f>IF(233&gt;ROWS(DGArchive[变更后]),"",IF(INDEX(DGArchive[变更后],233)="","",INDEX(DGArchive[变更后],233)))</f>
        <v/>
      </c>
      <c r="CH432" t="str">
        <f>IF(233&gt;ROWS(DGArchive[事件／活动]),"",IF(INDEX(DGArchive[事件／活动],233)="","",INDEX(DGArchive[事件／活动],233)))</f>
        <v/>
      </c>
      <c r="CI432" t="str">
        <f>IF(233&gt;ROWS(DGArchive[记录编号]),"",IF(INDEX(DGArchive[记录编号],233)="","",INDEX(DGArchive[记录编号],233)))</f>
        <v/>
      </c>
      <c r="CL432">
        <f t="shared" si="104"/>
        <v>0</v>
      </c>
      <c r="CM432">
        <f>IF(AND(A432=$AO$5,B432=$AQ$3,H432=1),COUNTIFS($A$200:A432,$AO$5,$B$200:B432,$AQ$3,$H$200:H432,1),0)</f>
        <v>0</v>
      </c>
      <c r="CN432">
        <f>IF(CA432="",233,1001)</f>
        <v>233</v>
      </c>
      <c r="GA432">
        <f t="shared" si="124"/>
        <v>0</v>
      </c>
      <c r="GB432">
        <f t="shared" si="125"/>
        <v>0</v>
      </c>
      <c r="GC432">
        <f>IF(AND(C432="事件记录",H432=1),COUNTIFS($C$200:C432,"事件记录",$H$200:H432,1),0)</f>
        <v>0</v>
      </c>
      <c r="GD432">
        <f t="shared" si="105"/>
        <v>0</v>
      </c>
      <c r="GH432">
        <f>IF(AND(H432=1,A432=$GA$10,B432=$GA$11),COUNTIFS($A$200:A432,$GA$10,$B$200:B432,$GA$11,$H$200:H432,1),0)</f>
        <v>0</v>
      </c>
    </row>
    <row r="433" spans="1:190">
      <c r="A433" t="str">
        <f t="shared" si="96"/>
        <v/>
      </c>
      <c r="B433" t="str">
        <f t="shared" si="97"/>
        <v/>
      </c>
      <c r="C433" t="str">
        <f t="shared" si="98"/>
        <v/>
      </c>
      <c r="D433" t="str">
        <f t="shared" si="99"/>
        <v/>
      </c>
      <c r="E433">
        <f t="shared" si="100"/>
        <v>0</v>
      </c>
      <c r="F433" t="str">
        <f t="shared" si="101"/>
        <v/>
      </c>
      <c r="G433">
        <f t="shared" si="102"/>
        <v>0</v>
      </c>
      <c r="H433">
        <f>IF(AND(G433=1,COUNTIFS($I$200:I433,I433,$G$200:G433,1)=1),1,0)</f>
        <v>0</v>
      </c>
      <c r="I433" t="str">
        <f t="shared" si="103"/>
        <v/>
      </c>
      <c r="BF433">
        <f t="shared" si="106"/>
        <v>0</v>
      </c>
      <c r="BG433">
        <f t="shared" si="107"/>
        <v>0</v>
      </c>
      <c r="BH433">
        <f t="shared" si="108"/>
        <v>0</v>
      </c>
      <c r="BI433">
        <f t="shared" si="109"/>
        <v>0</v>
      </c>
      <c r="BJ433">
        <f t="shared" si="110"/>
        <v>0</v>
      </c>
      <c r="BK433">
        <f t="shared" si="111"/>
        <v>0</v>
      </c>
      <c r="BL433">
        <f t="shared" si="112"/>
        <v>0</v>
      </c>
      <c r="BM433">
        <f t="shared" si="113"/>
        <v>0</v>
      </c>
      <c r="BN433">
        <f t="shared" si="114"/>
        <v>0</v>
      </c>
      <c r="BO433">
        <f t="shared" si="115"/>
        <v>0</v>
      </c>
      <c r="BP433">
        <f t="shared" si="116"/>
        <v>0</v>
      </c>
      <c r="BQ433">
        <f t="shared" si="117"/>
        <v>0</v>
      </c>
      <c r="BR433">
        <f t="shared" si="118"/>
        <v>0</v>
      </c>
      <c r="BS433">
        <f t="shared" si="119"/>
        <v>0</v>
      </c>
      <c r="BT433">
        <f t="shared" si="120"/>
        <v>0</v>
      </c>
      <c r="BU433">
        <f t="shared" si="121"/>
        <v>0</v>
      </c>
      <c r="BV433">
        <f t="shared" si="122"/>
        <v>0</v>
      </c>
      <c r="BW433">
        <f t="shared" si="123"/>
        <v>0</v>
      </c>
      <c r="CA433" t="str">
        <f>IF(234&gt;ROWS(DGArchive[模组]),"",IF(INDEX(DGArchive[模组],234)="","",INDEX(DGArchive[模组],234)))</f>
        <v/>
      </c>
      <c r="CB433" t="str">
        <f>IF(234&gt;ROWS(DGArchive[阶段]),"",IF(INDEX(DGArchive[阶段],234)="","",INDEX(DGArchive[阶段],234)))</f>
        <v/>
      </c>
      <c r="CC433" t="str">
        <f>IF(234&gt;ROWS(DGArchive[游戏内日期]),"",IF(INDEX(DGArchive[游戏内日期],234)="","",INDEX(DGArchive[游戏内日期],234)))</f>
        <v/>
      </c>
      <c r="CD433" t="str">
        <f>IF(234&gt;ROWS(DGArchive[目标]),"",IF(INDEX(DGArchive[目标],234)="","",INDEX(DGArchive[目标],234)))</f>
        <v/>
      </c>
      <c r="CE433" t="str">
        <f>IF(234&gt;ROWS(DGArchive[变更前]),"",IF(INDEX(DGArchive[变更前],234)="","",INDEX(DGArchive[变更前],234)))</f>
        <v/>
      </c>
      <c r="CF433" t="str">
        <f>IF(234&gt;ROWS(DGArchive[增减]),"",IF(INDEX(DGArchive[增减],234)="","",INDEX(DGArchive[增减],234)))</f>
        <v/>
      </c>
      <c r="CG433" t="str">
        <f>IF(234&gt;ROWS(DGArchive[变更后]),"",IF(INDEX(DGArchive[变更后],234)="","",INDEX(DGArchive[变更后],234)))</f>
        <v/>
      </c>
      <c r="CH433" t="str">
        <f>IF(234&gt;ROWS(DGArchive[事件／活动]),"",IF(INDEX(DGArchive[事件／活动],234)="","",INDEX(DGArchive[事件／活动],234)))</f>
        <v/>
      </c>
      <c r="CI433" t="str">
        <f>IF(234&gt;ROWS(DGArchive[记录编号]),"",IF(INDEX(DGArchive[记录编号],234)="","",INDEX(DGArchive[记录编号],234)))</f>
        <v/>
      </c>
      <c r="CL433">
        <f t="shared" si="104"/>
        <v>0</v>
      </c>
      <c r="CM433">
        <f>IF(AND(A433=$AO$5,B433=$AQ$3,H433=1),COUNTIFS($A$200:A433,$AO$5,$B$200:B433,$AQ$3,$H$200:H433,1),0)</f>
        <v>0</v>
      </c>
      <c r="CN433">
        <f>IF(CA433="",234,1001)</f>
        <v>234</v>
      </c>
      <c r="GA433">
        <f t="shared" si="124"/>
        <v>0</v>
      </c>
      <c r="GB433">
        <f t="shared" si="125"/>
        <v>0</v>
      </c>
      <c r="GC433">
        <f>IF(AND(C433="事件记录",H433=1),COUNTIFS($C$200:C433,"事件记录",$H$200:H433,1),0)</f>
        <v>0</v>
      </c>
      <c r="GD433">
        <f t="shared" si="105"/>
        <v>0</v>
      </c>
      <c r="GH433">
        <f>IF(AND(H433=1,A433=$GA$10,B433=$GA$11),COUNTIFS($A$200:A433,$GA$10,$B$200:B433,$GA$11,$H$200:H433,1),0)</f>
        <v>0</v>
      </c>
    </row>
    <row r="434" spans="1:190">
      <c r="A434" t="str">
        <f t="shared" si="96"/>
        <v/>
      </c>
      <c r="B434" t="str">
        <f t="shared" si="97"/>
        <v/>
      </c>
      <c r="C434" t="str">
        <f t="shared" si="98"/>
        <v/>
      </c>
      <c r="D434" t="str">
        <f t="shared" si="99"/>
        <v/>
      </c>
      <c r="E434">
        <f t="shared" si="100"/>
        <v>0</v>
      </c>
      <c r="F434" t="str">
        <f t="shared" si="101"/>
        <v/>
      </c>
      <c r="G434">
        <f t="shared" si="102"/>
        <v>0</v>
      </c>
      <c r="H434">
        <f>IF(AND(G434=1,COUNTIFS($I$200:I434,I434,$G$200:G434,1)=1),1,0)</f>
        <v>0</v>
      </c>
      <c r="I434" t="str">
        <f t="shared" si="103"/>
        <v/>
      </c>
      <c r="BF434">
        <f t="shared" si="106"/>
        <v>0</v>
      </c>
      <c r="BG434">
        <f t="shared" si="107"/>
        <v>0</v>
      </c>
      <c r="BH434">
        <f t="shared" si="108"/>
        <v>0</v>
      </c>
      <c r="BI434">
        <f t="shared" si="109"/>
        <v>0</v>
      </c>
      <c r="BJ434">
        <f t="shared" si="110"/>
        <v>0</v>
      </c>
      <c r="BK434">
        <f t="shared" si="111"/>
        <v>0</v>
      </c>
      <c r="BL434">
        <f t="shared" si="112"/>
        <v>0</v>
      </c>
      <c r="BM434">
        <f t="shared" si="113"/>
        <v>0</v>
      </c>
      <c r="BN434">
        <f t="shared" si="114"/>
        <v>0</v>
      </c>
      <c r="BO434">
        <f t="shared" si="115"/>
        <v>0</v>
      </c>
      <c r="BP434">
        <f t="shared" si="116"/>
        <v>0</v>
      </c>
      <c r="BQ434">
        <f t="shared" si="117"/>
        <v>0</v>
      </c>
      <c r="BR434">
        <f t="shared" si="118"/>
        <v>0</v>
      </c>
      <c r="BS434">
        <f t="shared" si="119"/>
        <v>0</v>
      </c>
      <c r="BT434">
        <f t="shared" si="120"/>
        <v>0</v>
      </c>
      <c r="BU434">
        <f t="shared" si="121"/>
        <v>0</v>
      </c>
      <c r="BV434">
        <f t="shared" si="122"/>
        <v>0</v>
      </c>
      <c r="BW434">
        <f t="shared" si="123"/>
        <v>0</v>
      </c>
      <c r="CA434" t="str">
        <f>IF(235&gt;ROWS(DGArchive[模组]),"",IF(INDEX(DGArchive[模组],235)="","",INDEX(DGArchive[模组],235)))</f>
        <v/>
      </c>
      <c r="CB434" t="str">
        <f>IF(235&gt;ROWS(DGArchive[阶段]),"",IF(INDEX(DGArchive[阶段],235)="","",INDEX(DGArchive[阶段],235)))</f>
        <v/>
      </c>
      <c r="CC434" t="str">
        <f>IF(235&gt;ROWS(DGArchive[游戏内日期]),"",IF(INDEX(DGArchive[游戏内日期],235)="","",INDEX(DGArchive[游戏内日期],235)))</f>
        <v/>
      </c>
      <c r="CD434" t="str">
        <f>IF(235&gt;ROWS(DGArchive[目标]),"",IF(INDEX(DGArchive[目标],235)="","",INDEX(DGArchive[目标],235)))</f>
        <v/>
      </c>
      <c r="CE434" t="str">
        <f>IF(235&gt;ROWS(DGArchive[变更前]),"",IF(INDEX(DGArchive[变更前],235)="","",INDEX(DGArchive[变更前],235)))</f>
        <v/>
      </c>
      <c r="CF434" t="str">
        <f>IF(235&gt;ROWS(DGArchive[增减]),"",IF(INDEX(DGArchive[增减],235)="","",INDEX(DGArchive[增减],235)))</f>
        <v/>
      </c>
      <c r="CG434" t="str">
        <f>IF(235&gt;ROWS(DGArchive[变更后]),"",IF(INDEX(DGArchive[变更后],235)="","",INDEX(DGArchive[变更后],235)))</f>
        <v/>
      </c>
      <c r="CH434" t="str">
        <f>IF(235&gt;ROWS(DGArchive[事件／活动]),"",IF(INDEX(DGArchive[事件／活动],235)="","",INDEX(DGArchive[事件／活动],235)))</f>
        <v/>
      </c>
      <c r="CI434" t="str">
        <f>IF(235&gt;ROWS(DGArchive[记录编号]),"",IF(INDEX(DGArchive[记录编号],235)="","",INDEX(DGArchive[记录编号],235)))</f>
        <v/>
      </c>
      <c r="CL434">
        <f t="shared" si="104"/>
        <v>0</v>
      </c>
      <c r="CM434">
        <f>IF(AND(A434=$AO$5,B434=$AQ$3,H434=1),COUNTIFS($A$200:A434,$AO$5,$B$200:B434,$AQ$3,$H$200:H434,1),0)</f>
        <v>0</v>
      </c>
      <c r="CN434">
        <f>IF(CA434="",235,1001)</f>
        <v>235</v>
      </c>
      <c r="GA434">
        <f t="shared" si="124"/>
        <v>0</v>
      </c>
      <c r="GB434">
        <f t="shared" si="125"/>
        <v>0</v>
      </c>
      <c r="GC434">
        <f>IF(AND(C434="事件记录",H434=1),COUNTIFS($C$200:C434,"事件记录",$H$200:H434,1),0)</f>
        <v>0</v>
      </c>
      <c r="GD434">
        <f t="shared" si="105"/>
        <v>0</v>
      </c>
      <c r="GH434">
        <f>IF(AND(H434=1,A434=$GA$10,B434=$GA$11),COUNTIFS($A$200:A434,$GA$10,$B$200:B434,$GA$11,$H$200:H434,1),0)</f>
        <v>0</v>
      </c>
    </row>
    <row r="435" spans="1:190">
      <c r="A435" t="str">
        <f t="shared" si="96"/>
        <v/>
      </c>
      <c r="B435" t="str">
        <f t="shared" si="97"/>
        <v/>
      </c>
      <c r="C435" t="str">
        <f t="shared" si="98"/>
        <v/>
      </c>
      <c r="D435" t="str">
        <f t="shared" si="99"/>
        <v/>
      </c>
      <c r="E435">
        <f t="shared" si="100"/>
        <v>0</v>
      </c>
      <c r="F435" t="str">
        <f t="shared" si="101"/>
        <v/>
      </c>
      <c r="G435">
        <f t="shared" si="102"/>
        <v>0</v>
      </c>
      <c r="H435">
        <f>IF(AND(G435=1,COUNTIFS($I$200:I435,I435,$G$200:G435,1)=1),1,0)</f>
        <v>0</v>
      </c>
      <c r="I435" t="str">
        <f t="shared" si="103"/>
        <v/>
      </c>
      <c r="BF435">
        <f t="shared" si="106"/>
        <v>0</v>
      </c>
      <c r="BG435">
        <f t="shared" si="107"/>
        <v>0</v>
      </c>
      <c r="BH435">
        <f t="shared" si="108"/>
        <v>0</v>
      </c>
      <c r="BI435">
        <f t="shared" si="109"/>
        <v>0</v>
      </c>
      <c r="BJ435">
        <f t="shared" si="110"/>
        <v>0</v>
      </c>
      <c r="BK435">
        <f t="shared" si="111"/>
        <v>0</v>
      </c>
      <c r="BL435">
        <f t="shared" si="112"/>
        <v>0</v>
      </c>
      <c r="BM435">
        <f t="shared" si="113"/>
        <v>0</v>
      </c>
      <c r="BN435">
        <f t="shared" si="114"/>
        <v>0</v>
      </c>
      <c r="BO435">
        <f t="shared" si="115"/>
        <v>0</v>
      </c>
      <c r="BP435">
        <f t="shared" si="116"/>
        <v>0</v>
      </c>
      <c r="BQ435">
        <f t="shared" si="117"/>
        <v>0</v>
      </c>
      <c r="BR435">
        <f t="shared" si="118"/>
        <v>0</v>
      </c>
      <c r="BS435">
        <f t="shared" si="119"/>
        <v>0</v>
      </c>
      <c r="BT435">
        <f t="shared" si="120"/>
        <v>0</v>
      </c>
      <c r="BU435">
        <f t="shared" si="121"/>
        <v>0</v>
      </c>
      <c r="BV435">
        <f t="shared" si="122"/>
        <v>0</v>
      </c>
      <c r="BW435">
        <f t="shared" si="123"/>
        <v>0</v>
      </c>
      <c r="CA435" t="str">
        <f>IF(236&gt;ROWS(DGArchive[模组]),"",IF(INDEX(DGArchive[模组],236)="","",INDEX(DGArchive[模组],236)))</f>
        <v/>
      </c>
      <c r="CB435" t="str">
        <f>IF(236&gt;ROWS(DGArchive[阶段]),"",IF(INDEX(DGArchive[阶段],236)="","",INDEX(DGArchive[阶段],236)))</f>
        <v/>
      </c>
      <c r="CC435" t="str">
        <f>IF(236&gt;ROWS(DGArchive[游戏内日期]),"",IF(INDEX(DGArchive[游戏内日期],236)="","",INDEX(DGArchive[游戏内日期],236)))</f>
        <v/>
      </c>
      <c r="CD435" t="str">
        <f>IF(236&gt;ROWS(DGArchive[目标]),"",IF(INDEX(DGArchive[目标],236)="","",INDEX(DGArchive[目标],236)))</f>
        <v/>
      </c>
      <c r="CE435" t="str">
        <f>IF(236&gt;ROWS(DGArchive[变更前]),"",IF(INDEX(DGArchive[变更前],236)="","",INDEX(DGArchive[变更前],236)))</f>
        <v/>
      </c>
      <c r="CF435" t="str">
        <f>IF(236&gt;ROWS(DGArchive[增减]),"",IF(INDEX(DGArchive[增减],236)="","",INDEX(DGArchive[增减],236)))</f>
        <v/>
      </c>
      <c r="CG435" t="str">
        <f>IF(236&gt;ROWS(DGArchive[变更后]),"",IF(INDEX(DGArchive[变更后],236)="","",INDEX(DGArchive[变更后],236)))</f>
        <v/>
      </c>
      <c r="CH435" t="str">
        <f>IF(236&gt;ROWS(DGArchive[事件／活动]),"",IF(INDEX(DGArchive[事件／活动],236)="","",INDEX(DGArchive[事件／活动],236)))</f>
        <v/>
      </c>
      <c r="CI435" t="str">
        <f>IF(236&gt;ROWS(DGArchive[记录编号]),"",IF(INDEX(DGArchive[记录编号],236)="","",INDEX(DGArchive[记录编号],236)))</f>
        <v/>
      </c>
      <c r="CL435">
        <f t="shared" si="104"/>
        <v>0</v>
      </c>
      <c r="CM435">
        <f>IF(AND(A435=$AO$5,B435=$AQ$3,H435=1),COUNTIFS($A$200:A435,$AO$5,$B$200:B435,$AQ$3,$H$200:H435,1),0)</f>
        <v>0</v>
      </c>
      <c r="CN435">
        <f>IF(CA435="",236,1001)</f>
        <v>236</v>
      </c>
      <c r="GA435">
        <f t="shared" si="124"/>
        <v>0</v>
      </c>
      <c r="GB435">
        <f t="shared" si="125"/>
        <v>0</v>
      </c>
      <c r="GC435">
        <f>IF(AND(C435="事件记录",H435=1),COUNTIFS($C$200:C435,"事件记录",$H$200:H435,1),0)</f>
        <v>0</v>
      </c>
      <c r="GD435">
        <f t="shared" si="105"/>
        <v>0</v>
      </c>
      <c r="GH435">
        <f>IF(AND(H435=1,A435=$GA$10,B435=$GA$11),COUNTIFS($A$200:A435,$GA$10,$B$200:B435,$GA$11,$H$200:H435,1),0)</f>
        <v>0</v>
      </c>
    </row>
    <row r="436" spans="1:190">
      <c r="A436" t="str">
        <f t="shared" si="96"/>
        <v/>
      </c>
      <c r="B436" t="str">
        <f t="shared" si="97"/>
        <v/>
      </c>
      <c r="C436" t="str">
        <f t="shared" si="98"/>
        <v/>
      </c>
      <c r="D436" t="str">
        <f t="shared" si="99"/>
        <v/>
      </c>
      <c r="E436">
        <f t="shared" si="100"/>
        <v>0</v>
      </c>
      <c r="F436" t="str">
        <f t="shared" si="101"/>
        <v/>
      </c>
      <c r="G436">
        <f t="shared" si="102"/>
        <v>0</v>
      </c>
      <c r="H436">
        <f>IF(AND(G436=1,COUNTIFS($I$200:I436,I436,$G$200:G436,1)=1),1,0)</f>
        <v>0</v>
      </c>
      <c r="I436" t="str">
        <f t="shared" si="103"/>
        <v/>
      </c>
      <c r="BF436">
        <f t="shared" si="106"/>
        <v>0</v>
      </c>
      <c r="BG436">
        <f t="shared" si="107"/>
        <v>0</v>
      </c>
      <c r="BH436">
        <f t="shared" si="108"/>
        <v>0</v>
      </c>
      <c r="BI436">
        <f t="shared" si="109"/>
        <v>0</v>
      </c>
      <c r="BJ436">
        <f t="shared" si="110"/>
        <v>0</v>
      </c>
      <c r="BK436">
        <f t="shared" si="111"/>
        <v>0</v>
      </c>
      <c r="BL436">
        <f t="shared" si="112"/>
        <v>0</v>
      </c>
      <c r="BM436">
        <f t="shared" si="113"/>
        <v>0</v>
      </c>
      <c r="BN436">
        <f t="shared" si="114"/>
        <v>0</v>
      </c>
      <c r="BO436">
        <f t="shared" si="115"/>
        <v>0</v>
      </c>
      <c r="BP436">
        <f t="shared" si="116"/>
        <v>0</v>
      </c>
      <c r="BQ436">
        <f t="shared" si="117"/>
        <v>0</v>
      </c>
      <c r="BR436">
        <f t="shared" si="118"/>
        <v>0</v>
      </c>
      <c r="BS436">
        <f t="shared" si="119"/>
        <v>0</v>
      </c>
      <c r="BT436">
        <f t="shared" si="120"/>
        <v>0</v>
      </c>
      <c r="BU436">
        <f t="shared" si="121"/>
        <v>0</v>
      </c>
      <c r="BV436">
        <f t="shared" si="122"/>
        <v>0</v>
      </c>
      <c r="BW436">
        <f t="shared" si="123"/>
        <v>0</v>
      </c>
      <c r="CA436" t="str">
        <f>IF(237&gt;ROWS(DGArchive[模组]),"",IF(INDEX(DGArchive[模组],237)="","",INDEX(DGArchive[模组],237)))</f>
        <v/>
      </c>
      <c r="CB436" t="str">
        <f>IF(237&gt;ROWS(DGArchive[阶段]),"",IF(INDEX(DGArchive[阶段],237)="","",INDEX(DGArchive[阶段],237)))</f>
        <v/>
      </c>
      <c r="CC436" t="str">
        <f>IF(237&gt;ROWS(DGArchive[游戏内日期]),"",IF(INDEX(DGArchive[游戏内日期],237)="","",INDEX(DGArchive[游戏内日期],237)))</f>
        <v/>
      </c>
      <c r="CD436" t="str">
        <f>IF(237&gt;ROWS(DGArchive[目标]),"",IF(INDEX(DGArchive[目标],237)="","",INDEX(DGArchive[目标],237)))</f>
        <v/>
      </c>
      <c r="CE436" t="str">
        <f>IF(237&gt;ROWS(DGArchive[变更前]),"",IF(INDEX(DGArchive[变更前],237)="","",INDEX(DGArchive[变更前],237)))</f>
        <v/>
      </c>
      <c r="CF436" t="str">
        <f>IF(237&gt;ROWS(DGArchive[增减]),"",IF(INDEX(DGArchive[增减],237)="","",INDEX(DGArchive[增减],237)))</f>
        <v/>
      </c>
      <c r="CG436" t="str">
        <f>IF(237&gt;ROWS(DGArchive[变更后]),"",IF(INDEX(DGArchive[变更后],237)="","",INDEX(DGArchive[变更后],237)))</f>
        <v/>
      </c>
      <c r="CH436" t="str">
        <f>IF(237&gt;ROWS(DGArchive[事件／活动]),"",IF(INDEX(DGArchive[事件／活动],237)="","",INDEX(DGArchive[事件／活动],237)))</f>
        <v/>
      </c>
      <c r="CI436" t="str">
        <f>IF(237&gt;ROWS(DGArchive[记录编号]),"",IF(INDEX(DGArchive[记录编号],237)="","",INDEX(DGArchive[记录编号],237)))</f>
        <v/>
      </c>
      <c r="CL436">
        <f t="shared" si="104"/>
        <v>0</v>
      </c>
      <c r="CM436">
        <f>IF(AND(A436=$AO$5,B436=$AQ$3,H436=1),COUNTIFS($A$200:A436,$AO$5,$B$200:B436,$AQ$3,$H$200:H436,1),0)</f>
        <v>0</v>
      </c>
      <c r="CN436">
        <f>IF(CA436="",237,1001)</f>
        <v>237</v>
      </c>
      <c r="GA436">
        <f t="shared" si="124"/>
        <v>0</v>
      </c>
      <c r="GB436">
        <f t="shared" si="125"/>
        <v>0</v>
      </c>
      <c r="GC436">
        <f>IF(AND(C436="事件记录",H436=1),COUNTIFS($C$200:C436,"事件记录",$H$200:H436,1),0)</f>
        <v>0</v>
      </c>
      <c r="GD436">
        <f t="shared" si="105"/>
        <v>0</v>
      </c>
      <c r="GH436">
        <f>IF(AND(H436=1,A436=$GA$10,B436=$GA$11),COUNTIFS($A$200:A436,$GA$10,$B$200:B436,$GA$11,$H$200:H436,1),0)</f>
        <v>0</v>
      </c>
    </row>
    <row r="437" spans="1:190">
      <c r="A437" t="str">
        <f t="shared" si="96"/>
        <v/>
      </c>
      <c r="B437" t="str">
        <f t="shared" si="97"/>
        <v/>
      </c>
      <c r="C437" t="str">
        <f t="shared" si="98"/>
        <v/>
      </c>
      <c r="D437" t="str">
        <f t="shared" si="99"/>
        <v/>
      </c>
      <c r="E437">
        <f t="shared" si="100"/>
        <v>0</v>
      </c>
      <c r="F437" t="str">
        <f t="shared" si="101"/>
        <v/>
      </c>
      <c r="G437">
        <f t="shared" si="102"/>
        <v>0</v>
      </c>
      <c r="H437">
        <f>IF(AND(G437=1,COUNTIFS($I$200:I437,I437,$G$200:G437,1)=1),1,0)</f>
        <v>0</v>
      </c>
      <c r="I437" t="str">
        <f t="shared" si="103"/>
        <v/>
      </c>
      <c r="BF437">
        <f t="shared" si="106"/>
        <v>0</v>
      </c>
      <c r="BG437">
        <f t="shared" si="107"/>
        <v>0</v>
      </c>
      <c r="BH437">
        <f t="shared" si="108"/>
        <v>0</v>
      </c>
      <c r="BI437">
        <f t="shared" si="109"/>
        <v>0</v>
      </c>
      <c r="BJ437">
        <f t="shared" si="110"/>
        <v>0</v>
      </c>
      <c r="BK437">
        <f t="shared" si="111"/>
        <v>0</v>
      </c>
      <c r="BL437">
        <f t="shared" si="112"/>
        <v>0</v>
      </c>
      <c r="BM437">
        <f t="shared" si="113"/>
        <v>0</v>
      </c>
      <c r="BN437">
        <f t="shared" si="114"/>
        <v>0</v>
      </c>
      <c r="BO437">
        <f t="shared" si="115"/>
        <v>0</v>
      </c>
      <c r="BP437">
        <f t="shared" si="116"/>
        <v>0</v>
      </c>
      <c r="BQ437">
        <f t="shared" si="117"/>
        <v>0</v>
      </c>
      <c r="BR437">
        <f t="shared" si="118"/>
        <v>0</v>
      </c>
      <c r="BS437">
        <f t="shared" si="119"/>
        <v>0</v>
      </c>
      <c r="BT437">
        <f t="shared" si="120"/>
        <v>0</v>
      </c>
      <c r="BU437">
        <f t="shared" si="121"/>
        <v>0</v>
      </c>
      <c r="BV437">
        <f t="shared" si="122"/>
        <v>0</v>
      </c>
      <c r="BW437">
        <f t="shared" si="123"/>
        <v>0</v>
      </c>
      <c r="CA437" t="str">
        <f>IF(238&gt;ROWS(DGArchive[模组]),"",IF(INDEX(DGArchive[模组],238)="","",INDEX(DGArchive[模组],238)))</f>
        <v/>
      </c>
      <c r="CB437" t="str">
        <f>IF(238&gt;ROWS(DGArchive[阶段]),"",IF(INDEX(DGArchive[阶段],238)="","",INDEX(DGArchive[阶段],238)))</f>
        <v/>
      </c>
      <c r="CC437" t="str">
        <f>IF(238&gt;ROWS(DGArchive[游戏内日期]),"",IF(INDEX(DGArchive[游戏内日期],238)="","",INDEX(DGArchive[游戏内日期],238)))</f>
        <v/>
      </c>
      <c r="CD437" t="str">
        <f>IF(238&gt;ROWS(DGArchive[目标]),"",IF(INDEX(DGArchive[目标],238)="","",INDEX(DGArchive[目标],238)))</f>
        <v/>
      </c>
      <c r="CE437" t="str">
        <f>IF(238&gt;ROWS(DGArchive[变更前]),"",IF(INDEX(DGArchive[变更前],238)="","",INDEX(DGArchive[变更前],238)))</f>
        <v/>
      </c>
      <c r="CF437" t="str">
        <f>IF(238&gt;ROWS(DGArchive[增减]),"",IF(INDEX(DGArchive[增减],238)="","",INDEX(DGArchive[增减],238)))</f>
        <v/>
      </c>
      <c r="CG437" t="str">
        <f>IF(238&gt;ROWS(DGArchive[变更后]),"",IF(INDEX(DGArchive[变更后],238)="","",INDEX(DGArchive[变更后],238)))</f>
        <v/>
      </c>
      <c r="CH437" t="str">
        <f>IF(238&gt;ROWS(DGArchive[事件／活动]),"",IF(INDEX(DGArchive[事件／活动],238)="","",INDEX(DGArchive[事件／活动],238)))</f>
        <v/>
      </c>
      <c r="CI437" t="str">
        <f>IF(238&gt;ROWS(DGArchive[记录编号]),"",IF(INDEX(DGArchive[记录编号],238)="","",INDEX(DGArchive[记录编号],238)))</f>
        <v/>
      </c>
      <c r="CL437">
        <f t="shared" si="104"/>
        <v>0</v>
      </c>
      <c r="CM437">
        <f>IF(AND(A437=$AO$5,B437=$AQ$3,H437=1),COUNTIFS($A$200:A437,$AO$5,$B$200:B437,$AQ$3,$H$200:H437,1),0)</f>
        <v>0</v>
      </c>
      <c r="CN437">
        <f>IF(CA437="",238,1001)</f>
        <v>238</v>
      </c>
      <c r="GA437">
        <f t="shared" si="124"/>
        <v>0</v>
      </c>
      <c r="GB437">
        <f t="shared" si="125"/>
        <v>0</v>
      </c>
      <c r="GC437">
        <f>IF(AND(C437="事件记录",H437=1),COUNTIFS($C$200:C437,"事件记录",$H$200:H437,1),0)</f>
        <v>0</v>
      </c>
      <c r="GD437">
        <f t="shared" si="105"/>
        <v>0</v>
      </c>
      <c r="GH437">
        <f>IF(AND(H437=1,A437=$GA$10,B437=$GA$11),COUNTIFS($A$200:A437,$GA$10,$B$200:B437,$GA$11,$H$200:H437,1),0)</f>
        <v>0</v>
      </c>
    </row>
    <row r="438" spans="1:190">
      <c r="A438" t="str">
        <f t="shared" si="96"/>
        <v/>
      </c>
      <c r="B438" t="str">
        <f t="shared" si="97"/>
        <v/>
      </c>
      <c r="C438" t="str">
        <f t="shared" si="98"/>
        <v/>
      </c>
      <c r="D438" t="str">
        <f t="shared" si="99"/>
        <v/>
      </c>
      <c r="E438">
        <f t="shared" si="100"/>
        <v>0</v>
      </c>
      <c r="F438" t="str">
        <f t="shared" si="101"/>
        <v/>
      </c>
      <c r="G438">
        <f t="shared" si="102"/>
        <v>0</v>
      </c>
      <c r="H438">
        <f>IF(AND(G438=1,COUNTIFS($I$200:I438,I438,$G$200:G438,1)=1),1,0)</f>
        <v>0</v>
      </c>
      <c r="I438" t="str">
        <f t="shared" si="103"/>
        <v/>
      </c>
      <c r="BF438">
        <f t="shared" si="106"/>
        <v>0</v>
      </c>
      <c r="BG438">
        <f t="shared" si="107"/>
        <v>0</v>
      </c>
      <c r="BH438">
        <f t="shared" si="108"/>
        <v>0</v>
      </c>
      <c r="BI438">
        <f t="shared" si="109"/>
        <v>0</v>
      </c>
      <c r="BJ438">
        <f t="shared" si="110"/>
        <v>0</v>
      </c>
      <c r="BK438">
        <f t="shared" si="111"/>
        <v>0</v>
      </c>
      <c r="BL438">
        <f t="shared" si="112"/>
        <v>0</v>
      </c>
      <c r="BM438">
        <f t="shared" si="113"/>
        <v>0</v>
      </c>
      <c r="BN438">
        <f t="shared" si="114"/>
        <v>0</v>
      </c>
      <c r="BO438">
        <f t="shared" si="115"/>
        <v>0</v>
      </c>
      <c r="BP438">
        <f t="shared" si="116"/>
        <v>0</v>
      </c>
      <c r="BQ438">
        <f t="shared" si="117"/>
        <v>0</v>
      </c>
      <c r="BR438">
        <f t="shared" si="118"/>
        <v>0</v>
      </c>
      <c r="BS438">
        <f t="shared" si="119"/>
        <v>0</v>
      </c>
      <c r="BT438">
        <f t="shared" si="120"/>
        <v>0</v>
      </c>
      <c r="BU438">
        <f t="shared" si="121"/>
        <v>0</v>
      </c>
      <c r="BV438">
        <f t="shared" si="122"/>
        <v>0</v>
      </c>
      <c r="BW438">
        <f t="shared" si="123"/>
        <v>0</v>
      </c>
      <c r="CA438" t="str">
        <f>IF(239&gt;ROWS(DGArchive[模组]),"",IF(INDEX(DGArchive[模组],239)="","",INDEX(DGArchive[模组],239)))</f>
        <v/>
      </c>
      <c r="CB438" t="str">
        <f>IF(239&gt;ROWS(DGArchive[阶段]),"",IF(INDEX(DGArchive[阶段],239)="","",INDEX(DGArchive[阶段],239)))</f>
        <v/>
      </c>
      <c r="CC438" t="str">
        <f>IF(239&gt;ROWS(DGArchive[游戏内日期]),"",IF(INDEX(DGArchive[游戏内日期],239)="","",INDEX(DGArchive[游戏内日期],239)))</f>
        <v/>
      </c>
      <c r="CD438" t="str">
        <f>IF(239&gt;ROWS(DGArchive[目标]),"",IF(INDEX(DGArchive[目标],239)="","",INDEX(DGArchive[目标],239)))</f>
        <v/>
      </c>
      <c r="CE438" t="str">
        <f>IF(239&gt;ROWS(DGArchive[变更前]),"",IF(INDEX(DGArchive[变更前],239)="","",INDEX(DGArchive[变更前],239)))</f>
        <v/>
      </c>
      <c r="CF438" t="str">
        <f>IF(239&gt;ROWS(DGArchive[增减]),"",IF(INDEX(DGArchive[增减],239)="","",INDEX(DGArchive[增减],239)))</f>
        <v/>
      </c>
      <c r="CG438" t="str">
        <f>IF(239&gt;ROWS(DGArchive[变更后]),"",IF(INDEX(DGArchive[变更后],239)="","",INDEX(DGArchive[变更后],239)))</f>
        <v/>
      </c>
      <c r="CH438" t="str">
        <f>IF(239&gt;ROWS(DGArchive[事件／活动]),"",IF(INDEX(DGArchive[事件／活动],239)="","",INDEX(DGArchive[事件／活动],239)))</f>
        <v/>
      </c>
      <c r="CI438" t="str">
        <f>IF(239&gt;ROWS(DGArchive[记录编号]),"",IF(INDEX(DGArchive[记录编号],239)="","",INDEX(DGArchive[记录编号],239)))</f>
        <v/>
      </c>
      <c r="CL438">
        <f t="shared" si="104"/>
        <v>0</v>
      </c>
      <c r="CM438">
        <f>IF(AND(A438=$AO$5,B438=$AQ$3,H438=1),COUNTIFS($A$200:A438,$AO$5,$B$200:B438,$AQ$3,$H$200:H438,1),0)</f>
        <v>0</v>
      </c>
      <c r="CN438">
        <f>IF(CA438="",239,1001)</f>
        <v>239</v>
      </c>
      <c r="GA438">
        <f t="shared" si="124"/>
        <v>0</v>
      </c>
      <c r="GB438">
        <f t="shared" si="125"/>
        <v>0</v>
      </c>
      <c r="GC438">
        <f>IF(AND(C438="事件记录",H438=1),COUNTIFS($C$200:C438,"事件记录",$H$200:H438,1),0)</f>
        <v>0</v>
      </c>
      <c r="GD438">
        <f t="shared" si="105"/>
        <v>0</v>
      </c>
      <c r="GH438">
        <f>IF(AND(H438=1,A438=$GA$10,B438=$GA$11),COUNTIFS($A$200:A438,$GA$10,$B$200:B438,$GA$11,$H$200:H438,1),0)</f>
        <v>0</v>
      </c>
    </row>
    <row r="439" spans="1:190">
      <c r="A439" t="str">
        <f t="shared" si="96"/>
        <v/>
      </c>
      <c r="B439" t="str">
        <f t="shared" si="97"/>
        <v/>
      </c>
      <c r="C439" t="str">
        <f t="shared" si="98"/>
        <v/>
      </c>
      <c r="D439" t="str">
        <f t="shared" si="99"/>
        <v/>
      </c>
      <c r="E439">
        <f t="shared" si="100"/>
        <v>0</v>
      </c>
      <c r="F439" t="str">
        <f t="shared" si="101"/>
        <v/>
      </c>
      <c r="G439">
        <f t="shared" si="102"/>
        <v>0</v>
      </c>
      <c r="H439">
        <f>IF(AND(G439=1,COUNTIFS($I$200:I439,I439,$G$200:G439,1)=1),1,0)</f>
        <v>0</v>
      </c>
      <c r="I439" t="str">
        <f t="shared" si="103"/>
        <v/>
      </c>
      <c r="BF439">
        <f t="shared" si="106"/>
        <v>0</v>
      </c>
      <c r="BG439">
        <f t="shared" si="107"/>
        <v>0</v>
      </c>
      <c r="BH439">
        <f t="shared" si="108"/>
        <v>0</v>
      </c>
      <c r="BI439">
        <f t="shared" si="109"/>
        <v>0</v>
      </c>
      <c r="BJ439">
        <f t="shared" si="110"/>
        <v>0</v>
      </c>
      <c r="BK439">
        <f t="shared" si="111"/>
        <v>0</v>
      </c>
      <c r="BL439">
        <f t="shared" si="112"/>
        <v>0</v>
      </c>
      <c r="BM439">
        <f t="shared" si="113"/>
        <v>0</v>
      </c>
      <c r="BN439">
        <f t="shared" si="114"/>
        <v>0</v>
      </c>
      <c r="BO439">
        <f t="shared" si="115"/>
        <v>0</v>
      </c>
      <c r="BP439">
        <f t="shared" si="116"/>
        <v>0</v>
      </c>
      <c r="BQ439">
        <f t="shared" si="117"/>
        <v>0</v>
      </c>
      <c r="BR439">
        <f t="shared" si="118"/>
        <v>0</v>
      </c>
      <c r="BS439">
        <f t="shared" si="119"/>
        <v>0</v>
      </c>
      <c r="BT439">
        <f t="shared" si="120"/>
        <v>0</v>
      </c>
      <c r="BU439">
        <f t="shared" si="121"/>
        <v>0</v>
      </c>
      <c r="BV439">
        <f t="shared" si="122"/>
        <v>0</v>
      </c>
      <c r="BW439">
        <f t="shared" si="123"/>
        <v>0</v>
      </c>
      <c r="CA439" t="str">
        <f>IF(240&gt;ROWS(DGArchive[模组]),"",IF(INDEX(DGArchive[模组],240)="","",INDEX(DGArchive[模组],240)))</f>
        <v/>
      </c>
      <c r="CB439" t="str">
        <f>IF(240&gt;ROWS(DGArchive[阶段]),"",IF(INDEX(DGArchive[阶段],240)="","",INDEX(DGArchive[阶段],240)))</f>
        <v/>
      </c>
      <c r="CC439" t="str">
        <f>IF(240&gt;ROWS(DGArchive[游戏内日期]),"",IF(INDEX(DGArchive[游戏内日期],240)="","",INDEX(DGArchive[游戏内日期],240)))</f>
        <v/>
      </c>
      <c r="CD439" t="str">
        <f>IF(240&gt;ROWS(DGArchive[目标]),"",IF(INDEX(DGArchive[目标],240)="","",INDEX(DGArchive[目标],240)))</f>
        <v/>
      </c>
      <c r="CE439" t="str">
        <f>IF(240&gt;ROWS(DGArchive[变更前]),"",IF(INDEX(DGArchive[变更前],240)="","",INDEX(DGArchive[变更前],240)))</f>
        <v/>
      </c>
      <c r="CF439" t="str">
        <f>IF(240&gt;ROWS(DGArchive[增减]),"",IF(INDEX(DGArchive[增减],240)="","",INDEX(DGArchive[增减],240)))</f>
        <v/>
      </c>
      <c r="CG439" t="str">
        <f>IF(240&gt;ROWS(DGArchive[变更后]),"",IF(INDEX(DGArchive[变更后],240)="","",INDEX(DGArchive[变更后],240)))</f>
        <v/>
      </c>
      <c r="CH439" t="str">
        <f>IF(240&gt;ROWS(DGArchive[事件／活动]),"",IF(INDEX(DGArchive[事件／活动],240)="","",INDEX(DGArchive[事件／活动],240)))</f>
        <v/>
      </c>
      <c r="CI439" t="str">
        <f>IF(240&gt;ROWS(DGArchive[记录编号]),"",IF(INDEX(DGArchive[记录编号],240)="","",INDEX(DGArchive[记录编号],240)))</f>
        <v/>
      </c>
      <c r="CL439">
        <f t="shared" si="104"/>
        <v>0</v>
      </c>
      <c r="CM439">
        <f>IF(AND(A439=$AO$5,B439=$AQ$3,H439=1),COUNTIFS($A$200:A439,$AO$5,$B$200:B439,$AQ$3,$H$200:H439,1),0)</f>
        <v>0</v>
      </c>
      <c r="CN439">
        <f>IF(CA439="",240,1001)</f>
        <v>240</v>
      </c>
      <c r="GA439">
        <f t="shared" si="124"/>
        <v>0</v>
      </c>
      <c r="GB439">
        <f t="shared" si="125"/>
        <v>0</v>
      </c>
      <c r="GC439">
        <f>IF(AND(C439="事件记录",H439=1),COUNTIFS($C$200:C439,"事件记录",$H$200:H439,1),0)</f>
        <v>0</v>
      </c>
      <c r="GD439">
        <f t="shared" si="105"/>
        <v>0</v>
      </c>
      <c r="GH439">
        <f>IF(AND(H439=1,A439=$GA$10,B439=$GA$11),COUNTIFS($A$200:A439,$GA$10,$B$200:B439,$GA$11,$H$200:H439,1),0)</f>
        <v>0</v>
      </c>
    </row>
    <row r="440" spans="1:190">
      <c r="A440" t="str">
        <f t="shared" si="96"/>
        <v/>
      </c>
      <c r="B440" t="str">
        <f t="shared" si="97"/>
        <v/>
      </c>
      <c r="C440" t="str">
        <f t="shared" si="98"/>
        <v/>
      </c>
      <c r="D440" t="str">
        <f t="shared" si="99"/>
        <v/>
      </c>
      <c r="E440">
        <f t="shared" si="100"/>
        <v>0</v>
      </c>
      <c r="F440" t="str">
        <f t="shared" si="101"/>
        <v/>
      </c>
      <c r="G440">
        <f t="shared" si="102"/>
        <v>0</v>
      </c>
      <c r="H440">
        <f>IF(AND(G440=1,COUNTIFS($I$200:I440,I440,$G$200:G440,1)=1),1,0)</f>
        <v>0</v>
      </c>
      <c r="I440" t="str">
        <f t="shared" si="103"/>
        <v/>
      </c>
      <c r="BF440">
        <f t="shared" si="106"/>
        <v>0</v>
      </c>
      <c r="BG440">
        <f t="shared" si="107"/>
        <v>0</v>
      </c>
      <c r="BH440">
        <f t="shared" si="108"/>
        <v>0</v>
      </c>
      <c r="BI440">
        <f t="shared" si="109"/>
        <v>0</v>
      </c>
      <c r="BJ440">
        <f t="shared" si="110"/>
        <v>0</v>
      </c>
      <c r="BK440">
        <f t="shared" si="111"/>
        <v>0</v>
      </c>
      <c r="BL440">
        <f t="shared" si="112"/>
        <v>0</v>
      </c>
      <c r="BM440">
        <f t="shared" si="113"/>
        <v>0</v>
      </c>
      <c r="BN440">
        <f t="shared" si="114"/>
        <v>0</v>
      </c>
      <c r="BO440">
        <f t="shared" si="115"/>
        <v>0</v>
      </c>
      <c r="BP440">
        <f t="shared" si="116"/>
        <v>0</v>
      </c>
      <c r="BQ440">
        <f t="shared" si="117"/>
        <v>0</v>
      </c>
      <c r="BR440">
        <f t="shared" si="118"/>
        <v>0</v>
      </c>
      <c r="BS440">
        <f t="shared" si="119"/>
        <v>0</v>
      </c>
      <c r="BT440">
        <f t="shared" si="120"/>
        <v>0</v>
      </c>
      <c r="BU440">
        <f t="shared" si="121"/>
        <v>0</v>
      </c>
      <c r="BV440">
        <f t="shared" si="122"/>
        <v>0</v>
      </c>
      <c r="BW440">
        <f t="shared" si="123"/>
        <v>0</v>
      </c>
      <c r="CA440" t="str">
        <f>IF(241&gt;ROWS(DGArchive[模组]),"",IF(INDEX(DGArchive[模组],241)="","",INDEX(DGArchive[模组],241)))</f>
        <v/>
      </c>
      <c r="CB440" t="str">
        <f>IF(241&gt;ROWS(DGArchive[阶段]),"",IF(INDEX(DGArchive[阶段],241)="","",INDEX(DGArchive[阶段],241)))</f>
        <v/>
      </c>
      <c r="CC440" t="str">
        <f>IF(241&gt;ROWS(DGArchive[游戏内日期]),"",IF(INDEX(DGArchive[游戏内日期],241)="","",INDEX(DGArchive[游戏内日期],241)))</f>
        <v/>
      </c>
      <c r="CD440" t="str">
        <f>IF(241&gt;ROWS(DGArchive[目标]),"",IF(INDEX(DGArchive[目标],241)="","",INDEX(DGArchive[目标],241)))</f>
        <v/>
      </c>
      <c r="CE440" t="str">
        <f>IF(241&gt;ROWS(DGArchive[变更前]),"",IF(INDEX(DGArchive[变更前],241)="","",INDEX(DGArchive[变更前],241)))</f>
        <v/>
      </c>
      <c r="CF440" t="str">
        <f>IF(241&gt;ROWS(DGArchive[增减]),"",IF(INDEX(DGArchive[增减],241)="","",INDEX(DGArchive[增减],241)))</f>
        <v/>
      </c>
      <c r="CG440" t="str">
        <f>IF(241&gt;ROWS(DGArchive[变更后]),"",IF(INDEX(DGArchive[变更后],241)="","",INDEX(DGArchive[变更后],241)))</f>
        <v/>
      </c>
      <c r="CH440" t="str">
        <f>IF(241&gt;ROWS(DGArchive[事件／活动]),"",IF(INDEX(DGArchive[事件／活动],241)="","",INDEX(DGArchive[事件／活动],241)))</f>
        <v/>
      </c>
      <c r="CI440" t="str">
        <f>IF(241&gt;ROWS(DGArchive[记录编号]),"",IF(INDEX(DGArchive[记录编号],241)="","",INDEX(DGArchive[记录编号],241)))</f>
        <v/>
      </c>
      <c r="CL440">
        <f t="shared" si="104"/>
        <v>0</v>
      </c>
      <c r="CM440">
        <f>IF(AND(A440=$AO$5,B440=$AQ$3,H440=1),COUNTIFS($A$200:A440,$AO$5,$B$200:B440,$AQ$3,$H$200:H440,1),0)</f>
        <v>0</v>
      </c>
      <c r="CN440">
        <f>IF(CA440="",241,1001)</f>
        <v>241</v>
      </c>
      <c r="GA440">
        <f t="shared" si="124"/>
        <v>0</v>
      </c>
      <c r="GB440">
        <f t="shared" si="125"/>
        <v>0</v>
      </c>
      <c r="GC440">
        <f>IF(AND(C440="事件记录",H440=1),COUNTIFS($C$200:C440,"事件记录",$H$200:H440,1),0)</f>
        <v>0</v>
      </c>
      <c r="GD440">
        <f t="shared" si="105"/>
        <v>0</v>
      </c>
      <c r="GH440">
        <f>IF(AND(H440=1,A440=$GA$10,B440=$GA$11),COUNTIFS($A$200:A440,$GA$10,$B$200:B440,$GA$11,$H$200:H440,1),0)</f>
        <v>0</v>
      </c>
    </row>
    <row r="441" spans="1:190">
      <c r="A441" t="str">
        <f t="shared" si="96"/>
        <v/>
      </c>
      <c r="B441" t="str">
        <f t="shared" si="97"/>
        <v/>
      </c>
      <c r="C441" t="str">
        <f t="shared" si="98"/>
        <v/>
      </c>
      <c r="D441" t="str">
        <f t="shared" si="99"/>
        <v/>
      </c>
      <c r="E441">
        <f t="shared" si="100"/>
        <v>0</v>
      </c>
      <c r="F441" t="str">
        <f t="shared" si="101"/>
        <v/>
      </c>
      <c r="G441">
        <f t="shared" si="102"/>
        <v>0</v>
      </c>
      <c r="H441">
        <f>IF(AND(G441=1,COUNTIFS($I$200:I441,I441,$G$200:G441,1)=1),1,0)</f>
        <v>0</v>
      </c>
      <c r="I441" t="str">
        <f t="shared" si="103"/>
        <v/>
      </c>
      <c r="BF441">
        <f t="shared" si="106"/>
        <v>0</v>
      </c>
      <c r="BG441">
        <f t="shared" si="107"/>
        <v>0</v>
      </c>
      <c r="BH441">
        <f t="shared" si="108"/>
        <v>0</v>
      </c>
      <c r="BI441">
        <f t="shared" si="109"/>
        <v>0</v>
      </c>
      <c r="BJ441">
        <f t="shared" si="110"/>
        <v>0</v>
      </c>
      <c r="BK441">
        <f t="shared" si="111"/>
        <v>0</v>
      </c>
      <c r="BL441">
        <f t="shared" si="112"/>
        <v>0</v>
      </c>
      <c r="BM441">
        <f t="shared" si="113"/>
        <v>0</v>
      </c>
      <c r="BN441">
        <f t="shared" si="114"/>
        <v>0</v>
      </c>
      <c r="BO441">
        <f t="shared" si="115"/>
        <v>0</v>
      </c>
      <c r="BP441">
        <f t="shared" si="116"/>
        <v>0</v>
      </c>
      <c r="BQ441">
        <f t="shared" si="117"/>
        <v>0</v>
      </c>
      <c r="BR441">
        <f t="shared" si="118"/>
        <v>0</v>
      </c>
      <c r="BS441">
        <f t="shared" si="119"/>
        <v>0</v>
      </c>
      <c r="BT441">
        <f t="shared" si="120"/>
        <v>0</v>
      </c>
      <c r="BU441">
        <f t="shared" si="121"/>
        <v>0</v>
      </c>
      <c r="BV441">
        <f t="shared" si="122"/>
        <v>0</v>
      </c>
      <c r="BW441">
        <f t="shared" si="123"/>
        <v>0</v>
      </c>
      <c r="CA441" t="str">
        <f>IF(242&gt;ROWS(DGArchive[模组]),"",IF(INDEX(DGArchive[模组],242)="","",INDEX(DGArchive[模组],242)))</f>
        <v/>
      </c>
      <c r="CB441" t="str">
        <f>IF(242&gt;ROWS(DGArchive[阶段]),"",IF(INDEX(DGArchive[阶段],242)="","",INDEX(DGArchive[阶段],242)))</f>
        <v/>
      </c>
      <c r="CC441" t="str">
        <f>IF(242&gt;ROWS(DGArchive[游戏内日期]),"",IF(INDEX(DGArchive[游戏内日期],242)="","",INDEX(DGArchive[游戏内日期],242)))</f>
        <v/>
      </c>
      <c r="CD441" t="str">
        <f>IF(242&gt;ROWS(DGArchive[目标]),"",IF(INDEX(DGArchive[目标],242)="","",INDEX(DGArchive[目标],242)))</f>
        <v/>
      </c>
      <c r="CE441" t="str">
        <f>IF(242&gt;ROWS(DGArchive[变更前]),"",IF(INDEX(DGArchive[变更前],242)="","",INDEX(DGArchive[变更前],242)))</f>
        <v/>
      </c>
      <c r="CF441" t="str">
        <f>IF(242&gt;ROWS(DGArchive[增减]),"",IF(INDEX(DGArchive[增减],242)="","",INDEX(DGArchive[增减],242)))</f>
        <v/>
      </c>
      <c r="CG441" t="str">
        <f>IF(242&gt;ROWS(DGArchive[变更后]),"",IF(INDEX(DGArchive[变更后],242)="","",INDEX(DGArchive[变更后],242)))</f>
        <v/>
      </c>
      <c r="CH441" t="str">
        <f>IF(242&gt;ROWS(DGArchive[事件／活动]),"",IF(INDEX(DGArchive[事件／活动],242)="","",INDEX(DGArchive[事件／活动],242)))</f>
        <v/>
      </c>
      <c r="CI441" t="str">
        <f>IF(242&gt;ROWS(DGArchive[记录编号]),"",IF(INDEX(DGArchive[记录编号],242)="","",INDEX(DGArchive[记录编号],242)))</f>
        <v/>
      </c>
      <c r="CL441">
        <f t="shared" si="104"/>
        <v>0</v>
      </c>
      <c r="CM441">
        <f>IF(AND(A441=$AO$5,B441=$AQ$3,H441=1),COUNTIFS($A$200:A441,$AO$5,$B$200:B441,$AQ$3,$H$200:H441,1),0)</f>
        <v>0</v>
      </c>
      <c r="CN441">
        <f>IF(CA441="",242,1001)</f>
        <v>242</v>
      </c>
      <c r="GA441">
        <f t="shared" si="124"/>
        <v>0</v>
      </c>
      <c r="GB441">
        <f t="shared" si="125"/>
        <v>0</v>
      </c>
      <c r="GC441">
        <f>IF(AND(C441="事件记录",H441=1),COUNTIFS($C$200:C441,"事件记录",$H$200:H441,1),0)</f>
        <v>0</v>
      </c>
      <c r="GD441">
        <f t="shared" si="105"/>
        <v>0</v>
      </c>
      <c r="GH441">
        <f>IF(AND(H441=1,A441=$GA$10,B441=$GA$11),COUNTIFS($A$200:A441,$GA$10,$B$200:B441,$GA$11,$H$200:H441,1),0)</f>
        <v>0</v>
      </c>
    </row>
    <row r="442" spans="1:190">
      <c r="A442" t="str">
        <f t="shared" si="96"/>
        <v/>
      </c>
      <c r="B442" t="str">
        <f t="shared" si="97"/>
        <v/>
      </c>
      <c r="C442" t="str">
        <f t="shared" si="98"/>
        <v/>
      </c>
      <c r="D442" t="str">
        <f t="shared" si="99"/>
        <v/>
      </c>
      <c r="E442">
        <f t="shared" si="100"/>
        <v>0</v>
      </c>
      <c r="F442" t="str">
        <f t="shared" si="101"/>
        <v/>
      </c>
      <c r="G442">
        <f t="shared" si="102"/>
        <v>0</v>
      </c>
      <c r="H442">
        <f>IF(AND(G442=1,COUNTIFS($I$200:I442,I442,$G$200:G442,1)=1),1,0)</f>
        <v>0</v>
      </c>
      <c r="I442" t="str">
        <f t="shared" si="103"/>
        <v/>
      </c>
      <c r="BF442">
        <f t="shared" si="106"/>
        <v>0</v>
      </c>
      <c r="BG442">
        <f t="shared" si="107"/>
        <v>0</v>
      </c>
      <c r="BH442">
        <f t="shared" si="108"/>
        <v>0</v>
      </c>
      <c r="BI442">
        <f t="shared" si="109"/>
        <v>0</v>
      </c>
      <c r="BJ442">
        <f t="shared" si="110"/>
        <v>0</v>
      </c>
      <c r="BK442">
        <f t="shared" si="111"/>
        <v>0</v>
      </c>
      <c r="BL442">
        <f t="shared" si="112"/>
        <v>0</v>
      </c>
      <c r="BM442">
        <f t="shared" si="113"/>
        <v>0</v>
      </c>
      <c r="BN442">
        <f t="shared" si="114"/>
        <v>0</v>
      </c>
      <c r="BO442">
        <f t="shared" si="115"/>
        <v>0</v>
      </c>
      <c r="BP442">
        <f t="shared" si="116"/>
        <v>0</v>
      </c>
      <c r="BQ442">
        <f t="shared" si="117"/>
        <v>0</v>
      </c>
      <c r="BR442">
        <f t="shared" si="118"/>
        <v>0</v>
      </c>
      <c r="BS442">
        <f t="shared" si="119"/>
        <v>0</v>
      </c>
      <c r="BT442">
        <f t="shared" si="120"/>
        <v>0</v>
      </c>
      <c r="BU442">
        <f t="shared" si="121"/>
        <v>0</v>
      </c>
      <c r="BV442">
        <f t="shared" si="122"/>
        <v>0</v>
      </c>
      <c r="BW442">
        <f t="shared" si="123"/>
        <v>0</v>
      </c>
      <c r="CA442" t="str">
        <f>IF(243&gt;ROWS(DGArchive[模组]),"",IF(INDEX(DGArchive[模组],243)="","",INDEX(DGArchive[模组],243)))</f>
        <v/>
      </c>
      <c r="CB442" t="str">
        <f>IF(243&gt;ROWS(DGArchive[阶段]),"",IF(INDEX(DGArchive[阶段],243)="","",INDEX(DGArchive[阶段],243)))</f>
        <v/>
      </c>
      <c r="CC442" t="str">
        <f>IF(243&gt;ROWS(DGArchive[游戏内日期]),"",IF(INDEX(DGArchive[游戏内日期],243)="","",INDEX(DGArchive[游戏内日期],243)))</f>
        <v/>
      </c>
      <c r="CD442" t="str">
        <f>IF(243&gt;ROWS(DGArchive[目标]),"",IF(INDEX(DGArchive[目标],243)="","",INDEX(DGArchive[目标],243)))</f>
        <v/>
      </c>
      <c r="CE442" t="str">
        <f>IF(243&gt;ROWS(DGArchive[变更前]),"",IF(INDEX(DGArchive[变更前],243)="","",INDEX(DGArchive[变更前],243)))</f>
        <v/>
      </c>
      <c r="CF442" t="str">
        <f>IF(243&gt;ROWS(DGArchive[增减]),"",IF(INDEX(DGArchive[增减],243)="","",INDEX(DGArchive[增减],243)))</f>
        <v/>
      </c>
      <c r="CG442" t="str">
        <f>IF(243&gt;ROWS(DGArchive[变更后]),"",IF(INDEX(DGArchive[变更后],243)="","",INDEX(DGArchive[变更后],243)))</f>
        <v/>
      </c>
      <c r="CH442" t="str">
        <f>IF(243&gt;ROWS(DGArchive[事件／活动]),"",IF(INDEX(DGArchive[事件／活动],243)="","",INDEX(DGArchive[事件／活动],243)))</f>
        <v/>
      </c>
      <c r="CI442" t="str">
        <f>IF(243&gt;ROWS(DGArchive[记录编号]),"",IF(INDEX(DGArchive[记录编号],243)="","",INDEX(DGArchive[记录编号],243)))</f>
        <v/>
      </c>
      <c r="CL442">
        <f t="shared" si="104"/>
        <v>0</v>
      </c>
      <c r="CM442">
        <f>IF(AND(A442=$AO$5,B442=$AQ$3,H442=1),COUNTIFS($A$200:A442,$AO$5,$B$200:B442,$AQ$3,$H$200:H442,1),0)</f>
        <v>0</v>
      </c>
      <c r="CN442">
        <f>IF(CA442="",243,1001)</f>
        <v>243</v>
      </c>
      <c r="GA442">
        <f t="shared" si="124"/>
        <v>0</v>
      </c>
      <c r="GB442">
        <f t="shared" si="125"/>
        <v>0</v>
      </c>
      <c r="GC442">
        <f>IF(AND(C442="事件记录",H442=1),COUNTIFS($C$200:C442,"事件记录",$H$200:H442,1),0)</f>
        <v>0</v>
      </c>
      <c r="GD442">
        <f t="shared" si="105"/>
        <v>0</v>
      </c>
      <c r="GH442">
        <f>IF(AND(H442=1,A442=$GA$10,B442=$GA$11),COUNTIFS($A$200:A442,$GA$10,$B$200:B442,$GA$11,$H$200:H442,1),0)</f>
        <v>0</v>
      </c>
    </row>
    <row r="443" spans="1:190">
      <c r="A443" t="str">
        <f t="shared" si="96"/>
        <v/>
      </c>
      <c r="B443" t="str">
        <f t="shared" si="97"/>
        <v/>
      </c>
      <c r="C443" t="str">
        <f t="shared" si="98"/>
        <v/>
      </c>
      <c r="D443" t="str">
        <f t="shared" si="99"/>
        <v/>
      </c>
      <c r="E443">
        <f t="shared" si="100"/>
        <v>0</v>
      </c>
      <c r="F443" t="str">
        <f t="shared" si="101"/>
        <v/>
      </c>
      <c r="G443">
        <f t="shared" si="102"/>
        <v>0</v>
      </c>
      <c r="H443">
        <f>IF(AND(G443=1,COUNTIFS($I$200:I443,I443,$G$200:G443,1)=1),1,0)</f>
        <v>0</v>
      </c>
      <c r="I443" t="str">
        <f t="shared" si="103"/>
        <v/>
      </c>
      <c r="BF443">
        <f t="shared" si="106"/>
        <v>0</v>
      </c>
      <c r="BG443">
        <f t="shared" si="107"/>
        <v>0</v>
      </c>
      <c r="BH443">
        <f t="shared" si="108"/>
        <v>0</v>
      </c>
      <c r="BI443">
        <f t="shared" si="109"/>
        <v>0</v>
      </c>
      <c r="BJ443">
        <f t="shared" si="110"/>
        <v>0</v>
      </c>
      <c r="BK443">
        <f t="shared" si="111"/>
        <v>0</v>
      </c>
      <c r="BL443">
        <f t="shared" si="112"/>
        <v>0</v>
      </c>
      <c r="BM443">
        <f t="shared" si="113"/>
        <v>0</v>
      </c>
      <c r="BN443">
        <f t="shared" si="114"/>
        <v>0</v>
      </c>
      <c r="BO443">
        <f t="shared" si="115"/>
        <v>0</v>
      </c>
      <c r="BP443">
        <f t="shared" si="116"/>
        <v>0</v>
      </c>
      <c r="BQ443">
        <f t="shared" si="117"/>
        <v>0</v>
      </c>
      <c r="BR443">
        <f t="shared" si="118"/>
        <v>0</v>
      </c>
      <c r="BS443">
        <f t="shared" si="119"/>
        <v>0</v>
      </c>
      <c r="BT443">
        <f t="shared" si="120"/>
        <v>0</v>
      </c>
      <c r="BU443">
        <f t="shared" si="121"/>
        <v>0</v>
      </c>
      <c r="BV443">
        <f t="shared" si="122"/>
        <v>0</v>
      </c>
      <c r="BW443">
        <f t="shared" si="123"/>
        <v>0</v>
      </c>
      <c r="CA443" t="str">
        <f>IF(244&gt;ROWS(DGArchive[模组]),"",IF(INDEX(DGArchive[模组],244)="","",INDEX(DGArchive[模组],244)))</f>
        <v/>
      </c>
      <c r="CB443" t="str">
        <f>IF(244&gt;ROWS(DGArchive[阶段]),"",IF(INDEX(DGArchive[阶段],244)="","",INDEX(DGArchive[阶段],244)))</f>
        <v/>
      </c>
      <c r="CC443" t="str">
        <f>IF(244&gt;ROWS(DGArchive[游戏内日期]),"",IF(INDEX(DGArchive[游戏内日期],244)="","",INDEX(DGArchive[游戏内日期],244)))</f>
        <v/>
      </c>
      <c r="CD443" t="str">
        <f>IF(244&gt;ROWS(DGArchive[目标]),"",IF(INDEX(DGArchive[目标],244)="","",INDEX(DGArchive[目标],244)))</f>
        <v/>
      </c>
      <c r="CE443" t="str">
        <f>IF(244&gt;ROWS(DGArchive[变更前]),"",IF(INDEX(DGArchive[变更前],244)="","",INDEX(DGArchive[变更前],244)))</f>
        <v/>
      </c>
      <c r="CF443" t="str">
        <f>IF(244&gt;ROWS(DGArchive[增减]),"",IF(INDEX(DGArchive[增减],244)="","",INDEX(DGArchive[增减],244)))</f>
        <v/>
      </c>
      <c r="CG443" t="str">
        <f>IF(244&gt;ROWS(DGArchive[变更后]),"",IF(INDEX(DGArchive[变更后],244)="","",INDEX(DGArchive[变更后],244)))</f>
        <v/>
      </c>
      <c r="CH443" t="str">
        <f>IF(244&gt;ROWS(DGArchive[事件／活动]),"",IF(INDEX(DGArchive[事件／活动],244)="","",INDEX(DGArchive[事件／活动],244)))</f>
        <v/>
      </c>
      <c r="CI443" t="str">
        <f>IF(244&gt;ROWS(DGArchive[记录编号]),"",IF(INDEX(DGArchive[记录编号],244)="","",INDEX(DGArchive[记录编号],244)))</f>
        <v/>
      </c>
      <c r="CL443">
        <f t="shared" si="104"/>
        <v>0</v>
      </c>
      <c r="CM443">
        <f>IF(AND(A443=$AO$5,B443=$AQ$3,H443=1),COUNTIFS($A$200:A443,$AO$5,$B$200:B443,$AQ$3,$H$200:H443,1),0)</f>
        <v>0</v>
      </c>
      <c r="CN443">
        <f>IF(CA443="",244,1001)</f>
        <v>244</v>
      </c>
      <c r="GA443">
        <f t="shared" si="124"/>
        <v>0</v>
      </c>
      <c r="GB443">
        <f t="shared" si="125"/>
        <v>0</v>
      </c>
      <c r="GC443">
        <f>IF(AND(C443="事件记录",H443=1),COUNTIFS($C$200:C443,"事件记录",$H$200:H443,1),0)</f>
        <v>0</v>
      </c>
      <c r="GD443">
        <f t="shared" si="105"/>
        <v>0</v>
      </c>
      <c r="GH443">
        <f>IF(AND(H443=1,A443=$GA$10,B443=$GA$11),COUNTIFS($A$200:A443,$GA$10,$B$200:B443,$GA$11,$H$200:H443,1),0)</f>
        <v>0</v>
      </c>
    </row>
    <row r="444" spans="1:190">
      <c r="A444" t="str">
        <f t="shared" si="96"/>
        <v/>
      </c>
      <c r="B444" t="str">
        <f t="shared" si="97"/>
        <v/>
      </c>
      <c r="C444" t="str">
        <f t="shared" si="98"/>
        <v/>
      </c>
      <c r="D444" t="str">
        <f t="shared" si="99"/>
        <v/>
      </c>
      <c r="E444">
        <f t="shared" si="100"/>
        <v>0</v>
      </c>
      <c r="F444" t="str">
        <f t="shared" si="101"/>
        <v/>
      </c>
      <c r="G444">
        <f t="shared" si="102"/>
        <v>0</v>
      </c>
      <c r="H444">
        <f>IF(AND(G444=1,COUNTIFS($I$200:I444,I444,$G$200:G444,1)=1),1,0)</f>
        <v>0</v>
      </c>
      <c r="I444" t="str">
        <f t="shared" si="103"/>
        <v/>
      </c>
      <c r="BF444">
        <f t="shared" si="106"/>
        <v>0</v>
      </c>
      <c r="BG444">
        <f t="shared" si="107"/>
        <v>0</v>
      </c>
      <c r="BH444">
        <f t="shared" si="108"/>
        <v>0</v>
      </c>
      <c r="BI444">
        <f t="shared" si="109"/>
        <v>0</v>
      </c>
      <c r="BJ444">
        <f t="shared" si="110"/>
        <v>0</v>
      </c>
      <c r="BK444">
        <f t="shared" si="111"/>
        <v>0</v>
      </c>
      <c r="BL444">
        <f t="shared" si="112"/>
        <v>0</v>
      </c>
      <c r="BM444">
        <f t="shared" si="113"/>
        <v>0</v>
      </c>
      <c r="BN444">
        <f t="shared" si="114"/>
        <v>0</v>
      </c>
      <c r="BO444">
        <f t="shared" si="115"/>
        <v>0</v>
      </c>
      <c r="BP444">
        <f t="shared" si="116"/>
        <v>0</v>
      </c>
      <c r="BQ444">
        <f t="shared" si="117"/>
        <v>0</v>
      </c>
      <c r="BR444">
        <f t="shared" si="118"/>
        <v>0</v>
      </c>
      <c r="BS444">
        <f t="shared" si="119"/>
        <v>0</v>
      </c>
      <c r="BT444">
        <f t="shared" si="120"/>
        <v>0</v>
      </c>
      <c r="BU444">
        <f t="shared" si="121"/>
        <v>0</v>
      </c>
      <c r="BV444">
        <f t="shared" si="122"/>
        <v>0</v>
      </c>
      <c r="BW444">
        <f t="shared" si="123"/>
        <v>0</v>
      </c>
      <c r="CA444" t="str">
        <f>IF(245&gt;ROWS(DGArchive[模组]),"",IF(INDEX(DGArchive[模组],245)="","",INDEX(DGArchive[模组],245)))</f>
        <v/>
      </c>
      <c r="CB444" t="str">
        <f>IF(245&gt;ROWS(DGArchive[阶段]),"",IF(INDEX(DGArchive[阶段],245)="","",INDEX(DGArchive[阶段],245)))</f>
        <v/>
      </c>
      <c r="CC444" t="str">
        <f>IF(245&gt;ROWS(DGArchive[游戏内日期]),"",IF(INDEX(DGArchive[游戏内日期],245)="","",INDEX(DGArchive[游戏内日期],245)))</f>
        <v/>
      </c>
      <c r="CD444" t="str">
        <f>IF(245&gt;ROWS(DGArchive[目标]),"",IF(INDEX(DGArchive[目标],245)="","",INDEX(DGArchive[目标],245)))</f>
        <v/>
      </c>
      <c r="CE444" t="str">
        <f>IF(245&gt;ROWS(DGArchive[变更前]),"",IF(INDEX(DGArchive[变更前],245)="","",INDEX(DGArchive[变更前],245)))</f>
        <v/>
      </c>
      <c r="CF444" t="str">
        <f>IF(245&gt;ROWS(DGArchive[增减]),"",IF(INDEX(DGArchive[增减],245)="","",INDEX(DGArchive[增减],245)))</f>
        <v/>
      </c>
      <c r="CG444" t="str">
        <f>IF(245&gt;ROWS(DGArchive[变更后]),"",IF(INDEX(DGArchive[变更后],245)="","",INDEX(DGArchive[变更后],245)))</f>
        <v/>
      </c>
      <c r="CH444" t="str">
        <f>IF(245&gt;ROWS(DGArchive[事件／活动]),"",IF(INDEX(DGArchive[事件／活动],245)="","",INDEX(DGArchive[事件／活动],245)))</f>
        <v/>
      </c>
      <c r="CI444" t="str">
        <f>IF(245&gt;ROWS(DGArchive[记录编号]),"",IF(INDEX(DGArchive[记录编号],245)="","",INDEX(DGArchive[记录编号],245)))</f>
        <v/>
      </c>
      <c r="CL444">
        <f t="shared" si="104"/>
        <v>0</v>
      </c>
      <c r="CM444">
        <f>IF(AND(A444=$AO$5,B444=$AQ$3,H444=1),COUNTIFS($A$200:A444,$AO$5,$B$200:B444,$AQ$3,$H$200:H444,1),0)</f>
        <v>0</v>
      </c>
      <c r="CN444">
        <f>IF(CA444="",245,1001)</f>
        <v>245</v>
      </c>
      <c r="GA444">
        <f t="shared" si="124"/>
        <v>0</v>
      </c>
      <c r="GB444">
        <f t="shared" si="125"/>
        <v>0</v>
      </c>
      <c r="GC444">
        <f>IF(AND(C444="事件记录",H444=1),COUNTIFS($C$200:C444,"事件记录",$H$200:H444,1),0)</f>
        <v>0</v>
      </c>
      <c r="GD444">
        <f t="shared" si="105"/>
        <v>0</v>
      </c>
      <c r="GH444">
        <f>IF(AND(H444=1,A444=$GA$10,B444=$GA$11),COUNTIFS($A$200:A444,$GA$10,$B$200:B444,$GA$11,$H$200:H444,1),0)</f>
        <v>0</v>
      </c>
    </row>
    <row r="445" spans="1:190">
      <c r="A445" t="str">
        <f t="shared" si="96"/>
        <v/>
      </c>
      <c r="B445" t="str">
        <f t="shared" si="97"/>
        <v/>
      </c>
      <c r="C445" t="str">
        <f t="shared" si="98"/>
        <v/>
      </c>
      <c r="D445" t="str">
        <f t="shared" si="99"/>
        <v/>
      </c>
      <c r="E445">
        <f t="shared" si="100"/>
        <v>0</v>
      </c>
      <c r="F445" t="str">
        <f t="shared" si="101"/>
        <v/>
      </c>
      <c r="G445">
        <f t="shared" si="102"/>
        <v>0</v>
      </c>
      <c r="H445">
        <f>IF(AND(G445=1,COUNTIFS($I$200:I445,I445,$G$200:G445,1)=1),1,0)</f>
        <v>0</v>
      </c>
      <c r="I445" t="str">
        <f t="shared" si="103"/>
        <v/>
      </c>
      <c r="BF445">
        <f t="shared" si="106"/>
        <v>0</v>
      </c>
      <c r="BG445">
        <f t="shared" si="107"/>
        <v>0</v>
      </c>
      <c r="BH445">
        <f t="shared" si="108"/>
        <v>0</v>
      </c>
      <c r="BI445">
        <f t="shared" si="109"/>
        <v>0</v>
      </c>
      <c r="BJ445">
        <f t="shared" si="110"/>
        <v>0</v>
      </c>
      <c r="BK445">
        <f t="shared" si="111"/>
        <v>0</v>
      </c>
      <c r="BL445">
        <f t="shared" si="112"/>
        <v>0</v>
      </c>
      <c r="BM445">
        <f t="shared" si="113"/>
        <v>0</v>
      </c>
      <c r="BN445">
        <f t="shared" si="114"/>
        <v>0</v>
      </c>
      <c r="BO445">
        <f t="shared" si="115"/>
        <v>0</v>
      </c>
      <c r="BP445">
        <f t="shared" si="116"/>
        <v>0</v>
      </c>
      <c r="BQ445">
        <f t="shared" si="117"/>
        <v>0</v>
      </c>
      <c r="BR445">
        <f t="shared" si="118"/>
        <v>0</v>
      </c>
      <c r="BS445">
        <f t="shared" si="119"/>
        <v>0</v>
      </c>
      <c r="BT445">
        <f t="shared" si="120"/>
        <v>0</v>
      </c>
      <c r="BU445">
        <f t="shared" si="121"/>
        <v>0</v>
      </c>
      <c r="BV445">
        <f t="shared" si="122"/>
        <v>0</v>
      </c>
      <c r="BW445">
        <f t="shared" si="123"/>
        <v>0</v>
      </c>
      <c r="CA445" t="str">
        <f>IF(246&gt;ROWS(DGArchive[模组]),"",IF(INDEX(DGArchive[模组],246)="","",INDEX(DGArchive[模组],246)))</f>
        <v/>
      </c>
      <c r="CB445" t="str">
        <f>IF(246&gt;ROWS(DGArchive[阶段]),"",IF(INDEX(DGArchive[阶段],246)="","",INDEX(DGArchive[阶段],246)))</f>
        <v/>
      </c>
      <c r="CC445" t="str">
        <f>IF(246&gt;ROWS(DGArchive[游戏内日期]),"",IF(INDEX(DGArchive[游戏内日期],246)="","",INDEX(DGArchive[游戏内日期],246)))</f>
        <v/>
      </c>
      <c r="CD445" t="str">
        <f>IF(246&gt;ROWS(DGArchive[目标]),"",IF(INDEX(DGArchive[目标],246)="","",INDEX(DGArchive[目标],246)))</f>
        <v/>
      </c>
      <c r="CE445" t="str">
        <f>IF(246&gt;ROWS(DGArchive[变更前]),"",IF(INDEX(DGArchive[变更前],246)="","",INDEX(DGArchive[变更前],246)))</f>
        <v/>
      </c>
      <c r="CF445" t="str">
        <f>IF(246&gt;ROWS(DGArchive[增减]),"",IF(INDEX(DGArchive[增减],246)="","",INDEX(DGArchive[增减],246)))</f>
        <v/>
      </c>
      <c r="CG445" t="str">
        <f>IF(246&gt;ROWS(DGArchive[变更后]),"",IF(INDEX(DGArchive[变更后],246)="","",INDEX(DGArchive[变更后],246)))</f>
        <v/>
      </c>
      <c r="CH445" t="str">
        <f>IF(246&gt;ROWS(DGArchive[事件／活动]),"",IF(INDEX(DGArchive[事件／活动],246)="","",INDEX(DGArchive[事件／活动],246)))</f>
        <v/>
      </c>
      <c r="CI445" t="str">
        <f>IF(246&gt;ROWS(DGArchive[记录编号]),"",IF(INDEX(DGArchive[记录编号],246)="","",INDEX(DGArchive[记录编号],246)))</f>
        <v/>
      </c>
      <c r="CL445">
        <f t="shared" si="104"/>
        <v>0</v>
      </c>
      <c r="CM445">
        <f>IF(AND(A445=$AO$5,B445=$AQ$3,H445=1),COUNTIFS($A$200:A445,$AO$5,$B$200:B445,$AQ$3,$H$200:H445,1),0)</f>
        <v>0</v>
      </c>
      <c r="CN445">
        <f>IF(CA445="",246,1001)</f>
        <v>246</v>
      </c>
      <c r="GA445">
        <f t="shared" si="124"/>
        <v>0</v>
      </c>
      <c r="GB445">
        <f t="shared" si="125"/>
        <v>0</v>
      </c>
      <c r="GC445">
        <f>IF(AND(C445="事件记录",H445=1),COUNTIFS($C$200:C445,"事件记录",$H$200:H445,1),0)</f>
        <v>0</v>
      </c>
      <c r="GD445">
        <f t="shared" si="105"/>
        <v>0</v>
      </c>
      <c r="GH445">
        <f>IF(AND(H445=1,A445=$GA$10,B445=$GA$11),COUNTIFS($A$200:A445,$GA$10,$B$200:B445,$GA$11,$H$200:H445,1),0)</f>
        <v>0</v>
      </c>
    </row>
    <row r="446" spans="1:190">
      <c r="A446" t="str">
        <f t="shared" si="96"/>
        <v/>
      </c>
      <c r="B446" t="str">
        <f t="shared" si="97"/>
        <v/>
      </c>
      <c r="C446" t="str">
        <f t="shared" si="98"/>
        <v/>
      </c>
      <c r="D446" t="str">
        <f t="shared" si="99"/>
        <v/>
      </c>
      <c r="E446">
        <f t="shared" si="100"/>
        <v>0</v>
      </c>
      <c r="F446" t="str">
        <f t="shared" si="101"/>
        <v/>
      </c>
      <c r="G446">
        <f t="shared" si="102"/>
        <v>0</v>
      </c>
      <c r="H446">
        <f>IF(AND(G446=1,COUNTIFS($I$200:I446,I446,$G$200:G446,1)=1),1,0)</f>
        <v>0</v>
      </c>
      <c r="I446" t="str">
        <f t="shared" si="103"/>
        <v/>
      </c>
      <c r="BF446">
        <f t="shared" si="106"/>
        <v>0</v>
      </c>
      <c r="BG446">
        <f t="shared" si="107"/>
        <v>0</v>
      </c>
      <c r="BH446">
        <f t="shared" si="108"/>
        <v>0</v>
      </c>
      <c r="BI446">
        <f t="shared" si="109"/>
        <v>0</v>
      </c>
      <c r="BJ446">
        <f t="shared" si="110"/>
        <v>0</v>
      </c>
      <c r="BK446">
        <f t="shared" si="111"/>
        <v>0</v>
      </c>
      <c r="BL446">
        <f t="shared" si="112"/>
        <v>0</v>
      </c>
      <c r="BM446">
        <f t="shared" si="113"/>
        <v>0</v>
      </c>
      <c r="BN446">
        <f t="shared" si="114"/>
        <v>0</v>
      </c>
      <c r="BO446">
        <f t="shared" si="115"/>
        <v>0</v>
      </c>
      <c r="BP446">
        <f t="shared" si="116"/>
        <v>0</v>
      </c>
      <c r="BQ446">
        <f t="shared" si="117"/>
        <v>0</v>
      </c>
      <c r="BR446">
        <f t="shared" si="118"/>
        <v>0</v>
      </c>
      <c r="BS446">
        <f t="shared" si="119"/>
        <v>0</v>
      </c>
      <c r="BT446">
        <f t="shared" si="120"/>
        <v>0</v>
      </c>
      <c r="BU446">
        <f t="shared" si="121"/>
        <v>0</v>
      </c>
      <c r="BV446">
        <f t="shared" si="122"/>
        <v>0</v>
      </c>
      <c r="BW446">
        <f t="shared" si="123"/>
        <v>0</v>
      </c>
      <c r="CA446" t="str">
        <f>IF(247&gt;ROWS(DGArchive[模组]),"",IF(INDEX(DGArchive[模组],247)="","",INDEX(DGArchive[模组],247)))</f>
        <v/>
      </c>
      <c r="CB446" t="str">
        <f>IF(247&gt;ROWS(DGArchive[阶段]),"",IF(INDEX(DGArchive[阶段],247)="","",INDEX(DGArchive[阶段],247)))</f>
        <v/>
      </c>
      <c r="CC446" t="str">
        <f>IF(247&gt;ROWS(DGArchive[游戏内日期]),"",IF(INDEX(DGArchive[游戏内日期],247)="","",INDEX(DGArchive[游戏内日期],247)))</f>
        <v/>
      </c>
      <c r="CD446" t="str">
        <f>IF(247&gt;ROWS(DGArchive[目标]),"",IF(INDEX(DGArchive[目标],247)="","",INDEX(DGArchive[目标],247)))</f>
        <v/>
      </c>
      <c r="CE446" t="str">
        <f>IF(247&gt;ROWS(DGArchive[变更前]),"",IF(INDEX(DGArchive[变更前],247)="","",INDEX(DGArchive[变更前],247)))</f>
        <v/>
      </c>
      <c r="CF446" t="str">
        <f>IF(247&gt;ROWS(DGArchive[增减]),"",IF(INDEX(DGArchive[增减],247)="","",INDEX(DGArchive[增减],247)))</f>
        <v/>
      </c>
      <c r="CG446" t="str">
        <f>IF(247&gt;ROWS(DGArchive[变更后]),"",IF(INDEX(DGArchive[变更后],247)="","",INDEX(DGArchive[变更后],247)))</f>
        <v/>
      </c>
      <c r="CH446" t="str">
        <f>IF(247&gt;ROWS(DGArchive[事件／活动]),"",IF(INDEX(DGArchive[事件／活动],247)="","",INDEX(DGArchive[事件／活动],247)))</f>
        <v/>
      </c>
      <c r="CI446" t="str">
        <f>IF(247&gt;ROWS(DGArchive[记录编号]),"",IF(INDEX(DGArchive[记录编号],247)="","",INDEX(DGArchive[记录编号],247)))</f>
        <v/>
      </c>
      <c r="CL446">
        <f t="shared" si="104"/>
        <v>0</v>
      </c>
      <c r="CM446">
        <f>IF(AND(A446=$AO$5,B446=$AQ$3,H446=1),COUNTIFS($A$200:A446,$AO$5,$B$200:B446,$AQ$3,$H$200:H446,1),0)</f>
        <v>0</v>
      </c>
      <c r="CN446">
        <f>IF(CA446="",247,1001)</f>
        <v>247</v>
      </c>
      <c r="GA446">
        <f t="shared" si="124"/>
        <v>0</v>
      </c>
      <c r="GB446">
        <f t="shared" si="125"/>
        <v>0</v>
      </c>
      <c r="GC446">
        <f>IF(AND(C446="事件记录",H446=1),COUNTIFS($C$200:C446,"事件记录",$H$200:H446,1),0)</f>
        <v>0</v>
      </c>
      <c r="GD446">
        <f t="shared" si="105"/>
        <v>0</v>
      </c>
      <c r="GH446">
        <f>IF(AND(H446=1,A446=$GA$10,B446=$GA$11),COUNTIFS($A$200:A446,$GA$10,$B$200:B446,$GA$11,$H$200:H446,1),0)</f>
        <v>0</v>
      </c>
    </row>
    <row r="447" spans="1:190">
      <c r="A447" t="str">
        <f t="shared" si="96"/>
        <v/>
      </c>
      <c r="B447" t="str">
        <f t="shared" si="97"/>
        <v/>
      </c>
      <c r="C447" t="str">
        <f t="shared" si="98"/>
        <v/>
      </c>
      <c r="D447" t="str">
        <f t="shared" si="99"/>
        <v/>
      </c>
      <c r="E447">
        <f t="shared" si="100"/>
        <v>0</v>
      </c>
      <c r="F447" t="str">
        <f t="shared" si="101"/>
        <v/>
      </c>
      <c r="G447">
        <f t="shared" si="102"/>
        <v>0</v>
      </c>
      <c r="H447">
        <f>IF(AND(G447=1,COUNTIFS($I$200:I447,I447,$G$200:G447,1)=1),1,0)</f>
        <v>0</v>
      </c>
      <c r="I447" t="str">
        <f t="shared" si="103"/>
        <v/>
      </c>
      <c r="BF447">
        <f t="shared" si="106"/>
        <v>0</v>
      </c>
      <c r="BG447">
        <f t="shared" si="107"/>
        <v>0</v>
      </c>
      <c r="BH447">
        <f t="shared" si="108"/>
        <v>0</v>
      </c>
      <c r="BI447">
        <f t="shared" si="109"/>
        <v>0</v>
      </c>
      <c r="BJ447">
        <f t="shared" si="110"/>
        <v>0</v>
      </c>
      <c r="BK447">
        <f t="shared" si="111"/>
        <v>0</v>
      </c>
      <c r="BL447">
        <f t="shared" si="112"/>
        <v>0</v>
      </c>
      <c r="BM447">
        <f t="shared" si="113"/>
        <v>0</v>
      </c>
      <c r="BN447">
        <f t="shared" si="114"/>
        <v>0</v>
      </c>
      <c r="BO447">
        <f t="shared" si="115"/>
        <v>0</v>
      </c>
      <c r="BP447">
        <f t="shared" si="116"/>
        <v>0</v>
      </c>
      <c r="BQ447">
        <f t="shared" si="117"/>
        <v>0</v>
      </c>
      <c r="BR447">
        <f t="shared" si="118"/>
        <v>0</v>
      </c>
      <c r="BS447">
        <f t="shared" si="119"/>
        <v>0</v>
      </c>
      <c r="BT447">
        <f t="shared" si="120"/>
        <v>0</v>
      </c>
      <c r="BU447">
        <f t="shared" si="121"/>
        <v>0</v>
      </c>
      <c r="BV447">
        <f t="shared" si="122"/>
        <v>0</v>
      </c>
      <c r="BW447">
        <f t="shared" si="123"/>
        <v>0</v>
      </c>
      <c r="CA447" t="str">
        <f>IF(248&gt;ROWS(DGArchive[模组]),"",IF(INDEX(DGArchive[模组],248)="","",INDEX(DGArchive[模组],248)))</f>
        <v/>
      </c>
      <c r="CB447" t="str">
        <f>IF(248&gt;ROWS(DGArchive[阶段]),"",IF(INDEX(DGArchive[阶段],248)="","",INDEX(DGArchive[阶段],248)))</f>
        <v/>
      </c>
      <c r="CC447" t="str">
        <f>IF(248&gt;ROWS(DGArchive[游戏内日期]),"",IF(INDEX(DGArchive[游戏内日期],248)="","",INDEX(DGArchive[游戏内日期],248)))</f>
        <v/>
      </c>
      <c r="CD447" t="str">
        <f>IF(248&gt;ROWS(DGArchive[目标]),"",IF(INDEX(DGArchive[目标],248)="","",INDEX(DGArchive[目标],248)))</f>
        <v/>
      </c>
      <c r="CE447" t="str">
        <f>IF(248&gt;ROWS(DGArchive[变更前]),"",IF(INDEX(DGArchive[变更前],248)="","",INDEX(DGArchive[变更前],248)))</f>
        <v/>
      </c>
      <c r="CF447" t="str">
        <f>IF(248&gt;ROWS(DGArchive[增减]),"",IF(INDEX(DGArchive[增减],248)="","",INDEX(DGArchive[增减],248)))</f>
        <v/>
      </c>
      <c r="CG447" t="str">
        <f>IF(248&gt;ROWS(DGArchive[变更后]),"",IF(INDEX(DGArchive[变更后],248)="","",INDEX(DGArchive[变更后],248)))</f>
        <v/>
      </c>
      <c r="CH447" t="str">
        <f>IF(248&gt;ROWS(DGArchive[事件／活动]),"",IF(INDEX(DGArchive[事件／活动],248)="","",INDEX(DGArchive[事件／活动],248)))</f>
        <v/>
      </c>
      <c r="CI447" t="str">
        <f>IF(248&gt;ROWS(DGArchive[记录编号]),"",IF(INDEX(DGArchive[记录编号],248)="","",INDEX(DGArchive[记录编号],248)))</f>
        <v/>
      </c>
      <c r="CL447">
        <f t="shared" si="104"/>
        <v>0</v>
      </c>
      <c r="CM447">
        <f>IF(AND(A447=$AO$5,B447=$AQ$3,H447=1),COUNTIFS($A$200:A447,$AO$5,$B$200:B447,$AQ$3,$H$200:H447,1),0)</f>
        <v>0</v>
      </c>
      <c r="CN447">
        <f>IF(CA447="",248,1001)</f>
        <v>248</v>
      </c>
      <c r="GA447">
        <f t="shared" si="124"/>
        <v>0</v>
      </c>
      <c r="GB447">
        <f t="shared" si="125"/>
        <v>0</v>
      </c>
      <c r="GC447">
        <f>IF(AND(C447="事件记录",H447=1),COUNTIFS($C$200:C447,"事件记录",$H$200:H447,1),0)</f>
        <v>0</v>
      </c>
      <c r="GD447">
        <f t="shared" si="105"/>
        <v>0</v>
      </c>
      <c r="GH447">
        <f>IF(AND(H447=1,A447=$GA$10,B447=$GA$11),COUNTIFS($A$200:A447,$GA$10,$B$200:B447,$GA$11,$H$200:H447,1),0)</f>
        <v>0</v>
      </c>
    </row>
    <row r="448" spans="1:190">
      <c r="A448" t="str">
        <f t="shared" si="96"/>
        <v/>
      </c>
      <c r="B448" t="str">
        <f t="shared" si="97"/>
        <v/>
      </c>
      <c r="C448" t="str">
        <f t="shared" si="98"/>
        <v/>
      </c>
      <c r="D448" t="str">
        <f t="shared" si="99"/>
        <v/>
      </c>
      <c r="E448">
        <f t="shared" si="100"/>
        <v>0</v>
      </c>
      <c r="F448" t="str">
        <f t="shared" si="101"/>
        <v/>
      </c>
      <c r="G448">
        <f t="shared" si="102"/>
        <v>0</v>
      </c>
      <c r="H448">
        <f>IF(AND(G448=1,COUNTIFS($I$200:I448,I448,$G$200:G448,1)=1),1,0)</f>
        <v>0</v>
      </c>
      <c r="I448" t="str">
        <f t="shared" si="103"/>
        <v/>
      </c>
      <c r="BF448">
        <f t="shared" si="106"/>
        <v>0</v>
      </c>
      <c r="BG448">
        <f t="shared" si="107"/>
        <v>0</v>
      </c>
      <c r="BH448">
        <f t="shared" si="108"/>
        <v>0</v>
      </c>
      <c r="BI448">
        <f t="shared" si="109"/>
        <v>0</v>
      </c>
      <c r="BJ448">
        <f t="shared" si="110"/>
        <v>0</v>
      </c>
      <c r="BK448">
        <f t="shared" si="111"/>
        <v>0</v>
      </c>
      <c r="BL448">
        <f t="shared" si="112"/>
        <v>0</v>
      </c>
      <c r="BM448">
        <f t="shared" si="113"/>
        <v>0</v>
      </c>
      <c r="BN448">
        <f t="shared" si="114"/>
        <v>0</v>
      </c>
      <c r="BO448">
        <f t="shared" si="115"/>
        <v>0</v>
      </c>
      <c r="BP448">
        <f t="shared" si="116"/>
        <v>0</v>
      </c>
      <c r="BQ448">
        <f t="shared" si="117"/>
        <v>0</v>
      </c>
      <c r="BR448">
        <f t="shared" si="118"/>
        <v>0</v>
      </c>
      <c r="BS448">
        <f t="shared" si="119"/>
        <v>0</v>
      </c>
      <c r="BT448">
        <f t="shared" si="120"/>
        <v>0</v>
      </c>
      <c r="BU448">
        <f t="shared" si="121"/>
        <v>0</v>
      </c>
      <c r="BV448">
        <f t="shared" si="122"/>
        <v>0</v>
      </c>
      <c r="BW448">
        <f t="shared" si="123"/>
        <v>0</v>
      </c>
      <c r="CA448" t="str">
        <f>IF(249&gt;ROWS(DGArchive[模组]),"",IF(INDEX(DGArchive[模组],249)="","",INDEX(DGArchive[模组],249)))</f>
        <v/>
      </c>
      <c r="CB448" t="str">
        <f>IF(249&gt;ROWS(DGArchive[阶段]),"",IF(INDEX(DGArchive[阶段],249)="","",INDEX(DGArchive[阶段],249)))</f>
        <v/>
      </c>
      <c r="CC448" t="str">
        <f>IF(249&gt;ROWS(DGArchive[游戏内日期]),"",IF(INDEX(DGArchive[游戏内日期],249)="","",INDEX(DGArchive[游戏内日期],249)))</f>
        <v/>
      </c>
      <c r="CD448" t="str">
        <f>IF(249&gt;ROWS(DGArchive[目标]),"",IF(INDEX(DGArchive[目标],249)="","",INDEX(DGArchive[目标],249)))</f>
        <v/>
      </c>
      <c r="CE448" t="str">
        <f>IF(249&gt;ROWS(DGArchive[变更前]),"",IF(INDEX(DGArchive[变更前],249)="","",INDEX(DGArchive[变更前],249)))</f>
        <v/>
      </c>
      <c r="CF448" t="str">
        <f>IF(249&gt;ROWS(DGArchive[增减]),"",IF(INDEX(DGArchive[增减],249)="","",INDEX(DGArchive[增减],249)))</f>
        <v/>
      </c>
      <c r="CG448" t="str">
        <f>IF(249&gt;ROWS(DGArchive[变更后]),"",IF(INDEX(DGArchive[变更后],249)="","",INDEX(DGArchive[变更后],249)))</f>
        <v/>
      </c>
      <c r="CH448" t="str">
        <f>IF(249&gt;ROWS(DGArchive[事件／活动]),"",IF(INDEX(DGArchive[事件／活动],249)="","",INDEX(DGArchive[事件／活动],249)))</f>
        <v/>
      </c>
      <c r="CI448" t="str">
        <f>IF(249&gt;ROWS(DGArchive[记录编号]),"",IF(INDEX(DGArchive[记录编号],249)="","",INDEX(DGArchive[记录编号],249)))</f>
        <v/>
      </c>
      <c r="CL448">
        <f t="shared" si="104"/>
        <v>0</v>
      </c>
      <c r="CM448">
        <f>IF(AND(A448=$AO$5,B448=$AQ$3,H448=1),COUNTIFS($A$200:A448,$AO$5,$B$200:B448,$AQ$3,$H$200:H448,1),0)</f>
        <v>0</v>
      </c>
      <c r="CN448">
        <f>IF(CA448="",249,1001)</f>
        <v>249</v>
      </c>
      <c r="GA448">
        <f t="shared" si="124"/>
        <v>0</v>
      </c>
      <c r="GB448">
        <f t="shared" si="125"/>
        <v>0</v>
      </c>
      <c r="GC448">
        <f>IF(AND(C448="事件记录",H448=1),COUNTIFS($C$200:C448,"事件记录",$H$200:H448,1),0)</f>
        <v>0</v>
      </c>
      <c r="GD448">
        <f t="shared" si="105"/>
        <v>0</v>
      </c>
      <c r="GH448">
        <f>IF(AND(H448=1,A448=$GA$10,B448=$GA$11),COUNTIFS($A$200:A448,$GA$10,$B$200:B448,$GA$11,$H$200:H448,1),0)</f>
        <v>0</v>
      </c>
    </row>
    <row r="449" spans="1:190">
      <c r="A449" t="str">
        <f t="shared" si="96"/>
        <v/>
      </c>
      <c r="B449" t="str">
        <f t="shared" si="97"/>
        <v/>
      </c>
      <c r="C449" t="str">
        <f t="shared" si="98"/>
        <v/>
      </c>
      <c r="D449" t="str">
        <f t="shared" si="99"/>
        <v/>
      </c>
      <c r="E449">
        <f t="shared" si="100"/>
        <v>0</v>
      </c>
      <c r="F449" t="str">
        <f t="shared" si="101"/>
        <v/>
      </c>
      <c r="G449">
        <f t="shared" si="102"/>
        <v>0</v>
      </c>
      <c r="H449">
        <f>IF(AND(G449=1,COUNTIFS($I$200:I449,I449,$G$200:G449,1)=1),1,0)</f>
        <v>0</v>
      </c>
      <c r="I449" t="str">
        <f t="shared" si="103"/>
        <v/>
      </c>
      <c r="BF449">
        <f t="shared" si="106"/>
        <v>0</v>
      </c>
      <c r="BG449">
        <f t="shared" si="107"/>
        <v>0</v>
      </c>
      <c r="BH449">
        <f t="shared" si="108"/>
        <v>0</v>
      </c>
      <c r="BI449">
        <f t="shared" si="109"/>
        <v>0</v>
      </c>
      <c r="BJ449">
        <f t="shared" si="110"/>
        <v>0</v>
      </c>
      <c r="BK449">
        <f t="shared" si="111"/>
        <v>0</v>
      </c>
      <c r="BL449">
        <f t="shared" si="112"/>
        <v>0</v>
      </c>
      <c r="BM449">
        <f t="shared" si="113"/>
        <v>0</v>
      </c>
      <c r="BN449">
        <f t="shared" si="114"/>
        <v>0</v>
      </c>
      <c r="BO449">
        <f t="shared" si="115"/>
        <v>0</v>
      </c>
      <c r="BP449">
        <f t="shared" si="116"/>
        <v>0</v>
      </c>
      <c r="BQ449">
        <f t="shared" si="117"/>
        <v>0</v>
      </c>
      <c r="BR449">
        <f t="shared" si="118"/>
        <v>0</v>
      </c>
      <c r="BS449">
        <f t="shared" si="119"/>
        <v>0</v>
      </c>
      <c r="BT449">
        <f t="shared" si="120"/>
        <v>0</v>
      </c>
      <c r="BU449">
        <f t="shared" si="121"/>
        <v>0</v>
      </c>
      <c r="BV449">
        <f t="shared" si="122"/>
        <v>0</v>
      </c>
      <c r="BW449">
        <f t="shared" si="123"/>
        <v>0</v>
      </c>
      <c r="CA449" t="str">
        <f>IF(250&gt;ROWS(DGArchive[模组]),"",IF(INDEX(DGArchive[模组],250)="","",INDEX(DGArchive[模组],250)))</f>
        <v/>
      </c>
      <c r="CB449" t="str">
        <f>IF(250&gt;ROWS(DGArchive[阶段]),"",IF(INDEX(DGArchive[阶段],250)="","",INDEX(DGArchive[阶段],250)))</f>
        <v/>
      </c>
      <c r="CC449" t="str">
        <f>IF(250&gt;ROWS(DGArchive[游戏内日期]),"",IF(INDEX(DGArchive[游戏内日期],250)="","",INDEX(DGArchive[游戏内日期],250)))</f>
        <v/>
      </c>
      <c r="CD449" t="str">
        <f>IF(250&gt;ROWS(DGArchive[目标]),"",IF(INDEX(DGArchive[目标],250)="","",INDEX(DGArchive[目标],250)))</f>
        <v/>
      </c>
      <c r="CE449" t="str">
        <f>IF(250&gt;ROWS(DGArchive[变更前]),"",IF(INDEX(DGArchive[变更前],250)="","",INDEX(DGArchive[变更前],250)))</f>
        <v/>
      </c>
      <c r="CF449" t="str">
        <f>IF(250&gt;ROWS(DGArchive[增减]),"",IF(INDEX(DGArchive[增减],250)="","",INDEX(DGArchive[增减],250)))</f>
        <v/>
      </c>
      <c r="CG449" t="str">
        <f>IF(250&gt;ROWS(DGArchive[变更后]),"",IF(INDEX(DGArchive[变更后],250)="","",INDEX(DGArchive[变更后],250)))</f>
        <v/>
      </c>
      <c r="CH449" t="str">
        <f>IF(250&gt;ROWS(DGArchive[事件／活动]),"",IF(INDEX(DGArchive[事件／活动],250)="","",INDEX(DGArchive[事件／活动],250)))</f>
        <v/>
      </c>
      <c r="CI449" t="str">
        <f>IF(250&gt;ROWS(DGArchive[记录编号]),"",IF(INDEX(DGArchive[记录编号],250)="","",INDEX(DGArchive[记录编号],250)))</f>
        <v/>
      </c>
      <c r="CL449">
        <f t="shared" si="104"/>
        <v>0</v>
      </c>
      <c r="CM449">
        <f>IF(AND(A449=$AO$5,B449=$AQ$3,H449=1),COUNTIFS($A$200:A449,$AO$5,$B$200:B449,$AQ$3,$H$200:H449,1),0)</f>
        <v>0</v>
      </c>
      <c r="CN449">
        <f>IF(CA449="",250,1001)</f>
        <v>250</v>
      </c>
      <c r="GA449">
        <f t="shared" si="124"/>
        <v>0</v>
      </c>
      <c r="GB449">
        <f t="shared" si="125"/>
        <v>0</v>
      </c>
      <c r="GC449">
        <f>IF(AND(C449="事件记录",H449=1),COUNTIFS($C$200:C449,"事件记录",$H$200:H449,1),0)</f>
        <v>0</v>
      </c>
      <c r="GD449">
        <f t="shared" si="105"/>
        <v>0</v>
      </c>
      <c r="GH449">
        <f>IF(AND(H449=1,A449=$GA$10,B449=$GA$11),COUNTIFS($A$200:A449,$GA$10,$B$200:B449,$GA$11,$H$200:H449,1),0)</f>
        <v>0</v>
      </c>
    </row>
    <row r="450" spans="1:190">
      <c r="A450" t="str">
        <f t="shared" si="96"/>
        <v/>
      </c>
      <c r="B450" t="str">
        <f t="shared" si="97"/>
        <v/>
      </c>
      <c r="C450" t="str">
        <f t="shared" si="98"/>
        <v/>
      </c>
      <c r="D450" t="str">
        <f t="shared" si="99"/>
        <v/>
      </c>
      <c r="E450">
        <f t="shared" si="100"/>
        <v>0</v>
      </c>
      <c r="F450" t="str">
        <f t="shared" si="101"/>
        <v/>
      </c>
      <c r="G450">
        <f t="shared" si="102"/>
        <v>0</v>
      </c>
      <c r="H450">
        <f>IF(AND(G450=1,COUNTIFS($I$200:I450,I450,$G$200:G450,1)=1),1,0)</f>
        <v>0</v>
      </c>
      <c r="I450" t="str">
        <f t="shared" si="103"/>
        <v/>
      </c>
      <c r="BF450">
        <f t="shared" si="106"/>
        <v>0</v>
      </c>
      <c r="BG450">
        <f t="shared" si="107"/>
        <v>0</v>
      </c>
      <c r="BH450">
        <f t="shared" si="108"/>
        <v>0</v>
      </c>
      <c r="BI450">
        <f t="shared" si="109"/>
        <v>0</v>
      </c>
      <c r="BJ450">
        <f t="shared" si="110"/>
        <v>0</v>
      </c>
      <c r="BK450">
        <f t="shared" si="111"/>
        <v>0</v>
      </c>
      <c r="BL450">
        <f t="shared" si="112"/>
        <v>0</v>
      </c>
      <c r="BM450">
        <f t="shared" si="113"/>
        <v>0</v>
      </c>
      <c r="BN450">
        <f t="shared" si="114"/>
        <v>0</v>
      </c>
      <c r="BO450">
        <f t="shared" si="115"/>
        <v>0</v>
      </c>
      <c r="BP450">
        <f t="shared" si="116"/>
        <v>0</v>
      </c>
      <c r="BQ450">
        <f t="shared" si="117"/>
        <v>0</v>
      </c>
      <c r="BR450">
        <f t="shared" si="118"/>
        <v>0</v>
      </c>
      <c r="BS450">
        <f t="shared" si="119"/>
        <v>0</v>
      </c>
      <c r="BT450">
        <f t="shared" si="120"/>
        <v>0</v>
      </c>
      <c r="BU450">
        <f t="shared" si="121"/>
        <v>0</v>
      </c>
      <c r="BV450">
        <f t="shared" si="122"/>
        <v>0</v>
      </c>
      <c r="BW450">
        <f t="shared" si="123"/>
        <v>0</v>
      </c>
      <c r="CA450" t="str">
        <f>IF(251&gt;ROWS(DGArchive[模组]),"",IF(INDEX(DGArchive[模组],251)="","",INDEX(DGArchive[模组],251)))</f>
        <v/>
      </c>
      <c r="CB450" t="str">
        <f>IF(251&gt;ROWS(DGArchive[阶段]),"",IF(INDEX(DGArchive[阶段],251)="","",INDEX(DGArchive[阶段],251)))</f>
        <v/>
      </c>
      <c r="CC450" t="str">
        <f>IF(251&gt;ROWS(DGArchive[游戏内日期]),"",IF(INDEX(DGArchive[游戏内日期],251)="","",INDEX(DGArchive[游戏内日期],251)))</f>
        <v/>
      </c>
      <c r="CD450" t="str">
        <f>IF(251&gt;ROWS(DGArchive[目标]),"",IF(INDEX(DGArchive[目标],251)="","",INDEX(DGArchive[目标],251)))</f>
        <v/>
      </c>
      <c r="CE450" t="str">
        <f>IF(251&gt;ROWS(DGArchive[变更前]),"",IF(INDEX(DGArchive[变更前],251)="","",INDEX(DGArchive[变更前],251)))</f>
        <v/>
      </c>
      <c r="CF450" t="str">
        <f>IF(251&gt;ROWS(DGArchive[增减]),"",IF(INDEX(DGArchive[增减],251)="","",INDEX(DGArchive[增减],251)))</f>
        <v/>
      </c>
      <c r="CG450" t="str">
        <f>IF(251&gt;ROWS(DGArchive[变更后]),"",IF(INDEX(DGArchive[变更后],251)="","",INDEX(DGArchive[变更后],251)))</f>
        <v/>
      </c>
      <c r="CH450" t="str">
        <f>IF(251&gt;ROWS(DGArchive[事件／活动]),"",IF(INDEX(DGArchive[事件／活动],251)="","",INDEX(DGArchive[事件／活动],251)))</f>
        <v/>
      </c>
      <c r="CI450" t="str">
        <f>IF(251&gt;ROWS(DGArchive[记录编号]),"",IF(INDEX(DGArchive[记录编号],251)="","",INDEX(DGArchive[记录编号],251)))</f>
        <v/>
      </c>
      <c r="CL450">
        <f t="shared" si="104"/>
        <v>0</v>
      </c>
      <c r="CM450">
        <f>IF(AND(A450=$AO$5,B450=$AQ$3,H450=1),COUNTIFS($A$200:A450,$AO$5,$B$200:B450,$AQ$3,$H$200:H450,1),0)</f>
        <v>0</v>
      </c>
      <c r="CN450">
        <f>IF(CA450="",251,1001)</f>
        <v>251</v>
      </c>
      <c r="GA450">
        <f t="shared" si="124"/>
        <v>0</v>
      </c>
      <c r="GB450">
        <f t="shared" si="125"/>
        <v>0</v>
      </c>
      <c r="GC450">
        <f>IF(AND(C450="事件记录",H450=1),COUNTIFS($C$200:C450,"事件记录",$H$200:H450,1),0)</f>
        <v>0</v>
      </c>
      <c r="GD450">
        <f t="shared" si="105"/>
        <v>0</v>
      </c>
      <c r="GH450">
        <f>IF(AND(H450=1,A450=$GA$10,B450=$GA$11),COUNTIFS($A$200:A450,$GA$10,$B$200:B450,$GA$11,$H$200:H450,1),0)</f>
        <v>0</v>
      </c>
    </row>
    <row r="451" spans="1:190">
      <c r="A451" t="str">
        <f t="shared" si="96"/>
        <v/>
      </c>
      <c r="B451" t="str">
        <f t="shared" si="97"/>
        <v/>
      </c>
      <c r="C451" t="str">
        <f t="shared" si="98"/>
        <v/>
      </c>
      <c r="D451" t="str">
        <f t="shared" si="99"/>
        <v/>
      </c>
      <c r="E451">
        <f t="shared" si="100"/>
        <v>0</v>
      </c>
      <c r="F451" t="str">
        <f t="shared" si="101"/>
        <v/>
      </c>
      <c r="G451">
        <f t="shared" si="102"/>
        <v>0</v>
      </c>
      <c r="H451">
        <f>IF(AND(G451=1,COUNTIFS($I$200:I451,I451,$G$200:G451,1)=1),1,0)</f>
        <v>0</v>
      </c>
      <c r="I451" t="str">
        <f t="shared" si="103"/>
        <v/>
      </c>
      <c r="BF451">
        <f t="shared" si="106"/>
        <v>0</v>
      </c>
      <c r="BG451">
        <f t="shared" si="107"/>
        <v>0</v>
      </c>
      <c r="BH451">
        <f t="shared" si="108"/>
        <v>0</v>
      </c>
      <c r="BI451">
        <f t="shared" si="109"/>
        <v>0</v>
      </c>
      <c r="BJ451">
        <f t="shared" si="110"/>
        <v>0</v>
      </c>
      <c r="BK451">
        <f t="shared" si="111"/>
        <v>0</v>
      </c>
      <c r="BL451">
        <f t="shared" si="112"/>
        <v>0</v>
      </c>
      <c r="BM451">
        <f t="shared" si="113"/>
        <v>0</v>
      </c>
      <c r="BN451">
        <f t="shared" si="114"/>
        <v>0</v>
      </c>
      <c r="BO451">
        <f t="shared" si="115"/>
        <v>0</v>
      </c>
      <c r="BP451">
        <f t="shared" si="116"/>
        <v>0</v>
      </c>
      <c r="BQ451">
        <f t="shared" si="117"/>
        <v>0</v>
      </c>
      <c r="BR451">
        <f t="shared" si="118"/>
        <v>0</v>
      </c>
      <c r="BS451">
        <f t="shared" si="119"/>
        <v>0</v>
      </c>
      <c r="BT451">
        <f t="shared" si="120"/>
        <v>0</v>
      </c>
      <c r="BU451">
        <f t="shared" si="121"/>
        <v>0</v>
      </c>
      <c r="BV451">
        <f t="shared" si="122"/>
        <v>0</v>
      </c>
      <c r="BW451">
        <f t="shared" si="123"/>
        <v>0</v>
      </c>
      <c r="CA451" t="str">
        <f>IF(252&gt;ROWS(DGArchive[模组]),"",IF(INDEX(DGArchive[模组],252)="","",INDEX(DGArchive[模组],252)))</f>
        <v/>
      </c>
      <c r="CB451" t="str">
        <f>IF(252&gt;ROWS(DGArchive[阶段]),"",IF(INDEX(DGArchive[阶段],252)="","",INDEX(DGArchive[阶段],252)))</f>
        <v/>
      </c>
      <c r="CC451" t="str">
        <f>IF(252&gt;ROWS(DGArchive[游戏内日期]),"",IF(INDEX(DGArchive[游戏内日期],252)="","",INDEX(DGArchive[游戏内日期],252)))</f>
        <v/>
      </c>
      <c r="CD451" t="str">
        <f>IF(252&gt;ROWS(DGArchive[目标]),"",IF(INDEX(DGArchive[目标],252)="","",INDEX(DGArchive[目标],252)))</f>
        <v/>
      </c>
      <c r="CE451" t="str">
        <f>IF(252&gt;ROWS(DGArchive[变更前]),"",IF(INDEX(DGArchive[变更前],252)="","",INDEX(DGArchive[变更前],252)))</f>
        <v/>
      </c>
      <c r="CF451" t="str">
        <f>IF(252&gt;ROWS(DGArchive[增减]),"",IF(INDEX(DGArchive[增减],252)="","",INDEX(DGArchive[增减],252)))</f>
        <v/>
      </c>
      <c r="CG451" t="str">
        <f>IF(252&gt;ROWS(DGArchive[变更后]),"",IF(INDEX(DGArchive[变更后],252)="","",INDEX(DGArchive[变更后],252)))</f>
        <v/>
      </c>
      <c r="CH451" t="str">
        <f>IF(252&gt;ROWS(DGArchive[事件／活动]),"",IF(INDEX(DGArchive[事件／活动],252)="","",INDEX(DGArchive[事件／活动],252)))</f>
        <v/>
      </c>
      <c r="CI451" t="str">
        <f>IF(252&gt;ROWS(DGArchive[记录编号]),"",IF(INDEX(DGArchive[记录编号],252)="","",INDEX(DGArchive[记录编号],252)))</f>
        <v/>
      </c>
      <c r="CL451">
        <f t="shared" si="104"/>
        <v>0</v>
      </c>
      <c r="CM451">
        <f>IF(AND(A451=$AO$5,B451=$AQ$3,H451=1),COUNTIFS($A$200:A451,$AO$5,$B$200:B451,$AQ$3,$H$200:H451,1),0)</f>
        <v>0</v>
      </c>
      <c r="CN451">
        <f>IF(CA451="",252,1001)</f>
        <v>252</v>
      </c>
      <c r="GA451">
        <f t="shared" si="124"/>
        <v>0</v>
      </c>
      <c r="GB451">
        <f t="shared" si="125"/>
        <v>0</v>
      </c>
      <c r="GC451">
        <f>IF(AND(C451="事件记录",H451=1),COUNTIFS($C$200:C451,"事件记录",$H$200:H451,1),0)</f>
        <v>0</v>
      </c>
      <c r="GD451">
        <f t="shared" si="105"/>
        <v>0</v>
      </c>
      <c r="GH451">
        <f>IF(AND(H451=1,A451=$GA$10,B451=$GA$11),COUNTIFS($A$200:A451,$GA$10,$B$200:B451,$GA$11,$H$200:H451,1),0)</f>
        <v>0</v>
      </c>
    </row>
    <row r="452" spans="1:190">
      <c r="A452" t="str">
        <f t="shared" si="96"/>
        <v/>
      </c>
      <c r="B452" t="str">
        <f t="shared" si="97"/>
        <v/>
      </c>
      <c r="C452" t="str">
        <f t="shared" si="98"/>
        <v/>
      </c>
      <c r="D452" t="str">
        <f t="shared" si="99"/>
        <v/>
      </c>
      <c r="E452">
        <f t="shared" si="100"/>
        <v>0</v>
      </c>
      <c r="F452" t="str">
        <f t="shared" si="101"/>
        <v/>
      </c>
      <c r="G452">
        <f t="shared" si="102"/>
        <v>0</v>
      </c>
      <c r="H452">
        <f>IF(AND(G452=1,COUNTIFS($I$200:I452,I452,$G$200:G452,1)=1),1,0)</f>
        <v>0</v>
      </c>
      <c r="I452" t="str">
        <f t="shared" si="103"/>
        <v/>
      </c>
      <c r="BF452">
        <f t="shared" si="106"/>
        <v>0</v>
      </c>
      <c r="BG452">
        <f t="shared" si="107"/>
        <v>0</v>
      </c>
      <c r="BH452">
        <f t="shared" si="108"/>
        <v>0</v>
      </c>
      <c r="BI452">
        <f t="shared" si="109"/>
        <v>0</v>
      </c>
      <c r="BJ452">
        <f t="shared" si="110"/>
        <v>0</v>
      </c>
      <c r="BK452">
        <f t="shared" si="111"/>
        <v>0</v>
      </c>
      <c r="BL452">
        <f t="shared" si="112"/>
        <v>0</v>
      </c>
      <c r="BM452">
        <f t="shared" si="113"/>
        <v>0</v>
      </c>
      <c r="BN452">
        <f t="shared" si="114"/>
        <v>0</v>
      </c>
      <c r="BO452">
        <f t="shared" si="115"/>
        <v>0</v>
      </c>
      <c r="BP452">
        <f t="shared" si="116"/>
        <v>0</v>
      </c>
      <c r="BQ452">
        <f t="shared" si="117"/>
        <v>0</v>
      </c>
      <c r="BR452">
        <f t="shared" si="118"/>
        <v>0</v>
      </c>
      <c r="BS452">
        <f t="shared" si="119"/>
        <v>0</v>
      </c>
      <c r="BT452">
        <f t="shared" si="120"/>
        <v>0</v>
      </c>
      <c r="BU452">
        <f t="shared" si="121"/>
        <v>0</v>
      </c>
      <c r="BV452">
        <f t="shared" si="122"/>
        <v>0</v>
      </c>
      <c r="BW452">
        <f t="shared" si="123"/>
        <v>0</v>
      </c>
      <c r="CA452" t="str">
        <f>IF(253&gt;ROWS(DGArchive[模组]),"",IF(INDEX(DGArchive[模组],253)="","",INDEX(DGArchive[模组],253)))</f>
        <v/>
      </c>
      <c r="CB452" t="str">
        <f>IF(253&gt;ROWS(DGArchive[阶段]),"",IF(INDEX(DGArchive[阶段],253)="","",INDEX(DGArchive[阶段],253)))</f>
        <v/>
      </c>
      <c r="CC452" t="str">
        <f>IF(253&gt;ROWS(DGArchive[游戏内日期]),"",IF(INDEX(DGArchive[游戏内日期],253)="","",INDEX(DGArchive[游戏内日期],253)))</f>
        <v/>
      </c>
      <c r="CD452" t="str">
        <f>IF(253&gt;ROWS(DGArchive[目标]),"",IF(INDEX(DGArchive[目标],253)="","",INDEX(DGArchive[目标],253)))</f>
        <v/>
      </c>
      <c r="CE452" t="str">
        <f>IF(253&gt;ROWS(DGArchive[变更前]),"",IF(INDEX(DGArchive[变更前],253)="","",INDEX(DGArchive[变更前],253)))</f>
        <v/>
      </c>
      <c r="CF452" t="str">
        <f>IF(253&gt;ROWS(DGArchive[增减]),"",IF(INDEX(DGArchive[增减],253)="","",INDEX(DGArchive[增减],253)))</f>
        <v/>
      </c>
      <c r="CG452" t="str">
        <f>IF(253&gt;ROWS(DGArchive[变更后]),"",IF(INDEX(DGArchive[变更后],253)="","",INDEX(DGArchive[变更后],253)))</f>
        <v/>
      </c>
      <c r="CH452" t="str">
        <f>IF(253&gt;ROWS(DGArchive[事件／活动]),"",IF(INDEX(DGArchive[事件／活动],253)="","",INDEX(DGArchive[事件／活动],253)))</f>
        <v/>
      </c>
      <c r="CI452" t="str">
        <f>IF(253&gt;ROWS(DGArchive[记录编号]),"",IF(INDEX(DGArchive[记录编号],253)="","",INDEX(DGArchive[记录编号],253)))</f>
        <v/>
      </c>
      <c r="CL452">
        <f t="shared" si="104"/>
        <v>0</v>
      </c>
      <c r="CM452">
        <f>IF(AND(A452=$AO$5,B452=$AQ$3,H452=1),COUNTIFS($A$200:A452,$AO$5,$B$200:B452,$AQ$3,$H$200:H452,1),0)</f>
        <v>0</v>
      </c>
      <c r="CN452">
        <f>IF(CA452="",253,1001)</f>
        <v>253</v>
      </c>
      <c r="GA452">
        <f t="shared" si="124"/>
        <v>0</v>
      </c>
      <c r="GB452">
        <f t="shared" si="125"/>
        <v>0</v>
      </c>
      <c r="GC452">
        <f>IF(AND(C452="事件记录",H452=1),COUNTIFS($C$200:C452,"事件记录",$H$200:H452,1),0)</f>
        <v>0</v>
      </c>
      <c r="GD452">
        <f t="shared" si="105"/>
        <v>0</v>
      </c>
      <c r="GH452">
        <f>IF(AND(H452=1,A452=$GA$10,B452=$GA$11),COUNTIFS($A$200:A452,$GA$10,$B$200:B452,$GA$11,$H$200:H452,1),0)</f>
        <v>0</v>
      </c>
    </row>
    <row r="453" spans="1:190">
      <c r="A453" t="str">
        <f t="shared" si="96"/>
        <v/>
      </c>
      <c r="B453" t="str">
        <f t="shared" si="97"/>
        <v/>
      </c>
      <c r="C453" t="str">
        <f t="shared" si="98"/>
        <v/>
      </c>
      <c r="D453" t="str">
        <f t="shared" si="99"/>
        <v/>
      </c>
      <c r="E453">
        <f t="shared" si="100"/>
        <v>0</v>
      </c>
      <c r="F453" t="str">
        <f t="shared" si="101"/>
        <v/>
      </c>
      <c r="G453">
        <f t="shared" si="102"/>
        <v>0</v>
      </c>
      <c r="H453">
        <f>IF(AND(G453=1,COUNTIFS($I$200:I453,I453,$G$200:G453,1)=1),1,0)</f>
        <v>0</v>
      </c>
      <c r="I453" t="str">
        <f t="shared" si="103"/>
        <v/>
      </c>
      <c r="BF453">
        <f t="shared" si="106"/>
        <v>0</v>
      </c>
      <c r="BG453">
        <f t="shared" si="107"/>
        <v>0</v>
      </c>
      <c r="BH453">
        <f t="shared" si="108"/>
        <v>0</v>
      </c>
      <c r="BI453">
        <f t="shared" si="109"/>
        <v>0</v>
      </c>
      <c r="BJ453">
        <f t="shared" si="110"/>
        <v>0</v>
      </c>
      <c r="BK453">
        <f t="shared" si="111"/>
        <v>0</v>
      </c>
      <c r="BL453">
        <f t="shared" si="112"/>
        <v>0</v>
      </c>
      <c r="BM453">
        <f t="shared" si="113"/>
        <v>0</v>
      </c>
      <c r="BN453">
        <f t="shared" si="114"/>
        <v>0</v>
      </c>
      <c r="BO453">
        <f t="shared" si="115"/>
        <v>0</v>
      </c>
      <c r="BP453">
        <f t="shared" si="116"/>
        <v>0</v>
      </c>
      <c r="BQ453">
        <f t="shared" si="117"/>
        <v>0</v>
      </c>
      <c r="BR453">
        <f t="shared" si="118"/>
        <v>0</v>
      </c>
      <c r="BS453">
        <f t="shared" si="119"/>
        <v>0</v>
      </c>
      <c r="BT453">
        <f t="shared" si="120"/>
        <v>0</v>
      </c>
      <c r="BU453">
        <f t="shared" si="121"/>
        <v>0</v>
      </c>
      <c r="BV453">
        <f t="shared" si="122"/>
        <v>0</v>
      </c>
      <c r="BW453">
        <f t="shared" si="123"/>
        <v>0</v>
      </c>
      <c r="CA453" t="str">
        <f>IF(254&gt;ROWS(DGArchive[模组]),"",IF(INDEX(DGArchive[模组],254)="","",INDEX(DGArchive[模组],254)))</f>
        <v/>
      </c>
      <c r="CB453" t="str">
        <f>IF(254&gt;ROWS(DGArchive[阶段]),"",IF(INDEX(DGArchive[阶段],254)="","",INDEX(DGArchive[阶段],254)))</f>
        <v/>
      </c>
      <c r="CC453" t="str">
        <f>IF(254&gt;ROWS(DGArchive[游戏内日期]),"",IF(INDEX(DGArchive[游戏内日期],254)="","",INDEX(DGArchive[游戏内日期],254)))</f>
        <v/>
      </c>
      <c r="CD453" t="str">
        <f>IF(254&gt;ROWS(DGArchive[目标]),"",IF(INDEX(DGArchive[目标],254)="","",INDEX(DGArchive[目标],254)))</f>
        <v/>
      </c>
      <c r="CE453" t="str">
        <f>IF(254&gt;ROWS(DGArchive[变更前]),"",IF(INDEX(DGArchive[变更前],254)="","",INDEX(DGArchive[变更前],254)))</f>
        <v/>
      </c>
      <c r="CF453" t="str">
        <f>IF(254&gt;ROWS(DGArchive[增减]),"",IF(INDEX(DGArchive[增减],254)="","",INDEX(DGArchive[增减],254)))</f>
        <v/>
      </c>
      <c r="CG453" t="str">
        <f>IF(254&gt;ROWS(DGArchive[变更后]),"",IF(INDEX(DGArchive[变更后],254)="","",INDEX(DGArchive[变更后],254)))</f>
        <v/>
      </c>
      <c r="CH453" t="str">
        <f>IF(254&gt;ROWS(DGArchive[事件／活动]),"",IF(INDEX(DGArchive[事件／活动],254)="","",INDEX(DGArchive[事件／活动],254)))</f>
        <v/>
      </c>
      <c r="CI453" t="str">
        <f>IF(254&gt;ROWS(DGArchive[记录编号]),"",IF(INDEX(DGArchive[记录编号],254)="","",INDEX(DGArchive[记录编号],254)))</f>
        <v/>
      </c>
      <c r="CL453">
        <f t="shared" si="104"/>
        <v>0</v>
      </c>
      <c r="CM453">
        <f>IF(AND(A453=$AO$5,B453=$AQ$3,H453=1),COUNTIFS($A$200:A453,$AO$5,$B$200:B453,$AQ$3,$H$200:H453,1),0)</f>
        <v>0</v>
      </c>
      <c r="CN453">
        <f>IF(CA453="",254,1001)</f>
        <v>254</v>
      </c>
      <c r="GA453">
        <f t="shared" si="124"/>
        <v>0</v>
      </c>
      <c r="GB453">
        <f t="shared" si="125"/>
        <v>0</v>
      </c>
      <c r="GC453">
        <f>IF(AND(C453="事件记录",H453=1),COUNTIFS($C$200:C453,"事件记录",$H$200:H453,1),0)</f>
        <v>0</v>
      </c>
      <c r="GD453">
        <f t="shared" si="105"/>
        <v>0</v>
      </c>
      <c r="GH453">
        <f>IF(AND(H453=1,A453=$GA$10,B453=$GA$11),COUNTIFS($A$200:A453,$GA$10,$B$200:B453,$GA$11,$H$200:H453,1),0)</f>
        <v>0</v>
      </c>
    </row>
    <row r="454" spans="1:190">
      <c r="A454" t="str">
        <f t="shared" si="96"/>
        <v/>
      </c>
      <c r="B454" t="str">
        <f t="shared" si="97"/>
        <v/>
      </c>
      <c r="C454" t="str">
        <f t="shared" si="98"/>
        <v/>
      </c>
      <c r="D454" t="str">
        <f t="shared" si="99"/>
        <v/>
      </c>
      <c r="E454">
        <f t="shared" si="100"/>
        <v>0</v>
      </c>
      <c r="F454" t="str">
        <f t="shared" si="101"/>
        <v/>
      </c>
      <c r="G454">
        <f t="shared" si="102"/>
        <v>0</v>
      </c>
      <c r="H454">
        <f>IF(AND(G454=1,COUNTIFS($I$200:I454,I454,$G$200:G454,1)=1),1,0)</f>
        <v>0</v>
      </c>
      <c r="I454" t="str">
        <f t="shared" si="103"/>
        <v/>
      </c>
      <c r="BF454">
        <f t="shared" si="106"/>
        <v>0</v>
      </c>
      <c r="BG454">
        <f t="shared" si="107"/>
        <v>0</v>
      </c>
      <c r="BH454">
        <f t="shared" si="108"/>
        <v>0</v>
      </c>
      <c r="BI454">
        <f t="shared" si="109"/>
        <v>0</v>
      </c>
      <c r="BJ454">
        <f t="shared" si="110"/>
        <v>0</v>
      </c>
      <c r="BK454">
        <f t="shared" si="111"/>
        <v>0</v>
      </c>
      <c r="BL454">
        <f t="shared" si="112"/>
        <v>0</v>
      </c>
      <c r="BM454">
        <f t="shared" si="113"/>
        <v>0</v>
      </c>
      <c r="BN454">
        <f t="shared" si="114"/>
        <v>0</v>
      </c>
      <c r="BO454">
        <f t="shared" si="115"/>
        <v>0</v>
      </c>
      <c r="BP454">
        <f t="shared" si="116"/>
        <v>0</v>
      </c>
      <c r="BQ454">
        <f t="shared" si="117"/>
        <v>0</v>
      </c>
      <c r="BR454">
        <f t="shared" si="118"/>
        <v>0</v>
      </c>
      <c r="BS454">
        <f t="shared" si="119"/>
        <v>0</v>
      </c>
      <c r="BT454">
        <f t="shared" si="120"/>
        <v>0</v>
      </c>
      <c r="BU454">
        <f t="shared" si="121"/>
        <v>0</v>
      </c>
      <c r="BV454">
        <f t="shared" si="122"/>
        <v>0</v>
      </c>
      <c r="BW454">
        <f t="shared" si="123"/>
        <v>0</v>
      </c>
      <c r="CA454" t="str">
        <f>IF(255&gt;ROWS(DGArchive[模组]),"",IF(INDEX(DGArchive[模组],255)="","",INDEX(DGArchive[模组],255)))</f>
        <v/>
      </c>
      <c r="CB454" t="str">
        <f>IF(255&gt;ROWS(DGArchive[阶段]),"",IF(INDEX(DGArchive[阶段],255)="","",INDEX(DGArchive[阶段],255)))</f>
        <v/>
      </c>
      <c r="CC454" t="str">
        <f>IF(255&gt;ROWS(DGArchive[游戏内日期]),"",IF(INDEX(DGArchive[游戏内日期],255)="","",INDEX(DGArchive[游戏内日期],255)))</f>
        <v/>
      </c>
      <c r="CD454" t="str">
        <f>IF(255&gt;ROWS(DGArchive[目标]),"",IF(INDEX(DGArchive[目标],255)="","",INDEX(DGArchive[目标],255)))</f>
        <v/>
      </c>
      <c r="CE454" t="str">
        <f>IF(255&gt;ROWS(DGArchive[变更前]),"",IF(INDEX(DGArchive[变更前],255)="","",INDEX(DGArchive[变更前],255)))</f>
        <v/>
      </c>
      <c r="CF454" t="str">
        <f>IF(255&gt;ROWS(DGArchive[增减]),"",IF(INDEX(DGArchive[增减],255)="","",INDEX(DGArchive[增减],255)))</f>
        <v/>
      </c>
      <c r="CG454" t="str">
        <f>IF(255&gt;ROWS(DGArchive[变更后]),"",IF(INDEX(DGArchive[变更后],255)="","",INDEX(DGArchive[变更后],255)))</f>
        <v/>
      </c>
      <c r="CH454" t="str">
        <f>IF(255&gt;ROWS(DGArchive[事件／活动]),"",IF(INDEX(DGArchive[事件／活动],255)="","",INDEX(DGArchive[事件／活动],255)))</f>
        <v/>
      </c>
      <c r="CI454" t="str">
        <f>IF(255&gt;ROWS(DGArchive[记录编号]),"",IF(INDEX(DGArchive[记录编号],255)="","",INDEX(DGArchive[记录编号],255)))</f>
        <v/>
      </c>
      <c r="CL454">
        <f t="shared" si="104"/>
        <v>0</v>
      </c>
      <c r="CM454">
        <f>IF(AND(A454=$AO$5,B454=$AQ$3,H454=1),COUNTIFS($A$200:A454,$AO$5,$B$200:B454,$AQ$3,$H$200:H454,1),0)</f>
        <v>0</v>
      </c>
      <c r="CN454">
        <f>IF(CA454="",255,1001)</f>
        <v>255</v>
      </c>
      <c r="GA454">
        <f t="shared" si="124"/>
        <v>0</v>
      </c>
      <c r="GB454">
        <f t="shared" si="125"/>
        <v>0</v>
      </c>
      <c r="GC454">
        <f>IF(AND(C454="事件记录",H454=1),COUNTIFS($C$200:C454,"事件记录",$H$200:H454,1),0)</f>
        <v>0</v>
      </c>
      <c r="GD454">
        <f t="shared" si="105"/>
        <v>0</v>
      </c>
      <c r="GH454">
        <f>IF(AND(H454=1,A454=$GA$10,B454=$GA$11),COUNTIFS($A$200:A454,$GA$10,$B$200:B454,$GA$11,$H$200:H454,1),0)</f>
        <v>0</v>
      </c>
    </row>
    <row r="455" spans="1:190">
      <c r="A455" t="str">
        <f t="shared" si="96"/>
        <v/>
      </c>
      <c r="B455" t="str">
        <f t="shared" si="97"/>
        <v/>
      </c>
      <c r="C455" t="str">
        <f t="shared" si="98"/>
        <v/>
      </c>
      <c r="D455" t="str">
        <f t="shared" si="99"/>
        <v/>
      </c>
      <c r="E455">
        <f t="shared" si="100"/>
        <v>0</v>
      </c>
      <c r="F455" t="str">
        <f t="shared" si="101"/>
        <v/>
      </c>
      <c r="G455">
        <f t="shared" si="102"/>
        <v>0</v>
      </c>
      <c r="H455">
        <f>IF(AND(G455=1,COUNTIFS($I$200:I455,I455,$G$200:G455,1)=1),1,0)</f>
        <v>0</v>
      </c>
      <c r="I455" t="str">
        <f t="shared" si="103"/>
        <v/>
      </c>
      <c r="BF455">
        <f t="shared" si="106"/>
        <v>0</v>
      </c>
      <c r="BG455">
        <f t="shared" si="107"/>
        <v>0</v>
      </c>
      <c r="BH455">
        <f t="shared" si="108"/>
        <v>0</v>
      </c>
      <c r="BI455">
        <f t="shared" si="109"/>
        <v>0</v>
      </c>
      <c r="BJ455">
        <f t="shared" si="110"/>
        <v>0</v>
      </c>
      <c r="BK455">
        <f t="shared" si="111"/>
        <v>0</v>
      </c>
      <c r="BL455">
        <f t="shared" si="112"/>
        <v>0</v>
      </c>
      <c r="BM455">
        <f t="shared" si="113"/>
        <v>0</v>
      </c>
      <c r="BN455">
        <f t="shared" si="114"/>
        <v>0</v>
      </c>
      <c r="BO455">
        <f t="shared" si="115"/>
        <v>0</v>
      </c>
      <c r="BP455">
        <f t="shared" si="116"/>
        <v>0</v>
      </c>
      <c r="BQ455">
        <f t="shared" si="117"/>
        <v>0</v>
      </c>
      <c r="BR455">
        <f t="shared" si="118"/>
        <v>0</v>
      </c>
      <c r="BS455">
        <f t="shared" si="119"/>
        <v>0</v>
      </c>
      <c r="BT455">
        <f t="shared" si="120"/>
        <v>0</v>
      </c>
      <c r="BU455">
        <f t="shared" si="121"/>
        <v>0</v>
      </c>
      <c r="BV455">
        <f t="shared" si="122"/>
        <v>0</v>
      </c>
      <c r="BW455">
        <f t="shared" si="123"/>
        <v>0</v>
      </c>
      <c r="CA455" t="str">
        <f>IF(256&gt;ROWS(DGArchive[模组]),"",IF(INDEX(DGArchive[模组],256)="","",INDEX(DGArchive[模组],256)))</f>
        <v/>
      </c>
      <c r="CB455" t="str">
        <f>IF(256&gt;ROWS(DGArchive[阶段]),"",IF(INDEX(DGArchive[阶段],256)="","",INDEX(DGArchive[阶段],256)))</f>
        <v/>
      </c>
      <c r="CC455" t="str">
        <f>IF(256&gt;ROWS(DGArchive[游戏内日期]),"",IF(INDEX(DGArchive[游戏内日期],256)="","",INDEX(DGArchive[游戏内日期],256)))</f>
        <v/>
      </c>
      <c r="CD455" t="str">
        <f>IF(256&gt;ROWS(DGArchive[目标]),"",IF(INDEX(DGArchive[目标],256)="","",INDEX(DGArchive[目标],256)))</f>
        <v/>
      </c>
      <c r="CE455" t="str">
        <f>IF(256&gt;ROWS(DGArchive[变更前]),"",IF(INDEX(DGArchive[变更前],256)="","",INDEX(DGArchive[变更前],256)))</f>
        <v/>
      </c>
      <c r="CF455" t="str">
        <f>IF(256&gt;ROWS(DGArchive[增减]),"",IF(INDEX(DGArchive[增减],256)="","",INDEX(DGArchive[增减],256)))</f>
        <v/>
      </c>
      <c r="CG455" t="str">
        <f>IF(256&gt;ROWS(DGArchive[变更后]),"",IF(INDEX(DGArchive[变更后],256)="","",INDEX(DGArchive[变更后],256)))</f>
        <v/>
      </c>
      <c r="CH455" t="str">
        <f>IF(256&gt;ROWS(DGArchive[事件／活动]),"",IF(INDEX(DGArchive[事件／活动],256)="","",INDEX(DGArchive[事件／活动],256)))</f>
        <v/>
      </c>
      <c r="CI455" t="str">
        <f>IF(256&gt;ROWS(DGArchive[记录编号]),"",IF(INDEX(DGArchive[记录编号],256)="","",INDEX(DGArchive[记录编号],256)))</f>
        <v/>
      </c>
      <c r="CL455">
        <f t="shared" si="104"/>
        <v>0</v>
      </c>
      <c r="CM455">
        <f>IF(AND(A455=$AO$5,B455=$AQ$3,H455=1),COUNTIFS($A$200:A455,$AO$5,$B$200:B455,$AQ$3,$H$200:H455,1),0)</f>
        <v>0</v>
      </c>
      <c r="CN455">
        <f>IF(CA455="",256,1001)</f>
        <v>256</v>
      </c>
      <c r="GA455">
        <f t="shared" si="124"/>
        <v>0</v>
      </c>
      <c r="GB455">
        <f t="shared" si="125"/>
        <v>0</v>
      </c>
      <c r="GC455">
        <f>IF(AND(C455="事件记录",H455=1),COUNTIFS($C$200:C455,"事件记录",$H$200:H455,1),0)</f>
        <v>0</v>
      </c>
      <c r="GD455">
        <f t="shared" si="105"/>
        <v>0</v>
      </c>
      <c r="GH455">
        <f>IF(AND(H455=1,A455=$GA$10,B455=$GA$11),COUNTIFS($A$200:A455,$GA$10,$B$200:B455,$GA$11,$H$200:H455,1),0)</f>
        <v>0</v>
      </c>
    </row>
    <row r="456" spans="1:190">
      <c r="A456" t="str">
        <f t="shared" ref="A456:A519" si="126">IFERROR(TEXT(VALUE(CA456),"00"),"")</f>
        <v/>
      </c>
      <c r="B456" t="str">
        <f t="shared" ref="B456:B519" si="127">CB456</f>
        <v/>
      </c>
      <c r="C456" t="str">
        <f t="shared" ref="C456:C519" si="128">CD456</f>
        <v/>
      </c>
      <c r="D456" t="str">
        <f t="shared" ref="D456:D519" si="129">CF456</f>
        <v/>
      </c>
      <c r="E456">
        <f t="shared" ref="E456:E519" si="130">IF(H456=1,MAX(-CE456,MIN(D456,IF(LEFT(C456,3)="技能：",99,IF(COUNTIF($L$2:$L$7,C456)&gt;0,18,999))-CE456)),0)</f>
        <v>0</v>
      </c>
      <c r="F456" t="str">
        <f t="shared" ref="F456:F519" si="131">IF(OR(C456=0,C456=""),"",IF(G456=0,"记录不完整",IF(H456=0,"重复未计","已计入")))</f>
        <v/>
      </c>
      <c r="G456">
        <f t="shared" ref="G456:G519" si="132">IF(AND(AND(CA456&lt;&gt;"",CB456&lt;&gt;"",CI456&lt;&gt;"",OR(LEFT(C456,3)="技能：",COUNTIF($L$2:$L$19,C456)&gt;0,C456="事件记录",C456="暴力进度",C456="无力进度"),ISNUMBER(CE456),ISNUMBER(CF456),ISNUMBER(CG456),CE456&gt;=0,CG456=SUM(CE456,CF456)),OR(B456&lt;&gt;"成长",AND(LEFT(C456,3)="技能：",C456&lt;&gt;"技能：非自然知识",CE456&gt;=1,CE456&lt;=99,CF456&gt;=0,CF456&lt;=4,CG456&lt;=99))),1,0)</f>
        <v>0</v>
      </c>
      <c r="H456">
        <f>IF(AND(G456=1,COUNTIFS($I$200:I456,I456,$G$200:G456,1)=1),1,0)</f>
        <v>0</v>
      </c>
      <c r="I456" t="str">
        <f t="shared" ref="I456:I519" si="133">IF(G456=1,IF(B456="成长",A456&amp;"-成长-"&amp;C456,CI456),"")</f>
        <v/>
      </c>
      <c r="BF456">
        <f t="shared" si="106"/>
        <v>0</v>
      </c>
      <c r="BG456">
        <f t="shared" si="107"/>
        <v>0</v>
      </c>
      <c r="BH456">
        <f t="shared" si="108"/>
        <v>0</v>
      </c>
      <c r="BI456">
        <f t="shared" si="109"/>
        <v>0</v>
      </c>
      <c r="BJ456">
        <f t="shared" si="110"/>
        <v>0</v>
      </c>
      <c r="BK456">
        <f t="shared" si="111"/>
        <v>0</v>
      </c>
      <c r="BL456">
        <f t="shared" si="112"/>
        <v>0</v>
      </c>
      <c r="BM456">
        <f t="shared" si="113"/>
        <v>0</v>
      </c>
      <c r="BN456">
        <f t="shared" si="114"/>
        <v>0</v>
      </c>
      <c r="BO456">
        <f t="shared" si="115"/>
        <v>0</v>
      </c>
      <c r="BP456">
        <f t="shared" si="116"/>
        <v>0</v>
      </c>
      <c r="BQ456">
        <f t="shared" si="117"/>
        <v>0</v>
      </c>
      <c r="BR456">
        <f t="shared" si="118"/>
        <v>0</v>
      </c>
      <c r="BS456">
        <f t="shared" si="119"/>
        <v>0</v>
      </c>
      <c r="BT456">
        <f t="shared" si="120"/>
        <v>0</v>
      </c>
      <c r="BU456">
        <f t="shared" si="121"/>
        <v>0</v>
      </c>
      <c r="BV456">
        <f t="shared" si="122"/>
        <v>0</v>
      </c>
      <c r="BW456">
        <f t="shared" si="123"/>
        <v>0</v>
      </c>
      <c r="CA456" t="str">
        <f>IF(257&gt;ROWS(DGArchive[模组]),"",IF(INDEX(DGArchive[模组],257)="","",INDEX(DGArchive[模组],257)))</f>
        <v/>
      </c>
      <c r="CB456" t="str">
        <f>IF(257&gt;ROWS(DGArchive[阶段]),"",IF(INDEX(DGArchive[阶段],257)="","",INDEX(DGArchive[阶段],257)))</f>
        <v/>
      </c>
      <c r="CC456" t="str">
        <f>IF(257&gt;ROWS(DGArchive[游戏内日期]),"",IF(INDEX(DGArchive[游戏内日期],257)="","",INDEX(DGArchive[游戏内日期],257)))</f>
        <v/>
      </c>
      <c r="CD456" t="str">
        <f>IF(257&gt;ROWS(DGArchive[目标]),"",IF(INDEX(DGArchive[目标],257)="","",INDEX(DGArchive[目标],257)))</f>
        <v/>
      </c>
      <c r="CE456" t="str">
        <f>IF(257&gt;ROWS(DGArchive[变更前]),"",IF(INDEX(DGArchive[变更前],257)="","",INDEX(DGArchive[变更前],257)))</f>
        <v/>
      </c>
      <c r="CF456" t="str">
        <f>IF(257&gt;ROWS(DGArchive[增减]),"",IF(INDEX(DGArchive[增减],257)="","",INDEX(DGArchive[增减],257)))</f>
        <v/>
      </c>
      <c r="CG456" t="str">
        <f>IF(257&gt;ROWS(DGArchive[变更后]),"",IF(INDEX(DGArchive[变更后],257)="","",INDEX(DGArchive[变更后],257)))</f>
        <v/>
      </c>
      <c r="CH456" t="str">
        <f>IF(257&gt;ROWS(DGArchive[事件／活动]),"",IF(INDEX(DGArchive[事件／活动],257)="","",INDEX(DGArchive[事件／活动],257)))</f>
        <v/>
      </c>
      <c r="CI456" t="str">
        <f>IF(257&gt;ROWS(DGArchive[记录编号]),"",IF(INDEX(DGArchive[记录编号],257)="","",INDEX(DGArchive[记录编号],257)))</f>
        <v/>
      </c>
      <c r="CL456">
        <f t="shared" ref="CL456:CL519" si="134">IF(AND(A456=$AO$5,H456=1,LEFT(B456,2)="幕间"),IFERROR(VALUE(MID(B456,3,20)),0),0)</f>
        <v>0</v>
      </c>
      <c r="CM456">
        <f>IF(AND(A456=$AO$5,B456=$AQ$3,H456=1),COUNTIFS($A$200:A456,$AO$5,$B$200:B456,$AQ$3,$H$200:H456,1),0)</f>
        <v>0</v>
      </c>
      <c r="CN456">
        <f>IF(CA456="",257,1001)</f>
        <v>257</v>
      </c>
      <c r="GA456">
        <f t="shared" si="124"/>
        <v>0</v>
      </c>
      <c r="GB456">
        <f t="shared" si="125"/>
        <v>0</v>
      </c>
      <c r="GC456">
        <f>IF(AND(C456="事件记录",H456=1),COUNTIFS($C$200:C456,"事件记录",$H$200:H456,1),0)</f>
        <v>0</v>
      </c>
      <c r="GD456">
        <f t="shared" ref="GD456:GD519" si="135">IF(AND(H456=1,A456=$GA$10,LEFT(B456,2)="事件"),IFERROR(VALUE(MID(B456,3,20)),0),0)</f>
        <v>0</v>
      </c>
      <c r="GH456">
        <f>IF(AND(H456=1,A456=$GA$10,B456=$GA$11),COUNTIFS($A$200:A456,$GA$10,$B$200:B456,$GA$11,$H$200:H456,1),0)</f>
        <v>0</v>
      </c>
    </row>
    <row r="457" spans="1:190">
      <c r="A457" t="str">
        <f t="shared" si="126"/>
        <v/>
      </c>
      <c r="B457" t="str">
        <f t="shared" si="127"/>
        <v/>
      </c>
      <c r="C457" t="str">
        <f t="shared" si="128"/>
        <v/>
      </c>
      <c r="D457" t="str">
        <f t="shared" si="129"/>
        <v/>
      </c>
      <c r="E457">
        <f t="shared" si="130"/>
        <v>0</v>
      </c>
      <c r="F457" t="str">
        <f t="shared" si="131"/>
        <v/>
      </c>
      <c r="G457">
        <f t="shared" si="132"/>
        <v>0</v>
      </c>
      <c r="H457">
        <f>IF(AND(G457=1,COUNTIFS($I$200:I457,I457,$G$200:G457,1)=1),1,0)</f>
        <v>0</v>
      </c>
      <c r="I457" t="str">
        <f t="shared" si="133"/>
        <v/>
      </c>
      <c r="BF457">
        <f t="shared" ref="BF457:BF520" si="136">MAX(0,MIN(18,BF456+IF(C457="力量",E457,0)))</f>
        <v>0</v>
      </c>
      <c r="BG457">
        <f t="shared" ref="BG457:BG520" si="137">MAX(0,MIN(18,BG456+IF(C457="体质",E457,0)))</f>
        <v>0</v>
      </c>
      <c r="BH457">
        <f t="shared" ref="BH457:BH520" si="138">MAX(0,MIN(18,BH456+IF(C457="敏捷",E457,0)))</f>
        <v>0</v>
      </c>
      <c r="BI457">
        <f t="shared" ref="BI457:BI520" si="139">MAX(0,MIN(18,BI456+IF(C457="智力",E457,0)))</f>
        <v>0</v>
      </c>
      <c r="BJ457">
        <f t="shared" ref="BJ457:BJ520" si="140">MAX(0,MIN(18,BJ456+IF(C457="意志",E457,0)))</f>
        <v>0</v>
      </c>
      <c r="BK457">
        <f t="shared" ref="BK457:BK520" si="141">MAX(0,MIN(18,BK456+IF(C457="魅力",E457,0)))</f>
        <v>0</v>
      </c>
      <c r="BL457">
        <f t="shared" ref="BL457:BL520" si="142">MAX(0,MIN(99,BL456+IF(C457="技能：非自然知识",E457,0)))</f>
        <v>0</v>
      </c>
      <c r="BM457">
        <f t="shared" ref="BM457:BM520" si="143">MAX(0,MIN(CEILING((BF457+BG457)/2,1),BM456+IF(C457="体力",E457,0)))</f>
        <v>0</v>
      </c>
      <c r="BN457">
        <f t="shared" ref="BN457:BN520" si="144">MAX(0,MIN(BJ457,BN456+IF(C457="毅力",E457,0)))</f>
        <v>0</v>
      </c>
      <c r="BO457">
        <f t="shared" ref="BO457:BO520" si="145">MAX(0,MIN(99-BL457,BO456+IF(C457="理智",E457,0)))</f>
        <v>0</v>
      </c>
      <c r="BP457">
        <f t="shared" ref="BP457:BP520" si="146">MAX(0,MIN(99,BP456+IF(C457="崩溃点",E457,0)))</f>
        <v>0</v>
      </c>
      <c r="BQ457">
        <f t="shared" ref="BQ457:BQ520" si="147">MAX(0,MIN(BK457,IF(AND(H457=1,C457="重要关系1",LEFT(CH457,8)="建立新的重要关系"),CE457+E457,IF(BQ456=0,0,BQ456+IF(C457="重要关系1",E457,0))+IF(AND(C457="魅力",E457&lt;0),E457,0))))</f>
        <v>0</v>
      </c>
      <c r="BR457">
        <f t="shared" ref="BR457:BR520" si="148">MAX(0,MIN(BK457,IF(AND(H457=1,C457="重要关系2",LEFT(CH457,8)="建立新的重要关系"),CE457+E457,IF(BR456=0,0,BR456+IF(C457="重要关系2",E457,0))+IF(AND(C457="魅力",E457&lt;0),E457,0))))</f>
        <v>0</v>
      </c>
      <c r="BS457">
        <f t="shared" ref="BS457:BS520" si="149">MAX(0,MIN(BK457,IF(AND(H457=1,C457="重要关系3",LEFT(CH457,8)="建立新的重要关系"),CE457+E457,IF(BS456=0,0,BS456+IF(C457="重要关系3",E457,0))+IF(AND(C457="魅力",E457&lt;0),E457,0))))</f>
        <v>0</v>
      </c>
      <c r="BT457">
        <f t="shared" ref="BT457:BT520" si="150">MAX(0,MIN(BK457,IF(AND(H457=1,C457="重要关系4",LEFT(CH457,8)="建立新的重要关系"),CE457+E457,IF(BT456=0,0,BT456+IF(C457="重要关系4",E457,0))+IF(AND(C457="魅力",E457&lt;0),E457,0))))</f>
        <v>0</v>
      </c>
      <c r="BU457">
        <f t="shared" ref="BU457:BU520" si="151">MAX(0,MIN(BK457,IF(AND(H457=1,C457="重要关系5",LEFT(CH457,8)="建立新的重要关系"),CE457+E457,IF(BU456=0,0,BU456+IF(C457="重要关系5",E457,0))+IF(AND(C457="魅力",E457&lt;0),E457,0))))</f>
        <v>0</v>
      </c>
      <c r="BV457">
        <f t="shared" ref="BV457:BV520" si="152">MAX(0,MIN(BK457,IF(AND(H457=1,C457="重要关系6",LEFT(CH457,8)="建立新的重要关系"),CE457+E457,IF(BV456=0,0,BV456+IF(C457="重要关系6",E457,0))+IF(AND(C457="魅力",E457&lt;0),E457,0))))</f>
        <v>0</v>
      </c>
      <c r="BW457">
        <f t="shared" ref="BW457:BW520" si="153">MAX(0,MIN(BK457,IF(AND(H457=1,C457="重要关系7",LEFT(CH457,8)="建立新的重要关系"),CE457+E457,IF(BW456=0,0,BW456+IF(C457="重要关系7",E457,0))+IF(AND(C457="魅力",E457&lt;0),E457,0))))</f>
        <v>0</v>
      </c>
      <c r="CA457" t="str">
        <f>IF(258&gt;ROWS(DGArchive[模组]),"",IF(INDEX(DGArchive[模组],258)="","",INDEX(DGArchive[模组],258)))</f>
        <v/>
      </c>
      <c r="CB457" t="str">
        <f>IF(258&gt;ROWS(DGArchive[阶段]),"",IF(INDEX(DGArchive[阶段],258)="","",INDEX(DGArchive[阶段],258)))</f>
        <v/>
      </c>
      <c r="CC457" t="str">
        <f>IF(258&gt;ROWS(DGArchive[游戏内日期]),"",IF(INDEX(DGArchive[游戏内日期],258)="","",INDEX(DGArchive[游戏内日期],258)))</f>
        <v/>
      </c>
      <c r="CD457" t="str">
        <f>IF(258&gt;ROWS(DGArchive[目标]),"",IF(INDEX(DGArchive[目标],258)="","",INDEX(DGArchive[目标],258)))</f>
        <v/>
      </c>
      <c r="CE457" t="str">
        <f>IF(258&gt;ROWS(DGArchive[变更前]),"",IF(INDEX(DGArchive[变更前],258)="","",INDEX(DGArchive[变更前],258)))</f>
        <v/>
      </c>
      <c r="CF457" t="str">
        <f>IF(258&gt;ROWS(DGArchive[增减]),"",IF(INDEX(DGArchive[增减],258)="","",INDEX(DGArchive[增减],258)))</f>
        <v/>
      </c>
      <c r="CG457" t="str">
        <f>IF(258&gt;ROWS(DGArchive[变更后]),"",IF(INDEX(DGArchive[变更后],258)="","",INDEX(DGArchive[变更后],258)))</f>
        <v/>
      </c>
      <c r="CH457" t="str">
        <f>IF(258&gt;ROWS(DGArchive[事件／活动]),"",IF(INDEX(DGArchive[事件／活动],258)="","",INDEX(DGArchive[事件／活动],258)))</f>
        <v/>
      </c>
      <c r="CI457" t="str">
        <f>IF(258&gt;ROWS(DGArchive[记录编号]),"",IF(INDEX(DGArchive[记录编号],258)="","",INDEX(DGArchive[记录编号],258)))</f>
        <v/>
      </c>
      <c r="CL457">
        <f t="shared" si="134"/>
        <v>0</v>
      </c>
      <c r="CM457">
        <f>IF(AND(A457=$AO$5,B457=$AQ$3,H457=1),COUNTIFS($A$200:A457,$AO$5,$B$200:B457,$AQ$3,$H$200:H457,1),0)</f>
        <v>0</v>
      </c>
      <c r="CN457">
        <f>IF(CA457="",258,1001)</f>
        <v>258</v>
      </c>
      <c r="GA457">
        <f t="shared" ref="GA457:GA520" si="154">MAX(0,MIN(3,GA456+IF(C457="暴力进度",E457,0)))</f>
        <v>0</v>
      </c>
      <c r="GB457">
        <f t="shared" ref="GB457:GB520" si="155">MAX(0,MIN(3,GB456+IF(C457="无力进度",E457,0)))</f>
        <v>0</v>
      </c>
      <c r="GC457">
        <f>IF(AND(C457="事件记录",H457=1),COUNTIFS($C$200:C457,"事件记录",$H$200:H457,1),0)</f>
        <v>0</v>
      </c>
      <c r="GD457">
        <f t="shared" si="135"/>
        <v>0</v>
      </c>
      <c r="GH457">
        <f>IF(AND(H457=1,A457=$GA$10,B457=$GA$11),COUNTIFS($A$200:A457,$GA$10,$B$200:B457,$GA$11,$H$200:H457,1),0)</f>
        <v>0</v>
      </c>
    </row>
    <row r="458" spans="1:190">
      <c r="A458" t="str">
        <f t="shared" si="126"/>
        <v/>
      </c>
      <c r="B458" t="str">
        <f t="shared" si="127"/>
        <v/>
      </c>
      <c r="C458" t="str">
        <f t="shared" si="128"/>
        <v/>
      </c>
      <c r="D458" t="str">
        <f t="shared" si="129"/>
        <v/>
      </c>
      <c r="E458">
        <f t="shared" si="130"/>
        <v>0</v>
      </c>
      <c r="F458" t="str">
        <f t="shared" si="131"/>
        <v/>
      </c>
      <c r="G458">
        <f t="shared" si="132"/>
        <v>0</v>
      </c>
      <c r="H458">
        <f>IF(AND(G458=1,COUNTIFS($I$200:I458,I458,$G$200:G458,1)=1),1,0)</f>
        <v>0</v>
      </c>
      <c r="I458" t="str">
        <f t="shared" si="133"/>
        <v/>
      </c>
      <c r="BF458">
        <f t="shared" si="136"/>
        <v>0</v>
      </c>
      <c r="BG458">
        <f t="shared" si="137"/>
        <v>0</v>
      </c>
      <c r="BH458">
        <f t="shared" si="138"/>
        <v>0</v>
      </c>
      <c r="BI458">
        <f t="shared" si="139"/>
        <v>0</v>
      </c>
      <c r="BJ458">
        <f t="shared" si="140"/>
        <v>0</v>
      </c>
      <c r="BK458">
        <f t="shared" si="141"/>
        <v>0</v>
      </c>
      <c r="BL458">
        <f t="shared" si="142"/>
        <v>0</v>
      </c>
      <c r="BM458">
        <f t="shared" si="143"/>
        <v>0</v>
      </c>
      <c r="BN458">
        <f t="shared" si="144"/>
        <v>0</v>
      </c>
      <c r="BO458">
        <f t="shared" si="145"/>
        <v>0</v>
      </c>
      <c r="BP458">
        <f t="shared" si="146"/>
        <v>0</v>
      </c>
      <c r="BQ458">
        <f t="shared" si="147"/>
        <v>0</v>
      </c>
      <c r="BR458">
        <f t="shared" si="148"/>
        <v>0</v>
      </c>
      <c r="BS458">
        <f t="shared" si="149"/>
        <v>0</v>
      </c>
      <c r="BT458">
        <f t="shared" si="150"/>
        <v>0</v>
      </c>
      <c r="BU458">
        <f t="shared" si="151"/>
        <v>0</v>
      </c>
      <c r="BV458">
        <f t="shared" si="152"/>
        <v>0</v>
      </c>
      <c r="BW458">
        <f t="shared" si="153"/>
        <v>0</v>
      </c>
      <c r="CA458" t="str">
        <f>IF(259&gt;ROWS(DGArchive[模组]),"",IF(INDEX(DGArchive[模组],259)="","",INDEX(DGArchive[模组],259)))</f>
        <v/>
      </c>
      <c r="CB458" t="str">
        <f>IF(259&gt;ROWS(DGArchive[阶段]),"",IF(INDEX(DGArchive[阶段],259)="","",INDEX(DGArchive[阶段],259)))</f>
        <v/>
      </c>
      <c r="CC458" t="str">
        <f>IF(259&gt;ROWS(DGArchive[游戏内日期]),"",IF(INDEX(DGArchive[游戏内日期],259)="","",INDEX(DGArchive[游戏内日期],259)))</f>
        <v/>
      </c>
      <c r="CD458" t="str">
        <f>IF(259&gt;ROWS(DGArchive[目标]),"",IF(INDEX(DGArchive[目标],259)="","",INDEX(DGArchive[目标],259)))</f>
        <v/>
      </c>
      <c r="CE458" t="str">
        <f>IF(259&gt;ROWS(DGArchive[变更前]),"",IF(INDEX(DGArchive[变更前],259)="","",INDEX(DGArchive[变更前],259)))</f>
        <v/>
      </c>
      <c r="CF458" t="str">
        <f>IF(259&gt;ROWS(DGArchive[增减]),"",IF(INDEX(DGArchive[增减],259)="","",INDEX(DGArchive[增减],259)))</f>
        <v/>
      </c>
      <c r="CG458" t="str">
        <f>IF(259&gt;ROWS(DGArchive[变更后]),"",IF(INDEX(DGArchive[变更后],259)="","",INDEX(DGArchive[变更后],259)))</f>
        <v/>
      </c>
      <c r="CH458" t="str">
        <f>IF(259&gt;ROWS(DGArchive[事件／活动]),"",IF(INDEX(DGArchive[事件／活动],259)="","",INDEX(DGArchive[事件／活动],259)))</f>
        <v/>
      </c>
      <c r="CI458" t="str">
        <f>IF(259&gt;ROWS(DGArchive[记录编号]),"",IF(INDEX(DGArchive[记录编号],259)="","",INDEX(DGArchive[记录编号],259)))</f>
        <v/>
      </c>
      <c r="CL458">
        <f t="shared" si="134"/>
        <v>0</v>
      </c>
      <c r="CM458">
        <f>IF(AND(A458=$AO$5,B458=$AQ$3,H458=1),COUNTIFS($A$200:A458,$AO$5,$B$200:B458,$AQ$3,$H$200:H458,1),0)</f>
        <v>0</v>
      </c>
      <c r="CN458">
        <f>IF(CA458="",259,1001)</f>
        <v>259</v>
      </c>
      <c r="GA458">
        <f t="shared" si="154"/>
        <v>0</v>
      </c>
      <c r="GB458">
        <f t="shared" si="155"/>
        <v>0</v>
      </c>
      <c r="GC458">
        <f>IF(AND(C458="事件记录",H458=1),COUNTIFS($C$200:C458,"事件记录",$H$200:H458,1),0)</f>
        <v>0</v>
      </c>
      <c r="GD458">
        <f t="shared" si="135"/>
        <v>0</v>
      </c>
      <c r="GH458">
        <f>IF(AND(H458=1,A458=$GA$10,B458=$GA$11),COUNTIFS($A$200:A458,$GA$10,$B$200:B458,$GA$11,$H$200:H458,1),0)</f>
        <v>0</v>
      </c>
    </row>
    <row r="459" spans="1:190">
      <c r="A459" t="str">
        <f t="shared" si="126"/>
        <v/>
      </c>
      <c r="B459" t="str">
        <f t="shared" si="127"/>
        <v/>
      </c>
      <c r="C459" t="str">
        <f t="shared" si="128"/>
        <v/>
      </c>
      <c r="D459" t="str">
        <f t="shared" si="129"/>
        <v/>
      </c>
      <c r="E459">
        <f t="shared" si="130"/>
        <v>0</v>
      </c>
      <c r="F459" t="str">
        <f t="shared" si="131"/>
        <v/>
      </c>
      <c r="G459">
        <f t="shared" si="132"/>
        <v>0</v>
      </c>
      <c r="H459">
        <f>IF(AND(G459=1,COUNTIFS($I$200:I459,I459,$G$200:G459,1)=1),1,0)</f>
        <v>0</v>
      </c>
      <c r="I459" t="str">
        <f t="shared" si="133"/>
        <v/>
      </c>
      <c r="BF459">
        <f t="shared" si="136"/>
        <v>0</v>
      </c>
      <c r="BG459">
        <f t="shared" si="137"/>
        <v>0</v>
      </c>
      <c r="BH459">
        <f t="shared" si="138"/>
        <v>0</v>
      </c>
      <c r="BI459">
        <f t="shared" si="139"/>
        <v>0</v>
      </c>
      <c r="BJ459">
        <f t="shared" si="140"/>
        <v>0</v>
      </c>
      <c r="BK459">
        <f t="shared" si="141"/>
        <v>0</v>
      </c>
      <c r="BL459">
        <f t="shared" si="142"/>
        <v>0</v>
      </c>
      <c r="BM459">
        <f t="shared" si="143"/>
        <v>0</v>
      </c>
      <c r="BN459">
        <f t="shared" si="144"/>
        <v>0</v>
      </c>
      <c r="BO459">
        <f t="shared" si="145"/>
        <v>0</v>
      </c>
      <c r="BP459">
        <f t="shared" si="146"/>
        <v>0</v>
      </c>
      <c r="BQ459">
        <f t="shared" si="147"/>
        <v>0</v>
      </c>
      <c r="BR459">
        <f t="shared" si="148"/>
        <v>0</v>
      </c>
      <c r="BS459">
        <f t="shared" si="149"/>
        <v>0</v>
      </c>
      <c r="BT459">
        <f t="shared" si="150"/>
        <v>0</v>
      </c>
      <c r="BU459">
        <f t="shared" si="151"/>
        <v>0</v>
      </c>
      <c r="BV459">
        <f t="shared" si="152"/>
        <v>0</v>
      </c>
      <c r="BW459">
        <f t="shared" si="153"/>
        <v>0</v>
      </c>
      <c r="CA459" t="str">
        <f>IF(260&gt;ROWS(DGArchive[模组]),"",IF(INDEX(DGArchive[模组],260)="","",INDEX(DGArchive[模组],260)))</f>
        <v/>
      </c>
      <c r="CB459" t="str">
        <f>IF(260&gt;ROWS(DGArchive[阶段]),"",IF(INDEX(DGArchive[阶段],260)="","",INDEX(DGArchive[阶段],260)))</f>
        <v/>
      </c>
      <c r="CC459" t="str">
        <f>IF(260&gt;ROWS(DGArchive[游戏内日期]),"",IF(INDEX(DGArchive[游戏内日期],260)="","",INDEX(DGArchive[游戏内日期],260)))</f>
        <v/>
      </c>
      <c r="CD459" t="str">
        <f>IF(260&gt;ROWS(DGArchive[目标]),"",IF(INDEX(DGArchive[目标],260)="","",INDEX(DGArchive[目标],260)))</f>
        <v/>
      </c>
      <c r="CE459" t="str">
        <f>IF(260&gt;ROWS(DGArchive[变更前]),"",IF(INDEX(DGArchive[变更前],260)="","",INDEX(DGArchive[变更前],260)))</f>
        <v/>
      </c>
      <c r="CF459" t="str">
        <f>IF(260&gt;ROWS(DGArchive[增减]),"",IF(INDEX(DGArchive[增减],260)="","",INDEX(DGArchive[增减],260)))</f>
        <v/>
      </c>
      <c r="CG459" t="str">
        <f>IF(260&gt;ROWS(DGArchive[变更后]),"",IF(INDEX(DGArchive[变更后],260)="","",INDEX(DGArchive[变更后],260)))</f>
        <v/>
      </c>
      <c r="CH459" t="str">
        <f>IF(260&gt;ROWS(DGArchive[事件／活动]),"",IF(INDEX(DGArchive[事件／活动],260)="","",INDEX(DGArchive[事件／活动],260)))</f>
        <v/>
      </c>
      <c r="CI459" t="str">
        <f>IF(260&gt;ROWS(DGArchive[记录编号]),"",IF(INDEX(DGArchive[记录编号],260)="","",INDEX(DGArchive[记录编号],260)))</f>
        <v/>
      </c>
      <c r="CL459">
        <f t="shared" si="134"/>
        <v>0</v>
      </c>
      <c r="CM459">
        <f>IF(AND(A459=$AO$5,B459=$AQ$3,H459=1),COUNTIFS($A$200:A459,$AO$5,$B$200:B459,$AQ$3,$H$200:H459,1),0)</f>
        <v>0</v>
      </c>
      <c r="CN459">
        <f>IF(CA459="",260,1001)</f>
        <v>260</v>
      </c>
      <c r="GA459">
        <f t="shared" si="154"/>
        <v>0</v>
      </c>
      <c r="GB459">
        <f t="shared" si="155"/>
        <v>0</v>
      </c>
      <c r="GC459">
        <f>IF(AND(C459="事件记录",H459=1),COUNTIFS($C$200:C459,"事件记录",$H$200:H459,1),0)</f>
        <v>0</v>
      </c>
      <c r="GD459">
        <f t="shared" si="135"/>
        <v>0</v>
      </c>
      <c r="GH459">
        <f>IF(AND(H459=1,A459=$GA$10,B459=$GA$11),COUNTIFS($A$200:A459,$GA$10,$B$200:B459,$GA$11,$H$200:H459,1),0)</f>
        <v>0</v>
      </c>
    </row>
    <row r="460" spans="1:190">
      <c r="A460" t="str">
        <f t="shared" si="126"/>
        <v/>
      </c>
      <c r="B460" t="str">
        <f t="shared" si="127"/>
        <v/>
      </c>
      <c r="C460" t="str">
        <f t="shared" si="128"/>
        <v/>
      </c>
      <c r="D460" t="str">
        <f t="shared" si="129"/>
        <v/>
      </c>
      <c r="E460">
        <f t="shared" si="130"/>
        <v>0</v>
      </c>
      <c r="F460" t="str">
        <f t="shared" si="131"/>
        <v/>
      </c>
      <c r="G460">
        <f t="shared" si="132"/>
        <v>0</v>
      </c>
      <c r="H460">
        <f>IF(AND(G460=1,COUNTIFS($I$200:I460,I460,$G$200:G460,1)=1),1,0)</f>
        <v>0</v>
      </c>
      <c r="I460" t="str">
        <f t="shared" si="133"/>
        <v/>
      </c>
      <c r="BF460">
        <f t="shared" si="136"/>
        <v>0</v>
      </c>
      <c r="BG460">
        <f t="shared" si="137"/>
        <v>0</v>
      </c>
      <c r="BH460">
        <f t="shared" si="138"/>
        <v>0</v>
      </c>
      <c r="BI460">
        <f t="shared" si="139"/>
        <v>0</v>
      </c>
      <c r="BJ460">
        <f t="shared" si="140"/>
        <v>0</v>
      </c>
      <c r="BK460">
        <f t="shared" si="141"/>
        <v>0</v>
      </c>
      <c r="BL460">
        <f t="shared" si="142"/>
        <v>0</v>
      </c>
      <c r="BM460">
        <f t="shared" si="143"/>
        <v>0</v>
      </c>
      <c r="BN460">
        <f t="shared" si="144"/>
        <v>0</v>
      </c>
      <c r="BO460">
        <f t="shared" si="145"/>
        <v>0</v>
      </c>
      <c r="BP460">
        <f t="shared" si="146"/>
        <v>0</v>
      </c>
      <c r="BQ460">
        <f t="shared" si="147"/>
        <v>0</v>
      </c>
      <c r="BR460">
        <f t="shared" si="148"/>
        <v>0</v>
      </c>
      <c r="BS460">
        <f t="shared" si="149"/>
        <v>0</v>
      </c>
      <c r="BT460">
        <f t="shared" si="150"/>
        <v>0</v>
      </c>
      <c r="BU460">
        <f t="shared" si="151"/>
        <v>0</v>
      </c>
      <c r="BV460">
        <f t="shared" si="152"/>
        <v>0</v>
      </c>
      <c r="BW460">
        <f t="shared" si="153"/>
        <v>0</v>
      </c>
      <c r="CA460" t="str">
        <f>IF(261&gt;ROWS(DGArchive[模组]),"",IF(INDEX(DGArchive[模组],261)="","",INDEX(DGArchive[模组],261)))</f>
        <v/>
      </c>
      <c r="CB460" t="str">
        <f>IF(261&gt;ROWS(DGArchive[阶段]),"",IF(INDEX(DGArchive[阶段],261)="","",INDEX(DGArchive[阶段],261)))</f>
        <v/>
      </c>
      <c r="CC460" t="str">
        <f>IF(261&gt;ROWS(DGArchive[游戏内日期]),"",IF(INDEX(DGArchive[游戏内日期],261)="","",INDEX(DGArchive[游戏内日期],261)))</f>
        <v/>
      </c>
      <c r="CD460" t="str">
        <f>IF(261&gt;ROWS(DGArchive[目标]),"",IF(INDEX(DGArchive[目标],261)="","",INDEX(DGArchive[目标],261)))</f>
        <v/>
      </c>
      <c r="CE460" t="str">
        <f>IF(261&gt;ROWS(DGArchive[变更前]),"",IF(INDEX(DGArchive[变更前],261)="","",INDEX(DGArchive[变更前],261)))</f>
        <v/>
      </c>
      <c r="CF460" t="str">
        <f>IF(261&gt;ROWS(DGArchive[增减]),"",IF(INDEX(DGArchive[增减],261)="","",INDEX(DGArchive[增减],261)))</f>
        <v/>
      </c>
      <c r="CG460" t="str">
        <f>IF(261&gt;ROWS(DGArchive[变更后]),"",IF(INDEX(DGArchive[变更后],261)="","",INDEX(DGArchive[变更后],261)))</f>
        <v/>
      </c>
      <c r="CH460" t="str">
        <f>IF(261&gt;ROWS(DGArchive[事件／活动]),"",IF(INDEX(DGArchive[事件／活动],261)="","",INDEX(DGArchive[事件／活动],261)))</f>
        <v/>
      </c>
      <c r="CI460" t="str">
        <f>IF(261&gt;ROWS(DGArchive[记录编号]),"",IF(INDEX(DGArchive[记录编号],261)="","",INDEX(DGArchive[记录编号],261)))</f>
        <v/>
      </c>
      <c r="CL460">
        <f t="shared" si="134"/>
        <v>0</v>
      </c>
      <c r="CM460">
        <f>IF(AND(A460=$AO$5,B460=$AQ$3,H460=1),COUNTIFS($A$200:A460,$AO$5,$B$200:B460,$AQ$3,$H$200:H460,1),0)</f>
        <v>0</v>
      </c>
      <c r="CN460">
        <f>IF(CA460="",261,1001)</f>
        <v>261</v>
      </c>
      <c r="GA460">
        <f t="shared" si="154"/>
        <v>0</v>
      </c>
      <c r="GB460">
        <f t="shared" si="155"/>
        <v>0</v>
      </c>
      <c r="GC460">
        <f>IF(AND(C460="事件记录",H460=1),COUNTIFS($C$200:C460,"事件记录",$H$200:H460,1),0)</f>
        <v>0</v>
      </c>
      <c r="GD460">
        <f t="shared" si="135"/>
        <v>0</v>
      </c>
      <c r="GH460">
        <f>IF(AND(H460=1,A460=$GA$10,B460=$GA$11),COUNTIFS($A$200:A460,$GA$10,$B$200:B460,$GA$11,$H$200:H460,1),0)</f>
        <v>0</v>
      </c>
    </row>
    <row r="461" spans="1:190">
      <c r="A461" t="str">
        <f t="shared" si="126"/>
        <v/>
      </c>
      <c r="B461" t="str">
        <f t="shared" si="127"/>
        <v/>
      </c>
      <c r="C461" t="str">
        <f t="shared" si="128"/>
        <v/>
      </c>
      <c r="D461" t="str">
        <f t="shared" si="129"/>
        <v/>
      </c>
      <c r="E461">
        <f t="shared" si="130"/>
        <v>0</v>
      </c>
      <c r="F461" t="str">
        <f t="shared" si="131"/>
        <v/>
      </c>
      <c r="G461">
        <f t="shared" si="132"/>
        <v>0</v>
      </c>
      <c r="H461">
        <f>IF(AND(G461=1,COUNTIFS($I$200:I461,I461,$G$200:G461,1)=1),1,0)</f>
        <v>0</v>
      </c>
      <c r="I461" t="str">
        <f t="shared" si="133"/>
        <v/>
      </c>
      <c r="BF461">
        <f t="shared" si="136"/>
        <v>0</v>
      </c>
      <c r="BG461">
        <f t="shared" si="137"/>
        <v>0</v>
      </c>
      <c r="BH461">
        <f t="shared" si="138"/>
        <v>0</v>
      </c>
      <c r="BI461">
        <f t="shared" si="139"/>
        <v>0</v>
      </c>
      <c r="BJ461">
        <f t="shared" si="140"/>
        <v>0</v>
      </c>
      <c r="BK461">
        <f t="shared" si="141"/>
        <v>0</v>
      </c>
      <c r="BL461">
        <f t="shared" si="142"/>
        <v>0</v>
      </c>
      <c r="BM461">
        <f t="shared" si="143"/>
        <v>0</v>
      </c>
      <c r="BN461">
        <f t="shared" si="144"/>
        <v>0</v>
      </c>
      <c r="BO461">
        <f t="shared" si="145"/>
        <v>0</v>
      </c>
      <c r="BP461">
        <f t="shared" si="146"/>
        <v>0</v>
      </c>
      <c r="BQ461">
        <f t="shared" si="147"/>
        <v>0</v>
      </c>
      <c r="BR461">
        <f t="shared" si="148"/>
        <v>0</v>
      </c>
      <c r="BS461">
        <f t="shared" si="149"/>
        <v>0</v>
      </c>
      <c r="BT461">
        <f t="shared" si="150"/>
        <v>0</v>
      </c>
      <c r="BU461">
        <f t="shared" si="151"/>
        <v>0</v>
      </c>
      <c r="BV461">
        <f t="shared" si="152"/>
        <v>0</v>
      </c>
      <c r="BW461">
        <f t="shared" si="153"/>
        <v>0</v>
      </c>
      <c r="CA461" t="str">
        <f>IF(262&gt;ROWS(DGArchive[模组]),"",IF(INDEX(DGArchive[模组],262)="","",INDEX(DGArchive[模组],262)))</f>
        <v/>
      </c>
      <c r="CB461" t="str">
        <f>IF(262&gt;ROWS(DGArchive[阶段]),"",IF(INDEX(DGArchive[阶段],262)="","",INDEX(DGArchive[阶段],262)))</f>
        <v/>
      </c>
      <c r="CC461" t="str">
        <f>IF(262&gt;ROWS(DGArchive[游戏内日期]),"",IF(INDEX(DGArchive[游戏内日期],262)="","",INDEX(DGArchive[游戏内日期],262)))</f>
        <v/>
      </c>
      <c r="CD461" t="str">
        <f>IF(262&gt;ROWS(DGArchive[目标]),"",IF(INDEX(DGArchive[目标],262)="","",INDEX(DGArchive[目标],262)))</f>
        <v/>
      </c>
      <c r="CE461" t="str">
        <f>IF(262&gt;ROWS(DGArchive[变更前]),"",IF(INDEX(DGArchive[变更前],262)="","",INDEX(DGArchive[变更前],262)))</f>
        <v/>
      </c>
      <c r="CF461" t="str">
        <f>IF(262&gt;ROWS(DGArchive[增减]),"",IF(INDEX(DGArchive[增减],262)="","",INDEX(DGArchive[增减],262)))</f>
        <v/>
      </c>
      <c r="CG461" t="str">
        <f>IF(262&gt;ROWS(DGArchive[变更后]),"",IF(INDEX(DGArchive[变更后],262)="","",INDEX(DGArchive[变更后],262)))</f>
        <v/>
      </c>
      <c r="CH461" t="str">
        <f>IF(262&gt;ROWS(DGArchive[事件／活动]),"",IF(INDEX(DGArchive[事件／活动],262)="","",INDEX(DGArchive[事件／活动],262)))</f>
        <v/>
      </c>
      <c r="CI461" t="str">
        <f>IF(262&gt;ROWS(DGArchive[记录编号]),"",IF(INDEX(DGArchive[记录编号],262)="","",INDEX(DGArchive[记录编号],262)))</f>
        <v/>
      </c>
      <c r="CL461">
        <f t="shared" si="134"/>
        <v>0</v>
      </c>
      <c r="CM461">
        <f>IF(AND(A461=$AO$5,B461=$AQ$3,H461=1),COUNTIFS($A$200:A461,$AO$5,$B$200:B461,$AQ$3,$H$200:H461,1),0)</f>
        <v>0</v>
      </c>
      <c r="CN461">
        <f>IF(CA461="",262,1001)</f>
        <v>262</v>
      </c>
      <c r="GA461">
        <f t="shared" si="154"/>
        <v>0</v>
      </c>
      <c r="GB461">
        <f t="shared" si="155"/>
        <v>0</v>
      </c>
      <c r="GC461">
        <f>IF(AND(C461="事件记录",H461=1),COUNTIFS($C$200:C461,"事件记录",$H$200:H461,1),0)</f>
        <v>0</v>
      </c>
      <c r="GD461">
        <f t="shared" si="135"/>
        <v>0</v>
      </c>
      <c r="GH461">
        <f>IF(AND(H461=1,A461=$GA$10,B461=$GA$11),COUNTIFS($A$200:A461,$GA$10,$B$200:B461,$GA$11,$H$200:H461,1),0)</f>
        <v>0</v>
      </c>
    </row>
    <row r="462" spans="1:190">
      <c r="A462" t="str">
        <f t="shared" si="126"/>
        <v/>
      </c>
      <c r="B462" t="str">
        <f t="shared" si="127"/>
        <v/>
      </c>
      <c r="C462" t="str">
        <f t="shared" si="128"/>
        <v/>
      </c>
      <c r="D462" t="str">
        <f t="shared" si="129"/>
        <v/>
      </c>
      <c r="E462">
        <f t="shared" si="130"/>
        <v>0</v>
      </c>
      <c r="F462" t="str">
        <f t="shared" si="131"/>
        <v/>
      </c>
      <c r="G462">
        <f t="shared" si="132"/>
        <v>0</v>
      </c>
      <c r="H462">
        <f>IF(AND(G462=1,COUNTIFS($I$200:I462,I462,$G$200:G462,1)=1),1,0)</f>
        <v>0</v>
      </c>
      <c r="I462" t="str">
        <f t="shared" si="133"/>
        <v/>
      </c>
      <c r="BF462">
        <f t="shared" si="136"/>
        <v>0</v>
      </c>
      <c r="BG462">
        <f t="shared" si="137"/>
        <v>0</v>
      </c>
      <c r="BH462">
        <f t="shared" si="138"/>
        <v>0</v>
      </c>
      <c r="BI462">
        <f t="shared" si="139"/>
        <v>0</v>
      </c>
      <c r="BJ462">
        <f t="shared" si="140"/>
        <v>0</v>
      </c>
      <c r="BK462">
        <f t="shared" si="141"/>
        <v>0</v>
      </c>
      <c r="BL462">
        <f t="shared" si="142"/>
        <v>0</v>
      </c>
      <c r="BM462">
        <f t="shared" si="143"/>
        <v>0</v>
      </c>
      <c r="BN462">
        <f t="shared" si="144"/>
        <v>0</v>
      </c>
      <c r="BO462">
        <f t="shared" si="145"/>
        <v>0</v>
      </c>
      <c r="BP462">
        <f t="shared" si="146"/>
        <v>0</v>
      </c>
      <c r="BQ462">
        <f t="shared" si="147"/>
        <v>0</v>
      </c>
      <c r="BR462">
        <f t="shared" si="148"/>
        <v>0</v>
      </c>
      <c r="BS462">
        <f t="shared" si="149"/>
        <v>0</v>
      </c>
      <c r="BT462">
        <f t="shared" si="150"/>
        <v>0</v>
      </c>
      <c r="BU462">
        <f t="shared" si="151"/>
        <v>0</v>
      </c>
      <c r="BV462">
        <f t="shared" si="152"/>
        <v>0</v>
      </c>
      <c r="BW462">
        <f t="shared" si="153"/>
        <v>0</v>
      </c>
      <c r="CA462" t="str">
        <f>IF(263&gt;ROWS(DGArchive[模组]),"",IF(INDEX(DGArchive[模组],263)="","",INDEX(DGArchive[模组],263)))</f>
        <v/>
      </c>
      <c r="CB462" t="str">
        <f>IF(263&gt;ROWS(DGArchive[阶段]),"",IF(INDEX(DGArchive[阶段],263)="","",INDEX(DGArchive[阶段],263)))</f>
        <v/>
      </c>
      <c r="CC462" t="str">
        <f>IF(263&gt;ROWS(DGArchive[游戏内日期]),"",IF(INDEX(DGArchive[游戏内日期],263)="","",INDEX(DGArchive[游戏内日期],263)))</f>
        <v/>
      </c>
      <c r="CD462" t="str">
        <f>IF(263&gt;ROWS(DGArchive[目标]),"",IF(INDEX(DGArchive[目标],263)="","",INDEX(DGArchive[目标],263)))</f>
        <v/>
      </c>
      <c r="CE462" t="str">
        <f>IF(263&gt;ROWS(DGArchive[变更前]),"",IF(INDEX(DGArchive[变更前],263)="","",INDEX(DGArchive[变更前],263)))</f>
        <v/>
      </c>
      <c r="CF462" t="str">
        <f>IF(263&gt;ROWS(DGArchive[增减]),"",IF(INDEX(DGArchive[增减],263)="","",INDEX(DGArchive[增减],263)))</f>
        <v/>
      </c>
      <c r="CG462" t="str">
        <f>IF(263&gt;ROWS(DGArchive[变更后]),"",IF(INDEX(DGArchive[变更后],263)="","",INDEX(DGArchive[变更后],263)))</f>
        <v/>
      </c>
      <c r="CH462" t="str">
        <f>IF(263&gt;ROWS(DGArchive[事件／活动]),"",IF(INDEX(DGArchive[事件／活动],263)="","",INDEX(DGArchive[事件／活动],263)))</f>
        <v/>
      </c>
      <c r="CI462" t="str">
        <f>IF(263&gt;ROWS(DGArchive[记录编号]),"",IF(INDEX(DGArchive[记录编号],263)="","",INDEX(DGArchive[记录编号],263)))</f>
        <v/>
      </c>
      <c r="CL462">
        <f t="shared" si="134"/>
        <v>0</v>
      </c>
      <c r="CM462">
        <f>IF(AND(A462=$AO$5,B462=$AQ$3,H462=1),COUNTIFS($A$200:A462,$AO$5,$B$200:B462,$AQ$3,$H$200:H462,1),0)</f>
        <v>0</v>
      </c>
      <c r="CN462">
        <f>IF(CA462="",263,1001)</f>
        <v>263</v>
      </c>
      <c r="GA462">
        <f t="shared" si="154"/>
        <v>0</v>
      </c>
      <c r="GB462">
        <f t="shared" si="155"/>
        <v>0</v>
      </c>
      <c r="GC462">
        <f>IF(AND(C462="事件记录",H462=1),COUNTIFS($C$200:C462,"事件记录",$H$200:H462,1),0)</f>
        <v>0</v>
      </c>
      <c r="GD462">
        <f t="shared" si="135"/>
        <v>0</v>
      </c>
      <c r="GH462">
        <f>IF(AND(H462=1,A462=$GA$10,B462=$GA$11),COUNTIFS($A$200:A462,$GA$10,$B$200:B462,$GA$11,$H$200:H462,1),0)</f>
        <v>0</v>
      </c>
    </row>
    <row r="463" spans="1:190">
      <c r="A463" t="str">
        <f t="shared" si="126"/>
        <v/>
      </c>
      <c r="B463" t="str">
        <f t="shared" si="127"/>
        <v/>
      </c>
      <c r="C463" t="str">
        <f t="shared" si="128"/>
        <v/>
      </c>
      <c r="D463" t="str">
        <f t="shared" si="129"/>
        <v/>
      </c>
      <c r="E463">
        <f t="shared" si="130"/>
        <v>0</v>
      </c>
      <c r="F463" t="str">
        <f t="shared" si="131"/>
        <v/>
      </c>
      <c r="G463">
        <f t="shared" si="132"/>
        <v>0</v>
      </c>
      <c r="H463">
        <f>IF(AND(G463=1,COUNTIFS($I$200:I463,I463,$G$200:G463,1)=1),1,0)</f>
        <v>0</v>
      </c>
      <c r="I463" t="str">
        <f t="shared" si="133"/>
        <v/>
      </c>
      <c r="BF463">
        <f t="shared" si="136"/>
        <v>0</v>
      </c>
      <c r="BG463">
        <f t="shared" si="137"/>
        <v>0</v>
      </c>
      <c r="BH463">
        <f t="shared" si="138"/>
        <v>0</v>
      </c>
      <c r="BI463">
        <f t="shared" si="139"/>
        <v>0</v>
      </c>
      <c r="BJ463">
        <f t="shared" si="140"/>
        <v>0</v>
      </c>
      <c r="BK463">
        <f t="shared" si="141"/>
        <v>0</v>
      </c>
      <c r="BL463">
        <f t="shared" si="142"/>
        <v>0</v>
      </c>
      <c r="BM463">
        <f t="shared" si="143"/>
        <v>0</v>
      </c>
      <c r="BN463">
        <f t="shared" si="144"/>
        <v>0</v>
      </c>
      <c r="BO463">
        <f t="shared" si="145"/>
        <v>0</v>
      </c>
      <c r="BP463">
        <f t="shared" si="146"/>
        <v>0</v>
      </c>
      <c r="BQ463">
        <f t="shared" si="147"/>
        <v>0</v>
      </c>
      <c r="BR463">
        <f t="shared" si="148"/>
        <v>0</v>
      </c>
      <c r="BS463">
        <f t="shared" si="149"/>
        <v>0</v>
      </c>
      <c r="BT463">
        <f t="shared" si="150"/>
        <v>0</v>
      </c>
      <c r="BU463">
        <f t="shared" si="151"/>
        <v>0</v>
      </c>
      <c r="BV463">
        <f t="shared" si="152"/>
        <v>0</v>
      </c>
      <c r="BW463">
        <f t="shared" si="153"/>
        <v>0</v>
      </c>
      <c r="CA463" t="str">
        <f>IF(264&gt;ROWS(DGArchive[模组]),"",IF(INDEX(DGArchive[模组],264)="","",INDEX(DGArchive[模组],264)))</f>
        <v/>
      </c>
      <c r="CB463" t="str">
        <f>IF(264&gt;ROWS(DGArchive[阶段]),"",IF(INDEX(DGArchive[阶段],264)="","",INDEX(DGArchive[阶段],264)))</f>
        <v/>
      </c>
      <c r="CC463" t="str">
        <f>IF(264&gt;ROWS(DGArchive[游戏内日期]),"",IF(INDEX(DGArchive[游戏内日期],264)="","",INDEX(DGArchive[游戏内日期],264)))</f>
        <v/>
      </c>
      <c r="CD463" t="str">
        <f>IF(264&gt;ROWS(DGArchive[目标]),"",IF(INDEX(DGArchive[目标],264)="","",INDEX(DGArchive[目标],264)))</f>
        <v/>
      </c>
      <c r="CE463" t="str">
        <f>IF(264&gt;ROWS(DGArchive[变更前]),"",IF(INDEX(DGArchive[变更前],264)="","",INDEX(DGArchive[变更前],264)))</f>
        <v/>
      </c>
      <c r="CF463" t="str">
        <f>IF(264&gt;ROWS(DGArchive[增减]),"",IF(INDEX(DGArchive[增减],264)="","",INDEX(DGArchive[增减],264)))</f>
        <v/>
      </c>
      <c r="CG463" t="str">
        <f>IF(264&gt;ROWS(DGArchive[变更后]),"",IF(INDEX(DGArchive[变更后],264)="","",INDEX(DGArchive[变更后],264)))</f>
        <v/>
      </c>
      <c r="CH463" t="str">
        <f>IF(264&gt;ROWS(DGArchive[事件／活动]),"",IF(INDEX(DGArchive[事件／活动],264)="","",INDEX(DGArchive[事件／活动],264)))</f>
        <v/>
      </c>
      <c r="CI463" t="str">
        <f>IF(264&gt;ROWS(DGArchive[记录编号]),"",IF(INDEX(DGArchive[记录编号],264)="","",INDEX(DGArchive[记录编号],264)))</f>
        <v/>
      </c>
      <c r="CL463">
        <f t="shared" si="134"/>
        <v>0</v>
      </c>
      <c r="CM463">
        <f>IF(AND(A463=$AO$5,B463=$AQ$3,H463=1),COUNTIFS($A$200:A463,$AO$5,$B$200:B463,$AQ$3,$H$200:H463,1),0)</f>
        <v>0</v>
      </c>
      <c r="CN463">
        <f>IF(CA463="",264,1001)</f>
        <v>264</v>
      </c>
      <c r="GA463">
        <f t="shared" si="154"/>
        <v>0</v>
      </c>
      <c r="GB463">
        <f t="shared" si="155"/>
        <v>0</v>
      </c>
      <c r="GC463">
        <f>IF(AND(C463="事件记录",H463=1),COUNTIFS($C$200:C463,"事件记录",$H$200:H463,1),0)</f>
        <v>0</v>
      </c>
      <c r="GD463">
        <f t="shared" si="135"/>
        <v>0</v>
      </c>
      <c r="GH463">
        <f>IF(AND(H463=1,A463=$GA$10,B463=$GA$11),COUNTIFS($A$200:A463,$GA$10,$B$200:B463,$GA$11,$H$200:H463,1),0)</f>
        <v>0</v>
      </c>
    </row>
    <row r="464" spans="1:190">
      <c r="A464" t="str">
        <f t="shared" si="126"/>
        <v/>
      </c>
      <c r="B464" t="str">
        <f t="shared" si="127"/>
        <v/>
      </c>
      <c r="C464" t="str">
        <f t="shared" si="128"/>
        <v/>
      </c>
      <c r="D464" t="str">
        <f t="shared" si="129"/>
        <v/>
      </c>
      <c r="E464">
        <f t="shared" si="130"/>
        <v>0</v>
      </c>
      <c r="F464" t="str">
        <f t="shared" si="131"/>
        <v/>
      </c>
      <c r="G464">
        <f t="shared" si="132"/>
        <v>0</v>
      </c>
      <c r="H464">
        <f>IF(AND(G464=1,COUNTIFS($I$200:I464,I464,$G$200:G464,1)=1),1,0)</f>
        <v>0</v>
      </c>
      <c r="I464" t="str">
        <f t="shared" si="133"/>
        <v/>
      </c>
      <c r="BF464">
        <f t="shared" si="136"/>
        <v>0</v>
      </c>
      <c r="BG464">
        <f t="shared" si="137"/>
        <v>0</v>
      </c>
      <c r="BH464">
        <f t="shared" si="138"/>
        <v>0</v>
      </c>
      <c r="BI464">
        <f t="shared" si="139"/>
        <v>0</v>
      </c>
      <c r="BJ464">
        <f t="shared" si="140"/>
        <v>0</v>
      </c>
      <c r="BK464">
        <f t="shared" si="141"/>
        <v>0</v>
      </c>
      <c r="BL464">
        <f t="shared" si="142"/>
        <v>0</v>
      </c>
      <c r="BM464">
        <f t="shared" si="143"/>
        <v>0</v>
      </c>
      <c r="BN464">
        <f t="shared" si="144"/>
        <v>0</v>
      </c>
      <c r="BO464">
        <f t="shared" si="145"/>
        <v>0</v>
      </c>
      <c r="BP464">
        <f t="shared" si="146"/>
        <v>0</v>
      </c>
      <c r="BQ464">
        <f t="shared" si="147"/>
        <v>0</v>
      </c>
      <c r="BR464">
        <f t="shared" si="148"/>
        <v>0</v>
      </c>
      <c r="BS464">
        <f t="shared" si="149"/>
        <v>0</v>
      </c>
      <c r="BT464">
        <f t="shared" si="150"/>
        <v>0</v>
      </c>
      <c r="BU464">
        <f t="shared" si="151"/>
        <v>0</v>
      </c>
      <c r="BV464">
        <f t="shared" si="152"/>
        <v>0</v>
      </c>
      <c r="BW464">
        <f t="shared" si="153"/>
        <v>0</v>
      </c>
      <c r="CA464" t="str">
        <f>IF(265&gt;ROWS(DGArchive[模组]),"",IF(INDEX(DGArchive[模组],265)="","",INDEX(DGArchive[模组],265)))</f>
        <v/>
      </c>
      <c r="CB464" t="str">
        <f>IF(265&gt;ROWS(DGArchive[阶段]),"",IF(INDEX(DGArchive[阶段],265)="","",INDEX(DGArchive[阶段],265)))</f>
        <v/>
      </c>
      <c r="CC464" t="str">
        <f>IF(265&gt;ROWS(DGArchive[游戏内日期]),"",IF(INDEX(DGArchive[游戏内日期],265)="","",INDEX(DGArchive[游戏内日期],265)))</f>
        <v/>
      </c>
      <c r="CD464" t="str">
        <f>IF(265&gt;ROWS(DGArchive[目标]),"",IF(INDEX(DGArchive[目标],265)="","",INDEX(DGArchive[目标],265)))</f>
        <v/>
      </c>
      <c r="CE464" t="str">
        <f>IF(265&gt;ROWS(DGArchive[变更前]),"",IF(INDEX(DGArchive[变更前],265)="","",INDEX(DGArchive[变更前],265)))</f>
        <v/>
      </c>
      <c r="CF464" t="str">
        <f>IF(265&gt;ROWS(DGArchive[增减]),"",IF(INDEX(DGArchive[增减],265)="","",INDEX(DGArchive[增减],265)))</f>
        <v/>
      </c>
      <c r="CG464" t="str">
        <f>IF(265&gt;ROWS(DGArchive[变更后]),"",IF(INDEX(DGArchive[变更后],265)="","",INDEX(DGArchive[变更后],265)))</f>
        <v/>
      </c>
      <c r="CH464" t="str">
        <f>IF(265&gt;ROWS(DGArchive[事件／活动]),"",IF(INDEX(DGArchive[事件／活动],265)="","",INDEX(DGArchive[事件／活动],265)))</f>
        <v/>
      </c>
      <c r="CI464" t="str">
        <f>IF(265&gt;ROWS(DGArchive[记录编号]),"",IF(INDEX(DGArchive[记录编号],265)="","",INDEX(DGArchive[记录编号],265)))</f>
        <v/>
      </c>
      <c r="CL464">
        <f t="shared" si="134"/>
        <v>0</v>
      </c>
      <c r="CM464">
        <f>IF(AND(A464=$AO$5,B464=$AQ$3,H464=1),COUNTIFS($A$200:A464,$AO$5,$B$200:B464,$AQ$3,$H$200:H464,1),0)</f>
        <v>0</v>
      </c>
      <c r="CN464">
        <f>IF(CA464="",265,1001)</f>
        <v>265</v>
      </c>
      <c r="GA464">
        <f t="shared" si="154"/>
        <v>0</v>
      </c>
      <c r="GB464">
        <f t="shared" si="155"/>
        <v>0</v>
      </c>
      <c r="GC464">
        <f>IF(AND(C464="事件记录",H464=1),COUNTIFS($C$200:C464,"事件记录",$H$200:H464,1),0)</f>
        <v>0</v>
      </c>
      <c r="GD464">
        <f t="shared" si="135"/>
        <v>0</v>
      </c>
      <c r="GH464">
        <f>IF(AND(H464=1,A464=$GA$10,B464=$GA$11),COUNTIFS($A$200:A464,$GA$10,$B$200:B464,$GA$11,$H$200:H464,1),0)</f>
        <v>0</v>
      </c>
    </row>
    <row r="465" spans="1:190">
      <c r="A465" t="str">
        <f t="shared" si="126"/>
        <v/>
      </c>
      <c r="B465" t="str">
        <f t="shared" si="127"/>
        <v/>
      </c>
      <c r="C465" t="str">
        <f t="shared" si="128"/>
        <v/>
      </c>
      <c r="D465" t="str">
        <f t="shared" si="129"/>
        <v/>
      </c>
      <c r="E465">
        <f t="shared" si="130"/>
        <v>0</v>
      </c>
      <c r="F465" t="str">
        <f t="shared" si="131"/>
        <v/>
      </c>
      <c r="G465">
        <f t="shared" si="132"/>
        <v>0</v>
      </c>
      <c r="H465">
        <f>IF(AND(G465=1,COUNTIFS($I$200:I465,I465,$G$200:G465,1)=1),1,0)</f>
        <v>0</v>
      </c>
      <c r="I465" t="str">
        <f t="shared" si="133"/>
        <v/>
      </c>
      <c r="BF465">
        <f t="shared" si="136"/>
        <v>0</v>
      </c>
      <c r="BG465">
        <f t="shared" si="137"/>
        <v>0</v>
      </c>
      <c r="BH465">
        <f t="shared" si="138"/>
        <v>0</v>
      </c>
      <c r="BI465">
        <f t="shared" si="139"/>
        <v>0</v>
      </c>
      <c r="BJ465">
        <f t="shared" si="140"/>
        <v>0</v>
      </c>
      <c r="BK465">
        <f t="shared" si="141"/>
        <v>0</v>
      </c>
      <c r="BL465">
        <f t="shared" si="142"/>
        <v>0</v>
      </c>
      <c r="BM465">
        <f t="shared" si="143"/>
        <v>0</v>
      </c>
      <c r="BN465">
        <f t="shared" si="144"/>
        <v>0</v>
      </c>
      <c r="BO465">
        <f t="shared" si="145"/>
        <v>0</v>
      </c>
      <c r="BP465">
        <f t="shared" si="146"/>
        <v>0</v>
      </c>
      <c r="BQ465">
        <f t="shared" si="147"/>
        <v>0</v>
      </c>
      <c r="BR465">
        <f t="shared" si="148"/>
        <v>0</v>
      </c>
      <c r="BS465">
        <f t="shared" si="149"/>
        <v>0</v>
      </c>
      <c r="BT465">
        <f t="shared" si="150"/>
        <v>0</v>
      </c>
      <c r="BU465">
        <f t="shared" si="151"/>
        <v>0</v>
      </c>
      <c r="BV465">
        <f t="shared" si="152"/>
        <v>0</v>
      </c>
      <c r="BW465">
        <f t="shared" si="153"/>
        <v>0</v>
      </c>
      <c r="CA465" t="str">
        <f>IF(266&gt;ROWS(DGArchive[模组]),"",IF(INDEX(DGArchive[模组],266)="","",INDEX(DGArchive[模组],266)))</f>
        <v/>
      </c>
      <c r="CB465" t="str">
        <f>IF(266&gt;ROWS(DGArchive[阶段]),"",IF(INDEX(DGArchive[阶段],266)="","",INDEX(DGArchive[阶段],266)))</f>
        <v/>
      </c>
      <c r="CC465" t="str">
        <f>IF(266&gt;ROWS(DGArchive[游戏内日期]),"",IF(INDEX(DGArchive[游戏内日期],266)="","",INDEX(DGArchive[游戏内日期],266)))</f>
        <v/>
      </c>
      <c r="CD465" t="str">
        <f>IF(266&gt;ROWS(DGArchive[目标]),"",IF(INDEX(DGArchive[目标],266)="","",INDEX(DGArchive[目标],266)))</f>
        <v/>
      </c>
      <c r="CE465" t="str">
        <f>IF(266&gt;ROWS(DGArchive[变更前]),"",IF(INDEX(DGArchive[变更前],266)="","",INDEX(DGArchive[变更前],266)))</f>
        <v/>
      </c>
      <c r="CF465" t="str">
        <f>IF(266&gt;ROWS(DGArchive[增减]),"",IF(INDEX(DGArchive[增减],266)="","",INDEX(DGArchive[增减],266)))</f>
        <v/>
      </c>
      <c r="CG465" t="str">
        <f>IF(266&gt;ROWS(DGArchive[变更后]),"",IF(INDEX(DGArchive[变更后],266)="","",INDEX(DGArchive[变更后],266)))</f>
        <v/>
      </c>
      <c r="CH465" t="str">
        <f>IF(266&gt;ROWS(DGArchive[事件／活动]),"",IF(INDEX(DGArchive[事件／活动],266)="","",INDEX(DGArchive[事件／活动],266)))</f>
        <v/>
      </c>
      <c r="CI465" t="str">
        <f>IF(266&gt;ROWS(DGArchive[记录编号]),"",IF(INDEX(DGArchive[记录编号],266)="","",INDEX(DGArchive[记录编号],266)))</f>
        <v/>
      </c>
      <c r="CL465">
        <f t="shared" si="134"/>
        <v>0</v>
      </c>
      <c r="CM465">
        <f>IF(AND(A465=$AO$5,B465=$AQ$3,H465=1),COUNTIFS($A$200:A465,$AO$5,$B$200:B465,$AQ$3,$H$200:H465,1),0)</f>
        <v>0</v>
      </c>
      <c r="CN465">
        <f>IF(CA465="",266,1001)</f>
        <v>266</v>
      </c>
      <c r="GA465">
        <f t="shared" si="154"/>
        <v>0</v>
      </c>
      <c r="GB465">
        <f t="shared" si="155"/>
        <v>0</v>
      </c>
      <c r="GC465">
        <f>IF(AND(C465="事件记录",H465=1),COUNTIFS($C$200:C465,"事件记录",$H$200:H465,1),0)</f>
        <v>0</v>
      </c>
      <c r="GD465">
        <f t="shared" si="135"/>
        <v>0</v>
      </c>
      <c r="GH465">
        <f>IF(AND(H465=1,A465=$GA$10,B465=$GA$11),COUNTIFS($A$200:A465,$GA$10,$B$200:B465,$GA$11,$H$200:H465,1),0)</f>
        <v>0</v>
      </c>
    </row>
    <row r="466" spans="1:190">
      <c r="A466" t="str">
        <f t="shared" si="126"/>
        <v/>
      </c>
      <c r="B466" t="str">
        <f t="shared" si="127"/>
        <v/>
      </c>
      <c r="C466" t="str">
        <f t="shared" si="128"/>
        <v/>
      </c>
      <c r="D466" t="str">
        <f t="shared" si="129"/>
        <v/>
      </c>
      <c r="E466">
        <f t="shared" si="130"/>
        <v>0</v>
      </c>
      <c r="F466" t="str">
        <f t="shared" si="131"/>
        <v/>
      </c>
      <c r="G466">
        <f t="shared" si="132"/>
        <v>0</v>
      </c>
      <c r="H466">
        <f>IF(AND(G466=1,COUNTIFS($I$200:I466,I466,$G$200:G466,1)=1),1,0)</f>
        <v>0</v>
      </c>
      <c r="I466" t="str">
        <f t="shared" si="133"/>
        <v/>
      </c>
      <c r="BF466">
        <f t="shared" si="136"/>
        <v>0</v>
      </c>
      <c r="BG466">
        <f t="shared" si="137"/>
        <v>0</v>
      </c>
      <c r="BH466">
        <f t="shared" si="138"/>
        <v>0</v>
      </c>
      <c r="BI466">
        <f t="shared" si="139"/>
        <v>0</v>
      </c>
      <c r="BJ466">
        <f t="shared" si="140"/>
        <v>0</v>
      </c>
      <c r="BK466">
        <f t="shared" si="141"/>
        <v>0</v>
      </c>
      <c r="BL466">
        <f t="shared" si="142"/>
        <v>0</v>
      </c>
      <c r="BM466">
        <f t="shared" si="143"/>
        <v>0</v>
      </c>
      <c r="BN466">
        <f t="shared" si="144"/>
        <v>0</v>
      </c>
      <c r="BO466">
        <f t="shared" si="145"/>
        <v>0</v>
      </c>
      <c r="BP466">
        <f t="shared" si="146"/>
        <v>0</v>
      </c>
      <c r="BQ466">
        <f t="shared" si="147"/>
        <v>0</v>
      </c>
      <c r="BR466">
        <f t="shared" si="148"/>
        <v>0</v>
      </c>
      <c r="BS466">
        <f t="shared" si="149"/>
        <v>0</v>
      </c>
      <c r="BT466">
        <f t="shared" si="150"/>
        <v>0</v>
      </c>
      <c r="BU466">
        <f t="shared" si="151"/>
        <v>0</v>
      </c>
      <c r="BV466">
        <f t="shared" si="152"/>
        <v>0</v>
      </c>
      <c r="BW466">
        <f t="shared" si="153"/>
        <v>0</v>
      </c>
      <c r="CA466" t="str">
        <f>IF(267&gt;ROWS(DGArchive[模组]),"",IF(INDEX(DGArchive[模组],267)="","",INDEX(DGArchive[模组],267)))</f>
        <v/>
      </c>
      <c r="CB466" t="str">
        <f>IF(267&gt;ROWS(DGArchive[阶段]),"",IF(INDEX(DGArchive[阶段],267)="","",INDEX(DGArchive[阶段],267)))</f>
        <v/>
      </c>
      <c r="CC466" t="str">
        <f>IF(267&gt;ROWS(DGArchive[游戏内日期]),"",IF(INDEX(DGArchive[游戏内日期],267)="","",INDEX(DGArchive[游戏内日期],267)))</f>
        <v/>
      </c>
      <c r="CD466" t="str">
        <f>IF(267&gt;ROWS(DGArchive[目标]),"",IF(INDEX(DGArchive[目标],267)="","",INDEX(DGArchive[目标],267)))</f>
        <v/>
      </c>
      <c r="CE466" t="str">
        <f>IF(267&gt;ROWS(DGArchive[变更前]),"",IF(INDEX(DGArchive[变更前],267)="","",INDEX(DGArchive[变更前],267)))</f>
        <v/>
      </c>
      <c r="CF466" t="str">
        <f>IF(267&gt;ROWS(DGArchive[增减]),"",IF(INDEX(DGArchive[增减],267)="","",INDEX(DGArchive[增减],267)))</f>
        <v/>
      </c>
      <c r="CG466" t="str">
        <f>IF(267&gt;ROWS(DGArchive[变更后]),"",IF(INDEX(DGArchive[变更后],267)="","",INDEX(DGArchive[变更后],267)))</f>
        <v/>
      </c>
      <c r="CH466" t="str">
        <f>IF(267&gt;ROWS(DGArchive[事件／活动]),"",IF(INDEX(DGArchive[事件／活动],267)="","",INDEX(DGArchive[事件／活动],267)))</f>
        <v/>
      </c>
      <c r="CI466" t="str">
        <f>IF(267&gt;ROWS(DGArchive[记录编号]),"",IF(INDEX(DGArchive[记录编号],267)="","",INDEX(DGArchive[记录编号],267)))</f>
        <v/>
      </c>
      <c r="CL466">
        <f t="shared" si="134"/>
        <v>0</v>
      </c>
      <c r="CM466">
        <f>IF(AND(A466=$AO$5,B466=$AQ$3,H466=1),COUNTIFS($A$200:A466,$AO$5,$B$200:B466,$AQ$3,$H$200:H466,1),0)</f>
        <v>0</v>
      </c>
      <c r="CN466">
        <f>IF(CA466="",267,1001)</f>
        <v>267</v>
      </c>
      <c r="GA466">
        <f t="shared" si="154"/>
        <v>0</v>
      </c>
      <c r="GB466">
        <f t="shared" si="155"/>
        <v>0</v>
      </c>
      <c r="GC466">
        <f>IF(AND(C466="事件记录",H466=1),COUNTIFS($C$200:C466,"事件记录",$H$200:H466,1),0)</f>
        <v>0</v>
      </c>
      <c r="GD466">
        <f t="shared" si="135"/>
        <v>0</v>
      </c>
      <c r="GH466">
        <f>IF(AND(H466=1,A466=$GA$10,B466=$GA$11),COUNTIFS($A$200:A466,$GA$10,$B$200:B466,$GA$11,$H$200:H466,1),0)</f>
        <v>0</v>
      </c>
    </row>
    <row r="467" spans="1:190">
      <c r="A467" t="str">
        <f t="shared" si="126"/>
        <v/>
      </c>
      <c r="B467" t="str">
        <f t="shared" si="127"/>
        <v/>
      </c>
      <c r="C467" t="str">
        <f t="shared" si="128"/>
        <v/>
      </c>
      <c r="D467" t="str">
        <f t="shared" si="129"/>
        <v/>
      </c>
      <c r="E467">
        <f t="shared" si="130"/>
        <v>0</v>
      </c>
      <c r="F467" t="str">
        <f t="shared" si="131"/>
        <v/>
      </c>
      <c r="G467">
        <f t="shared" si="132"/>
        <v>0</v>
      </c>
      <c r="H467">
        <f>IF(AND(G467=1,COUNTIFS($I$200:I467,I467,$G$200:G467,1)=1),1,0)</f>
        <v>0</v>
      </c>
      <c r="I467" t="str">
        <f t="shared" si="133"/>
        <v/>
      </c>
      <c r="BF467">
        <f t="shared" si="136"/>
        <v>0</v>
      </c>
      <c r="BG467">
        <f t="shared" si="137"/>
        <v>0</v>
      </c>
      <c r="BH467">
        <f t="shared" si="138"/>
        <v>0</v>
      </c>
      <c r="BI467">
        <f t="shared" si="139"/>
        <v>0</v>
      </c>
      <c r="BJ467">
        <f t="shared" si="140"/>
        <v>0</v>
      </c>
      <c r="BK467">
        <f t="shared" si="141"/>
        <v>0</v>
      </c>
      <c r="BL467">
        <f t="shared" si="142"/>
        <v>0</v>
      </c>
      <c r="BM467">
        <f t="shared" si="143"/>
        <v>0</v>
      </c>
      <c r="BN467">
        <f t="shared" si="144"/>
        <v>0</v>
      </c>
      <c r="BO467">
        <f t="shared" si="145"/>
        <v>0</v>
      </c>
      <c r="BP467">
        <f t="shared" si="146"/>
        <v>0</v>
      </c>
      <c r="BQ467">
        <f t="shared" si="147"/>
        <v>0</v>
      </c>
      <c r="BR467">
        <f t="shared" si="148"/>
        <v>0</v>
      </c>
      <c r="BS467">
        <f t="shared" si="149"/>
        <v>0</v>
      </c>
      <c r="BT467">
        <f t="shared" si="150"/>
        <v>0</v>
      </c>
      <c r="BU467">
        <f t="shared" si="151"/>
        <v>0</v>
      </c>
      <c r="BV467">
        <f t="shared" si="152"/>
        <v>0</v>
      </c>
      <c r="BW467">
        <f t="shared" si="153"/>
        <v>0</v>
      </c>
      <c r="CA467" t="str">
        <f>IF(268&gt;ROWS(DGArchive[模组]),"",IF(INDEX(DGArchive[模组],268)="","",INDEX(DGArchive[模组],268)))</f>
        <v/>
      </c>
      <c r="CB467" t="str">
        <f>IF(268&gt;ROWS(DGArchive[阶段]),"",IF(INDEX(DGArchive[阶段],268)="","",INDEX(DGArchive[阶段],268)))</f>
        <v/>
      </c>
      <c r="CC467" t="str">
        <f>IF(268&gt;ROWS(DGArchive[游戏内日期]),"",IF(INDEX(DGArchive[游戏内日期],268)="","",INDEX(DGArchive[游戏内日期],268)))</f>
        <v/>
      </c>
      <c r="CD467" t="str">
        <f>IF(268&gt;ROWS(DGArchive[目标]),"",IF(INDEX(DGArchive[目标],268)="","",INDEX(DGArchive[目标],268)))</f>
        <v/>
      </c>
      <c r="CE467" t="str">
        <f>IF(268&gt;ROWS(DGArchive[变更前]),"",IF(INDEX(DGArchive[变更前],268)="","",INDEX(DGArchive[变更前],268)))</f>
        <v/>
      </c>
      <c r="CF467" t="str">
        <f>IF(268&gt;ROWS(DGArchive[增减]),"",IF(INDEX(DGArchive[增减],268)="","",INDEX(DGArchive[增减],268)))</f>
        <v/>
      </c>
      <c r="CG467" t="str">
        <f>IF(268&gt;ROWS(DGArchive[变更后]),"",IF(INDEX(DGArchive[变更后],268)="","",INDEX(DGArchive[变更后],268)))</f>
        <v/>
      </c>
      <c r="CH467" t="str">
        <f>IF(268&gt;ROWS(DGArchive[事件／活动]),"",IF(INDEX(DGArchive[事件／活动],268)="","",INDEX(DGArchive[事件／活动],268)))</f>
        <v/>
      </c>
      <c r="CI467" t="str">
        <f>IF(268&gt;ROWS(DGArchive[记录编号]),"",IF(INDEX(DGArchive[记录编号],268)="","",INDEX(DGArchive[记录编号],268)))</f>
        <v/>
      </c>
      <c r="CL467">
        <f t="shared" si="134"/>
        <v>0</v>
      </c>
      <c r="CM467">
        <f>IF(AND(A467=$AO$5,B467=$AQ$3,H467=1),COUNTIFS($A$200:A467,$AO$5,$B$200:B467,$AQ$3,$H$200:H467,1),0)</f>
        <v>0</v>
      </c>
      <c r="CN467">
        <f>IF(CA467="",268,1001)</f>
        <v>268</v>
      </c>
      <c r="GA467">
        <f t="shared" si="154"/>
        <v>0</v>
      </c>
      <c r="GB467">
        <f t="shared" si="155"/>
        <v>0</v>
      </c>
      <c r="GC467">
        <f>IF(AND(C467="事件记录",H467=1),COUNTIFS($C$200:C467,"事件记录",$H$200:H467,1),0)</f>
        <v>0</v>
      </c>
      <c r="GD467">
        <f t="shared" si="135"/>
        <v>0</v>
      </c>
      <c r="GH467">
        <f>IF(AND(H467=1,A467=$GA$10,B467=$GA$11),COUNTIFS($A$200:A467,$GA$10,$B$200:B467,$GA$11,$H$200:H467,1),0)</f>
        <v>0</v>
      </c>
    </row>
    <row r="468" spans="1:190">
      <c r="A468" t="str">
        <f t="shared" si="126"/>
        <v/>
      </c>
      <c r="B468" t="str">
        <f t="shared" si="127"/>
        <v/>
      </c>
      <c r="C468" t="str">
        <f t="shared" si="128"/>
        <v/>
      </c>
      <c r="D468" t="str">
        <f t="shared" si="129"/>
        <v/>
      </c>
      <c r="E468">
        <f t="shared" si="130"/>
        <v>0</v>
      </c>
      <c r="F468" t="str">
        <f t="shared" si="131"/>
        <v/>
      </c>
      <c r="G468">
        <f t="shared" si="132"/>
        <v>0</v>
      </c>
      <c r="H468">
        <f>IF(AND(G468=1,COUNTIFS($I$200:I468,I468,$G$200:G468,1)=1),1,0)</f>
        <v>0</v>
      </c>
      <c r="I468" t="str">
        <f t="shared" si="133"/>
        <v/>
      </c>
      <c r="BF468">
        <f t="shared" si="136"/>
        <v>0</v>
      </c>
      <c r="BG468">
        <f t="shared" si="137"/>
        <v>0</v>
      </c>
      <c r="BH468">
        <f t="shared" si="138"/>
        <v>0</v>
      </c>
      <c r="BI468">
        <f t="shared" si="139"/>
        <v>0</v>
      </c>
      <c r="BJ468">
        <f t="shared" si="140"/>
        <v>0</v>
      </c>
      <c r="BK468">
        <f t="shared" si="141"/>
        <v>0</v>
      </c>
      <c r="BL468">
        <f t="shared" si="142"/>
        <v>0</v>
      </c>
      <c r="BM468">
        <f t="shared" si="143"/>
        <v>0</v>
      </c>
      <c r="BN468">
        <f t="shared" si="144"/>
        <v>0</v>
      </c>
      <c r="BO468">
        <f t="shared" si="145"/>
        <v>0</v>
      </c>
      <c r="BP468">
        <f t="shared" si="146"/>
        <v>0</v>
      </c>
      <c r="BQ468">
        <f t="shared" si="147"/>
        <v>0</v>
      </c>
      <c r="BR468">
        <f t="shared" si="148"/>
        <v>0</v>
      </c>
      <c r="BS468">
        <f t="shared" si="149"/>
        <v>0</v>
      </c>
      <c r="BT468">
        <f t="shared" si="150"/>
        <v>0</v>
      </c>
      <c r="BU468">
        <f t="shared" si="151"/>
        <v>0</v>
      </c>
      <c r="BV468">
        <f t="shared" si="152"/>
        <v>0</v>
      </c>
      <c r="BW468">
        <f t="shared" si="153"/>
        <v>0</v>
      </c>
      <c r="CA468" t="str">
        <f>IF(269&gt;ROWS(DGArchive[模组]),"",IF(INDEX(DGArchive[模组],269)="","",INDEX(DGArchive[模组],269)))</f>
        <v/>
      </c>
      <c r="CB468" t="str">
        <f>IF(269&gt;ROWS(DGArchive[阶段]),"",IF(INDEX(DGArchive[阶段],269)="","",INDEX(DGArchive[阶段],269)))</f>
        <v/>
      </c>
      <c r="CC468" t="str">
        <f>IF(269&gt;ROWS(DGArchive[游戏内日期]),"",IF(INDEX(DGArchive[游戏内日期],269)="","",INDEX(DGArchive[游戏内日期],269)))</f>
        <v/>
      </c>
      <c r="CD468" t="str">
        <f>IF(269&gt;ROWS(DGArchive[目标]),"",IF(INDEX(DGArchive[目标],269)="","",INDEX(DGArchive[目标],269)))</f>
        <v/>
      </c>
      <c r="CE468" t="str">
        <f>IF(269&gt;ROWS(DGArchive[变更前]),"",IF(INDEX(DGArchive[变更前],269)="","",INDEX(DGArchive[变更前],269)))</f>
        <v/>
      </c>
      <c r="CF468" t="str">
        <f>IF(269&gt;ROWS(DGArchive[增减]),"",IF(INDEX(DGArchive[增减],269)="","",INDEX(DGArchive[增减],269)))</f>
        <v/>
      </c>
      <c r="CG468" t="str">
        <f>IF(269&gt;ROWS(DGArchive[变更后]),"",IF(INDEX(DGArchive[变更后],269)="","",INDEX(DGArchive[变更后],269)))</f>
        <v/>
      </c>
      <c r="CH468" t="str">
        <f>IF(269&gt;ROWS(DGArchive[事件／活动]),"",IF(INDEX(DGArchive[事件／活动],269)="","",INDEX(DGArchive[事件／活动],269)))</f>
        <v/>
      </c>
      <c r="CI468" t="str">
        <f>IF(269&gt;ROWS(DGArchive[记录编号]),"",IF(INDEX(DGArchive[记录编号],269)="","",INDEX(DGArchive[记录编号],269)))</f>
        <v/>
      </c>
      <c r="CL468">
        <f t="shared" si="134"/>
        <v>0</v>
      </c>
      <c r="CM468">
        <f>IF(AND(A468=$AO$5,B468=$AQ$3,H468=1),COUNTIFS($A$200:A468,$AO$5,$B$200:B468,$AQ$3,$H$200:H468,1),0)</f>
        <v>0</v>
      </c>
      <c r="CN468">
        <f>IF(CA468="",269,1001)</f>
        <v>269</v>
      </c>
      <c r="GA468">
        <f t="shared" si="154"/>
        <v>0</v>
      </c>
      <c r="GB468">
        <f t="shared" si="155"/>
        <v>0</v>
      </c>
      <c r="GC468">
        <f>IF(AND(C468="事件记录",H468=1),COUNTIFS($C$200:C468,"事件记录",$H$200:H468,1),0)</f>
        <v>0</v>
      </c>
      <c r="GD468">
        <f t="shared" si="135"/>
        <v>0</v>
      </c>
      <c r="GH468">
        <f>IF(AND(H468=1,A468=$GA$10,B468=$GA$11),COUNTIFS($A$200:A468,$GA$10,$B$200:B468,$GA$11,$H$200:H468,1),0)</f>
        <v>0</v>
      </c>
    </row>
    <row r="469" spans="1:190">
      <c r="A469" t="str">
        <f t="shared" si="126"/>
        <v/>
      </c>
      <c r="B469" t="str">
        <f t="shared" si="127"/>
        <v/>
      </c>
      <c r="C469" t="str">
        <f t="shared" si="128"/>
        <v/>
      </c>
      <c r="D469" t="str">
        <f t="shared" si="129"/>
        <v/>
      </c>
      <c r="E469">
        <f t="shared" si="130"/>
        <v>0</v>
      </c>
      <c r="F469" t="str">
        <f t="shared" si="131"/>
        <v/>
      </c>
      <c r="G469">
        <f t="shared" si="132"/>
        <v>0</v>
      </c>
      <c r="H469">
        <f>IF(AND(G469=1,COUNTIFS($I$200:I469,I469,$G$200:G469,1)=1),1,0)</f>
        <v>0</v>
      </c>
      <c r="I469" t="str">
        <f t="shared" si="133"/>
        <v/>
      </c>
      <c r="BF469">
        <f t="shared" si="136"/>
        <v>0</v>
      </c>
      <c r="BG469">
        <f t="shared" si="137"/>
        <v>0</v>
      </c>
      <c r="BH469">
        <f t="shared" si="138"/>
        <v>0</v>
      </c>
      <c r="BI469">
        <f t="shared" si="139"/>
        <v>0</v>
      </c>
      <c r="BJ469">
        <f t="shared" si="140"/>
        <v>0</v>
      </c>
      <c r="BK469">
        <f t="shared" si="141"/>
        <v>0</v>
      </c>
      <c r="BL469">
        <f t="shared" si="142"/>
        <v>0</v>
      </c>
      <c r="BM469">
        <f t="shared" si="143"/>
        <v>0</v>
      </c>
      <c r="BN469">
        <f t="shared" si="144"/>
        <v>0</v>
      </c>
      <c r="BO469">
        <f t="shared" si="145"/>
        <v>0</v>
      </c>
      <c r="BP469">
        <f t="shared" si="146"/>
        <v>0</v>
      </c>
      <c r="BQ469">
        <f t="shared" si="147"/>
        <v>0</v>
      </c>
      <c r="BR469">
        <f t="shared" si="148"/>
        <v>0</v>
      </c>
      <c r="BS469">
        <f t="shared" si="149"/>
        <v>0</v>
      </c>
      <c r="BT469">
        <f t="shared" si="150"/>
        <v>0</v>
      </c>
      <c r="BU469">
        <f t="shared" si="151"/>
        <v>0</v>
      </c>
      <c r="BV469">
        <f t="shared" si="152"/>
        <v>0</v>
      </c>
      <c r="BW469">
        <f t="shared" si="153"/>
        <v>0</v>
      </c>
      <c r="CA469" t="str">
        <f>IF(270&gt;ROWS(DGArchive[模组]),"",IF(INDEX(DGArchive[模组],270)="","",INDEX(DGArchive[模组],270)))</f>
        <v/>
      </c>
      <c r="CB469" t="str">
        <f>IF(270&gt;ROWS(DGArchive[阶段]),"",IF(INDEX(DGArchive[阶段],270)="","",INDEX(DGArchive[阶段],270)))</f>
        <v/>
      </c>
      <c r="CC469" t="str">
        <f>IF(270&gt;ROWS(DGArchive[游戏内日期]),"",IF(INDEX(DGArchive[游戏内日期],270)="","",INDEX(DGArchive[游戏内日期],270)))</f>
        <v/>
      </c>
      <c r="CD469" t="str">
        <f>IF(270&gt;ROWS(DGArchive[目标]),"",IF(INDEX(DGArchive[目标],270)="","",INDEX(DGArchive[目标],270)))</f>
        <v/>
      </c>
      <c r="CE469" t="str">
        <f>IF(270&gt;ROWS(DGArchive[变更前]),"",IF(INDEX(DGArchive[变更前],270)="","",INDEX(DGArchive[变更前],270)))</f>
        <v/>
      </c>
      <c r="CF469" t="str">
        <f>IF(270&gt;ROWS(DGArchive[增减]),"",IF(INDEX(DGArchive[增减],270)="","",INDEX(DGArchive[增减],270)))</f>
        <v/>
      </c>
      <c r="CG469" t="str">
        <f>IF(270&gt;ROWS(DGArchive[变更后]),"",IF(INDEX(DGArchive[变更后],270)="","",INDEX(DGArchive[变更后],270)))</f>
        <v/>
      </c>
      <c r="CH469" t="str">
        <f>IF(270&gt;ROWS(DGArchive[事件／活动]),"",IF(INDEX(DGArchive[事件／活动],270)="","",INDEX(DGArchive[事件／活动],270)))</f>
        <v/>
      </c>
      <c r="CI469" t="str">
        <f>IF(270&gt;ROWS(DGArchive[记录编号]),"",IF(INDEX(DGArchive[记录编号],270)="","",INDEX(DGArchive[记录编号],270)))</f>
        <v/>
      </c>
      <c r="CL469">
        <f t="shared" si="134"/>
        <v>0</v>
      </c>
      <c r="CM469">
        <f>IF(AND(A469=$AO$5,B469=$AQ$3,H469=1),COUNTIFS($A$200:A469,$AO$5,$B$200:B469,$AQ$3,$H$200:H469,1),0)</f>
        <v>0</v>
      </c>
      <c r="CN469">
        <f>IF(CA469="",270,1001)</f>
        <v>270</v>
      </c>
      <c r="GA469">
        <f t="shared" si="154"/>
        <v>0</v>
      </c>
      <c r="GB469">
        <f t="shared" si="155"/>
        <v>0</v>
      </c>
      <c r="GC469">
        <f>IF(AND(C469="事件记录",H469=1),COUNTIFS($C$200:C469,"事件记录",$H$200:H469,1),0)</f>
        <v>0</v>
      </c>
      <c r="GD469">
        <f t="shared" si="135"/>
        <v>0</v>
      </c>
      <c r="GH469">
        <f>IF(AND(H469=1,A469=$GA$10,B469=$GA$11),COUNTIFS($A$200:A469,$GA$10,$B$200:B469,$GA$11,$H$200:H469,1),0)</f>
        <v>0</v>
      </c>
    </row>
    <row r="470" spans="1:190">
      <c r="A470" t="str">
        <f t="shared" si="126"/>
        <v/>
      </c>
      <c r="B470" t="str">
        <f t="shared" si="127"/>
        <v/>
      </c>
      <c r="C470" t="str">
        <f t="shared" si="128"/>
        <v/>
      </c>
      <c r="D470" t="str">
        <f t="shared" si="129"/>
        <v/>
      </c>
      <c r="E470">
        <f t="shared" si="130"/>
        <v>0</v>
      </c>
      <c r="F470" t="str">
        <f t="shared" si="131"/>
        <v/>
      </c>
      <c r="G470">
        <f t="shared" si="132"/>
        <v>0</v>
      </c>
      <c r="H470">
        <f>IF(AND(G470=1,COUNTIFS($I$200:I470,I470,$G$200:G470,1)=1),1,0)</f>
        <v>0</v>
      </c>
      <c r="I470" t="str">
        <f t="shared" si="133"/>
        <v/>
      </c>
      <c r="BF470">
        <f t="shared" si="136"/>
        <v>0</v>
      </c>
      <c r="BG470">
        <f t="shared" si="137"/>
        <v>0</v>
      </c>
      <c r="BH470">
        <f t="shared" si="138"/>
        <v>0</v>
      </c>
      <c r="BI470">
        <f t="shared" si="139"/>
        <v>0</v>
      </c>
      <c r="BJ470">
        <f t="shared" si="140"/>
        <v>0</v>
      </c>
      <c r="BK470">
        <f t="shared" si="141"/>
        <v>0</v>
      </c>
      <c r="BL470">
        <f t="shared" si="142"/>
        <v>0</v>
      </c>
      <c r="BM470">
        <f t="shared" si="143"/>
        <v>0</v>
      </c>
      <c r="BN470">
        <f t="shared" si="144"/>
        <v>0</v>
      </c>
      <c r="BO470">
        <f t="shared" si="145"/>
        <v>0</v>
      </c>
      <c r="BP470">
        <f t="shared" si="146"/>
        <v>0</v>
      </c>
      <c r="BQ470">
        <f t="shared" si="147"/>
        <v>0</v>
      </c>
      <c r="BR470">
        <f t="shared" si="148"/>
        <v>0</v>
      </c>
      <c r="BS470">
        <f t="shared" si="149"/>
        <v>0</v>
      </c>
      <c r="BT470">
        <f t="shared" si="150"/>
        <v>0</v>
      </c>
      <c r="BU470">
        <f t="shared" si="151"/>
        <v>0</v>
      </c>
      <c r="BV470">
        <f t="shared" si="152"/>
        <v>0</v>
      </c>
      <c r="BW470">
        <f t="shared" si="153"/>
        <v>0</v>
      </c>
      <c r="CA470" t="str">
        <f>IF(271&gt;ROWS(DGArchive[模组]),"",IF(INDEX(DGArchive[模组],271)="","",INDEX(DGArchive[模组],271)))</f>
        <v/>
      </c>
      <c r="CB470" t="str">
        <f>IF(271&gt;ROWS(DGArchive[阶段]),"",IF(INDEX(DGArchive[阶段],271)="","",INDEX(DGArchive[阶段],271)))</f>
        <v/>
      </c>
      <c r="CC470" t="str">
        <f>IF(271&gt;ROWS(DGArchive[游戏内日期]),"",IF(INDEX(DGArchive[游戏内日期],271)="","",INDEX(DGArchive[游戏内日期],271)))</f>
        <v/>
      </c>
      <c r="CD470" t="str">
        <f>IF(271&gt;ROWS(DGArchive[目标]),"",IF(INDEX(DGArchive[目标],271)="","",INDEX(DGArchive[目标],271)))</f>
        <v/>
      </c>
      <c r="CE470" t="str">
        <f>IF(271&gt;ROWS(DGArchive[变更前]),"",IF(INDEX(DGArchive[变更前],271)="","",INDEX(DGArchive[变更前],271)))</f>
        <v/>
      </c>
      <c r="CF470" t="str">
        <f>IF(271&gt;ROWS(DGArchive[增减]),"",IF(INDEX(DGArchive[增减],271)="","",INDEX(DGArchive[增减],271)))</f>
        <v/>
      </c>
      <c r="CG470" t="str">
        <f>IF(271&gt;ROWS(DGArchive[变更后]),"",IF(INDEX(DGArchive[变更后],271)="","",INDEX(DGArchive[变更后],271)))</f>
        <v/>
      </c>
      <c r="CH470" t="str">
        <f>IF(271&gt;ROWS(DGArchive[事件／活动]),"",IF(INDEX(DGArchive[事件／活动],271)="","",INDEX(DGArchive[事件／活动],271)))</f>
        <v/>
      </c>
      <c r="CI470" t="str">
        <f>IF(271&gt;ROWS(DGArchive[记录编号]),"",IF(INDEX(DGArchive[记录编号],271)="","",INDEX(DGArchive[记录编号],271)))</f>
        <v/>
      </c>
      <c r="CL470">
        <f t="shared" si="134"/>
        <v>0</v>
      </c>
      <c r="CM470">
        <f>IF(AND(A470=$AO$5,B470=$AQ$3,H470=1),COUNTIFS($A$200:A470,$AO$5,$B$200:B470,$AQ$3,$H$200:H470,1),0)</f>
        <v>0</v>
      </c>
      <c r="CN470">
        <f>IF(CA470="",271,1001)</f>
        <v>271</v>
      </c>
      <c r="GA470">
        <f t="shared" si="154"/>
        <v>0</v>
      </c>
      <c r="GB470">
        <f t="shared" si="155"/>
        <v>0</v>
      </c>
      <c r="GC470">
        <f>IF(AND(C470="事件记录",H470=1),COUNTIFS($C$200:C470,"事件记录",$H$200:H470,1),0)</f>
        <v>0</v>
      </c>
      <c r="GD470">
        <f t="shared" si="135"/>
        <v>0</v>
      </c>
      <c r="GH470">
        <f>IF(AND(H470=1,A470=$GA$10,B470=$GA$11),COUNTIFS($A$200:A470,$GA$10,$B$200:B470,$GA$11,$H$200:H470,1),0)</f>
        <v>0</v>
      </c>
    </row>
    <row r="471" spans="1:190">
      <c r="A471" t="str">
        <f t="shared" si="126"/>
        <v/>
      </c>
      <c r="B471" t="str">
        <f t="shared" si="127"/>
        <v/>
      </c>
      <c r="C471" t="str">
        <f t="shared" si="128"/>
        <v/>
      </c>
      <c r="D471" t="str">
        <f t="shared" si="129"/>
        <v/>
      </c>
      <c r="E471">
        <f t="shared" si="130"/>
        <v>0</v>
      </c>
      <c r="F471" t="str">
        <f t="shared" si="131"/>
        <v/>
      </c>
      <c r="G471">
        <f t="shared" si="132"/>
        <v>0</v>
      </c>
      <c r="H471">
        <f>IF(AND(G471=1,COUNTIFS($I$200:I471,I471,$G$200:G471,1)=1),1,0)</f>
        <v>0</v>
      </c>
      <c r="I471" t="str">
        <f t="shared" si="133"/>
        <v/>
      </c>
      <c r="BF471">
        <f t="shared" si="136"/>
        <v>0</v>
      </c>
      <c r="BG471">
        <f t="shared" si="137"/>
        <v>0</v>
      </c>
      <c r="BH471">
        <f t="shared" si="138"/>
        <v>0</v>
      </c>
      <c r="BI471">
        <f t="shared" si="139"/>
        <v>0</v>
      </c>
      <c r="BJ471">
        <f t="shared" si="140"/>
        <v>0</v>
      </c>
      <c r="BK471">
        <f t="shared" si="141"/>
        <v>0</v>
      </c>
      <c r="BL471">
        <f t="shared" si="142"/>
        <v>0</v>
      </c>
      <c r="BM471">
        <f t="shared" si="143"/>
        <v>0</v>
      </c>
      <c r="BN471">
        <f t="shared" si="144"/>
        <v>0</v>
      </c>
      <c r="BO471">
        <f t="shared" si="145"/>
        <v>0</v>
      </c>
      <c r="BP471">
        <f t="shared" si="146"/>
        <v>0</v>
      </c>
      <c r="BQ471">
        <f t="shared" si="147"/>
        <v>0</v>
      </c>
      <c r="BR471">
        <f t="shared" si="148"/>
        <v>0</v>
      </c>
      <c r="BS471">
        <f t="shared" si="149"/>
        <v>0</v>
      </c>
      <c r="BT471">
        <f t="shared" si="150"/>
        <v>0</v>
      </c>
      <c r="BU471">
        <f t="shared" si="151"/>
        <v>0</v>
      </c>
      <c r="BV471">
        <f t="shared" si="152"/>
        <v>0</v>
      </c>
      <c r="BW471">
        <f t="shared" si="153"/>
        <v>0</v>
      </c>
      <c r="CA471" t="str">
        <f>IF(272&gt;ROWS(DGArchive[模组]),"",IF(INDEX(DGArchive[模组],272)="","",INDEX(DGArchive[模组],272)))</f>
        <v/>
      </c>
      <c r="CB471" t="str">
        <f>IF(272&gt;ROWS(DGArchive[阶段]),"",IF(INDEX(DGArchive[阶段],272)="","",INDEX(DGArchive[阶段],272)))</f>
        <v/>
      </c>
      <c r="CC471" t="str">
        <f>IF(272&gt;ROWS(DGArchive[游戏内日期]),"",IF(INDEX(DGArchive[游戏内日期],272)="","",INDEX(DGArchive[游戏内日期],272)))</f>
        <v/>
      </c>
      <c r="CD471" t="str">
        <f>IF(272&gt;ROWS(DGArchive[目标]),"",IF(INDEX(DGArchive[目标],272)="","",INDEX(DGArchive[目标],272)))</f>
        <v/>
      </c>
      <c r="CE471" t="str">
        <f>IF(272&gt;ROWS(DGArchive[变更前]),"",IF(INDEX(DGArchive[变更前],272)="","",INDEX(DGArchive[变更前],272)))</f>
        <v/>
      </c>
      <c r="CF471" t="str">
        <f>IF(272&gt;ROWS(DGArchive[增减]),"",IF(INDEX(DGArchive[增减],272)="","",INDEX(DGArchive[增减],272)))</f>
        <v/>
      </c>
      <c r="CG471" t="str">
        <f>IF(272&gt;ROWS(DGArchive[变更后]),"",IF(INDEX(DGArchive[变更后],272)="","",INDEX(DGArchive[变更后],272)))</f>
        <v/>
      </c>
      <c r="CH471" t="str">
        <f>IF(272&gt;ROWS(DGArchive[事件／活动]),"",IF(INDEX(DGArchive[事件／活动],272)="","",INDEX(DGArchive[事件／活动],272)))</f>
        <v/>
      </c>
      <c r="CI471" t="str">
        <f>IF(272&gt;ROWS(DGArchive[记录编号]),"",IF(INDEX(DGArchive[记录编号],272)="","",INDEX(DGArchive[记录编号],272)))</f>
        <v/>
      </c>
      <c r="CL471">
        <f t="shared" si="134"/>
        <v>0</v>
      </c>
      <c r="CM471">
        <f>IF(AND(A471=$AO$5,B471=$AQ$3,H471=1),COUNTIFS($A$200:A471,$AO$5,$B$200:B471,$AQ$3,$H$200:H471,1),0)</f>
        <v>0</v>
      </c>
      <c r="CN471">
        <f>IF(CA471="",272,1001)</f>
        <v>272</v>
      </c>
      <c r="GA471">
        <f t="shared" si="154"/>
        <v>0</v>
      </c>
      <c r="GB471">
        <f t="shared" si="155"/>
        <v>0</v>
      </c>
      <c r="GC471">
        <f>IF(AND(C471="事件记录",H471=1),COUNTIFS($C$200:C471,"事件记录",$H$200:H471,1),0)</f>
        <v>0</v>
      </c>
      <c r="GD471">
        <f t="shared" si="135"/>
        <v>0</v>
      </c>
      <c r="GH471">
        <f>IF(AND(H471=1,A471=$GA$10,B471=$GA$11),COUNTIFS($A$200:A471,$GA$10,$B$200:B471,$GA$11,$H$200:H471,1),0)</f>
        <v>0</v>
      </c>
    </row>
    <row r="472" spans="1:190">
      <c r="A472" t="str">
        <f t="shared" si="126"/>
        <v/>
      </c>
      <c r="B472" t="str">
        <f t="shared" si="127"/>
        <v/>
      </c>
      <c r="C472" t="str">
        <f t="shared" si="128"/>
        <v/>
      </c>
      <c r="D472" t="str">
        <f t="shared" si="129"/>
        <v/>
      </c>
      <c r="E472">
        <f t="shared" si="130"/>
        <v>0</v>
      </c>
      <c r="F472" t="str">
        <f t="shared" si="131"/>
        <v/>
      </c>
      <c r="G472">
        <f t="shared" si="132"/>
        <v>0</v>
      </c>
      <c r="H472">
        <f>IF(AND(G472=1,COUNTIFS($I$200:I472,I472,$G$200:G472,1)=1),1,0)</f>
        <v>0</v>
      </c>
      <c r="I472" t="str">
        <f t="shared" si="133"/>
        <v/>
      </c>
      <c r="BF472">
        <f t="shared" si="136"/>
        <v>0</v>
      </c>
      <c r="BG472">
        <f t="shared" si="137"/>
        <v>0</v>
      </c>
      <c r="BH472">
        <f t="shared" si="138"/>
        <v>0</v>
      </c>
      <c r="BI472">
        <f t="shared" si="139"/>
        <v>0</v>
      </c>
      <c r="BJ472">
        <f t="shared" si="140"/>
        <v>0</v>
      </c>
      <c r="BK472">
        <f t="shared" si="141"/>
        <v>0</v>
      </c>
      <c r="BL472">
        <f t="shared" si="142"/>
        <v>0</v>
      </c>
      <c r="BM472">
        <f t="shared" si="143"/>
        <v>0</v>
      </c>
      <c r="BN472">
        <f t="shared" si="144"/>
        <v>0</v>
      </c>
      <c r="BO472">
        <f t="shared" si="145"/>
        <v>0</v>
      </c>
      <c r="BP472">
        <f t="shared" si="146"/>
        <v>0</v>
      </c>
      <c r="BQ472">
        <f t="shared" si="147"/>
        <v>0</v>
      </c>
      <c r="BR472">
        <f t="shared" si="148"/>
        <v>0</v>
      </c>
      <c r="BS472">
        <f t="shared" si="149"/>
        <v>0</v>
      </c>
      <c r="BT472">
        <f t="shared" si="150"/>
        <v>0</v>
      </c>
      <c r="BU472">
        <f t="shared" si="151"/>
        <v>0</v>
      </c>
      <c r="BV472">
        <f t="shared" si="152"/>
        <v>0</v>
      </c>
      <c r="BW472">
        <f t="shared" si="153"/>
        <v>0</v>
      </c>
      <c r="CA472" t="str">
        <f>IF(273&gt;ROWS(DGArchive[模组]),"",IF(INDEX(DGArchive[模组],273)="","",INDEX(DGArchive[模组],273)))</f>
        <v/>
      </c>
      <c r="CB472" t="str">
        <f>IF(273&gt;ROWS(DGArchive[阶段]),"",IF(INDEX(DGArchive[阶段],273)="","",INDEX(DGArchive[阶段],273)))</f>
        <v/>
      </c>
      <c r="CC472" t="str">
        <f>IF(273&gt;ROWS(DGArchive[游戏内日期]),"",IF(INDEX(DGArchive[游戏内日期],273)="","",INDEX(DGArchive[游戏内日期],273)))</f>
        <v/>
      </c>
      <c r="CD472" t="str">
        <f>IF(273&gt;ROWS(DGArchive[目标]),"",IF(INDEX(DGArchive[目标],273)="","",INDEX(DGArchive[目标],273)))</f>
        <v/>
      </c>
      <c r="CE472" t="str">
        <f>IF(273&gt;ROWS(DGArchive[变更前]),"",IF(INDEX(DGArchive[变更前],273)="","",INDEX(DGArchive[变更前],273)))</f>
        <v/>
      </c>
      <c r="CF472" t="str">
        <f>IF(273&gt;ROWS(DGArchive[增减]),"",IF(INDEX(DGArchive[增减],273)="","",INDEX(DGArchive[增减],273)))</f>
        <v/>
      </c>
      <c r="CG472" t="str">
        <f>IF(273&gt;ROWS(DGArchive[变更后]),"",IF(INDEX(DGArchive[变更后],273)="","",INDEX(DGArchive[变更后],273)))</f>
        <v/>
      </c>
      <c r="CH472" t="str">
        <f>IF(273&gt;ROWS(DGArchive[事件／活动]),"",IF(INDEX(DGArchive[事件／活动],273)="","",INDEX(DGArchive[事件／活动],273)))</f>
        <v/>
      </c>
      <c r="CI472" t="str">
        <f>IF(273&gt;ROWS(DGArchive[记录编号]),"",IF(INDEX(DGArchive[记录编号],273)="","",INDEX(DGArchive[记录编号],273)))</f>
        <v/>
      </c>
      <c r="CL472">
        <f t="shared" si="134"/>
        <v>0</v>
      </c>
      <c r="CM472">
        <f>IF(AND(A472=$AO$5,B472=$AQ$3,H472=1),COUNTIFS($A$200:A472,$AO$5,$B$200:B472,$AQ$3,$H$200:H472,1),0)</f>
        <v>0</v>
      </c>
      <c r="CN472">
        <f>IF(CA472="",273,1001)</f>
        <v>273</v>
      </c>
      <c r="GA472">
        <f t="shared" si="154"/>
        <v>0</v>
      </c>
      <c r="GB472">
        <f t="shared" si="155"/>
        <v>0</v>
      </c>
      <c r="GC472">
        <f>IF(AND(C472="事件记录",H472=1),COUNTIFS($C$200:C472,"事件记录",$H$200:H472,1),0)</f>
        <v>0</v>
      </c>
      <c r="GD472">
        <f t="shared" si="135"/>
        <v>0</v>
      </c>
      <c r="GH472">
        <f>IF(AND(H472=1,A472=$GA$10,B472=$GA$11),COUNTIFS($A$200:A472,$GA$10,$B$200:B472,$GA$11,$H$200:H472,1),0)</f>
        <v>0</v>
      </c>
    </row>
    <row r="473" spans="1:190">
      <c r="A473" t="str">
        <f t="shared" si="126"/>
        <v/>
      </c>
      <c r="B473" t="str">
        <f t="shared" si="127"/>
        <v/>
      </c>
      <c r="C473" t="str">
        <f t="shared" si="128"/>
        <v/>
      </c>
      <c r="D473" t="str">
        <f t="shared" si="129"/>
        <v/>
      </c>
      <c r="E473">
        <f t="shared" si="130"/>
        <v>0</v>
      </c>
      <c r="F473" t="str">
        <f t="shared" si="131"/>
        <v/>
      </c>
      <c r="G473">
        <f t="shared" si="132"/>
        <v>0</v>
      </c>
      <c r="H473">
        <f>IF(AND(G473=1,COUNTIFS($I$200:I473,I473,$G$200:G473,1)=1),1,0)</f>
        <v>0</v>
      </c>
      <c r="I473" t="str">
        <f t="shared" si="133"/>
        <v/>
      </c>
      <c r="BF473">
        <f t="shared" si="136"/>
        <v>0</v>
      </c>
      <c r="BG473">
        <f t="shared" si="137"/>
        <v>0</v>
      </c>
      <c r="BH473">
        <f t="shared" si="138"/>
        <v>0</v>
      </c>
      <c r="BI473">
        <f t="shared" si="139"/>
        <v>0</v>
      </c>
      <c r="BJ473">
        <f t="shared" si="140"/>
        <v>0</v>
      </c>
      <c r="BK473">
        <f t="shared" si="141"/>
        <v>0</v>
      </c>
      <c r="BL473">
        <f t="shared" si="142"/>
        <v>0</v>
      </c>
      <c r="BM473">
        <f t="shared" si="143"/>
        <v>0</v>
      </c>
      <c r="BN473">
        <f t="shared" si="144"/>
        <v>0</v>
      </c>
      <c r="BO473">
        <f t="shared" si="145"/>
        <v>0</v>
      </c>
      <c r="BP473">
        <f t="shared" si="146"/>
        <v>0</v>
      </c>
      <c r="BQ473">
        <f t="shared" si="147"/>
        <v>0</v>
      </c>
      <c r="BR473">
        <f t="shared" si="148"/>
        <v>0</v>
      </c>
      <c r="BS473">
        <f t="shared" si="149"/>
        <v>0</v>
      </c>
      <c r="BT473">
        <f t="shared" si="150"/>
        <v>0</v>
      </c>
      <c r="BU473">
        <f t="shared" si="151"/>
        <v>0</v>
      </c>
      <c r="BV473">
        <f t="shared" si="152"/>
        <v>0</v>
      </c>
      <c r="BW473">
        <f t="shared" si="153"/>
        <v>0</v>
      </c>
      <c r="CA473" t="str">
        <f>IF(274&gt;ROWS(DGArchive[模组]),"",IF(INDEX(DGArchive[模组],274)="","",INDEX(DGArchive[模组],274)))</f>
        <v/>
      </c>
      <c r="CB473" t="str">
        <f>IF(274&gt;ROWS(DGArchive[阶段]),"",IF(INDEX(DGArchive[阶段],274)="","",INDEX(DGArchive[阶段],274)))</f>
        <v/>
      </c>
      <c r="CC473" t="str">
        <f>IF(274&gt;ROWS(DGArchive[游戏内日期]),"",IF(INDEX(DGArchive[游戏内日期],274)="","",INDEX(DGArchive[游戏内日期],274)))</f>
        <v/>
      </c>
      <c r="CD473" t="str">
        <f>IF(274&gt;ROWS(DGArchive[目标]),"",IF(INDEX(DGArchive[目标],274)="","",INDEX(DGArchive[目标],274)))</f>
        <v/>
      </c>
      <c r="CE473" t="str">
        <f>IF(274&gt;ROWS(DGArchive[变更前]),"",IF(INDEX(DGArchive[变更前],274)="","",INDEX(DGArchive[变更前],274)))</f>
        <v/>
      </c>
      <c r="CF473" t="str">
        <f>IF(274&gt;ROWS(DGArchive[增减]),"",IF(INDEX(DGArchive[增减],274)="","",INDEX(DGArchive[增减],274)))</f>
        <v/>
      </c>
      <c r="CG473" t="str">
        <f>IF(274&gt;ROWS(DGArchive[变更后]),"",IF(INDEX(DGArchive[变更后],274)="","",INDEX(DGArchive[变更后],274)))</f>
        <v/>
      </c>
      <c r="CH473" t="str">
        <f>IF(274&gt;ROWS(DGArchive[事件／活动]),"",IF(INDEX(DGArchive[事件／活动],274)="","",INDEX(DGArchive[事件／活动],274)))</f>
        <v/>
      </c>
      <c r="CI473" t="str">
        <f>IF(274&gt;ROWS(DGArchive[记录编号]),"",IF(INDEX(DGArchive[记录编号],274)="","",INDEX(DGArchive[记录编号],274)))</f>
        <v/>
      </c>
      <c r="CL473">
        <f t="shared" si="134"/>
        <v>0</v>
      </c>
      <c r="CM473">
        <f>IF(AND(A473=$AO$5,B473=$AQ$3,H473=1),COUNTIFS($A$200:A473,$AO$5,$B$200:B473,$AQ$3,$H$200:H473,1),0)</f>
        <v>0</v>
      </c>
      <c r="CN473">
        <f>IF(CA473="",274,1001)</f>
        <v>274</v>
      </c>
      <c r="GA473">
        <f t="shared" si="154"/>
        <v>0</v>
      </c>
      <c r="GB473">
        <f t="shared" si="155"/>
        <v>0</v>
      </c>
      <c r="GC473">
        <f>IF(AND(C473="事件记录",H473=1),COUNTIFS($C$200:C473,"事件记录",$H$200:H473,1),0)</f>
        <v>0</v>
      </c>
      <c r="GD473">
        <f t="shared" si="135"/>
        <v>0</v>
      </c>
      <c r="GH473">
        <f>IF(AND(H473=1,A473=$GA$10,B473=$GA$11),COUNTIFS($A$200:A473,$GA$10,$B$200:B473,$GA$11,$H$200:H473,1),0)</f>
        <v>0</v>
      </c>
    </row>
    <row r="474" spans="1:190">
      <c r="A474" t="str">
        <f t="shared" si="126"/>
        <v/>
      </c>
      <c r="B474" t="str">
        <f t="shared" si="127"/>
        <v/>
      </c>
      <c r="C474" t="str">
        <f t="shared" si="128"/>
        <v/>
      </c>
      <c r="D474" t="str">
        <f t="shared" si="129"/>
        <v/>
      </c>
      <c r="E474">
        <f t="shared" si="130"/>
        <v>0</v>
      </c>
      <c r="F474" t="str">
        <f t="shared" si="131"/>
        <v/>
      </c>
      <c r="G474">
        <f t="shared" si="132"/>
        <v>0</v>
      </c>
      <c r="H474">
        <f>IF(AND(G474=1,COUNTIFS($I$200:I474,I474,$G$200:G474,1)=1),1,0)</f>
        <v>0</v>
      </c>
      <c r="I474" t="str">
        <f t="shared" si="133"/>
        <v/>
      </c>
      <c r="BF474">
        <f t="shared" si="136"/>
        <v>0</v>
      </c>
      <c r="BG474">
        <f t="shared" si="137"/>
        <v>0</v>
      </c>
      <c r="BH474">
        <f t="shared" si="138"/>
        <v>0</v>
      </c>
      <c r="BI474">
        <f t="shared" si="139"/>
        <v>0</v>
      </c>
      <c r="BJ474">
        <f t="shared" si="140"/>
        <v>0</v>
      </c>
      <c r="BK474">
        <f t="shared" si="141"/>
        <v>0</v>
      </c>
      <c r="BL474">
        <f t="shared" si="142"/>
        <v>0</v>
      </c>
      <c r="BM474">
        <f t="shared" si="143"/>
        <v>0</v>
      </c>
      <c r="BN474">
        <f t="shared" si="144"/>
        <v>0</v>
      </c>
      <c r="BO474">
        <f t="shared" si="145"/>
        <v>0</v>
      </c>
      <c r="BP474">
        <f t="shared" si="146"/>
        <v>0</v>
      </c>
      <c r="BQ474">
        <f t="shared" si="147"/>
        <v>0</v>
      </c>
      <c r="BR474">
        <f t="shared" si="148"/>
        <v>0</v>
      </c>
      <c r="BS474">
        <f t="shared" si="149"/>
        <v>0</v>
      </c>
      <c r="BT474">
        <f t="shared" si="150"/>
        <v>0</v>
      </c>
      <c r="BU474">
        <f t="shared" si="151"/>
        <v>0</v>
      </c>
      <c r="BV474">
        <f t="shared" si="152"/>
        <v>0</v>
      </c>
      <c r="BW474">
        <f t="shared" si="153"/>
        <v>0</v>
      </c>
      <c r="CA474" t="str">
        <f>IF(275&gt;ROWS(DGArchive[模组]),"",IF(INDEX(DGArchive[模组],275)="","",INDEX(DGArchive[模组],275)))</f>
        <v/>
      </c>
      <c r="CB474" t="str">
        <f>IF(275&gt;ROWS(DGArchive[阶段]),"",IF(INDEX(DGArchive[阶段],275)="","",INDEX(DGArchive[阶段],275)))</f>
        <v/>
      </c>
      <c r="CC474" t="str">
        <f>IF(275&gt;ROWS(DGArchive[游戏内日期]),"",IF(INDEX(DGArchive[游戏内日期],275)="","",INDEX(DGArchive[游戏内日期],275)))</f>
        <v/>
      </c>
      <c r="CD474" t="str">
        <f>IF(275&gt;ROWS(DGArchive[目标]),"",IF(INDEX(DGArchive[目标],275)="","",INDEX(DGArchive[目标],275)))</f>
        <v/>
      </c>
      <c r="CE474" t="str">
        <f>IF(275&gt;ROWS(DGArchive[变更前]),"",IF(INDEX(DGArchive[变更前],275)="","",INDEX(DGArchive[变更前],275)))</f>
        <v/>
      </c>
      <c r="CF474" t="str">
        <f>IF(275&gt;ROWS(DGArchive[增减]),"",IF(INDEX(DGArchive[增减],275)="","",INDEX(DGArchive[增减],275)))</f>
        <v/>
      </c>
      <c r="CG474" t="str">
        <f>IF(275&gt;ROWS(DGArchive[变更后]),"",IF(INDEX(DGArchive[变更后],275)="","",INDEX(DGArchive[变更后],275)))</f>
        <v/>
      </c>
      <c r="CH474" t="str">
        <f>IF(275&gt;ROWS(DGArchive[事件／活动]),"",IF(INDEX(DGArchive[事件／活动],275)="","",INDEX(DGArchive[事件／活动],275)))</f>
        <v/>
      </c>
      <c r="CI474" t="str">
        <f>IF(275&gt;ROWS(DGArchive[记录编号]),"",IF(INDEX(DGArchive[记录编号],275)="","",INDEX(DGArchive[记录编号],275)))</f>
        <v/>
      </c>
      <c r="CL474">
        <f t="shared" si="134"/>
        <v>0</v>
      </c>
      <c r="CM474">
        <f>IF(AND(A474=$AO$5,B474=$AQ$3,H474=1),COUNTIFS($A$200:A474,$AO$5,$B$200:B474,$AQ$3,$H$200:H474,1),0)</f>
        <v>0</v>
      </c>
      <c r="CN474">
        <f>IF(CA474="",275,1001)</f>
        <v>275</v>
      </c>
      <c r="GA474">
        <f t="shared" si="154"/>
        <v>0</v>
      </c>
      <c r="GB474">
        <f t="shared" si="155"/>
        <v>0</v>
      </c>
      <c r="GC474">
        <f>IF(AND(C474="事件记录",H474=1),COUNTIFS($C$200:C474,"事件记录",$H$200:H474,1),0)</f>
        <v>0</v>
      </c>
      <c r="GD474">
        <f t="shared" si="135"/>
        <v>0</v>
      </c>
      <c r="GH474">
        <f>IF(AND(H474=1,A474=$GA$10,B474=$GA$11),COUNTIFS($A$200:A474,$GA$10,$B$200:B474,$GA$11,$H$200:H474,1),0)</f>
        <v>0</v>
      </c>
    </row>
    <row r="475" spans="1:190">
      <c r="A475" t="str">
        <f t="shared" si="126"/>
        <v/>
      </c>
      <c r="B475" t="str">
        <f t="shared" si="127"/>
        <v/>
      </c>
      <c r="C475" t="str">
        <f t="shared" si="128"/>
        <v/>
      </c>
      <c r="D475" t="str">
        <f t="shared" si="129"/>
        <v/>
      </c>
      <c r="E475">
        <f t="shared" si="130"/>
        <v>0</v>
      </c>
      <c r="F475" t="str">
        <f t="shared" si="131"/>
        <v/>
      </c>
      <c r="G475">
        <f t="shared" si="132"/>
        <v>0</v>
      </c>
      <c r="H475">
        <f>IF(AND(G475=1,COUNTIFS($I$200:I475,I475,$G$200:G475,1)=1),1,0)</f>
        <v>0</v>
      </c>
      <c r="I475" t="str">
        <f t="shared" si="133"/>
        <v/>
      </c>
      <c r="BF475">
        <f t="shared" si="136"/>
        <v>0</v>
      </c>
      <c r="BG475">
        <f t="shared" si="137"/>
        <v>0</v>
      </c>
      <c r="BH475">
        <f t="shared" si="138"/>
        <v>0</v>
      </c>
      <c r="BI475">
        <f t="shared" si="139"/>
        <v>0</v>
      </c>
      <c r="BJ475">
        <f t="shared" si="140"/>
        <v>0</v>
      </c>
      <c r="BK475">
        <f t="shared" si="141"/>
        <v>0</v>
      </c>
      <c r="BL475">
        <f t="shared" si="142"/>
        <v>0</v>
      </c>
      <c r="BM475">
        <f t="shared" si="143"/>
        <v>0</v>
      </c>
      <c r="BN475">
        <f t="shared" si="144"/>
        <v>0</v>
      </c>
      <c r="BO475">
        <f t="shared" si="145"/>
        <v>0</v>
      </c>
      <c r="BP475">
        <f t="shared" si="146"/>
        <v>0</v>
      </c>
      <c r="BQ475">
        <f t="shared" si="147"/>
        <v>0</v>
      </c>
      <c r="BR475">
        <f t="shared" si="148"/>
        <v>0</v>
      </c>
      <c r="BS475">
        <f t="shared" si="149"/>
        <v>0</v>
      </c>
      <c r="BT475">
        <f t="shared" si="150"/>
        <v>0</v>
      </c>
      <c r="BU475">
        <f t="shared" si="151"/>
        <v>0</v>
      </c>
      <c r="BV475">
        <f t="shared" si="152"/>
        <v>0</v>
      </c>
      <c r="BW475">
        <f t="shared" si="153"/>
        <v>0</v>
      </c>
      <c r="CA475" t="str">
        <f>IF(276&gt;ROWS(DGArchive[模组]),"",IF(INDEX(DGArchive[模组],276)="","",INDEX(DGArchive[模组],276)))</f>
        <v/>
      </c>
      <c r="CB475" t="str">
        <f>IF(276&gt;ROWS(DGArchive[阶段]),"",IF(INDEX(DGArchive[阶段],276)="","",INDEX(DGArchive[阶段],276)))</f>
        <v/>
      </c>
      <c r="CC475" t="str">
        <f>IF(276&gt;ROWS(DGArchive[游戏内日期]),"",IF(INDEX(DGArchive[游戏内日期],276)="","",INDEX(DGArchive[游戏内日期],276)))</f>
        <v/>
      </c>
      <c r="CD475" t="str">
        <f>IF(276&gt;ROWS(DGArchive[目标]),"",IF(INDEX(DGArchive[目标],276)="","",INDEX(DGArchive[目标],276)))</f>
        <v/>
      </c>
      <c r="CE475" t="str">
        <f>IF(276&gt;ROWS(DGArchive[变更前]),"",IF(INDEX(DGArchive[变更前],276)="","",INDEX(DGArchive[变更前],276)))</f>
        <v/>
      </c>
      <c r="CF475" t="str">
        <f>IF(276&gt;ROWS(DGArchive[增减]),"",IF(INDEX(DGArchive[增减],276)="","",INDEX(DGArchive[增减],276)))</f>
        <v/>
      </c>
      <c r="CG475" t="str">
        <f>IF(276&gt;ROWS(DGArchive[变更后]),"",IF(INDEX(DGArchive[变更后],276)="","",INDEX(DGArchive[变更后],276)))</f>
        <v/>
      </c>
      <c r="CH475" t="str">
        <f>IF(276&gt;ROWS(DGArchive[事件／活动]),"",IF(INDEX(DGArchive[事件／活动],276)="","",INDEX(DGArchive[事件／活动],276)))</f>
        <v/>
      </c>
      <c r="CI475" t="str">
        <f>IF(276&gt;ROWS(DGArchive[记录编号]),"",IF(INDEX(DGArchive[记录编号],276)="","",INDEX(DGArchive[记录编号],276)))</f>
        <v/>
      </c>
      <c r="CL475">
        <f t="shared" si="134"/>
        <v>0</v>
      </c>
      <c r="CM475">
        <f>IF(AND(A475=$AO$5,B475=$AQ$3,H475=1),COUNTIFS($A$200:A475,$AO$5,$B$200:B475,$AQ$3,$H$200:H475,1),0)</f>
        <v>0</v>
      </c>
      <c r="CN475">
        <f>IF(CA475="",276,1001)</f>
        <v>276</v>
      </c>
      <c r="GA475">
        <f t="shared" si="154"/>
        <v>0</v>
      </c>
      <c r="GB475">
        <f t="shared" si="155"/>
        <v>0</v>
      </c>
      <c r="GC475">
        <f>IF(AND(C475="事件记录",H475=1),COUNTIFS($C$200:C475,"事件记录",$H$200:H475,1),0)</f>
        <v>0</v>
      </c>
      <c r="GD475">
        <f t="shared" si="135"/>
        <v>0</v>
      </c>
      <c r="GH475">
        <f>IF(AND(H475=1,A475=$GA$10,B475=$GA$11),COUNTIFS($A$200:A475,$GA$10,$B$200:B475,$GA$11,$H$200:H475,1),0)</f>
        <v>0</v>
      </c>
    </row>
    <row r="476" spans="1:190">
      <c r="A476" t="str">
        <f t="shared" si="126"/>
        <v/>
      </c>
      <c r="B476" t="str">
        <f t="shared" si="127"/>
        <v/>
      </c>
      <c r="C476" t="str">
        <f t="shared" si="128"/>
        <v/>
      </c>
      <c r="D476" t="str">
        <f t="shared" si="129"/>
        <v/>
      </c>
      <c r="E476">
        <f t="shared" si="130"/>
        <v>0</v>
      </c>
      <c r="F476" t="str">
        <f t="shared" si="131"/>
        <v/>
      </c>
      <c r="G476">
        <f t="shared" si="132"/>
        <v>0</v>
      </c>
      <c r="H476">
        <f>IF(AND(G476=1,COUNTIFS($I$200:I476,I476,$G$200:G476,1)=1),1,0)</f>
        <v>0</v>
      </c>
      <c r="I476" t="str">
        <f t="shared" si="133"/>
        <v/>
      </c>
      <c r="BF476">
        <f t="shared" si="136"/>
        <v>0</v>
      </c>
      <c r="BG476">
        <f t="shared" si="137"/>
        <v>0</v>
      </c>
      <c r="BH476">
        <f t="shared" si="138"/>
        <v>0</v>
      </c>
      <c r="BI476">
        <f t="shared" si="139"/>
        <v>0</v>
      </c>
      <c r="BJ476">
        <f t="shared" si="140"/>
        <v>0</v>
      </c>
      <c r="BK476">
        <f t="shared" si="141"/>
        <v>0</v>
      </c>
      <c r="BL476">
        <f t="shared" si="142"/>
        <v>0</v>
      </c>
      <c r="BM476">
        <f t="shared" si="143"/>
        <v>0</v>
      </c>
      <c r="BN476">
        <f t="shared" si="144"/>
        <v>0</v>
      </c>
      <c r="BO476">
        <f t="shared" si="145"/>
        <v>0</v>
      </c>
      <c r="BP476">
        <f t="shared" si="146"/>
        <v>0</v>
      </c>
      <c r="BQ476">
        <f t="shared" si="147"/>
        <v>0</v>
      </c>
      <c r="BR476">
        <f t="shared" si="148"/>
        <v>0</v>
      </c>
      <c r="BS476">
        <f t="shared" si="149"/>
        <v>0</v>
      </c>
      <c r="BT476">
        <f t="shared" si="150"/>
        <v>0</v>
      </c>
      <c r="BU476">
        <f t="shared" si="151"/>
        <v>0</v>
      </c>
      <c r="BV476">
        <f t="shared" si="152"/>
        <v>0</v>
      </c>
      <c r="BW476">
        <f t="shared" si="153"/>
        <v>0</v>
      </c>
      <c r="CA476" t="str">
        <f>IF(277&gt;ROWS(DGArchive[模组]),"",IF(INDEX(DGArchive[模组],277)="","",INDEX(DGArchive[模组],277)))</f>
        <v/>
      </c>
      <c r="CB476" t="str">
        <f>IF(277&gt;ROWS(DGArchive[阶段]),"",IF(INDEX(DGArchive[阶段],277)="","",INDEX(DGArchive[阶段],277)))</f>
        <v/>
      </c>
      <c r="CC476" t="str">
        <f>IF(277&gt;ROWS(DGArchive[游戏内日期]),"",IF(INDEX(DGArchive[游戏内日期],277)="","",INDEX(DGArchive[游戏内日期],277)))</f>
        <v/>
      </c>
      <c r="CD476" t="str">
        <f>IF(277&gt;ROWS(DGArchive[目标]),"",IF(INDEX(DGArchive[目标],277)="","",INDEX(DGArchive[目标],277)))</f>
        <v/>
      </c>
      <c r="CE476" t="str">
        <f>IF(277&gt;ROWS(DGArchive[变更前]),"",IF(INDEX(DGArchive[变更前],277)="","",INDEX(DGArchive[变更前],277)))</f>
        <v/>
      </c>
      <c r="CF476" t="str">
        <f>IF(277&gt;ROWS(DGArchive[增减]),"",IF(INDEX(DGArchive[增减],277)="","",INDEX(DGArchive[增减],277)))</f>
        <v/>
      </c>
      <c r="CG476" t="str">
        <f>IF(277&gt;ROWS(DGArchive[变更后]),"",IF(INDEX(DGArchive[变更后],277)="","",INDEX(DGArchive[变更后],277)))</f>
        <v/>
      </c>
      <c r="CH476" t="str">
        <f>IF(277&gt;ROWS(DGArchive[事件／活动]),"",IF(INDEX(DGArchive[事件／活动],277)="","",INDEX(DGArchive[事件／活动],277)))</f>
        <v/>
      </c>
      <c r="CI476" t="str">
        <f>IF(277&gt;ROWS(DGArchive[记录编号]),"",IF(INDEX(DGArchive[记录编号],277)="","",INDEX(DGArchive[记录编号],277)))</f>
        <v/>
      </c>
      <c r="CL476">
        <f t="shared" si="134"/>
        <v>0</v>
      </c>
      <c r="CM476">
        <f>IF(AND(A476=$AO$5,B476=$AQ$3,H476=1),COUNTIFS($A$200:A476,$AO$5,$B$200:B476,$AQ$3,$H$200:H476,1),0)</f>
        <v>0</v>
      </c>
      <c r="CN476">
        <f>IF(CA476="",277,1001)</f>
        <v>277</v>
      </c>
      <c r="GA476">
        <f t="shared" si="154"/>
        <v>0</v>
      </c>
      <c r="GB476">
        <f t="shared" si="155"/>
        <v>0</v>
      </c>
      <c r="GC476">
        <f>IF(AND(C476="事件记录",H476=1),COUNTIFS($C$200:C476,"事件记录",$H$200:H476,1),0)</f>
        <v>0</v>
      </c>
      <c r="GD476">
        <f t="shared" si="135"/>
        <v>0</v>
      </c>
      <c r="GH476">
        <f>IF(AND(H476=1,A476=$GA$10,B476=$GA$11),COUNTIFS($A$200:A476,$GA$10,$B$200:B476,$GA$11,$H$200:H476,1),0)</f>
        <v>0</v>
      </c>
    </row>
    <row r="477" spans="1:190">
      <c r="A477" t="str">
        <f t="shared" si="126"/>
        <v/>
      </c>
      <c r="B477" t="str">
        <f t="shared" si="127"/>
        <v/>
      </c>
      <c r="C477" t="str">
        <f t="shared" si="128"/>
        <v/>
      </c>
      <c r="D477" t="str">
        <f t="shared" si="129"/>
        <v/>
      </c>
      <c r="E477">
        <f t="shared" si="130"/>
        <v>0</v>
      </c>
      <c r="F477" t="str">
        <f t="shared" si="131"/>
        <v/>
      </c>
      <c r="G477">
        <f t="shared" si="132"/>
        <v>0</v>
      </c>
      <c r="H477">
        <f>IF(AND(G477=1,COUNTIFS($I$200:I477,I477,$G$200:G477,1)=1),1,0)</f>
        <v>0</v>
      </c>
      <c r="I477" t="str">
        <f t="shared" si="133"/>
        <v/>
      </c>
      <c r="BF477">
        <f t="shared" si="136"/>
        <v>0</v>
      </c>
      <c r="BG477">
        <f t="shared" si="137"/>
        <v>0</v>
      </c>
      <c r="BH477">
        <f t="shared" si="138"/>
        <v>0</v>
      </c>
      <c r="BI477">
        <f t="shared" si="139"/>
        <v>0</v>
      </c>
      <c r="BJ477">
        <f t="shared" si="140"/>
        <v>0</v>
      </c>
      <c r="BK477">
        <f t="shared" si="141"/>
        <v>0</v>
      </c>
      <c r="BL477">
        <f t="shared" si="142"/>
        <v>0</v>
      </c>
      <c r="BM477">
        <f t="shared" si="143"/>
        <v>0</v>
      </c>
      <c r="BN477">
        <f t="shared" si="144"/>
        <v>0</v>
      </c>
      <c r="BO477">
        <f t="shared" si="145"/>
        <v>0</v>
      </c>
      <c r="BP477">
        <f t="shared" si="146"/>
        <v>0</v>
      </c>
      <c r="BQ477">
        <f t="shared" si="147"/>
        <v>0</v>
      </c>
      <c r="BR477">
        <f t="shared" si="148"/>
        <v>0</v>
      </c>
      <c r="BS477">
        <f t="shared" si="149"/>
        <v>0</v>
      </c>
      <c r="BT477">
        <f t="shared" si="150"/>
        <v>0</v>
      </c>
      <c r="BU477">
        <f t="shared" si="151"/>
        <v>0</v>
      </c>
      <c r="BV477">
        <f t="shared" si="152"/>
        <v>0</v>
      </c>
      <c r="BW477">
        <f t="shared" si="153"/>
        <v>0</v>
      </c>
      <c r="CA477" t="str">
        <f>IF(278&gt;ROWS(DGArchive[模组]),"",IF(INDEX(DGArchive[模组],278)="","",INDEX(DGArchive[模组],278)))</f>
        <v/>
      </c>
      <c r="CB477" t="str">
        <f>IF(278&gt;ROWS(DGArchive[阶段]),"",IF(INDEX(DGArchive[阶段],278)="","",INDEX(DGArchive[阶段],278)))</f>
        <v/>
      </c>
      <c r="CC477" t="str">
        <f>IF(278&gt;ROWS(DGArchive[游戏内日期]),"",IF(INDEX(DGArchive[游戏内日期],278)="","",INDEX(DGArchive[游戏内日期],278)))</f>
        <v/>
      </c>
      <c r="CD477" t="str">
        <f>IF(278&gt;ROWS(DGArchive[目标]),"",IF(INDEX(DGArchive[目标],278)="","",INDEX(DGArchive[目标],278)))</f>
        <v/>
      </c>
      <c r="CE477" t="str">
        <f>IF(278&gt;ROWS(DGArchive[变更前]),"",IF(INDEX(DGArchive[变更前],278)="","",INDEX(DGArchive[变更前],278)))</f>
        <v/>
      </c>
      <c r="CF477" t="str">
        <f>IF(278&gt;ROWS(DGArchive[增减]),"",IF(INDEX(DGArchive[增减],278)="","",INDEX(DGArchive[增减],278)))</f>
        <v/>
      </c>
      <c r="CG477" t="str">
        <f>IF(278&gt;ROWS(DGArchive[变更后]),"",IF(INDEX(DGArchive[变更后],278)="","",INDEX(DGArchive[变更后],278)))</f>
        <v/>
      </c>
      <c r="CH477" t="str">
        <f>IF(278&gt;ROWS(DGArchive[事件／活动]),"",IF(INDEX(DGArchive[事件／活动],278)="","",INDEX(DGArchive[事件／活动],278)))</f>
        <v/>
      </c>
      <c r="CI477" t="str">
        <f>IF(278&gt;ROWS(DGArchive[记录编号]),"",IF(INDEX(DGArchive[记录编号],278)="","",INDEX(DGArchive[记录编号],278)))</f>
        <v/>
      </c>
      <c r="CL477">
        <f t="shared" si="134"/>
        <v>0</v>
      </c>
      <c r="CM477">
        <f>IF(AND(A477=$AO$5,B477=$AQ$3,H477=1),COUNTIFS($A$200:A477,$AO$5,$B$200:B477,$AQ$3,$H$200:H477,1),0)</f>
        <v>0</v>
      </c>
      <c r="CN477">
        <f>IF(CA477="",278,1001)</f>
        <v>278</v>
      </c>
      <c r="GA477">
        <f t="shared" si="154"/>
        <v>0</v>
      </c>
      <c r="GB477">
        <f t="shared" si="155"/>
        <v>0</v>
      </c>
      <c r="GC477">
        <f>IF(AND(C477="事件记录",H477=1),COUNTIFS($C$200:C477,"事件记录",$H$200:H477,1),0)</f>
        <v>0</v>
      </c>
      <c r="GD477">
        <f t="shared" si="135"/>
        <v>0</v>
      </c>
      <c r="GH477">
        <f>IF(AND(H477=1,A477=$GA$10,B477=$GA$11),COUNTIFS($A$200:A477,$GA$10,$B$200:B477,$GA$11,$H$200:H477,1),0)</f>
        <v>0</v>
      </c>
    </row>
    <row r="478" spans="1:190">
      <c r="A478" t="str">
        <f t="shared" si="126"/>
        <v/>
      </c>
      <c r="B478" t="str">
        <f t="shared" si="127"/>
        <v/>
      </c>
      <c r="C478" t="str">
        <f t="shared" si="128"/>
        <v/>
      </c>
      <c r="D478" t="str">
        <f t="shared" si="129"/>
        <v/>
      </c>
      <c r="E478">
        <f t="shared" si="130"/>
        <v>0</v>
      </c>
      <c r="F478" t="str">
        <f t="shared" si="131"/>
        <v/>
      </c>
      <c r="G478">
        <f t="shared" si="132"/>
        <v>0</v>
      </c>
      <c r="H478">
        <f>IF(AND(G478=1,COUNTIFS($I$200:I478,I478,$G$200:G478,1)=1),1,0)</f>
        <v>0</v>
      </c>
      <c r="I478" t="str">
        <f t="shared" si="133"/>
        <v/>
      </c>
      <c r="BF478">
        <f t="shared" si="136"/>
        <v>0</v>
      </c>
      <c r="BG478">
        <f t="shared" si="137"/>
        <v>0</v>
      </c>
      <c r="BH478">
        <f t="shared" si="138"/>
        <v>0</v>
      </c>
      <c r="BI478">
        <f t="shared" si="139"/>
        <v>0</v>
      </c>
      <c r="BJ478">
        <f t="shared" si="140"/>
        <v>0</v>
      </c>
      <c r="BK478">
        <f t="shared" si="141"/>
        <v>0</v>
      </c>
      <c r="BL478">
        <f t="shared" si="142"/>
        <v>0</v>
      </c>
      <c r="BM478">
        <f t="shared" si="143"/>
        <v>0</v>
      </c>
      <c r="BN478">
        <f t="shared" si="144"/>
        <v>0</v>
      </c>
      <c r="BO478">
        <f t="shared" si="145"/>
        <v>0</v>
      </c>
      <c r="BP478">
        <f t="shared" si="146"/>
        <v>0</v>
      </c>
      <c r="BQ478">
        <f t="shared" si="147"/>
        <v>0</v>
      </c>
      <c r="BR478">
        <f t="shared" si="148"/>
        <v>0</v>
      </c>
      <c r="BS478">
        <f t="shared" si="149"/>
        <v>0</v>
      </c>
      <c r="BT478">
        <f t="shared" si="150"/>
        <v>0</v>
      </c>
      <c r="BU478">
        <f t="shared" si="151"/>
        <v>0</v>
      </c>
      <c r="BV478">
        <f t="shared" si="152"/>
        <v>0</v>
      </c>
      <c r="BW478">
        <f t="shared" si="153"/>
        <v>0</v>
      </c>
      <c r="CA478" t="str">
        <f>IF(279&gt;ROWS(DGArchive[模组]),"",IF(INDEX(DGArchive[模组],279)="","",INDEX(DGArchive[模组],279)))</f>
        <v/>
      </c>
      <c r="CB478" t="str">
        <f>IF(279&gt;ROWS(DGArchive[阶段]),"",IF(INDEX(DGArchive[阶段],279)="","",INDEX(DGArchive[阶段],279)))</f>
        <v/>
      </c>
      <c r="CC478" t="str">
        <f>IF(279&gt;ROWS(DGArchive[游戏内日期]),"",IF(INDEX(DGArchive[游戏内日期],279)="","",INDEX(DGArchive[游戏内日期],279)))</f>
        <v/>
      </c>
      <c r="CD478" t="str">
        <f>IF(279&gt;ROWS(DGArchive[目标]),"",IF(INDEX(DGArchive[目标],279)="","",INDEX(DGArchive[目标],279)))</f>
        <v/>
      </c>
      <c r="CE478" t="str">
        <f>IF(279&gt;ROWS(DGArchive[变更前]),"",IF(INDEX(DGArchive[变更前],279)="","",INDEX(DGArchive[变更前],279)))</f>
        <v/>
      </c>
      <c r="CF478" t="str">
        <f>IF(279&gt;ROWS(DGArchive[增减]),"",IF(INDEX(DGArchive[增减],279)="","",INDEX(DGArchive[增减],279)))</f>
        <v/>
      </c>
      <c r="CG478" t="str">
        <f>IF(279&gt;ROWS(DGArchive[变更后]),"",IF(INDEX(DGArchive[变更后],279)="","",INDEX(DGArchive[变更后],279)))</f>
        <v/>
      </c>
      <c r="CH478" t="str">
        <f>IF(279&gt;ROWS(DGArchive[事件／活动]),"",IF(INDEX(DGArchive[事件／活动],279)="","",INDEX(DGArchive[事件／活动],279)))</f>
        <v/>
      </c>
      <c r="CI478" t="str">
        <f>IF(279&gt;ROWS(DGArchive[记录编号]),"",IF(INDEX(DGArchive[记录编号],279)="","",INDEX(DGArchive[记录编号],279)))</f>
        <v/>
      </c>
      <c r="CL478">
        <f t="shared" si="134"/>
        <v>0</v>
      </c>
      <c r="CM478">
        <f>IF(AND(A478=$AO$5,B478=$AQ$3,H478=1),COUNTIFS($A$200:A478,$AO$5,$B$200:B478,$AQ$3,$H$200:H478,1),0)</f>
        <v>0</v>
      </c>
      <c r="CN478">
        <f>IF(CA478="",279,1001)</f>
        <v>279</v>
      </c>
      <c r="GA478">
        <f t="shared" si="154"/>
        <v>0</v>
      </c>
      <c r="GB478">
        <f t="shared" si="155"/>
        <v>0</v>
      </c>
      <c r="GC478">
        <f>IF(AND(C478="事件记录",H478=1),COUNTIFS($C$200:C478,"事件记录",$H$200:H478,1),0)</f>
        <v>0</v>
      </c>
      <c r="GD478">
        <f t="shared" si="135"/>
        <v>0</v>
      </c>
      <c r="GH478">
        <f>IF(AND(H478=1,A478=$GA$10,B478=$GA$11),COUNTIFS($A$200:A478,$GA$10,$B$200:B478,$GA$11,$H$200:H478,1),0)</f>
        <v>0</v>
      </c>
    </row>
    <row r="479" spans="1:190">
      <c r="A479" t="str">
        <f t="shared" si="126"/>
        <v/>
      </c>
      <c r="B479" t="str">
        <f t="shared" si="127"/>
        <v/>
      </c>
      <c r="C479" t="str">
        <f t="shared" si="128"/>
        <v/>
      </c>
      <c r="D479" t="str">
        <f t="shared" si="129"/>
        <v/>
      </c>
      <c r="E479">
        <f t="shared" si="130"/>
        <v>0</v>
      </c>
      <c r="F479" t="str">
        <f t="shared" si="131"/>
        <v/>
      </c>
      <c r="G479">
        <f t="shared" si="132"/>
        <v>0</v>
      </c>
      <c r="H479">
        <f>IF(AND(G479=1,COUNTIFS($I$200:I479,I479,$G$200:G479,1)=1),1,0)</f>
        <v>0</v>
      </c>
      <c r="I479" t="str">
        <f t="shared" si="133"/>
        <v/>
      </c>
      <c r="BF479">
        <f t="shared" si="136"/>
        <v>0</v>
      </c>
      <c r="BG479">
        <f t="shared" si="137"/>
        <v>0</v>
      </c>
      <c r="BH479">
        <f t="shared" si="138"/>
        <v>0</v>
      </c>
      <c r="BI479">
        <f t="shared" si="139"/>
        <v>0</v>
      </c>
      <c r="BJ479">
        <f t="shared" si="140"/>
        <v>0</v>
      </c>
      <c r="BK479">
        <f t="shared" si="141"/>
        <v>0</v>
      </c>
      <c r="BL479">
        <f t="shared" si="142"/>
        <v>0</v>
      </c>
      <c r="BM479">
        <f t="shared" si="143"/>
        <v>0</v>
      </c>
      <c r="BN479">
        <f t="shared" si="144"/>
        <v>0</v>
      </c>
      <c r="BO479">
        <f t="shared" si="145"/>
        <v>0</v>
      </c>
      <c r="BP479">
        <f t="shared" si="146"/>
        <v>0</v>
      </c>
      <c r="BQ479">
        <f t="shared" si="147"/>
        <v>0</v>
      </c>
      <c r="BR479">
        <f t="shared" si="148"/>
        <v>0</v>
      </c>
      <c r="BS479">
        <f t="shared" si="149"/>
        <v>0</v>
      </c>
      <c r="BT479">
        <f t="shared" si="150"/>
        <v>0</v>
      </c>
      <c r="BU479">
        <f t="shared" si="151"/>
        <v>0</v>
      </c>
      <c r="BV479">
        <f t="shared" si="152"/>
        <v>0</v>
      </c>
      <c r="BW479">
        <f t="shared" si="153"/>
        <v>0</v>
      </c>
      <c r="CA479" t="str">
        <f>IF(280&gt;ROWS(DGArchive[模组]),"",IF(INDEX(DGArchive[模组],280)="","",INDEX(DGArchive[模组],280)))</f>
        <v/>
      </c>
      <c r="CB479" t="str">
        <f>IF(280&gt;ROWS(DGArchive[阶段]),"",IF(INDEX(DGArchive[阶段],280)="","",INDEX(DGArchive[阶段],280)))</f>
        <v/>
      </c>
      <c r="CC479" t="str">
        <f>IF(280&gt;ROWS(DGArchive[游戏内日期]),"",IF(INDEX(DGArchive[游戏内日期],280)="","",INDEX(DGArchive[游戏内日期],280)))</f>
        <v/>
      </c>
      <c r="CD479" t="str">
        <f>IF(280&gt;ROWS(DGArchive[目标]),"",IF(INDEX(DGArchive[目标],280)="","",INDEX(DGArchive[目标],280)))</f>
        <v/>
      </c>
      <c r="CE479" t="str">
        <f>IF(280&gt;ROWS(DGArchive[变更前]),"",IF(INDEX(DGArchive[变更前],280)="","",INDEX(DGArchive[变更前],280)))</f>
        <v/>
      </c>
      <c r="CF479" t="str">
        <f>IF(280&gt;ROWS(DGArchive[增减]),"",IF(INDEX(DGArchive[增减],280)="","",INDEX(DGArchive[增减],280)))</f>
        <v/>
      </c>
      <c r="CG479" t="str">
        <f>IF(280&gt;ROWS(DGArchive[变更后]),"",IF(INDEX(DGArchive[变更后],280)="","",INDEX(DGArchive[变更后],280)))</f>
        <v/>
      </c>
      <c r="CH479" t="str">
        <f>IF(280&gt;ROWS(DGArchive[事件／活动]),"",IF(INDEX(DGArchive[事件／活动],280)="","",INDEX(DGArchive[事件／活动],280)))</f>
        <v/>
      </c>
      <c r="CI479" t="str">
        <f>IF(280&gt;ROWS(DGArchive[记录编号]),"",IF(INDEX(DGArchive[记录编号],280)="","",INDEX(DGArchive[记录编号],280)))</f>
        <v/>
      </c>
      <c r="CL479">
        <f t="shared" si="134"/>
        <v>0</v>
      </c>
      <c r="CM479">
        <f>IF(AND(A479=$AO$5,B479=$AQ$3,H479=1),COUNTIFS($A$200:A479,$AO$5,$B$200:B479,$AQ$3,$H$200:H479,1),0)</f>
        <v>0</v>
      </c>
      <c r="CN479">
        <f>IF(CA479="",280,1001)</f>
        <v>280</v>
      </c>
      <c r="GA479">
        <f t="shared" si="154"/>
        <v>0</v>
      </c>
      <c r="GB479">
        <f t="shared" si="155"/>
        <v>0</v>
      </c>
      <c r="GC479">
        <f>IF(AND(C479="事件记录",H479=1),COUNTIFS($C$200:C479,"事件记录",$H$200:H479,1),0)</f>
        <v>0</v>
      </c>
      <c r="GD479">
        <f t="shared" si="135"/>
        <v>0</v>
      </c>
      <c r="GH479">
        <f>IF(AND(H479=1,A479=$GA$10,B479=$GA$11),COUNTIFS($A$200:A479,$GA$10,$B$200:B479,$GA$11,$H$200:H479,1),0)</f>
        <v>0</v>
      </c>
    </row>
    <row r="480" spans="1:190">
      <c r="A480" t="str">
        <f t="shared" si="126"/>
        <v/>
      </c>
      <c r="B480" t="str">
        <f t="shared" si="127"/>
        <v/>
      </c>
      <c r="C480" t="str">
        <f t="shared" si="128"/>
        <v/>
      </c>
      <c r="D480" t="str">
        <f t="shared" si="129"/>
        <v/>
      </c>
      <c r="E480">
        <f t="shared" si="130"/>
        <v>0</v>
      </c>
      <c r="F480" t="str">
        <f t="shared" si="131"/>
        <v/>
      </c>
      <c r="G480">
        <f t="shared" si="132"/>
        <v>0</v>
      </c>
      <c r="H480">
        <f>IF(AND(G480=1,COUNTIFS($I$200:I480,I480,$G$200:G480,1)=1),1,0)</f>
        <v>0</v>
      </c>
      <c r="I480" t="str">
        <f t="shared" si="133"/>
        <v/>
      </c>
      <c r="BF480">
        <f t="shared" si="136"/>
        <v>0</v>
      </c>
      <c r="BG480">
        <f t="shared" si="137"/>
        <v>0</v>
      </c>
      <c r="BH480">
        <f t="shared" si="138"/>
        <v>0</v>
      </c>
      <c r="BI480">
        <f t="shared" si="139"/>
        <v>0</v>
      </c>
      <c r="BJ480">
        <f t="shared" si="140"/>
        <v>0</v>
      </c>
      <c r="BK480">
        <f t="shared" si="141"/>
        <v>0</v>
      </c>
      <c r="BL480">
        <f t="shared" si="142"/>
        <v>0</v>
      </c>
      <c r="BM480">
        <f t="shared" si="143"/>
        <v>0</v>
      </c>
      <c r="BN480">
        <f t="shared" si="144"/>
        <v>0</v>
      </c>
      <c r="BO480">
        <f t="shared" si="145"/>
        <v>0</v>
      </c>
      <c r="BP480">
        <f t="shared" si="146"/>
        <v>0</v>
      </c>
      <c r="BQ480">
        <f t="shared" si="147"/>
        <v>0</v>
      </c>
      <c r="BR480">
        <f t="shared" si="148"/>
        <v>0</v>
      </c>
      <c r="BS480">
        <f t="shared" si="149"/>
        <v>0</v>
      </c>
      <c r="BT480">
        <f t="shared" si="150"/>
        <v>0</v>
      </c>
      <c r="BU480">
        <f t="shared" si="151"/>
        <v>0</v>
      </c>
      <c r="BV480">
        <f t="shared" si="152"/>
        <v>0</v>
      </c>
      <c r="BW480">
        <f t="shared" si="153"/>
        <v>0</v>
      </c>
      <c r="CA480" t="str">
        <f>IF(281&gt;ROWS(DGArchive[模组]),"",IF(INDEX(DGArchive[模组],281)="","",INDEX(DGArchive[模组],281)))</f>
        <v/>
      </c>
      <c r="CB480" t="str">
        <f>IF(281&gt;ROWS(DGArchive[阶段]),"",IF(INDEX(DGArchive[阶段],281)="","",INDEX(DGArchive[阶段],281)))</f>
        <v/>
      </c>
      <c r="CC480" t="str">
        <f>IF(281&gt;ROWS(DGArchive[游戏内日期]),"",IF(INDEX(DGArchive[游戏内日期],281)="","",INDEX(DGArchive[游戏内日期],281)))</f>
        <v/>
      </c>
      <c r="CD480" t="str">
        <f>IF(281&gt;ROWS(DGArchive[目标]),"",IF(INDEX(DGArchive[目标],281)="","",INDEX(DGArchive[目标],281)))</f>
        <v/>
      </c>
      <c r="CE480" t="str">
        <f>IF(281&gt;ROWS(DGArchive[变更前]),"",IF(INDEX(DGArchive[变更前],281)="","",INDEX(DGArchive[变更前],281)))</f>
        <v/>
      </c>
      <c r="CF480" t="str">
        <f>IF(281&gt;ROWS(DGArchive[增减]),"",IF(INDEX(DGArchive[增减],281)="","",INDEX(DGArchive[增减],281)))</f>
        <v/>
      </c>
      <c r="CG480" t="str">
        <f>IF(281&gt;ROWS(DGArchive[变更后]),"",IF(INDEX(DGArchive[变更后],281)="","",INDEX(DGArchive[变更后],281)))</f>
        <v/>
      </c>
      <c r="CH480" t="str">
        <f>IF(281&gt;ROWS(DGArchive[事件／活动]),"",IF(INDEX(DGArchive[事件／活动],281)="","",INDEX(DGArchive[事件／活动],281)))</f>
        <v/>
      </c>
      <c r="CI480" t="str">
        <f>IF(281&gt;ROWS(DGArchive[记录编号]),"",IF(INDEX(DGArchive[记录编号],281)="","",INDEX(DGArchive[记录编号],281)))</f>
        <v/>
      </c>
      <c r="CL480">
        <f t="shared" si="134"/>
        <v>0</v>
      </c>
      <c r="CM480">
        <f>IF(AND(A480=$AO$5,B480=$AQ$3,H480=1),COUNTIFS($A$200:A480,$AO$5,$B$200:B480,$AQ$3,$H$200:H480,1),0)</f>
        <v>0</v>
      </c>
      <c r="CN480">
        <f>IF(CA480="",281,1001)</f>
        <v>281</v>
      </c>
      <c r="GA480">
        <f t="shared" si="154"/>
        <v>0</v>
      </c>
      <c r="GB480">
        <f t="shared" si="155"/>
        <v>0</v>
      </c>
      <c r="GC480">
        <f>IF(AND(C480="事件记录",H480=1),COUNTIFS($C$200:C480,"事件记录",$H$200:H480,1),0)</f>
        <v>0</v>
      </c>
      <c r="GD480">
        <f t="shared" si="135"/>
        <v>0</v>
      </c>
      <c r="GH480">
        <f>IF(AND(H480=1,A480=$GA$10,B480=$GA$11),COUNTIFS($A$200:A480,$GA$10,$B$200:B480,$GA$11,$H$200:H480,1),0)</f>
        <v>0</v>
      </c>
    </row>
    <row r="481" spans="1:190">
      <c r="A481" t="str">
        <f t="shared" si="126"/>
        <v/>
      </c>
      <c r="B481" t="str">
        <f t="shared" si="127"/>
        <v/>
      </c>
      <c r="C481" t="str">
        <f t="shared" si="128"/>
        <v/>
      </c>
      <c r="D481" t="str">
        <f t="shared" si="129"/>
        <v/>
      </c>
      <c r="E481">
        <f t="shared" si="130"/>
        <v>0</v>
      </c>
      <c r="F481" t="str">
        <f t="shared" si="131"/>
        <v/>
      </c>
      <c r="G481">
        <f t="shared" si="132"/>
        <v>0</v>
      </c>
      <c r="H481">
        <f>IF(AND(G481=1,COUNTIFS($I$200:I481,I481,$G$200:G481,1)=1),1,0)</f>
        <v>0</v>
      </c>
      <c r="I481" t="str">
        <f t="shared" si="133"/>
        <v/>
      </c>
      <c r="BF481">
        <f t="shared" si="136"/>
        <v>0</v>
      </c>
      <c r="BG481">
        <f t="shared" si="137"/>
        <v>0</v>
      </c>
      <c r="BH481">
        <f t="shared" si="138"/>
        <v>0</v>
      </c>
      <c r="BI481">
        <f t="shared" si="139"/>
        <v>0</v>
      </c>
      <c r="BJ481">
        <f t="shared" si="140"/>
        <v>0</v>
      </c>
      <c r="BK481">
        <f t="shared" si="141"/>
        <v>0</v>
      </c>
      <c r="BL481">
        <f t="shared" si="142"/>
        <v>0</v>
      </c>
      <c r="BM481">
        <f t="shared" si="143"/>
        <v>0</v>
      </c>
      <c r="BN481">
        <f t="shared" si="144"/>
        <v>0</v>
      </c>
      <c r="BO481">
        <f t="shared" si="145"/>
        <v>0</v>
      </c>
      <c r="BP481">
        <f t="shared" si="146"/>
        <v>0</v>
      </c>
      <c r="BQ481">
        <f t="shared" si="147"/>
        <v>0</v>
      </c>
      <c r="BR481">
        <f t="shared" si="148"/>
        <v>0</v>
      </c>
      <c r="BS481">
        <f t="shared" si="149"/>
        <v>0</v>
      </c>
      <c r="BT481">
        <f t="shared" si="150"/>
        <v>0</v>
      </c>
      <c r="BU481">
        <f t="shared" si="151"/>
        <v>0</v>
      </c>
      <c r="BV481">
        <f t="shared" si="152"/>
        <v>0</v>
      </c>
      <c r="BW481">
        <f t="shared" si="153"/>
        <v>0</v>
      </c>
      <c r="CA481" t="str">
        <f>IF(282&gt;ROWS(DGArchive[模组]),"",IF(INDEX(DGArchive[模组],282)="","",INDEX(DGArchive[模组],282)))</f>
        <v/>
      </c>
      <c r="CB481" t="str">
        <f>IF(282&gt;ROWS(DGArchive[阶段]),"",IF(INDEX(DGArchive[阶段],282)="","",INDEX(DGArchive[阶段],282)))</f>
        <v/>
      </c>
      <c r="CC481" t="str">
        <f>IF(282&gt;ROWS(DGArchive[游戏内日期]),"",IF(INDEX(DGArchive[游戏内日期],282)="","",INDEX(DGArchive[游戏内日期],282)))</f>
        <v/>
      </c>
      <c r="CD481" t="str">
        <f>IF(282&gt;ROWS(DGArchive[目标]),"",IF(INDEX(DGArchive[目标],282)="","",INDEX(DGArchive[目标],282)))</f>
        <v/>
      </c>
      <c r="CE481" t="str">
        <f>IF(282&gt;ROWS(DGArchive[变更前]),"",IF(INDEX(DGArchive[变更前],282)="","",INDEX(DGArchive[变更前],282)))</f>
        <v/>
      </c>
      <c r="CF481" t="str">
        <f>IF(282&gt;ROWS(DGArchive[增减]),"",IF(INDEX(DGArchive[增减],282)="","",INDEX(DGArchive[增减],282)))</f>
        <v/>
      </c>
      <c r="CG481" t="str">
        <f>IF(282&gt;ROWS(DGArchive[变更后]),"",IF(INDEX(DGArchive[变更后],282)="","",INDEX(DGArchive[变更后],282)))</f>
        <v/>
      </c>
      <c r="CH481" t="str">
        <f>IF(282&gt;ROWS(DGArchive[事件／活动]),"",IF(INDEX(DGArchive[事件／活动],282)="","",INDEX(DGArchive[事件／活动],282)))</f>
        <v/>
      </c>
      <c r="CI481" t="str">
        <f>IF(282&gt;ROWS(DGArchive[记录编号]),"",IF(INDEX(DGArchive[记录编号],282)="","",INDEX(DGArchive[记录编号],282)))</f>
        <v/>
      </c>
      <c r="CL481">
        <f t="shared" si="134"/>
        <v>0</v>
      </c>
      <c r="CM481">
        <f>IF(AND(A481=$AO$5,B481=$AQ$3,H481=1),COUNTIFS($A$200:A481,$AO$5,$B$200:B481,$AQ$3,$H$200:H481,1),0)</f>
        <v>0</v>
      </c>
      <c r="CN481">
        <f>IF(CA481="",282,1001)</f>
        <v>282</v>
      </c>
      <c r="GA481">
        <f t="shared" si="154"/>
        <v>0</v>
      </c>
      <c r="GB481">
        <f t="shared" si="155"/>
        <v>0</v>
      </c>
      <c r="GC481">
        <f>IF(AND(C481="事件记录",H481=1),COUNTIFS($C$200:C481,"事件记录",$H$200:H481,1),0)</f>
        <v>0</v>
      </c>
      <c r="GD481">
        <f t="shared" si="135"/>
        <v>0</v>
      </c>
      <c r="GH481">
        <f>IF(AND(H481=1,A481=$GA$10,B481=$GA$11),COUNTIFS($A$200:A481,$GA$10,$B$200:B481,$GA$11,$H$200:H481,1),0)</f>
        <v>0</v>
      </c>
    </row>
    <row r="482" spans="1:190">
      <c r="A482" t="str">
        <f t="shared" si="126"/>
        <v/>
      </c>
      <c r="B482" t="str">
        <f t="shared" si="127"/>
        <v/>
      </c>
      <c r="C482" t="str">
        <f t="shared" si="128"/>
        <v/>
      </c>
      <c r="D482" t="str">
        <f t="shared" si="129"/>
        <v/>
      </c>
      <c r="E482">
        <f t="shared" si="130"/>
        <v>0</v>
      </c>
      <c r="F482" t="str">
        <f t="shared" si="131"/>
        <v/>
      </c>
      <c r="G482">
        <f t="shared" si="132"/>
        <v>0</v>
      </c>
      <c r="H482">
        <f>IF(AND(G482=1,COUNTIFS($I$200:I482,I482,$G$200:G482,1)=1),1,0)</f>
        <v>0</v>
      </c>
      <c r="I482" t="str">
        <f t="shared" si="133"/>
        <v/>
      </c>
      <c r="BF482">
        <f t="shared" si="136"/>
        <v>0</v>
      </c>
      <c r="BG482">
        <f t="shared" si="137"/>
        <v>0</v>
      </c>
      <c r="BH482">
        <f t="shared" si="138"/>
        <v>0</v>
      </c>
      <c r="BI482">
        <f t="shared" si="139"/>
        <v>0</v>
      </c>
      <c r="BJ482">
        <f t="shared" si="140"/>
        <v>0</v>
      </c>
      <c r="BK482">
        <f t="shared" si="141"/>
        <v>0</v>
      </c>
      <c r="BL482">
        <f t="shared" si="142"/>
        <v>0</v>
      </c>
      <c r="BM482">
        <f t="shared" si="143"/>
        <v>0</v>
      </c>
      <c r="BN482">
        <f t="shared" si="144"/>
        <v>0</v>
      </c>
      <c r="BO482">
        <f t="shared" si="145"/>
        <v>0</v>
      </c>
      <c r="BP482">
        <f t="shared" si="146"/>
        <v>0</v>
      </c>
      <c r="BQ482">
        <f t="shared" si="147"/>
        <v>0</v>
      </c>
      <c r="BR482">
        <f t="shared" si="148"/>
        <v>0</v>
      </c>
      <c r="BS482">
        <f t="shared" si="149"/>
        <v>0</v>
      </c>
      <c r="BT482">
        <f t="shared" si="150"/>
        <v>0</v>
      </c>
      <c r="BU482">
        <f t="shared" si="151"/>
        <v>0</v>
      </c>
      <c r="BV482">
        <f t="shared" si="152"/>
        <v>0</v>
      </c>
      <c r="BW482">
        <f t="shared" si="153"/>
        <v>0</v>
      </c>
      <c r="CA482" t="str">
        <f>IF(283&gt;ROWS(DGArchive[模组]),"",IF(INDEX(DGArchive[模组],283)="","",INDEX(DGArchive[模组],283)))</f>
        <v/>
      </c>
      <c r="CB482" t="str">
        <f>IF(283&gt;ROWS(DGArchive[阶段]),"",IF(INDEX(DGArchive[阶段],283)="","",INDEX(DGArchive[阶段],283)))</f>
        <v/>
      </c>
      <c r="CC482" t="str">
        <f>IF(283&gt;ROWS(DGArchive[游戏内日期]),"",IF(INDEX(DGArchive[游戏内日期],283)="","",INDEX(DGArchive[游戏内日期],283)))</f>
        <v/>
      </c>
      <c r="CD482" t="str">
        <f>IF(283&gt;ROWS(DGArchive[目标]),"",IF(INDEX(DGArchive[目标],283)="","",INDEX(DGArchive[目标],283)))</f>
        <v/>
      </c>
      <c r="CE482" t="str">
        <f>IF(283&gt;ROWS(DGArchive[变更前]),"",IF(INDEX(DGArchive[变更前],283)="","",INDEX(DGArchive[变更前],283)))</f>
        <v/>
      </c>
      <c r="CF482" t="str">
        <f>IF(283&gt;ROWS(DGArchive[增减]),"",IF(INDEX(DGArchive[增减],283)="","",INDEX(DGArchive[增减],283)))</f>
        <v/>
      </c>
      <c r="CG482" t="str">
        <f>IF(283&gt;ROWS(DGArchive[变更后]),"",IF(INDEX(DGArchive[变更后],283)="","",INDEX(DGArchive[变更后],283)))</f>
        <v/>
      </c>
      <c r="CH482" t="str">
        <f>IF(283&gt;ROWS(DGArchive[事件／活动]),"",IF(INDEX(DGArchive[事件／活动],283)="","",INDEX(DGArchive[事件／活动],283)))</f>
        <v/>
      </c>
      <c r="CI482" t="str">
        <f>IF(283&gt;ROWS(DGArchive[记录编号]),"",IF(INDEX(DGArchive[记录编号],283)="","",INDEX(DGArchive[记录编号],283)))</f>
        <v/>
      </c>
      <c r="CL482">
        <f t="shared" si="134"/>
        <v>0</v>
      </c>
      <c r="CM482">
        <f>IF(AND(A482=$AO$5,B482=$AQ$3,H482=1),COUNTIFS($A$200:A482,$AO$5,$B$200:B482,$AQ$3,$H$200:H482,1),0)</f>
        <v>0</v>
      </c>
      <c r="CN482">
        <f>IF(CA482="",283,1001)</f>
        <v>283</v>
      </c>
      <c r="GA482">
        <f t="shared" si="154"/>
        <v>0</v>
      </c>
      <c r="GB482">
        <f t="shared" si="155"/>
        <v>0</v>
      </c>
      <c r="GC482">
        <f>IF(AND(C482="事件记录",H482=1),COUNTIFS($C$200:C482,"事件记录",$H$200:H482,1),0)</f>
        <v>0</v>
      </c>
      <c r="GD482">
        <f t="shared" si="135"/>
        <v>0</v>
      </c>
      <c r="GH482">
        <f>IF(AND(H482=1,A482=$GA$10,B482=$GA$11),COUNTIFS($A$200:A482,$GA$10,$B$200:B482,$GA$11,$H$200:H482,1),0)</f>
        <v>0</v>
      </c>
    </row>
    <row r="483" spans="1:190">
      <c r="A483" t="str">
        <f t="shared" si="126"/>
        <v/>
      </c>
      <c r="B483" t="str">
        <f t="shared" si="127"/>
        <v/>
      </c>
      <c r="C483" t="str">
        <f t="shared" si="128"/>
        <v/>
      </c>
      <c r="D483" t="str">
        <f t="shared" si="129"/>
        <v/>
      </c>
      <c r="E483">
        <f t="shared" si="130"/>
        <v>0</v>
      </c>
      <c r="F483" t="str">
        <f t="shared" si="131"/>
        <v/>
      </c>
      <c r="G483">
        <f t="shared" si="132"/>
        <v>0</v>
      </c>
      <c r="H483">
        <f>IF(AND(G483=1,COUNTIFS($I$200:I483,I483,$G$200:G483,1)=1),1,0)</f>
        <v>0</v>
      </c>
      <c r="I483" t="str">
        <f t="shared" si="133"/>
        <v/>
      </c>
      <c r="BF483">
        <f t="shared" si="136"/>
        <v>0</v>
      </c>
      <c r="BG483">
        <f t="shared" si="137"/>
        <v>0</v>
      </c>
      <c r="BH483">
        <f t="shared" si="138"/>
        <v>0</v>
      </c>
      <c r="BI483">
        <f t="shared" si="139"/>
        <v>0</v>
      </c>
      <c r="BJ483">
        <f t="shared" si="140"/>
        <v>0</v>
      </c>
      <c r="BK483">
        <f t="shared" si="141"/>
        <v>0</v>
      </c>
      <c r="BL483">
        <f t="shared" si="142"/>
        <v>0</v>
      </c>
      <c r="BM483">
        <f t="shared" si="143"/>
        <v>0</v>
      </c>
      <c r="BN483">
        <f t="shared" si="144"/>
        <v>0</v>
      </c>
      <c r="BO483">
        <f t="shared" si="145"/>
        <v>0</v>
      </c>
      <c r="BP483">
        <f t="shared" si="146"/>
        <v>0</v>
      </c>
      <c r="BQ483">
        <f t="shared" si="147"/>
        <v>0</v>
      </c>
      <c r="BR483">
        <f t="shared" si="148"/>
        <v>0</v>
      </c>
      <c r="BS483">
        <f t="shared" si="149"/>
        <v>0</v>
      </c>
      <c r="BT483">
        <f t="shared" si="150"/>
        <v>0</v>
      </c>
      <c r="BU483">
        <f t="shared" si="151"/>
        <v>0</v>
      </c>
      <c r="BV483">
        <f t="shared" si="152"/>
        <v>0</v>
      </c>
      <c r="BW483">
        <f t="shared" si="153"/>
        <v>0</v>
      </c>
      <c r="CA483" t="str">
        <f>IF(284&gt;ROWS(DGArchive[模组]),"",IF(INDEX(DGArchive[模组],284)="","",INDEX(DGArchive[模组],284)))</f>
        <v/>
      </c>
      <c r="CB483" t="str">
        <f>IF(284&gt;ROWS(DGArchive[阶段]),"",IF(INDEX(DGArchive[阶段],284)="","",INDEX(DGArchive[阶段],284)))</f>
        <v/>
      </c>
      <c r="CC483" t="str">
        <f>IF(284&gt;ROWS(DGArchive[游戏内日期]),"",IF(INDEX(DGArchive[游戏内日期],284)="","",INDEX(DGArchive[游戏内日期],284)))</f>
        <v/>
      </c>
      <c r="CD483" t="str">
        <f>IF(284&gt;ROWS(DGArchive[目标]),"",IF(INDEX(DGArchive[目标],284)="","",INDEX(DGArchive[目标],284)))</f>
        <v/>
      </c>
      <c r="CE483" t="str">
        <f>IF(284&gt;ROWS(DGArchive[变更前]),"",IF(INDEX(DGArchive[变更前],284)="","",INDEX(DGArchive[变更前],284)))</f>
        <v/>
      </c>
      <c r="CF483" t="str">
        <f>IF(284&gt;ROWS(DGArchive[增减]),"",IF(INDEX(DGArchive[增减],284)="","",INDEX(DGArchive[增减],284)))</f>
        <v/>
      </c>
      <c r="CG483" t="str">
        <f>IF(284&gt;ROWS(DGArchive[变更后]),"",IF(INDEX(DGArchive[变更后],284)="","",INDEX(DGArchive[变更后],284)))</f>
        <v/>
      </c>
      <c r="CH483" t="str">
        <f>IF(284&gt;ROWS(DGArchive[事件／活动]),"",IF(INDEX(DGArchive[事件／活动],284)="","",INDEX(DGArchive[事件／活动],284)))</f>
        <v/>
      </c>
      <c r="CI483" t="str">
        <f>IF(284&gt;ROWS(DGArchive[记录编号]),"",IF(INDEX(DGArchive[记录编号],284)="","",INDEX(DGArchive[记录编号],284)))</f>
        <v/>
      </c>
      <c r="CL483">
        <f t="shared" si="134"/>
        <v>0</v>
      </c>
      <c r="CM483">
        <f>IF(AND(A483=$AO$5,B483=$AQ$3,H483=1),COUNTIFS($A$200:A483,$AO$5,$B$200:B483,$AQ$3,$H$200:H483,1),0)</f>
        <v>0</v>
      </c>
      <c r="CN483">
        <f>IF(CA483="",284,1001)</f>
        <v>284</v>
      </c>
      <c r="GA483">
        <f t="shared" si="154"/>
        <v>0</v>
      </c>
      <c r="GB483">
        <f t="shared" si="155"/>
        <v>0</v>
      </c>
      <c r="GC483">
        <f>IF(AND(C483="事件记录",H483=1),COUNTIFS($C$200:C483,"事件记录",$H$200:H483,1),0)</f>
        <v>0</v>
      </c>
      <c r="GD483">
        <f t="shared" si="135"/>
        <v>0</v>
      </c>
      <c r="GH483">
        <f>IF(AND(H483=1,A483=$GA$10,B483=$GA$11),COUNTIFS($A$200:A483,$GA$10,$B$200:B483,$GA$11,$H$200:H483,1),0)</f>
        <v>0</v>
      </c>
    </row>
    <row r="484" spans="1:190">
      <c r="A484" t="str">
        <f t="shared" si="126"/>
        <v/>
      </c>
      <c r="B484" t="str">
        <f t="shared" si="127"/>
        <v/>
      </c>
      <c r="C484" t="str">
        <f t="shared" si="128"/>
        <v/>
      </c>
      <c r="D484" t="str">
        <f t="shared" si="129"/>
        <v/>
      </c>
      <c r="E484">
        <f t="shared" si="130"/>
        <v>0</v>
      </c>
      <c r="F484" t="str">
        <f t="shared" si="131"/>
        <v/>
      </c>
      <c r="G484">
        <f t="shared" si="132"/>
        <v>0</v>
      </c>
      <c r="H484">
        <f>IF(AND(G484=1,COUNTIFS($I$200:I484,I484,$G$200:G484,1)=1),1,0)</f>
        <v>0</v>
      </c>
      <c r="I484" t="str">
        <f t="shared" si="133"/>
        <v/>
      </c>
      <c r="BF484">
        <f t="shared" si="136"/>
        <v>0</v>
      </c>
      <c r="BG484">
        <f t="shared" si="137"/>
        <v>0</v>
      </c>
      <c r="BH484">
        <f t="shared" si="138"/>
        <v>0</v>
      </c>
      <c r="BI484">
        <f t="shared" si="139"/>
        <v>0</v>
      </c>
      <c r="BJ484">
        <f t="shared" si="140"/>
        <v>0</v>
      </c>
      <c r="BK484">
        <f t="shared" si="141"/>
        <v>0</v>
      </c>
      <c r="BL484">
        <f t="shared" si="142"/>
        <v>0</v>
      </c>
      <c r="BM484">
        <f t="shared" si="143"/>
        <v>0</v>
      </c>
      <c r="BN484">
        <f t="shared" si="144"/>
        <v>0</v>
      </c>
      <c r="BO484">
        <f t="shared" si="145"/>
        <v>0</v>
      </c>
      <c r="BP484">
        <f t="shared" si="146"/>
        <v>0</v>
      </c>
      <c r="BQ484">
        <f t="shared" si="147"/>
        <v>0</v>
      </c>
      <c r="BR484">
        <f t="shared" si="148"/>
        <v>0</v>
      </c>
      <c r="BS484">
        <f t="shared" si="149"/>
        <v>0</v>
      </c>
      <c r="BT484">
        <f t="shared" si="150"/>
        <v>0</v>
      </c>
      <c r="BU484">
        <f t="shared" si="151"/>
        <v>0</v>
      </c>
      <c r="BV484">
        <f t="shared" si="152"/>
        <v>0</v>
      </c>
      <c r="BW484">
        <f t="shared" si="153"/>
        <v>0</v>
      </c>
      <c r="CA484" t="str">
        <f>IF(285&gt;ROWS(DGArchive[模组]),"",IF(INDEX(DGArchive[模组],285)="","",INDEX(DGArchive[模组],285)))</f>
        <v/>
      </c>
      <c r="CB484" t="str">
        <f>IF(285&gt;ROWS(DGArchive[阶段]),"",IF(INDEX(DGArchive[阶段],285)="","",INDEX(DGArchive[阶段],285)))</f>
        <v/>
      </c>
      <c r="CC484" t="str">
        <f>IF(285&gt;ROWS(DGArchive[游戏内日期]),"",IF(INDEX(DGArchive[游戏内日期],285)="","",INDEX(DGArchive[游戏内日期],285)))</f>
        <v/>
      </c>
      <c r="CD484" t="str">
        <f>IF(285&gt;ROWS(DGArchive[目标]),"",IF(INDEX(DGArchive[目标],285)="","",INDEX(DGArchive[目标],285)))</f>
        <v/>
      </c>
      <c r="CE484" t="str">
        <f>IF(285&gt;ROWS(DGArchive[变更前]),"",IF(INDEX(DGArchive[变更前],285)="","",INDEX(DGArchive[变更前],285)))</f>
        <v/>
      </c>
      <c r="CF484" t="str">
        <f>IF(285&gt;ROWS(DGArchive[增减]),"",IF(INDEX(DGArchive[增减],285)="","",INDEX(DGArchive[增减],285)))</f>
        <v/>
      </c>
      <c r="CG484" t="str">
        <f>IF(285&gt;ROWS(DGArchive[变更后]),"",IF(INDEX(DGArchive[变更后],285)="","",INDEX(DGArchive[变更后],285)))</f>
        <v/>
      </c>
      <c r="CH484" t="str">
        <f>IF(285&gt;ROWS(DGArchive[事件／活动]),"",IF(INDEX(DGArchive[事件／活动],285)="","",INDEX(DGArchive[事件／活动],285)))</f>
        <v/>
      </c>
      <c r="CI484" t="str">
        <f>IF(285&gt;ROWS(DGArchive[记录编号]),"",IF(INDEX(DGArchive[记录编号],285)="","",INDEX(DGArchive[记录编号],285)))</f>
        <v/>
      </c>
      <c r="CL484">
        <f t="shared" si="134"/>
        <v>0</v>
      </c>
      <c r="CM484">
        <f>IF(AND(A484=$AO$5,B484=$AQ$3,H484=1),COUNTIFS($A$200:A484,$AO$5,$B$200:B484,$AQ$3,$H$200:H484,1),0)</f>
        <v>0</v>
      </c>
      <c r="CN484">
        <f>IF(CA484="",285,1001)</f>
        <v>285</v>
      </c>
      <c r="GA484">
        <f t="shared" si="154"/>
        <v>0</v>
      </c>
      <c r="GB484">
        <f t="shared" si="155"/>
        <v>0</v>
      </c>
      <c r="GC484">
        <f>IF(AND(C484="事件记录",H484=1),COUNTIFS($C$200:C484,"事件记录",$H$200:H484,1),0)</f>
        <v>0</v>
      </c>
      <c r="GD484">
        <f t="shared" si="135"/>
        <v>0</v>
      </c>
      <c r="GH484">
        <f>IF(AND(H484=1,A484=$GA$10,B484=$GA$11),COUNTIFS($A$200:A484,$GA$10,$B$200:B484,$GA$11,$H$200:H484,1),0)</f>
        <v>0</v>
      </c>
    </row>
    <row r="485" spans="1:190">
      <c r="A485" t="str">
        <f t="shared" si="126"/>
        <v/>
      </c>
      <c r="B485" t="str">
        <f t="shared" si="127"/>
        <v/>
      </c>
      <c r="C485" t="str">
        <f t="shared" si="128"/>
        <v/>
      </c>
      <c r="D485" t="str">
        <f t="shared" si="129"/>
        <v/>
      </c>
      <c r="E485">
        <f t="shared" si="130"/>
        <v>0</v>
      </c>
      <c r="F485" t="str">
        <f t="shared" si="131"/>
        <v/>
      </c>
      <c r="G485">
        <f t="shared" si="132"/>
        <v>0</v>
      </c>
      <c r="H485">
        <f>IF(AND(G485=1,COUNTIFS($I$200:I485,I485,$G$200:G485,1)=1),1,0)</f>
        <v>0</v>
      </c>
      <c r="I485" t="str">
        <f t="shared" si="133"/>
        <v/>
      </c>
      <c r="BF485">
        <f t="shared" si="136"/>
        <v>0</v>
      </c>
      <c r="BG485">
        <f t="shared" si="137"/>
        <v>0</v>
      </c>
      <c r="BH485">
        <f t="shared" si="138"/>
        <v>0</v>
      </c>
      <c r="BI485">
        <f t="shared" si="139"/>
        <v>0</v>
      </c>
      <c r="BJ485">
        <f t="shared" si="140"/>
        <v>0</v>
      </c>
      <c r="BK485">
        <f t="shared" si="141"/>
        <v>0</v>
      </c>
      <c r="BL485">
        <f t="shared" si="142"/>
        <v>0</v>
      </c>
      <c r="BM485">
        <f t="shared" si="143"/>
        <v>0</v>
      </c>
      <c r="BN485">
        <f t="shared" si="144"/>
        <v>0</v>
      </c>
      <c r="BO485">
        <f t="shared" si="145"/>
        <v>0</v>
      </c>
      <c r="BP485">
        <f t="shared" si="146"/>
        <v>0</v>
      </c>
      <c r="BQ485">
        <f t="shared" si="147"/>
        <v>0</v>
      </c>
      <c r="BR485">
        <f t="shared" si="148"/>
        <v>0</v>
      </c>
      <c r="BS485">
        <f t="shared" si="149"/>
        <v>0</v>
      </c>
      <c r="BT485">
        <f t="shared" si="150"/>
        <v>0</v>
      </c>
      <c r="BU485">
        <f t="shared" si="151"/>
        <v>0</v>
      </c>
      <c r="BV485">
        <f t="shared" si="152"/>
        <v>0</v>
      </c>
      <c r="BW485">
        <f t="shared" si="153"/>
        <v>0</v>
      </c>
      <c r="CA485" t="str">
        <f>IF(286&gt;ROWS(DGArchive[模组]),"",IF(INDEX(DGArchive[模组],286)="","",INDEX(DGArchive[模组],286)))</f>
        <v/>
      </c>
      <c r="CB485" t="str">
        <f>IF(286&gt;ROWS(DGArchive[阶段]),"",IF(INDEX(DGArchive[阶段],286)="","",INDEX(DGArchive[阶段],286)))</f>
        <v/>
      </c>
      <c r="CC485" t="str">
        <f>IF(286&gt;ROWS(DGArchive[游戏内日期]),"",IF(INDEX(DGArchive[游戏内日期],286)="","",INDEX(DGArchive[游戏内日期],286)))</f>
        <v/>
      </c>
      <c r="CD485" t="str">
        <f>IF(286&gt;ROWS(DGArchive[目标]),"",IF(INDEX(DGArchive[目标],286)="","",INDEX(DGArchive[目标],286)))</f>
        <v/>
      </c>
      <c r="CE485" t="str">
        <f>IF(286&gt;ROWS(DGArchive[变更前]),"",IF(INDEX(DGArchive[变更前],286)="","",INDEX(DGArchive[变更前],286)))</f>
        <v/>
      </c>
      <c r="CF485" t="str">
        <f>IF(286&gt;ROWS(DGArchive[增减]),"",IF(INDEX(DGArchive[增减],286)="","",INDEX(DGArchive[增减],286)))</f>
        <v/>
      </c>
      <c r="CG485" t="str">
        <f>IF(286&gt;ROWS(DGArchive[变更后]),"",IF(INDEX(DGArchive[变更后],286)="","",INDEX(DGArchive[变更后],286)))</f>
        <v/>
      </c>
      <c r="CH485" t="str">
        <f>IF(286&gt;ROWS(DGArchive[事件／活动]),"",IF(INDEX(DGArchive[事件／活动],286)="","",INDEX(DGArchive[事件／活动],286)))</f>
        <v/>
      </c>
      <c r="CI485" t="str">
        <f>IF(286&gt;ROWS(DGArchive[记录编号]),"",IF(INDEX(DGArchive[记录编号],286)="","",INDEX(DGArchive[记录编号],286)))</f>
        <v/>
      </c>
      <c r="CL485">
        <f t="shared" si="134"/>
        <v>0</v>
      </c>
      <c r="CM485">
        <f>IF(AND(A485=$AO$5,B485=$AQ$3,H485=1),COUNTIFS($A$200:A485,$AO$5,$B$200:B485,$AQ$3,$H$200:H485,1),0)</f>
        <v>0</v>
      </c>
      <c r="CN485">
        <f>IF(CA485="",286,1001)</f>
        <v>286</v>
      </c>
      <c r="GA485">
        <f t="shared" si="154"/>
        <v>0</v>
      </c>
      <c r="GB485">
        <f t="shared" si="155"/>
        <v>0</v>
      </c>
      <c r="GC485">
        <f>IF(AND(C485="事件记录",H485=1),COUNTIFS($C$200:C485,"事件记录",$H$200:H485,1),0)</f>
        <v>0</v>
      </c>
      <c r="GD485">
        <f t="shared" si="135"/>
        <v>0</v>
      </c>
      <c r="GH485">
        <f>IF(AND(H485=1,A485=$GA$10,B485=$GA$11),COUNTIFS($A$200:A485,$GA$10,$B$200:B485,$GA$11,$H$200:H485,1),0)</f>
        <v>0</v>
      </c>
    </row>
    <row r="486" spans="1:190">
      <c r="A486" t="str">
        <f t="shared" si="126"/>
        <v/>
      </c>
      <c r="B486" t="str">
        <f t="shared" si="127"/>
        <v/>
      </c>
      <c r="C486" t="str">
        <f t="shared" si="128"/>
        <v/>
      </c>
      <c r="D486" t="str">
        <f t="shared" si="129"/>
        <v/>
      </c>
      <c r="E486">
        <f t="shared" si="130"/>
        <v>0</v>
      </c>
      <c r="F486" t="str">
        <f t="shared" si="131"/>
        <v/>
      </c>
      <c r="G486">
        <f t="shared" si="132"/>
        <v>0</v>
      </c>
      <c r="H486">
        <f>IF(AND(G486=1,COUNTIFS($I$200:I486,I486,$G$200:G486,1)=1),1,0)</f>
        <v>0</v>
      </c>
      <c r="I486" t="str">
        <f t="shared" si="133"/>
        <v/>
      </c>
      <c r="BF486">
        <f t="shared" si="136"/>
        <v>0</v>
      </c>
      <c r="BG486">
        <f t="shared" si="137"/>
        <v>0</v>
      </c>
      <c r="BH486">
        <f t="shared" si="138"/>
        <v>0</v>
      </c>
      <c r="BI486">
        <f t="shared" si="139"/>
        <v>0</v>
      </c>
      <c r="BJ486">
        <f t="shared" si="140"/>
        <v>0</v>
      </c>
      <c r="BK486">
        <f t="shared" si="141"/>
        <v>0</v>
      </c>
      <c r="BL486">
        <f t="shared" si="142"/>
        <v>0</v>
      </c>
      <c r="BM486">
        <f t="shared" si="143"/>
        <v>0</v>
      </c>
      <c r="BN486">
        <f t="shared" si="144"/>
        <v>0</v>
      </c>
      <c r="BO486">
        <f t="shared" si="145"/>
        <v>0</v>
      </c>
      <c r="BP486">
        <f t="shared" si="146"/>
        <v>0</v>
      </c>
      <c r="BQ486">
        <f t="shared" si="147"/>
        <v>0</v>
      </c>
      <c r="BR486">
        <f t="shared" si="148"/>
        <v>0</v>
      </c>
      <c r="BS486">
        <f t="shared" si="149"/>
        <v>0</v>
      </c>
      <c r="BT486">
        <f t="shared" si="150"/>
        <v>0</v>
      </c>
      <c r="BU486">
        <f t="shared" si="151"/>
        <v>0</v>
      </c>
      <c r="BV486">
        <f t="shared" si="152"/>
        <v>0</v>
      </c>
      <c r="BW486">
        <f t="shared" si="153"/>
        <v>0</v>
      </c>
      <c r="CA486" t="str">
        <f>IF(287&gt;ROWS(DGArchive[模组]),"",IF(INDEX(DGArchive[模组],287)="","",INDEX(DGArchive[模组],287)))</f>
        <v/>
      </c>
      <c r="CB486" t="str">
        <f>IF(287&gt;ROWS(DGArchive[阶段]),"",IF(INDEX(DGArchive[阶段],287)="","",INDEX(DGArchive[阶段],287)))</f>
        <v/>
      </c>
      <c r="CC486" t="str">
        <f>IF(287&gt;ROWS(DGArchive[游戏内日期]),"",IF(INDEX(DGArchive[游戏内日期],287)="","",INDEX(DGArchive[游戏内日期],287)))</f>
        <v/>
      </c>
      <c r="CD486" t="str">
        <f>IF(287&gt;ROWS(DGArchive[目标]),"",IF(INDEX(DGArchive[目标],287)="","",INDEX(DGArchive[目标],287)))</f>
        <v/>
      </c>
      <c r="CE486" t="str">
        <f>IF(287&gt;ROWS(DGArchive[变更前]),"",IF(INDEX(DGArchive[变更前],287)="","",INDEX(DGArchive[变更前],287)))</f>
        <v/>
      </c>
      <c r="CF486" t="str">
        <f>IF(287&gt;ROWS(DGArchive[增减]),"",IF(INDEX(DGArchive[增减],287)="","",INDEX(DGArchive[增减],287)))</f>
        <v/>
      </c>
      <c r="CG486" t="str">
        <f>IF(287&gt;ROWS(DGArchive[变更后]),"",IF(INDEX(DGArchive[变更后],287)="","",INDEX(DGArchive[变更后],287)))</f>
        <v/>
      </c>
      <c r="CH486" t="str">
        <f>IF(287&gt;ROWS(DGArchive[事件／活动]),"",IF(INDEX(DGArchive[事件／活动],287)="","",INDEX(DGArchive[事件／活动],287)))</f>
        <v/>
      </c>
      <c r="CI486" t="str">
        <f>IF(287&gt;ROWS(DGArchive[记录编号]),"",IF(INDEX(DGArchive[记录编号],287)="","",INDEX(DGArchive[记录编号],287)))</f>
        <v/>
      </c>
      <c r="CL486">
        <f t="shared" si="134"/>
        <v>0</v>
      </c>
      <c r="CM486">
        <f>IF(AND(A486=$AO$5,B486=$AQ$3,H486=1),COUNTIFS($A$200:A486,$AO$5,$B$200:B486,$AQ$3,$H$200:H486,1),0)</f>
        <v>0</v>
      </c>
      <c r="CN486">
        <f>IF(CA486="",287,1001)</f>
        <v>287</v>
      </c>
      <c r="GA486">
        <f t="shared" si="154"/>
        <v>0</v>
      </c>
      <c r="GB486">
        <f t="shared" si="155"/>
        <v>0</v>
      </c>
      <c r="GC486">
        <f>IF(AND(C486="事件记录",H486=1),COUNTIFS($C$200:C486,"事件记录",$H$200:H486,1),0)</f>
        <v>0</v>
      </c>
      <c r="GD486">
        <f t="shared" si="135"/>
        <v>0</v>
      </c>
      <c r="GH486">
        <f>IF(AND(H486=1,A486=$GA$10,B486=$GA$11),COUNTIFS($A$200:A486,$GA$10,$B$200:B486,$GA$11,$H$200:H486,1),0)</f>
        <v>0</v>
      </c>
    </row>
    <row r="487" spans="1:190">
      <c r="A487" t="str">
        <f t="shared" si="126"/>
        <v/>
      </c>
      <c r="B487" t="str">
        <f t="shared" si="127"/>
        <v/>
      </c>
      <c r="C487" t="str">
        <f t="shared" si="128"/>
        <v/>
      </c>
      <c r="D487" t="str">
        <f t="shared" si="129"/>
        <v/>
      </c>
      <c r="E487">
        <f t="shared" si="130"/>
        <v>0</v>
      </c>
      <c r="F487" t="str">
        <f t="shared" si="131"/>
        <v/>
      </c>
      <c r="G487">
        <f t="shared" si="132"/>
        <v>0</v>
      </c>
      <c r="H487">
        <f>IF(AND(G487=1,COUNTIFS($I$200:I487,I487,$G$200:G487,1)=1),1,0)</f>
        <v>0</v>
      </c>
      <c r="I487" t="str">
        <f t="shared" si="133"/>
        <v/>
      </c>
      <c r="BF487">
        <f t="shared" si="136"/>
        <v>0</v>
      </c>
      <c r="BG487">
        <f t="shared" si="137"/>
        <v>0</v>
      </c>
      <c r="BH487">
        <f t="shared" si="138"/>
        <v>0</v>
      </c>
      <c r="BI487">
        <f t="shared" si="139"/>
        <v>0</v>
      </c>
      <c r="BJ487">
        <f t="shared" si="140"/>
        <v>0</v>
      </c>
      <c r="BK487">
        <f t="shared" si="141"/>
        <v>0</v>
      </c>
      <c r="BL487">
        <f t="shared" si="142"/>
        <v>0</v>
      </c>
      <c r="BM487">
        <f t="shared" si="143"/>
        <v>0</v>
      </c>
      <c r="BN487">
        <f t="shared" si="144"/>
        <v>0</v>
      </c>
      <c r="BO487">
        <f t="shared" si="145"/>
        <v>0</v>
      </c>
      <c r="BP487">
        <f t="shared" si="146"/>
        <v>0</v>
      </c>
      <c r="BQ487">
        <f t="shared" si="147"/>
        <v>0</v>
      </c>
      <c r="BR487">
        <f t="shared" si="148"/>
        <v>0</v>
      </c>
      <c r="BS487">
        <f t="shared" si="149"/>
        <v>0</v>
      </c>
      <c r="BT487">
        <f t="shared" si="150"/>
        <v>0</v>
      </c>
      <c r="BU487">
        <f t="shared" si="151"/>
        <v>0</v>
      </c>
      <c r="BV487">
        <f t="shared" si="152"/>
        <v>0</v>
      </c>
      <c r="BW487">
        <f t="shared" si="153"/>
        <v>0</v>
      </c>
      <c r="CA487" t="str">
        <f>IF(288&gt;ROWS(DGArchive[模组]),"",IF(INDEX(DGArchive[模组],288)="","",INDEX(DGArchive[模组],288)))</f>
        <v/>
      </c>
      <c r="CB487" t="str">
        <f>IF(288&gt;ROWS(DGArchive[阶段]),"",IF(INDEX(DGArchive[阶段],288)="","",INDEX(DGArchive[阶段],288)))</f>
        <v/>
      </c>
      <c r="CC487" t="str">
        <f>IF(288&gt;ROWS(DGArchive[游戏内日期]),"",IF(INDEX(DGArchive[游戏内日期],288)="","",INDEX(DGArchive[游戏内日期],288)))</f>
        <v/>
      </c>
      <c r="CD487" t="str">
        <f>IF(288&gt;ROWS(DGArchive[目标]),"",IF(INDEX(DGArchive[目标],288)="","",INDEX(DGArchive[目标],288)))</f>
        <v/>
      </c>
      <c r="CE487" t="str">
        <f>IF(288&gt;ROWS(DGArchive[变更前]),"",IF(INDEX(DGArchive[变更前],288)="","",INDEX(DGArchive[变更前],288)))</f>
        <v/>
      </c>
      <c r="CF487" t="str">
        <f>IF(288&gt;ROWS(DGArchive[增减]),"",IF(INDEX(DGArchive[增减],288)="","",INDEX(DGArchive[增减],288)))</f>
        <v/>
      </c>
      <c r="CG487" t="str">
        <f>IF(288&gt;ROWS(DGArchive[变更后]),"",IF(INDEX(DGArchive[变更后],288)="","",INDEX(DGArchive[变更后],288)))</f>
        <v/>
      </c>
      <c r="CH487" t="str">
        <f>IF(288&gt;ROWS(DGArchive[事件／活动]),"",IF(INDEX(DGArchive[事件／活动],288)="","",INDEX(DGArchive[事件／活动],288)))</f>
        <v/>
      </c>
      <c r="CI487" t="str">
        <f>IF(288&gt;ROWS(DGArchive[记录编号]),"",IF(INDEX(DGArchive[记录编号],288)="","",INDEX(DGArchive[记录编号],288)))</f>
        <v/>
      </c>
      <c r="CL487">
        <f t="shared" si="134"/>
        <v>0</v>
      </c>
      <c r="CM487">
        <f>IF(AND(A487=$AO$5,B487=$AQ$3,H487=1),COUNTIFS($A$200:A487,$AO$5,$B$200:B487,$AQ$3,$H$200:H487,1),0)</f>
        <v>0</v>
      </c>
      <c r="CN487">
        <f>IF(CA487="",288,1001)</f>
        <v>288</v>
      </c>
      <c r="GA487">
        <f t="shared" si="154"/>
        <v>0</v>
      </c>
      <c r="GB487">
        <f t="shared" si="155"/>
        <v>0</v>
      </c>
      <c r="GC487">
        <f>IF(AND(C487="事件记录",H487=1),COUNTIFS($C$200:C487,"事件记录",$H$200:H487,1),0)</f>
        <v>0</v>
      </c>
      <c r="GD487">
        <f t="shared" si="135"/>
        <v>0</v>
      </c>
      <c r="GH487">
        <f>IF(AND(H487=1,A487=$GA$10,B487=$GA$11),COUNTIFS($A$200:A487,$GA$10,$B$200:B487,$GA$11,$H$200:H487,1),0)</f>
        <v>0</v>
      </c>
    </row>
    <row r="488" spans="1:190">
      <c r="A488" t="str">
        <f t="shared" si="126"/>
        <v/>
      </c>
      <c r="B488" t="str">
        <f t="shared" si="127"/>
        <v/>
      </c>
      <c r="C488" t="str">
        <f t="shared" si="128"/>
        <v/>
      </c>
      <c r="D488" t="str">
        <f t="shared" si="129"/>
        <v/>
      </c>
      <c r="E488">
        <f t="shared" si="130"/>
        <v>0</v>
      </c>
      <c r="F488" t="str">
        <f t="shared" si="131"/>
        <v/>
      </c>
      <c r="G488">
        <f t="shared" si="132"/>
        <v>0</v>
      </c>
      <c r="H488">
        <f>IF(AND(G488=1,COUNTIFS($I$200:I488,I488,$G$200:G488,1)=1),1,0)</f>
        <v>0</v>
      </c>
      <c r="I488" t="str">
        <f t="shared" si="133"/>
        <v/>
      </c>
      <c r="BF488">
        <f t="shared" si="136"/>
        <v>0</v>
      </c>
      <c r="BG488">
        <f t="shared" si="137"/>
        <v>0</v>
      </c>
      <c r="BH488">
        <f t="shared" si="138"/>
        <v>0</v>
      </c>
      <c r="BI488">
        <f t="shared" si="139"/>
        <v>0</v>
      </c>
      <c r="BJ488">
        <f t="shared" si="140"/>
        <v>0</v>
      </c>
      <c r="BK488">
        <f t="shared" si="141"/>
        <v>0</v>
      </c>
      <c r="BL488">
        <f t="shared" si="142"/>
        <v>0</v>
      </c>
      <c r="BM488">
        <f t="shared" si="143"/>
        <v>0</v>
      </c>
      <c r="BN488">
        <f t="shared" si="144"/>
        <v>0</v>
      </c>
      <c r="BO488">
        <f t="shared" si="145"/>
        <v>0</v>
      </c>
      <c r="BP488">
        <f t="shared" si="146"/>
        <v>0</v>
      </c>
      <c r="BQ488">
        <f t="shared" si="147"/>
        <v>0</v>
      </c>
      <c r="BR488">
        <f t="shared" si="148"/>
        <v>0</v>
      </c>
      <c r="BS488">
        <f t="shared" si="149"/>
        <v>0</v>
      </c>
      <c r="BT488">
        <f t="shared" si="150"/>
        <v>0</v>
      </c>
      <c r="BU488">
        <f t="shared" si="151"/>
        <v>0</v>
      </c>
      <c r="BV488">
        <f t="shared" si="152"/>
        <v>0</v>
      </c>
      <c r="BW488">
        <f t="shared" si="153"/>
        <v>0</v>
      </c>
      <c r="CA488" t="str">
        <f>IF(289&gt;ROWS(DGArchive[模组]),"",IF(INDEX(DGArchive[模组],289)="","",INDEX(DGArchive[模组],289)))</f>
        <v/>
      </c>
      <c r="CB488" t="str">
        <f>IF(289&gt;ROWS(DGArchive[阶段]),"",IF(INDEX(DGArchive[阶段],289)="","",INDEX(DGArchive[阶段],289)))</f>
        <v/>
      </c>
      <c r="CC488" t="str">
        <f>IF(289&gt;ROWS(DGArchive[游戏内日期]),"",IF(INDEX(DGArchive[游戏内日期],289)="","",INDEX(DGArchive[游戏内日期],289)))</f>
        <v/>
      </c>
      <c r="CD488" t="str">
        <f>IF(289&gt;ROWS(DGArchive[目标]),"",IF(INDEX(DGArchive[目标],289)="","",INDEX(DGArchive[目标],289)))</f>
        <v/>
      </c>
      <c r="CE488" t="str">
        <f>IF(289&gt;ROWS(DGArchive[变更前]),"",IF(INDEX(DGArchive[变更前],289)="","",INDEX(DGArchive[变更前],289)))</f>
        <v/>
      </c>
      <c r="CF488" t="str">
        <f>IF(289&gt;ROWS(DGArchive[增减]),"",IF(INDEX(DGArchive[增减],289)="","",INDEX(DGArchive[增减],289)))</f>
        <v/>
      </c>
      <c r="CG488" t="str">
        <f>IF(289&gt;ROWS(DGArchive[变更后]),"",IF(INDEX(DGArchive[变更后],289)="","",INDEX(DGArchive[变更后],289)))</f>
        <v/>
      </c>
      <c r="CH488" t="str">
        <f>IF(289&gt;ROWS(DGArchive[事件／活动]),"",IF(INDEX(DGArchive[事件／活动],289)="","",INDEX(DGArchive[事件／活动],289)))</f>
        <v/>
      </c>
      <c r="CI488" t="str">
        <f>IF(289&gt;ROWS(DGArchive[记录编号]),"",IF(INDEX(DGArchive[记录编号],289)="","",INDEX(DGArchive[记录编号],289)))</f>
        <v/>
      </c>
      <c r="CL488">
        <f t="shared" si="134"/>
        <v>0</v>
      </c>
      <c r="CM488">
        <f>IF(AND(A488=$AO$5,B488=$AQ$3,H488=1),COUNTIFS($A$200:A488,$AO$5,$B$200:B488,$AQ$3,$H$200:H488,1),0)</f>
        <v>0</v>
      </c>
      <c r="CN488">
        <f>IF(CA488="",289,1001)</f>
        <v>289</v>
      </c>
      <c r="GA488">
        <f t="shared" si="154"/>
        <v>0</v>
      </c>
      <c r="GB488">
        <f t="shared" si="155"/>
        <v>0</v>
      </c>
      <c r="GC488">
        <f>IF(AND(C488="事件记录",H488=1),COUNTIFS($C$200:C488,"事件记录",$H$200:H488,1),0)</f>
        <v>0</v>
      </c>
      <c r="GD488">
        <f t="shared" si="135"/>
        <v>0</v>
      </c>
      <c r="GH488">
        <f>IF(AND(H488=1,A488=$GA$10,B488=$GA$11),COUNTIFS($A$200:A488,$GA$10,$B$200:B488,$GA$11,$H$200:H488,1),0)</f>
        <v>0</v>
      </c>
    </row>
    <row r="489" spans="1:190">
      <c r="A489" t="str">
        <f t="shared" si="126"/>
        <v/>
      </c>
      <c r="B489" t="str">
        <f t="shared" si="127"/>
        <v/>
      </c>
      <c r="C489" t="str">
        <f t="shared" si="128"/>
        <v/>
      </c>
      <c r="D489" t="str">
        <f t="shared" si="129"/>
        <v/>
      </c>
      <c r="E489">
        <f t="shared" si="130"/>
        <v>0</v>
      </c>
      <c r="F489" t="str">
        <f t="shared" si="131"/>
        <v/>
      </c>
      <c r="G489">
        <f t="shared" si="132"/>
        <v>0</v>
      </c>
      <c r="H489">
        <f>IF(AND(G489=1,COUNTIFS($I$200:I489,I489,$G$200:G489,1)=1),1,0)</f>
        <v>0</v>
      </c>
      <c r="I489" t="str">
        <f t="shared" si="133"/>
        <v/>
      </c>
      <c r="BF489">
        <f t="shared" si="136"/>
        <v>0</v>
      </c>
      <c r="BG489">
        <f t="shared" si="137"/>
        <v>0</v>
      </c>
      <c r="BH489">
        <f t="shared" si="138"/>
        <v>0</v>
      </c>
      <c r="BI489">
        <f t="shared" si="139"/>
        <v>0</v>
      </c>
      <c r="BJ489">
        <f t="shared" si="140"/>
        <v>0</v>
      </c>
      <c r="BK489">
        <f t="shared" si="141"/>
        <v>0</v>
      </c>
      <c r="BL489">
        <f t="shared" si="142"/>
        <v>0</v>
      </c>
      <c r="BM489">
        <f t="shared" si="143"/>
        <v>0</v>
      </c>
      <c r="BN489">
        <f t="shared" si="144"/>
        <v>0</v>
      </c>
      <c r="BO489">
        <f t="shared" si="145"/>
        <v>0</v>
      </c>
      <c r="BP489">
        <f t="shared" si="146"/>
        <v>0</v>
      </c>
      <c r="BQ489">
        <f t="shared" si="147"/>
        <v>0</v>
      </c>
      <c r="BR489">
        <f t="shared" si="148"/>
        <v>0</v>
      </c>
      <c r="BS489">
        <f t="shared" si="149"/>
        <v>0</v>
      </c>
      <c r="BT489">
        <f t="shared" si="150"/>
        <v>0</v>
      </c>
      <c r="BU489">
        <f t="shared" si="151"/>
        <v>0</v>
      </c>
      <c r="BV489">
        <f t="shared" si="152"/>
        <v>0</v>
      </c>
      <c r="BW489">
        <f t="shared" si="153"/>
        <v>0</v>
      </c>
      <c r="CA489" t="str">
        <f>IF(290&gt;ROWS(DGArchive[模组]),"",IF(INDEX(DGArchive[模组],290)="","",INDEX(DGArchive[模组],290)))</f>
        <v/>
      </c>
      <c r="CB489" t="str">
        <f>IF(290&gt;ROWS(DGArchive[阶段]),"",IF(INDEX(DGArchive[阶段],290)="","",INDEX(DGArchive[阶段],290)))</f>
        <v/>
      </c>
      <c r="CC489" t="str">
        <f>IF(290&gt;ROWS(DGArchive[游戏内日期]),"",IF(INDEX(DGArchive[游戏内日期],290)="","",INDEX(DGArchive[游戏内日期],290)))</f>
        <v/>
      </c>
      <c r="CD489" t="str">
        <f>IF(290&gt;ROWS(DGArchive[目标]),"",IF(INDEX(DGArchive[目标],290)="","",INDEX(DGArchive[目标],290)))</f>
        <v/>
      </c>
      <c r="CE489" t="str">
        <f>IF(290&gt;ROWS(DGArchive[变更前]),"",IF(INDEX(DGArchive[变更前],290)="","",INDEX(DGArchive[变更前],290)))</f>
        <v/>
      </c>
      <c r="CF489" t="str">
        <f>IF(290&gt;ROWS(DGArchive[增减]),"",IF(INDEX(DGArchive[增减],290)="","",INDEX(DGArchive[增减],290)))</f>
        <v/>
      </c>
      <c r="CG489" t="str">
        <f>IF(290&gt;ROWS(DGArchive[变更后]),"",IF(INDEX(DGArchive[变更后],290)="","",INDEX(DGArchive[变更后],290)))</f>
        <v/>
      </c>
      <c r="CH489" t="str">
        <f>IF(290&gt;ROWS(DGArchive[事件／活动]),"",IF(INDEX(DGArchive[事件／活动],290)="","",INDEX(DGArchive[事件／活动],290)))</f>
        <v/>
      </c>
      <c r="CI489" t="str">
        <f>IF(290&gt;ROWS(DGArchive[记录编号]),"",IF(INDEX(DGArchive[记录编号],290)="","",INDEX(DGArchive[记录编号],290)))</f>
        <v/>
      </c>
      <c r="CL489">
        <f t="shared" si="134"/>
        <v>0</v>
      </c>
      <c r="CM489">
        <f>IF(AND(A489=$AO$5,B489=$AQ$3,H489=1),COUNTIFS($A$200:A489,$AO$5,$B$200:B489,$AQ$3,$H$200:H489,1),0)</f>
        <v>0</v>
      </c>
      <c r="CN489">
        <f>IF(CA489="",290,1001)</f>
        <v>290</v>
      </c>
      <c r="GA489">
        <f t="shared" si="154"/>
        <v>0</v>
      </c>
      <c r="GB489">
        <f t="shared" si="155"/>
        <v>0</v>
      </c>
      <c r="GC489">
        <f>IF(AND(C489="事件记录",H489=1),COUNTIFS($C$200:C489,"事件记录",$H$200:H489,1),0)</f>
        <v>0</v>
      </c>
      <c r="GD489">
        <f t="shared" si="135"/>
        <v>0</v>
      </c>
      <c r="GH489">
        <f>IF(AND(H489=1,A489=$GA$10,B489=$GA$11),COUNTIFS($A$200:A489,$GA$10,$B$200:B489,$GA$11,$H$200:H489,1),0)</f>
        <v>0</v>
      </c>
    </row>
    <row r="490" spans="1:190">
      <c r="A490" t="str">
        <f t="shared" si="126"/>
        <v/>
      </c>
      <c r="B490" t="str">
        <f t="shared" si="127"/>
        <v/>
      </c>
      <c r="C490" t="str">
        <f t="shared" si="128"/>
        <v/>
      </c>
      <c r="D490" t="str">
        <f t="shared" si="129"/>
        <v/>
      </c>
      <c r="E490">
        <f t="shared" si="130"/>
        <v>0</v>
      </c>
      <c r="F490" t="str">
        <f t="shared" si="131"/>
        <v/>
      </c>
      <c r="G490">
        <f t="shared" si="132"/>
        <v>0</v>
      </c>
      <c r="H490">
        <f>IF(AND(G490=1,COUNTIFS($I$200:I490,I490,$G$200:G490,1)=1),1,0)</f>
        <v>0</v>
      </c>
      <c r="I490" t="str">
        <f t="shared" si="133"/>
        <v/>
      </c>
      <c r="BF490">
        <f t="shared" si="136"/>
        <v>0</v>
      </c>
      <c r="BG490">
        <f t="shared" si="137"/>
        <v>0</v>
      </c>
      <c r="BH490">
        <f t="shared" si="138"/>
        <v>0</v>
      </c>
      <c r="BI490">
        <f t="shared" si="139"/>
        <v>0</v>
      </c>
      <c r="BJ490">
        <f t="shared" si="140"/>
        <v>0</v>
      </c>
      <c r="BK490">
        <f t="shared" si="141"/>
        <v>0</v>
      </c>
      <c r="BL490">
        <f t="shared" si="142"/>
        <v>0</v>
      </c>
      <c r="BM490">
        <f t="shared" si="143"/>
        <v>0</v>
      </c>
      <c r="BN490">
        <f t="shared" si="144"/>
        <v>0</v>
      </c>
      <c r="BO490">
        <f t="shared" si="145"/>
        <v>0</v>
      </c>
      <c r="BP490">
        <f t="shared" si="146"/>
        <v>0</v>
      </c>
      <c r="BQ490">
        <f t="shared" si="147"/>
        <v>0</v>
      </c>
      <c r="BR490">
        <f t="shared" si="148"/>
        <v>0</v>
      </c>
      <c r="BS490">
        <f t="shared" si="149"/>
        <v>0</v>
      </c>
      <c r="BT490">
        <f t="shared" si="150"/>
        <v>0</v>
      </c>
      <c r="BU490">
        <f t="shared" si="151"/>
        <v>0</v>
      </c>
      <c r="BV490">
        <f t="shared" si="152"/>
        <v>0</v>
      </c>
      <c r="BW490">
        <f t="shared" si="153"/>
        <v>0</v>
      </c>
      <c r="CA490" t="str">
        <f>IF(291&gt;ROWS(DGArchive[模组]),"",IF(INDEX(DGArchive[模组],291)="","",INDEX(DGArchive[模组],291)))</f>
        <v/>
      </c>
      <c r="CB490" t="str">
        <f>IF(291&gt;ROWS(DGArchive[阶段]),"",IF(INDEX(DGArchive[阶段],291)="","",INDEX(DGArchive[阶段],291)))</f>
        <v/>
      </c>
      <c r="CC490" t="str">
        <f>IF(291&gt;ROWS(DGArchive[游戏内日期]),"",IF(INDEX(DGArchive[游戏内日期],291)="","",INDEX(DGArchive[游戏内日期],291)))</f>
        <v/>
      </c>
      <c r="CD490" t="str">
        <f>IF(291&gt;ROWS(DGArchive[目标]),"",IF(INDEX(DGArchive[目标],291)="","",INDEX(DGArchive[目标],291)))</f>
        <v/>
      </c>
      <c r="CE490" t="str">
        <f>IF(291&gt;ROWS(DGArchive[变更前]),"",IF(INDEX(DGArchive[变更前],291)="","",INDEX(DGArchive[变更前],291)))</f>
        <v/>
      </c>
      <c r="CF490" t="str">
        <f>IF(291&gt;ROWS(DGArchive[增减]),"",IF(INDEX(DGArchive[增减],291)="","",INDEX(DGArchive[增减],291)))</f>
        <v/>
      </c>
      <c r="CG490" t="str">
        <f>IF(291&gt;ROWS(DGArchive[变更后]),"",IF(INDEX(DGArchive[变更后],291)="","",INDEX(DGArchive[变更后],291)))</f>
        <v/>
      </c>
      <c r="CH490" t="str">
        <f>IF(291&gt;ROWS(DGArchive[事件／活动]),"",IF(INDEX(DGArchive[事件／活动],291)="","",INDEX(DGArchive[事件／活动],291)))</f>
        <v/>
      </c>
      <c r="CI490" t="str">
        <f>IF(291&gt;ROWS(DGArchive[记录编号]),"",IF(INDEX(DGArchive[记录编号],291)="","",INDEX(DGArchive[记录编号],291)))</f>
        <v/>
      </c>
      <c r="CL490">
        <f t="shared" si="134"/>
        <v>0</v>
      </c>
      <c r="CM490">
        <f>IF(AND(A490=$AO$5,B490=$AQ$3,H490=1),COUNTIFS($A$200:A490,$AO$5,$B$200:B490,$AQ$3,$H$200:H490,1),0)</f>
        <v>0</v>
      </c>
      <c r="CN490">
        <f>IF(CA490="",291,1001)</f>
        <v>291</v>
      </c>
      <c r="GA490">
        <f t="shared" si="154"/>
        <v>0</v>
      </c>
      <c r="GB490">
        <f t="shared" si="155"/>
        <v>0</v>
      </c>
      <c r="GC490">
        <f>IF(AND(C490="事件记录",H490=1),COUNTIFS($C$200:C490,"事件记录",$H$200:H490,1),0)</f>
        <v>0</v>
      </c>
      <c r="GD490">
        <f t="shared" si="135"/>
        <v>0</v>
      </c>
      <c r="GH490">
        <f>IF(AND(H490=1,A490=$GA$10,B490=$GA$11),COUNTIFS($A$200:A490,$GA$10,$B$200:B490,$GA$11,$H$200:H490,1),0)</f>
        <v>0</v>
      </c>
    </row>
    <row r="491" spans="1:190">
      <c r="A491" t="str">
        <f t="shared" si="126"/>
        <v/>
      </c>
      <c r="B491" t="str">
        <f t="shared" si="127"/>
        <v/>
      </c>
      <c r="C491" t="str">
        <f t="shared" si="128"/>
        <v/>
      </c>
      <c r="D491" t="str">
        <f t="shared" si="129"/>
        <v/>
      </c>
      <c r="E491">
        <f t="shared" si="130"/>
        <v>0</v>
      </c>
      <c r="F491" t="str">
        <f t="shared" si="131"/>
        <v/>
      </c>
      <c r="G491">
        <f t="shared" si="132"/>
        <v>0</v>
      </c>
      <c r="H491">
        <f>IF(AND(G491=1,COUNTIFS($I$200:I491,I491,$G$200:G491,1)=1),1,0)</f>
        <v>0</v>
      </c>
      <c r="I491" t="str">
        <f t="shared" si="133"/>
        <v/>
      </c>
      <c r="BF491">
        <f t="shared" si="136"/>
        <v>0</v>
      </c>
      <c r="BG491">
        <f t="shared" si="137"/>
        <v>0</v>
      </c>
      <c r="BH491">
        <f t="shared" si="138"/>
        <v>0</v>
      </c>
      <c r="BI491">
        <f t="shared" si="139"/>
        <v>0</v>
      </c>
      <c r="BJ491">
        <f t="shared" si="140"/>
        <v>0</v>
      </c>
      <c r="BK491">
        <f t="shared" si="141"/>
        <v>0</v>
      </c>
      <c r="BL491">
        <f t="shared" si="142"/>
        <v>0</v>
      </c>
      <c r="BM491">
        <f t="shared" si="143"/>
        <v>0</v>
      </c>
      <c r="BN491">
        <f t="shared" si="144"/>
        <v>0</v>
      </c>
      <c r="BO491">
        <f t="shared" si="145"/>
        <v>0</v>
      </c>
      <c r="BP491">
        <f t="shared" si="146"/>
        <v>0</v>
      </c>
      <c r="BQ491">
        <f t="shared" si="147"/>
        <v>0</v>
      </c>
      <c r="BR491">
        <f t="shared" si="148"/>
        <v>0</v>
      </c>
      <c r="BS491">
        <f t="shared" si="149"/>
        <v>0</v>
      </c>
      <c r="BT491">
        <f t="shared" si="150"/>
        <v>0</v>
      </c>
      <c r="BU491">
        <f t="shared" si="151"/>
        <v>0</v>
      </c>
      <c r="BV491">
        <f t="shared" si="152"/>
        <v>0</v>
      </c>
      <c r="BW491">
        <f t="shared" si="153"/>
        <v>0</v>
      </c>
      <c r="CA491" t="str">
        <f>IF(292&gt;ROWS(DGArchive[模组]),"",IF(INDEX(DGArchive[模组],292)="","",INDEX(DGArchive[模组],292)))</f>
        <v/>
      </c>
      <c r="CB491" t="str">
        <f>IF(292&gt;ROWS(DGArchive[阶段]),"",IF(INDEX(DGArchive[阶段],292)="","",INDEX(DGArchive[阶段],292)))</f>
        <v/>
      </c>
      <c r="CC491" t="str">
        <f>IF(292&gt;ROWS(DGArchive[游戏内日期]),"",IF(INDEX(DGArchive[游戏内日期],292)="","",INDEX(DGArchive[游戏内日期],292)))</f>
        <v/>
      </c>
      <c r="CD491" t="str">
        <f>IF(292&gt;ROWS(DGArchive[目标]),"",IF(INDEX(DGArchive[目标],292)="","",INDEX(DGArchive[目标],292)))</f>
        <v/>
      </c>
      <c r="CE491" t="str">
        <f>IF(292&gt;ROWS(DGArchive[变更前]),"",IF(INDEX(DGArchive[变更前],292)="","",INDEX(DGArchive[变更前],292)))</f>
        <v/>
      </c>
      <c r="CF491" t="str">
        <f>IF(292&gt;ROWS(DGArchive[增减]),"",IF(INDEX(DGArchive[增减],292)="","",INDEX(DGArchive[增减],292)))</f>
        <v/>
      </c>
      <c r="CG491" t="str">
        <f>IF(292&gt;ROWS(DGArchive[变更后]),"",IF(INDEX(DGArchive[变更后],292)="","",INDEX(DGArchive[变更后],292)))</f>
        <v/>
      </c>
      <c r="CH491" t="str">
        <f>IF(292&gt;ROWS(DGArchive[事件／活动]),"",IF(INDEX(DGArchive[事件／活动],292)="","",INDEX(DGArchive[事件／活动],292)))</f>
        <v/>
      </c>
      <c r="CI491" t="str">
        <f>IF(292&gt;ROWS(DGArchive[记录编号]),"",IF(INDEX(DGArchive[记录编号],292)="","",INDEX(DGArchive[记录编号],292)))</f>
        <v/>
      </c>
      <c r="CL491">
        <f t="shared" si="134"/>
        <v>0</v>
      </c>
      <c r="CM491">
        <f>IF(AND(A491=$AO$5,B491=$AQ$3,H491=1),COUNTIFS($A$200:A491,$AO$5,$B$200:B491,$AQ$3,$H$200:H491,1),0)</f>
        <v>0</v>
      </c>
      <c r="CN491">
        <f>IF(CA491="",292,1001)</f>
        <v>292</v>
      </c>
      <c r="GA491">
        <f t="shared" si="154"/>
        <v>0</v>
      </c>
      <c r="GB491">
        <f t="shared" si="155"/>
        <v>0</v>
      </c>
      <c r="GC491">
        <f>IF(AND(C491="事件记录",H491=1),COUNTIFS($C$200:C491,"事件记录",$H$200:H491,1),0)</f>
        <v>0</v>
      </c>
      <c r="GD491">
        <f t="shared" si="135"/>
        <v>0</v>
      </c>
      <c r="GH491">
        <f>IF(AND(H491=1,A491=$GA$10,B491=$GA$11),COUNTIFS($A$200:A491,$GA$10,$B$200:B491,$GA$11,$H$200:H491,1),0)</f>
        <v>0</v>
      </c>
    </row>
    <row r="492" spans="1:190">
      <c r="A492" t="str">
        <f t="shared" si="126"/>
        <v/>
      </c>
      <c r="B492" t="str">
        <f t="shared" si="127"/>
        <v/>
      </c>
      <c r="C492" t="str">
        <f t="shared" si="128"/>
        <v/>
      </c>
      <c r="D492" t="str">
        <f t="shared" si="129"/>
        <v/>
      </c>
      <c r="E492">
        <f t="shared" si="130"/>
        <v>0</v>
      </c>
      <c r="F492" t="str">
        <f t="shared" si="131"/>
        <v/>
      </c>
      <c r="G492">
        <f t="shared" si="132"/>
        <v>0</v>
      </c>
      <c r="H492">
        <f>IF(AND(G492=1,COUNTIFS($I$200:I492,I492,$G$200:G492,1)=1),1,0)</f>
        <v>0</v>
      </c>
      <c r="I492" t="str">
        <f t="shared" si="133"/>
        <v/>
      </c>
      <c r="BF492">
        <f t="shared" si="136"/>
        <v>0</v>
      </c>
      <c r="BG492">
        <f t="shared" si="137"/>
        <v>0</v>
      </c>
      <c r="BH492">
        <f t="shared" si="138"/>
        <v>0</v>
      </c>
      <c r="BI492">
        <f t="shared" si="139"/>
        <v>0</v>
      </c>
      <c r="BJ492">
        <f t="shared" si="140"/>
        <v>0</v>
      </c>
      <c r="BK492">
        <f t="shared" si="141"/>
        <v>0</v>
      </c>
      <c r="BL492">
        <f t="shared" si="142"/>
        <v>0</v>
      </c>
      <c r="BM492">
        <f t="shared" si="143"/>
        <v>0</v>
      </c>
      <c r="BN492">
        <f t="shared" si="144"/>
        <v>0</v>
      </c>
      <c r="BO492">
        <f t="shared" si="145"/>
        <v>0</v>
      </c>
      <c r="BP492">
        <f t="shared" si="146"/>
        <v>0</v>
      </c>
      <c r="BQ492">
        <f t="shared" si="147"/>
        <v>0</v>
      </c>
      <c r="BR492">
        <f t="shared" si="148"/>
        <v>0</v>
      </c>
      <c r="BS492">
        <f t="shared" si="149"/>
        <v>0</v>
      </c>
      <c r="BT492">
        <f t="shared" si="150"/>
        <v>0</v>
      </c>
      <c r="BU492">
        <f t="shared" si="151"/>
        <v>0</v>
      </c>
      <c r="BV492">
        <f t="shared" si="152"/>
        <v>0</v>
      </c>
      <c r="BW492">
        <f t="shared" si="153"/>
        <v>0</v>
      </c>
      <c r="CA492" t="str">
        <f>IF(293&gt;ROWS(DGArchive[模组]),"",IF(INDEX(DGArchive[模组],293)="","",INDEX(DGArchive[模组],293)))</f>
        <v/>
      </c>
      <c r="CB492" t="str">
        <f>IF(293&gt;ROWS(DGArchive[阶段]),"",IF(INDEX(DGArchive[阶段],293)="","",INDEX(DGArchive[阶段],293)))</f>
        <v/>
      </c>
      <c r="CC492" t="str">
        <f>IF(293&gt;ROWS(DGArchive[游戏内日期]),"",IF(INDEX(DGArchive[游戏内日期],293)="","",INDEX(DGArchive[游戏内日期],293)))</f>
        <v/>
      </c>
      <c r="CD492" t="str">
        <f>IF(293&gt;ROWS(DGArchive[目标]),"",IF(INDEX(DGArchive[目标],293)="","",INDEX(DGArchive[目标],293)))</f>
        <v/>
      </c>
      <c r="CE492" t="str">
        <f>IF(293&gt;ROWS(DGArchive[变更前]),"",IF(INDEX(DGArchive[变更前],293)="","",INDEX(DGArchive[变更前],293)))</f>
        <v/>
      </c>
      <c r="CF492" t="str">
        <f>IF(293&gt;ROWS(DGArchive[增减]),"",IF(INDEX(DGArchive[增减],293)="","",INDEX(DGArchive[增减],293)))</f>
        <v/>
      </c>
      <c r="CG492" t="str">
        <f>IF(293&gt;ROWS(DGArchive[变更后]),"",IF(INDEX(DGArchive[变更后],293)="","",INDEX(DGArchive[变更后],293)))</f>
        <v/>
      </c>
      <c r="CH492" t="str">
        <f>IF(293&gt;ROWS(DGArchive[事件／活动]),"",IF(INDEX(DGArchive[事件／活动],293)="","",INDEX(DGArchive[事件／活动],293)))</f>
        <v/>
      </c>
      <c r="CI492" t="str">
        <f>IF(293&gt;ROWS(DGArchive[记录编号]),"",IF(INDEX(DGArchive[记录编号],293)="","",INDEX(DGArchive[记录编号],293)))</f>
        <v/>
      </c>
      <c r="CL492">
        <f t="shared" si="134"/>
        <v>0</v>
      </c>
      <c r="CM492">
        <f>IF(AND(A492=$AO$5,B492=$AQ$3,H492=1),COUNTIFS($A$200:A492,$AO$5,$B$200:B492,$AQ$3,$H$200:H492,1),0)</f>
        <v>0</v>
      </c>
      <c r="CN492">
        <f>IF(CA492="",293,1001)</f>
        <v>293</v>
      </c>
      <c r="GA492">
        <f t="shared" si="154"/>
        <v>0</v>
      </c>
      <c r="GB492">
        <f t="shared" si="155"/>
        <v>0</v>
      </c>
      <c r="GC492">
        <f>IF(AND(C492="事件记录",H492=1),COUNTIFS($C$200:C492,"事件记录",$H$200:H492,1),0)</f>
        <v>0</v>
      </c>
      <c r="GD492">
        <f t="shared" si="135"/>
        <v>0</v>
      </c>
      <c r="GH492">
        <f>IF(AND(H492=1,A492=$GA$10,B492=$GA$11),COUNTIFS($A$200:A492,$GA$10,$B$200:B492,$GA$11,$H$200:H492,1),0)</f>
        <v>0</v>
      </c>
    </row>
    <row r="493" spans="1:190">
      <c r="A493" t="str">
        <f t="shared" si="126"/>
        <v/>
      </c>
      <c r="B493" t="str">
        <f t="shared" si="127"/>
        <v/>
      </c>
      <c r="C493" t="str">
        <f t="shared" si="128"/>
        <v/>
      </c>
      <c r="D493" t="str">
        <f t="shared" si="129"/>
        <v/>
      </c>
      <c r="E493">
        <f t="shared" si="130"/>
        <v>0</v>
      </c>
      <c r="F493" t="str">
        <f t="shared" si="131"/>
        <v/>
      </c>
      <c r="G493">
        <f t="shared" si="132"/>
        <v>0</v>
      </c>
      <c r="H493">
        <f>IF(AND(G493=1,COUNTIFS($I$200:I493,I493,$G$200:G493,1)=1),1,0)</f>
        <v>0</v>
      </c>
      <c r="I493" t="str">
        <f t="shared" si="133"/>
        <v/>
      </c>
      <c r="BF493">
        <f t="shared" si="136"/>
        <v>0</v>
      </c>
      <c r="BG493">
        <f t="shared" si="137"/>
        <v>0</v>
      </c>
      <c r="BH493">
        <f t="shared" si="138"/>
        <v>0</v>
      </c>
      <c r="BI493">
        <f t="shared" si="139"/>
        <v>0</v>
      </c>
      <c r="BJ493">
        <f t="shared" si="140"/>
        <v>0</v>
      </c>
      <c r="BK493">
        <f t="shared" si="141"/>
        <v>0</v>
      </c>
      <c r="BL493">
        <f t="shared" si="142"/>
        <v>0</v>
      </c>
      <c r="BM493">
        <f t="shared" si="143"/>
        <v>0</v>
      </c>
      <c r="BN493">
        <f t="shared" si="144"/>
        <v>0</v>
      </c>
      <c r="BO493">
        <f t="shared" si="145"/>
        <v>0</v>
      </c>
      <c r="BP493">
        <f t="shared" si="146"/>
        <v>0</v>
      </c>
      <c r="BQ493">
        <f t="shared" si="147"/>
        <v>0</v>
      </c>
      <c r="BR493">
        <f t="shared" si="148"/>
        <v>0</v>
      </c>
      <c r="BS493">
        <f t="shared" si="149"/>
        <v>0</v>
      </c>
      <c r="BT493">
        <f t="shared" si="150"/>
        <v>0</v>
      </c>
      <c r="BU493">
        <f t="shared" si="151"/>
        <v>0</v>
      </c>
      <c r="BV493">
        <f t="shared" si="152"/>
        <v>0</v>
      </c>
      <c r="BW493">
        <f t="shared" si="153"/>
        <v>0</v>
      </c>
      <c r="CA493" t="str">
        <f>IF(294&gt;ROWS(DGArchive[模组]),"",IF(INDEX(DGArchive[模组],294)="","",INDEX(DGArchive[模组],294)))</f>
        <v/>
      </c>
      <c r="CB493" t="str">
        <f>IF(294&gt;ROWS(DGArchive[阶段]),"",IF(INDEX(DGArchive[阶段],294)="","",INDEX(DGArchive[阶段],294)))</f>
        <v/>
      </c>
      <c r="CC493" t="str">
        <f>IF(294&gt;ROWS(DGArchive[游戏内日期]),"",IF(INDEX(DGArchive[游戏内日期],294)="","",INDEX(DGArchive[游戏内日期],294)))</f>
        <v/>
      </c>
      <c r="CD493" t="str">
        <f>IF(294&gt;ROWS(DGArchive[目标]),"",IF(INDEX(DGArchive[目标],294)="","",INDEX(DGArchive[目标],294)))</f>
        <v/>
      </c>
      <c r="CE493" t="str">
        <f>IF(294&gt;ROWS(DGArchive[变更前]),"",IF(INDEX(DGArchive[变更前],294)="","",INDEX(DGArchive[变更前],294)))</f>
        <v/>
      </c>
      <c r="CF493" t="str">
        <f>IF(294&gt;ROWS(DGArchive[增减]),"",IF(INDEX(DGArchive[增减],294)="","",INDEX(DGArchive[增减],294)))</f>
        <v/>
      </c>
      <c r="CG493" t="str">
        <f>IF(294&gt;ROWS(DGArchive[变更后]),"",IF(INDEX(DGArchive[变更后],294)="","",INDEX(DGArchive[变更后],294)))</f>
        <v/>
      </c>
      <c r="CH493" t="str">
        <f>IF(294&gt;ROWS(DGArchive[事件／活动]),"",IF(INDEX(DGArchive[事件／活动],294)="","",INDEX(DGArchive[事件／活动],294)))</f>
        <v/>
      </c>
      <c r="CI493" t="str">
        <f>IF(294&gt;ROWS(DGArchive[记录编号]),"",IF(INDEX(DGArchive[记录编号],294)="","",INDEX(DGArchive[记录编号],294)))</f>
        <v/>
      </c>
      <c r="CL493">
        <f t="shared" si="134"/>
        <v>0</v>
      </c>
      <c r="CM493">
        <f>IF(AND(A493=$AO$5,B493=$AQ$3,H493=1),COUNTIFS($A$200:A493,$AO$5,$B$200:B493,$AQ$3,$H$200:H493,1),0)</f>
        <v>0</v>
      </c>
      <c r="CN493">
        <f>IF(CA493="",294,1001)</f>
        <v>294</v>
      </c>
      <c r="GA493">
        <f t="shared" si="154"/>
        <v>0</v>
      </c>
      <c r="GB493">
        <f t="shared" si="155"/>
        <v>0</v>
      </c>
      <c r="GC493">
        <f>IF(AND(C493="事件记录",H493=1),COUNTIFS($C$200:C493,"事件记录",$H$200:H493,1),0)</f>
        <v>0</v>
      </c>
      <c r="GD493">
        <f t="shared" si="135"/>
        <v>0</v>
      </c>
      <c r="GH493">
        <f>IF(AND(H493=1,A493=$GA$10,B493=$GA$11),COUNTIFS($A$200:A493,$GA$10,$B$200:B493,$GA$11,$H$200:H493,1),0)</f>
        <v>0</v>
      </c>
    </row>
    <row r="494" spans="1:190">
      <c r="A494" t="str">
        <f t="shared" si="126"/>
        <v/>
      </c>
      <c r="B494" t="str">
        <f t="shared" si="127"/>
        <v/>
      </c>
      <c r="C494" t="str">
        <f t="shared" si="128"/>
        <v/>
      </c>
      <c r="D494" t="str">
        <f t="shared" si="129"/>
        <v/>
      </c>
      <c r="E494">
        <f t="shared" si="130"/>
        <v>0</v>
      </c>
      <c r="F494" t="str">
        <f t="shared" si="131"/>
        <v/>
      </c>
      <c r="G494">
        <f t="shared" si="132"/>
        <v>0</v>
      </c>
      <c r="H494">
        <f>IF(AND(G494=1,COUNTIFS($I$200:I494,I494,$G$200:G494,1)=1),1,0)</f>
        <v>0</v>
      </c>
      <c r="I494" t="str">
        <f t="shared" si="133"/>
        <v/>
      </c>
      <c r="BF494">
        <f t="shared" si="136"/>
        <v>0</v>
      </c>
      <c r="BG494">
        <f t="shared" si="137"/>
        <v>0</v>
      </c>
      <c r="BH494">
        <f t="shared" si="138"/>
        <v>0</v>
      </c>
      <c r="BI494">
        <f t="shared" si="139"/>
        <v>0</v>
      </c>
      <c r="BJ494">
        <f t="shared" si="140"/>
        <v>0</v>
      </c>
      <c r="BK494">
        <f t="shared" si="141"/>
        <v>0</v>
      </c>
      <c r="BL494">
        <f t="shared" si="142"/>
        <v>0</v>
      </c>
      <c r="BM494">
        <f t="shared" si="143"/>
        <v>0</v>
      </c>
      <c r="BN494">
        <f t="shared" si="144"/>
        <v>0</v>
      </c>
      <c r="BO494">
        <f t="shared" si="145"/>
        <v>0</v>
      </c>
      <c r="BP494">
        <f t="shared" si="146"/>
        <v>0</v>
      </c>
      <c r="BQ494">
        <f t="shared" si="147"/>
        <v>0</v>
      </c>
      <c r="BR494">
        <f t="shared" si="148"/>
        <v>0</v>
      </c>
      <c r="BS494">
        <f t="shared" si="149"/>
        <v>0</v>
      </c>
      <c r="BT494">
        <f t="shared" si="150"/>
        <v>0</v>
      </c>
      <c r="BU494">
        <f t="shared" si="151"/>
        <v>0</v>
      </c>
      <c r="BV494">
        <f t="shared" si="152"/>
        <v>0</v>
      </c>
      <c r="BW494">
        <f t="shared" si="153"/>
        <v>0</v>
      </c>
      <c r="CA494" t="str">
        <f>IF(295&gt;ROWS(DGArchive[模组]),"",IF(INDEX(DGArchive[模组],295)="","",INDEX(DGArchive[模组],295)))</f>
        <v/>
      </c>
      <c r="CB494" t="str">
        <f>IF(295&gt;ROWS(DGArchive[阶段]),"",IF(INDEX(DGArchive[阶段],295)="","",INDEX(DGArchive[阶段],295)))</f>
        <v/>
      </c>
      <c r="CC494" t="str">
        <f>IF(295&gt;ROWS(DGArchive[游戏内日期]),"",IF(INDEX(DGArchive[游戏内日期],295)="","",INDEX(DGArchive[游戏内日期],295)))</f>
        <v/>
      </c>
      <c r="CD494" t="str">
        <f>IF(295&gt;ROWS(DGArchive[目标]),"",IF(INDEX(DGArchive[目标],295)="","",INDEX(DGArchive[目标],295)))</f>
        <v/>
      </c>
      <c r="CE494" t="str">
        <f>IF(295&gt;ROWS(DGArchive[变更前]),"",IF(INDEX(DGArchive[变更前],295)="","",INDEX(DGArchive[变更前],295)))</f>
        <v/>
      </c>
      <c r="CF494" t="str">
        <f>IF(295&gt;ROWS(DGArchive[增减]),"",IF(INDEX(DGArchive[增减],295)="","",INDEX(DGArchive[增减],295)))</f>
        <v/>
      </c>
      <c r="CG494" t="str">
        <f>IF(295&gt;ROWS(DGArchive[变更后]),"",IF(INDEX(DGArchive[变更后],295)="","",INDEX(DGArchive[变更后],295)))</f>
        <v/>
      </c>
      <c r="CH494" t="str">
        <f>IF(295&gt;ROWS(DGArchive[事件／活动]),"",IF(INDEX(DGArchive[事件／活动],295)="","",INDEX(DGArchive[事件／活动],295)))</f>
        <v/>
      </c>
      <c r="CI494" t="str">
        <f>IF(295&gt;ROWS(DGArchive[记录编号]),"",IF(INDEX(DGArchive[记录编号],295)="","",INDEX(DGArchive[记录编号],295)))</f>
        <v/>
      </c>
      <c r="CL494">
        <f t="shared" si="134"/>
        <v>0</v>
      </c>
      <c r="CM494">
        <f>IF(AND(A494=$AO$5,B494=$AQ$3,H494=1),COUNTIFS($A$200:A494,$AO$5,$B$200:B494,$AQ$3,$H$200:H494,1),0)</f>
        <v>0</v>
      </c>
      <c r="CN494">
        <f>IF(CA494="",295,1001)</f>
        <v>295</v>
      </c>
      <c r="GA494">
        <f t="shared" si="154"/>
        <v>0</v>
      </c>
      <c r="GB494">
        <f t="shared" si="155"/>
        <v>0</v>
      </c>
      <c r="GC494">
        <f>IF(AND(C494="事件记录",H494=1),COUNTIFS($C$200:C494,"事件记录",$H$200:H494,1),0)</f>
        <v>0</v>
      </c>
      <c r="GD494">
        <f t="shared" si="135"/>
        <v>0</v>
      </c>
      <c r="GH494">
        <f>IF(AND(H494=1,A494=$GA$10,B494=$GA$11),COUNTIFS($A$200:A494,$GA$10,$B$200:B494,$GA$11,$H$200:H494,1),0)</f>
        <v>0</v>
      </c>
    </row>
    <row r="495" spans="1:190">
      <c r="A495" t="str">
        <f t="shared" si="126"/>
        <v/>
      </c>
      <c r="B495" t="str">
        <f t="shared" si="127"/>
        <v/>
      </c>
      <c r="C495" t="str">
        <f t="shared" si="128"/>
        <v/>
      </c>
      <c r="D495" t="str">
        <f t="shared" si="129"/>
        <v/>
      </c>
      <c r="E495">
        <f t="shared" si="130"/>
        <v>0</v>
      </c>
      <c r="F495" t="str">
        <f t="shared" si="131"/>
        <v/>
      </c>
      <c r="G495">
        <f t="shared" si="132"/>
        <v>0</v>
      </c>
      <c r="H495">
        <f>IF(AND(G495=1,COUNTIFS($I$200:I495,I495,$G$200:G495,1)=1),1,0)</f>
        <v>0</v>
      </c>
      <c r="I495" t="str">
        <f t="shared" si="133"/>
        <v/>
      </c>
      <c r="BF495">
        <f t="shared" si="136"/>
        <v>0</v>
      </c>
      <c r="BG495">
        <f t="shared" si="137"/>
        <v>0</v>
      </c>
      <c r="BH495">
        <f t="shared" si="138"/>
        <v>0</v>
      </c>
      <c r="BI495">
        <f t="shared" si="139"/>
        <v>0</v>
      </c>
      <c r="BJ495">
        <f t="shared" si="140"/>
        <v>0</v>
      </c>
      <c r="BK495">
        <f t="shared" si="141"/>
        <v>0</v>
      </c>
      <c r="BL495">
        <f t="shared" si="142"/>
        <v>0</v>
      </c>
      <c r="BM495">
        <f t="shared" si="143"/>
        <v>0</v>
      </c>
      <c r="BN495">
        <f t="shared" si="144"/>
        <v>0</v>
      </c>
      <c r="BO495">
        <f t="shared" si="145"/>
        <v>0</v>
      </c>
      <c r="BP495">
        <f t="shared" si="146"/>
        <v>0</v>
      </c>
      <c r="BQ495">
        <f t="shared" si="147"/>
        <v>0</v>
      </c>
      <c r="BR495">
        <f t="shared" si="148"/>
        <v>0</v>
      </c>
      <c r="BS495">
        <f t="shared" si="149"/>
        <v>0</v>
      </c>
      <c r="BT495">
        <f t="shared" si="150"/>
        <v>0</v>
      </c>
      <c r="BU495">
        <f t="shared" si="151"/>
        <v>0</v>
      </c>
      <c r="BV495">
        <f t="shared" si="152"/>
        <v>0</v>
      </c>
      <c r="BW495">
        <f t="shared" si="153"/>
        <v>0</v>
      </c>
      <c r="CA495" t="str">
        <f>IF(296&gt;ROWS(DGArchive[模组]),"",IF(INDEX(DGArchive[模组],296)="","",INDEX(DGArchive[模组],296)))</f>
        <v/>
      </c>
      <c r="CB495" t="str">
        <f>IF(296&gt;ROWS(DGArchive[阶段]),"",IF(INDEX(DGArchive[阶段],296)="","",INDEX(DGArchive[阶段],296)))</f>
        <v/>
      </c>
      <c r="CC495" t="str">
        <f>IF(296&gt;ROWS(DGArchive[游戏内日期]),"",IF(INDEX(DGArchive[游戏内日期],296)="","",INDEX(DGArchive[游戏内日期],296)))</f>
        <v/>
      </c>
      <c r="CD495" t="str">
        <f>IF(296&gt;ROWS(DGArchive[目标]),"",IF(INDEX(DGArchive[目标],296)="","",INDEX(DGArchive[目标],296)))</f>
        <v/>
      </c>
      <c r="CE495" t="str">
        <f>IF(296&gt;ROWS(DGArchive[变更前]),"",IF(INDEX(DGArchive[变更前],296)="","",INDEX(DGArchive[变更前],296)))</f>
        <v/>
      </c>
      <c r="CF495" t="str">
        <f>IF(296&gt;ROWS(DGArchive[增减]),"",IF(INDEX(DGArchive[增减],296)="","",INDEX(DGArchive[增减],296)))</f>
        <v/>
      </c>
      <c r="CG495" t="str">
        <f>IF(296&gt;ROWS(DGArchive[变更后]),"",IF(INDEX(DGArchive[变更后],296)="","",INDEX(DGArchive[变更后],296)))</f>
        <v/>
      </c>
      <c r="CH495" t="str">
        <f>IF(296&gt;ROWS(DGArchive[事件／活动]),"",IF(INDEX(DGArchive[事件／活动],296)="","",INDEX(DGArchive[事件／活动],296)))</f>
        <v/>
      </c>
      <c r="CI495" t="str">
        <f>IF(296&gt;ROWS(DGArchive[记录编号]),"",IF(INDEX(DGArchive[记录编号],296)="","",INDEX(DGArchive[记录编号],296)))</f>
        <v/>
      </c>
      <c r="CL495">
        <f t="shared" si="134"/>
        <v>0</v>
      </c>
      <c r="CM495">
        <f>IF(AND(A495=$AO$5,B495=$AQ$3,H495=1),COUNTIFS($A$200:A495,$AO$5,$B$200:B495,$AQ$3,$H$200:H495,1),0)</f>
        <v>0</v>
      </c>
      <c r="CN495">
        <f>IF(CA495="",296,1001)</f>
        <v>296</v>
      </c>
      <c r="GA495">
        <f t="shared" si="154"/>
        <v>0</v>
      </c>
      <c r="GB495">
        <f t="shared" si="155"/>
        <v>0</v>
      </c>
      <c r="GC495">
        <f>IF(AND(C495="事件记录",H495=1),COUNTIFS($C$200:C495,"事件记录",$H$200:H495,1),0)</f>
        <v>0</v>
      </c>
      <c r="GD495">
        <f t="shared" si="135"/>
        <v>0</v>
      </c>
      <c r="GH495">
        <f>IF(AND(H495=1,A495=$GA$10,B495=$GA$11),COUNTIFS($A$200:A495,$GA$10,$B$200:B495,$GA$11,$H$200:H495,1),0)</f>
        <v>0</v>
      </c>
    </row>
    <row r="496" spans="1:190">
      <c r="A496" t="str">
        <f t="shared" si="126"/>
        <v/>
      </c>
      <c r="B496" t="str">
        <f t="shared" si="127"/>
        <v/>
      </c>
      <c r="C496" t="str">
        <f t="shared" si="128"/>
        <v/>
      </c>
      <c r="D496" t="str">
        <f t="shared" si="129"/>
        <v/>
      </c>
      <c r="E496">
        <f t="shared" si="130"/>
        <v>0</v>
      </c>
      <c r="F496" t="str">
        <f t="shared" si="131"/>
        <v/>
      </c>
      <c r="G496">
        <f t="shared" si="132"/>
        <v>0</v>
      </c>
      <c r="H496">
        <f>IF(AND(G496=1,COUNTIFS($I$200:I496,I496,$G$200:G496,1)=1),1,0)</f>
        <v>0</v>
      </c>
      <c r="I496" t="str">
        <f t="shared" si="133"/>
        <v/>
      </c>
      <c r="BF496">
        <f t="shared" si="136"/>
        <v>0</v>
      </c>
      <c r="BG496">
        <f t="shared" si="137"/>
        <v>0</v>
      </c>
      <c r="BH496">
        <f t="shared" si="138"/>
        <v>0</v>
      </c>
      <c r="BI496">
        <f t="shared" si="139"/>
        <v>0</v>
      </c>
      <c r="BJ496">
        <f t="shared" si="140"/>
        <v>0</v>
      </c>
      <c r="BK496">
        <f t="shared" si="141"/>
        <v>0</v>
      </c>
      <c r="BL496">
        <f t="shared" si="142"/>
        <v>0</v>
      </c>
      <c r="BM496">
        <f t="shared" si="143"/>
        <v>0</v>
      </c>
      <c r="BN496">
        <f t="shared" si="144"/>
        <v>0</v>
      </c>
      <c r="BO496">
        <f t="shared" si="145"/>
        <v>0</v>
      </c>
      <c r="BP496">
        <f t="shared" si="146"/>
        <v>0</v>
      </c>
      <c r="BQ496">
        <f t="shared" si="147"/>
        <v>0</v>
      </c>
      <c r="BR496">
        <f t="shared" si="148"/>
        <v>0</v>
      </c>
      <c r="BS496">
        <f t="shared" si="149"/>
        <v>0</v>
      </c>
      <c r="BT496">
        <f t="shared" si="150"/>
        <v>0</v>
      </c>
      <c r="BU496">
        <f t="shared" si="151"/>
        <v>0</v>
      </c>
      <c r="BV496">
        <f t="shared" si="152"/>
        <v>0</v>
      </c>
      <c r="BW496">
        <f t="shared" si="153"/>
        <v>0</v>
      </c>
      <c r="CA496" t="str">
        <f>IF(297&gt;ROWS(DGArchive[模组]),"",IF(INDEX(DGArchive[模组],297)="","",INDEX(DGArchive[模组],297)))</f>
        <v/>
      </c>
      <c r="CB496" t="str">
        <f>IF(297&gt;ROWS(DGArchive[阶段]),"",IF(INDEX(DGArchive[阶段],297)="","",INDEX(DGArchive[阶段],297)))</f>
        <v/>
      </c>
      <c r="CC496" t="str">
        <f>IF(297&gt;ROWS(DGArchive[游戏内日期]),"",IF(INDEX(DGArchive[游戏内日期],297)="","",INDEX(DGArchive[游戏内日期],297)))</f>
        <v/>
      </c>
      <c r="CD496" t="str">
        <f>IF(297&gt;ROWS(DGArchive[目标]),"",IF(INDEX(DGArchive[目标],297)="","",INDEX(DGArchive[目标],297)))</f>
        <v/>
      </c>
      <c r="CE496" t="str">
        <f>IF(297&gt;ROWS(DGArchive[变更前]),"",IF(INDEX(DGArchive[变更前],297)="","",INDEX(DGArchive[变更前],297)))</f>
        <v/>
      </c>
      <c r="CF496" t="str">
        <f>IF(297&gt;ROWS(DGArchive[增减]),"",IF(INDEX(DGArchive[增减],297)="","",INDEX(DGArchive[增减],297)))</f>
        <v/>
      </c>
      <c r="CG496" t="str">
        <f>IF(297&gt;ROWS(DGArchive[变更后]),"",IF(INDEX(DGArchive[变更后],297)="","",INDEX(DGArchive[变更后],297)))</f>
        <v/>
      </c>
      <c r="CH496" t="str">
        <f>IF(297&gt;ROWS(DGArchive[事件／活动]),"",IF(INDEX(DGArchive[事件／活动],297)="","",INDEX(DGArchive[事件／活动],297)))</f>
        <v/>
      </c>
      <c r="CI496" t="str">
        <f>IF(297&gt;ROWS(DGArchive[记录编号]),"",IF(INDEX(DGArchive[记录编号],297)="","",INDEX(DGArchive[记录编号],297)))</f>
        <v/>
      </c>
      <c r="CL496">
        <f t="shared" si="134"/>
        <v>0</v>
      </c>
      <c r="CM496">
        <f>IF(AND(A496=$AO$5,B496=$AQ$3,H496=1),COUNTIFS($A$200:A496,$AO$5,$B$200:B496,$AQ$3,$H$200:H496,1),0)</f>
        <v>0</v>
      </c>
      <c r="CN496">
        <f>IF(CA496="",297,1001)</f>
        <v>297</v>
      </c>
      <c r="GA496">
        <f t="shared" si="154"/>
        <v>0</v>
      </c>
      <c r="GB496">
        <f t="shared" si="155"/>
        <v>0</v>
      </c>
      <c r="GC496">
        <f>IF(AND(C496="事件记录",H496=1),COUNTIFS($C$200:C496,"事件记录",$H$200:H496,1),0)</f>
        <v>0</v>
      </c>
      <c r="GD496">
        <f t="shared" si="135"/>
        <v>0</v>
      </c>
      <c r="GH496">
        <f>IF(AND(H496=1,A496=$GA$10,B496=$GA$11),COUNTIFS($A$200:A496,$GA$10,$B$200:B496,$GA$11,$H$200:H496,1),0)</f>
        <v>0</v>
      </c>
    </row>
    <row r="497" spans="1:190">
      <c r="A497" t="str">
        <f t="shared" si="126"/>
        <v/>
      </c>
      <c r="B497" t="str">
        <f t="shared" si="127"/>
        <v/>
      </c>
      <c r="C497" t="str">
        <f t="shared" si="128"/>
        <v/>
      </c>
      <c r="D497" t="str">
        <f t="shared" si="129"/>
        <v/>
      </c>
      <c r="E497">
        <f t="shared" si="130"/>
        <v>0</v>
      </c>
      <c r="F497" t="str">
        <f t="shared" si="131"/>
        <v/>
      </c>
      <c r="G497">
        <f t="shared" si="132"/>
        <v>0</v>
      </c>
      <c r="H497">
        <f>IF(AND(G497=1,COUNTIFS($I$200:I497,I497,$G$200:G497,1)=1),1,0)</f>
        <v>0</v>
      </c>
      <c r="I497" t="str">
        <f t="shared" si="133"/>
        <v/>
      </c>
      <c r="BF497">
        <f t="shared" si="136"/>
        <v>0</v>
      </c>
      <c r="BG497">
        <f t="shared" si="137"/>
        <v>0</v>
      </c>
      <c r="BH497">
        <f t="shared" si="138"/>
        <v>0</v>
      </c>
      <c r="BI497">
        <f t="shared" si="139"/>
        <v>0</v>
      </c>
      <c r="BJ497">
        <f t="shared" si="140"/>
        <v>0</v>
      </c>
      <c r="BK497">
        <f t="shared" si="141"/>
        <v>0</v>
      </c>
      <c r="BL497">
        <f t="shared" si="142"/>
        <v>0</v>
      </c>
      <c r="BM497">
        <f t="shared" si="143"/>
        <v>0</v>
      </c>
      <c r="BN497">
        <f t="shared" si="144"/>
        <v>0</v>
      </c>
      <c r="BO497">
        <f t="shared" si="145"/>
        <v>0</v>
      </c>
      <c r="BP497">
        <f t="shared" si="146"/>
        <v>0</v>
      </c>
      <c r="BQ497">
        <f t="shared" si="147"/>
        <v>0</v>
      </c>
      <c r="BR497">
        <f t="shared" si="148"/>
        <v>0</v>
      </c>
      <c r="BS497">
        <f t="shared" si="149"/>
        <v>0</v>
      </c>
      <c r="BT497">
        <f t="shared" si="150"/>
        <v>0</v>
      </c>
      <c r="BU497">
        <f t="shared" si="151"/>
        <v>0</v>
      </c>
      <c r="BV497">
        <f t="shared" si="152"/>
        <v>0</v>
      </c>
      <c r="BW497">
        <f t="shared" si="153"/>
        <v>0</v>
      </c>
      <c r="CA497" t="str">
        <f>IF(298&gt;ROWS(DGArchive[模组]),"",IF(INDEX(DGArchive[模组],298)="","",INDEX(DGArchive[模组],298)))</f>
        <v/>
      </c>
      <c r="CB497" t="str">
        <f>IF(298&gt;ROWS(DGArchive[阶段]),"",IF(INDEX(DGArchive[阶段],298)="","",INDEX(DGArchive[阶段],298)))</f>
        <v/>
      </c>
      <c r="CC497" t="str">
        <f>IF(298&gt;ROWS(DGArchive[游戏内日期]),"",IF(INDEX(DGArchive[游戏内日期],298)="","",INDEX(DGArchive[游戏内日期],298)))</f>
        <v/>
      </c>
      <c r="CD497" t="str">
        <f>IF(298&gt;ROWS(DGArchive[目标]),"",IF(INDEX(DGArchive[目标],298)="","",INDEX(DGArchive[目标],298)))</f>
        <v/>
      </c>
      <c r="CE497" t="str">
        <f>IF(298&gt;ROWS(DGArchive[变更前]),"",IF(INDEX(DGArchive[变更前],298)="","",INDEX(DGArchive[变更前],298)))</f>
        <v/>
      </c>
      <c r="CF497" t="str">
        <f>IF(298&gt;ROWS(DGArchive[增减]),"",IF(INDEX(DGArchive[增减],298)="","",INDEX(DGArchive[增减],298)))</f>
        <v/>
      </c>
      <c r="CG497" t="str">
        <f>IF(298&gt;ROWS(DGArchive[变更后]),"",IF(INDEX(DGArchive[变更后],298)="","",INDEX(DGArchive[变更后],298)))</f>
        <v/>
      </c>
      <c r="CH497" t="str">
        <f>IF(298&gt;ROWS(DGArchive[事件／活动]),"",IF(INDEX(DGArchive[事件／活动],298)="","",INDEX(DGArchive[事件／活动],298)))</f>
        <v/>
      </c>
      <c r="CI497" t="str">
        <f>IF(298&gt;ROWS(DGArchive[记录编号]),"",IF(INDEX(DGArchive[记录编号],298)="","",INDEX(DGArchive[记录编号],298)))</f>
        <v/>
      </c>
      <c r="CL497">
        <f t="shared" si="134"/>
        <v>0</v>
      </c>
      <c r="CM497">
        <f>IF(AND(A497=$AO$5,B497=$AQ$3,H497=1),COUNTIFS($A$200:A497,$AO$5,$B$200:B497,$AQ$3,$H$200:H497,1),0)</f>
        <v>0</v>
      </c>
      <c r="CN497">
        <f>IF(CA497="",298,1001)</f>
        <v>298</v>
      </c>
      <c r="GA497">
        <f t="shared" si="154"/>
        <v>0</v>
      </c>
      <c r="GB497">
        <f t="shared" si="155"/>
        <v>0</v>
      </c>
      <c r="GC497">
        <f>IF(AND(C497="事件记录",H497=1),COUNTIFS($C$200:C497,"事件记录",$H$200:H497,1),0)</f>
        <v>0</v>
      </c>
      <c r="GD497">
        <f t="shared" si="135"/>
        <v>0</v>
      </c>
      <c r="GH497">
        <f>IF(AND(H497=1,A497=$GA$10,B497=$GA$11),COUNTIFS($A$200:A497,$GA$10,$B$200:B497,$GA$11,$H$200:H497,1),0)</f>
        <v>0</v>
      </c>
    </row>
    <row r="498" spans="1:190">
      <c r="A498" t="str">
        <f t="shared" si="126"/>
        <v/>
      </c>
      <c r="B498" t="str">
        <f t="shared" si="127"/>
        <v/>
      </c>
      <c r="C498" t="str">
        <f t="shared" si="128"/>
        <v/>
      </c>
      <c r="D498" t="str">
        <f t="shared" si="129"/>
        <v/>
      </c>
      <c r="E498">
        <f t="shared" si="130"/>
        <v>0</v>
      </c>
      <c r="F498" t="str">
        <f t="shared" si="131"/>
        <v/>
      </c>
      <c r="G498">
        <f t="shared" si="132"/>
        <v>0</v>
      </c>
      <c r="H498">
        <f>IF(AND(G498=1,COUNTIFS($I$200:I498,I498,$G$200:G498,1)=1),1,0)</f>
        <v>0</v>
      </c>
      <c r="I498" t="str">
        <f t="shared" si="133"/>
        <v/>
      </c>
      <c r="BF498">
        <f t="shared" si="136"/>
        <v>0</v>
      </c>
      <c r="BG498">
        <f t="shared" si="137"/>
        <v>0</v>
      </c>
      <c r="BH498">
        <f t="shared" si="138"/>
        <v>0</v>
      </c>
      <c r="BI498">
        <f t="shared" si="139"/>
        <v>0</v>
      </c>
      <c r="BJ498">
        <f t="shared" si="140"/>
        <v>0</v>
      </c>
      <c r="BK498">
        <f t="shared" si="141"/>
        <v>0</v>
      </c>
      <c r="BL498">
        <f t="shared" si="142"/>
        <v>0</v>
      </c>
      <c r="BM498">
        <f t="shared" si="143"/>
        <v>0</v>
      </c>
      <c r="BN498">
        <f t="shared" si="144"/>
        <v>0</v>
      </c>
      <c r="BO498">
        <f t="shared" si="145"/>
        <v>0</v>
      </c>
      <c r="BP498">
        <f t="shared" si="146"/>
        <v>0</v>
      </c>
      <c r="BQ498">
        <f t="shared" si="147"/>
        <v>0</v>
      </c>
      <c r="BR498">
        <f t="shared" si="148"/>
        <v>0</v>
      </c>
      <c r="BS498">
        <f t="shared" si="149"/>
        <v>0</v>
      </c>
      <c r="BT498">
        <f t="shared" si="150"/>
        <v>0</v>
      </c>
      <c r="BU498">
        <f t="shared" si="151"/>
        <v>0</v>
      </c>
      <c r="BV498">
        <f t="shared" si="152"/>
        <v>0</v>
      </c>
      <c r="BW498">
        <f t="shared" si="153"/>
        <v>0</v>
      </c>
      <c r="CA498" t="str">
        <f>IF(299&gt;ROWS(DGArchive[模组]),"",IF(INDEX(DGArchive[模组],299)="","",INDEX(DGArchive[模组],299)))</f>
        <v/>
      </c>
      <c r="CB498" t="str">
        <f>IF(299&gt;ROWS(DGArchive[阶段]),"",IF(INDEX(DGArchive[阶段],299)="","",INDEX(DGArchive[阶段],299)))</f>
        <v/>
      </c>
      <c r="CC498" t="str">
        <f>IF(299&gt;ROWS(DGArchive[游戏内日期]),"",IF(INDEX(DGArchive[游戏内日期],299)="","",INDEX(DGArchive[游戏内日期],299)))</f>
        <v/>
      </c>
      <c r="CD498" t="str">
        <f>IF(299&gt;ROWS(DGArchive[目标]),"",IF(INDEX(DGArchive[目标],299)="","",INDEX(DGArchive[目标],299)))</f>
        <v/>
      </c>
      <c r="CE498" t="str">
        <f>IF(299&gt;ROWS(DGArchive[变更前]),"",IF(INDEX(DGArchive[变更前],299)="","",INDEX(DGArchive[变更前],299)))</f>
        <v/>
      </c>
      <c r="CF498" t="str">
        <f>IF(299&gt;ROWS(DGArchive[增减]),"",IF(INDEX(DGArchive[增减],299)="","",INDEX(DGArchive[增减],299)))</f>
        <v/>
      </c>
      <c r="CG498" t="str">
        <f>IF(299&gt;ROWS(DGArchive[变更后]),"",IF(INDEX(DGArchive[变更后],299)="","",INDEX(DGArchive[变更后],299)))</f>
        <v/>
      </c>
      <c r="CH498" t="str">
        <f>IF(299&gt;ROWS(DGArchive[事件／活动]),"",IF(INDEX(DGArchive[事件／活动],299)="","",INDEX(DGArchive[事件／活动],299)))</f>
        <v/>
      </c>
      <c r="CI498" t="str">
        <f>IF(299&gt;ROWS(DGArchive[记录编号]),"",IF(INDEX(DGArchive[记录编号],299)="","",INDEX(DGArchive[记录编号],299)))</f>
        <v/>
      </c>
      <c r="CL498">
        <f t="shared" si="134"/>
        <v>0</v>
      </c>
      <c r="CM498">
        <f>IF(AND(A498=$AO$5,B498=$AQ$3,H498=1),COUNTIFS($A$200:A498,$AO$5,$B$200:B498,$AQ$3,$H$200:H498,1),0)</f>
        <v>0</v>
      </c>
      <c r="CN498">
        <f>IF(CA498="",299,1001)</f>
        <v>299</v>
      </c>
      <c r="GA498">
        <f t="shared" si="154"/>
        <v>0</v>
      </c>
      <c r="GB498">
        <f t="shared" si="155"/>
        <v>0</v>
      </c>
      <c r="GC498">
        <f>IF(AND(C498="事件记录",H498=1),COUNTIFS($C$200:C498,"事件记录",$H$200:H498,1),0)</f>
        <v>0</v>
      </c>
      <c r="GD498">
        <f t="shared" si="135"/>
        <v>0</v>
      </c>
      <c r="GH498">
        <f>IF(AND(H498=1,A498=$GA$10,B498=$GA$11),COUNTIFS($A$200:A498,$GA$10,$B$200:B498,$GA$11,$H$200:H498,1),0)</f>
        <v>0</v>
      </c>
    </row>
    <row r="499" spans="1:190">
      <c r="A499" t="str">
        <f t="shared" si="126"/>
        <v/>
      </c>
      <c r="B499" t="str">
        <f t="shared" si="127"/>
        <v/>
      </c>
      <c r="C499" t="str">
        <f t="shared" si="128"/>
        <v/>
      </c>
      <c r="D499" t="str">
        <f t="shared" si="129"/>
        <v/>
      </c>
      <c r="E499">
        <f t="shared" si="130"/>
        <v>0</v>
      </c>
      <c r="F499" t="str">
        <f t="shared" si="131"/>
        <v/>
      </c>
      <c r="G499">
        <f t="shared" si="132"/>
        <v>0</v>
      </c>
      <c r="H499">
        <f>IF(AND(G499=1,COUNTIFS($I$200:I499,I499,$G$200:G499,1)=1),1,0)</f>
        <v>0</v>
      </c>
      <c r="I499" t="str">
        <f t="shared" si="133"/>
        <v/>
      </c>
      <c r="BF499">
        <f t="shared" si="136"/>
        <v>0</v>
      </c>
      <c r="BG499">
        <f t="shared" si="137"/>
        <v>0</v>
      </c>
      <c r="BH499">
        <f t="shared" si="138"/>
        <v>0</v>
      </c>
      <c r="BI499">
        <f t="shared" si="139"/>
        <v>0</v>
      </c>
      <c r="BJ499">
        <f t="shared" si="140"/>
        <v>0</v>
      </c>
      <c r="BK499">
        <f t="shared" si="141"/>
        <v>0</v>
      </c>
      <c r="BL499">
        <f t="shared" si="142"/>
        <v>0</v>
      </c>
      <c r="BM499">
        <f t="shared" si="143"/>
        <v>0</v>
      </c>
      <c r="BN499">
        <f t="shared" si="144"/>
        <v>0</v>
      </c>
      <c r="BO499">
        <f t="shared" si="145"/>
        <v>0</v>
      </c>
      <c r="BP499">
        <f t="shared" si="146"/>
        <v>0</v>
      </c>
      <c r="BQ499">
        <f t="shared" si="147"/>
        <v>0</v>
      </c>
      <c r="BR499">
        <f t="shared" si="148"/>
        <v>0</v>
      </c>
      <c r="BS499">
        <f t="shared" si="149"/>
        <v>0</v>
      </c>
      <c r="BT499">
        <f t="shared" si="150"/>
        <v>0</v>
      </c>
      <c r="BU499">
        <f t="shared" si="151"/>
        <v>0</v>
      </c>
      <c r="BV499">
        <f t="shared" si="152"/>
        <v>0</v>
      </c>
      <c r="BW499">
        <f t="shared" si="153"/>
        <v>0</v>
      </c>
      <c r="CA499" t="str">
        <f>IF(300&gt;ROWS(DGArchive[模组]),"",IF(INDEX(DGArchive[模组],300)="","",INDEX(DGArchive[模组],300)))</f>
        <v/>
      </c>
      <c r="CB499" t="str">
        <f>IF(300&gt;ROWS(DGArchive[阶段]),"",IF(INDEX(DGArchive[阶段],300)="","",INDEX(DGArchive[阶段],300)))</f>
        <v/>
      </c>
      <c r="CC499" t="str">
        <f>IF(300&gt;ROWS(DGArchive[游戏内日期]),"",IF(INDEX(DGArchive[游戏内日期],300)="","",INDEX(DGArchive[游戏内日期],300)))</f>
        <v/>
      </c>
      <c r="CD499" t="str">
        <f>IF(300&gt;ROWS(DGArchive[目标]),"",IF(INDEX(DGArchive[目标],300)="","",INDEX(DGArchive[目标],300)))</f>
        <v/>
      </c>
      <c r="CE499" t="str">
        <f>IF(300&gt;ROWS(DGArchive[变更前]),"",IF(INDEX(DGArchive[变更前],300)="","",INDEX(DGArchive[变更前],300)))</f>
        <v/>
      </c>
      <c r="CF499" t="str">
        <f>IF(300&gt;ROWS(DGArchive[增减]),"",IF(INDEX(DGArchive[增减],300)="","",INDEX(DGArchive[增减],300)))</f>
        <v/>
      </c>
      <c r="CG499" t="str">
        <f>IF(300&gt;ROWS(DGArchive[变更后]),"",IF(INDEX(DGArchive[变更后],300)="","",INDEX(DGArchive[变更后],300)))</f>
        <v/>
      </c>
      <c r="CH499" t="str">
        <f>IF(300&gt;ROWS(DGArchive[事件／活动]),"",IF(INDEX(DGArchive[事件／活动],300)="","",INDEX(DGArchive[事件／活动],300)))</f>
        <v/>
      </c>
      <c r="CI499" t="str">
        <f>IF(300&gt;ROWS(DGArchive[记录编号]),"",IF(INDEX(DGArchive[记录编号],300)="","",INDEX(DGArchive[记录编号],300)))</f>
        <v/>
      </c>
      <c r="CL499">
        <f t="shared" si="134"/>
        <v>0</v>
      </c>
      <c r="CM499">
        <f>IF(AND(A499=$AO$5,B499=$AQ$3,H499=1),COUNTIFS($A$200:A499,$AO$5,$B$200:B499,$AQ$3,$H$200:H499,1),0)</f>
        <v>0</v>
      </c>
      <c r="CN499">
        <f>IF(CA499="",300,1001)</f>
        <v>300</v>
      </c>
      <c r="GA499">
        <f t="shared" si="154"/>
        <v>0</v>
      </c>
      <c r="GB499">
        <f t="shared" si="155"/>
        <v>0</v>
      </c>
      <c r="GC499">
        <f>IF(AND(C499="事件记录",H499=1),COUNTIFS($C$200:C499,"事件记录",$H$200:H499,1),0)</f>
        <v>0</v>
      </c>
      <c r="GD499">
        <f t="shared" si="135"/>
        <v>0</v>
      </c>
      <c r="GH499">
        <f>IF(AND(H499=1,A499=$GA$10,B499=$GA$11),COUNTIFS($A$200:A499,$GA$10,$B$200:B499,$GA$11,$H$200:H499,1),0)</f>
        <v>0</v>
      </c>
    </row>
    <row r="500" spans="1:190">
      <c r="A500" t="str">
        <f t="shared" si="126"/>
        <v/>
      </c>
      <c r="B500" t="str">
        <f t="shared" si="127"/>
        <v/>
      </c>
      <c r="C500" t="str">
        <f t="shared" si="128"/>
        <v/>
      </c>
      <c r="D500" t="str">
        <f t="shared" si="129"/>
        <v/>
      </c>
      <c r="E500">
        <f t="shared" si="130"/>
        <v>0</v>
      </c>
      <c r="F500" t="str">
        <f t="shared" si="131"/>
        <v/>
      </c>
      <c r="G500">
        <f t="shared" si="132"/>
        <v>0</v>
      </c>
      <c r="H500">
        <f>IF(AND(G500=1,COUNTIFS($I$200:I500,I500,$G$200:G500,1)=1),1,0)</f>
        <v>0</v>
      </c>
      <c r="I500" t="str">
        <f t="shared" si="133"/>
        <v/>
      </c>
      <c r="BF500">
        <f t="shared" si="136"/>
        <v>0</v>
      </c>
      <c r="BG500">
        <f t="shared" si="137"/>
        <v>0</v>
      </c>
      <c r="BH500">
        <f t="shared" si="138"/>
        <v>0</v>
      </c>
      <c r="BI500">
        <f t="shared" si="139"/>
        <v>0</v>
      </c>
      <c r="BJ500">
        <f t="shared" si="140"/>
        <v>0</v>
      </c>
      <c r="BK500">
        <f t="shared" si="141"/>
        <v>0</v>
      </c>
      <c r="BL500">
        <f t="shared" si="142"/>
        <v>0</v>
      </c>
      <c r="BM500">
        <f t="shared" si="143"/>
        <v>0</v>
      </c>
      <c r="BN500">
        <f t="shared" si="144"/>
        <v>0</v>
      </c>
      <c r="BO500">
        <f t="shared" si="145"/>
        <v>0</v>
      </c>
      <c r="BP500">
        <f t="shared" si="146"/>
        <v>0</v>
      </c>
      <c r="BQ500">
        <f t="shared" si="147"/>
        <v>0</v>
      </c>
      <c r="BR500">
        <f t="shared" si="148"/>
        <v>0</v>
      </c>
      <c r="BS500">
        <f t="shared" si="149"/>
        <v>0</v>
      </c>
      <c r="BT500">
        <f t="shared" si="150"/>
        <v>0</v>
      </c>
      <c r="BU500">
        <f t="shared" si="151"/>
        <v>0</v>
      </c>
      <c r="BV500">
        <f t="shared" si="152"/>
        <v>0</v>
      </c>
      <c r="BW500">
        <f t="shared" si="153"/>
        <v>0</v>
      </c>
      <c r="CA500" t="str">
        <f>IF(301&gt;ROWS(DGArchive[模组]),"",IF(INDEX(DGArchive[模组],301)="","",INDEX(DGArchive[模组],301)))</f>
        <v/>
      </c>
      <c r="CB500" t="str">
        <f>IF(301&gt;ROWS(DGArchive[阶段]),"",IF(INDEX(DGArchive[阶段],301)="","",INDEX(DGArchive[阶段],301)))</f>
        <v/>
      </c>
      <c r="CC500" t="str">
        <f>IF(301&gt;ROWS(DGArchive[游戏内日期]),"",IF(INDEX(DGArchive[游戏内日期],301)="","",INDEX(DGArchive[游戏内日期],301)))</f>
        <v/>
      </c>
      <c r="CD500" t="str">
        <f>IF(301&gt;ROWS(DGArchive[目标]),"",IF(INDEX(DGArchive[目标],301)="","",INDEX(DGArchive[目标],301)))</f>
        <v/>
      </c>
      <c r="CE500" t="str">
        <f>IF(301&gt;ROWS(DGArchive[变更前]),"",IF(INDEX(DGArchive[变更前],301)="","",INDEX(DGArchive[变更前],301)))</f>
        <v/>
      </c>
      <c r="CF500" t="str">
        <f>IF(301&gt;ROWS(DGArchive[增减]),"",IF(INDEX(DGArchive[增减],301)="","",INDEX(DGArchive[增减],301)))</f>
        <v/>
      </c>
      <c r="CG500" t="str">
        <f>IF(301&gt;ROWS(DGArchive[变更后]),"",IF(INDEX(DGArchive[变更后],301)="","",INDEX(DGArchive[变更后],301)))</f>
        <v/>
      </c>
      <c r="CH500" t="str">
        <f>IF(301&gt;ROWS(DGArchive[事件／活动]),"",IF(INDEX(DGArchive[事件／活动],301)="","",INDEX(DGArchive[事件／活动],301)))</f>
        <v/>
      </c>
      <c r="CI500" t="str">
        <f>IF(301&gt;ROWS(DGArchive[记录编号]),"",IF(INDEX(DGArchive[记录编号],301)="","",INDEX(DGArchive[记录编号],301)))</f>
        <v/>
      </c>
      <c r="CL500">
        <f t="shared" si="134"/>
        <v>0</v>
      </c>
      <c r="CM500">
        <f>IF(AND(A500=$AO$5,B500=$AQ$3,H500=1),COUNTIFS($A$200:A500,$AO$5,$B$200:B500,$AQ$3,$H$200:H500,1),0)</f>
        <v>0</v>
      </c>
      <c r="CN500">
        <f>IF(CA500="",301,1001)</f>
        <v>301</v>
      </c>
      <c r="GA500">
        <f t="shared" si="154"/>
        <v>0</v>
      </c>
      <c r="GB500">
        <f t="shared" si="155"/>
        <v>0</v>
      </c>
      <c r="GC500">
        <f>IF(AND(C500="事件记录",H500=1),COUNTIFS($C$200:C500,"事件记录",$H$200:H500,1),0)</f>
        <v>0</v>
      </c>
      <c r="GD500">
        <f t="shared" si="135"/>
        <v>0</v>
      </c>
      <c r="GH500">
        <f>IF(AND(H500=1,A500=$GA$10,B500=$GA$11),COUNTIFS($A$200:A500,$GA$10,$B$200:B500,$GA$11,$H$200:H500,1),0)</f>
        <v>0</v>
      </c>
    </row>
    <row r="501" spans="1:190">
      <c r="A501" t="str">
        <f t="shared" si="126"/>
        <v/>
      </c>
      <c r="B501" t="str">
        <f t="shared" si="127"/>
        <v/>
      </c>
      <c r="C501" t="str">
        <f t="shared" si="128"/>
        <v/>
      </c>
      <c r="D501" t="str">
        <f t="shared" si="129"/>
        <v/>
      </c>
      <c r="E501">
        <f t="shared" si="130"/>
        <v>0</v>
      </c>
      <c r="F501" t="str">
        <f t="shared" si="131"/>
        <v/>
      </c>
      <c r="G501">
        <f t="shared" si="132"/>
        <v>0</v>
      </c>
      <c r="H501">
        <f>IF(AND(G501=1,COUNTIFS($I$200:I501,I501,$G$200:G501,1)=1),1,0)</f>
        <v>0</v>
      </c>
      <c r="I501" t="str">
        <f t="shared" si="133"/>
        <v/>
      </c>
      <c r="BF501">
        <f t="shared" si="136"/>
        <v>0</v>
      </c>
      <c r="BG501">
        <f t="shared" si="137"/>
        <v>0</v>
      </c>
      <c r="BH501">
        <f t="shared" si="138"/>
        <v>0</v>
      </c>
      <c r="BI501">
        <f t="shared" si="139"/>
        <v>0</v>
      </c>
      <c r="BJ501">
        <f t="shared" si="140"/>
        <v>0</v>
      </c>
      <c r="BK501">
        <f t="shared" si="141"/>
        <v>0</v>
      </c>
      <c r="BL501">
        <f t="shared" si="142"/>
        <v>0</v>
      </c>
      <c r="BM501">
        <f t="shared" si="143"/>
        <v>0</v>
      </c>
      <c r="BN501">
        <f t="shared" si="144"/>
        <v>0</v>
      </c>
      <c r="BO501">
        <f t="shared" si="145"/>
        <v>0</v>
      </c>
      <c r="BP501">
        <f t="shared" si="146"/>
        <v>0</v>
      </c>
      <c r="BQ501">
        <f t="shared" si="147"/>
        <v>0</v>
      </c>
      <c r="BR501">
        <f t="shared" si="148"/>
        <v>0</v>
      </c>
      <c r="BS501">
        <f t="shared" si="149"/>
        <v>0</v>
      </c>
      <c r="BT501">
        <f t="shared" si="150"/>
        <v>0</v>
      </c>
      <c r="BU501">
        <f t="shared" si="151"/>
        <v>0</v>
      </c>
      <c r="BV501">
        <f t="shared" si="152"/>
        <v>0</v>
      </c>
      <c r="BW501">
        <f t="shared" si="153"/>
        <v>0</v>
      </c>
      <c r="CA501" t="str">
        <f>IF(302&gt;ROWS(DGArchive[模组]),"",IF(INDEX(DGArchive[模组],302)="","",INDEX(DGArchive[模组],302)))</f>
        <v/>
      </c>
      <c r="CB501" t="str">
        <f>IF(302&gt;ROWS(DGArchive[阶段]),"",IF(INDEX(DGArchive[阶段],302)="","",INDEX(DGArchive[阶段],302)))</f>
        <v/>
      </c>
      <c r="CC501" t="str">
        <f>IF(302&gt;ROWS(DGArchive[游戏内日期]),"",IF(INDEX(DGArchive[游戏内日期],302)="","",INDEX(DGArchive[游戏内日期],302)))</f>
        <v/>
      </c>
      <c r="CD501" t="str">
        <f>IF(302&gt;ROWS(DGArchive[目标]),"",IF(INDEX(DGArchive[目标],302)="","",INDEX(DGArchive[目标],302)))</f>
        <v/>
      </c>
      <c r="CE501" t="str">
        <f>IF(302&gt;ROWS(DGArchive[变更前]),"",IF(INDEX(DGArchive[变更前],302)="","",INDEX(DGArchive[变更前],302)))</f>
        <v/>
      </c>
      <c r="CF501" t="str">
        <f>IF(302&gt;ROWS(DGArchive[增减]),"",IF(INDEX(DGArchive[增减],302)="","",INDEX(DGArchive[增减],302)))</f>
        <v/>
      </c>
      <c r="CG501" t="str">
        <f>IF(302&gt;ROWS(DGArchive[变更后]),"",IF(INDEX(DGArchive[变更后],302)="","",INDEX(DGArchive[变更后],302)))</f>
        <v/>
      </c>
      <c r="CH501" t="str">
        <f>IF(302&gt;ROWS(DGArchive[事件／活动]),"",IF(INDEX(DGArchive[事件／活动],302)="","",INDEX(DGArchive[事件／活动],302)))</f>
        <v/>
      </c>
      <c r="CI501" t="str">
        <f>IF(302&gt;ROWS(DGArchive[记录编号]),"",IF(INDEX(DGArchive[记录编号],302)="","",INDEX(DGArchive[记录编号],302)))</f>
        <v/>
      </c>
      <c r="CL501">
        <f t="shared" si="134"/>
        <v>0</v>
      </c>
      <c r="CM501">
        <f>IF(AND(A501=$AO$5,B501=$AQ$3,H501=1),COUNTIFS($A$200:A501,$AO$5,$B$200:B501,$AQ$3,$H$200:H501,1),0)</f>
        <v>0</v>
      </c>
      <c r="CN501">
        <f>IF(CA501="",302,1001)</f>
        <v>302</v>
      </c>
      <c r="GA501">
        <f t="shared" si="154"/>
        <v>0</v>
      </c>
      <c r="GB501">
        <f t="shared" si="155"/>
        <v>0</v>
      </c>
      <c r="GC501">
        <f>IF(AND(C501="事件记录",H501=1),COUNTIFS($C$200:C501,"事件记录",$H$200:H501,1),0)</f>
        <v>0</v>
      </c>
      <c r="GD501">
        <f t="shared" si="135"/>
        <v>0</v>
      </c>
      <c r="GH501">
        <f>IF(AND(H501=1,A501=$GA$10,B501=$GA$11),COUNTIFS($A$200:A501,$GA$10,$B$200:B501,$GA$11,$H$200:H501,1),0)</f>
        <v>0</v>
      </c>
    </row>
    <row r="502" spans="1:190">
      <c r="A502" t="str">
        <f t="shared" si="126"/>
        <v/>
      </c>
      <c r="B502" t="str">
        <f t="shared" si="127"/>
        <v/>
      </c>
      <c r="C502" t="str">
        <f t="shared" si="128"/>
        <v/>
      </c>
      <c r="D502" t="str">
        <f t="shared" si="129"/>
        <v/>
      </c>
      <c r="E502">
        <f t="shared" si="130"/>
        <v>0</v>
      </c>
      <c r="F502" t="str">
        <f t="shared" si="131"/>
        <v/>
      </c>
      <c r="G502">
        <f t="shared" si="132"/>
        <v>0</v>
      </c>
      <c r="H502">
        <f>IF(AND(G502=1,COUNTIFS($I$200:I502,I502,$G$200:G502,1)=1),1,0)</f>
        <v>0</v>
      </c>
      <c r="I502" t="str">
        <f t="shared" si="133"/>
        <v/>
      </c>
      <c r="BF502">
        <f t="shared" si="136"/>
        <v>0</v>
      </c>
      <c r="BG502">
        <f t="shared" si="137"/>
        <v>0</v>
      </c>
      <c r="BH502">
        <f t="shared" si="138"/>
        <v>0</v>
      </c>
      <c r="BI502">
        <f t="shared" si="139"/>
        <v>0</v>
      </c>
      <c r="BJ502">
        <f t="shared" si="140"/>
        <v>0</v>
      </c>
      <c r="BK502">
        <f t="shared" si="141"/>
        <v>0</v>
      </c>
      <c r="BL502">
        <f t="shared" si="142"/>
        <v>0</v>
      </c>
      <c r="BM502">
        <f t="shared" si="143"/>
        <v>0</v>
      </c>
      <c r="BN502">
        <f t="shared" si="144"/>
        <v>0</v>
      </c>
      <c r="BO502">
        <f t="shared" si="145"/>
        <v>0</v>
      </c>
      <c r="BP502">
        <f t="shared" si="146"/>
        <v>0</v>
      </c>
      <c r="BQ502">
        <f t="shared" si="147"/>
        <v>0</v>
      </c>
      <c r="BR502">
        <f t="shared" si="148"/>
        <v>0</v>
      </c>
      <c r="BS502">
        <f t="shared" si="149"/>
        <v>0</v>
      </c>
      <c r="BT502">
        <f t="shared" si="150"/>
        <v>0</v>
      </c>
      <c r="BU502">
        <f t="shared" si="151"/>
        <v>0</v>
      </c>
      <c r="BV502">
        <f t="shared" si="152"/>
        <v>0</v>
      </c>
      <c r="BW502">
        <f t="shared" si="153"/>
        <v>0</v>
      </c>
      <c r="CA502" t="str">
        <f>IF(303&gt;ROWS(DGArchive[模组]),"",IF(INDEX(DGArchive[模组],303)="","",INDEX(DGArchive[模组],303)))</f>
        <v/>
      </c>
      <c r="CB502" t="str">
        <f>IF(303&gt;ROWS(DGArchive[阶段]),"",IF(INDEX(DGArchive[阶段],303)="","",INDEX(DGArchive[阶段],303)))</f>
        <v/>
      </c>
      <c r="CC502" t="str">
        <f>IF(303&gt;ROWS(DGArchive[游戏内日期]),"",IF(INDEX(DGArchive[游戏内日期],303)="","",INDEX(DGArchive[游戏内日期],303)))</f>
        <v/>
      </c>
      <c r="CD502" t="str">
        <f>IF(303&gt;ROWS(DGArchive[目标]),"",IF(INDEX(DGArchive[目标],303)="","",INDEX(DGArchive[目标],303)))</f>
        <v/>
      </c>
      <c r="CE502" t="str">
        <f>IF(303&gt;ROWS(DGArchive[变更前]),"",IF(INDEX(DGArchive[变更前],303)="","",INDEX(DGArchive[变更前],303)))</f>
        <v/>
      </c>
      <c r="CF502" t="str">
        <f>IF(303&gt;ROWS(DGArchive[增减]),"",IF(INDEX(DGArchive[增减],303)="","",INDEX(DGArchive[增减],303)))</f>
        <v/>
      </c>
      <c r="CG502" t="str">
        <f>IF(303&gt;ROWS(DGArchive[变更后]),"",IF(INDEX(DGArchive[变更后],303)="","",INDEX(DGArchive[变更后],303)))</f>
        <v/>
      </c>
      <c r="CH502" t="str">
        <f>IF(303&gt;ROWS(DGArchive[事件／活动]),"",IF(INDEX(DGArchive[事件／活动],303)="","",INDEX(DGArchive[事件／活动],303)))</f>
        <v/>
      </c>
      <c r="CI502" t="str">
        <f>IF(303&gt;ROWS(DGArchive[记录编号]),"",IF(INDEX(DGArchive[记录编号],303)="","",INDEX(DGArchive[记录编号],303)))</f>
        <v/>
      </c>
      <c r="CL502">
        <f t="shared" si="134"/>
        <v>0</v>
      </c>
      <c r="CM502">
        <f>IF(AND(A502=$AO$5,B502=$AQ$3,H502=1),COUNTIFS($A$200:A502,$AO$5,$B$200:B502,$AQ$3,$H$200:H502,1),0)</f>
        <v>0</v>
      </c>
      <c r="CN502">
        <f>IF(CA502="",303,1001)</f>
        <v>303</v>
      </c>
      <c r="GA502">
        <f t="shared" si="154"/>
        <v>0</v>
      </c>
      <c r="GB502">
        <f t="shared" si="155"/>
        <v>0</v>
      </c>
      <c r="GC502">
        <f>IF(AND(C502="事件记录",H502=1),COUNTIFS($C$200:C502,"事件记录",$H$200:H502,1),0)</f>
        <v>0</v>
      </c>
      <c r="GD502">
        <f t="shared" si="135"/>
        <v>0</v>
      </c>
      <c r="GH502">
        <f>IF(AND(H502=1,A502=$GA$10,B502=$GA$11),COUNTIFS($A$200:A502,$GA$10,$B$200:B502,$GA$11,$H$200:H502,1),0)</f>
        <v>0</v>
      </c>
    </row>
    <row r="503" spans="1:190">
      <c r="A503" t="str">
        <f t="shared" si="126"/>
        <v/>
      </c>
      <c r="B503" t="str">
        <f t="shared" si="127"/>
        <v/>
      </c>
      <c r="C503" t="str">
        <f t="shared" si="128"/>
        <v/>
      </c>
      <c r="D503" t="str">
        <f t="shared" si="129"/>
        <v/>
      </c>
      <c r="E503">
        <f t="shared" si="130"/>
        <v>0</v>
      </c>
      <c r="F503" t="str">
        <f t="shared" si="131"/>
        <v/>
      </c>
      <c r="G503">
        <f t="shared" si="132"/>
        <v>0</v>
      </c>
      <c r="H503">
        <f>IF(AND(G503=1,COUNTIFS($I$200:I503,I503,$G$200:G503,1)=1),1,0)</f>
        <v>0</v>
      </c>
      <c r="I503" t="str">
        <f t="shared" si="133"/>
        <v/>
      </c>
      <c r="BF503">
        <f t="shared" si="136"/>
        <v>0</v>
      </c>
      <c r="BG503">
        <f t="shared" si="137"/>
        <v>0</v>
      </c>
      <c r="BH503">
        <f t="shared" si="138"/>
        <v>0</v>
      </c>
      <c r="BI503">
        <f t="shared" si="139"/>
        <v>0</v>
      </c>
      <c r="BJ503">
        <f t="shared" si="140"/>
        <v>0</v>
      </c>
      <c r="BK503">
        <f t="shared" si="141"/>
        <v>0</v>
      </c>
      <c r="BL503">
        <f t="shared" si="142"/>
        <v>0</v>
      </c>
      <c r="BM503">
        <f t="shared" si="143"/>
        <v>0</v>
      </c>
      <c r="BN503">
        <f t="shared" si="144"/>
        <v>0</v>
      </c>
      <c r="BO503">
        <f t="shared" si="145"/>
        <v>0</v>
      </c>
      <c r="BP503">
        <f t="shared" si="146"/>
        <v>0</v>
      </c>
      <c r="BQ503">
        <f t="shared" si="147"/>
        <v>0</v>
      </c>
      <c r="BR503">
        <f t="shared" si="148"/>
        <v>0</v>
      </c>
      <c r="BS503">
        <f t="shared" si="149"/>
        <v>0</v>
      </c>
      <c r="BT503">
        <f t="shared" si="150"/>
        <v>0</v>
      </c>
      <c r="BU503">
        <f t="shared" si="151"/>
        <v>0</v>
      </c>
      <c r="BV503">
        <f t="shared" si="152"/>
        <v>0</v>
      </c>
      <c r="BW503">
        <f t="shared" si="153"/>
        <v>0</v>
      </c>
      <c r="CA503" t="str">
        <f>IF(304&gt;ROWS(DGArchive[模组]),"",IF(INDEX(DGArchive[模组],304)="","",INDEX(DGArchive[模组],304)))</f>
        <v/>
      </c>
      <c r="CB503" t="str">
        <f>IF(304&gt;ROWS(DGArchive[阶段]),"",IF(INDEX(DGArchive[阶段],304)="","",INDEX(DGArchive[阶段],304)))</f>
        <v/>
      </c>
      <c r="CC503" t="str">
        <f>IF(304&gt;ROWS(DGArchive[游戏内日期]),"",IF(INDEX(DGArchive[游戏内日期],304)="","",INDEX(DGArchive[游戏内日期],304)))</f>
        <v/>
      </c>
      <c r="CD503" t="str">
        <f>IF(304&gt;ROWS(DGArchive[目标]),"",IF(INDEX(DGArchive[目标],304)="","",INDEX(DGArchive[目标],304)))</f>
        <v/>
      </c>
      <c r="CE503" t="str">
        <f>IF(304&gt;ROWS(DGArchive[变更前]),"",IF(INDEX(DGArchive[变更前],304)="","",INDEX(DGArchive[变更前],304)))</f>
        <v/>
      </c>
      <c r="CF503" t="str">
        <f>IF(304&gt;ROWS(DGArchive[增减]),"",IF(INDEX(DGArchive[增减],304)="","",INDEX(DGArchive[增减],304)))</f>
        <v/>
      </c>
      <c r="CG503" t="str">
        <f>IF(304&gt;ROWS(DGArchive[变更后]),"",IF(INDEX(DGArchive[变更后],304)="","",INDEX(DGArchive[变更后],304)))</f>
        <v/>
      </c>
      <c r="CH503" t="str">
        <f>IF(304&gt;ROWS(DGArchive[事件／活动]),"",IF(INDEX(DGArchive[事件／活动],304)="","",INDEX(DGArchive[事件／活动],304)))</f>
        <v/>
      </c>
      <c r="CI503" t="str">
        <f>IF(304&gt;ROWS(DGArchive[记录编号]),"",IF(INDEX(DGArchive[记录编号],304)="","",INDEX(DGArchive[记录编号],304)))</f>
        <v/>
      </c>
      <c r="CL503">
        <f t="shared" si="134"/>
        <v>0</v>
      </c>
      <c r="CM503">
        <f>IF(AND(A503=$AO$5,B503=$AQ$3,H503=1),COUNTIFS($A$200:A503,$AO$5,$B$200:B503,$AQ$3,$H$200:H503,1),0)</f>
        <v>0</v>
      </c>
      <c r="CN503">
        <f>IF(CA503="",304,1001)</f>
        <v>304</v>
      </c>
      <c r="GA503">
        <f t="shared" si="154"/>
        <v>0</v>
      </c>
      <c r="GB503">
        <f t="shared" si="155"/>
        <v>0</v>
      </c>
      <c r="GC503">
        <f>IF(AND(C503="事件记录",H503=1),COUNTIFS($C$200:C503,"事件记录",$H$200:H503,1),0)</f>
        <v>0</v>
      </c>
      <c r="GD503">
        <f t="shared" si="135"/>
        <v>0</v>
      </c>
      <c r="GH503">
        <f>IF(AND(H503=1,A503=$GA$10,B503=$GA$11),COUNTIFS($A$200:A503,$GA$10,$B$200:B503,$GA$11,$H$200:H503,1),0)</f>
        <v>0</v>
      </c>
    </row>
    <row r="504" spans="1:190">
      <c r="A504" t="str">
        <f t="shared" si="126"/>
        <v/>
      </c>
      <c r="B504" t="str">
        <f t="shared" si="127"/>
        <v/>
      </c>
      <c r="C504" t="str">
        <f t="shared" si="128"/>
        <v/>
      </c>
      <c r="D504" t="str">
        <f t="shared" si="129"/>
        <v/>
      </c>
      <c r="E504">
        <f t="shared" si="130"/>
        <v>0</v>
      </c>
      <c r="F504" t="str">
        <f t="shared" si="131"/>
        <v/>
      </c>
      <c r="G504">
        <f t="shared" si="132"/>
        <v>0</v>
      </c>
      <c r="H504">
        <f>IF(AND(G504=1,COUNTIFS($I$200:I504,I504,$G$200:G504,1)=1),1,0)</f>
        <v>0</v>
      </c>
      <c r="I504" t="str">
        <f t="shared" si="133"/>
        <v/>
      </c>
      <c r="BF504">
        <f t="shared" si="136"/>
        <v>0</v>
      </c>
      <c r="BG504">
        <f t="shared" si="137"/>
        <v>0</v>
      </c>
      <c r="BH504">
        <f t="shared" si="138"/>
        <v>0</v>
      </c>
      <c r="BI504">
        <f t="shared" si="139"/>
        <v>0</v>
      </c>
      <c r="BJ504">
        <f t="shared" si="140"/>
        <v>0</v>
      </c>
      <c r="BK504">
        <f t="shared" si="141"/>
        <v>0</v>
      </c>
      <c r="BL504">
        <f t="shared" si="142"/>
        <v>0</v>
      </c>
      <c r="BM504">
        <f t="shared" si="143"/>
        <v>0</v>
      </c>
      <c r="BN504">
        <f t="shared" si="144"/>
        <v>0</v>
      </c>
      <c r="BO504">
        <f t="shared" si="145"/>
        <v>0</v>
      </c>
      <c r="BP504">
        <f t="shared" si="146"/>
        <v>0</v>
      </c>
      <c r="BQ504">
        <f t="shared" si="147"/>
        <v>0</v>
      </c>
      <c r="BR504">
        <f t="shared" si="148"/>
        <v>0</v>
      </c>
      <c r="BS504">
        <f t="shared" si="149"/>
        <v>0</v>
      </c>
      <c r="BT504">
        <f t="shared" si="150"/>
        <v>0</v>
      </c>
      <c r="BU504">
        <f t="shared" si="151"/>
        <v>0</v>
      </c>
      <c r="BV504">
        <f t="shared" si="152"/>
        <v>0</v>
      </c>
      <c r="BW504">
        <f t="shared" si="153"/>
        <v>0</v>
      </c>
      <c r="CA504" t="str">
        <f>IF(305&gt;ROWS(DGArchive[模组]),"",IF(INDEX(DGArchive[模组],305)="","",INDEX(DGArchive[模组],305)))</f>
        <v/>
      </c>
      <c r="CB504" t="str">
        <f>IF(305&gt;ROWS(DGArchive[阶段]),"",IF(INDEX(DGArchive[阶段],305)="","",INDEX(DGArchive[阶段],305)))</f>
        <v/>
      </c>
      <c r="CC504" t="str">
        <f>IF(305&gt;ROWS(DGArchive[游戏内日期]),"",IF(INDEX(DGArchive[游戏内日期],305)="","",INDEX(DGArchive[游戏内日期],305)))</f>
        <v/>
      </c>
      <c r="CD504" t="str">
        <f>IF(305&gt;ROWS(DGArchive[目标]),"",IF(INDEX(DGArchive[目标],305)="","",INDEX(DGArchive[目标],305)))</f>
        <v/>
      </c>
      <c r="CE504" t="str">
        <f>IF(305&gt;ROWS(DGArchive[变更前]),"",IF(INDEX(DGArchive[变更前],305)="","",INDEX(DGArchive[变更前],305)))</f>
        <v/>
      </c>
      <c r="CF504" t="str">
        <f>IF(305&gt;ROWS(DGArchive[增减]),"",IF(INDEX(DGArchive[增减],305)="","",INDEX(DGArchive[增减],305)))</f>
        <v/>
      </c>
      <c r="CG504" t="str">
        <f>IF(305&gt;ROWS(DGArchive[变更后]),"",IF(INDEX(DGArchive[变更后],305)="","",INDEX(DGArchive[变更后],305)))</f>
        <v/>
      </c>
      <c r="CH504" t="str">
        <f>IF(305&gt;ROWS(DGArchive[事件／活动]),"",IF(INDEX(DGArchive[事件／活动],305)="","",INDEX(DGArchive[事件／活动],305)))</f>
        <v/>
      </c>
      <c r="CI504" t="str">
        <f>IF(305&gt;ROWS(DGArchive[记录编号]),"",IF(INDEX(DGArchive[记录编号],305)="","",INDEX(DGArchive[记录编号],305)))</f>
        <v/>
      </c>
      <c r="CL504">
        <f t="shared" si="134"/>
        <v>0</v>
      </c>
      <c r="CM504">
        <f>IF(AND(A504=$AO$5,B504=$AQ$3,H504=1),COUNTIFS($A$200:A504,$AO$5,$B$200:B504,$AQ$3,$H$200:H504,1),0)</f>
        <v>0</v>
      </c>
      <c r="CN504">
        <f>IF(CA504="",305,1001)</f>
        <v>305</v>
      </c>
      <c r="GA504">
        <f t="shared" si="154"/>
        <v>0</v>
      </c>
      <c r="GB504">
        <f t="shared" si="155"/>
        <v>0</v>
      </c>
      <c r="GC504">
        <f>IF(AND(C504="事件记录",H504=1),COUNTIFS($C$200:C504,"事件记录",$H$200:H504,1),0)</f>
        <v>0</v>
      </c>
      <c r="GD504">
        <f t="shared" si="135"/>
        <v>0</v>
      </c>
      <c r="GH504">
        <f>IF(AND(H504=1,A504=$GA$10,B504=$GA$11),COUNTIFS($A$200:A504,$GA$10,$B$200:B504,$GA$11,$H$200:H504,1),0)</f>
        <v>0</v>
      </c>
    </row>
    <row r="505" spans="1:190">
      <c r="A505" t="str">
        <f t="shared" si="126"/>
        <v/>
      </c>
      <c r="B505" t="str">
        <f t="shared" si="127"/>
        <v/>
      </c>
      <c r="C505" t="str">
        <f t="shared" si="128"/>
        <v/>
      </c>
      <c r="D505" t="str">
        <f t="shared" si="129"/>
        <v/>
      </c>
      <c r="E505">
        <f t="shared" si="130"/>
        <v>0</v>
      </c>
      <c r="F505" t="str">
        <f t="shared" si="131"/>
        <v/>
      </c>
      <c r="G505">
        <f t="shared" si="132"/>
        <v>0</v>
      </c>
      <c r="H505">
        <f>IF(AND(G505=1,COUNTIFS($I$200:I505,I505,$G$200:G505,1)=1),1,0)</f>
        <v>0</v>
      </c>
      <c r="I505" t="str">
        <f t="shared" si="133"/>
        <v/>
      </c>
      <c r="BF505">
        <f t="shared" si="136"/>
        <v>0</v>
      </c>
      <c r="BG505">
        <f t="shared" si="137"/>
        <v>0</v>
      </c>
      <c r="BH505">
        <f t="shared" si="138"/>
        <v>0</v>
      </c>
      <c r="BI505">
        <f t="shared" si="139"/>
        <v>0</v>
      </c>
      <c r="BJ505">
        <f t="shared" si="140"/>
        <v>0</v>
      </c>
      <c r="BK505">
        <f t="shared" si="141"/>
        <v>0</v>
      </c>
      <c r="BL505">
        <f t="shared" si="142"/>
        <v>0</v>
      </c>
      <c r="BM505">
        <f t="shared" si="143"/>
        <v>0</v>
      </c>
      <c r="BN505">
        <f t="shared" si="144"/>
        <v>0</v>
      </c>
      <c r="BO505">
        <f t="shared" si="145"/>
        <v>0</v>
      </c>
      <c r="BP505">
        <f t="shared" si="146"/>
        <v>0</v>
      </c>
      <c r="BQ505">
        <f t="shared" si="147"/>
        <v>0</v>
      </c>
      <c r="BR505">
        <f t="shared" si="148"/>
        <v>0</v>
      </c>
      <c r="BS505">
        <f t="shared" si="149"/>
        <v>0</v>
      </c>
      <c r="BT505">
        <f t="shared" si="150"/>
        <v>0</v>
      </c>
      <c r="BU505">
        <f t="shared" si="151"/>
        <v>0</v>
      </c>
      <c r="BV505">
        <f t="shared" si="152"/>
        <v>0</v>
      </c>
      <c r="BW505">
        <f t="shared" si="153"/>
        <v>0</v>
      </c>
      <c r="CA505" t="str">
        <f>IF(306&gt;ROWS(DGArchive[模组]),"",IF(INDEX(DGArchive[模组],306)="","",INDEX(DGArchive[模组],306)))</f>
        <v/>
      </c>
      <c r="CB505" t="str">
        <f>IF(306&gt;ROWS(DGArchive[阶段]),"",IF(INDEX(DGArchive[阶段],306)="","",INDEX(DGArchive[阶段],306)))</f>
        <v/>
      </c>
      <c r="CC505" t="str">
        <f>IF(306&gt;ROWS(DGArchive[游戏内日期]),"",IF(INDEX(DGArchive[游戏内日期],306)="","",INDEX(DGArchive[游戏内日期],306)))</f>
        <v/>
      </c>
      <c r="CD505" t="str">
        <f>IF(306&gt;ROWS(DGArchive[目标]),"",IF(INDEX(DGArchive[目标],306)="","",INDEX(DGArchive[目标],306)))</f>
        <v/>
      </c>
      <c r="CE505" t="str">
        <f>IF(306&gt;ROWS(DGArchive[变更前]),"",IF(INDEX(DGArchive[变更前],306)="","",INDEX(DGArchive[变更前],306)))</f>
        <v/>
      </c>
      <c r="CF505" t="str">
        <f>IF(306&gt;ROWS(DGArchive[增减]),"",IF(INDEX(DGArchive[增减],306)="","",INDEX(DGArchive[增减],306)))</f>
        <v/>
      </c>
      <c r="CG505" t="str">
        <f>IF(306&gt;ROWS(DGArchive[变更后]),"",IF(INDEX(DGArchive[变更后],306)="","",INDEX(DGArchive[变更后],306)))</f>
        <v/>
      </c>
      <c r="CH505" t="str">
        <f>IF(306&gt;ROWS(DGArchive[事件／活动]),"",IF(INDEX(DGArchive[事件／活动],306)="","",INDEX(DGArchive[事件／活动],306)))</f>
        <v/>
      </c>
      <c r="CI505" t="str">
        <f>IF(306&gt;ROWS(DGArchive[记录编号]),"",IF(INDEX(DGArchive[记录编号],306)="","",INDEX(DGArchive[记录编号],306)))</f>
        <v/>
      </c>
      <c r="CL505">
        <f t="shared" si="134"/>
        <v>0</v>
      </c>
      <c r="CM505">
        <f>IF(AND(A505=$AO$5,B505=$AQ$3,H505=1),COUNTIFS($A$200:A505,$AO$5,$B$200:B505,$AQ$3,$H$200:H505,1),0)</f>
        <v>0</v>
      </c>
      <c r="CN505">
        <f>IF(CA505="",306,1001)</f>
        <v>306</v>
      </c>
      <c r="GA505">
        <f t="shared" si="154"/>
        <v>0</v>
      </c>
      <c r="GB505">
        <f t="shared" si="155"/>
        <v>0</v>
      </c>
      <c r="GC505">
        <f>IF(AND(C505="事件记录",H505=1),COUNTIFS($C$200:C505,"事件记录",$H$200:H505,1),0)</f>
        <v>0</v>
      </c>
      <c r="GD505">
        <f t="shared" si="135"/>
        <v>0</v>
      </c>
      <c r="GH505">
        <f>IF(AND(H505=1,A505=$GA$10,B505=$GA$11),COUNTIFS($A$200:A505,$GA$10,$B$200:B505,$GA$11,$H$200:H505,1),0)</f>
        <v>0</v>
      </c>
    </row>
    <row r="506" spans="1:190">
      <c r="A506" t="str">
        <f t="shared" si="126"/>
        <v/>
      </c>
      <c r="B506" t="str">
        <f t="shared" si="127"/>
        <v/>
      </c>
      <c r="C506" t="str">
        <f t="shared" si="128"/>
        <v/>
      </c>
      <c r="D506" t="str">
        <f t="shared" si="129"/>
        <v/>
      </c>
      <c r="E506">
        <f t="shared" si="130"/>
        <v>0</v>
      </c>
      <c r="F506" t="str">
        <f t="shared" si="131"/>
        <v/>
      </c>
      <c r="G506">
        <f t="shared" si="132"/>
        <v>0</v>
      </c>
      <c r="H506">
        <f>IF(AND(G506=1,COUNTIFS($I$200:I506,I506,$G$200:G506,1)=1),1,0)</f>
        <v>0</v>
      </c>
      <c r="I506" t="str">
        <f t="shared" si="133"/>
        <v/>
      </c>
      <c r="BF506">
        <f t="shared" si="136"/>
        <v>0</v>
      </c>
      <c r="BG506">
        <f t="shared" si="137"/>
        <v>0</v>
      </c>
      <c r="BH506">
        <f t="shared" si="138"/>
        <v>0</v>
      </c>
      <c r="BI506">
        <f t="shared" si="139"/>
        <v>0</v>
      </c>
      <c r="BJ506">
        <f t="shared" si="140"/>
        <v>0</v>
      </c>
      <c r="BK506">
        <f t="shared" si="141"/>
        <v>0</v>
      </c>
      <c r="BL506">
        <f t="shared" si="142"/>
        <v>0</v>
      </c>
      <c r="BM506">
        <f t="shared" si="143"/>
        <v>0</v>
      </c>
      <c r="BN506">
        <f t="shared" si="144"/>
        <v>0</v>
      </c>
      <c r="BO506">
        <f t="shared" si="145"/>
        <v>0</v>
      </c>
      <c r="BP506">
        <f t="shared" si="146"/>
        <v>0</v>
      </c>
      <c r="BQ506">
        <f t="shared" si="147"/>
        <v>0</v>
      </c>
      <c r="BR506">
        <f t="shared" si="148"/>
        <v>0</v>
      </c>
      <c r="BS506">
        <f t="shared" si="149"/>
        <v>0</v>
      </c>
      <c r="BT506">
        <f t="shared" si="150"/>
        <v>0</v>
      </c>
      <c r="BU506">
        <f t="shared" si="151"/>
        <v>0</v>
      </c>
      <c r="BV506">
        <f t="shared" si="152"/>
        <v>0</v>
      </c>
      <c r="BW506">
        <f t="shared" si="153"/>
        <v>0</v>
      </c>
      <c r="CA506" t="str">
        <f>IF(307&gt;ROWS(DGArchive[模组]),"",IF(INDEX(DGArchive[模组],307)="","",INDEX(DGArchive[模组],307)))</f>
        <v/>
      </c>
      <c r="CB506" t="str">
        <f>IF(307&gt;ROWS(DGArchive[阶段]),"",IF(INDEX(DGArchive[阶段],307)="","",INDEX(DGArchive[阶段],307)))</f>
        <v/>
      </c>
      <c r="CC506" t="str">
        <f>IF(307&gt;ROWS(DGArchive[游戏内日期]),"",IF(INDEX(DGArchive[游戏内日期],307)="","",INDEX(DGArchive[游戏内日期],307)))</f>
        <v/>
      </c>
      <c r="CD506" t="str">
        <f>IF(307&gt;ROWS(DGArchive[目标]),"",IF(INDEX(DGArchive[目标],307)="","",INDEX(DGArchive[目标],307)))</f>
        <v/>
      </c>
      <c r="CE506" t="str">
        <f>IF(307&gt;ROWS(DGArchive[变更前]),"",IF(INDEX(DGArchive[变更前],307)="","",INDEX(DGArchive[变更前],307)))</f>
        <v/>
      </c>
      <c r="CF506" t="str">
        <f>IF(307&gt;ROWS(DGArchive[增减]),"",IF(INDEX(DGArchive[增减],307)="","",INDEX(DGArchive[增减],307)))</f>
        <v/>
      </c>
      <c r="CG506" t="str">
        <f>IF(307&gt;ROWS(DGArchive[变更后]),"",IF(INDEX(DGArchive[变更后],307)="","",INDEX(DGArchive[变更后],307)))</f>
        <v/>
      </c>
      <c r="CH506" t="str">
        <f>IF(307&gt;ROWS(DGArchive[事件／活动]),"",IF(INDEX(DGArchive[事件／活动],307)="","",INDEX(DGArchive[事件／活动],307)))</f>
        <v/>
      </c>
      <c r="CI506" t="str">
        <f>IF(307&gt;ROWS(DGArchive[记录编号]),"",IF(INDEX(DGArchive[记录编号],307)="","",INDEX(DGArchive[记录编号],307)))</f>
        <v/>
      </c>
      <c r="CL506">
        <f t="shared" si="134"/>
        <v>0</v>
      </c>
      <c r="CM506">
        <f>IF(AND(A506=$AO$5,B506=$AQ$3,H506=1),COUNTIFS($A$200:A506,$AO$5,$B$200:B506,$AQ$3,$H$200:H506,1),0)</f>
        <v>0</v>
      </c>
      <c r="CN506">
        <f>IF(CA506="",307,1001)</f>
        <v>307</v>
      </c>
      <c r="GA506">
        <f t="shared" si="154"/>
        <v>0</v>
      </c>
      <c r="GB506">
        <f t="shared" si="155"/>
        <v>0</v>
      </c>
      <c r="GC506">
        <f>IF(AND(C506="事件记录",H506=1),COUNTIFS($C$200:C506,"事件记录",$H$200:H506,1),0)</f>
        <v>0</v>
      </c>
      <c r="GD506">
        <f t="shared" si="135"/>
        <v>0</v>
      </c>
      <c r="GH506">
        <f>IF(AND(H506=1,A506=$GA$10,B506=$GA$11),COUNTIFS($A$200:A506,$GA$10,$B$200:B506,$GA$11,$H$200:H506,1),0)</f>
        <v>0</v>
      </c>
    </row>
    <row r="507" spans="1:190">
      <c r="A507" t="str">
        <f t="shared" si="126"/>
        <v/>
      </c>
      <c r="B507" t="str">
        <f t="shared" si="127"/>
        <v/>
      </c>
      <c r="C507" t="str">
        <f t="shared" si="128"/>
        <v/>
      </c>
      <c r="D507" t="str">
        <f t="shared" si="129"/>
        <v/>
      </c>
      <c r="E507">
        <f t="shared" si="130"/>
        <v>0</v>
      </c>
      <c r="F507" t="str">
        <f t="shared" si="131"/>
        <v/>
      </c>
      <c r="G507">
        <f t="shared" si="132"/>
        <v>0</v>
      </c>
      <c r="H507">
        <f>IF(AND(G507=1,COUNTIFS($I$200:I507,I507,$G$200:G507,1)=1),1,0)</f>
        <v>0</v>
      </c>
      <c r="I507" t="str">
        <f t="shared" si="133"/>
        <v/>
      </c>
      <c r="BF507">
        <f t="shared" si="136"/>
        <v>0</v>
      </c>
      <c r="BG507">
        <f t="shared" si="137"/>
        <v>0</v>
      </c>
      <c r="BH507">
        <f t="shared" si="138"/>
        <v>0</v>
      </c>
      <c r="BI507">
        <f t="shared" si="139"/>
        <v>0</v>
      </c>
      <c r="BJ507">
        <f t="shared" si="140"/>
        <v>0</v>
      </c>
      <c r="BK507">
        <f t="shared" si="141"/>
        <v>0</v>
      </c>
      <c r="BL507">
        <f t="shared" si="142"/>
        <v>0</v>
      </c>
      <c r="BM507">
        <f t="shared" si="143"/>
        <v>0</v>
      </c>
      <c r="BN507">
        <f t="shared" si="144"/>
        <v>0</v>
      </c>
      <c r="BO507">
        <f t="shared" si="145"/>
        <v>0</v>
      </c>
      <c r="BP507">
        <f t="shared" si="146"/>
        <v>0</v>
      </c>
      <c r="BQ507">
        <f t="shared" si="147"/>
        <v>0</v>
      </c>
      <c r="BR507">
        <f t="shared" si="148"/>
        <v>0</v>
      </c>
      <c r="BS507">
        <f t="shared" si="149"/>
        <v>0</v>
      </c>
      <c r="BT507">
        <f t="shared" si="150"/>
        <v>0</v>
      </c>
      <c r="BU507">
        <f t="shared" si="151"/>
        <v>0</v>
      </c>
      <c r="BV507">
        <f t="shared" si="152"/>
        <v>0</v>
      </c>
      <c r="BW507">
        <f t="shared" si="153"/>
        <v>0</v>
      </c>
      <c r="CA507" t="str">
        <f>IF(308&gt;ROWS(DGArchive[模组]),"",IF(INDEX(DGArchive[模组],308)="","",INDEX(DGArchive[模组],308)))</f>
        <v/>
      </c>
      <c r="CB507" t="str">
        <f>IF(308&gt;ROWS(DGArchive[阶段]),"",IF(INDEX(DGArchive[阶段],308)="","",INDEX(DGArchive[阶段],308)))</f>
        <v/>
      </c>
      <c r="CC507" t="str">
        <f>IF(308&gt;ROWS(DGArchive[游戏内日期]),"",IF(INDEX(DGArchive[游戏内日期],308)="","",INDEX(DGArchive[游戏内日期],308)))</f>
        <v/>
      </c>
      <c r="CD507" t="str">
        <f>IF(308&gt;ROWS(DGArchive[目标]),"",IF(INDEX(DGArchive[目标],308)="","",INDEX(DGArchive[目标],308)))</f>
        <v/>
      </c>
      <c r="CE507" t="str">
        <f>IF(308&gt;ROWS(DGArchive[变更前]),"",IF(INDEX(DGArchive[变更前],308)="","",INDEX(DGArchive[变更前],308)))</f>
        <v/>
      </c>
      <c r="CF507" t="str">
        <f>IF(308&gt;ROWS(DGArchive[增减]),"",IF(INDEX(DGArchive[增减],308)="","",INDEX(DGArchive[增减],308)))</f>
        <v/>
      </c>
      <c r="CG507" t="str">
        <f>IF(308&gt;ROWS(DGArchive[变更后]),"",IF(INDEX(DGArchive[变更后],308)="","",INDEX(DGArchive[变更后],308)))</f>
        <v/>
      </c>
      <c r="CH507" t="str">
        <f>IF(308&gt;ROWS(DGArchive[事件／活动]),"",IF(INDEX(DGArchive[事件／活动],308)="","",INDEX(DGArchive[事件／活动],308)))</f>
        <v/>
      </c>
      <c r="CI507" t="str">
        <f>IF(308&gt;ROWS(DGArchive[记录编号]),"",IF(INDEX(DGArchive[记录编号],308)="","",INDEX(DGArchive[记录编号],308)))</f>
        <v/>
      </c>
      <c r="CL507">
        <f t="shared" si="134"/>
        <v>0</v>
      </c>
      <c r="CM507">
        <f>IF(AND(A507=$AO$5,B507=$AQ$3,H507=1),COUNTIFS($A$200:A507,$AO$5,$B$200:B507,$AQ$3,$H$200:H507,1),0)</f>
        <v>0</v>
      </c>
      <c r="CN507">
        <f>IF(CA507="",308,1001)</f>
        <v>308</v>
      </c>
      <c r="GA507">
        <f t="shared" si="154"/>
        <v>0</v>
      </c>
      <c r="GB507">
        <f t="shared" si="155"/>
        <v>0</v>
      </c>
      <c r="GC507">
        <f>IF(AND(C507="事件记录",H507=1),COUNTIFS($C$200:C507,"事件记录",$H$200:H507,1),0)</f>
        <v>0</v>
      </c>
      <c r="GD507">
        <f t="shared" si="135"/>
        <v>0</v>
      </c>
      <c r="GH507">
        <f>IF(AND(H507=1,A507=$GA$10,B507=$GA$11),COUNTIFS($A$200:A507,$GA$10,$B$200:B507,$GA$11,$H$200:H507,1),0)</f>
        <v>0</v>
      </c>
    </row>
    <row r="508" spans="1:190">
      <c r="A508" t="str">
        <f t="shared" si="126"/>
        <v/>
      </c>
      <c r="B508" t="str">
        <f t="shared" si="127"/>
        <v/>
      </c>
      <c r="C508" t="str">
        <f t="shared" si="128"/>
        <v/>
      </c>
      <c r="D508" t="str">
        <f t="shared" si="129"/>
        <v/>
      </c>
      <c r="E508">
        <f t="shared" si="130"/>
        <v>0</v>
      </c>
      <c r="F508" t="str">
        <f t="shared" si="131"/>
        <v/>
      </c>
      <c r="G508">
        <f t="shared" si="132"/>
        <v>0</v>
      </c>
      <c r="H508">
        <f>IF(AND(G508=1,COUNTIFS($I$200:I508,I508,$G$200:G508,1)=1),1,0)</f>
        <v>0</v>
      </c>
      <c r="I508" t="str">
        <f t="shared" si="133"/>
        <v/>
      </c>
      <c r="BF508">
        <f t="shared" si="136"/>
        <v>0</v>
      </c>
      <c r="BG508">
        <f t="shared" si="137"/>
        <v>0</v>
      </c>
      <c r="BH508">
        <f t="shared" si="138"/>
        <v>0</v>
      </c>
      <c r="BI508">
        <f t="shared" si="139"/>
        <v>0</v>
      </c>
      <c r="BJ508">
        <f t="shared" si="140"/>
        <v>0</v>
      </c>
      <c r="BK508">
        <f t="shared" si="141"/>
        <v>0</v>
      </c>
      <c r="BL508">
        <f t="shared" si="142"/>
        <v>0</v>
      </c>
      <c r="BM508">
        <f t="shared" si="143"/>
        <v>0</v>
      </c>
      <c r="BN508">
        <f t="shared" si="144"/>
        <v>0</v>
      </c>
      <c r="BO508">
        <f t="shared" si="145"/>
        <v>0</v>
      </c>
      <c r="BP508">
        <f t="shared" si="146"/>
        <v>0</v>
      </c>
      <c r="BQ508">
        <f t="shared" si="147"/>
        <v>0</v>
      </c>
      <c r="BR508">
        <f t="shared" si="148"/>
        <v>0</v>
      </c>
      <c r="BS508">
        <f t="shared" si="149"/>
        <v>0</v>
      </c>
      <c r="BT508">
        <f t="shared" si="150"/>
        <v>0</v>
      </c>
      <c r="BU508">
        <f t="shared" si="151"/>
        <v>0</v>
      </c>
      <c r="BV508">
        <f t="shared" si="152"/>
        <v>0</v>
      </c>
      <c r="BW508">
        <f t="shared" si="153"/>
        <v>0</v>
      </c>
      <c r="CA508" t="str">
        <f>IF(309&gt;ROWS(DGArchive[模组]),"",IF(INDEX(DGArchive[模组],309)="","",INDEX(DGArchive[模组],309)))</f>
        <v/>
      </c>
      <c r="CB508" t="str">
        <f>IF(309&gt;ROWS(DGArchive[阶段]),"",IF(INDEX(DGArchive[阶段],309)="","",INDEX(DGArchive[阶段],309)))</f>
        <v/>
      </c>
      <c r="CC508" t="str">
        <f>IF(309&gt;ROWS(DGArchive[游戏内日期]),"",IF(INDEX(DGArchive[游戏内日期],309)="","",INDEX(DGArchive[游戏内日期],309)))</f>
        <v/>
      </c>
      <c r="CD508" t="str">
        <f>IF(309&gt;ROWS(DGArchive[目标]),"",IF(INDEX(DGArchive[目标],309)="","",INDEX(DGArchive[目标],309)))</f>
        <v/>
      </c>
      <c r="CE508" t="str">
        <f>IF(309&gt;ROWS(DGArchive[变更前]),"",IF(INDEX(DGArchive[变更前],309)="","",INDEX(DGArchive[变更前],309)))</f>
        <v/>
      </c>
      <c r="CF508" t="str">
        <f>IF(309&gt;ROWS(DGArchive[增减]),"",IF(INDEX(DGArchive[增减],309)="","",INDEX(DGArchive[增减],309)))</f>
        <v/>
      </c>
      <c r="CG508" t="str">
        <f>IF(309&gt;ROWS(DGArchive[变更后]),"",IF(INDEX(DGArchive[变更后],309)="","",INDEX(DGArchive[变更后],309)))</f>
        <v/>
      </c>
      <c r="CH508" t="str">
        <f>IF(309&gt;ROWS(DGArchive[事件／活动]),"",IF(INDEX(DGArchive[事件／活动],309)="","",INDEX(DGArchive[事件／活动],309)))</f>
        <v/>
      </c>
      <c r="CI508" t="str">
        <f>IF(309&gt;ROWS(DGArchive[记录编号]),"",IF(INDEX(DGArchive[记录编号],309)="","",INDEX(DGArchive[记录编号],309)))</f>
        <v/>
      </c>
      <c r="CL508">
        <f t="shared" si="134"/>
        <v>0</v>
      </c>
      <c r="CM508">
        <f>IF(AND(A508=$AO$5,B508=$AQ$3,H508=1),COUNTIFS($A$200:A508,$AO$5,$B$200:B508,$AQ$3,$H$200:H508,1),0)</f>
        <v>0</v>
      </c>
      <c r="CN508">
        <f>IF(CA508="",309,1001)</f>
        <v>309</v>
      </c>
      <c r="GA508">
        <f t="shared" si="154"/>
        <v>0</v>
      </c>
      <c r="GB508">
        <f t="shared" si="155"/>
        <v>0</v>
      </c>
      <c r="GC508">
        <f>IF(AND(C508="事件记录",H508=1),COUNTIFS($C$200:C508,"事件记录",$H$200:H508,1),0)</f>
        <v>0</v>
      </c>
      <c r="GD508">
        <f t="shared" si="135"/>
        <v>0</v>
      </c>
      <c r="GH508">
        <f>IF(AND(H508=1,A508=$GA$10,B508=$GA$11),COUNTIFS($A$200:A508,$GA$10,$B$200:B508,$GA$11,$H$200:H508,1),0)</f>
        <v>0</v>
      </c>
    </row>
    <row r="509" spans="1:190">
      <c r="A509" t="str">
        <f t="shared" si="126"/>
        <v/>
      </c>
      <c r="B509" t="str">
        <f t="shared" si="127"/>
        <v/>
      </c>
      <c r="C509" t="str">
        <f t="shared" si="128"/>
        <v/>
      </c>
      <c r="D509" t="str">
        <f t="shared" si="129"/>
        <v/>
      </c>
      <c r="E509">
        <f t="shared" si="130"/>
        <v>0</v>
      </c>
      <c r="F509" t="str">
        <f t="shared" si="131"/>
        <v/>
      </c>
      <c r="G509">
        <f t="shared" si="132"/>
        <v>0</v>
      </c>
      <c r="H509">
        <f>IF(AND(G509=1,COUNTIFS($I$200:I509,I509,$G$200:G509,1)=1),1,0)</f>
        <v>0</v>
      </c>
      <c r="I509" t="str">
        <f t="shared" si="133"/>
        <v/>
      </c>
      <c r="BF509">
        <f t="shared" si="136"/>
        <v>0</v>
      </c>
      <c r="BG509">
        <f t="shared" si="137"/>
        <v>0</v>
      </c>
      <c r="BH509">
        <f t="shared" si="138"/>
        <v>0</v>
      </c>
      <c r="BI509">
        <f t="shared" si="139"/>
        <v>0</v>
      </c>
      <c r="BJ509">
        <f t="shared" si="140"/>
        <v>0</v>
      </c>
      <c r="BK509">
        <f t="shared" si="141"/>
        <v>0</v>
      </c>
      <c r="BL509">
        <f t="shared" si="142"/>
        <v>0</v>
      </c>
      <c r="BM509">
        <f t="shared" si="143"/>
        <v>0</v>
      </c>
      <c r="BN509">
        <f t="shared" si="144"/>
        <v>0</v>
      </c>
      <c r="BO509">
        <f t="shared" si="145"/>
        <v>0</v>
      </c>
      <c r="BP509">
        <f t="shared" si="146"/>
        <v>0</v>
      </c>
      <c r="BQ509">
        <f t="shared" si="147"/>
        <v>0</v>
      </c>
      <c r="BR509">
        <f t="shared" si="148"/>
        <v>0</v>
      </c>
      <c r="BS509">
        <f t="shared" si="149"/>
        <v>0</v>
      </c>
      <c r="BT509">
        <f t="shared" si="150"/>
        <v>0</v>
      </c>
      <c r="BU509">
        <f t="shared" si="151"/>
        <v>0</v>
      </c>
      <c r="BV509">
        <f t="shared" si="152"/>
        <v>0</v>
      </c>
      <c r="BW509">
        <f t="shared" si="153"/>
        <v>0</v>
      </c>
      <c r="CA509" t="str">
        <f>IF(310&gt;ROWS(DGArchive[模组]),"",IF(INDEX(DGArchive[模组],310)="","",INDEX(DGArchive[模组],310)))</f>
        <v/>
      </c>
      <c r="CB509" t="str">
        <f>IF(310&gt;ROWS(DGArchive[阶段]),"",IF(INDEX(DGArchive[阶段],310)="","",INDEX(DGArchive[阶段],310)))</f>
        <v/>
      </c>
      <c r="CC509" t="str">
        <f>IF(310&gt;ROWS(DGArchive[游戏内日期]),"",IF(INDEX(DGArchive[游戏内日期],310)="","",INDEX(DGArchive[游戏内日期],310)))</f>
        <v/>
      </c>
      <c r="CD509" t="str">
        <f>IF(310&gt;ROWS(DGArchive[目标]),"",IF(INDEX(DGArchive[目标],310)="","",INDEX(DGArchive[目标],310)))</f>
        <v/>
      </c>
      <c r="CE509" t="str">
        <f>IF(310&gt;ROWS(DGArchive[变更前]),"",IF(INDEX(DGArchive[变更前],310)="","",INDEX(DGArchive[变更前],310)))</f>
        <v/>
      </c>
      <c r="CF509" t="str">
        <f>IF(310&gt;ROWS(DGArchive[增减]),"",IF(INDEX(DGArchive[增减],310)="","",INDEX(DGArchive[增减],310)))</f>
        <v/>
      </c>
      <c r="CG509" t="str">
        <f>IF(310&gt;ROWS(DGArchive[变更后]),"",IF(INDEX(DGArchive[变更后],310)="","",INDEX(DGArchive[变更后],310)))</f>
        <v/>
      </c>
      <c r="CH509" t="str">
        <f>IF(310&gt;ROWS(DGArchive[事件／活动]),"",IF(INDEX(DGArchive[事件／活动],310)="","",INDEX(DGArchive[事件／活动],310)))</f>
        <v/>
      </c>
      <c r="CI509" t="str">
        <f>IF(310&gt;ROWS(DGArchive[记录编号]),"",IF(INDEX(DGArchive[记录编号],310)="","",INDEX(DGArchive[记录编号],310)))</f>
        <v/>
      </c>
      <c r="CL509">
        <f t="shared" si="134"/>
        <v>0</v>
      </c>
      <c r="CM509">
        <f>IF(AND(A509=$AO$5,B509=$AQ$3,H509=1),COUNTIFS($A$200:A509,$AO$5,$B$200:B509,$AQ$3,$H$200:H509,1),0)</f>
        <v>0</v>
      </c>
      <c r="CN509">
        <f>IF(CA509="",310,1001)</f>
        <v>310</v>
      </c>
      <c r="GA509">
        <f t="shared" si="154"/>
        <v>0</v>
      </c>
      <c r="GB509">
        <f t="shared" si="155"/>
        <v>0</v>
      </c>
      <c r="GC509">
        <f>IF(AND(C509="事件记录",H509=1),COUNTIFS($C$200:C509,"事件记录",$H$200:H509,1),0)</f>
        <v>0</v>
      </c>
      <c r="GD509">
        <f t="shared" si="135"/>
        <v>0</v>
      </c>
      <c r="GH509">
        <f>IF(AND(H509=1,A509=$GA$10,B509=$GA$11),COUNTIFS($A$200:A509,$GA$10,$B$200:B509,$GA$11,$H$200:H509,1),0)</f>
        <v>0</v>
      </c>
    </row>
    <row r="510" spans="1:190">
      <c r="A510" t="str">
        <f t="shared" si="126"/>
        <v/>
      </c>
      <c r="B510" t="str">
        <f t="shared" si="127"/>
        <v/>
      </c>
      <c r="C510" t="str">
        <f t="shared" si="128"/>
        <v/>
      </c>
      <c r="D510" t="str">
        <f t="shared" si="129"/>
        <v/>
      </c>
      <c r="E510">
        <f t="shared" si="130"/>
        <v>0</v>
      </c>
      <c r="F510" t="str">
        <f t="shared" si="131"/>
        <v/>
      </c>
      <c r="G510">
        <f t="shared" si="132"/>
        <v>0</v>
      </c>
      <c r="H510">
        <f>IF(AND(G510=1,COUNTIFS($I$200:I510,I510,$G$200:G510,1)=1),1,0)</f>
        <v>0</v>
      </c>
      <c r="I510" t="str">
        <f t="shared" si="133"/>
        <v/>
      </c>
      <c r="BF510">
        <f t="shared" si="136"/>
        <v>0</v>
      </c>
      <c r="BG510">
        <f t="shared" si="137"/>
        <v>0</v>
      </c>
      <c r="BH510">
        <f t="shared" si="138"/>
        <v>0</v>
      </c>
      <c r="BI510">
        <f t="shared" si="139"/>
        <v>0</v>
      </c>
      <c r="BJ510">
        <f t="shared" si="140"/>
        <v>0</v>
      </c>
      <c r="BK510">
        <f t="shared" si="141"/>
        <v>0</v>
      </c>
      <c r="BL510">
        <f t="shared" si="142"/>
        <v>0</v>
      </c>
      <c r="BM510">
        <f t="shared" si="143"/>
        <v>0</v>
      </c>
      <c r="BN510">
        <f t="shared" si="144"/>
        <v>0</v>
      </c>
      <c r="BO510">
        <f t="shared" si="145"/>
        <v>0</v>
      </c>
      <c r="BP510">
        <f t="shared" si="146"/>
        <v>0</v>
      </c>
      <c r="BQ510">
        <f t="shared" si="147"/>
        <v>0</v>
      </c>
      <c r="BR510">
        <f t="shared" si="148"/>
        <v>0</v>
      </c>
      <c r="BS510">
        <f t="shared" si="149"/>
        <v>0</v>
      </c>
      <c r="BT510">
        <f t="shared" si="150"/>
        <v>0</v>
      </c>
      <c r="BU510">
        <f t="shared" si="151"/>
        <v>0</v>
      </c>
      <c r="BV510">
        <f t="shared" si="152"/>
        <v>0</v>
      </c>
      <c r="BW510">
        <f t="shared" si="153"/>
        <v>0</v>
      </c>
      <c r="CA510" t="str">
        <f>IF(311&gt;ROWS(DGArchive[模组]),"",IF(INDEX(DGArchive[模组],311)="","",INDEX(DGArchive[模组],311)))</f>
        <v/>
      </c>
      <c r="CB510" t="str">
        <f>IF(311&gt;ROWS(DGArchive[阶段]),"",IF(INDEX(DGArchive[阶段],311)="","",INDEX(DGArchive[阶段],311)))</f>
        <v/>
      </c>
      <c r="CC510" t="str">
        <f>IF(311&gt;ROWS(DGArchive[游戏内日期]),"",IF(INDEX(DGArchive[游戏内日期],311)="","",INDEX(DGArchive[游戏内日期],311)))</f>
        <v/>
      </c>
      <c r="CD510" t="str">
        <f>IF(311&gt;ROWS(DGArchive[目标]),"",IF(INDEX(DGArchive[目标],311)="","",INDEX(DGArchive[目标],311)))</f>
        <v/>
      </c>
      <c r="CE510" t="str">
        <f>IF(311&gt;ROWS(DGArchive[变更前]),"",IF(INDEX(DGArchive[变更前],311)="","",INDEX(DGArchive[变更前],311)))</f>
        <v/>
      </c>
      <c r="CF510" t="str">
        <f>IF(311&gt;ROWS(DGArchive[增减]),"",IF(INDEX(DGArchive[增减],311)="","",INDEX(DGArchive[增减],311)))</f>
        <v/>
      </c>
      <c r="CG510" t="str">
        <f>IF(311&gt;ROWS(DGArchive[变更后]),"",IF(INDEX(DGArchive[变更后],311)="","",INDEX(DGArchive[变更后],311)))</f>
        <v/>
      </c>
      <c r="CH510" t="str">
        <f>IF(311&gt;ROWS(DGArchive[事件／活动]),"",IF(INDEX(DGArchive[事件／活动],311)="","",INDEX(DGArchive[事件／活动],311)))</f>
        <v/>
      </c>
      <c r="CI510" t="str">
        <f>IF(311&gt;ROWS(DGArchive[记录编号]),"",IF(INDEX(DGArchive[记录编号],311)="","",INDEX(DGArchive[记录编号],311)))</f>
        <v/>
      </c>
      <c r="CL510">
        <f t="shared" si="134"/>
        <v>0</v>
      </c>
      <c r="CM510">
        <f>IF(AND(A510=$AO$5,B510=$AQ$3,H510=1),COUNTIFS($A$200:A510,$AO$5,$B$200:B510,$AQ$3,$H$200:H510,1),0)</f>
        <v>0</v>
      </c>
      <c r="CN510">
        <f>IF(CA510="",311,1001)</f>
        <v>311</v>
      </c>
      <c r="GA510">
        <f t="shared" si="154"/>
        <v>0</v>
      </c>
      <c r="GB510">
        <f t="shared" si="155"/>
        <v>0</v>
      </c>
      <c r="GC510">
        <f>IF(AND(C510="事件记录",H510=1),COUNTIFS($C$200:C510,"事件记录",$H$200:H510,1),0)</f>
        <v>0</v>
      </c>
      <c r="GD510">
        <f t="shared" si="135"/>
        <v>0</v>
      </c>
      <c r="GH510">
        <f>IF(AND(H510=1,A510=$GA$10,B510=$GA$11),COUNTIFS($A$200:A510,$GA$10,$B$200:B510,$GA$11,$H$200:H510,1),0)</f>
        <v>0</v>
      </c>
    </row>
    <row r="511" spans="1:190">
      <c r="A511" t="str">
        <f t="shared" si="126"/>
        <v/>
      </c>
      <c r="B511" t="str">
        <f t="shared" si="127"/>
        <v/>
      </c>
      <c r="C511" t="str">
        <f t="shared" si="128"/>
        <v/>
      </c>
      <c r="D511" t="str">
        <f t="shared" si="129"/>
        <v/>
      </c>
      <c r="E511">
        <f t="shared" si="130"/>
        <v>0</v>
      </c>
      <c r="F511" t="str">
        <f t="shared" si="131"/>
        <v/>
      </c>
      <c r="G511">
        <f t="shared" si="132"/>
        <v>0</v>
      </c>
      <c r="H511">
        <f>IF(AND(G511=1,COUNTIFS($I$200:I511,I511,$G$200:G511,1)=1),1,0)</f>
        <v>0</v>
      </c>
      <c r="I511" t="str">
        <f t="shared" si="133"/>
        <v/>
      </c>
      <c r="BF511">
        <f t="shared" si="136"/>
        <v>0</v>
      </c>
      <c r="BG511">
        <f t="shared" si="137"/>
        <v>0</v>
      </c>
      <c r="BH511">
        <f t="shared" si="138"/>
        <v>0</v>
      </c>
      <c r="BI511">
        <f t="shared" si="139"/>
        <v>0</v>
      </c>
      <c r="BJ511">
        <f t="shared" si="140"/>
        <v>0</v>
      </c>
      <c r="BK511">
        <f t="shared" si="141"/>
        <v>0</v>
      </c>
      <c r="BL511">
        <f t="shared" si="142"/>
        <v>0</v>
      </c>
      <c r="BM511">
        <f t="shared" si="143"/>
        <v>0</v>
      </c>
      <c r="BN511">
        <f t="shared" si="144"/>
        <v>0</v>
      </c>
      <c r="BO511">
        <f t="shared" si="145"/>
        <v>0</v>
      </c>
      <c r="BP511">
        <f t="shared" si="146"/>
        <v>0</v>
      </c>
      <c r="BQ511">
        <f t="shared" si="147"/>
        <v>0</v>
      </c>
      <c r="BR511">
        <f t="shared" si="148"/>
        <v>0</v>
      </c>
      <c r="BS511">
        <f t="shared" si="149"/>
        <v>0</v>
      </c>
      <c r="BT511">
        <f t="shared" si="150"/>
        <v>0</v>
      </c>
      <c r="BU511">
        <f t="shared" si="151"/>
        <v>0</v>
      </c>
      <c r="BV511">
        <f t="shared" si="152"/>
        <v>0</v>
      </c>
      <c r="BW511">
        <f t="shared" si="153"/>
        <v>0</v>
      </c>
      <c r="CA511" t="str">
        <f>IF(312&gt;ROWS(DGArchive[模组]),"",IF(INDEX(DGArchive[模组],312)="","",INDEX(DGArchive[模组],312)))</f>
        <v/>
      </c>
      <c r="CB511" t="str">
        <f>IF(312&gt;ROWS(DGArchive[阶段]),"",IF(INDEX(DGArchive[阶段],312)="","",INDEX(DGArchive[阶段],312)))</f>
        <v/>
      </c>
      <c r="CC511" t="str">
        <f>IF(312&gt;ROWS(DGArchive[游戏内日期]),"",IF(INDEX(DGArchive[游戏内日期],312)="","",INDEX(DGArchive[游戏内日期],312)))</f>
        <v/>
      </c>
      <c r="CD511" t="str">
        <f>IF(312&gt;ROWS(DGArchive[目标]),"",IF(INDEX(DGArchive[目标],312)="","",INDEX(DGArchive[目标],312)))</f>
        <v/>
      </c>
      <c r="CE511" t="str">
        <f>IF(312&gt;ROWS(DGArchive[变更前]),"",IF(INDEX(DGArchive[变更前],312)="","",INDEX(DGArchive[变更前],312)))</f>
        <v/>
      </c>
      <c r="CF511" t="str">
        <f>IF(312&gt;ROWS(DGArchive[增减]),"",IF(INDEX(DGArchive[增减],312)="","",INDEX(DGArchive[增减],312)))</f>
        <v/>
      </c>
      <c r="CG511" t="str">
        <f>IF(312&gt;ROWS(DGArchive[变更后]),"",IF(INDEX(DGArchive[变更后],312)="","",INDEX(DGArchive[变更后],312)))</f>
        <v/>
      </c>
      <c r="CH511" t="str">
        <f>IF(312&gt;ROWS(DGArchive[事件／活动]),"",IF(INDEX(DGArchive[事件／活动],312)="","",INDEX(DGArchive[事件／活动],312)))</f>
        <v/>
      </c>
      <c r="CI511" t="str">
        <f>IF(312&gt;ROWS(DGArchive[记录编号]),"",IF(INDEX(DGArchive[记录编号],312)="","",INDEX(DGArchive[记录编号],312)))</f>
        <v/>
      </c>
      <c r="CL511">
        <f t="shared" si="134"/>
        <v>0</v>
      </c>
      <c r="CM511">
        <f>IF(AND(A511=$AO$5,B511=$AQ$3,H511=1),COUNTIFS($A$200:A511,$AO$5,$B$200:B511,$AQ$3,$H$200:H511,1),0)</f>
        <v>0</v>
      </c>
      <c r="CN511">
        <f>IF(CA511="",312,1001)</f>
        <v>312</v>
      </c>
      <c r="GA511">
        <f t="shared" si="154"/>
        <v>0</v>
      </c>
      <c r="GB511">
        <f t="shared" si="155"/>
        <v>0</v>
      </c>
      <c r="GC511">
        <f>IF(AND(C511="事件记录",H511=1),COUNTIFS($C$200:C511,"事件记录",$H$200:H511,1),0)</f>
        <v>0</v>
      </c>
      <c r="GD511">
        <f t="shared" si="135"/>
        <v>0</v>
      </c>
      <c r="GH511">
        <f>IF(AND(H511=1,A511=$GA$10,B511=$GA$11),COUNTIFS($A$200:A511,$GA$10,$B$200:B511,$GA$11,$H$200:H511,1),0)</f>
        <v>0</v>
      </c>
    </row>
    <row r="512" spans="1:190">
      <c r="A512" t="str">
        <f t="shared" si="126"/>
        <v/>
      </c>
      <c r="B512" t="str">
        <f t="shared" si="127"/>
        <v/>
      </c>
      <c r="C512" t="str">
        <f t="shared" si="128"/>
        <v/>
      </c>
      <c r="D512" t="str">
        <f t="shared" si="129"/>
        <v/>
      </c>
      <c r="E512">
        <f t="shared" si="130"/>
        <v>0</v>
      </c>
      <c r="F512" t="str">
        <f t="shared" si="131"/>
        <v/>
      </c>
      <c r="G512">
        <f t="shared" si="132"/>
        <v>0</v>
      </c>
      <c r="H512">
        <f>IF(AND(G512=1,COUNTIFS($I$200:I512,I512,$G$200:G512,1)=1),1,0)</f>
        <v>0</v>
      </c>
      <c r="I512" t="str">
        <f t="shared" si="133"/>
        <v/>
      </c>
      <c r="BF512">
        <f t="shared" si="136"/>
        <v>0</v>
      </c>
      <c r="BG512">
        <f t="shared" si="137"/>
        <v>0</v>
      </c>
      <c r="BH512">
        <f t="shared" si="138"/>
        <v>0</v>
      </c>
      <c r="BI512">
        <f t="shared" si="139"/>
        <v>0</v>
      </c>
      <c r="BJ512">
        <f t="shared" si="140"/>
        <v>0</v>
      </c>
      <c r="BK512">
        <f t="shared" si="141"/>
        <v>0</v>
      </c>
      <c r="BL512">
        <f t="shared" si="142"/>
        <v>0</v>
      </c>
      <c r="BM512">
        <f t="shared" si="143"/>
        <v>0</v>
      </c>
      <c r="BN512">
        <f t="shared" si="144"/>
        <v>0</v>
      </c>
      <c r="BO512">
        <f t="shared" si="145"/>
        <v>0</v>
      </c>
      <c r="BP512">
        <f t="shared" si="146"/>
        <v>0</v>
      </c>
      <c r="BQ512">
        <f t="shared" si="147"/>
        <v>0</v>
      </c>
      <c r="BR512">
        <f t="shared" si="148"/>
        <v>0</v>
      </c>
      <c r="BS512">
        <f t="shared" si="149"/>
        <v>0</v>
      </c>
      <c r="BT512">
        <f t="shared" si="150"/>
        <v>0</v>
      </c>
      <c r="BU512">
        <f t="shared" si="151"/>
        <v>0</v>
      </c>
      <c r="BV512">
        <f t="shared" si="152"/>
        <v>0</v>
      </c>
      <c r="BW512">
        <f t="shared" si="153"/>
        <v>0</v>
      </c>
      <c r="CA512" t="str">
        <f>IF(313&gt;ROWS(DGArchive[模组]),"",IF(INDEX(DGArchive[模组],313)="","",INDEX(DGArchive[模组],313)))</f>
        <v/>
      </c>
      <c r="CB512" t="str">
        <f>IF(313&gt;ROWS(DGArchive[阶段]),"",IF(INDEX(DGArchive[阶段],313)="","",INDEX(DGArchive[阶段],313)))</f>
        <v/>
      </c>
      <c r="CC512" t="str">
        <f>IF(313&gt;ROWS(DGArchive[游戏内日期]),"",IF(INDEX(DGArchive[游戏内日期],313)="","",INDEX(DGArchive[游戏内日期],313)))</f>
        <v/>
      </c>
      <c r="CD512" t="str">
        <f>IF(313&gt;ROWS(DGArchive[目标]),"",IF(INDEX(DGArchive[目标],313)="","",INDEX(DGArchive[目标],313)))</f>
        <v/>
      </c>
      <c r="CE512" t="str">
        <f>IF(313&gt;ROWS(DGArchive[变更前]),"",IF(INDEX(DGArchive[变更前],313)="","",INDEX(DGArchive[变更前],313)))</f>
        <v/>
      </c>
      <c r="CF512" t="str">
        <f>IF(313&gt;ROWS(DGArchive[增减]),"",IF(INDEX(DGArchive[增减],313)="","",INDEX(DGArchive[增减],313)))</f>
        <v/>
      </c>
      <c r="CG512" t="str">
        <f>IF(313&gt;ROWS(DGArchive[变更后]),"",IF(INDEX(DGArchive[变更后],313)="","",INDEX(DGArchive[变更后],313)))</f>
        <v/>
      </c>
      <c r="CH512" t="str">
        <f>IF(313&gt;ROWS(DGArchive[事件／活动]),"",IF(INDEX(DGArchive[事件／活动],313)="","",INDEX(DGArchive[事件／活动],313)))</f>
        <v/>
      </c>
      <c r="CI512" t="str">
        <f>IF(313&gt;ROWS(DGArchive[记录编号]),"",IF(INDEX(DGArchive[记录编号],313)="","",INDEX(DGArchive[记录编号],313)))</f>
        <v/>
      </c>
      <c r="CL512">
        <f t="shared" si="134"/>
        <v>0</v>
      </c>
      <c r="CM512">
        <f>IF(AND(A512=$AO$5,B512=$AQ$3,H512=1),COUNTIFS($A$200:A512,$AO$5,$B$200:B512,$AQ$3,$H$200:H512,1),0)</f>
        <v>0</v>
      </c>
      <c r="CN512">
        <f>IF(CA512="",313,1001)</f>
        <v>313</v>
      </c>
      <c r="GA512">
        <f t="shared" si="154"/>
        <v>0</v>
      </c>
      <c r="GB512">
        <f t="shared" si="155"/>
        <v>0</v>
      </c>
      <c r="GC512">
        <f>IF(AND(C512="事件记录",H512=1),COUNTIFS($C$200:C512,"事件记录",$H$200:H512,1),0)</f>
        <v>0</v>
      </c>
      <c r="GD512">
        <f t="shared" si="135"/>
        <v>0</v>
      </c>
      <c r="GH512">
        <f>IF(AND(H512=1,A512=$GA$10,B512=$GA$11),COUNTIFS($A$200:A512,$GA$10,$B$200:B512,$GA$11,$H$200:H512,1),0)</f>
        <v>0</v>
      </c>
    </row>
    <row r="513" spans="1:190">
      <c r="A513" t="str">
        <f t="shared" si="126"/>
        <v/>
      </c>
      <c r="B513" t="str">
        <f t="shared" si="127"/>
        <v/>
      </c>
      <c r="C513" t="str">
        <f t="shared" si="128"/>
        <v/>
      </c>
      <c r="D513" t="str">
        <f t="shared" si="129"/>
        <v/>
      </c>
      <c r="E513">
        <f t="shared" si="130"/>
        <v>0</v>
      </c>
      <c r="F513" t="str">
        <f t="shared" si="131"/>
        <v/>
      </c>
      <c r="G513">
        <f t="shared" si="132"/>
        <v>0</v>
      </c>
      <c r="H513">
        <f>IF(AND(G513=1,COUNTIFS($I$200:I513,I513,$G$200:G513,1)=1),1,0)</f>
        <v>0</v>
      </c>
      <c r="I513" t="str">
        <f t="shared" si="133"/>
        <v/>
      </c>
      <c r="BF513">
        <f t="shared" si="136"/>
        <v>0</v>
      </c>
      <c r="BG513">
        <f t="shared" si="137"/>
        <v>0</v>
      </c>
      <c r="BH513">
        <f t="shared" si="138"/>
        <v>0</v>
      </c>
      <c r="BI513">
        <f t="shared" si="139"/>
        <v>0</v>
      </c>
      <c r="BJ513">
        <f t="shared" si="140"/>
        <v>0</v>
      </c>
      <c r="BK513">
        <f t="shared" si="141"/>
        <v>0</v>
      </c>
      <c r="BL513">
        <f t="shared" si="142"/>
        <v>0</v>
      </c>
      <c r="BM513">
        <f t="shared" si="143"/>
        <v>0</v>
      </c>
      <c r="BN513">
        <f t="shared" si="144"/>
        <v>0</v>
      </c>
      <c r="BO513">
        <f t="shared" si="145"/>
        <v>0</v>
      </c>
      <c r="BP513">
        <f t="shared" si="146"/>
        <v>0</v>
      </c>
      <c r="BQ513">
        <f t="shared" si="147"/>
        <v>0</v>
      </c>
      <c r="BR513">
        <f t="shared" si="148"/>
        <v>0</v>
      </c>
      <c r="BS513">
        <f t="shared" si="149"/>
        <v>0</v>
      </c>
      <c r="BT513">
        <f t="shared" si="150"/>
        <v>0</v>
      </c>
      <c r="BU513">
        <f t="shared" si="151"/>
        <v>0</v>
      </c>
      <c r="BV513">
        <f t="shared" si="152"/>
        <v>0</v>
      </c>
      <c r="BW513">
        <f t="shared" si="153"/>
        <v>0</v>
      </c>
      <c r="CA513" t="str">
        <f>IF(314&gt;ROWS(DGArchive[模组]),"",IF(INDEX(DGArchive[模组],314)="","",INDEX(DGArchive[模组],314)))</f>
        <v/>
      </c>
      <c r="CB513" t="str">
        <f>IF(314&gt;ROWS(DGArchive[阶段]),"",IF(INDEX(DGArchive[阶段],314)="","",INDEX(DGArchive[阶段],314)))</f>
        <v/>
      </c>
      <c r="CC513" t="str">
        <f>IF(314&gt;ROWS(DGArchive[游戏内日期]),"",IF(INDEX(DGArchive[游戏内日期],314)="","",INDEX(DGArchive[游戏内日期],314)))</f>
        <v/>
      </c>
      <c r="CD513" t="str">
        <f>IF(314&gt;ROWS(DGArchive[目标]),"",IF(INDEX(DGArchive[目标],314)="","",INDEX(DGArchive[目标],314)))</f>
        <v/>
      </c>
      <c r="CE513" t="str">
        <f>IF(314&gt;ROWS(DGArchive[变更前]),"",IF(INDEX(DGArchive[变更前],314)="","",INDEX(DGArchive[变更前],314)))</f>
        <v/>
      </c>
      <c r="CF513" t="str">
        <f>IF(314&gt;ROWS(DGArchive[增减]),"",IF(INDEX(DGArchive[增减],314)="","",INDEX(DGArchive[增减],314)))</f>
        <v/>
      </c>
      <c r="CG513" t="str">
        <f>IF(314&gt;ROWS(DGArchive[变更后]),"",IF(INDEX(DGArchive[变更后],314)="","",INDEX(DGArchive[变更后],314)))</f>
        <v/>
      </c>
      <c r="CH513" t="str">
        <f>IF(314&gt;ROWS(DGArchive[事件／活动]),"",IF(INDEX(DGArchive[事件／活动],314)="","",INDEX(DGArchive[事件／活动],314)))</f>
        <v/>
      </c>
      <c r="CI513" t="str">
        <f>IF(314&gt;ROWS(DGArchive[记录编号]),"",IF(INDEX(DGArchive[记录编号],314)="","",INDEX(DGArchive[记录编号],314)))</f>
        <v/>
      </c>
      <c r="CL513">
        <f t="shared" si="134"/>
        <v>0</v>
      </c>
      <c r="CM513">
        <f>IF(AND(A513=$AO$5,B513=$AQ$3,H513=1),COUNTIFS($A$200:A513,$AO$5,$B$200:B513,$AQ$3,$H$200:H513,1),0)</f>
        <v>0</v>
      </c>
      <c r="CN513">
        <f>IF(CA513="",314,1001)</f>
        <v>314</v>
      </c>
      <c r="GA513">
        <f t="shared" si="154"/>
        <v>0</v>
      </c>
      <c r="GB513">
        <f t="shared" si="155"/>
        <v>0</v>
      </c>
      <c r="GC513">
        <f>IF(AND(C513="事件记录",H513=1),COUNTIFS($C$200:C513,"事件记录",$H$200:H513,1),0)</f>
        <v>0</v>
      </c>
      <c r="GD513">
        <f t="shared" si="135"/>
        <v>0</v>
      </c>
      <c r="GH513">
        <f>IF(AND(H513=1,A513=$GA$10,B513=$GA$11),COUNTIFS($A$200:A513,$GA$10,$B$200:B513,$GA$11,$H$200:H513,1),0)</f>
        <v>0</v>
      </c>
    </row>
    <row r="514" spans="1:190">
      <c r="A514" t="str">
        <f t="shared" si="126"/>
        <v/>
      </c>
      <c r="B514" t="str">
        <f t="shared" si="127"/>
        <v/>
      </c>
      <c r="C514" t="str">
        <f t="shared" si="128"/>
        <v/>
      </c>
      <c r="D514" t="str">
        <f t="shared" si="129"/>
        <v/>
      </c>
      <c r="E514">
        <f t="shared" si="130"/>
        <v>0</v>
      </c>
      <c r="F514" t="str">
        <f t="shared" si="131"/>
        <v/>
      </c>
      <c r="G514">
        <f t="shared" si="132"/>
        <v>0</v>
      </c>
      <c r="H514">
        <f>IF(AND(G514=1,COUNTIFS($I$200:I514,I514,$G$200:G514,1)=1),1,0)</f>
        <v>0</v>
      </c>
      <c r="I514" t="str">
        <f t="shared" si="133"/>
        <v/>
      </c>
      <c r="BF514">
        <f t="shared" si="136"/>
        <v>0</v>
      </c>
      <c r="BG514">
        <f t="shared" si="137"/>
        <v>0</v>
      </c>
      <c r="BH514">
        <f t="shared" si="138"/>
        <v>0</v>
      </c>
      <c r="BI514">
        <f t="shared" si="139"/>
        <v>0</v>
      </c>
      <c r="BJ514">
        <f t="shared" si="140"/>
        <v>0</v>
      </c>
      <c r="BK514">
        <f t="shared" si="141"/>
        <v>0</v>
      </c>
      <c r="BL514">
        <f t="shared" si="142"/>
        <v>0</v>
      </c>
      <c r="BM514">
        <f t="shared" si="143"/>
        <v>0</v>
      </c>
      <c r="BN514">
        <f t="shared" si="144"/>
        <v>0</v>
      </c>
      <c r="BO514">
        <f t="shared" si="145"/>
        <v>0</v>
      </c>
      <c r="BP514">
        <f t="shared" si="146"/>
        <v>0</v>
      </c>
      <c r="BQ514">
        <f t="shared" si="147"/>
        <v>0</v>
      </c>
      <c r="BR514">
        <f t="shared" si="148"/>
        <v>0</v>
      </c>
      <c r="BS514">
        <f t="shared" si="149"/>
        <v>0</v>
      </c>
      <c r="BT514">
        <f t="shared" si="150"/>
        <v>0</v>
      </c>
      <c r="BU514">
        <f t="shared" si="151"/>
        <v>0</v>
      </c>
      <c r="BV514">
        <f t="shared" si="152"/>
        <v>0</v>
      </c>
      <c r="BW514">
        <f t="shared" si="153"/>
        <v>0</v>
      </c>
      <c r="CA514" t="str">
        <f>IF(315&gt;ROWS(DGArchive[模组]),"",IF(INDEX(DGArchive[模组],315)="","",INDEX(DGArchive[模组],315)))</f>
        <v/>
      </c>
      <c r="CB514" t="str">
        <f>IF(315&gt;ROWS(DGArchive[阶段]),"",IF(INDEX(DGArchive[阶段],315)="","",INDEX(DGArchive[阶段],315)))</f>
        <v/>
      </c>
      <c r="CC514" t="str">
        <f>IF(315&gt;ROWS(DGArchive[游戏内日期]),"",IF(INDEX(DGArchive[游戏内日期],315)="","",INDEX(DGArchive[游戏内日期],315)))</f>
        <v/>
      </c>
      <c r="CD514" t="str">
        <f>IF(315&gt;ROWS(DGArchive[目标]),"",IF(INDEX(DGArchive[目标],315)="","",INDEX(DGArchive[目标],315)))</f>
        <v/>
      </c>
      <c r="CE514" t="str">
        <f>IF(315&gt;ROWS(DGArchive[变更前]),"",IF(INDEX(DGArchive[变更前],315)="","",INDEX(DGArchive[变更前],315)))</f>
        <v/>
      </c>
      <c r="CF514" t="str">
        <f>IF(315&gt;ROWS(DGArchive[增减]),"",IF(INDEX(DGArchive[增减],315)="","",INDEX(DGArchive[增减],315)))</f>
        <v/>
      </c>
      <c r="CG514" t="str">
        <f>IF(315&gt;ROWS(DGArchive[变更后]),"",IF(INDEX(DGArchive[变更后],315)="","",INDEX(DGArchive[变更后],315)))</f>
        <v/>
      </c>
      <c r="CH514" t="str">
        <f>IF(315&gt;ROWS(DGArchive[事件／活动]),"",IF(INDEX(DGArchive[事件／活动],315)="","",INDEX(DGArchive[事件／活动],315)))</f>
        <v/>
      </c>
      <c r="CI514" t="str">
        <f>IF(315&gt;ROWS(DGArchive[记录编号]),"",IF(INDEX(DGArchive[记录编号],315)="","",INDEX(DGArchive[记录编号],315)))</f>
        <v/>
      </c>
      <c r="CL514">
        <f t="shared" si="134"/>
        <v>0</v>
      </c>
      <c r="CM514">
        <f>IF(AND(A514=$AO$5,B514=$AQ$3,H514=1),COUNTIFS($A$200:A514,$AO$5,$B$200:B514,$AQ$3,$H$200:H514,1),0)</f>
        <v>0</v>
      </c>
      <c r="CN514">
        <f>IF(CA514="",315,1001)</f>
        <v>315</v>
      </c>
      <c r="GA514">
        <f t="shared" si="154"/>
        <v>0</v>
      </c>
      <c r="GB514">
        <f t="shared" si="155"/>
        <v>0</v>
      </c>
      <c r="GC514">
        <f>IF(AND(C514="事件记录",H514=1),COUNTIFS($C$200:C514,"事件记录",$H$200:H514,1),0)</f>
        <v>0</v>
      </c>
      <c r="GD514">
        <f t="shared" si="135"/>
        <v>0</v>
      </c>
      <c r="GH514">
        <f>IF(AND(H514=1,A514=$GA$10,B514=$GA$11),COUNTIFS($A$200:A514,$GA$10,$B$200:B514,$GA$11,$H$200:H514,1),0)</f>
        <v>0</v>
      </c>
    </row>
    <row r="515" spans="1:190">
      <c r="A515" t="str">
        <f t="shared" si="126"/>
        <v/>
      </c>
      <c r="B515" t="str">
        <f t="shared" si="127"/>
        <v/>
      </c>
      <c r="C515" t="str">
        <f t="shared" si="128"/>
        <v/>
      </c>
      <c r="D515" t="str">
        <f t="shared" si="129"/>
        <v/>
      </c>
      <c r="E515">
        <f t="shared" si="130"/>
        <v>0</v>
      </c>
      <c r="F515" t="str">
        <f t="shared" si="131"/>
        <v/>
      </c>
      <c r="G515">
        <f t="shared" si="132"/>
        <v>0</v>
      </c>
      <c r="H515">
        <f>IF(AND(G515=1,COUNTIFS($I$200:I515,I515,$G$200:G515,1)=1),1,0)</f>
        <v>0</v>
      </c>
      <c r="I515" t="str">
        <f t="shared" si="133"/>
        <v/>
      </c>
      <c r="BF515">
        <f t="shared" si="136"/>
        <v>0</v>
      </c>
      <c r="BG515">
        <f t="shared" si="137"/>
        <v>0</v>
      </c>
      <c r="BH515">
        <f t="shared" si="138"/>
        <v>0</v>
      </c>
      <c r="BI515">
        <f t="shared" si="139"/>
        <v>0</v>
      </c>
      <c r="BJ515">
        <f t="shared" si="140"/>
        <v>0</v>
      </c>
      <c r="BK515">
        <f t="shared" si="141"/>
        <v>0</v>
      </c>
      <c r="BL515">
        <f t="shared" si="142"/>
        <v>0</v>
      </c>
      <c r="BM515">
        <f t="shared" si="143"/>
        <v>0</v>
      </c>
      <c r="BN515">
        <f t="shared" si="144"/>
        <v>0</v>
      </c>
      <c r="BO515">
        <f t="shared" si="145"/>
        <v>0</v>
      </c>
      <c r="BP515">
        <f t="shared" si="146"/>
        <v>0</v>
      </c>
      <c r="BQ515">
        <f t="shared" si="147"/>
        <v>0</v>
      </c>
      <c r="BR515">
        <f t="shared" si="148"/>
        <v>0</v>
      </c>
      <c r="BS515">
        <f t="shared" si="149"/>
        <v>0</v>
      </c>
      <c r="BT515">
        <f t="shared" si="150"/>
        <v>0</v>
      </c>
      <c r="BU515">
        <f t="shared" si="151"/>
        <v>0</v>
      </c>
      <c r="BV515">
        <f t="shared" si="152"/>
        <v>0</v>
      </c>
      <c r="BW515">
        <f t="shared" si="153"/>
        <v>0</v>
      </c>
      <c r="CA515" t="str">
        <f>IF(316&gt;ROWS(DGArchive[模组]),"",IF(INDEX(DGArchive[模组],316)="","",INDEX(DGArchive[模组],316)))</f>
        <v/>
      </c>
      <c r="CB515" t="str">
        <f>IF(316&gt;ROWS(DGArchive[阶段]),"",IF(INDEX(DGArchive[阶段],316)="","",INDEX(DGArchive[阶段],316)))</f>
        <v/>
      </c>
      <c r="CC515" t="str">
        <f>IF(316&gt;ROWS(DGArchive[游戏内日期]),"",IF(INDEX(DGArchive[游戏内日期],316)="","",INDEX(DGArchive[游戏内日期],316)))</f>
        <v/>
      </c>
      <c r="CD515" t="str">
        <f>IF(316&gt;ROWS(DGArchive[目标]),"",IF(INDEX(DGArchive[目标],316)="","",INDEX(DGArchive[目标],316)))</f>
        <v/>
      </c>
      <c r="CE515" t="str">
        <f>IF(316&gt;ROWS(DGArchive[变更前]),"",IF(INDEX(DGArchive[变更前],316)="","",INDEX(DGArchive[变更前],316)))</f>
        <v/>
      </c>
      <c r="CF515" t="str">
        <f>IF(316&gt;ROWS(DGArchive[增减]),"",IF(INDEX(DGArchive[增减],316)="","",INDEX(DGArchive[增减],316)))</f>
        <v/>
      </c>
      <c r="CG515" t="str">
        <f>IF(316&gt;ROWS(DGArchive[变更后]),"",IF(INDEX(DGArchive[变更后],316)="","",INDEX(DGArchive[变更后],316)))</f>
        <v/>
      </c>
      <c r="CH515" t="str">
        <f>IF(316&gt;ROWS(DGArchive[事件／活动]),"",IF(INDEX(DGArchive[事件／活动],316)="","",INDEX(DGArchive[事件／活动],316)))</f>
        <v/>
      </c>
      <c r="CI515" t="str">
        <f>IF(316&gt;ROWS(DGArchive[记录编号]),"",IF(INDEX(DGArchive[记录编号],316)="","",INDEX(DGArchive[记录编号],316)))</f>
        <v/>
      </c>
      <c r="CL515">
        <f t="shared" si="134"/>
        <v>0</v>
      </c>
      <c r="CM515">
        <f>IF(AND(A515=$AO$5,B515=$AQ$3,H515=1),COUNTIFS($A$200:A515,$AO$5,$B$200:B515,$AQ$3,$H$200:H515,1),0)</f>
        <v>0</v>
      </c>
      <c r="CN515">
        <f>IF(CA515="",316,1001)</f>
        <v>316</v>
      </c>
      <c r="GA515">
        <f t="shared" si="154"/>
        <v>0</v>
      </c>
      <c r="GB515">
        <f t="shared" si="155"/>
        <v>0</v>
      </c>
      <c r="GC515">
        <f>IF(AND(C515="事件记录",H515=1),COUNTIFS($C$200:C515,"事件记录",$H$200:H515,1),0)</f>
        <v>0</v>
      </c>
      <c r="GD515">
        <f t="shared" si="135"/>
        <v>0</v>
      </c>
      <c r="GH515">
        <f>IF(AND(H515=1,A515=$GA$10,B515=$GA$11),COUNTIFS($A$200:A515,$GA$10,$B$200:B515,$GA$11,$H$200:H515,1),0)</f>
        <v>0</v>
      </c>
    </row>
    <row r="516" spans="1:190">
      <c r="A516" t="str">
        <f t="shared" si="126"/>
        <v/>
      </c>
      <c r="B516" t="str">
        <f t="shared" si="127"/>
        <v/>
      </c>
      <c r="C516" t="str">
        <f t="shared" si="128"/>
        <v/>
      </c>
      <c r="D516" t="str">
        <f t="shared" si="129"/>
        <v/>
      </c>
      <c r="E516">
        <f t="shared" si="130"/>
        <v>0</v>
      </c>
      <c r="F516" t="str">
        <f t="shared" si="131"/>
        <v/>
      </c>
      <c r="G516">
        <f t="shared" si="132"/>
        <v>0</v>
      </c>
      <c r="H516">
        <f>IF(AND(G516=1,COUNTIFS($I$200:I516,I516,$G$200:G516,1)=1),1,0)</f>
        <v>0</v>
      </c>
      <c r="I516" t="str">
        <f t="shared" si="133"/>
        <v/>
      </c>
      <c r="BF516">
        <f t="shared" si="136"/>
        <v>0</v>
      </c>
      <c r="BG516">
        <f t="shared" si="137"/>
        <v>0</v>
      </c>
      <c r="BH516">
        <f t="shared" si="138"/>
        <v>0</v>
      </c>
      <c r="BI516">
        <f t="shared" si="139"/>
        <v>0</v>
      </c>
      <c r="BJ516">
        <f t="shared" si="140"/>
        <v>0</v>
      </c>
      <c r="BK516">
        <f t="shared" si="141"/>
        <v>0</v>
      </c>
      <c r="BL516">
        <f t="shared" si="142"/>
        <v>0</v>
      </c>
      <c r="BM516">
        <f t="shared" si="143"/>
        <v>0</v>
      </c>
      <c r="BN516">
        <f t="shared" si="144"/>
        <v>0</v>
      </c>
      <c r="BO516">
        <f t="shared" si="145"/>
        <v>0</v>
      </c>
      <c r="BP516">
        <f t="shared" si="146"/>
        <v>0</v>
      </c>
      <c r="BQ516">
        <f t="shared" si="147"/>
        <v>0</v>
      </c>
      <c r="BR516">
        <f t="shared" si="148"/>
        <v>0</v>
      </c>
      <c r="BS516">
        <f t="shared" si="149"/>
        <v>0</v>
      </c>
      <c r="BT516">
        <f t="shared" si="150"/>
        <v>0</v>
      </c>
      <c r="BU516">
        <f t="shared" si="151"/>
        <v>0</v>
      </c>
      <c r="BV516">
        <f t="shared" si="152"/>
        <v>0</v>
      </c>
      <c r="BW516">
        <f t="shared" si="153"/>
        <v>0</v>
      </c>
      <c r="CA516" t="str">
        <f>IF(317&gt;ROWS(DGArchive[模组]),"",IF(INDEX(DGArchive[模组],317)="","",INDEX(DGArchive[模组],317)))</f>
        <v/>
      </c>
      <c r="CB516" t="str">
        <f>IF(317&gt;ROWS(DGArchive[阶段]),"",IF(INDEX(DGArchive[阶段],317)="","",INDEX(DGArchive[阶段],317)))</f>
        <v/>
      </c>
      <c r="CC516" t="str">
        <f>IF(317&gt;ROWS(DGArchive[游戏内日期]),"",IF(INDEX(DGArchive[游戏内日期],317)="","",INDEX(DGArchive[游戏内日期],317)))</f>
        <v/>
      </c>
      <c r="CD516" t="str">
        <f>IF(317&gt;ROWS(DGArchive[目标]),"",IF(INDEX(DGArchive[目标],317)="","",INDEX(DGArchive[目标],317)))</f>
        <v/>
      </c>
      <c r="CE516" t="str">
        <f>IF(317&gt;ROWS(DGArchive[变更前]),"",IF(INDEX(DGArchive[变更前],317)="","",INDEX(DGArchive[变更前],317)))</f>
        <v/>
      </c>
      <c r="CF516" t="str">
        <f>IF(317&gt;ROWS(DGArchive[增减]),"",IF(INDEX(DGArchive[增减],317)="","",INDEX(DGArchive[增减],317)))</f>
        <v/>
      </c>
      <c r="CG516" t="str">
        <f>IF(317&gt;ROWS(DGArchive[变更后]),"",IF(INDEX(DGArchive[变更后],317)="","",INDEX(DGArchive[变更后],317)))</f>
        <v/>
      </c>
      <c r="CH516" t="str">
        <f>IF(317&gt;ROWS(DGArchive[事件／活动]),"",IF(INDEX(DGArchive[事件／活动],317)="","",INDEX(DGArchive[事件／活动],317)))</f>
        <v/>
      </c>
      <c r="CI516" t="str">
        <f>IF(317&gt;ROWS(DGArchive[记录编号]),"",IF(INDEX(DGArchive[记录编号],317)="","",INDEX(DGArchive[记录编号],317)))</f>
        <v/>
      </c>
      <c r="CL516">
        <f t="shared" si="134"/>
        <v>0</v>
      </c>
      <c r="CM516">
        <f>IF(AND(A516=$AO$5,B516=$AQ$3,H516=1),COUNTIFS($A$200:A516,$AO$5,$B$200:B516,$AQ$3,$H$200:H516,1),0)</f>
        <v>0</v>
      </c>
      <c r="CN516">
        <f>IF(CA516="",317,1001)</f>
        <v>317</v>
      </c>
      <c r="GA516">
        <f t="shared" si="154"/>
        <v>0</v>
      </c>
      <c r="GB516">
        <f t="shared" si="155"/>
        <v>0</v>
      </c>
      <c r="GC516">
        <f>IF(AND(C516="事件记录",H516=1),COUNTIFS($C$200:C516,"事件记录",$H$200:H516,1),0)</f>
        <v>0</v>
      </c>
      <c r="GD516">
        <f t="shared" si="135"/>
        <v>0</v>
      </c>
      <c r="GH516">
        <f>IF(AND(H516=1,A516=$GA$10,B516=$GA$11),COUNTIFS($A$200:A516,$GA$10,$B$200:B516,$GA$11,$H$200:H516,1),0)</f>
        <v>0</v>
      </c>
    </row>
    <row r="517" spans="1:190">
      <c r="A517" t="str">
        <f t="shared" si="126"/>
        <v/>
      </c>
      <c r="B517" t="str">
        <f t="shared" si="127"/>
        <v/>
      </c>
      <c r="C517" t="str">
        <f t="shared" si="128"/>
        <v/>
      </c>
      <c r="D517" t="str">
        <f t="shared" si="129"/>
        <v/>
      </c>
      <c r="E517">
        <f t="shared" si="130"/>
        <v>0</v>
      </c>
      <c r="F517" t="str">
        <f t="shared" si="131"/>
        <v/>
      </c>
      <c r="G517">
        <f t="shared" si="132"/>
        <v>0</v>
      </c>
      <c r="H517">
        <f>IF(AND(G517=1,COUNTIFS($I$200:I517,I517,$G$200:G517,1)=1),1,0)</f>
        <v>0</v>
      </c>
      <c r="I517" t="str">
        <f t="shared" si="133"/>
        <v/>
      </c>
      <c r="BF517">
        <f t="shared" si="136"/>
        <v>0</v>
      </c>
      <c r="BG517">
        <f t="shared" si="137"/>
        <v>0</v>
      </c>
      <c r="BH517">
        <f t="shared" si="138"/>
        <v>0</v>
      </c>
      <c r="BI517">
        <f t="shared" si="139"/>
        <v>0</v>
      </c>
      <c r="BJ517">
        <f t="shared" si="140"/>
        <v>0</v>
      </c>
      <c r="BK517">
        <f t="shared" si="141"/>
        <v>0</v>
      </c>
      <c r="BL517">
        <f t="shared" si="142"/>
        <v>0</v>
      </c>
      <c r="BM517">
        <f t="shared" si="143"/>
        <v>0</v>
      </c>
      <c r="BN517">
        <f t="shared" si="144"/>
        <v>0</v>
      </c>
      <c r="BO517">
        <f t="shared" si="145"/>
        <v>0</v>
      </c>
      <c r="BP517">
        <f t="shared" si="146"/>
        <v>0</v>
      </c>
      <c r="BQ517">
        <f t="shared" si="147"/>
        <v>0</v>
      </c>
      <c r="BR517">
        <f t="shared" si="148"/>
        <v>0</v>
      </c>
      <c r="BS517">
        <f t="shared" si="149"/>
        <v>0</v>
      </c>
      <c r="BT517">
        <f t="shared" si="150"/>
        <v>0</v>
      </c>
      <c r="BU517">
        <f t="shared" si="151"/>
        <v>0</v>
      </c>
      <c r="BV517">
        <f t="shared" si="152"/>
        <v>0</v>
      </c>
      <c r="BW517">
        <f t="shared" si="153"/>
        <v>0</v>
      </c>
      <c r="CA517" t="str">
        <f>IF(318&gt;ROWS(DGArchive[模组]),"",IF(INDEX(DGArchive[模组],318)="","",INDEX(DGArchive[模组],318)))</f>
        <v/>
      </c>
      <c r="CB517" t="str">
        <f>IF(318&gt;ROWS(DGArchive[阶段]),"",IF(INDEX(DGArchive[阶段],318)="","",INDEX(DGArchive[阶段],318)))</f>
        <v/>
      </c>
      <c r="CC517" t="str">
        <f>IF(318&gt;ROWS(DGArchive[游戏内日期]),"",IF(INDEX(DGArchive[游戏内日期],318)="","",INDEX(DGArchive[游戏内日期],318)))</f>
        <v/>
      </c>
      <c r="CD517" t="str">
        <f>IF(318&gt;ROWS(DGArchive[目标]),"",IF(INDEX(DGArchive[目标],318)="","",INDEX(DGArchive[目标],318)))</f>
        <v/>
      </c>
      <c r="CE517" t="str">
        <f>IF(318&gt;ROWS(DGArchive[变更前]),"",IF(INDEX(DGArchive[变更前],318)="","",INDEX(DGArchive[变更前],318)))</f>
        <v/>
      </c>
      <c r="CF517" t="str">
        <f>IF(318&gt;ROWS(DGArchive[增减]),"",IF(INDEX(DGArchive[增减],318)="","",INDEX(DGArchive[增减],318)))</f>
        <v/>
      </c>
      <c r="CG517" t="str">
        <f>IF(318&gt;ROWS(DGArchive[变更后]),"",IF(INDEX(DGArchive[变更后],318)="","",INDEX(DGArchive[变更后],318)))</f>
        <v/>
      </c>
      <c r="CH517" t="str">
        <f>IF(318&gt;ROWS(DGArchive[事件／活动]),"",IF(INDEX(DGArchive[事件／活动],318)="","",INDEX(DGArchive[事件／活动],318)))</f>
        <v/>
      </c>
      <c r="CI517" t="str">
        <f>IF(318&gt;ROWS(DGArchive[记录编号]),"",IF(INDEX(DGArchive[记录编号],318)="","",INDEX(DGArchive[记录编号],318)))</f>
        <v/>
      </c>
      <c r="CL517">
        <f t="shared" si="134"/>
        <v>0</v>
      </c>
      <c r="CM517">
        <f>IF(AND(A517=$AO$5,B517=$AQ$3,H517=1),COUNTIFS($A$200:A517,$AO$5,$B$200:B517,$AQ$3,$H$200:H517,1),0)</f>
        <v>0</v>
      </c>
      <c r="CN517">
        <f>IF(CA517="",318,1001)</f>
        <v>318</v>
      </c>
      <c r="GA517">
        <f t="shared" si="154"/>
        <v>0</v>
      </c>
      <c r="GB517">
        <f t="shared" si="155"/>
        <v>0</v>
      </c>
      <c r="GC517">
        <f>IF(AND(C517="事件记录",H517=1),COUNTIFS($C$200:C517,"事件记录",$H$200:H517,1),0)</f>
        <v>0</v>
      </c>
      <c r="GD517">
        <f t="shared" si="135"/>
        <v>0</v>
      </c>
      <c r="GH517">
        <f>IF(AND(H517=1,A517=$GA$10,B517=$GA$11),COUNTIFS($A$200:A517,$GA$10,$B$200:B517,$GA$11,$H$200:H517,1),0)</f>
        <v>0</v>
      </c>
    </row>
    <row r="518" spans="1:190">
      <c r="A518" t="str">
        <f t="shared" si="126"/>
        <v/>
      </c>
      <c r="B518" t="str">
        <f t="shared" si="127"/>
        <v/>
      </c>
      <c r="C518" t="str">
        <f t="shared" si="128"/>
        <v/>
      </c>
      <c r="D518" t="str">
        <f t="shared" si="129"/>
        <v/>
      </c>
      <c r="E518">
        <f t="shared" si="130"/>
        <v>0</v>
      </c>
      <c r="F518" t="str">
        <f t="shared" si="131"/>
        <v/>
      </c>
      <c r="G518">
        <f t="shared" si="132"/>
        <v>0</v>
      </c>
      <c r="H518">
        <f>IF(AND(G518=1,COUNTIFS($I$200:I518,I518,$G$200:G518,1)=1),1,0)</f>
        <v>0</v>
      </c>
      <c r="I518" t="str">
        <f t="shared" si="133"/>
        <v/>
      </c>
      <c r="BF518">
        <f t="shared" si="136"/>
        <v>0</v>
      </c>
      <c r="BG518">
        <f t="shared" si="137"/>
        <v>0</v>
      </c>
      <c r="BH518">
        <f t="shared" si="138"/>
        <v>0</v>
      </c>
      <c r="BI518">
        <f t="shared" si="139"/>
        <v>0</v>
      </c>
      <c r="BJ518">
        <f t="shared" si="140"/>
        <v>0</v>
      </c>
      <c r="BK518">
        <f t="shared" si="141"/>
        <v>0</v>
      </c>
      <c r="BL518">
        <f t="shared" si="142"/>
        <v>0</v>
      </c>
      <c r="BM518">
        <f t="shared" si="143"/>
        <v>0</v>
      </c>
      <c r="BN518">
        <f t="shared" si="144"/>
        <v>0</v>
      </c>
      <c r="BO518">
        <f t="shared" si="145"/>
        <v>0</v>
      </c>
      <c r="BP518">
        <f t="shared" si="146"/>
        <v>0</v>
      </c>
      <c r="BQ518">
        <f t="shared" si="147"/>
        <v>0</v>
      </c>
      <c r="BR518">
        <f t="shared" si="148"/>
        <v>0</v>
      </c>
      <c r="BS518">
        <f t="shared" si="149"/>
        <v>0</v>
      </c>
      <c r="BT518">
        <f t="shared" si="150"/>
        <v>0</v>
      </c>
      <c r="BU518">
        <f t="shared" si="151"/>
        <v>0</v>
      </c>
      <c r="BV518">
        <f t="shared" si="152"/>
        <v>0</v>
      </c>
      <c r="BW518">
        <f t="shared" si="153"/>
        <v>0</v>
      </c>
      <c r="CA518" t="str">
        <f>IF(319&gt;ROWS(DGArchive[模组]),"",IF(INDEX(DGArchive[模组],319)="","",INDEX(DGArchive[模组],319)))</f>
        <v/>
      </c>
      <c r="CB518" t="str">
        <f>IF(319&gt;ROWS(DGArchive[阶段]),"",IF(INDEX(DGArchive[阶段],319)="","",INDEX(DGArchive[阶段],319)))</f>
        <v/>
      </c>
      <c r="CC518" t="str">
        <f>IF(319&gt;ROWS(DGArchive[游戏内日期]),"",IF(INDEX(DGArchive[游戏内日期],319)="","",INDEX(DGArchive[游戏内日期],319)))</f>
        <v/>
      </c>
      <c r="CD518" t="str">
        <f>IF(319&gt;ROWS(DGArchive[目标]),"",IF(INDEX(DGArchive[目标],319)="","",INDEX(DGArchive[目标],319)))</f>
        <v/>
      </c>
      <c r="CE518" t="str">
        <f>IF(319&gt;ROWS(DGArchive[变更前]),"",IF(INDEX(DGArchive[变更前],319)="","",INDEX(DGArchive[变更前],319)))</f>
        <v/>
      </c>
      <c r="CF518" t="str">
        <f>IF(319&gt;ROWS(DGArchive[增减]),"",IF(INDEX(DGArchive[增减],319)="","",INDEX(DGArchive[增减],319)))</f>
        <v/>
      </c>
      <c r="CG518" t="str">
        <f>IF(319&gt;ROWS(DGArchive[变更后]),"",IF(INDEX(DGArchive[变更后],319)="","",INDEX(DGArchive[变更后],319)))</f>
        <v/>
      </c>
      <c r="CH518" t="str">
        <f>IF(319&gt;ROWS(DGArchive[事件／活动]),"",IF(INDEX(DGArchive[事件／活动],319)="","",INDEX(DGArchive[事件／活动],319)))</f>
        <v/>
      </c>
      <c r="CI518" t="str">
        <f>IF(319&gt;ROWS(DGArchive[记录编号]),"",IF(INDEX(DGArchive[记录编号],319)="","",INDEX(DGArchive[记录编号],319)))</f>
        <v/>
      </c>
      <c r="CL518">
        <f t="shared" si="134"/>
        <v>0</v>
      </c>
      <c r="CM518">
        <f>IF(AND(A518=$AO$5,B518=$AQ$3,H518=1),COUNTIFS($A$200:A518,$AO$5,$B$200:B518,$AQ$3,$H$200:H518,1),0)</f>
        <v>0</v>
      </c>
      <c r="CN518">
        <f>IF(CA518="",319,1001)</f>
        <v>319</v>
      </c>
      <c r="GA518">
        <f t="shared" si="154"/>
        <v>0</v>
      </c>
      <c r="GB518">
        <f t="shared" si="155"/>
        <v>0</v>
      </c>
      <c r="GC518">
        <f>IF(AND(C518="事件记录",H518=1),COUNTIFS($C$200:C518,"事件记录",$H$200:H518,1),0)</f>
        <v>0</v>
      </c>
      <c r="GD518">
        <f t="shared" si="135"/>
        <v>0</v>
      </c>
      <c r="GH518">
        <f>IF(AND(H518=1,A518=$GA$10,B518=$GA$11),COUNTIFS($A$200:A518,$GA$10,$B$200:B518,$GA$11,$H$200:H518,1),0)</f>
        <v>0</v>
      </c>
    </row>
    <row r="519" spans="1:190">
      <c r="A519" t="str">
        <f t="shared" si="126"/>
        <v/>
      </c>
      <c r="B519" t="str">
        <f t="shared" si="127"/>
        <v/>
      </c>
      <c r="C519" t="str">
        <f t="shared" si="128"/>
        <v/>
      </c>
      <c r="D519" t="str">
        <f t="shared" si="129"/>
        <v/>
      </c>
      <c r="E519">
        <f t="shared" si="130"/>
        <v>0</v>
      </c>
      <c r="F519" t="str">
        <f t="shared" si="131"/>
        <v/>
      </c>
      <c r="G519">
        <f t="shared" si="132"/>
        <v>0</v>
      </c>
      <c r="H519">
        <f>IF(AND(G519=1,COUNTIFS($I$200:I519,I519,$G$200:G519,1)=1),1,0)</f>
        <v>0</v>
      </c>
      <c r="I519" t="str">
        <f t="shared" si="133"/>
        <v/>
      </c>
      <c r="BF519">
        <f t="shared" si="136"/>
        <v>0</v>
      </c>
      <c r="BG519">
        <f t="shared" si="137"/>
        <v>0</v>
      </c>
      <c r="BH519">
        <f t="shared" si="138"/>
        <v>0</v>
      </c>
      <c r="BI519">
        <f t="shared" si="139"/>
        <v>0</v>
      </c>
      <c r="BJ519">
        <f t="shared" si="140"/>
        <v>0</v>
      </c>
      <c r="BK519">
        <f t="shared" si="141"/>
        <v>0</v>
      </c>
      <c r="BL519">
        <f t="shared" si="142"/>
        <v>0</v>
      </c>
      <c r="BM519">
        <f t="shared" si="143"/>
        <v>0</v>
      </c>
      <c r="BN519">
        <f t="shared" si="144"/>
        <v>0</v>
      </c>
      <c r="BO519">
        <f t="shared" si="145"/>
        <v>0</v>
      </c>
      <c r="BP519">
        <f t="shared" si="146"/>
        <v>0</v>
      </c>
      <c r="BQ519">
        <f t="shared" si="147"/>
        <v>0</v>
      </c>
      <c r="BR519">
        <f t="shared" si="148"/>
        <v>0</v>
      </c>
      <c r="BS519">
        <f t="shared" si="149"/>
        <v>0</v>
      </c>
      <c r="BT519">
        <f t="shared" si="150"/>
        <v>0</v>
      </c>
      <c r="BU519">
        <f t="shared" si="151"/>
        <v>0</v>
      </c>
      <c r="BV519">
        <f t="shared" si="152"/>
        <v>0</v>
      </c>
      <c r="BW519">
        <f t="shared" si="153"/>
        <v>0</v>
      </c>
      <c r="CA519" t="str">
        <f>IF(320&gt;ROWS(DGArchive[模组]),"",IF(INDEX(DGArchive[模组],320)="","",INDEX(DGArchive[模组],320)))</f>
        <v/>
      </c>
      <c r="CB519" t="str">
        <f>IF(320&gt;ROWS(DGArchive[阶段]),"",IF(INDEX(DGArchive[阶段],320)="","",INDEX(DGArchive[阶段],320)))</f>
        <v/>
      </c>
      <c r="CC519" t="str">
        <f>IF(320&gt;ROWS(DGArchive[游戏内日期]),"",IF(INDEX(DGArchive[游戏内日期],320)="","",INDEX(DGArchive[游戏内日期],320)))</f>
        <v/>
      </c>
      <c r="CD519" t="str">
        <f>IF(320&gt;ROWS(DGArchive[目标]),"",IF(INDEX(DGArchive[目标],320)="","",INDEX(DGArchive[目标],320)))</f>
        <v/>
      </c>
      <c r="CE519" t="str">
        <f>IF(320&gt;ROWS(DGArchive[变更前]),"",IF(INDEX(DGArchive[变更前],320)="","",INDEX(DGArchive[变更前],320)))</f>
        <v/>
      </c>
      <c r="CF519" t="str">
        <f>IF(320&gt;ROWS(DGArchive[增减]),"",IF(INDEX(DGArchive[增减],320)="","",INDEX(DGArchive[增减],320)))</f>
        <v/>
      </c>
      <c r="CG519" t="str">
        <f>IF(320&gt;ROWS(DGArchive[变更后]),"",IF(INDEX(DGArchive[变更后],320)="","",INDEX(DGArchive[变更后],320)))</f>
        <v/>
      </c>
      <c r="CH519" t="str">
        <f>IF(320&gt;ROWS(DGArchive[事件／活动]),"",IF(INDEX(DGArchive[事件／活动],320)="","",INDEX(DGArchive[事件／活动],320)))</f>
        <v/>
      </c>
      <c r="CI519" t="str">
        <f>IF(320&gt;ROWS(DGArchive[记录编号]),"",IF(INDEX(DGArchive[记录编号],320)="","",INDEX(DGArchive[记录编号],320)))</f>
        <v/>
      </c>
      <c r="CL519">
        <f t="shared" si="134"/>
        <v>0</v>
      </c>
      <c r="CM519">
        <f>IF(AND(A519=$AO$5,B519=$AQ$3,H519=1),COUNTIFS($A$200:A519,$AO$5,$B$200:B519,$AQ$3,$H$200:H519,1),0)</f>
        <v>0</v>
      </c>
      <c r="CN519">
        <f>IF(CA519="",320,1001)</f>
        <v>320</v>
      </c>
      <c r="GA519">
        <f t="shared" si="154"/>
        <v>0</v>
      </c>
      <c r="GB519">
        <f t="shared" si="155"/>
        <v>0</v>
      </c>
      <c r="GC519">
        <f>IF(AND(C519="事件记录",H519=1),COUNTIFS($C$200:C519,"事件记录",$H$200:H519,1),0)</f>
        <v>0</v>
      </c>
      <c r="GD519">
        <f t="shared" si="135"/>
        <v>0</v>
      </c>
      <c r="GH519">
        <f>IF(AND(H519=1,A519=$GA$10,B519=$GA$11),COUNTIFS($A$200:A519,$GA$10,$B$200:B519,$GA$11,$H$200:H519,1),0)</f>
        <v>0</v>
      </c>
    </row>
    <row r="520" spans="1:190">
      <c r="A520" t="str">
        <f t="shared" ref="A520:A583" si="156">IFERROR(TEXT(VALUE(CA520),"00"),"")</f>
        <v/>
      </c>
      <c r="B520" t="str">
        <f t="shared" ref="B520:B583" si="157">CB520</f>
        <v/>
      </c>
      <c r="C520" t="str">
        <f t="shared" ref="C520:C583" si="158">CD520</f>
        <v/>
      </c>
      <c r="D520" t="str">
        <f t="shared" ref="D520:D583" si="159">CF520</f>
        <v/>
      </c>
      <c r="E520">
        <f t="shared" ref="E520:E583" si="160">IF(H520=1,MAX(-CE520,MIN(D520,IF(LEFT(C520,3)="技能：",99,IF(COUNTIF($L$2:$L$7,C520)&gt;0,18,999))-CE520)),0)</f>
        <v>0</v>
      </c>
      <c r="F520" t="str">
        <f t="shared" ref="F520:F583" si="161">IF(OR(C520=0,C520=""),"",IF(G520=0,"记录不完整",IF(H520=0,"重复未计","已计入")))</f>
        <v/>
      </c>
      <c r="G520">
        <f t="shared" ref="G520:G583" si="162">IF(AND(AND(CA520&lt;&gt;"",CB520&lt;&gt;"",CI520&lt;&gt;"",OR(LEFT(C520,3)="技能：",COUNTIF($L$2:$L$19,C520)&gt;0,C520="事件记录",C520="暴力进度",C520="无力进度"),ISNUMBER(CE520),ISNUMBER(CF520),ISNUMBER(CG520),CE520&gt;=0,CG520=SUM(CE520,CF520)),OR(B520&lt;&gt;"成长",AND(LEFT(C520,3)="技能：",C520&lt;&gt;"技能：非自然知识",CE520&gt;=1,CE520&lt;=99,CF520&gt;=0,CF520&lt;=4,CG520&lt;=99))),1,0)</f>
        <v>0</v>
      </c>
      <c r="H520">
        <f>IF(AND(G520=1,COUNTIFS($I$200:I520,I520,$G$200:G520,1)=1),1,0)</f>
        <v>0</v>
      </c>
      <c r="I520" t="str">
        <f t="shared" ref="I520:I583" si="163">IF(G520=1,IF(B520="成长",A520&amp;"-成长-"&amp;C520,CI520),"")</f>
        <v/>
      </c>
      <c r="BF520">
        <f t="shared" si="136"/>
        <v>0</v>
      </c>
      <c r="BG520">
        <f t="shared" si="137"/>
        <v>0</v>
      </c>
      <c r="BH520">
        <f t="shared" si="138"/>
        <v>0</v>
      </c>
      <c r="BI520">
        <f t="shared" si="139"/>
        <v>0</v>
      </c>
      <c r="BJ520">
        <f t="shared" si="140"/>
        <v>0</v>
      </c>
      <c r="BK520">
        <f t="shared" si="141"/>
        <v>0</v>
      </c>
      <c r="BL520">
        <f t="shared" si="142"/>
        <v>0</v>
      </c>
      <c r="BM520">
        <f t="shared" si="143"/>
        <v>0</v>
      </c>
      <c r="BN520">
        <f t="shared" si="144"/>
        <v>0</v>
      </c>
      <c r="BO520">
        <f t="shared" si="145"/>
        <v>0</v>
      </c>
      <c r="BP520">
        <f t="shared" si="146"/>
        <v>0</v>
      </c>
      <c r="BQ520">
        <f t="shared" si="147"/>
        <v>0</v>
      </c>
      <c r="BR520">
        <f t="shared" si="148"/>
        <v>0</v>
      </c>
      <c r="BS520">
        <f t="shared" si="149"/>
        <v>0</v>
      </c>
      <c r="BT520">
        <f t="shared" si="150"/>
        <v>0</v>
      </c>
      <c r="BU520">
        <f t="shared" si="151"/>
        <v>0</v>
      </c>
      <c r="BV520">
        <f t="shared" si="152"/>
        <v>0</v>
      </c>
      <c r="BW520">
        <f t="shared" si="153"/>
        <v>0</v>
      </c>
      <c r="CA520" t="str">
        <f>IF(321&gt;ROWS(DGArchive[模组]),"",IF(INDEX(DGArchive[模组],321)="","",INDEX(DGArchive[模组],321)))</f>
        <v/>
      </c>
      <c r="CB520" t="str">
        <f>IF(321&gt;ROWS(DGArchive[阶段]),"",IF(INDEX(DGArchive[阶段],321)="","",INDEX(DGArchive[阶段],321)))</f>
        <v/>
      </c>
      <c r="CC520" t="str">
        <f>IF(321&gt;ROWS(DGArchive[游戏内日期]),"",IF(INDEX(DGArchive[游戏内日期],321)="","",INDEX(DGArchive[游戏内日期],321)))</f>
        <v/>
      </c>
      <c r="CD520" t="str">
        <f>IF(321&gt;ROWS(DGArchive[目标]),"",IF(INDEX(DGArchive[目标],321)="","",INDEX(DGArchive[目标],321)))</f>
        <v/>
      </c>
      <c r="CE520" t="str">
        <f>IF(321&gt;ROWS(DGArchive[变更前]),"",IF(INDEX(DGArchive[变更前],321)="","",INDEX(DGArchive[变更前],321)))</f>
        <v/>
      </c>
      <c r="CF520" t="str">
        <f>IF(321&gt;ROWS(DGArchive[增减]),"",IF(INDEX(DGArchive[增减],321)="","",INDEX(DGArchive[增减],321)))</f>
        <v/>
      </c>
      <c r="CG520" t="str">
        <f>IF(321&gt;ROWS(DGArchive[变更后]),"",IF(INDEX(DGArchive[变更后],321)="","",INDEX(DGArchive[变更后],321)))</f>
        <v/>
      </c>
      <c r="CH520" t="str">
        <f>IF(321&gt;ROWS(DGArchive[事件／活动]),"",IF(INDEX(DGArchive[事件／活动],321)="","",INDEX(DGArchive[事件／活动],321)))</f>
        <v/>
      </c>
      <c r="CI520" t="str">
        <f>IF(321&gt;ROWS(DGArchive[记录编号]),"",IF(INDEX(DGArchive[记录编号],321)="","",INDEX(DGArchive[记录编号],321)))</f>
        <v/>
      </c>
      <c r="CL520">
        <f t="shared" ref="CL520:CL583" si="164">IF(AND(A520=$AO$5,H520=1,LEFT(B520,2)="幕间"),IFERROR(VALUE(MID(B520,3,20)),0),0)</f>
        <v>0</v>
      </c>
      <c r="CM520">
        <f>IF(AND(A520=$AO$5,B520=$AQ$3,H520=1),COUNTIFS($A$200:A520,$AO$5,$B$200:B520,$AQ$3,$H$200:H520,1),0)</f>
        <v>0</v>
      </c>
      <c r="CN520">
        <f>IF(CA520="",321,1001)</f>
        <v>321</v>
      </c>
      <c r="GA520">
        <f t="shared" si="154"/>
        <v>0</v>
      </c>
      <c r="GB520">
        <f t="shared" si="155"/>
        <v>0</v>
      </c>
      <c r="GC520">
        <f>IF(AND(C520="事件记录",H520=1),COUNTIFS($C$200:C520,"事件记录",$H$200:H520,1),0)</f>
        <v>0</v>
      </c>
      <c r="GD520">
        <f t="shared" ref="GD520:GD583" si="165">IF(AND(H520=1,A520=$GA$10,LEFT(B520,2)="事件"),IFERROR(VALUE(MID(B520,3,20)),0),0)</f>
        <v>0</v>
      </c>
      <c r="GH520">
        <f>IF(AND(H520=1,A520=$GA$10,B520=$GA$11),COUNTIFS($A$200:A520,$GA$10,$B$200:B520,$GA$11,$H$200:H520,1),0)</f>
        <v>0</v>
      </c>
    </row>
    <row r="521" spans="1:190">
      <c r="A521" t="str">
        <f t="shared" si="156"/>
        <v/>
      </c>
      <c r="B521" t="str">
        <f t="shared" si="157"/>
        <v/>
      </c>
      <c r="C521" t="str">
        <f t="shared" si="158"/>
        <v/>
      </c>
      <c r="D521" t="str">
        <f t="shared" si="159"/>
        <v/>
      </c>
      <c r="E521">
        <f t="shared" si="160"/>
        <v>0</v>
      </c>
      <c r="F521" t="str">
        <f t="shared" si="161"/>
        <v/>
      </c>
      <c r="G521">
        <f t="shared" si="162"/>
        <v>0</v>
      </c>
      <c r="H521">
        <f>IF(AND(G521=1,COUNTIFS($I$200:I521,I521,$G$200:G521,1)=1),1,0)</f>
        <v>0</v>
      </c>
      <c r="I521" t="str">
        <f t="shared" si="163"/>
        <v/>
      </c>
      <c r="BF521">
        <f t="shared" ref="BF521:BF584" si="166">MAX(0,MIN(18,BF520+IF(C521="力量",E521,0)))</f>
        <v>0</v>
      </c>
      <c r="BG521">
        <f t="shared" ref="BG521:BG584" si="167">MAX(0,MIN(18,BG520+IF(C521="体质",E521,0)))</f>
        <v>0</v>
      </c>
      <c r="BH521">
        <f t="shared" ref="BH521:BH584" si="168">MAX(0,MIN(18,BH520+IF(C521="敏捷",E521,0)))</f>
        <v>0</v>
      </c>
      <c r="BI521">
        <f t="shared" ref="BI521:BI584" si="169">MAX(0,MIN(18,BI520+IF(C521="智力",E521,0)))</f>
        <v>0</v>
      </c>
      <c r="BJ521">
        <f t="shared" ref="BJ521:BJ584" si="170">MAX(0,MIN(18,BJ520+IF(C521="意志",E521,0)))</f>
        <v>0</v>
      </c>
      <c r="BK521">
        <f t="shared" ref="BK521:BK584" si="171">MAX(0,MIN(18,BK520+IF(C521="魅力",E521,0)))</f>
        <v>0</v>
      </c>
      <c r="BL521">
        <f t="shared" ref="BL521:BL584" si="172">MAX(0,MIN(99,BL520+IF(C521="技能：非自然知识",E521,0)))</f>
        <v>0</v>
      </c>
      <c r="BM521">
        <f t="shared" ref="BM521:BM584" si="173">MAX(0,MIN(CEILING((BF521+BG521)/2,1),BM520+IF(C521="体力",E521,0)))</f>
        <v>0</v>
      </c>
      <c r="BN521">
        <f t="shared" ref="BN521:BN584" si="174">MAX(0,MIN(BJ521,BN520+IF(C521="毅力",E521,0)))</f>
        <v>0</v>
      </c>
      <c r="BO521">
        <f t="shared" ref="BO521:BO584" si="175">MAX(0,MIN(99-BL521,BO520+IF(C521="理智",E521,0)))</f>
        <v>0</v>
      </c>
      <c r="BP521">
        <f t="shared" ref="BP521:BP584" si="176">MAX(0,MIN(99,BP520+IF(C521="崩溃点",E521,0)))</f>
        <v>0</v>
      </c>
      <c r="BQ521">
        <f t="shared" ref="BQ521:BQ584" si="177">MAX(0,MIN(BK521,IF(AND(H521=1,C521="重要关系1",LEFT(CH521,8)="建立新的重要关系"),CE521+E521,IF(BQ520=0,0,BQ520+IF(C521="重要关系1",E521,0))+IF(AND(C521="魅力",E521&lt;0),E521,0))))</f>
        <v>0</v>
      </c>
      <c r="BR521">
        <f t="shared" ref="BR521:BR584" si="178">MAX(0,MIN(BK521,IF(AND(H521=1,C521="重要关系2",LEFT(CH521,8)="建立新的重要关系"),CE521+E521,IF(BR520=0,0,BR520+IF(C521="重要关系2",E521,0))+IF(AND(C521="魅力",E521&lt;0),E521,0))))</f>
        <v>0</v>
      </c>
      <c r="BS521">
        <f t="shared" ref="BS521:BS584" si="179">MAX(0,MIN(BK521,IF(AND(H521=1,C521="重要关系3",LEFT(CH521,8)="建立新的重要关系"),CE521+E521,IF(BS520=0,0,BS520+IF(C521="重要关系3",E521,0))+IF(AND(C521="魅力",E521&lt;0),E521,0))))</f>
        <v>0</v>
      </c>
      <c r="BT521">
        <f t="shared" ref="BT521:BT584" si="180">MAX(0,MIN(BK521,IF(AND(H521=1,C521="重要关系4",LEFT(CH521,8)="建立新的重要关系"),CE521+E521,IF(BT520=0,0,BT520+IF(C521="重要关系4",E521,0))+IF(AND(C521="魅力",E521&lt;0),E521,0))))</f>
        <v>0</v>
      </c>
      <c r="BU521">
        <f t="shared" ref="BU521:BU584" si="181">MAX(0,MIN(BK521,IF(AND(H521=1,C521="重要关系5",LEFT(CH521,8)="建立新的重要关系"),CE521+E521,IF(BU520=0,0,BU520+IF(C521="重要关系5",E521,0))+IF(AND(C521="魅力",E521&lt;0),E521,0))))</f>
        <v>0</v>
      </c>
      <c r="BV521">
        <f t="shared" ref="BV521:BV584" si="182">MAX(0,MIN(BK521,IF(AND(H521=1,C521="重要关系6",LEFT(CH521,8)="建立新的重要关系"),CE521+E521,IF(BV520=0,0,BV520+IF(C521="重要关系6",E521,0))+IF(AND(C521="魅力",E521&lt;0),E521,0))))</f>
        <v>0</v>
      </c>
      <c r="BW521">
        <f t="shared" ref="BW521:BW584" si="183">MAX(0,MIN(BK521,IF(AND(H521=1,C521="重要关系7",LEFT(CH521,8)="建立新的重要关系"),CE521+E521,IF(BW520=0,0,BW520+IF(C521="重要关系7",E521,0))+IF(AND(C521="魅力",E521&lt;0),E521,0))))</f>
        <v>0</v>
      </c>
      <c r="CA521" t="str">
        <f>IF(322&gt;ROWS(DGArchive[模组]),"",IF(INDEX(DGArchive[模组],322)="","",INDEX(DGArchive[模组],322)))</f>
        <v/>
      </c>
      <c r="CB521" t="str">
        <f>IF(322&gt;ROWS(DGArchive[阶段]),"",IF(INDEX(DGArchive[阶段],322)="","",INDEX(DGArchive[阶段],322)))</f>
        <v/>
      </c>
      <c r="CC521" t="str">
        <f>IF(322&gt;ROWS(DGArchive[游戏内日期]),"",IF(INDEX(DGArchive[游戏内日期],322)="","",INDEX(DGArchive[游戏内日期],322)))</f>
        <v/>
      </c>
      <c r="CD521" t="str">
        <f>IF(322&gt;ROWS(DGArchive[目标]),"",IF(INDEX(DGArchive[目标],322)="","",INDEX(DGArchive[目标],322)))</f>
        <v/>
      </c>
      <c r="CE521" t="str">
        <f>IF(322&gt;ROWS(DGArchive[变更前]),"",IF(INDEX(DGArchive[变更前],322)="","",INDEX(DGArchive[变更前],322)))</f>
        <v/>
      </c>
      <c r="CF521" t="str">
        <f>IF(322&gt;ROWS(DGArchive[增减]),"",IF(INDEX(DGArchive[增减],322)="","",INDEX(DGArchive[增减],322)))</f>
        <v/>
      </c>
      <c r="CG521" t="str">
        <f>IF(322&gt;ROWS(DGArchive[变更后]),"",IF(INDEX(DGArchive[变更后],322)="","",INDEX(DGArchive[变更后],322)))</f>
        <v/>
      </c>
      <c r="CH521" t="str">
        <f>IF(322&gt;ROWS(DGArchive[事件／活动]),"",IF(INDEX(DGArchive[事件／活动],322)="","",INDEX(DGArchive[事件／活动],322)))</f>
        <v/>
      </c>
      <c r="CI521" t="str">
        <f>IF(322&gt;ROWS(DGArchive[记录编号]),"",IF(INDEX(DGArchive[记录编号],322)="","",INDEX(DGArchive[记录编号],322)))</f>
        <v/>
      </c>
      <c r="CL521">
        <f t="shared" si="164"/>
        <v>0</v>
      </c>
      <c r="CM521">
        <f>IF(AND(A521=$AO$5,B521=$AQ$3,H521=1),COUNTIFS($A$200:A521,$AO$5,$B$200:B521,$AQ$3,$H$200:H521,1),0)</f>
        <v>0</v>
      </c>
      <c r="CN521">
        <f>IF(CA521="",322,1001)</f>
        <v>322</v>
      </c>
      <c r="GA521">
        <f t="shared" ref="GA521:GA584" si="184">MAX(0,MIN(3,GA520+IF(C521="暴力进度",E521,0)))</f>
        <v>0</v>
      </c>
      <c r="GB521">
        <f t="shared" ref="GB521:GB584" si="185">MAX(0,MIN(3,GB520+IF(C521="无力进度",E521,0)))</f>
        <v>0</v>
      </c>
      <c r="GC521">
        <f>IF(AND(C521="事件记录",H521=1),COUNTIFS($C$200:C521,"事件记录",$H$200:H521,1),0)</f>
        <v>0</v>
      </c>
      <c r="GD521">
        <f t="shared" si="165"/>
        <v>0</v>
      </c>
      <c r="GH521">
        <f>IF(AND(H521=1,A521=$GA$10,B521=$GA$11),COUNTIFS($A$200:A521,$GA$10,$B$200:B521,$GA$11,$H$200:H521,1),0)</f>
        <v>0</v>
      </c>
    </row>
    <row r="522" spans="1:190">
      <c r="A522" t="str">
        <f t="shared" si="156"/>
        <v/>
      </c>
      <c r="B522" t="str">
        <f t="shared" si="157"/>
        <v/>
      </c>
      <c r="C522" t="str">
        <f t="shared" si="158"/>
        <v/>
      </c>
      <c r="D522" t="str">
        <f t="shared" si="159"/>
        <v/>
      </c>
      <c r="E522">
        <f t="shared" si="160"/>
        <v>0</v>
      </c>
      <c r="F522" t="str">
        <f t="shared" si="161"/>
        <v/>
      </c>
      <c r="G522">
        <f t="shared" si="162"/>
        <v>0</v>
      </c>
      <c r="H522">
        <f>IF(AND(G522=1,COUNTIFS($I$200:I522,I522,$G$200:G522,1)=1),1,0)</f>
        <v>0</v>
      </c>
      <c r="I522" t="str">
        <f t="shared" si="163"/>
        <v/>
      </c>
      <c r="BF522">
        <f t="shared" si="166"/>
        <v>0</v>
      </c>
      <c r="BG522">
        <f t="shared" si="167"/>
        <v>0</v>
      </c>
      <c r="BH522">
        <f t="shared" si="168"/>
        <v>0</v>
      </c>
      <c r="BI522">
        <f t="shared" si="169"/>
        <v>0</v>
      </c>
      <c r="BJ522">
        <f t="shared" si="170"/>
        <v>0</v>
      </c>
      <c r="BK522">
        <f t="shared" si="171"/>
        <v>0</v>
      </c>
      <c r="BL522">
        <f t="shared" si="172"/>
        <v>0</v>
      </c>
      <c r="BM522">
        <f t="shared" si="173"/>
        <v>0</v>
      </c>
      <c r="BN522">
        <f t="shared" si="174"/>
        <v>0</v>
      </c>
      <c r="BO522">
        <f t="shared" si="175"/>
        <v>0</v>
      </c>
      <c r="BP522">
        <f t="shared" si="176"/>
        <v>0</v>
      </c>
      <c r="BQ522">
        <f t="shared" si="177"/>
        <v>0</v>
      </c>
      <c r="BR522">
        <f t="shared" si="178"/>
        <v>0</v>
      </c>
      <c r="BS522">
        <f t="shared" si="179"/>
        <v>0</v>
      </c>
      <c r="BT522">
        <f t="shared" si="180"/>
        <v>0</v>
      </c>
      <c r="BU522">
        <f t="shared" si="181"/>
        <v>0</v>
      </c>
      <c r="BV522">
        <f t="shared" si="182"/>
        <v>0</v>
      </c>
      <c r="BW522">
        <f t="shared" si="183"/>
        <v>0</v>
      </c>
      <c r="CA522" t="str">
        <f>IF(323&gt;ROWS(DGArchive[模组]),"",IF(INDEX(DGArchive[模组],323)="","",INDEX(DGArchive[模组],323)))</f>
        <v/>
      </c>
      <c r="CB522" t="str">
        <f>IF(323&gt;ROWS(DGArchive[阶段]),"",IF(INDEX(DGArchive[阶段],323)="","",INDEX(DGArchive[阶段],323)))</f>
        <v/>
      </c>
      <c r="CC522" t="str">
        <f>IF(323&gt;ROWS(DGArchive[游戏内日期]),"",IF(INDEX(DGArchive[游戏内日期],323)="","",INDEX(DGArchive[游戏内日期],323)))</f>
        <v/>
      </c>
      <c r="CD522" t="str">
        <f>IF(323&gt;ROWS(DGArchive[目标]),"",IF(INDEX(DGArchive[目标],323)="","",INDEX(DGArchive[目标],323)))</f>
        <v/>
      </c>
      <c r="CE522" t="str">
        <f>IF(323&gt;ROWS(DGArchive[变更前]),"",IF(INDEX(DGArchive[变更前],323)="","",INDEX(DGArchive[变更前],323)))</f>
        <v/>
      </c>
      <c r="CF522" t="str">
        <f>IF(323&gt;ROWS(DGArchive[增减]),"",IF(INDEX(DGArchive[增减],323)="","",INDEX(DGArchive[增减],323)))</f>
        <v/>
      </c>
      <c r="CG522" t="str">
        <f>IF(323&gt;ROWS(DGArchive[变更后]),"",IF(INDEX(DGArchive[变更后],323)="","",INDEX(DGArchive[变更后],323)))</f>
        <v/>
      </c>
      <c r="CH522" t="str">
        <f>IF(323&gt;ROWS(DGArchive[事件／活动]),"",IF(INDEX(DGArchive[事件／活动],323)="","",INDEX(DGArchive[事件／活动],323)))</f>
        <v/>
      </c>
      <c r="CI522" t="str">
        <f>IF(323&gt;ROWS(DGArchive[记录编号]),"",IF(INDEX(DGArchive[记录编号],323)="","",INDEX(DGArchive[记录编号],323)))</f>
        <v/>
      </c>
      <c r="CL522">
        <f t="shared" si="164"/>
        <v>0</v>
      </c>
      <c r="CM522">
        <f>IF(AND(A522=$AO$5,B522=$AQ$3,H522=1),COUNTIFS($A$200:A522,$AO$5,$B$200:B522,$AQ$3,$H$200:H522,1),0)</f>
        <v>0</v>
      </c>
      <c r="CN522">
        <f>IF(CA522="",323,1001)</f>
        <v>323</v>
      </c>
      <c r="GA522">
        <f t="shared" si="184"/>
        <v>0</v>
      </c>
      <c r="GB522">
        <f t="shared" si="185"/>
        <v>0</v>
      </c>
      <c r="GC522">
        <f>IF(AND(C522="事件记录",H522=1),COUNTIFS($C$200:C522,"事件记录",$H$200:H522,1),0)</f>
        <v>0</v>
      </c>
      <c r="GD522">
        <f t="shared" si="165"/>
        <v>0</v>
      </c>
      <c r="GH522">
        <f>IF(AND(H522=1,A522=$GA$10,B522=$GA$11),COUNTIFS($A$200:A522,$GA$10,$B$200:B522,$GA$11,$H$200:H522,1),0)</f>
        <v>0</v>
      </c>
    </row>
    <row r="523" spans="1:190">
      <c r="A523" t="str">
        <f t="shared" si="156"/>
        <v/>
      </c>
      <c r="B523" t="str">
        <f t="shared" si="157"/>
        <v/>
      </c>
      <c r="C523" t="str">
        <f t="shared" si="158"/>
        <v/>
      </c>
      <c r="D523" t="str">
        <f t="shared" si="159"/>
        <v/>
      </c>
      <c r="E523">
        <f t="shared" si="160"/>
        <v>0</v>
      </c>
      <c r="F523" t="str">
        <f t="shared" si="161"/>
        <v/>
      </c>
      <c r="G523">
        <f t="shared" si="162"/>
        <v>0</v>
      </c>
      <c r="H523">
        <f>IF(AND(G523=1,COUNTIFS($I$200:I523,I523,$G$200:G523,1)=1),1,0)</f>
        <v>0</v>
      </c>
      <c r="I523" t="str">
        <f t="shared" si="163"/>
        <v/>
      </c>
      <c r="BF523">
        <f t="shared" si="166"/>
        <v>0</v>
      </c>
      <c r="BG523">
        <f t="shared" si="167"/>
        <v>0</v>
      </c>
      <c r="BH523">
        <f t="shared" si="168"/>
        <v>0</v>
      </c>
      <c r="BI523">
        <f t="shared" si="169"/>
        <v>0</v>
      </c>
      <c r="BJ523">
        <f t="shared" si="170"/>
        <v>0</v>
      </c>
      <c r="BK523">
        <f t="shared" si="171"/>
        <v>0</v>
      </c>
      <c r="BL523">
        <f t="shared" si="172"/>
        <v>0</v>
      </c>
      <c r="BM523">
        <f t="shared" si="173"/>
        <v>0</v>
      </c>
      <c r="BN523">
        <f t="shared" si="174"/>
        <v>0</v>
      </c>
      <c r="BO523">
        <f t="shared" si="175"/>
        <v>0</v>
      </c>
      <c r="BP523">
        <f t="shared" si="176"/>
        <v>0</v>
      </c>
      <c r="BQ523">
        <f t="shared" si="177"/>
        <v>0</v>
      </c>
      <c r="BR523">
        <f t="shared" si="178"/>
        <v>0</v>
      </c>
      <c r="BS523">
        <f t="shared" si="179"/>
        <v>0</v>
      </c>
      <c r="BT523">
        <f t="shared" si="180"/>
        <v>0</v>
      </c>
      <c r="BU523">
        <f t="shared" si="181"/>
        <v>0</v>
      </c>
      <c r="BV523">
        <f t="shared" si="182"/>
        <v>0</v>
      </c>
      <c r="BW523">
        <f t="shared" si="183"/>
        <v>0</v>
      </c>
      <c r="CA523" t="str">
        <f>IF(324&gt;ROWS(DGArchive[模组]),"",IF(INDEX(DGArchive[模组],324)="","",INDEX(DGArchive[模组],324)))</f>
        <v/>
      </c>
      <c r="CB523" t="str">
        <f>IF(324&gt;ROWS(DGArchive[阶段]),"",IF(INDEX(DGArchive[阶段],324)="","",INDEX(DGArchive[阶段],324)))</f>
        <v/>
      </c>
      <c r="CC523" t="str">
        <f>IF(324&gt;ROWS(DGArchive[游戏内日期]),"",IF(INDEX(DGArchive[游戏内日期],324)="","",INDEX(DGArchive[游戏内日期],324)))</f>
        <v/>
      </c>
      <c r="CD523" t="str">
        <f>IF(324&gt;ROWS(DGArchive[目标]),"",IF(INDEX(DGArchive[目标],324)="","",INDEX(DGArchive[目标],324)))</f>
        <v/>
      </c>
      <c r="CE523" t="str">
        <f>IF(324&gt;ROWS(DGArchive[变更前]),"",IF(INDEX(DGArchive[变更前],324)="","",INDEX(DGArchive[变更前],324)))</f>
        <v/>
      </c>
      <c r="CF523" t="str">
        <f>IF(324&gt;ROWS(DGArchive[增减]),"",IF(INDEX(DGArchive[增减],324)="","",INDEX(DGArchive[增减],324)))</f>
        <v/>
      </c>
      <c r="CG523" t="str">
        <f>IF(324&gt;ROWS(DGArchive[变更后]),"",IF(INDEX(DGArchive[变更后],324)="","",INDEX(DGArchive[变更后],324)))</f>
        <v/>
      </c>
      <c r="CH523" t="str">
        <f>IF(324&gt;ROWS(DGArchive[事件／活动]),"",IF(INDEX(DGArchive[事件／活动],324)="","",INDEX(DGArchive[事件／活动],324)))</f>
        <v/>
      </c>
      <c r="CI523" t="str">
        <f>IF(324&gt;ROWS(DGArchive[记录编号]),"",IF(INDEX(DGArchive[记录编号],324)="","",INDEX(DGArchive[记录编号],324)))</f>
        <v/>
      </c>
      <c r="CL523">
        <f t="shared" si="164"/>
        <v>0</v>
      </c>
      <c r="CM523">
        <f>IF(AND(A523=$AO$5,B523=$AQ$3,H523=1),COUNTIFS($A$200:A523,$AO$5,$B$200:B523,$AQ$3,$H$200:H523,1),0)</f>
        <v>0</v>
      </c>
      <c r="CN523">
        <f>IF(CA523="",324,1001)</f>
        <v>324</v>
      </c>
      <c r="GA523">
        <f t="shared" si="184"/>
        <v>0</v>
      </c>
      <c r="GB523">
        <f t="shared" si="185"/>
        <v>0</v>
      </c>
      <c r="GC523">
        <f>IF(AND(C523="事件记录",H523=1),COUNTIFS($C$200:C523,"事件记录",$H$200:H523,1),0)</f>
        <v>0</v>
      </c>
      <c r="GD523">
        <f t="shared" si="165"/>
        <v>0</v>
      </c>
      <c r="GH523">
        <f>IF(AND(H523=1,A523=$GA$10,B523=$GA$11),COUNTIFS($A$200:A523,$GA$10,$B$200:B523,$GA$11,$H$200:H523,1),0)</f>
        <v>0</v>
      </c>
    </row>
    <row r="524" spans="1:190">
      <c r="A524" t="str">
        <f t="shared" si="156"/>
        <v/>
      </c>
      <c r="B524" t="str">
        <f t="shared" si="157"/>
        <v/>
      </c>
      <c r="C524" t="str">
        <f t="shared" si="158"/>
        <v/>
      </c>
      <c r="D524" t="str">
        <f t="shared" si="159"/>
        <v/>
      </c>
      <c r="E524">
        <f t="shared" si="160"/>
        <v>0</v>
      </c>
      <c r="F524" t="str">
        <f t="shared" si="161"/>
        <v/>
      </c>
      <c r="G524">
        <f t="shared" si="162"/>
        <v>0</v>
      </c>
      <c r="H524">
        <f>IF(AND(G524=1,COUNTIFS($I$200:I524,I524,$G$200:G524,1)=1),1,0)</f>
        <v>0</v>
      </c>
      <c r="I524" t="str">
        <f t="shared" si="163"/>
        <v/>
      </c>
      <c r="BF524">
        <f t="shared" si="166"/>
        <v>0</v>
      </c>
      <c r="BG524">
        <f t="shared" si="167"/>
        <v>0</v>
      </c>
      <c r="BH524">
        <f t="shared" si="168"/>
        <v>0</v>
      </c>
      <c r="BI524">
        <f t="shared" si="169"/>
        <v>0</v>
      </c>
      <c r="BJ524">
        <f t="shared" si="170"/>
        <v>0</v>
      </c>
      <c r="BK524">
        <f t="shared" si="171"/>
        <v>0</v>
      </c>
      <c r="BL524">
        <f t="shared" si="172"/>
        <v>0</v>
      </c>
      <c r="BM524">
        <f t="shared" si="173"/>
        <v>0</v>
      </c>
      <c r="BN524">
        <f t="shared" si="174"/>
        <v>0</v>
      </c>
      <c r="BO524">
        <f t="shared" si="175"/>
        <v>0</v>
      </c>
      <c r="BP524">
        <f t="shared" si="176"/>
        <v>0</v>
      </c>
      <c r="BQ524">
        <f t="shared" si="177"/>
        <v>0</v>
      </c>
      <c r="BR524">
        <f t="shared" si="178"/>
        <v>0</v>
      </c>
      <c r="BS524">
        <f t="shared" si="179"/>
        <v>0</v>
      </c>
      <c r="BT524">
        <f t="shared" si="180"/>
        <v>0</v>
      </c>
      <c r="BU524">
        <f t="shared" si="181"/>
        <v>0</v>
      </c>
      <c r="BV524">
        <f t="shared" si="182"/>
        <v>0</v>
      </c>
      <c r="BW524">
        <f t="shared" si="183"/>
        <v>0</v>
      </c>
      <c r="CA524" t="str">
        <f>IF(325&gt;ROWS(DGArchive[模组]),"",IF(INDEX(DGArchive[模组],325)="","",INDEX(DGArchive[模组],325)))</f>
        <v/>
      </c>
      <c r="CB524" t="str">
        <f>IF(325&gt;ROWS(DGArchive[阶段]),"",IF(INDEX(DGArchive[阶段],325)="","",INDEX(DGArchive[阶段],325)))</f>
        <v/>
      </c>
      <c r="CC524" t="str">
        <f>IF(325&gt;ROWS(DGArchive[游戏内日期]),"",IF(INDEX(DGArchive[游戏内日期],325)="","",INDEX(DGArchive[游戏内日期],325)))</f>
        <v/>
      </c>
      <c r="CD524" t="str">
        <f>IF(325&gt;ROWS(DGArchive[目标]),"",IF(INDEX(DGArchive[目标],325)="","",INDEX(DGArchive[目标],325)))</f>
        <v/>
      </c>
      <c r="CE524" t="str">
        <f>IF(325&gt;ROWS(DGArchive[变更前]),"",IF(INDEX(DGArchive[变更前],325)="","",INDEX(DGArchive[变更前],325)))</f>
        <v/>
      </c>
      <c r="CF524" t="str">
        <f>IF(325&gt;ROWS(DGArchive[增减]),"",IF(INDEX(DGArchive[增减],325)="","",INDEX(DGArchive[增减],325)))</f>
        <v/>
      </c>
      <c r="CG524" t="str">
        <f>IF(325&gt;ROWS(DGArchive[变更后]),"",IF(INDEX(DGArchive[变更后],325)="","",INDEX(DGArchive[变更后],325)))</f>
        <v/>
      </c>
      <c r="CH524" t="str">
        <f>IF(325&gt;ROWS(DGArchive[事件／活动]),"",IF(INDEX(DGArchive[事件／活动],325)="","",INDEX(DGArchive[事件／活动],325)))</f>
        <v/>
      </c>
      <c r="CI524" t="str">
        <f>IF(325&gt;ROWS(DGArchive[记录编号]),"",IF(INDEX(DGArchive[记录编号],325)="","",INDEX(DGArchive[记录编号],325)))</f>
        <v/>
      </c>
      <c r="CL524">
        <f t="shared" si="164"/>
        <v>0</v>
      </c>
      <c r="CM524">
        <f>IF(AND(A524=$AO$5,B524=$AQ$3,H524=1),COUNTIFS($A$200:A524,$AO$5,$B$200:B524,$AQ$3,$H$200:H524,1),0)</f>
        <v>0</v>
      </c>
      <c r="CN524">
        <f>IF(CA524="",325,1001)</f>
        <v>325</v>
      </c>
      <c r="GA524">
        <f t="shared" si="184"/>
        <v>0</v>
      </c>
      <c r="GB524">
        <f t="shared" si="185"/>
        <v>0</v>
      </c>
      <c r="GC524">
        <f>IF(AND(C524="事件记录",H524=1),COUNTIFS($C$200:C524,"事件记录",$H$200:H524,1),0)</f>
        <v>0</v>
      </c>
      <c r="GD524">
        <f t="shared" si="165"/>
        <v>0</v>
      </c>
      <c r="GH524">
        <f>IF(AND(H524=1,A524=$GA$10,B524=$GA$11),COUNTIFS($A$200:A524,$GA$10,$B$200:B524,$GA$11,$H$200:H524,1),0)</f>
        <v>0</v>
      </c>
    </row>
    <row r="525" spans="1:190">
      <c r="A525" t="str">
        <f t="shared" si="156"/>
        <v/>
      </c>
      <c r="B525" t="str">
        <f t="shared" si="157"/>
        <v/>
      </c>
      <c r="C525" t="str">
        <f t="shared" si="158"/>
        <v/>
      </c>
      <c r="D525" t="str">
        <f t="shared" si="159"/>
        <v/>
      </c>
      <c r="E525">
        <f t="shared" si="160"/>
        <v>0</v>
      </c>
      <c r="F525" t="str">
        <f t="shared" si="161"/>
        <v/>
      </c>
      <c r="G525">
        <f t="shared" si="162"/>
        <v>0</v>
      </c>
      <c r="H525">
        <f>IF(AND(G525=1,COUNTIFS($I$200:I525,I525,$G$200:G525,1)=1),1,0)</f>
        <v>0</v>
      </c>
      <c r="I525" t="str">
        <f t="shared" si="163"/>
        <v/>
      </c>
      <c r="BF525">
        <f t="shared" si="166"/>
        <v>0</v>
      </c>
      <c r="BG525">
        <f t="shared" si="167"/>
        <v>0</v>
      </c>
      <c r="BH525">
        <f t="shared" si="168"/>
        <v>0</v>
      </c>
      <c r="BI525">
        <f t="shared" si="169"/>
        <v>0</v>
      </c>
      <c r="BJ525">
        <f t="shared" si="170"/>
        <v>0</v>
      </c>
      <c r="BK525">
        <f t="shared" si="171"/>
        <v>0</v>
      </c>
      <c r="BL525">
        <f t="shared" si="172"/>
        <v>0</v>
      </c>
      <c r="BM525">
        <f t="shared" si="173"/>
        <v>0</v>
      </c>
      <c r="BN525">
        <f t="shared" si="174"/>
        <v>0</v>
      </c>
      <c r="BO525">
        <f t="shared" si="175"/>
        <v>0</v>
      </c>
      <c r="BP525">
        <f t="shared" si="176"/>
        <v>0</v>
      </c>
      <c r="BQ525">
        <f t="shared" si="177"/>
        <v>0</v>
      </c>
      <c r="BR525">
        <f t="shared" si="178"/>
        <v>0</v>
      </c>
      <c r="BS525">
        <f t="shared" si="179"/>
        <v>0</v>
      </c>
      <c r="BT525">
        <f t="shared" si="180"/>
        <v>0</v>
      </c>
      <c r="BU525">
        <f t="shared" si="181"/>
        <v>0</v>
      </c>
      <c r="BV525">
        <f t="shared" si="182"/>
        <v>0</v>
      </c>
      <c r="BW525">
        <f t="shared" si="183"/>
        <v>0</v>
      </c>
      <c r="CA525" t="str">
        <f>IF(326&gt;ROWS(DGArchive[模组]),"",IF(INDEX(DGArchive[模组],326)="","",INDEX(DGArchive[模组],326)))</f>
        <v/>
      </c>
      <c r="CB525" t="str">
        <f>IF(326&gt;ROWS(DGArchive[阶段]),"",IF(INDEX(DGArchive[阶段],326)="","",INDEX(DGArchive[阶段],326)))</f>
        <v/>
      </c>
      <c r="CC525" t="str">
        <f>IF(326&gt;ROWS(DGArchive[游戏内日期]),"",IF(INDEX(DGArchive[游戏内日期],326)="","",INDEX(DGArchive[游戏内日期],326)))</f>
        <v/>
      </c>
      <c r="CD525" t="str">
        <f>IF(326&gt;ROWS(DGArchive[目标]),"",IF(INDEX(DGArchive[目标],326)="","",INDEX(DGArchive[目标],326)))</f>
        <v/>
      </c>
      <c r="CE525" t="str">
        <f>IF(326&gt;ROWS(DGArchive[变更前]),"",IF(INDEX(DGArchive[变更前],326)="","",INDEX(DGArchive[变更前],326)))</f>
        <v/>
      </c>
      <c r="CF525" t="str">
        <f>IF(326&gt;ROWS(DGArchive[增减]),"",IF(INDEX(DGArchive[增减],326)="","",INDEX(DGArchive[增减],326)))</f>
        <v/>
      </c>
      <c r="CG525" t="str">
        <f>IF(326&gt;ROWS(DGArchive[变更后]),"",IF(INDEX(DGArchive[变更后],326)="","",INDEX(DGArchive[变更后],326)))</f>
        <v/>
      </c>
      <c r="CH525" t="str">
        <f>IF(326&gt;ROWS(DGArchive[事件／活动]),"",IF(INDEX(DGArchive[事件／活动],326)="","",INDEX(DGArchive[事件／活动],326)))</f>
        <v/>
      </c>
      <c r="CI525" t="str">
        <f>IF(326&gt;ROWS(DGArchive[记录编号]),"",IF(INDEX(DGArchive[记录编号],326)="","",INDEX(DGArchive[记录编号],326)))</f>
        <v/>
      </c>
      <c r="CL525">
        <f t="shared" si="164"/>
        <v>0</v>
      </c>
      <c r="CM525">
        <f>IF(AND(A525=$AO$5,B525=$AQ$3,H525=1),COUNTIFS($A$200:A525,$AO$5,$B$200:B525,$AQ$3,$H$200:H525,1),0)</f>
        <v>0</v>
      </c>
      <c r="CN525">
        <f>IF(CA525="",326,1001)</f>
        <v>326</v>
      </c>
      <c r="GA525">
        <f t="shared" si="184"/>
        <v>0</v>
      </c>
      <c r="GB525">
        <f t="shared" si="185"/>
        <v>0</v>
      </c>
      <c r="GC525">
        <f>IF(AND(C525="事件记录",H525=1),COUNTIFS($C$200:C525,"事件记录",$H$200:H525,1),0)</f>
        <v>0</v>
      </c>
      <c r="GD525">
        <f t="shared" si="165"/>
        <v>0</v>
      </c>
      <c r="GH525">
        <f>IF(AND(H525=1,A525=$GA$10,B525=$GA$11),COUNTIFS($A$200:A525,$GA$10,$B$200:B525,$GA$11,$H$200:H525,1),0)</f>
        <v>0</v>
      </c>
    </row>
    <row r="526" spans="1:190">
      <c r="A526" t="str">
        <f t="shared" si="156"/>
        <v/>
      </c>
      <c r="B526" t="str">
        <f t="shared" si="157"/>
        <v/>
      </c>
      <c r="C526" t="str">
        <f t="shared" si="158"/>
        <v/>
      </c>
      <c r="D526" t="str">
        <f t="shared" si="159"/>
        <v/>
      </c>
      <c r="E526">
        <f t="shared" si="160"/>
        <v>0</v>
      </c>
      <c r="F526" t="str">
        <f t="shared" si="161"/>
        <v/>
      </c>
      <c r="G526">
        <f t="shared" si="162"/>
        <v>0</v>
      </c>
      <c r="H526">
        <f>IF(AND(G526=1,COUNTIFS($I$200:I526,I526,$G$200:G526,1)=1),1,0)</f>
        <v>0</v>
      </c>
      <c r="I526" t="str">
        <f t="shared" si="163"/>
        <v/>
      </c>
      <c r="BF526">
        <f t="shared" si="166"/>
        <v>0</v>
      </c>
      <c r="BG526">
        <f t="shared" si="167"/>
        <v>0</v>
      </c>
      <c r="BH526">
        <f t="shared" si="168"/>
        <v>0</v>
      </c>
      <c r="BI526">
        <f t="shared" si="169"/>
        <v>0</v>
      </c>
      <c r="BJ526">
        <f t="shared" si="170"/>
        <v>0</v>
      </c>
      <c r="BK526">
        <f t="shared" si="171"/>
        <v>0</v>
      </c>
      <c r="BL526">
        <f t="shared" si="172"/>
        <v>0</v>
      </c>
      <c r="BM526">
        <f t="shared" si="173"/>
        <v>0</v>
      </c>
      <c r="BN526">
        <f t="shared" si="174"/>
        <v>0</v>
      </c>
      <c r="BO526">
        <f t="shared" si="175"/>
        <v>0</v>
      </c>
      <c r="BP526">
        <f t="shared" si="176"/>
        <v>0</v>
      </c>
      <c r="BQ526">
        <f t="shared" si="177"/>
        <v>0</v>
      </c>
      <c r="BR526">
        <f t="shared" si="178"/>
        <v>0</v>
      </c>
      <c r="BS526">
        <f t="shared" si="179"/>
        <v>0</v>
      </c>
      <c r="BT526">
        <f t="shared" si="180"/>
        <v>0</v>
      </c>
      <c r="BU526">
        <f t="shared" si="181"/>
        <v>0</v>
      </c>
      <c r="BV526">
        <f t="shared" si="182"/>
        <v>0</v>
      </c>
      <c r="BW526">
        <f t="shared" si="183"/>
        <v>0</v>
      </c>
      <c r="CA526" t="str">
        <f>IF(327&gt;ROWS(DGArchive[模组]),"",IF(INDEX(DGArchive[模组],327)="","",INDEX(DGArchive[模组],327)))</f>
        <v/>
      </c>
      <c r="CB526" t="str">
        <f>IF(327&gt;ROWS(DGArchive[阶段]),"",IF(INDEX(DGArchive[阶段],327)="","",INDEX(DGArchive[阶段],327)))</f>
        <v/>
      </c>
      <c r="CC526" t="str">
        <f>IF(327&gt;ROWS(DGArchive[游戏内日期]),"",IF(INDEX(DGArchive[游戏内日期],327)="","",INDEX(DGArchive[游戏内日期],327)))</f>
        <v/>
      </c>
      <c r="CD526" t="str">
        <f>IF(327&gt;ROWS(DGArchive[目标]),"",IF(INDEX(DGArchive[目标],327)="","",INDEX(DGArchive[目标],327)))</f>
        <v/>
      </c>
      <c r="CE526" t="str">
        <f>IF(327&gt;ROWS(DGArchive[变更前]),"",IF(INDEX(DGArchive[变更前],327)="","",INDEX(DGArchive[变更前],327)))</f>
        <v/>
      </c>
      <c r="CF526" t="str">
        <f>IF(327&gt;ROWS(DGArchive[增减]),"",IF(INDEX(DGArchive[增减],327)="","",INDEX(DGArchive[增减],327)))</f>
        <v/>
      </c>
      <c r="CG526" t="str">
        <f>IF(327&gt;ROWS(DGArchive[变更后]),"",IF(INDEX(DGArchive[变更后],327)="","",INDEX(DGArchive[变更后],327)))</f>
        <v/>
      </c>
      <c r="CH526" t="str">
        <f>IF(327&gt;ROWS(DGArchive[事件／活动]),"",IF(INDEX(DGArchive[事件／活动],327)="","",INDEX(DGArchive[事件／活动],327)))</f>
        <v/>
      </c>
      <c r="CI526" t="str">
        <f>IF(327&gt;ROWS(DGArchive[记录编号]),"",IF(INDEX(DGArchive[记录编号],327)="","",INDEX(DGArchive[记录编号],327)))</f>
        <v/>
      </c>
      <c r="CL526">
        <f t="shared" si="164"/>
        <v>0</v>
      </c>
      <c r="CM526">
        <f>IF(AND(A526=$AO$5,B526=$AQ$3,H526=1),COUNTIFS($A$200:A526,$AO$5,$B$200:B526,$AQ$3,$H$200:H526,1),0)</f>
        <v>0</v>
      </c>
      <c r="CN526">
        <f>IF(CA526="",327,1001)</f>
        <v>327</v>
      </c>
      <c r="GA526">
        <f t="shared" si="184"/>
        <v>0</v>
      </c>
      <c r="GB526">
        <f t="shared" si="185"/>
        <v>0</v>
      </c>
      <c r="GC526">
        <f>IF(AND(C526="事件记录",H526=1),COUNTIFS($C$200:C526,"事件记录",$H$200:H526,1),0)</f>
        <v>0</v>
      </c>
      <c r="GD526">
        <f t="shared" si="165"/>
        <v>0</v>
      </c>
      <c r="GH526">
        <f>IF(AND(H526=1,A526=$GA$10,B526=$GA$11),COUNTIFS($A$200:A526,$GA$10,$B$200:B526,$GA$11,$H$200:H526,1),0)</f>
        <v>0</v>
      </c>
    </row>
    <row r="527" spans="1:190">
      <c r="A527" t="str">
        <f t="shared" si="156"/>
        <v/>
      </c>
      <c r="B527" t="str">
        <f t="shared" si="157"/>
        <v/>
      </c>
      <c r="C527" t="str">
        <f t="shared" si="158"/>
        <v/>
      </c>
      <c r="D527" t="str">
        <f t="shared" si="159"/>
        <v/>
      </c>
      <c r="E527">
        <f t="shared" si="160"/>
        <v>0</v>
      </c>
      <c r="F527" t="str">
        <f t="shared" si="161"/>
        <v/>
      </c>
      <c r="G527">
        <f t="shared" si="162"/>
        <v>0</v>
      </c>
      <c r="H527">
        <f>IF(AND(G527=1,COUNTIFS($I$200:I527,I527,$G$200:G527,1)=1),1,0)</f>
        <v>0</v>
      </c>
      <c r="I527" t="str">
        <f t="shared" si="163"/>
        <v/>
      </c>
      <c r="BF527">
        <f t="shared" si="166"/>
        <v>0</v>
      </c>
      <c r="BG527">
        <f t="shared" si="167"/>
        <v>0</v>
      </c>
      <c r="BH527">
        <f t="shared" si="168"/>
        <v>0</v>
      </c>
      <c r="BI527">
        <f t="shared" si="169"/>
        <v>0</v>
      </c>
      <c r="BJ527">
        <f t="shared" si="170"/>
        <v>0</v>
      </c>
      <c r="BK527">
        <f t="shared" si="171"/>
        <v>0</v>
      </c>
      <c r="BL527">
        <f t="shared" si="172"/>
        <v>0</v>
      </c>
      <c r="BM527">
        <f t="shared" si="173"/>
        <v>0</v>
      </c>
      <c r="BN527">
        <f t="shared" si="174"/>
        <v>0</v>
      </c>
      <c r="BO527">
        <f t="shared" si="175"/>
        <v>0</v>
      </c>
      <c r="BP527">
        <f t="shared" si="176"/>
        <v>0</v>
      </c>
      <c r="BQ527">
        <f t="shared" si="177"/>
        <v>0</v>
      </c>
      <c r="BR527">
        <f t="shared" si="178"/>
        <v>0</v>
      </c>
      <c r="BS527">
        <f t="shared" si="179"/>
        <v>0</v>
      </c>
      <c r="BT527">
        <f t="shared" si="180"/>
        <v>0</v>
      </c>
      <c r="BU527">
        <f t="shared" si="181"/>
        <v>0</v>
      </c>
      <c r="BV527">
        <f t="shared" si="182"/>
        <v>0</v>
      </c>
      <c r="BW527">
        <f t="shared" si="183"/>
        <v>0</v>
      </c>
      <c r="CA527" t="str">
        <f>IF(328&gt;ROWS(DGArchive[模组]),"",IF(INDEX(DGArchive[模组],328)="","",INDEX(DGArchive[模组],328)))</f>
        <v/>
      </c>
      <c r="CB527" t="str">
        <f>IF(328&gt;ROWS(DGArchive[阶段]),"",IF(INDEX(DGArchive[阶段],328)="","",INDEX(DGArchive[阶段],328)))</f>
        <v/>
      </c>
      <c r="CC527" t="str">
        <f>IF(328&gt;ROWS(DGArchive[游戏内日期]),"",IF(INDEX(DGArchive[游戏内日期],328)="","",INDEX(DGArchive[游戏内日期],328)))</f>
        <v/>
      </c>
      <c r="CD527" t="str">
        <f>IF(328&gt;ROWS(DGArchive[目标]),"",IF(INDEX(DGArchive[目标],328)="","",INDEX(DGArchive[目标],328)))</f>
        <v/>
      </c>
      <c r="CE527" t="str">
        <f>IF(328&gt;ROWS(DGArchive[变更前]),"",IF(INDEX(DGArchive[变更前],328)="","",INDEX(DGArchive[变更前],328)))</f>
        <v/>
      </c>
      <c r="CF527" t="str">
        <f>IF(328&gt;ROWS(DGArchive[增减]),"",IF(INDEX(DGArchive[增减],328)="","",INDEX(DGArchive[增减],328)))</f>
        <v/>
      </c>
      <c r="CG527" t="str">
        <f>IF(328&gt;ROWS(DGArchive[变更后]),"",IF(INDEX(DGArchive[变更后],328)="","",INDEX(DGArchive[变更后],328)))</f>
        <v/>
      </c>
      <c r="CH527" t="str">
        <f>IF(328&gt;ROWS(DGArchive[事件／活动]),"",IF(INDEX(DGArchive[事件／活动],328)="","",INDEX(DGArchive[事件／活动],328)))</f>
        <v/>
      </c>
      <c r="CI527" t="str">
        <f>IF(328&gt;ROWS(DGArchive[记录编号]),"",IF(INDEX(DGArchive[记录编号],328)="","",INDEX(DGArchive[记录编号],328)))</f>
        <v/>
      </c>
      <c r="CL527">
        <f t="shared" si="164"/>
        <v>0</v>
      </c>
      <c r="CM527">
        <f>IF(AND(A527=$AO$5,B527=$AQ$3,H527=1),COUNTIFS($A$200:A527,$AO$5,$B$200:B527,$AQ$3,$H$200:H527,1),0)</f>
        <v>0</v>
      </c>
      <c r="CN527">
        <f>IF(CA527="",328,1001)</f>
        <v>328</v>
      </c>
      <c r="GA527">
        <f t="shared" si="184"/>
        <v>0</v>
      </c>
      <c r="GB527">
        <f t="shared" si="185"/>
        <v>0</v>
      </c>
      <c r="GC527">
        <f>IF(AND(C527="事件记录",H527=1),COUNTIFS($C$200:C527,"事件记录",$H$200:H527,1),0)</f>
        <v>0</v>
      </c>
      <c r="GD527">
        <f t="shared" si="165"/>
        <v>0</v>
      </c>
      <c r="GH527">
        <f>IF(AND(H527=1,A527=$GA$10,B527=$GA$11),COUNTIFS($A$200:A527,$GA$10,$B$200:B527,$GA$11,$H$200:H527,1),0)</f>
        <v>0</v>
      </c>
    </row>
    <row r="528" spans="1:190">
      <c r="A528" t="str">
        <f t="shared" si="156"/>
        <v/>
      </c>
      <c r="B528" t="str">
        <f t="shared" si="157"/>
        <v/>
      </c>
      <c r="C528" t="str">
        <f t="shared" si="158"/>
        <v/>
      </c>
      <c r="D528" t="str">
        <f t="shared" si="159"/>
        <v/>
      </c>
      <c r="E528">
        <f t="shared" si="160"/>
        <v>0</v>
      </c>
      <c r="F528" t="str">
        <f t="shared" si="161"/>
        <v/>
      </c>
      <c r="G528">
        <f t="shared" si="162"/>
        <v>0</v>
      </c>
      <c r="H528">
        <f>IF(AND(G528=1,COUNTIFS($I$200:I528,I528,$G$200:G528,1)=1),1,0)</f>
        <v>0</v>
      </c>
      <c r="I528" t="str">
        <f t="shared" si="163"/>
        <v/>
      </c>
      <c r="BF528">
        <f t="shared" si="166"/>
        <v>0</v>
      </c>
      <c r="BG528">
        <f t="shared" si="167"/>
        <v>0</v>
      </c>
      <c r="BH528">
        <f t="shared" si="168"/>
        <v>0</v>
      </c>
      <c r="BI528">
        <f t="shared" si="169"/>
        <v>0</v>
      </c>
      <c r="BJ528">
        <f t="shared" si="170"/>
        <v>0</v>
      </c>
      <c r="BK528">
        <f t="shared" si="171"/>
        <v>0</v>
      </c>
      <c r="BL528">
        <f t="shared" si="172"/>
        <v>0</v>
      </c>
      <c r="BM528">
        <f t="shared" si="173"/>
        <v>0</v>
      </c>
      <c r="BN528">
        <f t="shared" si="174"/>
        <v>0</v>
      </c>
      <c r="BO528">
        <f t="shared" si="175"/>
        <v>0</v>
      </c>
      <c r="BP528">
        <f t="shared" si="176"/>
        <v>0</v>
      </c>
      <c r="BQ528">
        <f t="shared" si="177"/>
        <v>0</v>
      </c>
      <c r="BR528">
        <f t="shared" si="178"/>
        <v>0</v>
      </c>
      <c r="BS528">
        <f t="shared" si="179"/>
        <v>0</v>
      </c>
      <c r="BT528">
        <f t="shared" si="180"/>
        <v>0</v>
      </c>
      <c r="BU528">
        <f t="shared" si="181"/>
        <v>0</v>
      </c>
      <c r="BV528">
        <f t="shared" si="182"/>
        <v>0</v>
      </c>
      <c r="BW528">
        <f t="shared" si="183"/>
        <v>0</v>
      </c>
      <c r="CA528" t="str">
        <f>IF(329&gt;ROWS(DGArchive[模组]),"",IF(INDEX(DGArchive[模组],329)="","",INDEX(DGArchive[模组],329)))</f>
        <v/>
      </c>
      <c r="CB528" t="str">
        <f>IF(329&gt;ROWS(DGArchive[阶段]),"",IF(INDEX(DGArchive[阶段],329)="","",INDEX(DGArchive[阶段],329)))</f>
        <v/>
      </c>
      <c r="CC528" t="str">
        <f>IF(329&gt;ROWS(DGArchive[游戏内日期]),"",IF(INDEX(DGArchive[游戏内日期],329)="","",INDEX(DGArchive[游戏内日期],329)))</f>
        <v/>
      </c>
      <c r="CD528" t="str">
        <f>IF(329&gt;ROWS(DGArchive[目标]),"",IF(INDEX(DGArchive[目标],329)="","",INDEX(DGArchive[目标],329)))</f>
        <v/>
      </c>
      <c r="CE528" t="str">
        <f>IF(329&gt;ROWS(DGArchive[变更前]),"",IF(INDEX(DGArchive[变更前],329)="","",INDEX(DGArchive[变更前],329)))</f>
        <v/>
      </c>
      <c r="CF528" t="str">
        <f>IF(329&gt;ROWS(DGArchive[增减]),"",IF(INDEX(DGArchive[增减],329)="","",INDEX(DGArchive[增减],329)))</f>
        <v/>
      </c>
      <c r="CG528" t="str">
        <f>IF(329&gt;ROWS(DGArchive[变更后]),"",IF(INDEX(DGArchive[变更后],329)="","",INDEX(DGArchive[变更后],329)))</f>
        <v/>
      </c>
      <c r="CH528" t="str">
        <f>IF(329&gt;ROWS(DGArchive[事件／活动]),"",IF(INDEX(DGArchive[事件／活动],329)="","",INDEX(DGArchive[事件／活动],329)))</f>
        <v/>
      </c>
      <c r="CI528" t="str">
        <f>IF(329&gt;ROWS(DGArchive[记录编号]),"",IF(INDEX(DGArchive[记录编号],329)="","",INDEX(DGArchive[记录编号],329)))</f>
        <v/>
      </c>
      <c r="CL528">
        <f t="shared" si="164"/>
        <v>0</v>
      </c>
      <c r="CM528">
        <f>IF(AND(A528=$AO$5,B528=$AQ$3,H528=1),COUNTIFS($A$200:A528,$AO$5,$B$200:B528,$AQ$3,$H$200:H528,1),0)</f>
        <v>0</v>
      </c>
      <c r="CN528">
        <f>IF(CA528="",329,1001)</f>
        <v>329</v>
      </c>
      <c r="GA528">
        <f t="shared" si="184"/>
        <v>0</v>
      </c>
      <c r="GB528">
        <f t="shared" si="185"/>
        <v>0</v>
      </c>
      <c r="GC528">
        <f>IF(AND(C528="事件记录",H528=1),COUNTIFS($C$200:C528,"事件记录",$H$200:H528,1),0)</f>
        <v>0</v>
      </c>
      <c r="GD528">
        <f t="shared" si="165"/>
        <v>0</v>
      </c>
      <c r="GH528">
        <f>IF(AND(H528=1,A528=$GA$10,B528=$GA$11),COUNTIFS($A$200:A528,$GA$10,$B$200:B528,$GA$11,$H$200:H528,1),0)</f>
        <v>0</v>
      </c>
    </row>
    <row r="529" spans="1:190">
      <c r="A529" t="str">
        <f t="shared" si="156"/>
        <v/>
      </c>
      <c r="B529" t="str">
        <f t="shared" si="157"/>
        <v/>
      </c>
      <c r="C529" t="str">
        <f t="shared" si="158"/>
        <v/>
      </c>
      <c r="D529" t="str">
        <f t="shared" si="159"/>
        <v/>
      </c>
      <c r="E529">
        <f t="shared" si="160"/>
        <v>0</v>
      </c>
      <c r="F529" t="str">
        <f t="shared" si="161"/>
        <v/>
      </c>
      <c r="G529">
        <f t="shared" si="162"/>
        <v>0</v>
      </c>
      <c r="H529">
        <f>IF(AND(G529=1,COUNTIFS($I$200:I529,I529,$G$200:G529,1)=1),1,0)</f>
        <v>0</v>
      </c>
      <c r="I529" t="str">
        <f t="shared" si="163"/>
        <v/>
      </c>
      <c r="BF529">
        <f t="shared" si="166"/>
        <v>0</v>
      </c>
      <c r="BG529">
        <f t="shared" si="167"/>
        <v>0</v>
      </c>
      <c r="BH529">
        <f t="shared" si="168"/>
        <v>0</v>
      </c>
      <c r="BI529">
        <f t="shared" si="169"/>
        <v>0</v>
      </c>
      <c r="BJ529">
        <f t="shared" si="170"/>
        <v>0</v>
      </c>
      <c r="BK529">
        <f t="shared" si="171"/>
        <v>0</v>
      </c>
      <c r="BL529">
        <f t="shared" si="172"/>
        <v>0</v>
      </c>
      <c r="BM529">
        <f t="shared" si="173"/>
        <v>0</v>
      </c>
      <c r="BN529">
        <f t="shared" si="174"/>
        <v>0</v>
      </c>
      <c r="BO529">
        <f t="shared" si="175"/>
        <v>0</v>
      </c>
      <c r="BP529">
        <f t="shared" si="176"/>
        <v>0</v>
      </c>
      <c r="BQ529">
        <f t="shared" si="177"/>
        <v>0</v>
      </c>
      <c r="BR529">
        <f t="shared" si="178"/>
        <v>0</v>
      </c>
      <c r="BS529">
        <f t="shared" si="179"/>
        <v>0</v>
      </c>
      <c r="BT529">
        <f t="shared" si="180"/>
        <v>0</v>
      </c>
      <c r="BU529">
        <f t="shared" si="181"/>
        <v>0</v>
      </c>
      <c r="BV529">
        <f t="shared" si="182"/>
        <v>0</v>
      </c>
      <c r="BW529">
        <f t="shared" si="183"/>
        <v>0</v>
      </c>
      <c r="CA529" t="str">
        <f>IF(330&gt;ROWS(DGArchive[模组]),"",IF(INDEX(DGArchive[模组],330)="","",INDEX(DGArchive[模组],330)))</f>
        <v/>
      </c>
      <c r="CB529" t="str">
        <f>IF(330&gt;ROWS(DGArchive[阶段]),"",IF(INDEX(DGArchive[阶段],330)="","",INDEX(DGArchive[阶段],330)))</f>
        <v/>
      </c>
      <c r="CC529" t="str">
        <f>IF(330&gt;ROWS(DGArchive[游戏内日期]),"",IF(INDEX(DGArchive[游戏内日期],330)="","",INDEX(DGArchive[游戏内日期],330)))</f>
        <v/>
      </c>
      <c r="CD529" t="str">
        <f>IF(330&gt;ROWS(DGArchive[目标]),"",IF(INDEX(DGArchive[目标],330)="","",INDEX(DGArchive[目标],330)))</f>
        <v/>
      </c>
      <c r="CE529" t="str">
        <f>IF(330&gt;ROWS(DGArchive[变更前]),"",IF(INDEX(DGArchive[变更前],330)="","",INDEX(DGArchive[变更前],330)))</f>
        <v/>
      </c>
      <c r="CF529" t="str">
        <f>IF(330&gt;ROWS(DGArchive[增减]),"",IF(INDEX(DGArchive[增减],330)="","",INDEX(DGArchive[增减],330)))</f>
        <v/>
      </c>
      <c r="CG529" t="str">
        <f>IF(330&gt;ROWS(DGArchive[变更后]),"",IF(INDEX(DGArchive[变更后],330)="","",INDEX(DGArchive[变更后],330)))</f>
        <v/>
      </c>
      <c r="CH529" t="str">
        <f>IF(330&gt;ROWS(DGArchive[事件／活动]),"",IF(INDEX(DGArchive[事件／活动],330)="","",INDEX(DGArchive[事件／活动],330)))</f>
        <v/>
      </c>
      <c r="CI529" t="str">
        <f>IF(330&gt;ROWS(DGArchive[记录编号]),"",IF(INDEX(DGArchive[记录编号],330)="","",INDEX(DGArchive[记录编号],330)))</f>
        <v/>
      </c>
      <c r="CL529">
        <f t="shared" si="164"/>
        <v>0</v>
      </c>
      <c r="CM529">
        <f>IF(AND(A529=$AO$5,B529=$AQ$3,H529=1),COUNTIFS($A$200:A529,$AO$5,$B$200:B529,$AQ$3,$H$200:H529,1),0)</f>
        <v>0</v>
      </c>
      <c r="CN529">
        <f>IF(CA529="",330,1001)</f>
        <v>330</v>
      </c>
      <c r="GA529">
        <f t="shared" si="184"/>
        <v>0</v>
      </c>
      <c r="GB529">
        <f t="shared" si="185"/>
        <v>0</v>
      </c>
      <c r="GC529">
        <f>IF(AND(C529="事件记录",H529=1),COUNTIFS($C$200:C529,"事件记录",$H$200:H529,1),0)</f>
        <v>0</v>
      </c>
      <c r="GD529">
        <f t="shared" si="165"/>
        <v>0</v>
      </c>
      <c r="GH529">
        <f>IF(AND(H529=1,A529=$GA$10,B529=$GA$11),COUNTIFS($A$200:A529,$GA$10,$B$200:B529,$GA$11,$H$200:H529,1),0)</f>
        <v>0</v>
      </c>
    </row>
    <row r="530" spans="1:190">
      <c r="A530" t="str">
        <f t="shared" si="156"/>
        <v/>
      </c>
      <c r="B530" t="str">
        <f t="shared" si="157"/>
        <v/>
      </c>
      <c r="C530" t="str">
        <f t="shared" si="158"/>
        <v/>
      </c>
      <c r="D530" t="str">
        <f t="shared" si="159"/>
        <v/>
      </c>
      <c r="E530">
        <f t="shared" si="160"/>
        <v>0</v>
      </c>
      <c r="F530" t="str">
        <f t="shared" si="161"/>
        <v/>
      </c>
      <c r="G530">
        <f t="shared" si="162"/>
        <v>0</v>
      </c>
      <c r="H530">
        <f>IF(AND(G530=1,COUNTIFS($I$200:I530,I530,$G$200:G530,1)=1),1,0)</f>
        <v>0</v>
      </c>
      <c r="I530" t="str">
        <f t="shared" si="163"/>
        <v/>
      </c>
      <c r="BF530">
        <f t="shared" si="166"/>
        <v>0</v>
      </c>
      <c r="BG530">
        <f t="shared" si="167"/>
        <v>0</v>
      </c>
      <c r="BH530">
        <f t="shared" si="168"/>
        <v>0</v>
      </c>
      <c r="BI530">
        <f t="shared" si="169"/>
        <v>0</v>
      </c>
      <c r="BJ530">
        <f t="shared" si="170"/>
        <v>0</v>
      </c>
      <c r="BK530">
        <f t="shared" si="171"/>
        <v>0</v>
      </c>
      <c r="BL530">
        <f t="shared" si="172"/>
        <v>0</v>
      </c>
      <c r="BM530">
        <f t="shared" si="173"/>
        <v>0</v>
      </c>
      <c r="BN530">
        <f t="shared" si="174"/>
        <v>0</v>
      </c>
      <c r="BO530">
        <f t="shared" si="175"/>
        <v>0</v>
      </c>
      <c r="BP530">
        <f t="shared" si="176"/>
        <v>0</v>
      </c>
      <c r="BQ530">
        <f t="shared" si="177"/>
        <v>0</v>
      </c>
      <c r="BR530">
        <f t="shared" si="178"/>
        <v>0</v>
      </c>
      <c r="BS530">
        <f t="shared" si="179"/>
        <v>0</v>
      </c>
      <c r="BT530">
        <f t="shared" si="180"/>
        <v>0</v>
      </c>
      <c r="BU530">
        <f t="shared" si="181"/>
        <v>0</v>
      </c>
      <c r="BV530">
        <f t="shared" si="182"/>
        <v>0</v>
      </c>
      <c r="BW530">
        <f t="shared" si="183"/>
        <v>0</v>
      </c>
      <c r="CA530" t="str">
        <f>IF(331&gt;ROWS(DGArchive[模组]),"",IF(INDEX(DGArchive[模组],331)="","",INDEX(DGArchive[模组],331)))</f>
        <v/>
      </c>
      <c r="CB530" t="str">
        <f>IF(331&gt;ROWS(DGArchive[阶段]),"",IF(INDEX(DGArchive[阶段],331)="","",INDEX(DGArchive[阶段],331)))</f>
        <v/>
      </c>
      <c r="CC530" t="str">
        <f>IF(331&gt;ROWS(DGArchive[游戏内日期]),"",IF(INDEX(DGArchive[游戏内日期],331)="","",INDEX(DGArchive[游戏内日期],331)))</f>
        <v/>
      </c>
      <c r="CD530" t="str">
        <f>IF(331&gt;ROWS(DGArchive[目标]),"",IF(INDEX(DGArchive[目标],331)="","",INDEX(DGArchive[目标],331)))</f>
        <v/>
      </c>
      <c r="CE530" t="str">
        <f>IF(331&gt;ROWS(DGArchive[变更前]),"",IF(INDEX(DGArchive[变更前],331)="","",INDEX(DGArchive[变更前],331)))</f>
        <v/>
      </c>
      <c r="CF530" t="str">
        <f>IF(331&gt;ROWS(DGArchive[增减]),"",IF(INDEX(DGArchive[增减],331)="","",INDEX(DGArchive[增减],331)))</f>
        <v/>
      </c>
      <c r="CG530" t="str">
        <f>IF(331&gt;ROWS(DGArchive[变更后]),"",IF(INDEX(DGArchive[变更后],331)="","",INDEX(DGArchive[变更后],331)))</f>
        <v/>
      </c>
      <c r="CH530" t="str">
        <f>IF(331&gt;ROWS(DGArchive[事件／活动]),"",IF(INDEX(DGArchive[事件／活动],331)="","",INDEX(DGArchive[事件／活动],331)))</f>
        <v/>
      </c>
      <c r="CI530" t="str">
        <f>IF(331&gt;ROWS(DGArchive[记录编号]),"",IF(INDEX(DGArchive[记录编号],331)="","",INDEX(DGArchive[记录编号],331)))</f>
        <v/>
      </c>
      <c r="CL530">
        <f t="shared" si="164"/>
        <v>0</v>
      </c>
      <c r="CM530">
        <f>IF(AND(A530=$AO$5,B530=$AQ$3,H530=1),COUNTIFS($A$200:A530,$AO$5,$B$200:B530,$AQ$3,$H$200:H530,1),0)</f>
        <v>0</v>
      </c>
      <c r="CN530">
        <f>IF(CA530="",331,1001)</f>
        <v>331</v>
      </c>
      <c r="GA530">
        <f t="shared" si="184"/>
        <v>0</v>
      </c>
      <c r="GB530">
        <f t="shared" si="185"/>
        <v>0</v>
      </c>
      <c r="GC530">
        <f>IF(AND(C530="事件记录",H530=1),COUNTIFS($C$200:C530,"事件记录",$H$200:H530,1),0)</f>
        <v>0</v>
      </c>
      <c r="GD530">
        <f t="shared" si="165"/>
        <v>0</v>
      </c>
      <c r="GH530">
        <f>IF(AND(H530=1,A530=$GA$10,B530=$GA$11),COUNTIFS($A$200:A530,$GA$10,$B$200:B530,$GA$11,$H$200:H530,1),0)</f>
        <v>0</v>
      </c>
    </row>
    <row r="531" spans="1:190">
      <c r="A531" t="str">
        <f t="shared" si="156"/>
        <v/>
      </c>
      <c r="B531" t="str">
        <f t="shared" si="157"/>
        <v/>
      </c>
      <c r="C531" t="str">
        <f t="shared" si="158"/>
        <v/>
      </c>
      <c r="D531" t="str">
        <f t="shared" si="159"/>
        <v/>
      </c>
      <c r="E531">
        <f t="shared" si="160"/>
        <v>0</v>
      </c>
      <c r="F531" t="str">
        <f t="shared" si="161"/>
        <v/>
      </c>
      <c r="G531">
        <f t="shared" si="162"/>
        <v>0</v>
      </c>
      <c r="H531">
        <f>IF(AND(G531=1,COUNTIFS($I$200:I531,I531,$G$200:G531,1)=1),1,0)</f>
        <v>0</v>
      </c>
      <c r="I531" t="str">
        <f t="shared" si="163"/>
        <v/>
      </c>
      <c r="BF531">
        <f t="shared" si="166"/>
        <v>0</v>
      </c>
      <c r="BG531">
        <f t="shared" si="167"/>
        <v>0</v>
      </c>
      <c r="BH531">
        <f t="shared" si="168"/>
        <v>0</v>
      </c>
      <c r="BI531">
        <f t="shared" si="169"/>
        <v>0</v>
      </c>
      <c r="BJ531">
        <f t="shared" si="170"/>
        <v>0</v>
      </c>
      <c r="BK531">
        <f t="shared" si="171"/>
        <v>0</v>
      </c>
      <c r="BL531">
        <f t="shared" si="172"/>
        <v>0</v>
      </c>
      <c r="BM531">
        <f t="shared" si="173"/>
        <v>0</v>
      </c>
      <c r="BN531">
        <f t="shared" si="174"/>
        <v>0</v>
      </c>
      <c r="BO531">
        <f t="shared" si="175"/>
        <v>0</v>
      </c>
      <c r="BP531">
        <f t="shared" si="176"/>
        <v>0</v>
      </c>
      <c r="BQ531">
        <f t="shared" si="177"/>
        <v>0</v>
      </c>
      <c r="BR531">
        <f t="shared" si="178"/>
        <v>0</v>
      </c>
      <c r="BS531">
        <f t="shared" si="179"/>
        <v>0</v>
      </c>
      <c r="BT531">
        <f t="shared" si="180"/>
        <v>0</v>
      </c>
      <c r="BU531">
        <f t="shared" si="181"/>
        <v>0</v>
      </c>
      <c r="BV531">
        <f t="shared" si="182"/>
        <v>0</v>
      </c>
      <c r="BW531">
        <f t="shared" si="183"/>
        <v>0</v>
      </c>
      <c r="CA531" t="str">
        <f>IF(332&gt;ROWS(DGArchive[模组]),"",IF(INDEX(DGArchive[模组],332)="","",INDEX(DGArchive[模组],332)))</f>
        <v/>
      </c>
      <c r="CB531" t="str">
        <f>IF(332&gt;ROWS(DGArchive[阶段]),"",IF(INDEX(DGArchive[阶段],332)="","",INDEX(DGArchive[阶段],332)))</f>
        <v/>
      </c>
      <c r="CC531" t="str">
        <f>IF(332&gt;ROWS(DGArchive[游戏内日期]),"",IF(INDEX(DGArchive[游戏内日期],332)="","",INDEX(DGArchive[游戏内日期],332)))</f>
        <v/>
      </c>
      <c r="CD531" t="str">
        <f>IF(332&gt;ROWS(DGArchive[目标]),"",IF(INDEX(DGArchive[目标],332)="","",INDEX(DGArchive[目标],332)))</f>
        <v/>
      </c>
      <c r="CE531" t="str">
        <f>IF(332&gt;ROWS(DGArchive[变更前]),"",IF(INDEX(DGArchive[变更前],332)="","",INDEX(DGArchive[变更前],332)))</f>
        <v/>
      </c>
      <c r="CF531" t="str">
        <f>IF(332&gt;ROWS(DGArchive[增减]),"",IF(INDEX(DGArchive[增减],332)="","",INDEX(DGArchive[增减],332)))</f>
        <v/>
      </c>
      <c r="CG531" t="str">
        <f>IF(332&gt;ROWS(DGArchive[变更后]),"",IF(INDEX(DGArchive[变更后],332)="","",INDEX(DGArchive[变更后],332)))</f>
        <v/>
      </c>
      <c r="CH531" t="str">
        <f>IF(332&gt;ROWS(DGArchive[事件／活动]),"",IF(INDEX(DGArchive[事件／活动],332)="","",INDEX(DGArchive[事件／活动],332)))</f>
        <v/>
      </c>
      <c r="CI531" t="str">
        <f>IF(332&gt;ROWS(DGArchive[记录编号]),"",IF(INDEX(DGArchive[记录编号],332)="","",INDEX(DGArchive[记录编号],332)))</f>
        <v/>
      </c>
      <c r="CL531">
        <f t="shared" si="164"/>
        <v>0</v>
      </c>
      <c r="CM531">
        <f>IF(AND(A531=$AO$5,B531=$AQ$3,H531=1),COUNTIFS($A$200:A531,$AO$5,$B$200:B531,$AQ$3,$H$200:H531,1),0)</f>
        <v>0</v>
      </c>
      <c r="CN531">
        <f>IF(CA531="",332,1001)</f>
        <v>332</v>
      </c>
      <c r="GA531">
        <f t="shared" si="184"/>
        <v>0</v>
      </c>
      <c r="GB531">
        <f t="shared" si="185"/>
        <v>0</v>
      </c>
      <c r="GC531">
        <f>IF(AND(C531="事件记录",H531=1),COUNTIFS($C$200:C531,"事件记录",$H$200:H531,1),0)</f>
        <v>0</v>
      </c>
      <c r="GD531">
        <f t="shared" si="165"/>
        <v>0</v>
      </c>
      <c r="GH531">
        <f>IF(AND(H531=1,A531=$GA$10,B531=$GA$11),COUNTIFS($A$200:A531,$GA$10,$B$200:B531,$GA$11,$H$200:H531,1),0)</f>
        <v>0</v>
      </c>
    </row>
    <row r="532" spans="1:190">
      <c r="A532" t="str">
        <f t="shared" si="156"/>
        <v/>
      </c>
      <c r="B532" t="str">
        <f t="shared" si="157"/>
        <v/>
      </c>
      <c r="C532" t="str">
        <f t="shared" si="158"/>
        <v/>
      </c>
      <c r="D532" t="str">
        <f t="shared" si="159"/>
        <v/>
      </c>
      <c r="E532">
        <f t="shared" si="160"/>
        <v>0</v>
      </c>
      <c r="F532" t="str">
        <f t="shared" si="161"/>
        <v/>
      </c>
      <c r="G532">
        <f t="shared" si="162"/>
        <v>0</v>
      </c>
      <c r="H532">
        <f>IF(AND(G532=1,COUNTIFS($I$200:I532,I532,$G$200:G532,1)=1),1,0)</f>
        <v>0</v>
      </c>
      <c r="I532" t="str">
        <f t="shared" si="163"/>
        <v/>
      </c>
      <c r="BF532">
        <f t="shared" si="166"/>
        <v>0</v>
      </c>
      <c r="BG532">
        <f t="shared" si="167"/>
        <v>0</v>
      </c>
      <c r="BH532">
        <f t="shared" si="168"/>
        <v>0</v>
      </c>
      <c r="BI532">
        <f t="shared" si="169"/>
        <v>0</v>
      </c>
      <c r="BJ532">
        <f t="shared" si="170"/>
        <v>0</v>
      </c>
      <c r="BK532">
        <f t="shared" si="171"/>
        <v>0</v>
      </c>
      <c r="BL532">
        <f t="shared" si="172"/>
        <v>0</v>
      </c>
      <c r="BM532">
        <f t="shared" si="173"/>
        <v>0</v>
      </c>
      <c r="BN532">
        <f t="shared" si="174"/>
        <v>0</v>
      </c>
      <c r="BO532">
        <f t="shared" si="175"/>
        <v>0</v>
      </c>
      <c r="BP532">
        <f t="shared" si="176"/>
        <v>0</v>
      </c>
      <c r="BQ532">
        <f t="shared" si="177"/>
        <v>0</v>
      </c>
      <c r="BR532">
        <f t="shared" si="178"/>
        <v>0</v>
      </c>
      <c r="BS532">
        <f t="shared" si="179"/>
        <v>0</v>
      </c>
      <c r="BT532">
        <f t="shared" si="180"/>
        <v>0</v>
      </c>
      <c r="BU532">
        <f t="shared" si="181"/>
        <v>0</v>
      </c>
      <c r="BV532">
        <f t="shared" si="182"/>
        <v>0</v>
      </c>
      <c r="BW532">
        <f t="shared" si="183"/>
        <v>0</v>
      </c>
      <c r="CA532" t="str">
        <f>IF(333&gt;ROWS(DGArchive[模组]),"",IF(INDEX(DGArchive[模组],333)="","",INDEX(DGArchive[模组],333)))</f>
        <v/>
      </c>
      <c r="CB532" t="str">
        <f>IF(333&gt;ROWS(DGArchive[阶段]),"",IF(INDEX(DGArchive[阶段],333)="","",INDEX(DGArchive[阶段],333)))</f>
        <v/>
      </c>
      <c r="CC532" t="str">
        <f>IF(333&gt;ROWS(DGArchive[游戏内日期]),"",IF(INDEX(DGArchive[游戏内日期],333)="","",INDEX(DGArchive[游戏内日期],333)))</f>
        <v/>
      </c>
      <c r="CD532" t="str">
        <f>IF(333&gt;ROWS(DGArchive[目标]),"",IF(INDEX(DGArchive[目标],333)="","",INDEX(DGArchive[目标],333)))</f>
        <v/>
      </c>
      <c r="CE532" t="str">
        <f>IF(333&gt;ROWS(DGArchive[变更前]),"",IF(INDEX(DGArchive[变更前],333)="","",INDEX(DGArchive[变更前],333)))</f>
        <v/>
      </c>
      <c r="CF532" t="str">
        <f>IF(333&gt;ROWS(DGArchive[增减]),"",IF(INDEX(DGArchive[增减],333)="","",INDEX(DGArchive[增减],333)))</f>
        <v/>
      </c>
      <c r="CG532" t="str">
        <f>IF(333&gt;ROWS(DGArchive[变更后]),"",IF(INDEX(DGArchive[变更后],333)="","",INDEX(DGArchive[变更后],333)))</f>
        <v/>
      </c>
      <c r="CH532" t="str">
        <f>IF(333&gt;ROWS(DGArchive[事件／活动]),"",IF(INDEX(DGArchive[事件／活动],333)="","",INDEX(DGArchive[事件／活动],333)))</f>
        <v/>
      </c>
      <c r="CI532" t="str">
        <f>IF(333&gt;ROWS(DGArchive[记录编号]),"",IF(INDEX(DGArchive[记录编号],333)="","",INDEX(DGArchive[记录编号],333)))</f>
        <v/>
      </c>
      <c r="CL532">
        <f t="shared" si="164"/>
        <v>0</v>
      </c>
      <c r="CM532">
        <f>IF(AND(A532=$AO$5,B532=$AQ$3,H532=1),COUNTIFS($A$200:A532,$AO$5,$B$200:B532,$AQ$3,$H$200:H532,1),0)</f>
        <v>0</v>
      </c>
      <c r="CN532">
        <f>IF(CA532="",333,1001)</f>
        <v>333</v>
      </c>
      <c r="GA532">
        <f t="shared" si="184"/>
        <v>0</v>
      </c>
      <c r="GB532">
        <f t="shared" si="185"/>
        <v>0</v>
      </c>
      <c r="GC532">
        <f>IF(AND(C532="事件记录",H532=1),COUNTIFS($C$200:C532,"事件记录",$H$200:H532,1),0)</f>
        <v>0</v>
      </c>
      <c r="GD532">
        <f t="shared" si="165"/>
        <v>0</v>
      </c>
      <c r="GH532">
        <f>IF(AND(H532=1,A532=$GA$10,B532=$GA$11),COUNTIFS($A$200:A532,$GA$10,$B$200:B532,$GA$11,$H$200:H532,1),0)</f>
        <v>0</v>
      </c>
    </row>
    <row r="533" spans="1:190">
      <c r="A533" t="str">
        <f t="shared" si="156"/>
        <v/>
      </c>
      <c r="B533" t="str">
        <f t="shared" si="157"/>
        <v/>
      </c>
      <c r="C533" t="str">
        <f t="shared" si="158"/>
        <v/>
      </c>
      <c r="D533" t="str">
        <f t="shared" si="159"/>
        <v/>
      </c>
      <c r="E533">
        <f t="shared" si="160"/>
        <v>0</v>
      </c>
      <c r="F533" t="str">
        <f t="shared" si="161"/>
        <v/>
      </c>
      <c r="G533">
        <f t="shared" si="162"/>
        <v>0</v>
      </c>
      <c r="H533">
        <f>IF(AND(G533=1,COUNTIFS($I$200:I533,I533,$G$200:G533,1)=1),1,0)</f>
        <v>0</v>
      </c>
      <c r="I533" t="str">
        <f t="shared" si="163"/>
        <v/>
      </c>
      <c r="BF533">
        <f t="shared" si="166"/>
        <v>0</v>
      </c>
      <c r="BG533">
        <f t="shared" si="167"/>
        <v>0</v>
      </c>
      <c r="BH533">
        <f t="shared" si="168"/>
        <v>0</v>
      </c>
      <c r="BI533">
        <f t="shared" si="169"/>
        <v>0</v>
      </c>
      <c r="BJ533">
        <f t="shared" si="170"/>
        <v>0</v>
      </c>
      <c r="BK533">
        <f t="shared" si="171"/>
        <v>0</v>
      </c>
      <c r="BL533">
        <f t="shared" si="172"/>
        <v>0</v>
      </c>
      <c r="BM533">
        <f t="shared" si="173"/>
        <v>0</v>
      </c>
      <c r="BN533">
        <f t="shared" si="174"/>
        <v>0</v>
      </c>
      <c r="BO533">
        <f t="shared" si="175"/>
        <v>0</v>
      </c>
      <c r="BP533">
        <f t="shared" si="176"/>
        <v>0</v>
      </c>
      <c r="BQ533">
        <f t="shared" si="177"/>
        <v>0</v>
      </c>
      <c r="BR533">
        <f t="shared" si="178"/>
        <v>0</v>
      </c>
      <c r="BS533">
        <f t="shared" si="179"/>
        <v>0</v>
      </c>
      <c r="BT533">
        <f t="shared" si="180"/>
        <v>0</v>
      </c>
      <c r="BU533">
        <f t="shared" si="181"/>
        <v>0</v>
      </c>
      <c r="BV533">
        <f t="shared" si="182"/>
        <v>0</v>
      </c>
      <c r="BW533">
        <f t="shared" si="183"/>
        <v>0</v>
      </c>
      <c r="CA533" t="str">
        <f>IF(334&gt;ROWS(DGArchive[模组]),"",IF(INDEX(DGArchive[模组],334)="","",INDEX(DGArchive[模组],334)))</f>
        <v/>
      </c>
      <c r="CB533" t="str">
        <f>IF(334&gt;ROWS(DGArchive[阶段]),"",IF(INDEX(DGArchive[阶段],334)="","",INDEX(DGArchive[阶段],334)))</f>
        <v/>
      </c>
      <c r="CC533" t="str">
        <f>IF(334&gt;ROWS(DGArchive[游戏内日期]),"",IF(INDEX(DGArchive[游戏内日期],334)="","",INDEX(DGArchive[游戏内日期],334)))</f>
        <v/>
      </c>
      <c r="CD533" t="str">
        <f>IF(334&gt;ROWS(DGArchive[目标]),"",IF(INDEX(DGArchive[目标],334)="","",INDEX(DGArchive[目标],334)))</f>
        <v/>
      </c>
      <c r="CE533" t="str">
        <f>IF(334&gt;ROWS(DGArchive[变更前]),"",IF(INDEX(DGArchive[变更前],334)="","",INDEX(DGArchive[变更前],334)))</f>
        <v/>
      </c>
      <c r="CF533" t="str">
        <f>IF(334&gt;ROWS(DGArchive[增减]),"",IF(INDEX(DGArchive[增减],334)="","",INDEX(DGArchive[增减],334)))</f>
        <v/>
      </c>
      <c r="CG533" t="str">
        <f>IF(334&gt;ROWS(DGArchive[变更后]),"",IF(INDEX(DGArchive[变更后],334)="","",INDEX(DGArchive[变更后],334)))</f>
        <v/>
      </c>
      <c r="CH533" t="str">
        <f>IF(334&gt;ROWS(DGArchive[事件／活动]),"",IF(INDEX(DGArchive[事件／活动],334)="","",INDEX(DGArchive[事件／活动],334)))</f>
        <v/>
      </c>
      <c r="CI533" t="str">
        <f>IF(334&gt;ROWS(DGArchive[记录编号]),"",IF(INDEX(DGArchive[记录编号],334)="","",INDEX(DGArchive[记录编号],334)))</f>
        <v/>
      </c>
      <c r="CL533">
        <f t="shared" si="164"/>
        <v>0</v>
      </c>
      <c r="CM533">
        <f>IF(AND(A533=$AO$5,B533=$AQ$3,H533=1),COUNTIFS($A$200:A533,$AO$5,$B$200:B533,$AQ$3,$H$200:H533,1),0)</f>
        <v>0</v>
      </c>
      <c r="CN533">
        <f>IF(CA533="",334,1001)</f>
        <v>334</v>
      </c>
      <c r="GA533">
        <f t="shared" si="184"/>
        <v>0</v>
      </c>
      <c r="GB533">
        <f t="shared" si="185"/>
        <v>0</v>
      </c>
      <c r="GC533">
        <f>IF(AND(C533="事件记录",H533=1),COUNTIFS($C$200:C533,"事件记录",$H$200:H533,1),0)</f>
        <v>0</v>
      </c>
      <c r="GD533">
        <f t="shared" si="165"/>
        <v>0</v>
      </c>
      <c r="GH533">
        <f>IF(AND(H533=1,A533=$GA$10,B533=$GA$11),COUNTIFS($A$200:A533,$GA$10,$B$200:B533,$GA$11,$H$200:H533,1),0)</f>
        <v>0</v>
      </c>
    </row>
    <row r="534" spans="1:190">
      <c r="A534" t="str">
        <f t="shared" si="156"/>
        <v/>
      </c>
      <c r="B534" t="str">
        <f t="shared" si="157"/>
        <v/>
      </c>
      <c r="C534" t="str">
        <f t="shared" si="158"/>
        <v/>
      </c>
      <c r="D534" t="str">
        <f t="shared" si="159"/>
        <v/>
      </c>
      <c r="E534">
        <f t="shared" si="160"/>
        <v>0</v>
      </c>
      <c r="F534" t="str">
        <f t="shared" si="161"/>
        <v/>
      </c>
      <c r="G534">
        <f t="shared" si="162"/>
        <v>0</v>
      </c>
      <c r="H534">
        <f>IF(AND(G534=1,COUNTIFS($I$200:I534,I534,$G$200:G534,1)=1),1,0)</f>
        <v>0</v>
      </c>
      <c r="I534" t="str">
        <f t="shared" si="163"/>
        <v/>
      </c>
      <c r="BF534">
        <f t="shared" si="166"/>
        <v>0</v>
      </c>
      <c r="BG534">
        <f t="shared" si="167"/>
        <v>0</v>
      </c>
      <c r="BH534">
        <f t="shared" si="168"/>
        <v>0</v>
      </c>
      <c r="BI534">
        <f t="shared" si="169"/>
        <v>0</v>
      </c>
      <c r="BJ534">
        <f t="shared" si="170"/>
        <v>0</v>
      </c>
      <c r="BK534">
        <f t="shared" si="171"/>
        <v>0</v>
      </c>
      <c r="BL534">
        <f t="shared" si="172"/>
        <v>0</v>
      </c>
      <c r="BM534">
        <f t="shared" si="173"/>
        <v>0</v>
      </c>
      <c r="BN534">
        <f t="shared" si="174"/>
        <v>0</v>
      </c>
      <c r="BO534">
        <f t="shared" si="175"/>
        <v>0</v>
      </c>
      <c r="BP534">
        <f t="shared" si="176"/>
        <v>0</v>
      </c>
      <c r="BQ534">
        <f t="shared" si="177"/>
        <v>0</v>
      </c>
      <c r="BR534">
        <f t="shared" si="178"/>
        <v>0</v>
      </c>
      <c r="BS534">
        <f t="shared" si="179"/>
        <v>0</v>
      </c>
      <c r="BT534">
        <f t="shared" si="180"/>
        <v>0</v>
      </c>
      <c r="BU534">
        <f t="shared" si="181"/>
        <v>0</v>
      </c>
      <c r="BV534">
        <f t="shared" si="182"/>
        <v>0</v>
      </c>
      <c r="BW534">
        <f t="shared" si="183"/>
        <v>0</v>
      </c>
      <c r="CA534" t="str">
        <f>IF(335&gt;ROWS(DGArchive[模组]),"",IF(INDEX(DGArchive[模组],335)="","",INDEX(DGArchive[模组],335)))</f>
        <v/>
      </c>
      <c r="CB534" t="str">
        <f>IF(335&gt;ROWS(DGArchive[阶段]),"",IF(INDEX(DGArchive[阶段],335)="","",INDEX(DGArchive[阶段],335)))</f>
        <v/>
      </c>
      <c r="CC534" t="str">
        <f>IF(335&gt;ROWS(DGArchive[游戏内日期]),"",IF(INDEX(DGArchive[游戏内日期],335)="","",INDEX(DGArchive[游戏内日期],335)))</f>
        <v/>
      </c>
      <c r="CD534" t="str">
        <f>IF(335&gt;ROWS(DGArchive[目标]),"",IF(INDEX(DGArchive[目标],335)="","",INDEX(DGArchive[目标],335)))</f>
        <v/>
      </c>
      <c r="CE534" t="str">
        <f>IF(335&gt;ROWS(DGArchive[变更前]),"",IF(INDEX(DGArchive[变更前],335)="","",INDEX(DGArchive[变更前],335)))</f>
        <v/>
      </c>
      <c r="CF534" t="str">
        <f>IF(335&gt;ROWS(DGArchive[增减]),"",IF(INDEX(DGArchive[增减],335)="","",INDEX(DGArchive[增减],335)))</f>
        <v/>
      </c>
      <c r="CG534" t="str">
        <f>IF(335&gt;ROWS(DGArchive[变更后]),"",IF(INDEX(DGArchive[变更后],335)="","",INDEX(DGArchive[变更后],335)))</f>
        <v/>
      </c>
      <c r="CH534" t="str">
        <f>IF(335&gt;ROWS(DGArchive[事件／活动]),"",IF(INDEX(DGArchive[事件／活动],335)="","",INDEX(DGArchive[事件／活动],335)))</f>
        <v/>
      </c>
      <c r="CI534" t="str">
        <f>IF(335&gt;ROWS(DGArchive[记录编号]),"",IF(INDEX(DGArchive[记录编号],335)="","",INDEX(DGArchive[记录编号],335)))</f>
        <v/>
      </c>
      <c r="CL534">
        <f t="shared" si="164"/>
        <v>0</v>
      </c>
      <c r="CM534">
        <f>IF(AND(A534=$AO$5,B534=$AQ$3,H534=1),COUNTIFS($A$200:A534,$AO$5,$B$200:B534,$AQ$3,$H$200:H534,1),0)</f>
        <v>0</v>
      </c>
      <c r="CN534">
        <f>IF(CA534="",335,1001)</f>
        <v>335</v>
      </c>
      <c r="GA534">
        <f t="shared" si="184"/>
        <v>0</v>
      </c>
      <c r="GB534">
        <f t="shared" si="185"/>
        <v>0</v>
      </c>
      <c r="GC534">
        <f>IF(AND(C534="事件记录",H534=1),COUNTIFS($C$200:C534,"事件记录",$H$200:H534,1),0)</f>
        <v>0</v>
      </c>
      <c r="GD534">
        <f t="shared" si="165"/>
        <v>0</v>
      </c>
      <c r="GH534">
        <f>IF(AND(H534=1,A534=$GA$10,B534=$GA$11),COUNTIFS($A$200:A534,$GA$10,$B$200:B534,$GA$11,$H$200:H534,1),0)</f>
        <v>0</v>
      </c>
    </row>
    <row r="535" spans="1:190">
      <c r="A535" t="str">
        <f t="shared" si="156"/>
        <v/>
      </c>
      <c r="B535" t="str">
        <f t="shared" si="157"/>
        <v/>
      </c>
      <c r="C535" t="str">
        <f t="shared" si="158"/>
        <v/>
      </c>
      <c r="D535" t="str">
        <f t="shared" si="159"/>
        <v/>
      </c>
      <c r="E535">
        <f t="shared" si="160"/>
        <v>0</v>
      </c>
      <c r="F535" t="str">
        <f t="shared" si="161"/>
        <v/>
      </c>
      <c r="G535">
        <f t="shared" si="162"/>
        <v>0</v>
      </c>
      <c r="H535">
        <f>IF(AND(G535=1,COUNTIFS($I$200:I535,I535,$G$200:G535,1)=1),1,0)</f>
        <v>0</v>
      </c>
      <c r="I535" t="str">
        <f t="shared" si="163"/>
        <v/>
      </c>
      <c r="BF535">
        <f t="shared" si="166"/>
        <v>0</v>
      </c>
      <c r="BG535">
        <f t="shared" si="167"/>
        <v>0</v>
      </c>
      <c r="BH535">
        <f t="shared" si="168"/>
        <v>0</v>
      </c>
      <c r="BI535">
        <f t="shared" si="169"/>
        <v>0</v>
      </c>
      <c r="BJ535">
        <f t="shared" si="170"/>
        <v>0</v>
      </c>
      <c r="BK535">
        <f t="shared" si="171"/>
        <v>0</v>
      </c>
      <c r="BL535">
        <f t="shared" si="172"/>
        <v>0</v>
      </c>
      <c r="BM535">
        <f t="shared" si="173"/>
        <v>0</v>
      </c>
      <c r="BN535">
        <f t="shared" si="174"/>
        <v>0</v>
      </c>
      <c r="BO535">
        <f t="shared" si="175"/>
        <v>0</v>
      </c>
      <c r="BP535">
        <f t="shared" si="176"/>
        <v>0</v>
      </c>
      <c r="BQ535">
        <f t="shared" si="177"/>
        <v>0</v>
      </c>
      <c r="BR535">
        <f t="shared" si="178"/>
        <v>0</v>
      </c>
      <c r="BS535">
        <f t="shared" si="179"/>
        <v>0</v>
      </c>
      <c r="BT535">
        <f t="shared" si="180"/>
        <v>0</v>
      </c>
      <c r="BU535">
        <f t="shared" si="181"/>
        <v>0</v>
      </c>
      <c r="BV535">
        <f t="shared" si="182"/>
        <v>0</v>
      </c>
      <c r="BW535">
        <f t="shared" si="183"/>
        <v>0</v>
      </c>
      <c r="CA535" t="str">
        <f>IF(336&gt;ROWS(DGArchive[模组]),"",IF(INDEX(DGArchive[模组],336)="","",INDEX(DGArchive[模组],336)))</f>
        <v/>
      </c>
      <c r="CB535" t="str">
        <f>IF(336&gt;ROWS(DGArchive[阶段]),"",IF(INDEX(DGArchive[阶段],336)="","",INDEX(DGArchive[阶段],336)))</f>
        <v/>
      </c>
      <c r="CC535" t="str">
        <f>IF(336&gt;ROWS(DGArchive[游戏内日期]),"",IF(INDEX(DGArchive[游戏内日期],336)="","",INDEX(DGArchive[游戏内日期],336)))</f>
        <v/>
      </c>
      <c r="CD535" t="str">
        <f>IF(336&gt;ROWS(DGArchive[目标]),"",IF(INDEX(DGArchive[目标],336)="","",INDEX(DGArchive[目标],336)))</f>
        <v/>
      </c>
      <c r="CE535" t="str">
        <f>IF(336&gt;ROWS(DGArchive[变更前]),"",IF(INDEX(DGArchive[变更前],336)="","",INDEX(DGArchive[变更前],336)))</f>
        <v/>
      </c>
      <c r="CF535" t="str">
        <f>IF(336&gt;ROWS(DGArchive[增减]),"",IF(INDEX(DGArchive[增减],336)="","",INDEX(DGArchive[增减],336)))</f>
        <v/>
      </c>
      <c r="CG535" t="str">
        <f>IF(336&gt;ROWS(DGArchive[变更后]),"",IF(INDEX(DGArchive[变更后],336)="","",INDEX(DGArchive[变更后],336)))</f>
        <v/>
      </c>
      <c r="CH535" t="str">
        <f>IF(336&gt;ROWS(DGArchive[事件／活动]),"",IF(INDEX(DGArchive[事件／活动],336)="","",INDEX(DGArchive[事件／活动],336)))</f>
        <v/>
      </c>
      <c r="CI535" t="str">
        <f>IF(336&gt;ROWS(DGArchive[记录编号]),"",IF(INDEX(DGArchive[记录编号],336)="","",INDEX(DGArchive[记录编号],336)))</f>
        <v/>
      </c>
      <c r="CL535">
        <f t="shared" si="164"/>
        <v>0</v>
      </c>
      <c r="CM535">
        <f>IF(AND(A535=$AO$5,B535=$AQ$3,H535=1),COUNTIFS($A$200:A535,$AO$5,$B$200:B535,$AQ$3,$H$200:H535,1),0)</f>
        <v>0</v>
      </c>
      <c r="CN535">
        <f>IF(CA535="",336,1001)</f>
        <v>336</v>
      </c>
      <c r="GA535">
        <f t="shared" si="184"/>
        <v>0</v>
      </c>
      <c r="GB535">
        <f t="shared" si="185"/>
        <v>0</v>
      </c>
      <c r="GC535">
        <f>IF(AND(C535="事件记录",H535=1),COUNTIFS($C$200:C535,"事件记录",$H$200:H535,1),0)</f>
        <v>0</v>
      </c>
      <c r="GD535">
        <f t="shared" si="165"/>
        <v>0</v>
      </c>
      <c r="GH535">
        <f>IF(AND(H535=1,A535=$GA$10,B535=$GA$11),COUNTIFS($A$200:A535,$GA$10,$B$200:B535,$GA$11,$H$200:H535,1),0)</f>
        <v>0</v>
      </c>
    </row>
    <row r="536" spans="1:190">
      <c r="A536" t="str">
        <f t="shared" si="156"/>
        <v/>
      </c>
      <c r="B536" t="str">
        <f t="shared" si="157"/>
        <v/>
      </c>
      <c r="C536" t="str">
        <f t="shared" si="158"/>
        <v/>
      </c>
      <c r="D536" t="str">
        <f t="shared" si="159"/>
        <v/>
      </c>
      <c r="E536">
        <f t="shared" si="160"/>
        <v>0</v>
      </c>
      <c r="F536" t="str">
        <f t="shared" si="161"/>
        <v/>
      </c>
      <c r="G536">
        <f t="shared" si="162"/>
        <v>0</v>
      </c>
      <c r="H536">
        <f>IF(AND(G536=1,COUNTIFS($I$200:I536,I536,$G$200:G536,1)=1),1,0)</f>
        <v>0</v>
      </c>
      <c r="I536" t="str">
        <f t="shared" si="163"/>
        <v/>
      </c>
      <c r="BF536">
        <f t="shared" si="166"/>
        <v>0</v>
      </c>
      <c r="BG536">
        <f t="shared" si="167"/>
        <v>0</v>
      </c>
      <c r="BH536">
        <f t="shared" si="168"/>
        <v>0</v>
      </c>
      <c r="BI536">
        <f t="shared" si="169"/>
        <v>0</v>
      </c>
      <c r="BJ536">
        <f t="shared" si="170"/>
        <v>0</v>
      </c>
      <c r="BK536">
        <f t="shared" si="171"/>
        <v>0</v>
      </c>
      <c r="BL536">
        <f t="shared" si="172"/>
        <v>0</v>
      </c>
      <c r="BM536">
        <f t="shared" si="173"/>
        <v>0</v>
      </c>
      <c r="BN536">
        <f t="shared" si="174"/>
        <v>0</v>
      </c>
      <c r="BO536">
        <f t="shared" si="175"/>
        <v>0</v>
      </c>
      <c r="BP536">
        <f t="shared" si="176"/>
        <v>0</v>
      </c>
      <c r="BQ536">
        <f t="shared" si="177"/>
        <v>0</v>
      </c>
      <c r="BR536">
        <f t="shared" si="178"/>
        <v>0</v>
      </c>
      <c r="BS536">
        <f t="shared" si="179"/>
        <v>0</v>
      </c>
      <c r="BT536">
        <f t="shared" si="180"/>
        <v>0</v>
      </c>
      <c r="BU536">
        <f t="shared" si="181"/>
        <v>0</v>
      </c>
      <c r="BV536">
        <f t="shared" si="182"/>
        <v>0</v>
      </c>
      <c r="BW536">
        <f t="shared" si="183"/>
        <v>0</v>
      </c>
      <c r="CA536" t="str">
        <f>IF(337&gt;ROWS(DGArchive[模组]),"",IF(INDEX(DGArchive[模组],337)="","",INDEX(DGArchive[模组],337)))</f>
        <v/>
      </c>
      <c r="CB536" t="str">
        <f>IF(337&gt;ROWS(DGArchive[阶段]),"",IF(INDEX(DGArchive[阶段],337)="","",INDEX(DGArchive[阶段],337)))</f>
        <v/>
      </c>
      <c r="CC536" t="str">
        <f>IF(337&gt;ROWS(DGArchive[游戏内日期]),"",IF(INDEX(DGArchive[游戏内日期],337)="","",INDEX(DGArchive[游戏内日期],337)))</f>
        <v/>
      </c>
      <c r="CD536" t="str">
        <f>IF(337&gt;ROWS(DGArchive[目标]),"",IF(INDEX(DGArchive[目标],337)="","",INDEX(DGArchive[目标],337)))</f>
        <v/>
      </c>
      <c r="CE536" t="str">
        <f>IF(337&gt;ROWS(DGArchive[变更前]),"",IF(INDEX(DGArchive[变更前],337)="","",INDEX(DGArchive[变更前],337)))</f>
        <v/>
      </c>
      <c r="CF536" t="str">
        <f>IF(337&gt;ROWS(DGArchive[增减]),"",IF(INDEX(DGArchive[增减],337)="","",INDEX(DGArchive[增减],337)))</f>
        <v/>
      </c>
      <c r="CG536" t="str">
        <f>IF(337&gt;ROWS(DGArchive[变更后]),"",IF(INDEX(DGArchive[变更后],337)="","",INDEX(DGArchive[变更后],337)))</f>
        <v/>
      </c>
      <c r="CH536" t="str">
        <f>IF(337&gt;ROWS(DGArchive[事件／活动]),"",IF(INDEX(DGArchive[事件／活动],337)="","",INDEX(DGArchive[事件／活动],337)))</f>
        <v/>
      </c>
      <c r="CI536" t="str">
        <f>IF(337&gt;ROWS(DGArchive[记录编号]),"",IF(INDEX(DGArchive[记录编号],337)="","",INDEX(DGArchive[记录编号],337)))</f>
        <v/>
      </c>
      <c r="CL536">
        <f t="shared" si="164"/>
        <v>0</v>
      </c>
      <c r="CM536">
        <f>IF(AND(A536=$AO$5,B536=$AQ$3,H536=1),COUNTIFS($A$200:A536,$AO$5,$B$200:B536,$AQ$3,$H$200:H536,1),0)</f>
        <v>0</v>
      </c>
      <c r="CN536">
        <f>IF(CA536="",337,1001)</f>
        <v>337</v>
      </c>
      <c r="GA536">
        <f t="shared" si="184"/>
        <v>0</v>
      </c>
      <c r="GB536">
        <f t="shared" si="185"/>
        <v>0</v>
      </c>
      <c r="GC536">
        <f>IF(AND(C536="事件记录",H536=1),COUNTIFS($C$200:C536,"事件记录",$H$200:H536,1),0)</f>
        <v>0</v>
      </c>
      <c r="GD536">
        <f t="shared" si="165"/>
        <v>0</v>
      </c>
      <c r="GH536">
        <f>IF(AND(H536=1,A536=$GA$10,B536=$GA$11),COUNTIFS($A$200:A536,$GA$10,$B$200:B536,$GA$11,$H$200:H536,1),0)</f>
        <v>0</v>
      </c>
    </row>
    <row r="537" spans="1:190">
      <c r="A537" t="str">
        <f t="shared" si="156"/>
        <v/>
      </c>
      <c r="B537" t="str">
        <f t="shared" si="157"/>
        <v/>
      </c>
      <c r="C537" t="str">
        <f t="shared" si="158"/>
        <v/>
      </c>
      <c r="D537" t="str">
        <f t="shared" si="159"/>
        <v/>
      </c>
      <c r="E537">
        <f t="shared" si="160"/>
        <v>0</v>
      </c>
      <c r="F537" t="str">
        <f t="shared" si="161"/>
        <v/>
      </c>
      <c r="G537">
        <f t="shared" si="162"/>
        <v>0</v>
      </c>
      <c r="H537">
        <f>IF(AND(G537=1,COUNTIFS($I$200:I537,I537,$G$200:G537,1)=1),1,0)</f>
        <v>0</v>
      </c>
      <c r="I537" t="str">
        <f t="shared" si="163"/>
        <v/>
      </c>
      <c r="BF537">
        <f t="shared" si="166"/>
        <v>0</v>
      </c>
      <c r="BG537">
        <f t="shared" si="167"/>
        <v>0</v>
      </c>
      <c r="BH537">
        <f t="shared" si="168"/>
        <v>0</v>
      </c>
      <c r="BI537">
        <f t="shared" si="169"/>
        <v>0</v>
      </c>
      <c r="BJ537">
        <f t="shared" si="170"/>
        <v>0</v>
      </c>
      <c r="BK537">
        <f t="shared" si="171"/>
        <v>0</v>
      </c>
      <c r="BL537">
        <f t="shared" si="172"/>
        <v>0</v>
      </c>
      <c r="BM537">
        <f t="shared" si="173"/>
        <v>0</v>
      </c>
      <c r="BN537">
        <f t="shared" si="174"/>
        <v>0</v>
      </c>
      <c r="BO537">
        <f t="shared" si="175"/>
        <v>0</v>
      </c>
      <c r="BP537">
        <f t="shared" si="176"/>
        <v>0</v>
      </c>
      <c r="BQ537">
        <f t="shared" si="177"/>
        <v>0</v>
      </c>
      <c r="BR537">
        <f t="shared" si="178"/>
        <v>0</v>
      </c>
      <c r="BS537">
        <f t="shared" si="179"/>
        <v>0</v>
      </c>
      <c r="BT537">
        <f t="shared" si="180"/>
        <v>0</v>
      </c>
      <c r="BU537">
        <f t="shared" si="181"/>
        <v>0</v>
      </c>
      <c r="BV537">
        <f t="shared" si="182"/>
        <v>0</v>
      </c>
      <c r="BW537">
        <f t="shared" si="183"/>
        <v>0</v>
      </c>
      <c r="CA537" t="str">
        <f>IF(338&gt;ROWS(DGArchive[模组]),"",IF(INDEX(DGArchive[模组],338)="","",INDEX(DGArchive[模组],338)))</f>
        <v/>
      </c>
      <c r="CB537" t="str">
        <f>IF(338&gt;ROWS(DGArchive[阶段]),"",IF(INDEX(DGArchive[阶段],338)="","",INDEX(DGArchive[阶段],338)))</f>
        <v/>
      </c>
      <c r="CC537" t="str">
        <f>IF(338&gt;ROWS(DGArchive[游戏内日期]),"",IF(INDEX(DGArchive[游戏内日期],338)="","",INDEX(DGArchive[游戏内日期],338)))</f>
        <v/>
      </c>
      <c r="CD537" t="str">
        <f>IF(338&gt;ROWS(DGArchive[目标]),"",IF(INDEX(DGArchive[目标],338)="","",INDEX(DGArchive[目标],338)))</f>
        <v/>
      </c>
      <c r="CE537" t="str">
        <f>IF(338&gt;ROWS(DGArchive[变更前]),"",IF(INDEX(DGArchive[变更前],338)="","",INDEX(DGArchive[变更前],338)))</f>
        <v/>
      </c>
      <c r="CF537" t="str">
        <f>IF(338&gt;ROWS(DGArchive[增减]),"",IF(INDEX(DGArchive[增减],338)="","",INDEX(DGArchive[增减],338)))</f>
        <v/>
      </c>
      <c r="CG537" t="str">
        <f>IF(338&gt;ROWS(DGArchive[变更后]),"",IF(INDEX(DGArchive[变更后],338)="","",INDEX(DGArchive[变更后],338)))</f>
        <v/>
      </c>
      <c r="CH537" t="str">
        <f>IF(338&gt;ROWS(DGArchive[事件／活动]),"",IF(INDEX(DGArchive[事件／活动],338)="","",INDEX(DGArchive[事件／活动],338)))</f>
        <v/>
      </c>
      <c r="CI537" t="str">
        <f>IF(338&gt;ROWS(DGArchive[记录编号]),"",IF(INDEX(DGArchive[记录编号],338)="","",INDEX(DGArchive[记录编号],338)))</f>
        <v/>
      </c>
      <c r="CL537">
        <f t="shared" si="164"/>
        <v>0</v>
      </c>
      <c r="CM537">
        <f>IF(AND(A537=$AO$5,B537=$AQ$3,H537=1),COUNTIFS($A$200:A537,$AO$5,$B$200:B537,$AQ$3,$H$200:H537,1),0)</f>
        <v>0</v>
      </c>
      <c r="CN537">
        <f>IF(CA537="",338,1001)</f>
        <v>338</v>
      </c>
      <c r="GA537">
        <f t="shared" si="184"/>
        <v>0</v>
      </c>
      <c r="GB537">
        <f t="shared" si="185"/>
        <v>0</v>
      </c>
      <c r="GC537">
        <f>IF(AND(C537="事件记录",H537=1),COUNTIFS($C$200:C537,"事件记录",$H$200:H537,1),0)</f>
        <v>0</v>
      </c>
      <c r="GD537">
        <f t="shared" si="165"/>
        <v>0</v>
      </c>
      <c r="GH537">
        <f>IF(AND(H537=1,A537=$GA$10,B537=$GA$11),COUNTIFS($A$200:A537,$GA$10,$B$200:B537,$GA$11,$H$200:H537,1),0)</f>
        <v>0</v>
      </c>
    </row>
    <row r="538" spans="1:190">
      <c r="A538" t="str">
        <f t="shared" si="156"/>
        <v/>
      </c>
      <c r="B538" t="str">
        <f t="shared" si="157"/>
        <v/>
      </c>
      <c r="C538" t="str">
        <f t="shared" si="158"/>
        <v/>
      </c>
      <c r="D538" t="str">
        <f t="shared" si="159"/>
        <v/>
      </c>
      <c r="E538">
        <f t="shared" si="160"/>
        <v>0</v>
      </c>
      <c r="F538" t="str">
        <f t="shared" si="161"/>
        <v/>
      </c>
      <c r="G538">
        <f t="shared" si="162"/>
        <v>0</v>
      </c>
      <c r="H538">
        <f>IF(AND(G538=1,COUNTIFS($I$200:I538,I538,$G$200:G538,1)=1),1,0)</f>
        <v>0</v>
      </c>
      <c r="I538" t="str">
        <f t="shared" si="163"/>
        <v/>
      </c>
      <c r="BF538">
        <f t="shared" si="166"/>
        <v>0</v>
      </c>
      <c r="BG538">
        <f t="shared" si="167"/>
        <v>0</v>
      </c>
      <c r="BH538">
        <f t="shared" si="168"/>
        <v>0</v>
      </c>
      <c r="BI538">
        <f t="shared" si="169"/>
        <v>0</v>
      </c>
      <c r="BJ538">
        <f t="shared" si="170"/>
        <v>0</v>
      </c>
      <c r="BK538">
        <f t="shared" si="171"/>
        <v>0</v>
      </c>
      <c r="BL538">
        <f t="shared" si="172"/>
        <v>0</v>
      </c>
      <c r="BM538">
        <f t="shared" si="173"/>
        <v>0</v>
      </c>
      <c r="BN538">
        <f t="shared" si="174"/>
        <v>0</v>
      </c>
      <c r="BO538">
        <f t="shared" si="175"/>
        <v>0</v>
      </c>
      <c r="BP538">
        <f t="shared" si="176"/>
        <v>0</v>
      </c>
      <c r="BQ538">
        <f t="shared" si="177"/>
        <v>0</v>
      </c>
      <c r="BR538">
        <f t="shared" si="178"/>
        <v>0</v>
      </c>
      <c r="BS538">
        <f t="shared" si="179"/>
        <v>0</v>
      </c>
      <c r="BT538">
        <f t="shared" si="180"/>
        <v>0</v>
      </c>
      <c r="BU538">
        <f t="shared" si="181"/>
        <v>0</v>
      </c>
      <c r="BV538">
        <f t="shared" si="182"/>
        <v>0</v>
      </c>
      <c r="BW538">
        <f t="shared" si="183"/>
        <v>0</v>
      </c>
      <c r="CA538" t="str">
        <f>IF(339&gt;ROWS(DGArchive[模组]),"",IF(INDEX(DGArchive[模组],339)="","",INDEX(DGArchive[模组],339)))</f>
        <v/>
      </c>
      <c r="CB538" t="str">
        <f>IF(339&gt;ROWS(DGArchive[阶段]),"",IF(INDEX(DGArchive[阶段],339)="","",INDEX(DGArchive[阶段],339)))</f>
        <v/>
      </c>
      <c r="CC538" t="str">
        <f>IF(339&gt;ROWS(DGArchive[游戏内日期]),"",IF(INDEX(DGArchive[游戏内日期],339)="","",INDEX(DGArchive[游戏内日期],339)))</f>
        <v/>
      </c>
      <c r="CD538" t="str">
        <f>IF(339&gt;ROWS(DGArchive[目标]),"",IF(INDEX(DGArchive[目标],339)="","",INDEX(DGArchive[目标],339)))</f>
        <v/>
      </c>
      <c r="CE538" t="str">
        <f>IF(339&gt;ROWS(DGArchive[变更前]),"",IF(INDEX(DGArchive[变更前],339)="","",INDEX(DGArchive[变更前],339)))</f>
        <v/>
      </c>
      <c r="CF538" t="str">
        <f>IF(339&gt;ROWS(DGArchive[增减]),"",IF(INDEX(DGArchive[增减],339)="","",INDEX(DGArchive[增减],339)))</f>
        <v/>
      </c>
      <c r="CG538" t="str">
        <f>IF(339&gt;ROWS(DGArchive[变更后]),"",IF(INDEX(DGArchive[变更后],339)="","",INDEX(DGArchive[变更后],339)))</f>
        <v/>
      </c>
      <c r="CH538" t="str">
        <f>IF(339&gt;ROWS(DGArchive[事件／活动]),"",IF(INDEX(DGArchive[事件／活动],339)="","",INDEX(DGArchive[事件／活动],339)))</f>
        <v/>
      </c>
      <c r="CI538" t="str">
        <f>IF(339&gt;ROWS(DGArchive[记录编号]),"",IF(INDEX(DGArchive[记录编号],339)="","",INDEX(DGArchive[记录编号],339)))</f>
        <v/>
      </c>
      <c r="CL538">
        <f t="shared" si="164"/>
        <v>0</v>
      </c>
      <c r="CM538">
        <f>IF(AND(A538=$AO$5,B538=$AQ$3,H538=1),COUNTIFS($A$200:A538,$AO$5,$B$200:B538,$AQ$3,$H$200:H538,1),0)</f>
        <v>0</v>
      </c>
      <c r="CN538">
        <f>IF(CA538="",339,1001)</f>
        <v>339</v>
      </c>
      <c r="GA538">
        <f t="shared" si="184"/>
        <v>0</v>
      </c>
      <c r="GB538">
        <f t="shared" si="185"/>
        <v>0</v>
      </c>
      <c r="GC538">
        <f>IF(AND(C538="事件记录",H538=1),COUNTIFS($C$200:C538,"事件记录",$H$200:H538,1),0)</f>
        <v>0</v>
      </c>
      <c r="GD538">
        <f t="shared" si="165"/>
        <v>0</v>
      </c>
      <c r="GH538">
        <f>IF(AND(H538=1,A538=$GA$10,B538=$GA$11),COUNTIFS($A$200:A538,$GA$10,$B$200:B538,$GA$11,$H$200:H538,1),0)</f>
        <v>0</v>
      </c>
    </row>
    <row r="539" spans="1:190">
      <c r="A539" t="str">
        <f t="shared" si="156"/>
        <v/>
      </c>
      <c r="B539" t="str">
        <f t="shared" si="157"/>
        <v/>
      </c>
      <c r="C539" t="str">
        <f t="shared" si="158"/>
        <v/>
      </c>
      <c r="D539" t="str">
        <f t="shared" si="159"/>
        <v/>
      </c>
      <c r="E539">
        <f t="shared" si="160"/>
        <v>0</v>
      </c>
      <c r="F539" t="str">
        <f t="shared" si="161"/>
        <v/>
      </c>
      <c r="G539">
        <f t="shared" si="162"/>
        <v>0</v>
      </c>
      <c r="H539">
        <f>IF(AND(G539=1,COUNTIFS($I$200:I539,I539,$G$200:G539,1)=1),1,0)</f>
        <v>0</v>
      </c>
      <c r="I539" t="str">
        <f t="shared" si="163"/>
        <v/>
      </c>
      <c r="BF539">
        <f t="shared" si="166"/>
        <v>0</v>
      </c>
      <c r="BG539">
        <f t="shared" si="167"/>
        <v>0</v>
      </c>
      <c r="BH539">
        <f t="shared" si="168"/>
        <v>0</v>
      </c>
      <c r="BI539">
        <f t="shared" si="169"/>
        <v>0</v>
      </c>
      <c r="BJ539">
        <f t="shared" si="170"/>
        <v>0</v>
      </c>
      <c r="BK539">
        <f t="shared" si="171"/>
        <v>0</v>
      </c>
      <c r="BL539">
        <f t="shared" si="172"/>
        <v>0</v>
      </c>
      <c r="BM539">
        <f t="shared" si="173"/>
        <v>0</v>
      </c>
      <c r="BN539">
        <f t="shared" si="174"/>
        <v>0</v>
      </c>
      <c r="BO539">
        <f t="shared" si="175"/>
        <v>0</v>
      </c>
      <c r="BP539">
        <f t="shared" si="176"/>
        <v>0</v>
      </c>
      <c r="BQ539">
        <f t="shared" si="177"/>
        <v>0</v>
      </c>
      <c r="BR539">
        <f t="shared" si="178"/>
        <v>0</v>
      </c>
      <c r="BS539">
        <f t="shared" si="179"/>
        <v>0</v>
      </c>
      <c r="BT539">
        <f t="shared" si="180"/>
        <v>0</v>
      </c>
      <c r="BU539">
        <f t="shared" si="181"/>
        <v>0</v>
      </c>
      <c r="BV539">
        <f t="shared" si="182"/>
        <v>0</v>
      </c>
      <c r="BW539">
        <f t="shared" si="183"/>
        <v>0</v>
      </c>
      <c r="CA539" t="str">
        <f>IF(340&gt;ROWS(DGArchive[模组]),"",IF(INDEX(DGArchive[模组],340)="","",INDEX(DGArchive[模组],340)))</f>
        <v/>
      </c>
      <c r="CB539" t="str">
        <f>IF(340&gt;ROWS(DGArchive[阶段]),"",IF(INDEX(DGArchive[阶段],340)="","",INDEX(DGArchive[阶段],340)))</f>
        <v/>
      </c>
      <c r="CC539" t="str">
        <f>IF(340&gt;ROWS(DGArchive[游戏内日期]),"",IF(INDEX(DGArchive[游戏内日期],340)="","",INDEX(DGArchive[游戏内日期],340)))</f>
        <v/>
      </c>
      <c r="CD539" t="str">
        <f>IF(340&gt;ROWS(DGArchive[目标]),"",IF(INDEX(DGArchive[目标],340)="","",INDEX(DGArchive[目标],340)))</f>
        <v/>
      </c>
      <c r="CE539" t="str">
        <f>IF(340&gt;ROWS(DGArchive[变更前]),"",IF(INDEX(DGArchive[变更前],340)="","",INDEX(DGArchive[变更前],340)))</f>
        <v/>
      </c>
      <c r="CF539" t="str">
        <f>IF(340&gt;ROWS(DGArchive[增减]),"",IF(INDEX(DGArchive[增减],340)="","",INDEX(DGArchive[增减],340)))</f>
        <v/>
      </c>
      <c r="CG539" t="str">
        <f>IF(340&gt;ROWS(DGArchive[变更后]),"",IF(INDEX(DGArchive[变更后],340)="","",INDEX(DGArchive[变更后],340)))</f>
        <v/>
      </c>
      <c r="CH539" t="str">
        <f>IF(340&gt;ROWS(DGArchive[事件／活动]),"",IF(INDEX(DGArchive[事件／活动],340)="","",INDEX(DGArchive[事件／活动],340)))</f>
        <v/>
      </c>
      <c r="CI539" t="str">
        <f>IF(340&gt;ROWS(DGArchive[记录编号]),"",IF(INDEX(DGArchive[记录编号],340)="","",INDEX(DGArchive[记录编号],340)))</f>
        <v/>
      </c>
      <c r="CL539">
        <f t="shared" si="164"/>
        <v>0</v>
      </c>
      <c r="CM539">
        <f>IF(AND(A539=$AO$5,B539=$AQ$3,H539=1),COUNTIFS($A$200:A539,$AO$5,$B$200:B539,$AQ$3,$H$200:H539,1),0)</f>
        <v>0</v>
      </c>
      <c r="CN539">
        <f>IF(CA539="",340,1001)</f>
        <v>340</v>
      </c>
      <c r="GA539">
        <f t="shared" si="184"/>
        <v>0</v>
      </c>
      <c r="GB539">
        <f t="shared" si="185"/>
        <v>0</v>
      </c>
      <c r="GC539">
        <f>IF(AND(C539="事件记录",H539=1),COUNTIFS($C$200:C539,"事件记录",$H$200:H539,1),0)</f>
        <v>0</v>
      </c>
      <c r="GD539">
        <f t="shared" si="165"/>
        <v>0</v>
      </c>
      <c r="GH539">
        <f>IF(AND(H539=1,A539=$GA$10,B539=$GA$11),COUNTIFS($A$200:A539,$GA$10,$B$200:B539,$GA$11,$H$200:H539,1),0)</f>
        <v>0</v>
      </c>
    </row>
    <row r="540" spans="1:190">
      <c r="A540" t="str">
        <f t="shared" si="156"/>
        <v/>
      </c>
      <c r="B540" t="str">
        <f t="shared" si="157"/>
        <v/>
      </c>
      <c r="C540" t="str">
        <f t="shared" si="158"/>
        <v/>
      </c>
      <c r="D540" t="str">
        <f t="shared" si="159"/>
        <v/>
      </c>
      <c r="E540">
        <f t="shared" si="160"/>
        <v>0</v>
      </c>
      <c r="F540" t="str">
        <f t="shared" si="161"/>
        <v/>
      </c>
      <c r="G540">
        <f t="shared" si="162"/>
        <v>0</v>
      </c>
      <c r="H540">
        <f>IF(AND(G540=1,COUNTIFS($I$200:I540,I540,$G$200:G540,1)=1),1,0)</f>
        <v>0</v>
      </c>
      <c r="I540" t="str">
        <f t="shared" si="163"/>
        <v/>
      </c>
      <c r="BF540">
        <f t="shared" si="166"/>
        <v>0</v>
      </c>
      <c r="BG540">
        <f t="shared" si="167"/>
        <v>0</v>
      </c>
      <c r="BH540">
        <f t="shared" si="168"/>
        <v>0</v>
      </c>
      <c r="BI540">
        <f t="shared" si="169"/>
        <v>0</v>
      </c>
      <c r="BJ540">
        <f t="shared" si="170"/>
        <v>0</v>
      </c>
      <c r="BK540">
        <f t="shared" si="171"/>
        <v>0</v>
      </c>
      <c r="BL540">
        <f t="shared" si="172"/>
        <v>0</v>
      </c>
      <c r="BM540">
        <f t="shared" si="173"/>
        <v>0</v>
      </c>
      <c r="BN540">
        <f t="shared" si="174"/>
        <v>0</v>
      </c>
      <c r="BO540">
        <f t="shared" si="175"/>
        <v>0</v>
      </c>
      <c r="BP540">
        <f t="shared" si="176"/>
        <v>0</v>
      </c>
      <c r="BQ540">
        <f t="shared" si="177"/>
        <v>0</v>
      </c>
      <c r="BR540">
        <f t="shared" si="178"/>
        <v>0</v>
      </c>
      <c r="BS540">
        <f t="shared" si="179"/>
        <v>0</v>
      </c>
      <c r="BT540">
        <f t="shared" si="180"/>
        <v>0</v>
      </c>
      <c r="BU540">
        <f t="shared" si="181"/>
        <v>0</v>
      </c>
      <c r="BV540">
        <f t="shared" si="182"/>
        <v>0</v>
      </c>
      <c r="BW540">
        <f t="shared" si="183"/>
        <v>0</v>
      </c>
      <c r="CA540" t="str">
        <f>IF(341&gt;ROWS(DGArchive[模组]),"",IF(INDEX(DGArchive[模组],341)="","",INDEX(DGArchive[模组],341)))</f>
        <v/>
      </c>
      <c r="CB540" t="str">
        <f>IF(341&gt;ROWS(DGArchive[阶段]),"",IF(INDEX(DGArchive[阶段],341)="","",INDEX(DGArchive[阶段],341)))</f>
        <v/>
      </c>
      <c r="CC540" t="str">
        <f>IF(341&gt;ROWS(DGArchive[游戏内日期]),"",IF(INDEX(DGArchive[游戏内日期],341)="","",INDEX(DGArchive[游戏内日期],341)))</f>
        <v/>
      </c>
      <c r="CD540" t="str">
        <f>IF(341&gt;ROWS(DGArchive[目标]),"",IF(INDEX(DGArchive[目标],341)="","",INDEX(DGArchive[目标],341)))</f>
        <v/>
      </c>
      <c r="CE540" t="str">
        <f>IF(341&gt;ROWS(DGArchive[变更前]),"",IF(INDEX(DGArchive[变更前],341)="","",INDEX(DGArchive[变更前],341)))</f>
        <v/>
      </c>
      <c r="CF540" t="str">
        <f>IF(341&gt;ROWS(DGArchive[增减]),"",IF(INDEX(DGArchive[增减],341)="","",INDEX(DGArchive[增减],341)))</f>
        <v/>
      </c>
      <c r="CG540" t="str">
        <f>IF(341&gt;ROWS(DGArchive[变更后]),"",IF(INDEX(DGArchive[变更后],341)="","",INDEX(DGArchive[变更后],341)))</f>
        <v/>
      </c>
      <c r="CH540" t="str">
        <f>IF(341&gt;ROWS(DGArchive[事件／活动]),"",IF(INDEX(DGArchive[事件／活动],341)="","",INDEX(DGArchive[事件／活动],341)))</f>
        <v/>
      </c>
      <c r="CI540" t="str">
        <f>IF(341&gt;ROWS(DGArchive[记录编号]),"",IF(INDEX(DGArchive[记录编号],341)="","",INDEX(DGArchive[记录编号],341)))</f>
        <v/>
      </c>
      <c r="CL540">
        <f t="shared" si="164"/>
        <v>0</v>
      </c>
      <c r="CM540">
        <f>IF(AND(A540=$AO$5,B540=$AQ$3,H540=1),COUNTIFS($A$200:A540,$AO$5,$B$200:B540,$AQ$3,$H$200:H540,1),0)</f>
        <v>0</v>
      </c>
      <c r="CN540">
        <f>IF(CA540="",341,1001)</f>
        <v>341</v>
      </c>
      <c r="GA540">
        <f t="shared" si="184"/>
        <v>0</v>
      </c>
      <c r="GB540">
        <f t="shared" si="185"/>
        <v>0</v>
      </c>
      <c r="GC540">
        <f>IF(AND(C540="事件记录",H540=1),COUNTIFS($C$200:C540,"事件记录",$H$200:H540,1),0)</f>
        <v>0</v>
      </c>
      <c r="GD540">
        <f t="shared" si="165"/>
        <v>0</v>
      </c>
      <c r="GH540">
        <f>IF(AND(H540=1,A540=$GA$10,B540=$GA$11),COUNTIFS($A$200:A540,$GA$10,$B$200:B540,$GA$11,$H$200:H540,1),0)</f>
        <v>0</v>
      </c>
    </row>
    <row r="541" spans="1:190">
      <c r="A541" t="str">
        <f t="shared" si="156"/>
        <v/>
      </c>
      <c r="B541" t="str">
        <f t="shared" si="157"/>
        <v/>
      </c>
      <c r="C541" t="str">
        <f t="shared" si="158"/>
        <v/>
      </c>
      <c r="D541" t="str">
        <f t="shared" si="159"/>
        <v/>
      </c>
      <c r="E541">
        <f t="shared" si="160"/>
        <v>0</v>
      </c>
      <c r="F541" t="str">
        <f t="shared" si="161"/>
        <v/>
      </c>
      <c r="G541">
        <f t="shared" si="162"/>
        <v>0</v>
      </c>
      <c r="H541">
        <f>IF(AND(G541=1,COUNTIFS($I$200:I541,I541,$G$200:G541,1)=1),1,0)</f>
        <v>0</v>
      </c>
      <c r="I541" t="str">
        <f t="shared" si="163"/>
        <v/>
      </c>
      <c r="BF541">
        <f t="shared" si="166"/>
        <v>0</v>
      </c>
      <c r="BG541">
        <f t="shared" si="167"/>
        <v>0</v>
      </c>
      <c r="BH541">
        <f t="shared" si="168"/>
        <v>0</v>
      </c>
      <c r="BI541">
        <f t="shared" si="169"/>
        <v>0</v>
      </c>
      <c r="BJ541">
        <f t="shared" si="170"/>
        <v>0</v>
      </c>
      <c r="BK541">
        <f t="shared" si="171"/>
        <v>0</v>
      </c>
      <c r="BL541">
        <f t="shared" si="172"/>
        <v>0</v>
      </c>
      <c r="BM541">
        <f t="shared" si="173"/>
        <v>0</v>
      </c>
      <c r="BN541">
        <f t="shared" si="174"/>
        <v>0</v>
      </c>
      <c r="BO541">
        <f t="shared" si="175"/>
        <v>0</v>
      </c>
      <c r="BP541">
        <f t="shared" si="176"/>
        <v>0</v>
      </c>
      <c r="BQ541">
        <f t="shared" si="177"/>
        <v>0</v>
      </c>
      <c r="BR541">
        <f t="shared" si="178"/>
        <v>0</v>
      </c>
      <c r="BS541">
        <f t="shared" si="179"/>
        <v>0</v>
      </c>
      <c r="BT541">
        <f t="shared" si="180"/>
        <v>0</v>
      </c>
      <c r="BU541">
        <f t="shared" si="181"/>
        <v>0</v>
      </c>
      <c r="BV541">
        <f t="shared" si="182"/>
        <v>0</v>
      </c>
      <c r="BW541">
        <f t="shared" si="183"/>
        <v>0</v>
      </c>
      <c r="CA541" t="str">
        <f>IF(342&gt;ROWS(DGArchive[模组]),"",IF(INDEX(DGArchive[模组],342)="","",INDEX(DGArchive[模组],342)))</f>
        <v/>
      </c>
      <c r="CB541" t="str">
        <f>IF(342&gt;ROWS(DGArchive[阶段]),"",IF(INDEX(DGArchive[阶段],342)="","",INDEX(DGArchive[阶段],342)))</f>
        <v/>
      </c>
      <c r="CC541" t="str">
        <f>IF(342&gt;ROWS(DGArchive[游戏内日期]),"",IF(INDEX(DGArchive[游戏内日期],342)="","",INDEX(DGArchive[游戏内日期],342)))</f>
        <v/>
      </c>
      <c r="CD541" t="str">
        <f>IF(342&gt;ROWS(DGArchive[目标]),"",IF(INDEX(DGArchive[目标],342)="","",INDEX(DGArchive[目标],342)))</f>
        <v/>
      </c>
      <c r="CE541" t="str">
        <f>IF(342&gt;ROWS(DGArchive[变更前]),"",IF(INDEX(DGArchive[变更前],342)="","",INDEX(DGArchive[变更前],342)))</f>
        <v/>
      </c>
      <c r="CF541" t="str">
        <f>IF(342&gt;ROWS(DGArchive[增减]),"",IF(INDEX(DGArchive[增减],342)="","",INDEX(DGArchive[增减],342)))</f>
        <v/>
      </c>
      <c r="CG541" t="str">
        <f>IF(342&gt;ROWS(DGArchive[变更后]),"",IF(INDEX(DGArchive[变更后],342)="","",INDEX(DGArchive[变更后],342)))</f>
        <v/>
      </c>
      <c r="CH541" t="str">
        <f>IF(342&gt;ROWS(DGArchive[事件／活动]),"",IF(INDEX(DGArchive[事件／活动],342)="","",INDEX(DGArchive[事件／活动],342)))</f>
        <v/>
      </c>
      <c r="CI541" t="str">
        <f>IF(342&gt;ROWS(DGArchive[记录编号]),"",IF(INDEX(DGArchive[记录编号],342)="","",INDEX(DGArchive[记录编号],342)))</f>
        <v/>
      </c>
      <c r="CL541">
        <f t="shared" si="164"/>
        <v>0</v>
      </c>
      <c r="CM541">
        <f>IF(AND(A541=$AO$5,B541=$AQ$3,H541=1),COUNTIFS($A$200:A541,$AO$5,$B$200:B541,$AQ$3,$H$200:H541,1),0)</f>
        <v>0</v>
      </c>
      <c r="CN541">
        <f>IF(CA541="",342,1001)</f>
        <v>342</v>
      </c>
      <c r="GA541">
        <f t="shared" si="184"/>
        <v>0</v>
      </c>
      <c r="GB541">
        <f t="shared" si="185"/>
        <v>0</v>
      </c>
      <c r="GC541">
        <f>IF(AND(C541="事件记录",H541=1),COUNTIFS($C$200:C541,"事件记录",$H$200:H541,1),0)</f>
        <v>0</v>
      </c>
      <c r="GD541">
        <f t="shared" si="165"/>
        <v>0</v>
      </c>
      <c r="GH541">
        <f>IF(AND(H541=1,A541=$GA$10,B541=$GA$11),COUNTIFS($A$200:A541,$GA$10,$B$200:B541,$GA$11,$H$200:H541,1),0)</f>
        <v>0</v>
      </c>
    </row>
    <row r="542" spans="1:190">
      <c r="A542" t="str">
        <f t="shared" si="156"/>
        <v/>
      </c>
      <c r="B542" t="str">
        <f t="shared" si="157"/>
        <v/>
      </c>
      <c r="C542" t="str">
        <f t="shared" si="158"/>
        <v/>
      </c>
      <c r="D542" t="str">
        <f t="shared" si="159"/>
        <v/>
      </c>
      <c r="E542">
        <f t="shared" si="160"/>
        <v>0</v>
      </c>
      <c r="F542" t="str">
        <f t="shared" si="161"/>
        <v/>
      </c>
      <c r="G542">
        <f t="shared" si="162"/>
        <v>0</v>
      </c>
      <c r="H542">
        <f>IF(AND(G542=1,COUNTIFS($I$200:I542,I542,$G$200:G542,1)=1),1,0)</f>
        <v>0</v>
      </c>
      <c r="I542" t="str">
        <f t="shared" si="163"/>
        <v/>
      </c>
      <c r="BF542">
        <f t="shared" si="166"/>
        <v>0</v>
      </c>
      <c r="BG542">
        <f t="shared" si="167"/>
        <v>0</v>
      </c>
      <c r="BH542">
        <f t="shared" si="168"/>
        <v>0</v>
      </c>
      <c r="BI542">
        <f t="shared" si="169"/>
        <v>0</v>
      </c>
      <c r="BJ542">
        <f t="shared" si="170"/>
        <v>0</v>
      </c>
      <c r="BK542">
        <f t="shared" si="171"/>
        <v>0</v>
      </c>
      <c r="BL542">
        <f t="shared" si="172"/>
        <v>0</v>
      </c>
      <c r="BM542">
        <f t="shared" si="173"/>
        <v>0</v>
      </c>
      <c r="BN542">
        <f t="shared" si="174"/>
        <v>0</v>
      </c>
      <c r="BO542">
        <f t="shared" si="175"/>
        <v>0</v>
      </c>
      <c r="BP542">
        <f t="shared" si="176"/>
        <v>0</v>
      </c>
      <c r="BQ542">
        <f t="shared" si="177"/>
        <v>0</v>
      </c>
      <c r="BR542">
        <f t="shared" si="178"/>
        <v>0</v>
      </c>
      <c r="BS542">
        <f t="shared" si="179"/>
        <v>0</v>
      </c>
      <c r="BT542">
        <f t="shared" si="180"/>
        <v>0</v>
      </c>
      <c r="BU542">
        <f t="shared" si="181"/>
        <v>0</v>
      </c>
      <c r="BV542">
        <f t="shared" si="182"/>
        <v>0</v>
      </c>
      <c r="BW542">
        <f t="shared" si="183"/>
        <v>0</v>
      </c>
      <c r="CA542" t="str">
        <f>IF(343&gt;ROWS(DGArchive[模组]),"",IF(INDEX(DGArchive[模组],343)="","",INDEX(DGArchive[模组],343)))</f>
        <v/>
      </c>
      <c r="CB542" t="str">
        <f>IF(343&gt;ROWS(DGArchive[阶段]),"",IF(INDEX(DGArchive[阶段],343)="","",INDEX(DGArchive[阶段],343)))</f>
        <v/>
      </c>
      <c r="CC542" t="str">
        <f>IF(343&gt;ROWS(DGArchive[游戏内日期]),"",IF(INDEX(DGArchive[游戏内日期],343)="","",INDEX(DGArchive[游戏内日期],343)))</f>
        <v/>
      </c>
      <c r="CD542" t="str">
        <f>IF(343&gt;ROWS(DGArchive[目标]),"",IF(INDEX(DGArchive[目标],343)="","",INDEX(DGArchive[目标],343)))</f>
        <v/>
      </c>
      <c r="CE542" t="str">
        <f>IF(343&gt;ROWS(DGArchive[变更前]),"",IF(INDEX(DGArchive[变更前],343)="","",INDEX(DGArchive[变更前],343)))</f>
        <v/>
      </c>
      <c r="CF542" t="str">
        <f>IF(343&gt;ROWS(DGArchive[增减]),"",IF(INDEX(DGArchive[增减],343)="","",INDEX(DGArchive[增减],343)))</f>
        <v/>
      </c>
      <c r="CG542" t="str">
        <f>IF(343&gt;ROWS(DGArchive[变更后]),"",IF(INDEX(DGArchive[变更后],343)="","",INDEX(DGArchive[变更后],343)))</f>
        <v/>
      </c>
      <c r="CH542" t="str">
        <f>IF(343&gt;ROWS(DGArchive[事件／活动]),"",IF(INDEX(DGArchive[事件／活动],343)="","",INDEX(DGArchive[事件／活动],343)))</f>
        <v/>
      </c>
      <c r="CI542" t="str">
        <f>IF(343&gt;ROWS(DGArchive[记录编号]),"",IF(INDEX(DGArchive[记录编号],343)="","",INDEX(DGArchive[记录编号],343)))</f>
        <v/>
      </c>
      <c r="CL542">
        <f t="shared" si="164"/>
        <v>0</v>
      </c>
      <c r="CM542">
        <f>IF(AND(A542=$AO$5,B542=$AQ$3,H542=1),COUNTIFS($A$200:A542,$AO$5,$B$200:B542,$AQ$3,$H$200:H542,1),0)</f>
        <v>0</v>
      </c>
      <c r="CN542">
        <f>IF(CA542="",343,1001)</f>
        <v>343</v>
      </c>
      <c r="GA542">
        <f t="shared" si="184"/>
        <v>0</v>
      </c>
      <c r="GB542">
        <f t="shared" si="185"/>
        <v>0</v>
      </c>
      <c r="GC542">
        <f>IF(AND(C542="事件记录",H542=1),COUNTIFS($C$200:C542,"事件记录",$H$200:H542,1),0)</f>
        <v>0</v>
      </c>
      <c r="GD542">
        <f t="shared" si="165"/>
        <v>0</v>
      </c>
      <c r="GH542">
        <f>IF(AND(H542=1,A542=$GA$10,B542=$GA$11),COUNTIFS($A$200:A542,$GA$10,$B$200:B542,$GA$11,$H$200:H542,1),0)</f>
        <v>0</v>
      </c>
    </row>
    <row r="543" spans="1:190">
      <c r="A543" t="str">
        <f t="shared" si="156"/>
        <v/>
      </c>
      <c r="B543" t="str">
        <f t="shared" si="157"/>
        <v/>
      </c>
      <c r="C543" t="str">
        <f t="shared" si="158"/>
        <v/>
      </c>
      <c r="D543" t="str">
        <f t="shared" si="159"/>
        <v/>
      </c>
      <c r="E543">
        <f t="shared" si="160"/>
        <v>0</v>
      </c>
      <c r="F543" t="str">
        <f t="shared" si="161"/>
        <v/>
      </c>
      <c r="G543">
        <f t="shared" si="162"/>
        <v>0</v>
      </c>
      <c r="H543">
        <f>IF(AND(G543=1,COUNTIFS($I$200:I543,I543,$G$200:G543,1)=1),1,0)</f>
        <v>0</v>
      </c>
      <c r="I543" t="str">
        <f t="shared" si="163"/>
        <v/>
      </c>
      <c r="BF543">
        <f t="shared" si="166"/>
        <v>0</v>
      </c>
      <c r="BG543">
        <f t="shared" si="167"/>
        <v>0</v>
      </c>
      <c r="BH543">
        <f t="shared" si="168"/>
        <v>0</v>
      </c>
      <c r="BI543">
        <f t="shared" si="169"/>
        <v>0</v>
      </c>
      <c r="BJ543">
        <f t="shared" si="170"/>
        <v>0</v>
      </c>
      <c r="BK543">
        <f t="shared" si="171"/>
        <v>0</v>
      </c>
      <c r="BL543">
        <f t="shared" si="172"/>
        <v>0</v>
      </c>
      <c r="BM543">
        <f t="shared" si="173"/>
        <v>0</v>
      </c>
      <c r="BN543">
        <f t="shared" si="174"/>
        <v>0</v>
      </c>
      <c r="BO543">
        <f t="shared" si="175"/>
        <v>0</v>
      </c>
      <c r="BP543">
        <f t="shared" si="176"/>
        <v>0</v>
      </c>
      <c r="BQ543">
        <f t="shared" si="177"/>
        <v>0</v>
      </c>
      <c r="BR543">
        <f t="shared" si="178"/>
        <v>0</v>
      </c>
      <c r="BS543">
        <f t="shared" si="179"/>
        <v>0</v>
      </c>
      <c r="BT543">
        <f t="shared" si="180"/>
        <v>0</v>
      </c>
      <c r="BU543">
        <f t="shared" si="181"/>
        <v>0</v>
      </c>
      <c r="BV543">
        <f t="shared" si="182"/>
        <v>0</v>
      </c>
      <c r="BW543">
        <f t="shared" si="183"/>
        <v>0</v>
      </c>
      <c r="CA543" t="str">
        <f>IF(344&gt;ROWS(DGArchive[模组]),"",IF(INDEX(DGArchive[模组],344)="","",INDEX(DGArchive[模组],344)))</f>
        <v/>
      </c>
      <c r="CB543" t="str">
        <f>IF(344&gt;ROWS(DGArchive[阶段]),"",IF(INDEX(DGArchive[阶段],344)="","",INDEX(DGArchive[阶段],344)))</f>
        <v/>
      </c>
      <c r="CC543" t="str">
        <f>IF(344&gt;ROWS(DGArchive[游戏内日期]),"",IF(INDEX(DGArchive[游戏内日期],344)="","",INDEX(DGArchive[游戏内日期],344)))</f>
        <v/>
      </c>
      <c r="CD543" t="str">
        <f>IF(344&gt;ROWS(DGArchive[目标]),"",IF(INDEX(DGArchive[目标],344)="","",INDEX(DGArchive[目标],344)))</f>
        <v/>
      </c>
      <c r="CE543" t="str">
        <f>IF(344&gt;ROWS(DGArchive[变更前]),"",IF(INDEX(DGArchive[变更前],344)="","",INDEX(DGArchive[变更前],344)))</f>
        <v/>
      </c>
      <c r="CF543" t="str">
        <f>IF(344&gt;ROWS(DGArchive[增减]),"",IF(INDEX(DGArchive[增减],344)="","",INDEX(DGArchive[增减],344)))</f>
        <v/>
      </c>
      <c r="CG543" t="str">
        <f>IF(344&gt;ROWS(DGArchive[变更后]),"",IF(INDEX(DGArchive[变更后],344)="","",INDEX(DGArchive[变更后],344)))</f>
        <v/>
      </c>
      <c r="CH543" t="str">
        <f>IF(344&gt;ROWS(DGArchive[事件／活动]),"",IF(INDEX(DGArchive[事件／活动],344)="","",INDEX(DGArchive[事件／活动],344)))</f>
        <v/>
      </c>
      <c r="CI543" t="str">
        <f>IF(344&gt;ROWS(DGArchive[记录编号]),"",IF(INDEX(DGArchive[记录编号],344)="","",INDEX(DGArchive[记录编号],344)))</f>
        <v/>
      </c>
      <c r="CL543">
        <f t="shared" si="164"/>
        <v>0</v>
      </c>
      <c r="CM543">
        <f>IF(AND(A543=$AO$5,B543=$AQ$3,H543=1),COUNTIFS($A$200:A543,$AO$5,$B$200:B543,$AQ$3,$H$200:H543,1),0)</f>
        <v>0</v>
      </c>
      <c r="CN543">
        <f>IF(CA543="",344,1001)</f>
        <v>344</v>
      </c>
      <c r="GA543">
        <f t="shared" si="184"/>
        <v>0</v>
      </c>
      <c r="GB543">
        <f t="shared" si="185"/>
        <v>0</v>
      </c>
      <c r="GC543">
        <f>IF(AND(C543="事件记录",H543=1),COUNTIFS($C$200:C543,"事件记录",$H$200:H543,1),0)</f>
        <v>0</v>
      </c>
      <c r="GD543">
        <f t="shared" si="165"/>
        <v>0</v>
      </c>
      <c r="GH543">
        <f>IF(AND(H543=1,A543=$GA$10,B543=$GA$11),COUNTIFS($A$200:A543,$GA$10,$B$200:B543,$GA$11,$H$200:H543,1),0)</f>
        <v>0</v>
      </c>
    </row>
    <row r="544" spans="1:190">
      <c r="A544" t="str">
        <f t="shared" si="156"/>
        <v/>
      </c>
      <c r="B544" t="str">
        <f t="shared" si="157"/>
        <v/>
      </c>
      <c r="C544" t="str">
        <f t="shared" si="158"/>
        <v/>
      </c>
      <c r="D544" t="str">
        <f t="shared" si="159"/>
        <v/>
      </c>
      <c r="E544">
        <f t="shared" si="160"/>
        <v>0</v>
      </c>
      <c r="F544" t="str">
        <f t="shared" si="161"/>
        <v/>
      </c>
      <c r="G544">
        <f t="shared" si="162"/>
        <v>0</v>
      </c>
      <c r="H544">
        <f>IF(AND(G544=1,COUNTIFS($I$200:I544,I544,$G$200:G544,1)=1),1,0)</f>
        <v>0</v>
      </c>
      <c r="I544" t="str">
        <f t="shared" si="163"/>
        <v/>
      </c>
      <c r="BF544">
        <f t="shared" si="166"/>
        <v>0</v>
      </c>
      <c r="BG544">
        <f t="shared" si="167"/>
        <v>0</v>
      </c>
      <c r="BH544">
        <f t="shared" si="168"/>
        <v>0</v>
      </c>
      <c r="BI544">
        <f t="shared" si="169"/>
        <v>0</v>
      </c>
      <c r="BJ544">
        <f t="shared" si="170"/>
        <v>0</v>
      </c>
      <c r="BK544">
        <f t="shared" si="171"/>
        <v>0</v>
      </c>
      <c r="BL544">
        <f t="shared" si="172"/>
        <v>0</v>
      </c>
      <c r="BM544">
        <f t="shared" si="173"/>
        <v>0</v>
      </c>
      <c r="BN544">
        <f t="shared" si="174"/>
        <v>0</v>
      </c>
      <c r="BO544">
        <f t="shared" si="175"/>
        <v>0</v>
      </c>
      <c r="BP544">
        <f t="shared" si="176"/>
        <v>0</v>
      </c>
      <c r="BQ544">
        <f t="shared" si="177"/>
        <v>0</v>
      </c>
      <c r="BR544">
        <f t="shared" si="178"/>
        <v>0</v>
      </c>
      <c r="BS544">
        <f t="shared" si="179"/>
        <v>0</v>
      </c>
      <c r="BT544">
        <f t="shared" si="180"/>
        <v>0</v>
      </c>
      <c r="BU544">
        <f t="shared" si="181"/>
        <v>0</v>
      </c>
      <c r="BV544">
        <f t="shared" si="182"/>
        <v>0</v>
      </c>
      <c r="BW544">
        <f t="shared" si="183"/>
        <v>0</v>
      </c>
      <c r="CA544" t="str">
        <f>IF(345&gt;ROWS(DGArchive[模组]),"",IF(INDEX(DGArchive[模组],345)="","",INDEX(DGArchive[模组],345)))</f>
        <v/>
      </c>
      <c r="CB544" t="str">
        <f>IF(345&gt;ROWS(DGArchive[阶段]),"",IF(INDEX(DGArchive[阶段],345)="","",INDEX(DGArchive[阶段],345)))</f>
        <v/>
      </c>
      <c r="CC544" t="str">
        <f>IF(345&gt;ROWS(DGArchive[游戏内日期]),"",IF(INDEX(DGArchive[游戏内日期],345)="","",INDEX(DGArchive[游戏内日期],345)))</f>
        <v/>
      </c>
      <c r="CD544" t="str">
        <f>IF(345&gt;ROWS(DGArchive[目标]),"",IF(INDEX(DGArchive[目标],345)="","",INDEX(DGArchive[目标],345)))</f>
        <v/>
      </c>
      <c r="CE544" t="str">
        <f>IF(345&gt;ROWS(DGArchive[变更前]),"",IF(INDEX(DGArchive[变更前],345)="","",INDEX(DGArchive[变更前],345)))</f>
        <v/>
      </c>
      <c r="CF544" t="str">
        <f>IF(345&gt;ROWS(DGArchive[增减]),"",IF(INDEX(DGArchive[增减],345)="","",INDEX(DGArchive[增减],345)))</f>
        <v/>
      </c>
      <c r="CG544" t="str">
        <f>IF(345&gt;ROWS(DGArchive[变更后]),"",IF(INDEX(DGArchive[变更后],345)="","",INDEX(DGArchive[变更后],345)))</f>
        <v/>
      </c>
      <c r="CH544" t="str">
        <f>IF(345&gt;ROWS(DGArchive[事件／活动]),"",IF(INDEX(DGArchive[事件／活动],345)="","",INDEX(DGArchive[事件／活动],345)))</f>
        <v/>
      </c>
      <c r="CI544" t="str">
        <f>IF(345&gt;ROWS(DGArchive[记录编号]),"",IF(INDEX(DGArchive[记录编号],345)="","",INDEX(DGArchive[记录编号],345)))</f>
        <v/>
      </c>
      <c r="CL544">
        <f t="shared" si="164"/>
        <v>0</v>
      </c>
      <c r="CM544">
        <f>IF(AND(A544=$AO$5,B544=$AQ$3,H544=1),COUNTIFS($A$200:A544,$AO$5,$B$200:B544,$AQ$3,$H$200:H544,1),0)</f>
        <v>0</v>
      </c>
      <c r="CN544">
        <f>IF(CA544="",345,1001)</f>
        <v>345</v>
      </c>
      <c r="GA544">
        <f t="shared" si="184"/>
        <v>0</v>
      </c>
      <c r="GB544">
        <f t="shared" si="185"/>
        <v>0</v>
      </c>
      <c r="GC544">
        <f>IF(AND(C544="事件记录",H544=1),COUNTIFS($C$200:C544,"事件记录",$H$200:H544,1),0)</f>
        <v>0</v>
      </c>
      <c r="GD544">
        <f t="shared" si="165"/>
        <v>0</v>
      </c>
      <c r="GH544">
        <f>IF(AND(H544=1,A544=$GA$10,B544=$GA$11),COUNTIFS($A$200:A544,$GA$10,$B$200:B544,$GA$11,$H$200:H544,1),0)</f>
        <v>0</v>
      </c>
    </row>
    <row r="545" spans="1:190">
      <c r="A545" t="str">
        <f t="shared" si="156"/>
        <v/>
      </c>
      <c r="B545" t="str">
        <f t="shared" si="157"/>
        <v/>
      </c>
      <c r="C545" t="str">
        <f t="shared" si="158"/>
        <v/>
      </c>
      <c r="D545" t="str">
        <f t="shared" si="159"/>
        <v/>
      </c>
      <c r="E545">
        <f t="shared" si="160"/>
        <v>0</v>
      </c>
      <c r="F545" t="str">
        <f t="shared" si="161"/>
        <v/>
      </c>
      <c r="G545">
        <f t="shared" si="162"/>
        <v>0</v>
      </c>
      <c r="H545">
        <f>IF(AND(G545=1,COUNTIFS($I$200:I545,I545,$G$200:G545,1)=1),1,0)</f>
        <v>0</v>
      </c>
      <c r="I545" t="str">
        <f t="shared" si="163"/>
        <v/>
      </c>
      <c r="BF545">
        <f t="shared" si="166"/>
        <v>0</v>
      </c>
      <c r="BG545">
        <f t="shared" si="167"/>
        <v>0</v>
      </c>
      <c r="BH545">
        <f t="shared" si="168"/>
        <v>0</v>
      </c>
      <c r="BI545">
        <f t="shared" si="169"/>
        <v>0</v>
      </c>
      <c r="BJ545">
        <f t="shared" si="170"/>
        <v>0</v>
      </c>
      <c r="BK545">
        <f t="shared" si="171"/>
        <v>0</v>
      </c>
      <c r="BL545">
        <f t="shared" si="172"/>
        <v>0</v>
      </c>
      <c r="BM545">
        <f t="shared" si="173"/>
        <v>0</v>
      </c>
      <c r="BN545">
        <f t="shared" si="174"/>
        <v>0</v>
      </c>
      <c r="BO545">
        <f t="shared" si="175"/>
        <v>0</v>
      </c>
      <c r="BP545">
        <f t="shared" si="176"/>
        <v>0</v>
      </c>
      <c r="BQ545">
        <f t="shared" si="177"/>
        <v>0</v>
      </c>
      <c r="BR545">
        <f t="shared" si="178"/>
        <v>0</v>
      </c>
      <c r="BS545">
        <f t="shared" si="179"/>
        <v>0</v>
      </c>
      <c r="BT545">
        <f t="shared" si="180"/>
        <v>0</v>
      </c>
      <c r="BU545">
        <f t="shared" si="181"/>
        <v>0</v>
      </c>
      <c r="BV545">
        <f t="shared" si="182"/>
        <v>0</v>
      </c>
      <c r="BW545">
        <f t="shared" si="183"/>
        <v>0</v>
      </c>
      <c r="CA545" t="str">
        <f>IF(346&gt;ROWS(DGArchive[模组]),"",IF(INDEX(DGArchive[模组],346)="","",INDEX(DGArchive[模组],346)))</f>
        <v/>
      </c>
      <c r="CB545" t="str">
        <f>IF(346&gt;ROWS(DGArchive[阶段]),"",IF(INDEX(DGArchive[阶段],346)="","",INDEX(DGArchive[阶段],346)))</f>
        <v/>
      </c>
      <c r="CC545" t="str">
        <f>IF(346&gt;ROWS(DGArchive[游戏内日期]),"",IF(INDEX(DGArchive[游戏内日期],346)="","",INDEX(DGArchive[游戏内日期],346)))</f>
        <v/>
      </c>
      <c r="CD545" t="str">
        <f>IF(346&gt;ROWS(DGArchive[目标]),"",IF(INDEX(DGArchive[目标],346)="","",INDEX(DGArchive[目标],346)))</f>
        <v/>
      </c>
      <c r="CE545" t="str">
        <f>IF(346&gt;ROWS(DGArchive[变更前]),"",IF(INDEX(DGArchive[变更前],346)="","",INDEX(DGArchive[变更前],346)))</f>
        <v/>
      </c>
      <c r="CF545" t="str">
        <f>IF(346&gt;ROWS(DGArchive[增减]),"",IF(INDEX(DGArchive[增减],346)="","",INDEX(DGArchive[增减],346)))</f>
        <v/>
      </c>
      <c r="CG545" t="str">
        <f>IF(346&gt;ROWS(DGArchive[变更后]),"",IF(INDEX(DGArchive[变更后],346)="","",INDEX(DGArchive[变更后],346)))</f>
        <v/>
      </c>
      <c r="CH545" t="str">
        <f>IF(346&gt;ROWS(DGArchive[事件／活动]),"",IF(INDEX(DGArchive[事件／活动],346)="","",INDEX(DGArchive[事件／活动],346)))</f>
        <v/>
      </c>
      <c r="CI545" t="str">
        <f>IF(346&gt;ROWS(DGArchive[记录编号]),"",IF(INDEX(DGArchive[记录编号],346)="","",INDEX(DGArchive[记录编号],346)))</f>
        <v/>
      </c>
      <c r="CL545">
        <f t="shared" si="164"/>
        <v>0</v>
      </c>
      <c r="CM545">
        <f>IF(AND(A545=$AO$5,B545=$AQ$3,H545=1),COUNTIFS($A$200:A545,$AO$5,$B$200:B545,$AQ$3,$H$200:H545,1),0)</f>
        <v>0</v>
      </c>
      <c r="CN545">
        <f>IF(CA545="",346,1001)</f>
        <v>346</v>
      </c>
      <c r="GA545">
        <f t="shared" si="184"/>
        <v>0</v>
      </c>
      <c r="GB545">
        <f t="shared" si="185"/>
        <v>0</v>
      </c>
      <c r="GC545">
        <f>IF(AND(C545="事件记录",H545=1),COUNTIFS($C$200:C545,"事件记录",$H$200:H545,1),0)</f>
        <v>0</v>
      </c>
      <c r="GD545">
        <f t="shared" si="165"/>
        <v>0</v>
      </c>
      <c r="GH545">
        <f>IF(AND(H545=1,A545=$GA$10,B545=$GA$11),COUNTIFS($A$200:A545,$GA$10,$B$200:B545,$GA$11,$H$200:H545,1),0)</f>
        <v>0</v>
      </c>
    </row>
    <row r="546" spans="1:190">
      <c r="A546" t="str">
        <f t="shared" si="156"/>
        <v/>
      </c>
      <c r="B546" t="str">
        <f t="shared" si="157"/>
        <v/>
      </c>
      <c r="C546" t="str">
        <f t="shared" si="158"/>
        <v/>
      </c>
      <c r="D546" t="str">
        <f t="shared" si="159"/>
        <v/>
      </c>
      <c r="E546">
        <f t="shared" si="160"/>
        <v>0</v>
      </c>
      <c r="F546" t="str">
        <f t="shared" si="161"/>
        <v/>
      </c>
      <c r="G546">
        <f t="shared" si="162"/>
        <v>0</v>
      </c>
      <c r="H546">
        <f>IF(AND(G546=1,COUNTIFS($I$200:I546,I546,$G$200:G546,1)=1),1,0)</f>
        <v>0</v>
      </c>
      <c r="I546" t="str">
        <f t="shared" si="163"/>
        <v/>
      </c>
      <c r="BF546">
        <f t="shared" si="166"/>
        <v>0</v>
      </c>
      <c r="BG546">
        <f t="shared" si="167"/>
        <v>0</v>
      </c>
      <c r="BH546">
        <f t="shared" si="168"/>
        <v>0</v>
      </c>
      <c r="BI546">
        <f t="shared" si="169"/>
        <v>0</v>
      </c>
      <c r="BJ546">
        <f t="shared" si="170"/>
        <v>0</v>
      </c>
      <c r="BK546">
        <f t="shared" si="171"/>
        <v>0</v>
      </c>
      <c r="BL546">
        <f t="shared" si="172"/>
        <v>0</v>
      </c>
      <c r="BM546">
        <f t="shared" si="173"/>
        <v>0</v>
      </c>
      <c r="BN546">
        <f t="shared" si="174"/>
        <v>0</v>
      </c>
      <c r="BO546">
        <f t="shared" si="175"/>
        <v>0</v>
      </c>
      <c r="BP546">
        <f t="shared" si="176"/>
        <v>0</v>
      </c>
      <c r="BQ546">
        <f t="shared" si="177"/>
        <v>0</v>
      </c>
      <c r="BR546">
        <f t="shared" si="178"/>
        <v>0</v>
      </c>
      <c r="BS546">
        <f t="shared" si="179"/>
        <v>0</v>
      </c>
      <c r="BT546">
        <f t="shared" si="180"/>
        <v>0</v>
      </c>
      <c r="BU546">
        <f t="shared" si="181"/>
        <v>0</v>
      </c>
      <c r="BV546">
        <f t="shared" si="182"/>
        <v>0</v>
      </c>
      <c r="BW546">
        <f t="shared" si="183"/>
        <v>0</v>
      </c>
      <c r="CA546" t="str">
        <f>IF(347&gt;ROWS(DGArchive[模组]),"",IF(INDEX(DGArchive[模组],347)="","",INDEX(DGArchive[模组],347)))</f>
        <v/>
      </c>
      <c r="CB546" t="str">
        <f>IF(347&gt;ROWS(DGArchive[阶段]),"",IF(INDEX(DGArchive[阶段],347)="","",INDEX(DGArchive[阶段],347)))</f>
        <v/>
      </c>
      <c r="CC546" t="str">
        <f>IF(347&gt;ROWS(DGArchive[游戏内日期]),"",IF(INDEX(DGArchive[游戏内日期],347)="","",INDEX(DGArchive[游戏内日期],347)))</f>
        <v/>
      </c>
      <c r="CD546" t="str">
        <f>IF(347&gt;ROWS(DGArchive[目标]),"",IF(INDEX(DGArchive[目标],347)="","",INDEX(DGArchive[目标],347)))</f>
        <v/>
      </c>
      <c r="CE546" t="str">
        <f>IF(347&gt;ROWS(DGArchive[变更前]),"",IF(INDEX(DGArchive[变更前],347)="","",INDEX(DGArchive[变更前],347)))</f>
        <v/>
      </c>
      <c r="CF546" t="str">
        <f>IF(347&gt;ROWS(DGArchive[增减]),"",IF(INDEX(DGArchive[增减],347)="","",INDEX(DGArchive[增减],347)))</f>
        <v/>
      </c>
      <c r="CG546" t="str">
        <f>IF(347&gt;ROWS(DGArchive[变更后]),"",IF(INDEX(DGArchive[变更后],347)="","",INDEX(DGArchive[变更后],347)))</f>
        <v/>
      </c>
      <c r="CH546" t="str">
        <f>IF(347&gt;ROWS(DGArchive[事件／活动]),"",IF(INDEX(DGArchive[事件／活动],347)="","",INDEX(DGArchive[事件／活动],347)))</f>
        <v/>
      </c>
      <c r="CI546" t="str">
        <f>IF(347&gt;ROWS(DGArchive[记录编号]),"",IF(INDEX(DGArchive[记录编号],347)="","",INDEX(DGArchive[记录编号],347)))</f>
        <v/>
      </c>
      <c r="CL546">
        <f t="shared" si="164"/>
        <v>0</v>
      </c>
      <c r="CM546">
        <f>IF(AND(A546=$AO$5,B546=$AQ$3,H546=1),COUNTIFS($A$200:A546,$AO$5,$B$200:B546,$AQ$3,$H$200:H546,1),0)</f>
        <v>0</v>
      </c>
      <c r="CN546">
        <f>IF(CA546="",347,1001)</f>
        <v>347</v>
      </c>
      <c r="GA546">
        <f t="shared" si="184"/>
        <v>0</v>
      </c>
      <c r="GB546">
        <f t="shared" si="185"/>
        <v>0</v>
      </c>
      <c r="GC546">
        <f>IF(AND(C546="事件记录",H546=1),COUNTIFS($C$200:C546,"事件记录",$H$200:H546,1),0)</f>
        <v>0</v>
      </c>
      <c r="GD546">
        <f t="shared" si="165"/>
        <v>0</v>
      </c>
      <c r="GH546">
        <f>IF(AND(H546=1,A546=$GA$10,B546=$GA$11),COUNTIFS($A$200:A546,$GA$10,$B$200:B546,$GA$11,$H$200:H546,1),0)</f>
        <v>0</v>
      </c>
    </row>
    <row r="547" spans="1:190">
      <c r="A547" t="str">
        <f t="shared" si="156"/>
        <v/>
      </c>
      <c r="B547" t="str">
        <f t="shared" si="157"/>
        <v/>
      </c>
      <c r="C547" t="str">
        <f t="shared" si="158"/>
        <v/>
      </c>
      <c r="D547" t="str">
        <f t="shared" si="159"/>
        <v/>
      </c>
      <c r="E547">
        <f t="shared" si="160"/>
        <v>0</v>
      </c>
      <c r="F547" t="str">
        <f t="shared" si="161"/>
        <v/>
      </c>
      <c r="G547">
        <f t="shared" si="162"/>
        <v>0</v>
      </c>
      <c r="H547">
        <f>IF(AND(G547=1,COUNTIFS($I$200:I547,I547,$G$200:G547,1)=1),1,0)</f>
        <v>0</v>
      </c>
      <c r="I547" t="str">
        <f t="shared" si="163"/>
        <v/>
      </c>
      <c r="BF547">
        <f t="shared" si="166"/>
        <v>0</v>
      </c>
      <c r="BG547">
        <f t="shared" si="167"/>
        <v>0</v>
      </c>
      <c r="BH547">
        <f t="shared" si="168"/>
        <v>0</v>
      </c>
      <c r="BI547">
        <f t="shared" si="169"/>
        <v>0</v>
      </c>
      <c r="BJ547">
        <f t="shared" si="170"/>
        <v>0</v>
      </c>
      <c r="BK547">
        <f t="shared" si="171"/>
        <v>0</v>
      </c>
      <c r="BL547">
        <f t="shared" si="172"/>
        <v>0</v>
      </c>
      <c r="BM547">
        <f t="shared" si="173"/>
        <v>0</v>
      </c>
      <c r="BN547">
        <f t="shared" si="174"/>
        <v>0</v>
      </c>
      <c r="BO547">
        <f t="shared" si="175"/>
        <v>0</v>
      </c>
      <c r="BP547">
        <f t="shared" si="176"/>
        <v>0</v>
      </c>
      <c r="BQ547">
        <f t="shared" si="177"/>
        <v>0</v>
      </c>
      <c r="BR547">
        <f t="shared" si="178"/>
        <v>0</v>
      </c>
      <c r="BS547">
        <f t="shared" si="179"/>
        <v>0</v>
      </c>
      <c r="BT547">
        <f t="shared" si="180"/>
        <v>0</v>
      </c>
      <c r="BU547">
        <f t="shared" si="181"/>
        <v>0</v>
      </c>
      <c r="BV547">
        <f t="shared" si="182"/>
        <v>0</v>
      </c>
      <c r="BW547">
        <f t="shared" si="183"/>
        <v>0</v>
      </c>
      <c r="CA547" t="str">
        <f>IF(348&gt;ROWS(DGArchive[模组]),"",IF(INDEX(DGArchive[模组],348)="","",INDEX(DGArchive[模组],348)))</f>
        <v/>
      </c>
      <c r="CB547" t="str">
        <f>IF(348&gt;ROWS(DGArchive[阶段]),"",IF(INDEX(DGArchive[阶段],348)="","",INDEX(DGArchive[阶段],348)))</f>
        <v/>
      </c>
      <c r="CC547" t="str">
        <f>IF(348&gt;ROWS(DGArchive[游戏内日期]),"",IF(INDEX(DGArchive[游戏内日期],348)="","",INDEX(DGArchive[游戏内日期],348)))</f>
        <v/>
      </c>
      <c r="CD547" t="str">
        <f>IF(348&gt;ROWS(DGArchive[目标]),"",IF(INDEX(DGArchive[目标],348)="","",INDEX(DGArchive[目标],348)))</f>
        <v/>
      </c>
      <c r="CE547" t="str">
        <f>IF(348&gt;ROWS(DGArchive[变更前]),"",IF(INDEX(DGArchive[变更前],348)="","",INDEX(DGArchive[变更前],348)))</f>
        <v/>
      </c>
      <c r="CF547" t="str">
        <f>IF(348&gt;ROWS(DGArchive[增减]),"",IF(INDEX(DGArchive[增减],348)="","",INDEX(DGArchive[增减],348)))</f>
        <v/>
      </c>
      <c r="CG547" t="str">
        <f>IF(348&gt;ROWS(DGArchive[变更后]),"",IF(INDEX(DGArchive[变更后],348)="","",INDEX(DGArchive[变更后],348)))</f>
        <v/>
      </c>
      <c r="CH547" t="str">
        <f>IF(348&gt;ROWS(DGArchive[事件／活动]),"",IF(INDEX(DGArchive[事件／活动],348)="","",INDEX(DGArchive[事件／活动],348)))</f>
        <v/>
      </c>
      <c r="CI547" t="str">
        <f>IF(348&gt;ROWS(DGArchive[记录编号]),"",IF(INDEX(DGArchive[记录编号],348)="","",INDEX(DGArchive[记录编号],348)))</f>
        <v/>
      </c>
      <c r="CL547">
        <f t="shared" si="164"/>
        <v>0</v>
      </c>
      <c r="CM547">
        <f>IF(AND(A547=$AO$5,B547=$AQ$3,H547=1),COUNTIFS($A$200:A547,$AO$5,$B$200:B547,$AQ$3,$H$200:H547,1),0)</f>
        <v>0</v>
      </c>
      <c r="CN547">
        <f>IF(CA547="",348,1001)</f>
        <v>348</v>
      </c>
      <c r="GA547">
        <f t="shared" si="184"/>
        <v>0</v>
      </c>
      <c r="GB547">
        <f t="shared" si="185"/>
        <v>0</v>
      </c>
      <c r="GC547">
        <f>IF(AND(C547="事件记录",H547=1),COUNTIFS($C$200:C547,"事件记录",$H$200:H547,1),0)</f>
        <v>0</v>
      </c>
      <c r="GD547">
        <f t="shared" si="165"/>
        <v>0</v>
      </c>
      <c r="GH547">
        <f>IF(AND(H547=1,A547=$GA$10,B547=$GA$11),COUNTIFS($A$200:A547,$GA$10,$B$200:B547,$GA$11,$H$200:H547,1),0)</f>
        <v>0</v>
      </c>
    </row>
    <row r="548" spans="1:190">
      <c r="A548" t="str">
        <f t="shared" si="156"/>
        <v/>
      </c>
      <c r="B548" t="str">
        <f t="shared" si="157"/>
        <v/>
      </c>
      <c r="C548" t="str">
        <f t="shared" si="158"/>
        <v/>
      </c>
      <c r="D548" t="str">
        <f t="shared" si="159"/>
        <v/>
      </c>
      <c r="E548">
        <f t="shared" si="160"/>
        <v>0</v>
      </c>
      <c r="F548" t="str">
        <f t="shared" si="161"/>
        <v/>
      </c>
      <c r="G548">
        <f t="shared" si="162"/>
        <v>0</v>
      </c>
      <c r="H548">
        <f>IF(AND(G548=1,COUNTIFS($I$200:I548,I548,$G$200:G548,1)=1),1,0)</f>
        <v>0</v>
      </c>
      <c r="I548" t="str">
        <f t="shared" si="163"/>
        <v/>
      </c>
      <c r="BF548">
        <f t="shared" si="166"/>
        <v>0</v>
      </c>
      <c r="BG548">
        <f t="shared" si="167"/>
        <v>0</v>
      </c>
      <c r="BH548">
        <f t="shared" si="168"/>
        <v>0</v>
      </c>
      <c r="BI548">
        <f t="shared" si="169"/>
        <v>0</v>
      </c>
      <c r="BJ548">
        <f t="shared" si="170"/>
        <v>0</v>
      </c>
      <c r="BK548">
        <f t="shared" si="171"/>
        <v>0</v>
      </c>
      <c r="BL548">
        <f t="shared" si="172"/>
        <v>0</v>
      </c>
      <c r="BM548">
        <f t="shared" si="173"/>
        <v>0</v>
      </c>
      <c r="BN548">
        <f t="shared" si="174"/>
        <v>0</v>
      </c>
      <c r="BO548">
        <f t="shared" si="175"/>
        <v>0</v>
      </c>
      <c r="BP548">
        <f t="shared" si="176"/>
        <v>0</v>
      </c>
      <c r="BQ548">
        <f t="shared" si="177"/>
        <v>0</v>
      </c>
      <c r="BR548">
        <f t="shared" si="178"/>
        <v>0</v>
      </c>
      <c r="BS548">
        <f t="shared" si="179"/>
        <v>0</v>
      </c>
      <c r="BT548">
        <f t="shared" si="180"/>
        <v>0</v>
      </c>
      <c r="BU548">
        <f t="shared" si="181"/>
        <v>0</v>
      </c>
      <c r="BV548">
        <f t="shared" si="182"/>
        <v>0</v>
      </c>
      <c r="BW548">
        <f t="shared" si="183"/>
        <v>0</v>
      </c>
      <c r="CA548" t="str">
        <f>IF(349&gt;ROWS(DGArchive[模组]),"",IF(INDEX(DGArchive[模组],349)="","",INDEX(DGArchive[模组],349)))</f>
        <v/>
      </c>
      <c r="CB548" t="str">
        <f>IF(349&gt;ROWS(DGArchive[阶段]),"",IF(INDEX(DGArchive[阶段],349)="","",INDEX(DGArchive[阶段],349)))</f>
        <v/>
      </c>
      <c r="CC548" t="str">
        <f>IF(349&gt;ROWS(DGArchive[游戏内日期]),"",IF(INDEX(DGArchive[游戏内日期],349)="","",INDEX(DGArchive[游戏内日期],349)))</f>
        <v/>
      </c>
      <c r="CD548" t="str">
        <f>IF(349&gt;ROWS(DGArchive[目标]),"",IF(INDEX(DGArchive[目标],349)="","",INDEX(DGArchive[目标],349)))</f>
        <v/>
      </c>
      <c r="CE548" t="str">
        <f>IF(349&gt;ROWS(DGArchive[变更前]),"",IF(INDEX(DGArchive[变更前],349)="","",INDEX(DGArchive[变更前],349)))</f>
        <v/>
      </c>
      <c r="CF548" t="str">
        <f>IF(349&gt;ROWS(DGArchive[增减]),"",IF(INDEX(DGArchive[增减],349)="","",INDEX(DGArchive[增减],349)))</f>
        <v/>
      </c>
      <c r="CG548" t="str">
        <f>IF(349&gt;ROWS(DGArchive[变更后]),"",IF(INDEX(DGArchive[变更后],349)="","",INDEX(DGArchive[变更后],349)))</f>
        <v/>
      </c>
      <c r="CH548" t="str">
        <f>IF(349&gt;ROWS(DGArchive[事件／活动]),"",IF(INDEX(DGArchive[事件／活动],349)="","",INDEX(DGArchive[事件／活动],349)))</f>
        <v/>
      </c>
      <c r="CI548" t="str">
        <f>IF(349&gt;ROWS(DGArchive[记录编号]),"",IF(INDEX(DGArchive[记录编号],349)="","",INDEX(DGArchive[记录编号],349)))</f>
        <v/>
      </c>
      <c r="CL548">
        <f t="shared" si="164"/>
        <v>0</v>
      </c>
      <c r="CM548">
        <f>IF(AND(A548=$AO$5,B548=$AQ$3,H548=1),COUNTIFS($A$200:A548,$AO$5,$B$200:B548,$AQ$3,$H$200:H548,1),0)</f>
        <v>0</v>
      </c>
      <c r="CN548">
        <f>IF(CA548="",349,1001)</f>
        <v>349</v>
      </c>
      <c r="GA548">
        <f t="shared" si="184"/>
        <v>0</v>
      </c>
      <c r="GB548">
        <f t="shared" si="185"/>
        <v>0</v>
      </c>
      <c r="GC548">
        <f>IF(AND(C548="事件记录",H548=1),COUNTIFS($C$200:C548,"事件记录",$H$200:H548,1),0)</f>
        <v>0</v>
      </c>
      <c r="GD548">
        <f t="shared" si="165"/>
        <v>0</v>
      </c>
      <c r="GH548">
        <f>IF(AND(H548=1,A548=$GA$10,B548=$GA$11),COUNTIFS($A$200:A548,$GA$10,$B$200:B548,$GA$11,$H$200:H548,1),0)</f>
        <v>0</v>
      </c>
    </row>
    <row r="549" spans="1:190">
      <c r="A549" t="str">
        <f t="shared" si="156"/>
        <v/>
      </c>
      <c r="B549" t="str">
        <f t="shared" si="157"/>
        <v/>
      </c>
      <c r="C549" t="str">
        <f t="shared" si="158"/>
        <v/>
      </c>
      <c r="D549" t="str">
        <f t="shared" si="159"/>
        <v/>
      </c>
      <c r="E549">
        <f t="shared" si="160"/>
        <v>0</v>
      </c>
      <c r="F549" t="str">
        <f t="shared" si="161"/>
        <v/>
      </c>
      <c r="G549">
        <f t="shared" si="162"/>
        <v>0</v>
      </c>
      <c r="H549">
        <f>IF(AND(G549=1,COUNTIFS($I$200:I549,I549,$G$200:G549,1)=1),1,0)</f>
        <v>0</v>
      </c>
      <c r="I549" t="str">
        <f t="shared" si="163"/>
        <v/>
      </c>
      <c r="BF549">
        <f t="shared" si="166"/>
        <v>0</v>
      </c>
      <c r="BG549">
        <f t="shared" si="167"/>
        <v>0</v>
      </c>
      <c r="BH549">
        <f t="shared" si="168"/>
        <v>0</v>
      </c>
      <c r="BI549">
        <f t="shared" si="169"/>
        <v>0</v>
      </c>
      <c r="BJ549">
        <f t="shared" si="170"/>
        <v>0</v>
      </c>
      <c r="BK549">
        <f t="shared" si="171"/>
        <v>0</v>
      </c>
      <c r="BL549">
        <f t="shared" si="172"/>
        <v>0</v>
      </c>
      <c r="BM549">
        <f t="shared" si="173"/>
        <v>0</v>
      </c>
      <c r="BN549">
        <f t="shared" si="174"/>
        <v>0</v>
      </c>
      <c r="BO549">
        <f t="shared" si="175"/>
        <v>0</v>
      </c>
      <c r="BP549">
        <f t="shared" si="176"/>
        <v>0</v>
      </c>
      <c r="BQ549">
        <f t="shared" si="177"/>
        <v>0</v>
      </c>
      <c r="BR549">
        <f t="shared" si="178"/>
        <v>0</v>
      </c>
      <c r="BS549">
        <f t="shared" si="179"/>
        <v>0</v>
      </c>
      <c r="BT549">
        <f t="shared" si="180"/>
        <v>0</v>
      </c>
      <c r="BU549">
        <f t="shared" si="181"/>
        <v>0</v>
      </c>
      <c r="BV549">
        <f t="shared" si="182"/>
        <v>0</v>
      </c>
      <c r="BW549">
        <f t="shared" si="183"/>
        <v>0</v>
      </c>
      <c r="CA549" t="str">
        <f>IF(350&gt;ROWS(DGArchive[模组]),"",IF(INDEX(DGArchive[模组],350)="","",INDEX(DGArchive[模组],350)))</f>
        <v/>
      </c>
      <c r="CB549" t="str">
        <f>IF(350&gt;ROWS(DGArchive[阶段]),"",IF(INDEX(DGArchive[阶段],350)="","",INDEX(DGArchive[阶段],350)))</f>
        <v/>
      </c>
      <c r="CC549" t="str">
        <f>IF(350&gt;ROWS(DGArchive[游戏内日期]),"",IF(INDEX(DGArchive[游戏内日期],350)="","",INDEX(DGArchive[游戏内日期],350)))</f>
        <v/>
      </c>
      <c r="CD549" t="str">
        <f>IF(350&gt;ROWS(DGArchive[目标]),"",IF(INDEX(DGArchive[目标],350)="","",INDEX(DGArchive[目标],350)))</f>
        <v/>
      </c>
      <c r="CE549" t="str">
        <f>IF(350&gt;ROWS(DGArchive[变更前]),"",IF(INDEX(DGArchive[变更前],350)="","",INDEX(DGArchive[变更前],350)))</f>
        <v/>
      </c>
      <c r="CF549" t="str">
        <f>IF(350&gt;ROWS(DGArchive[增减]),"",IF(INDEX(DGArchive[增减],350)="","",INDEX(DGArchive[增减],350)))</f>
        <v/>
      </c>
      <c r="CG549" t="str">
        <f>IF(350&gt;ROWS(DGArchive[变更后]),"",IF(INDEX(DGArchive[变更后],350)="","",INDEX(DGArchive[变更后],350)))</f>
        <v/>
      </c>
      <c r="CH549" t="str">
        <f>IF(350&gt;ROWS(DGArchive[事件／活动]),"",IF(INDEX(DGArchive[事件／活动],350)="","",INDEX(DGArchive[事件／活动],350)))</f>
        <v/>
      </c>
      <c r="CI549" t="str">
        <f>IF(350&gt;ROWS(DGArchive[记录编号]),"",IF(INDEX(DGArchive[记录编号],350)="","",INDEX(DGArchive[记录编号],350)))</f>
        <v/>
      </c>
      <c r="CL549">
        <f t="shared" si="164"/>
        <v>0</v>
      </c>
      <c r="CM549">
        <f>IF(AND(A549=$AO$5,B549=$AQ$3,H549=1),COUNTIFS($A$200:A549,$AO$5,$B$200:B549,$AQ$3,$H$200:H549,1),0)</f>
        <v>0</v>
      </c>
      <c r="CN549">
        <f>IF(CA549="",350,1001)</f>
        <v>350</v>
      </c>
      <c r="GA549">
        <f t="shared" si="184"/>
        <v>0</v>
      </c>
      <c r="GB549">
        <f t="shared" si="185"/>
        <v>0</v>
      </c>
      <c r="GC549">
        <f>IF(AND(C549="事件记录",H549=1),COUNTIFS($C$200:C549,"事件记录",$H$200:H549,1),0)</f>
        <v>0</v>
      </c>
      <c r="GD549">
        <f t="shared" si="165"/>
        <v>0</v>
      </c>
      <c r="GH549">
        <f>IF(AND(H549=1,A549=$GA$10,B549=$GA$11),COUNTIFS($A$200:A549,$GA$10,$B$200:B549,$GA$11,$H$200:H549,1),0)</f>
        <v>0</v>
      </c>
    </row>
    <row r="550" spans="1:190">
      <c r="A550" t="str">
        <f t="shared" si="156"/>
        <v/>
      </c>
      <c r="B550" t="str">
        <f t="shared" si="157"/>
        <v/>
      </c>
      <c r="C550" t="str">
        <f t="shared" si="158"/>
        <v/>
      </c>
      <c r="D550" t="str">
        <f t="shared" si="159"/>
        <v/>
      </c>
      <c r="E550">
        <f t="shared" si="160"/>
        <v>0</v>
      </c>
      <c r="F550" t="str">
        <f t="shared" si="161"/>
        <v/>
      </c>
      <c r="G550">
        <f t="shared" si="162"/>
        <v>0</v>
      </c>
      <c r="H550">
        <f>IF(AND(G550=1,COUNTIFS($I$200:I550,I550,$G$200:G550,1)=1),1,0)</f>
        <v>0</v>
      </c>
      <c r="I550" t="str">
        <f t="shared" si="163"/>
        <v/>
      </c>
      <c r="BF550">
        <f t="shared" si="166"/>
        <v>0</v>
      </c>
      <c r="BG550">
        <f t="shared" si="167"/>
        <v>0</v>
      </c>
      <c r="BH550">
        <f t="shared" si="168"/>
        <v>0</v>
      </c>
      <c r="BI550">
        <f t="shared" si="169"/>
        <v>0</v>
      </c>
      <c r="BJ550">
        <f t="shared" si="170"/>
        <v>0</v>
      </c>
      <c r="BK550">
        <f t="shared" si="171"/>
        <v>0</v>
      </c>
      <c r="BL550">
        <f t="shared" si="172"/>
        <v>0</v>
      </c>
      <c r="BM550">
        <f t="shared" si="173"/>
        <v>0</v>
      </c>
      <c r="BN550">
        <f t="shared" si="174"/>
        <v>0</v>
      </c>
      <c r="BO550">
        <f t="shared" si="175"/>
        <v>0</v>
      </c>
      <c r="BP550">
        <f t="shared" si="176"/>
        <v>0</v>
      </c>
      <c r="BQ550">
        <f t="shared" si="177"/>
        <v>0</v>
      </c>
      <c r="BR550">
        <f t="shared" si="178"/>
        <v>0</v>
      </c>
      <c r="BS550">
        <f t="shared" si="179"/>
        <v>0</v>
      </c>
      <c r="BT550">
        <f t="shared" si="180"/>
        <v>0</v>
      </c>
      <c r="BU550">
        <f t="shared" si="181"/>
        <v>0</v>
      </c>
      <c r="BV550">
        <f t="shared" si="182"/>
        <v>0</v>
      </c>
      <c r="BW550">
        <f t="shared" si="183"/>
        <v>0</v>
      </c>
      <c r="CA550" t="str">
        <f>IF(351&gt;ROWS(DGArchive[模组]),"",IF(INDEX(DGArchive[模组],351)="","",INDEX(DGArchive[模组],351)))</f>
        <v/>
      </c>
      <c r="CB550" t="str">
        <f>IF(351&gt;ROWS(DGArchive[阶段]),"",IF(INDEX(DGArchive[阶段],351)="","",INDEX(DGArchive[阶段],351)))</f>
        <v/>
      </c>
      <c r="CC550" t="str">
        <f>IF(351&gt;ROWS(DGArchive[游戏内日期]),"",IF(INDEX(DGArchive[游戏内日期],351)="","",INDEX(DGArchive[游戏内日期],351)))</f>
        <v/>
      </c>
      <c r="CD550" t="str">
        <f>IF(351&gt;ROWS(DGArchive[目标]),"",IF(INDEX(DGArchive[目标],351)="","",INDEX(DGArchive[目标],351)))</f>
        <v/>
      </c>
      <c r="CE550" t="str">
        <f>IF(351&gt;ROWS(DGArchive[变更前]),"",IF(INDEX(DGArchive[变更前],351)="","",INDEX(DGArchive[变更前],351)))</f>
        <v/>
      </c>
      <c r="CF550" t="str">
        <f>IF(351&gt;ROWS(DGArchive[增减]),"",IF(INDEX(DGArchive[增减],351)="","",INDEX(DGArchive[增减],351)))</f>
        <v/>
      </c>
      <c r="CG550" t="str">
        <f>IF(351&gt;ROWS(DGArchive[变更后]),"",IF(INDEX(DGArchive[变更后],351)="","",INDEX(DGArchive[变更后],351)))</f>
        <v/>
      </c>
      <c r="CH550" t="str">
        <f>IF(351&gt;ROWS(DGArchive[事件／活动]),"",IF(INDEX(DGArchive[事件／活动],351)="","",INDEX(DGArchive[事件／活动],351)))</f>
        <v/>
      </c>
      <c r="CI550" t="str">
        <f>IF(351&gt;ROWS(DGArchive[记录编号]),"",IF(INDEX(DGArchive[记录编号],351)="","",INDEX(DGArchive[记录编号],351)))</f>
        <v/>
      </c>
      <c r="CL550">
        <f t="shared" si="164"/>
        <v>0</v>
      </c>
      <c r="CM550">
        <f>IF(AND(A550=$AO$5,B550=$AQ$3,H550=1),COUNTIFS($A$200:A550,$AO$5,$B$200:B550,$AQ$3,$H$200:H550,1),0)</f>
        <v>0</v>
      </c>
      <c r="CN550">
        <f>IF(CA550="",351,1001)</f>
        <v>351</v>
      </c>
      <c r="GA550">
        <f t="shared" si="184"/>
        <v>0</v>
      </c>
      <c r="GB550">
        <f t="shared" si="185"/>
        <v>0</v>
      </c>
      <c r="GC550">
        <f>IF(AND(C550="事件记录",H550=1),COUNTIFS($C$200:C550,"事件记录",$H$200:H550,1),0)</f>
        <v>0</v>
      </c>
      <c r="GD550">
        <f t="shared" si="165"/>
        <v>0</v>
      </c>
      <c r="GH550">
        <f>IF(AND(H550=1,A550=$GA$10,B550=$GA$11),COUNTIFS($A$200:A550,$GA$10,$B$200:B550,$GA$11,$H$200:H550,1),0)</f>
        <v>0</v>
      </c>
    </row>
    <row r="551" spans="1:190">
      <c r="A551" t="str">
        <f t="shared" si="156"/>
        <v/>
      </c>
      <c r="B551" t="str">
        <f t="shared" si="157"/>
        <v/>
      </c>
      <c r="C551" t="str">
        <f t="shared" si="158"/>
        <v/>
      </c>
      <c r="D551" t="str">
        <f t="shared" si="159"/>
        <v/>
      </c>
      <c r="E551">
        <f t="shared" si="160"/>
        <v>0</v>
      </c>
      <c r="F551" t="str">
        <f t="shared" si="161"/>
        <v/>
      </c>
      <c r="G551">
        <f t="shared" si="162"/>
        <v>0</v>
      </c>
      <c r="H551">
        <f>IF(AND(G551=1,COUNTIFS($I$200:I551,I551,$G$200:G551,1)=1),1,0)</f>
        <v>0</v>
      </c>
      <c r="I551" t="str">
        <f t="shared" si="163"/>
        <v/>
      </c>
      <c r="BF551">
        <f t="shared" si="166"/>
        <v>0</v>
      </c>
      <c r="BG551">
        <f t="shared" si="167"/>
        <v>0</v>
      </c>
      <c r="BH551">
        <f t="shared" si="168"/>
        <v>0</v>
      </c>
      <c r="BI551">
        <f t="shared" si="169"/>
        <v>0</v>
      </c>
      <c r="BJ551">
        <f t="shared" si="170"/>
        <v>0</v>
      </c>
      <c r="BK551">
        <f t="shared" si="171"/>
        <v>0</v>
      </c>
      <c r="BL551">
        <f t="shared" si="172"/>
        <v>0</v>
      </c>
      <c r="BM551">
        <f t="shared" si="173"/>
        <v>0</v>
      </c>
      <c r="BN551">
        <f t="shared" si="174"/>
        <v>0</v>
      </c>
      <c r="BO551">
        <f t="shared" si="175"/>
        <v>0</v>
      </c>
      <c r="BP551">
        <f t="shared" si="176"/>
        <v>0</v>
      </c>
      <c r="BQ551">
        <f t="shared" si="177"/>
        <v>0</v>
      </c>
      <c r="BR551">
        <f t="shared" si="178"/>
        <v>0</v>
      </c>
      <c r="BS551">
        <f t="shared" si="179"/>
        <v>0</v>
      </c>
      <c r="BT551">
        <f t="shared" si="180"/>
        <v>0</v>
      </c>
      <c r="BU551">
        <f t="shared" si="181"/>
        <v>0</v>
      </c>
      <c r="BV551">
        <f t="shared" si="182"/>
        <v>0</v>
      </c>
      <c r="BW551">
        <f t="shared" si="183"/>
        <v>0</v>
      </c>
      <c r="CA551" t="str">
        <f>IF(352&gt;ROWS(DGArchive[模组]),"",IF(INDEX(DGArchive[模组],352)="","",INDEX(DGArchive[模组],352)))</f>
        <v/>
      </c>
      <c r="CB551" t="str">
        <f>IF(352&gt;ROWS(DGArchive[阶段]),"",IF(INDEX(DGArchive[阶段],352)="","",INDEX(DGArchive[阶段],352)))</f>
        <v/>
      </c>
      <c r="CC551" t="str">
        <f>IF(352&gt;ROWS(DGArchive[游戏内日期]),"",IF(INDEX(DGArchive[游戏内日期],352)="","",INDEX(DGArchive[游戏内日期],352)))</f>
        <v/>
      </c>
      <c r="CD551" t="str">
        <f>IF(352&gt;ROWS(DGArchive[目标]),"",IF(INDEX(DGArchive[目标],352)="","",INDEX(DGArchive[目标],352)))</f>
        <v/>
      </c>
      <c r="CE551" t="str">
        <f>IF(352&gt;ROWS(DGArchive[变更前]),"",IF(INDEX(DGArchive[变更前],352)="","",INDEX(DGArchive[变更前],352)))</f>
        <v/>
      </c>
      <c r="CF551" t="str">
        <f>IF(352&gt;ROWS(DGArchive[增减]),"",IF(INDEX(DGArchive[增减],352)="","",INDEX(DGArchive[增减],352)))</f>
        <v/>
      </c>
      <c r="CG551" t="str">
        <f>IF(352&gt;ROWS(DGArchive[变更后]),"",IF(INDEX(DGArchive[变更后],352)="","",INDEX(DGArchive[变更后],352)))</f>
        <v/>
      </c>
      <c r="CH551" t="str">
        <f>IF(352&gt;ROWS(DGArchive[事件／活动]),"",IF(INDEX(DGArchive[事件／活动],352)="","",INDEX(DGArchive[事件／活动],352)))</f>
        <v/>
      </c>
      <c r="CI551" t="str">
        <f>IF(352&gt;ROWS(DGArchive[记录编号]),"",IF(INDEX(DGArchive[记录编号],352)="","",INDEX(DGArchive[记录编号],352)))</f>
        <v/>
      </c>
      <c r="CL551">
        <f t="shared" si="164"/>
        <v>0</v>
      </c>
      <c r="CM551">
        <f>IF(AND(A551=$AO$5,B551=$AQ$3,H551=1),COUNTIFS($A$200:A551,$AO$5,$B$200:B551,$AQ$3,$H$200:H551,1),0)</f>
        <v>0</v>
      </c>
      <c r="CN551">
        <f>IF(CA551="",352,1001)</f>
        <v>352</v>
      </c>
      <c r="GA551">
        <f t="shared" si="184"/>
        <v>0</v>
      </c>
      <c r="GB551">
        <f t="shared" si="185"/>
        <v>0</v>
      </c>
      <c r="GC551">
        <f>IF(AND(C551="事件记录",H551=1),COUNTIFS($C$200:C551,"事件记录",$H$200:H551,1),0)</f>
        <v>0</v>
      </c>
      <c r="GD551">
        <f t="shared" si="165"/>
        <v>0</v>
      </c>
      <c r="GH551">
        <f>IF(AND(H551=1,A551=$GA$10,B551=$GA$11),COUNTIFS($A$200:A551,$GA$10,$B$200:B551,$GA$11,$H$200:H551,1),0)</f>
        <v>0</v>
      </c>
    </row>
    <row r="552" spans="1:190">
      <c r="A552" t="str">
        <f t="shared" si="156"/>
        <v/>
      </c>
      <c r="B552" t="str">
        <f t="shared" si="157"/>
        <v/>
      </c>
      <c r="C552" t="str">
        <f t="shared" si="158"/>
        <v/>
      </c>
      <c r="D552" t="str">
        <f t="shared" si="159"/>
        <v/>
      </c>
      <c r="E552">
        <f t="shared" si="160"/>
        <v>0</v>
      </c>
      <c r="F552" t="str">
        <f t="shared" si="161"/>
        <v/>
      </c>
      <c r="G552">
        <f t="shared" si="162"/>
        <v>0</v>
      </c>
      <c r="H552">
        <f>IF(AND(G552=1,COUNTIFS($I$200:I552,I552,$G$200:G552,1)=1),1,0)</f>
        <v>0</v>
      </c>
      <c r="I552" t="str">
        <f t="shared" si="163"/>
        <v/>
      </c>
      <c r="BF552">
        <f t="shared" si="166"/>
        <v>0</v>
      </c>
      <c r="BG552">
        <f t="shared" si="167"/>
        <v>0</v>
      </c>
      <c r="BH552">
        <f t="shared" si="168"/>
        <v>0</v>
      </c>
      <c r="BI552">
        <f t="shared" si="169"/>
        <v>0</v>
      </c>
      <c r="BJ552">
        <f t="shared" si="170"/>
        <v>0</v>
      </c>
      <c r="BK552">
        <f t="shared" si="171"/>
        <v>0</v>
      </c>
      <c r="BL552">
        <f t="shared" si="172"/>
        <v>0</v>
      </c>
      <c r="BM552">
        <f t="shared" si="173"/>
        <v>0</v>
      </c>
      <c r="BN552">
        <f t="shared" si="174"/>
        <v>0</v>
      </c>
      <c r="BO552">
        <f t="shared" si="175"/>
        <v>0</v>
      </c>
      <c r="BP552">
        <f t="shared" si="176"/>
        <v>0</v>
      </c>
      <c r="BQ552">
        <f t="shared" si="177"/>
        <v>0</v>
      </c>
      <c r="BR552">
        <f t="shared" si="178"/>
        <v>0</v>
      </c>
      <c r="BS552">
        <f t="shared" si="179"/>
        <v>0</v>
      </c>
      <c r="BT552">
        <f t="shared" si="180"/>
        <v>0</v>
      </c>
      <c r="BU552">
        <f t="shared" si="181"/>
        <v>0</v>
      </c>
      <c r="BV552">
        <f t="shared" si="182"/>
        <v>0</v>
      </c>
      <c r="BW552">
        <f t="shared" si="183"/>
        <v>0</v>
      </c>
      <c r="CA552" t="str">
        <f>IF(353&gt;ROWS(DGArchive[模组]),"",IF(INDEX(DGArchive[模组],353)="","",INDEX(DGArchive[模组],353)))</f>
        <v/>
      </c>
      <c r="CB552" t="str">
        <f>IF(353&gt;ROWS(DGArchive[阶段]),"",IF(INDEX(DGArchive[阶段],353)="","",INDEX(DGArchive[阶段],353)))</f>
        <v/>
      </c>
      <c r="CC552" t="str">
        <f>IF(353&gt;ROWS(DGArchive[游戏内日期]),"",IF(INDEX(DGArchive[游戏内日期],353)="","",INDEX(DGArchive[游戏内日期],353)))</f>
        <v/>
      </c>
      <c r="CD552" t="str">
        <f>IF(353&gt;ROWS(DGArchive[目标]),"",IF(INDEX(DGArchive[目标],353)="","",INDEX(DGArchive[目标],353)))</f>
        <v/>
      </c>
      <c r="CE552" t="str">
        <f>IF(353&gt;ROWS(DGArchive[变更前]),"",IF(INDEX(DGArchive[变更前],353)="","",INDEX(DGArchive[变更前],353)))</f>
        <v/>
      </c>
      <c r="CF552" t="str">
        <f>IF(353&gt;ROWS(DGArchive[增减]),"",IF(INDEX(DGArchive[增减],353)="","",INDEX(DGArchive[增减],353)))</f>
        <v/>
      </c>
      <c r="CG552" t="str">
        <f>IF(353&gt;ROWS(DGArchive[变更后]),"",IF(INDEX(DGArchive[变更后],353)="","",INDEX(DGArchive[变更后],353)))</f>
        <v/>
      </c>
      <c r="CH552" t="str">
        <f>IF(353&gt;ROWS(DGArchive[事件／活动]),"",IF(INDEX(DGArchive[事件／活动],353)="","",INDEX(DGArchive[事件／活动],353)))</f>
        <v/>
      </c>
      <c r="CI552" t="str">
        <f>IF(353&gt;ROWS(DGArchive[记录编号]),"",IF(INDEX(DGArchive[记录编号],353)="","",INDEX(DGArchive[记录编号],353)))</f>
        <v/>
      </c>
      <c r="CL552">
        <f t="shared" si="164"/>
        <v>0</v>
      </c>
      <c r="CM552">
        <f>IF(AND(A552=$AO$5,B552=$AQ$3,H552=1),COUNTIFS($A$200:A552,$AO$5,$B$200:B552,$AQ$3,$H$200:H552,1),0)</f>
        <v>0</v>
      </c>
      <c r="CN552">
        <f>IF(CA552="",353,1001)</f>
        <v>353</v>
      </c>
      <c r="GA552">
        <f t="shared" si="184"/>
        <v>0</v>
      </c>
      <c r="GB552">
        <f t="shared" si="185"/>
        <v>0</v>
      </c>
      <c r="GC552">
        <f>IF(AND(C552="事件记录",H552=1),COUNTIFS($C$200:C552,"事件记录",$H$200:H552,1),0)</f>
        <v>0</v>
      </c>
      <c r="GD552">
        <f t="shared" si="165"/>
        <v>0</v>
      </c>
      <c r="GH552">
        <f>IF(AND(H552=1,A552=$GA$10,B552=$GA$11),COUNTIFS($A$200:A552,$GA$10,$B$200:B552,$GA$11,$H$200:H552,1),0)</f>
        <v>0</v>
      </c>
    </row>
    <row r="553" spans="1:190">
      <c r="A553" t="str">
        <f t="shared" si="156"/>
        <v/>
      </c>
      <c r="B553" t="str">
        <f t="shared" si="157"/>
        <v/>
      </c>
      <c r="C553" t="str">
        <f t="shared" si="158"/>
        <v/>
      </c>
      <c r="D553" t="str">
        <f t="shared" si="159"/>
        <v/>
      </c>
      <c r="E553">
        <f t="shared" si="160"/>
        <v>0</v>
      </c>
      <c r="F553" t="str">
        <f t="shared" si="161"/>
        <v/>
      </c>
      <c r="G553">
        <f t="shared" si="162"/>
        <v>0</v>
      </c>
      <c r="H553">
        <f>IF(AND(G553=1,COUNTIFS($I$200:I553,I553,$G$200:G553,1)=1),1,0)</f>
        <v>0</v>
      </c>
      <c r="I553" t="str">
        <f t="shared" si="163"/>
        <v/>
      </c>
      <c r="BF553">
        <f t="shared" si="166"/>
        <v>0</v>
      </c>
      <c r="BG553">
        <f t="shared" si="167"/>
        <v>0</v>
      </c>
      <c r="BH553">
        <f t="shared" si="168"/>
        <v>0</v>
      </c>
      <c r="BI553">
        <f t="shared" si="169"/>
        <v>0</v>
      </c>
      <c r="BJ553">
        <f t="shared" si="170"/>
        <v>0</v>
      </c>
      <c r="BK553">
        <f t="shared" si="171"/>
        <v>0</v>
      </c>
      <c r="BL553">
        <f t="shared" si="172"/>
        <v>0</v>
      </c>
      <c r="BM553">
        <f t="shared" si="173"/>
        <v>0</v>
      </c>
      <c r="BN553">
        <f t="shared" si="174"/>
        <v>0</v>
      </c>
      <c r="BO553">
        <f t="shared" si="175"/>
        <v>0</v>
      </c>
      <c r="BP553">
        <f t="shared" si="176"/>
        <v>0</v>
      </c>
      <c r="BQ553">
        <f t="shared" si="177"/>
        <v>0</v>
      </c>
      <c r="BR553">
        <f t="shared" si="178"/>
        <v>0</v>
      </c>
      <c r="BS553">
        <f t="shared" si="179"/>
        <v>0</v>
      </c>
      <c r="BT553">
        <f t="shared" si="180"/>
        <v>0</v>
      </c>
      <c r="BU553">
        <f t="shared" si="181"/>
        <v>0</v>
      </c>
      <c r="BV553">
        <f t="shared" si="182"/>
        <v>0</v>
      </c>
      <c r="BW553">
        <f t="shared" si="183"/>
        <v>0</v>
      </c>
      <c r="CA553" t="str">
        <f>IF(354&gt;ROWS(DGArchive[模组]),"",IF(INDEX(DGArchive[模组],354)="","",INDEX(DGArchive[模组],354)))</f>
        <v/>
      </c>
      <c r="CB553" t="str">
        <f>IF(354&gt;ROWS(DGArchive[阶段]),"",IF(INDEX(DGArchive[阶段],354)="","",INDEX(DGArchive[阶段],354)))</f>
        <v/>
      </c>
      <c r="CC553" t="str">
        <f>IF(354&gt;ROWS(DGArchive[游戏内日期]),"",IF(INDEX(DGArchive[游戏内日期],354)="","",INDEX(DGArchive[游戏内日期],354)))</f>
        <v/>
      </c>
      <c r="CD553" t="str">
        <f>IF(354&gt;ROWS(DGArchive[目标]),"",IF(INDEX(DGArchive[目标],354)="","",INDEX(DGArchive[目标],354)))</f>
        <v/>
      </c>
      <c r="CE553" t="str">
        <f>IF(354&gt;ROWS(DGArchive[变更前]),"",IF(INDEX(DGArchive[变更前],354)="","",INDEX(DGArchive[变更前],354)))</f>
        <v/>
      </c>
      <c r="CF553" t="str">
        <f>IF(354&gt;ROWS(DGArchive[增减]),"",IF(INDEX(DGArchive[增减],354)="","",INDEX(DGArchive[增减],354)))</f>
        <v/>
      </c>
      <c r="CG553" t="str">
        <f>IF(354&gt;ROWS(DGArchive[变更后]),"",IF(INDEX(DGArchive[变更后],354)="","",INDEX(DGArchive[变更后],354)))</f>
        <v/>
      </c>
      <c r="CH553" t="str">
        <f>IF(354&gt;ROWS(DGArchive[事件／活动]),"",IF(INDEX(DGArchive[事件／活动],354)="","",INDEX(DGArchive[事件／活动],354)))</f>
        <v/>
      </c>
      <c r="CI553" t="str">
        <f>IF(354&gt;ROWS(DGArchive[记录编号]),"",IF(INDEX(DGArchive[记录编号],354)="","",INDEX(DGArchive[记录编号],354)))</f>
        <v/>
      </c>
      <c r="CL553">
        <f t="shared" si="164"/>
        <v>0</v>
      </c>
      <c r="CM553">
        <f>IF(AND(A553=$AO$5,B553=$AQ$3,H553=1),COUNTIFS($A$200:A553,$AO$5,$B$200:B553,$AQ$3,$H$200:H553,1),0)</f>
        <v>0</v>
      </c>
      <c r="CN553">
        <f>IF(CA553="",354,1001)</f>
        <v>354</v>
      </c>
      <c r="GA553">
        <f t="shared" si="184"/>
        <v>0</v>
      </c>
      <c r="GB553">
        <f t="shared" si="185"/>
        <v>0</v>
      </c>
      <c r="GC553">
        <f>IF(AND(C553="事件记录",H553=1),COUNTIFS($C$200:C553,"事件记录",$H$200:H553,1),0)</f>
        <v>0</v>
      </c>
      <c r="GD553">
        <f t="shared" si="165"/>
        <v>0</v>
      </c>
      <c r="GH553">
        <f>IF(AND(H553=1,A553=$GA$10,B553=$GA$11),COUNTIFS($A$200:A553,$GA$10,$B$200:B553,$GA$11,$H$200:H553,1),0)</f>
        <v>0</v>
      </c>
    </row>
    <row r="554" spans="1:190">
      <c r="A554" t="str">
        <f t="shared" si="156"/>
        <v/>
      </c>
      <c r="B554" t="str">
        <f t="shared" si="157"/>
        <v/>
      </c>
      <c r="C554" t="str">
        <f t="shared" si="158"/>
        <v/>
      </c>
      <c r="D554" t="str">
        <f t="shared" si="159"/>
        <v/>
      </c>
      <c r="E554">
        <f t="shared" si="160"/>
        <v>0</v>
      </c>
      <c r="F554" t="str">
        <f t="shared" si="161"/>
        <v/>
      </c>
      <c r="G554">
        <f t="shared" si="162"/>
        <v>0</v>
      </c>
      <c r="H554">
        <f>IF(AND(G554=1,COUNTIFS($I$200:I554,I554,$G$200:G554,1)=1),1,0)</f>
        <v>0</v>
      </c>
      <c r="I554" t="str">
        <f t="shared" si="163"/>
        <v/>
      </c>
      <c r="BF554">
        <f t="shared" si="166"/>
        <v>0</v>
      </c>
      <c r="BG554">
        <f t="shared" si="167"/>
        <v>0</v>
      </c>
      <c r="BH554">
        <f t="shared" si="168"/>
        <v>0</v>
      </c>
      <c r="BI554">
        <f t="shared" si="169"/>
        <v>0</v>
      </c>
      <c r="BJ554">
        <f t="shared" si="170"/>
        <v>0</v>
      </c>
      <c r="BK554">
        <f t="shared" si="171"/>
        <v>0</v>
      </c>
      <c r="BL554">
        <f t="shared" si="172"/>
        <v>0</v>
      </c>
      <c r="BM554">
        <f t="shared" si="173"/>
        <v>0</v>
      </c>
      <c r="BN554">
        <f t="shared" si="174"/>
        <v>0</v>
      </c>
      <c r="BO554">
        <f t="shared" si="175"/>
        <v>0</v>
      </c>
      <c r="BP554">
        <f t="shared" si="176"/>
        <v>0</v>
      </c>
      <c r="BQ554">
        <f t="shared" si="177"/>
        <v>0</v>
      </c>
      <c r="BR554">
        <f t="shared" si="178"/>
        <v>0</v>
      </c>
      <c r="BS554">
        <f t="shared" si="179"/>
        <v>0</v>
      </c>
      <c r="BT554">
        <f t="shared" si="180"/>
        <v>0</v>
      </c>
      <c r="BU554">
        <f t="shared" si="181"/>
        <v>0</v>
      </c>
      <c r="BV554">
        <f t="shared" si="182"/>
        <v>0</v>
      </c>
      <c r="BW554">
        <f t="shared" si="183"/>
        <v>0</v>
      </c>
      <c r="CA554" t="str">
        <f>IF(355&gt;ROWS(DGArchive[模组]),"",IF(INDEX(DGArchive[模组],355)="","",INDEX(DGArchive[模组],355)))</f>
        <v/>
      </c>
      <c r="CB554" t="str">
        <f>IF(355&gt;ROWS(DGArchive[阶段]),"",IF(INDEX(DGArchive[阶段],355)="","",INDEX(DGArchive[阶段],355)))</f>
        <v/>
      </c>
      <c r="CC554" t="str">
        <f>IF(355&gt;ROWS(DGArchive[游戏内日期]),"",IF(INDEX(DGArchive[游戏内日期],355)="","",INDEX(DGArchive[游戏内日期],355)))</f>
        <v/>
      </c>
      <c r="CD554" t="str">
        <f>IF(355&gt;ROWS(DGArchive[目标]),"",IF(INDEX(DGArchive[目标],355)="","",INDEX(DGArchive[目标],355)))</f>
        <v/>
      </c>
      <c r="CE554" t="str">
        <f>IF(355&gt;ROWS(DGArchive[变更前]),"",IF(INDEX(DGArchive[变更前],355)="","",INDEX(DGArchive[变更前],355)))</f>
        <v/>
      </c>
      <c r="CF554" t="str">
        <f>IF(355&gt;ROWS(DGArchive[增减]),"",IF(INDEX(DGArchive[增减],355)="","",INDEX(DGArchive[增减],355)))</f>
        <v/>
      </c>
      <c r="CG554" t="str">
        <f>IF(355&gt;ROWS(DGArchive[变更后]),"",IF(INDEX(DGArchive[变更后],355)="","",INDEX(DGArchive[变更后],355)))</f>
        <v/>
      </c>
      <c r="CH554" t="str">
        <f>IF(355&gt;ROWS(DGArchive[事件／活动]),"",IF(INDEX(DGArchive[事件／活动],355)="","",INDEX(DGArchive[事件／活动],355)))</f>
        <v/>
      </c>
      <c r="CI554" t="str">
        <f>IF(355&gt;ROWS(DGArchive[记录编号]),"",IF(INDEX(DGArchive[记录编号],355)="","",INDEX(DGArchive[记录编号],355)))</f>
        <v/>
      </c>
      <c r="CL554">
        <f t="shared" si="164"/>
        <v>0</v>
      </c>
      <c r="CM554">
        <f>IF(AND(A554=$AO$5,B554=$AQ$3,H554=1),COUNTIFS($A$200:A554,$AO$5,$B$200:B554,$AQ$3,$H$200:H554,1),0)</f>
        <v>0</v>
      </c>
      <c r="CN554">
        <f>IF(CA554="",355,1001)</f>
        <v>355</v>
      </c>
      <c r="GA554">
        <f t="shared" si="184"/>
        <v>0</v>
      </c>
      <c r="GB554">
        <f t="shared" si="185"/>
        <v>0</v>
      </c>
      <c r="GC554">
        <f>IF(AND(C554="事件记录",H554=1),COUNTIFS($C$200:C554,"事件记录",$H$200:H554,1),0)</f>
        <v>0</v>
      </c>
      <c r="GD554">
        <f t="shared" si="165"/>
        <v>0</v>
      </c>
      <c r="GH554">
        <f>IF(AND(H554=1,A554=$GA$10,B554=$GA$11),COUNTIFS($A$200:A554,$GA$10,$B$200:B554,$GA$11,$H$200:H554,1),0)</f>
        <v>0</v>
      </c>
    </row>
    <row r="555" spans="1:190">
      <c r="A555" t="str">
        <f t="shared" si="156"/>
        <v/>
      </c>
      <c r="B555" t="str">
        <f t="shared" si="157"/>
        <v/>
      </c>
      <c r="C555" t="str">
        <f t="shared" si="158"/>
        <v/>
      </c>
      <c r="D555" t="str">
        <f t="shared" si="159"/>
        <v/>
      </c>
      <c r="E555">
        <f t="shared" si="160"/>
        <v>0</v>
      </c>
      <c r="F555" t="str">
        <f t="shared" si="161"/>
        <v/>
      </c>
      <c r="G555">
        <f t="shared" si="162"/>
        <v>0</v>
      </c>
      <c r="H555">
        <f>IF(AND(G555=1,COUNTIFS($I$200:I555,I555,$G$200:G555,1)=1),1,0)</f>
        <v>0</v>
      </c>
      <c r="I555" t="str">
        <f t="shared" si="163"/>
        <v/>
      </c>
      <c r="BF555">
        <f t="shared" si="166"/>
        <v>0</v>
      </c>
      <c r="BG555">
        <f t="shared" si="167"/>
        <v>0</v>
      </c>
      <c r="BH555">
        <f t="shared" si="168"/>
        <v>0</v>
      </c>
      <c r="BI555">
        <f t="shared" si="169"/>
        <v>0</v>
      </c>
      <c r="BJ555">
        <f t="shared" si="170"/>
        <v>0</v>
      </c>
      <c r="BK555">
        <f t="shared" si="171"/>
        <v>0</v>
      </c>
      <c r="BL555">
        <f t="shared" si="172"/>
        <v>0</v>
      </c>
      <c r="BM555">
        <f t="shared" si="173"/>
        <v>0</v>
      </c>
      <c r="BN555">
        <f t="shared" si="174"/>
        <v>0</v>
      </c>
      <c r="BO555">
        <f t="shared" si="175"/>
        <v>0</v>
      </c>
      <c r="BP555">
        <f t="shared" si="176"/>
        <v>0</v>
      </c>
      <c r="BQ555">
        <f t="shared" si="177"/>
        <v>0</v>
      </c>
      <c r="BR555">
        <f t="shared" si="178"/>
        <v>0</v>
      </c>
      <c r="BS555">
        <f t="shared" si="179"/>
        <v>0</v>
      </c>
      <c r="BT555">
        <f t="shared" si="180"/>
        <v>0</v>
      </c>
      <c r="BU555">
        <f t="shared" si="181"/>
        <v>0</v>
      </c>
      <c r="BV555">
        <f t="shared" si="182"/>
        <v>0</v>
      </c>
      <c r="BW555">
        <f t="shared" si="183"/>
        <v>0</v>
      </c>
      <c r="CA555" t="str">
        <f>IF(356&gt;ROWS(DGArchive[模组]),"",IF(INDEX(DGArchive[模组],356)="","",INDEX(DGArchive[模组],356)))</f>
        <v/>
      </c>
      <c r="CB555" t="str">
        <f>IF(356&gt;ROWS(DGArchive[阶段]),"",IF(INDEX(DGArchive[阶段],356)="","",INDEX(DGArchive[阶段],356)))</f>
        <v/>
      </c>
      <c r="CC555" t="str">
        <f>IF(356&gt;ROWS(DGArchive[游戏内日期]),"",IF(INDEX(DGArchive[游戏内日期],356)="","",INDEX(DGArchive[游戏内日期],356)))</f>
        <v/>
      </c>
      <c r="CD555" t="str">
        <f>IF(356&gt;ROWS(DGArchive[目标]),"",IF(INDEX(DGArchive[目标],356)="","",INDEX(DGArchive[目标],356)))</f>
        <v/>
      </c>
      <c r="CE555" t="str">
        <f>IF(356&gt;ROWS(DGArchive[变更前]),"",IF(INDEX(DGArchive[变更前],356)="","",INDEX(DGArchive[变更前],356)))</f>
        <v/>
      </c>
      <c r="CF555" t="str">
        <f>IF(356&gt;ROWS(DGArchive[增减]),"",IF(INDEX(DGArchive[增减],356)="","",INDEX(DGArchive[增减],356)))</f>
        <v/>
      </c>
      <c r="CG555" t="str">
        <f>IF(356&gt;ROWS(DGArchive[变更后]),"",IF(INDEX(DGArchive[变更后],356)="","",INDEX(DGArchive[变更后],356)))</f>
        <v/>
      </c>
      <c r="CH555" t="str">
        <f>IF(356&gt;ROWS(DGArchive[事件／活动]),"",IF(INDEX(DGArchive[事件／活动],356)="","",INDEX(DGArchive[事件／活动],356)))</f>
        <v/>
      </c>
      <c r="CI555" t="str">
        <f>IF(356&gt;ROWS(DGArchive[记录编号]),"",IF(INDEX(DGArchive[记录编号],356)="","",INDEX(DGArchive[记录编号],356)))</f>
        <v/>
      </c>
      <c r="CL555">
        <f t="shared" si="164"/>
        <v>0</v>
      </c>
      <c r="CM555">
        <f>IF(AND(A555=$AO$5,B555=$AQ$3,H555=1),COUNTIFS($A$200:A555,$AO$5,$B$200:B555,$AQ$3,$H$200:H555,1),0)</f>
        <v>0</v>
      </c>
      <c r="CN555">
        <f>IF(CA555="",356,1001)</f>
        <v>356</v>
      </c>
      <c r="GA555">
        <f t="shared" si="184"/>
        <v>0</v>
      </c>
      <c r="GB555">
        <f t="shared" si="185"/>
        <v>0</v>
      </c>
      <c r="GC555">
        <f>IF(AND(C555="事件记录",H555=1),COUNTIFS($C$200:C555,"事件记录",$H$200:H555,1),0)</f>
        <v>0</v>
      </c>
      <c r="GD555">
        <f t="shared" si="165"/>
        <v>0</v>
      </c>
      <c r="GH555">
        <f>IF(AND(H555=1,A555=$GA$10,B555=$GA$11),COUNTIFS($A$200:A555,$GA$10,$B$200:B555,$GA$11,$H$200:H555,1),0)</f>
        <v>0</v>
      </c>
    </row>
    <row r="556" spans="1:190">
      <c r="A556" t="str">
        <f t="shared" si="156"/>
        <v/>
      </c>
      <c r="B556" t="str">
        <f t="shared" si="157"/>
        <v/>
      </c>
      <c r="C556" t="str">
        <f t="shared" si="158"/>
        <v/>
      </c>
      <c r="D556" t="str">
        <f t="shared" si="159"/>
        <v/>
      </c>
      <c r="E556">
        <f t="shared" si="160"/>
        <v>0</v>
      </c>
      <c r="F556" t="str">
        <f t="shared" si="161"/>
        <v/>
      </c>
      <c r="G556">
        <f t="shared" si="162"/>
        <v>0</v>
      </c>
      <c r="H556">
        <f>IF(AND(G556=1,COUNTIFS($I$200:I556,I556,$G$200:G556,1)=1),1,0)</f>
        <v>0</v>
      </c>
      <c r="I556" t="str">
        <f t="shared" si="163"/>
        <v/>
      </c>
      <c r="BF556">
        <f t="shared" si="166"/>
        <v>0</v>
      </c>
      <c r="BG556">
        <f t="shared" si="167"/>
        <v>0</v>
      </c>
      <c r="BH556">
        <f t="shared" si="168"/>
        <v>0</v>
      </c>
      <c r="BI556">
        <f t="shared" si="169"/>
        <v>0</v>
      </c>
      <c r="BJ556">
        <f t="shared" si="170"/>
        <v>0</v>
      </c>
      <c r="BK556">
        <f t="shared" si="171"/>
        <v>0</v>
      </c>
      <c r="BL556">
        <f t="shared" si="172"/>
        <v>0</v>
      </c>
      <c r="BM556">
        <f t="shared" si="173"/>
        <v>0</v>
      </c>
      <c r="BN556">
        <f t="shared" si="174"/>
        <v>0</v>
      </c>
      <c r="BO556">
        <f t="shared" si="175"/>
        <v>0</v>
      </c>
      <c r="BP556">
        <f t="shared" si="176"/>
        <v>0</v>
      </c>
      <c r="BQ556">
        <f t="shared" si="177"/>
        <v>0</v>
      </c>
      <c r="BR556">
        <f t="shared" si="178"/>
        <v>0</v>
      </c>
      <c r="BS556">
        <f t="shared" si="179"/>
        <v>0</v>
      </c>
      <c r="BT556">
        <f t="shared" si="180"/>
        <v>0</v>
      </c>
      <c r="BU556">
        <f t="shared" si="181"/>
        <v>0</v>
      </c>
      <c r="BV556">
        <f t="shared" si="182"/>
        <v>0</v>
      </c>
      <c r="BW556">
        <f t="shared" si="183"/>
        <v>0</v>
      </c>
      <c r="CA556" t="str">
        <f>IF(357&gt;ROWS(DGArchive[模组]),"",IF(INDEX(DGArchive[模组],357)="","",INDEX(DGArchive[模组],357)))</f>
        <v/>
      </c>
      <c r="CB556" t="str">
        <f>IF(357&gt;ROWS(DGArchive[阶段]),"",IF(INDEX(DGArchive[阶段],357)="","",INDEX(DGArchive[阶段],357)))</f>
        <v/>
      </c>
      <c r="CC556" t="str">
        <f>IF(357&gt;ROWS(DGArchive[游戏内日期]),"",IF(INDEX(DGArchive[游戏内日期],357)="","",INDEX(DGArchive[游戏内日期],357)))</f>
        <v/>
      </c>
      <c r="CD556" t="str">
        <f>IF(357&gt;ROWS(DGArchive[目标]),"",IF(INDEX(DGArchive[目标],357)="","",INDEX(DGArchive[目标],357)))</f>
        <v/>
      </c>
      <c r="CE556" t="str">
        <f>IF(357&gt;ROWS(DGArchive[变更前]),"",IF(INDEX(DGArchive[变更前],357)="","",INDEX(DGArchive[变更前],357)))</f>
        <v/>
      </c>
      <c r="CF556" t="str">
        <f>IF(357&gt;ROWS(DGArchive[增减]),"",IF(INDEX(DGArchive[增减],357)="","",INDEX(DGArchive[增减],357)))</f>
        <v/>
      </c>
      <c r="CG556" t="str">
        <f>IF(357&gt;ROWS(DGArchive[变更后]),"",IF(INDEX(DGArchive[变更后],357)="","",INDEX(DGArchive[变更后],357)))</f>
        <v/>
      </c>
      <c r="CH556" t="str">
        <f>IF(357&gt;ROWS(DGArchive[事件／活动]),"",IF(INDEX(DGArchive[事件／活动],357)="","",INDEX(DGArchive[事件／活动],357)))</f>
        <v/>
      </c>
      <c r="CI556" t="str">
        <f>IF(357&gt;ROWS(DGArchive[记录编号]),"",IF(INDEX(DGArchive[记录编号],357)="","",INDEX(DGArchive[记录编号],357)))</f>
        <v/>
      </c>
      <c r="CL556">
        <f t="shared" si="164"/>
        <v>0</v>
      </c>
      <c r="CM556">
        <f>IF(AND(A556=$AO$5,B556=$AQ$3,H556=1),COUNTIFS($A$200:A556,$AO$5,$B$200:B556,$AQ$3,$H$200:H556,1),0)</f>
        <v>0</v>
      </c>
      <c r="CN556">
        <f>IF(CA556="",357,1001)</f>
        <v>357</v>
      </c>
      <c r="GA556">
        <f t="shared" si="184"/>
        <v>0</v>
      </c>
      <c r="GB556">
        <f t="shared" si="185"/>
        <v>0</v>
      </c>
      <c r="GC556">
        <f>IF(AND(C556="事件记录",H556=1),COUNTIFS($C$200:C556,"事件记录",$H$200:H556,1),0)</f>
        <v>0</v>
      </c>
      <c r="GD556">
        <f t="shared" si="165"/>
        <v>0</v>
      </c>
      <c r="GH556">
        <f>IF(AND(H556=1,A556=$GA$10,B556=$GA$11),COUNTIFS($A$200:A556,$GA$10,$B$200:B556,$GA$11,$H$200:H556,1),0)</f>
        <v>0</v>
      </c>
    </row>
    <row r="557" spans="1:190">
      <c r="A557" t="str">
        <f t="shared" si="156"/>
        <v/>
      </c>
      <c r="B557" t="str">
        <f t="shared" si="157"/>
        <v/>
      </c>
      <c r="C557" t="str">
        <f t="shared" si="158"/>
        <v/>
      </c>
      <c r="D557" t="str">
        <f t="shared" si="159"/>
        <v/>
      </c>
      <c r="E557">
        <f t="shared" si="160"/>
        <v>0</v>
      </c>
      <c r="F557" t="str">
        <f t="shared" si="161"/>
        <v/>
      </c>
      <c r="G557">
        <f t="shared" si="162"/>
        <v>0</v>
      </c>
      <c r="H557">
        <f>IF(AND(G557=1,COUNTIFS($I$200:I557,I557,$G$200:G557,1)=1),1,0)</f>
        <v>0</v>
      </c>
      <c r="I557" t="str">
        <f t="shared" si="163"/>
        <v/>
      </c>
      <c r="BF557">
        <f t="shared" si="166"/>
        <v>0</v>
      </c>
      <c r="BG557">
        <f t="shared" si="167"/>
        <v>0</v>
      </c>
      <c r="BH557">
        <f t="shared" si="168"/>
        <v>0</v>
      </c>
      <c r="BI557">
        <f t="shared" si="169"/>
        <v>0</v>
      </c>
      <c r="BJ557">
        <f t="shared" si="170"/>
        <v>0</v>
      </c>
      <c r="BK557">
        <f t="shared" si="171"/>
        <v>0</v>
      </c>
      <c r="BL557">
        <f t="shared" si="172"/>
        <v>0</v>
      </c>
      <c r="BM557">
        <f t="shared" si="173"/>
        <v>0</v>
      </c>
      <c r="BN557">
        <f t="shared" si="174"/>
        <v>0</v>
      </c>
      <c r="BO557">
        <f t="shared" si="175"/>
        <v>0</v>
      </c>
      <c r="BP557">
        <f t="shared" si="176"/>
        <v>0</v>
      </c>
      <c r="BQ557">
        <f t="shared" si="177"/>
        <v>0</v>
      </c>
      <c r="BR557">
        <f t="shared" si="178"/>
        <v>0</v>
      </c>
      <c r="BS557">
        <f t="shared" si="179"/>
        <v>0</v>
      </c>
      <c r="BT557">
        <f t="shared" si="180"/>
        <v>0</v>
      </c>
      <c r="BU557">
        <f t="shared" si="181"/>
        <v>0</v>
      </c>
      <c r="BV557">
        <f t="shared" si="182"/>
        <v>0</v>
      </c>
      <c r="BW557">
        <f t="shared" si="183"/>
        <v>0</v>
      </c>
      <c r="CA557" t="str">
        <f>IF(358&gt;ROWS(DGArchive[模组]),"",IF(INDEX(DGArchive[模组],358)="","",INDEX(DGArchive[模组],358)))</f>
        <v/>
      </c>
      <c r="CB557" t="str">
        <f>IF(358&gt;ROWS(DGArchive[阶段]),"",IF(INDEX(DGArchive[阶段],358)="","",INDEX(DGArchive[阶段],358)))</f>
        <v/>
      </c>
      <c r="CC557" t="str">
        <f>IF(358&gt;ROWS(DGArchive[游戏内日期]),"",IF(INDEX(DGArchive[游戏内日期],358)="","",INDEX(DGArchive[游戏内日期],358)))</f>
        <v/>
      </c>
      <c r="CD557" t="str">
        <f>IF(358&gt;ROWS(DGArchive[目标]),"",IF(INDEX(DGArchive[目标],358)="","",INDEX(DGArchive[目标],358)))</f>
        <v/>
      </c>
      <c r="CE557" t="str">
        <f>IF(358&gt;ROWS(DGArchive[变更前]),"",IF(INDEX(DGArchive[变更前],358)="","",INDEX(DGArchive[变更前],358)))</f>
        <v/>
      </c>
      <c r="CF557" t="str">
        <f>IF(358&gt;ROWS(DGArchive[增减]),"",IF(INDEX(DGArchive[增减],358)="","",INDEX(DGArchive[增减],358)))</f>
        <v/>
      </c>
      <c r="CG557" t="str">
        <f>IF(358&gt;ROWS(DGArchive[变更后]),"",IF(INDEX(DGArchive[变更后],358)="","",INDEX(DGArchive[变更后],358)))</f>
        <v/>
      </c>
      <c r="CH557" t="str">
        <f>IF(358&gt;ROWS(DGArchive[事件／活动]),"",IF(INDEX(DGArchive[事件／活动],358)="","",INDEX(DGArchive[事件／活动],358)))</f>
        <v/>
      </c>
      <c r="CI557" t="str">
        <f>IF(358&gt;ROWS(DGArchive[记录编号]),"",IF(INDEX(DGArchive[记录编号],358)="","",INDEX(DGArchive[记录编号],358)))</f>
        <v/>
      </c>
      <c r="CL557">
        <f t="shared" si="164"/>
        <v>0</v>
      </c>
      <c r="CM557">
        <f>IF(AND(A557=$AO$5,B557=$AQ$3,H557=1),COUNTIFS($A$200:A557,$AO$5,$B$200:B557,$AQ$3,$H$200:H557,1),0)</f>
        <v>0</v>
      </c>
      <c r="CN557">
        <f>IF(CA557="",358,1001)</f>
        <v>358</v>
      </c>
      <c r="GA557">
        <f t="shared" si="184"/>
        <v>0</v>
      </c>
      <c r="GB557">
        <f t="shared" si="185"/>
        <v>0</v>
      </c>
      <c r="GC557">
        <f>IF(AND(C557="事件记录",H557=1),COUNTIFS($C$200:C557,"事件记录",$H$200:H557,1),0)</f>
        <v>0</v>
      </c>
      <c r="GD557">
        <f t="shared" si="165"/>
        <v>0</v>
      </c>
      <c r="GH557">
        <f>IF(AND(H557=1,A557=$GA$10,B557=$GA$11),COUNTIFS($A$200:A557,$GA$10,$B$200:B557,$GA$11,$H$200:H557,1),0)</f>
        <v>0</v>
      </c>
    </row>
    <row r="558" spans="1:190">
      <c r="A558" t="str">
        <f t="shared" si="156"/>
        <v/>
      </c>
      <c r="B558" t="str">
        <f t="shared" si="157"/>
        <v/>
      </c>
      <c r="C558" t="str">
        <f t="shared" si="158"/>
        <v/>
      </c>
      <c r="D558" t="str">
        <f t="shared" si="159"/>
        <v/>
      </c>
      <c r="E558">
        <f t="shared" si="160"/>
        <v>0</v>
      </c>
      <c r="F558" t="str">
        <f t="shared" si="161"/>
        <v/>
      </c>
      <c r="G558">
        <f t="shared" si="162"/>
        <v>0</v>
      </c>
      <c r="H558">
        <f>IF(AND(G558=1,COUNTIFS($I$200:I558,I558,$G$200:G558,1)=1),1,0)</f>
        <v>0</v>
      </c>
      <c r="I558" t="str">
        <f t="shared" si="163"/>
        <v/>
      </c>
      <c r="BF558">
        <f t="shared" si="166"/>
        <v>0</v>
      </c>
      <c r="BG558">
        <f t="shared" si="167"/>
        <v>0</v>
      </c>
      <c r="BH558">
        <f t="shared" si="168"/>
        <v>0</v>
      </c>
      <c r="BI558">
        <f t="shared" si="169"/>
        <v>0</v>
      </c>
      <c r="BJ558">
        <f t="shared" si="170"/>
        <v>0</v>
      </c>
      <c r="BK558">
        <f t="shared" si="171"/>
        <v>0</v>
      </c>
      <c r="BL558">
        <f t="shared" si="172"/>
        <v>0</v>
      </c>
      <c r="BM558">
        <f t="shared" si="173"/>
        <v>0</v>
      </c>
      <c r="BN558">
        <f t="shared" si="174"/>
        <v>0</v>
      </c>
      <c r="BO558">
        <f t="shared" si="175"/>
        <v>0</v>
      </c>
      <c r="BP558">
        <f t="shared" si="176"/>
        <v>0</v>
      </c>
      <c r="BQ558">
        <f t="shared" si="177"/>
        <v>0</v>
      </c>
      <c r="BR558">
        <f t="shared" si="178"/>
        <v>0</v>
      </c>
      <c r="BS558">
        <f t="shared" si="179"/>
        <v>0</v>
      </c>
      <c r="BT558">
        <f t="shared" si="180"/>
        <v>0</v>
      </c>
      <c r="BU558">
        <f t="shared" si="181"/>
        <v>0</v>
      </c>
      <c r="BV558">
        <f t="shared" si="182"/>
        <v>0</v>
      </c>
      <c r="BW558">
        <f t="shared" si="183"/>
        <v>0</v>
      </c>
      <c r="CA558" t="str">
        <f>IF(359&gt;ROWS(DGArchive[模组]),"",IF(INDEX(DGArchive[模组],359)="","",INDEX(DGArchive[模组],359)))</f>
        <v/>
      </c>
      <c r="CB558" t="str">
        <f>IF(359&gt;ROWS(DGArchive[阶段]),"",IF(INDEX(DGArchive[阶段],359)="","",INDEX(DGArchive[阶段],359)))</f>
        <v/>
      </c>
      <c r="CC558" t="str">
        <f>IF(359&gt;ROWS(DGArchive[游戏内日期]),"",IF(INDEX(DGArchive[游戏内日期],359)="","",INDEX(DGArchive[游戏内日期],359)))</f>
        <v/>
      </c>
      <c r="CD558" t="str">
        <f>IF(359&gt;ROWS(DGArchive[目标]),"",IF(INDEX(DGArchive[目标],359)="","",INDEX(DGArchive[目标],359)))</f>
        <v/>
      </c>
      <c r="CE558" t="str">
        <f>IF(359&gt;ROWS(DGArchive[变更前]),"",IF(INDEX(DGArchive[变更前],359)="","",INDEX(DGArchive[变更前],359)))</f>
        <v/>
      </c>
      <c r="CF558" t="str">
        <f>IF(359&gt;ROWS(DGArchive[增减]),"",IF(INDEX(DGArchive[增减],359)="","",INDEX(DGArchive[增减],359)))</f>
        <v/>
      </c>
      <c r="CG558" t="str">
        <f>IF(359&gt;ROWS(DGArchive[变更后]),"",IF(INDEX(DGArchive[变更后],359)="","",INDEX(DGArchive[变更后],359)))</f>
        <v/>
      </c>
      <c r="CH558" t="str">
        <f>IF(359&gt;ROWS(DGArchive[事件／活动]),"",IF(INDEX(DGArchive[事件／活动],359)="","",INDEX(DGArchive[事件／活动],359)))</f>
        <v/>
      </c>
      <c r="CI558" t="str">
        <f>IF(359&gt;ROWS(DGArchive[记录编号]),"",IF(INDEX(DGArchive[记录编号],359)="","",INDEX(DGArchive[记录编号],359)))</f>
        <v/>
      </c>
      <c r="CL558">
        <f t="shared" si="164"/>
        <v>0</v>
      </c>
      <c r="CM558">
        <f>IF(AND(A558=$AO$5,B558=$AQ$3,H558=1),COUNTIFS($A$200:A558,$AO$5,$B$200:B558,$AQ$3,$H$200:H558,1),0)</f>
        <v>0</v>
      </c>
      <c r="CN558">
        <f>IF(CA558="",359,1001)</f>
        <v>359</v>
      </c>
      <c r="GA558">
        <f t="shared" si="184"/>
        <v>0</v>
      </c>
      <c r="GB558">
        <f t="shared" si="185"/>
        <v>0</v>
      </c>
      <c r="GC558">
        <f>IF(AND(C558="事件记录",H558=1),COUNTIFS($C$200:C558,"事件记录",$H$200:H558,1),0)</f>
        <v>0</v>
      </c>
      <c r="GD558">
        <f t="shared" si="165"/>
        <v>0</v>
      </c>
      <c r="GH558">
        <f>IF(AND(H558=1,A558=$GA$10,B558=$GA$11),COUNTIFS($A$200:A558,$GA$10,$B$200:B558,$GA$11,$H$200:H558,1),0)</f>
        <v>0</v>
      </c>
    </row>
    <row r="559" spans="1:190">
      <c r="A559" t="str">
        <f t="shared" si="156"/>
        <v/>
      </c>
      <c r="B559" t="str">
        <f t="shared" si="157"/>
        <v/>
      </c>
      <c r="C559" t="str">
        <f t="shared" si="158"/>
        <v/>
      </c>
      <c r="D559" t="str">
        <f t="shared" si="159"/>
        <v/>
      </c>
      <c r="E559">
        <f t="shared" si="160"/>
        <v>0</v>
      </c>
      <c r="F559" t="str">
        <f t="shared" si="161"/>
        <v/>
      </c>
      <c r="G559">
        <f t="shared" si="162"/>
        <v>0</v>
      </c>
      <c r="H559">
        <f>IF(AND(G559=1,COUNTIFS($I$200:I559,I559,$G$200:G559,1)=1),1,0)</f>
        <v>0</v>
      </c>
      <c r="I559" t="str">
        <f t="shared" si="163"/>
        <v/>
      </c>
      <c r="BF559">
        <f t="shared" si="166"/>
        <v>0</v>
      </c>
      <c r="BG559">
        <f t="shared" si="167"/>
        <v>0</v>
      </c>
      <c r="BH559">
        <f t="shared" si="168"/>
        <v>0</v>
      </c>
      <c r="BI559">
        <f t="shared" si="169"/>
        <v>0</v>
      </c>
      <c r="BJ559">
        <f t="shared" si="170"/>
        <v>0</v>
      </c>
      <c r="BK559">
        <f t="shared" si="171"/>
        <v>0</v>
      </c>
      <c r="BL559">
        <f t="shared" si="172"/>
        <v>0</v>
      </c>
      <c r="BM559">
        <f t="shared" si="173"/>
        <v>0</v>
      </c>
      <c r="BN559">
        <f t="shared" si="174"/>
        <v>0</v>
      </c>
      <c r="BO559">
        <f t="shared" si="175"/>
        <v>0</v>
      </c>
      <c r="BP559">
        <f t="shared" si="176"/>
        <v>0</v>
      </c>
      <c r="BQ559">
        <f t="shared" si="177"/>
        <v>0</v>
      </c>
      <c r="BR559">
        <f t="shared" si="178"/>
        <v>0</v>
      </c>
      <c r="BS559">
        <f t="shared" si="179"/>
        <v>0</v>
      </c>
      <c r="BT559">
        <f t="shared" si="180"/>
        <v>0</v>
      </c>
      <c r="BU559">
        <f t="shared" si="181"/>
        <v>0</v>
      </c>
      <c r="BV559">
        <f t="shared" si="182"/>
        <v>0</v>
      </c>
      <c r="BW559">
        <f t="shared" si="183"/>
        <v>0</v>
      </c>
      <c r="CA559" t="str">
        <f>IF(360&gt;ROWS(DGArchive[模组]),"",IF(INDEX(DGArchive[模组],360)="","",INDEX(DGArchive[模组],360)))</f>
        <v/>
      </c>
      <c r="CB559" t="str">
        <f>IF(360&gt;ROWS(DGArchive[阶段]),"",IF(INDEX(DGArchive[阶段],360)="","",INDEX(DGArchive[阶段],360)))</f>
        <v/>
      </c>
      <c r="CC559" t="str">
        <f>IF(360&gt;ROWS(DGArchive[游戏内日期]),"",IF(INDEX(DGArchive[游戏内日期],360)="","",INDEX(DGArchive[游戏内日期],360)))</f>
        <v/>
      </c>
      <c r="CD559" t="str">
        <f>IF(360&gt;ROWS(DGArchive[目标]),"",IF(INDEX(DGArchive[目标],360)="","",INDEX(DGArchive[目标],360)))</f>
        <v/>
      </c>
      <c r="CE559" t="str">
        <f>IF(360&gt;ROWS(DGArchive[变更前]),"",IF(INDEX(DGArchive[变更前],360)="","",INDEX(DGArchive[变更前],360)))</f>
        <v/>
      </c>
      <c r="CF559" t="str">
        <f>IF(360&gt;ROWS(DGArchive[增减]),"",IF(INDEX(DGArchive[增减],360)="","",INDEX(DGArchive[增减],360)))</f>
        <v/>
      </c>
      <c r="CG559" t="str">
        <f>IF(360&gt;ROWS(DGArchive[变更后]),"",IF(INDEX(DGArchive[变更后],360)="","",INDEX(DGArchive[变更后],360)))</f>
        <v/>
      </c>
      <c r="CH559" t="str">
        <f>IF(360&gt;ROWS(DGArchive[事件／活动]),"",IF(INDEX(DGArchive[事件／活动],360)="","",INDEX(DGArchive[事件／活动],360)))</f>
        <v/>
      </c>
      <c r="CI559" t="str">
        <f>IF(360&gt;ROWS(DGArchive[记录编号]),"",IF(INDEX(DGArchive[记录编号],360)="","",INDEX(DGArchive[记录编号],360)))</f>
        <v/>
      </c>
      <c r="CL559">
        <f t="shared" si="164"/>
        <v>0</v>
      </c>
      <c r="CM559">
        <f>IF(AND(A559=$AO$5,B559=$AQ$3,H559=1),COUNTIFS($A$200:A559,$AO$5,$B$200:B559,$AQ$3,$H$200:H559,1),0)</f>
        <v>0</v>
      </c>
      <c r="CN559">
        <f>IF(CA559="",360,1001)</f>
        <v>360</v>
      </c>
      <c r="GA559">
        <f t="shared" si="184"/>
        <v>0</v>
      </c>
      <c r="GB559">
        <f t="shared" si="185"/>
        <v>0</v>
      </c>
      <c r="GC559">
        <f>IF(AND(C559="事件记录",H559=1),COUNTIFS($C$200:C559,"事件记录",$H$200:H559,1),0)</f>
        <v>0</v>
      </c>
      <c r="GD559">
        <f t="shared" si="165"/>
        <v>0</v>
      </c>
      <c r="GH559">
        <f>IF(AND(H559=1,A559=$GA$10,B559=$GA$11),COUNTIFS($A$200:A559,$GA$10,$B$200:B559,$GA$11,$H$200:H559,1),0)</f>
        <v>0</v>
      </c>
    </row>
    <row r="560" spans="1:190">
      <c r="A560" t="str">
        <f t="shared" si="156"/>
        <v/>
      </c>
      <c r="B560" t="str">
        <f t="shared" si="157"/>
        <v/>
      </c>
      <c r="C560" t="str">
        <f t="shared" si="158"/>
        <v/>
      </c>
      <c r="D560" t="str">
        <f t="shared" si="159"/>
        <v/>
      </c>
      <c r="E560">
        <f t="shared" si="160"/>
        <v>0</v>
      </c>
      <c r="F560" t="str">
        <f t="shared" si="161"/>
        <v/>
      </c>
      <c r="G560">
        <f t="shared" si="162"/>
        <v>0</v>
      </c>
      <c r="H560">
        <f>IF(AND(G560=1,COUNTIFS($I$200:I560,I560,$G$200:G560,1)=1),1,0)</f>
        <v>0</v>
      </c>
      <c r="I560" t="str">
        <f t="shared" si="163"/>
        <v/>
      </c>
      <c r="BF560">
        <f t="shared" si="166"/>
        <v>0</v>
      </c>
      <c r="BG560">
        <f t="shared" si="167"/>
        <v>0</v>
      </c>
      <c r="BH560">
        <f t="shared" si="168"/>
        <v>0</v>
      </c>
      <c r="BI560">
        <f t="shared" si="169"/>
        <v>0</v>
      </c>
      <c r="BJ560">
        <f t="shared" si="170"/>
        <v>0</v>
      </c>
      <c r="BK560">
        <f t="shared" si="171"/>
        <v>0</v>
      </c>
      <c r="BL560">
        <f t="shared" si="172"/>
        <v>0</v>
      </c>
      <c r="BM560">
        <f t="shared" si="173"/>
        <v>0</v>
      </c>
      <c r="BN560">
        <f t="shared" si="174"/>
        <v>0</v>
      </c>
      <c r="BO560">
        <f t="shared" si="175"/>
        <v>0</v>
      </c>
      <c r="BP560">
        <f t="shared" si="176"/>
        <v>0</v>
      </c>
      <c r="BQ560">
        <f t="shared" si="177"/>
        <v>0</v>
      </c>
      <c r="BR560">
        <f t="shared" si="178"/>
        <v>0</v>
      </c>
      <c r="BS560">
        <f t="shared" si="179"/>
        <v>0</v>
      </c>
      <c r="BT560">
        <f t="shared" si="180"/>
        <v>0</v>
      </c>
      <c r="BU560">
        <f t="shared" si="181"/>
        <v>0</v>
      </c>
      <c r="BV560">
        <f t="shared" si="182"/>
        <v>0</v>
      </c>
      <c r="BW560">
        <f t="shared" si="183"/>
        <v>0</v>
      </c>
      <c r="CA560" t="str">
        <f>IF(361&gt;ROWS(DGArchive[模组]),"",IF(INDEX(DGArchive[模组],361)="","",INDEX(DGArchive[模组],361)))</f>
        <v/>
      </c>
      <c r="CB560" t="str">
        <f>IF(361&gt;ROWS(DGArchive[阶段]),"",IF(INDEX(DGArchive[阶段],361)="","",INDEX(DGArchive[阶段],361)))</f>
        <v/>
      </c>
      <c r="CC560" t="str">
        <f>IF(361&gt;ROWS(DGArchive[游戏内日期]),"",IF(INDEX(DGArchive[游戏内日期],361)="","",INDEX(DGArchive[游戏内日期],361)))</f>
        <v/>
      </c>
      <c r="CD560" t="str">
        <f>IF(361&gt;ROWS(DGArchive[目标]),"",IF(INDEX(DGArchive[目标],361)="","",INDEX(DGArchive[目标],361)))</f>
        <v/>
      </c>
      <c r="CE560" t="str">
        <f>IF(361&gt;ROWS(DGArchive[变更前]),"",IF(INDEX(DGArchive[变更前],361)="","",INDEX(DGArchive[变更前],361)))</f>
        <v/>
      </c>
      <c r="CF560" t="str">
        <f>IF(361&gt;ROWS(DGArchive[增减]),"",IF(INDEX(DGArchive[增减],361)="","",INDEX(DGArchive[增减],361)))</f>
        <v/>
      </c>
      <c r="CG560" t="str">
        <f>IF(361&gt;ROWS(DGArchive[变更后]),"",IF(INDEX(DGArchive[变更后],361)="","",INDEX(DGArchive[变更后],361)))</f>
        <v/>
      </c>
      <c r="CH560" t="str">
        <f>IF(361&gt;ROWS(DGArchive[事件／活动]),"",IF(INDEX(DGArchive[事件／活动],361)="","",INDEX(DGArchive[事件／活动],361)))</f>
        <v/>
      </c>
      <c r="CI560" t="str">
        <f>IF(361&gt;ROWS(DGArchive[记录编号]),"",IF(INDEX(DGArchive[记录编号],361)="","",INDEX(DGArchive[记录编号],361)))</f>
        <v/>
      </c>
      <c r="CL560">
        <f t="shared" si="164"/>
        <v>0</v>
      </c>
      <c r="CM560">
        <f>IF(AND(A560=$AO$5,B560=$AQ$3,H560=1),COUNTIFS($A$200:A560,$AO$5,$B$200:B560,$AQ$3,$H$200:H560,1),0)</f>
        <v>0</v>
      </c>
      <c r="CN560">
        <f>IF(CA560="",361,1001)</f>
        <v>361</v>
      </c>
      <c r="GA560">
        <f t="shared" si="184"/>
        <v>0</v>
      </c>
      <c r="GB560">
        <f t="shared" si="185"/>
        <v>0</v>
      </c>
      <c r="GC560">
        <f>IF(AND(C560="事件记录",H560=1),COUNTIFS($C$200:C560,"事件记录",$H$200:H560,1),0)</f>
        <v>0</v>
      </c>
      <c r="GD560">
        <f t="shared" si="165"/>
        <v>0</v>
      </c>
      <c r="GH560">
        <f>IF(AND(H560=1,A560=$GA$10,B560=$GA$11),COUNTIFS($A$200:A560,$GA$10,$B$200:B560,$GA$11,$H$200:H560,1),0)</f>
        <v>0</v>
      </c>
    </row>
    <row r="561" spans="1:190">
      <c r="A561" t="str">
        <f t="shared" si="156"/>
        <v/>
      </c>
      <c r="B561" t="str">
        <f t="shared" si="157"/>
        <v/>
      </c>
      <c r="C561" t="str">
        <f t="shared" si="158"/>
        <v/>
      </c>
      <c r="D561" t="str">
        <f t="shared" si="159"/>
        <v/>
      </c>
      <c r="E561">
        <f t="shared" si="160"/>
        <v>0</v>
      </c>
      <c r="F561" t="str">
        <f t="shared" si="161"/>
        <v/>
      </c>
      <c r="G561">
        <f t="shared" si="162"/>
        <v>0</v>
      </c>
      <c r="H561">
        <f>IF(AND(G561=1,COUNTIFS($I$200:I561,I561,$G$200:G561,1)=1),1,0)</f>
        <v>0</v>
      </c>
      <c r="I561" t="str">
        <f t="shared" si="163"/>
        <v/>
      </c>
      <c r="BF561">
        <f t="shared" si="166"/>
        <v>0</v>
      </c>
      <c r="BG561">
        <f t="shared" si="167"/>
        <v>0</v>
      </c>
      <c r="BH561">
        <f t="shared" si="168"/>
        <v>0</v>
      </c>
      <c r="BI561">
        <f t="shared" si="169"/>
        <v>0</v>
      </c>
      <c r="BJ561">
        <f t="shared" si="170"/>
        <v>0</v>
      </c>
      <c r="BK561">
        <f t="shared" si="171"/>
        <v>0</v>
      </c>
      <c r="BL561">
        <f t="shared" si="172"/>
        <v>0</v>
      </c>
      <c r="BM561">
        <f t="shared" si="173"/>
        <v>0</v>
      </c>
      <c r="BN561">
        <f t="shared" si="174"/>
        <v>0</v>
      </c>
      <c r="BO561">
        <f t="shared" si="175"/>
        <v>0</v>
      </c>
      <c r="BP561">
        <f t="shared" si="176"/>
        <v>0</v>
      </c>
      <c r="BQ561">
        <f t="shared" si="177"/>
        <v>0</v>
      </c>
      <c r="BR561">
        <f t="shared" si="178"/>
        <v>0</v>
      </c>
      <c r="BS561">
        <f t="shared" si="179"/>
        <v>0</v>
      </c>
      <c r="BT561">
        <f t="shared" si="180"/>
        <v>0</v>
      </c>
      <c r="BU561">
        <f t="shared" si="181"/>
        <v>0</v>
      </c>
      <c r="BV561">
        <f t="shared" si="182"/>
        <v>0</v>
      </c>
      <c r="BW561">
        <f t="shared" si="183"/>
        <v>0</v>
      </c>
      <c r="CA561" t="str">
        <f>IF(362&gt;ROWS(DGArchive[模组]),"",IF(INDEX(DGArchive[模组],362)="","",INDEX(DGArchive[模组],362)))</f>
        <v/>
      </c>
      <c r="CB561" t="str">
        <f>IF(362&gt;ROWS(DGArchive[阶段]),"",IF(INDEX(DGArchive[阶段],362)="","",INDEX(DGArchive[阶段],362)))</f>
        <v/>
      </c>
      <c r="CC561" t="str">
        <f>IF(362&gt;ROWS(DGArchive[游戏内日期]),"",IF(INDEX(DGArchive[游戏内日期],362)="","",INDEX(DGArchive[游戏内日期],362)))</f>
        <v/>
      </c>
      <c r="CD561" t="str">
        <f>IF(362&gt;ROWS(DGArchive[目标]),"",IF(INDEX(DGArchive[目标],362)="","",INDEX(DGArchive[目标],362)))</f>
        <v/>
      </c>
      <c r="CE561" t="str">
        <f>IF(362&gt;ROWS(DGArchive[变更前]),"",IF(INDEX(DGArchive[变更前],362)="","",INDEX(DGArchive[变更前],362)))</f>
        <v/>
      </c>
      <c r="CF561" t="str">
        <f>IF(362&gt;ROWS(DGArchive[增减]),"",IF(INDEX(DGArchive[增减],362)="","",INDEX(DGArchive[增减],362)))</f>
        <v/>
      </c>
      <c r="CG561" t="str">
        <f>IF(362&gt;ROWS(DGArchive[变更后]),"",IF(INDEX(DGArchive[变更后],362)="","",INDEX(DGArchive[变更后],362)))</f>
        <v/>
      </c>
      <c r="CH561" t="str">
        <f>IF(362&gt;ROWS(DGArchive[事件／活动]),"",IF(INDEX(DGArchive[事件／活动],362)="","",INDEX(DGArchive[事件／活动],362)))</f>
        <v/>
      </c>
      <c r="CI561" t="str">
        <f>IF(362&gt;ROWS(DGArchive[记录编号]),"",IF(INDEX(DGArchive[记录编号],362)="","",INDEX(DGArchive[记录编号],362)))</f>
        <v/>
      </c>
      <c r="CL561">
        <f t="shared" si="164"/>
        <v>0</v>
      </c>
      <c r="CM561">
        <f>IF(AND(A561=$AO$5,B561=$AQ$3,H561=1),COUNTIFS($A$200:A561,$AO$5,$B$200:B561,$AQ$3,$H$200:H561,1),0)</f>
        <v>0</v>
      </c>
      <c r="CN561">
        <f>IF(CA561="",362,1001)</f>
        <v>362</v>
      </c>
      <c r="GA561">
        <f t="shared" si="184"/>
        <v>0</v>
      </c>
      <c r="GB561">
        <f t="shared" si="185"/>
        <v>0</v>
      </c>
      <c r="GC561">
        <f>IF(AND(C561="事件记录",H561=1),COUNTIFS($C$200:C561,"事件记录",$H$200:H561,1),0)</f>
        <v>0</v>
      </c>
      <c r="GD561">
        <f t="shared" si="165"/>
        <v>0</v>
      </c>
      <c r="GH561">
        <f>IF(AND(H561=1,A561=$GA$10,B561=$GA$11),COUNTIFS($A$200:A561,$GA$10,$B$200:B561,$GA$11,$H$200:H561,1),0)</f>
        <v>0</v>
      </c>
    </row>
    <row r="562" spans="1:190">
      <c r="A562" t="str">
        <f t="shared" si="156"/>
        <v/>
      </c>
      <c r="B562" t="str">
        <f t="shared" si="157"/>
        <v/>
      </c>
      <c r="C562" t="str">
        <f t="shared" si="158"/>
        <v/>
      </c>
      <c r="D562" t="str">
        <f t="shared" si="159"/>
        <v/>
      </c>
      <c r="E562">
        <f t="shared" si="160"/>
        <v>0</v>
      </c>
      <c r="F562" t="str">
        <f t="shared" si="161"/>
        <v/>
      </c>
      <c r="G562">
        <f t="shared" si="162"/>
        <v>0</v>
      </c>
      <c r="H562">
        <f>IF(AND(G562=1,COUNTIFS($I$200:I562,I562,$G$200:G562,1)=1),1,0)</f>
        <v>0</v>
      </c>
      <c r="I562" t="str">
        <f t="shared" si="163"/>
        <v/>
      </c>
      <c r="BF562">
        <f t="shared" si="166"/>
        <v>0</v>
      </c>
      <c r="BG562">
        <f t="shared" si="167"/>
        <v>0</v>
      </c>
      <c r="BH562">
        <f t="shared" si="168"/>
        <v>0</v>
      </c>
      <c r="BI562">
        <f t="shared" si="169"/>
        <v>0</v>
      </c>
      <c r="BJ562">
        <f t="shared" si="170"/>
        <v>0</v>
      </c>
      <c r="BK562">
        <f t="shared" si="171"/>
        <v>0</v>
      </c>
      <c r="BL562">
        <f t="shared" si="172"/>
        <v>0</v>
      </c>
      <c r="BM562">
        <f t="shared" si="173"/>
        <v>0</v>
      </c>
      <c r="BN562">
        <f t="shared" si="174"/>
        <v>0</v>
      </c>
      <c r="BO562">
        <f t="shared" si="175"/>
        <v>0</v>
      </c>
      <c r="BP562">
        <f t="shared" si="176"/>
        <v>0</v>
      </c>
      <c r="BQ562">
        <f t="shared" si="177"/>
        <v>0</v>
      </c>
      <c r="BR562">
        <f t="shared" si="178"/>
        <v>0</v>
      </c>
      <c r="BS562">
        <f t="shared" si="179"/>
        <v>0</v>
      </c>
      <c r="BT562">
        <f t="shared" si="180"/>
        <v>0</v>
      </c>
      <c r="BU562">
        <f t="shared" si="181"/>
        <v>0</v>
      </c>
      <c r="BV562">
        <f t="shared" si="182"/>
        <v>0</v>
      </c>
      <c r="BW562">
        <f t="shared" si="183"/>
        <v>0</v>
      </c>
      <c r="CA562" t="str">
        <f>IF(363&gt;ROWS(DGArchive[模组]),"",IF(INDEX(DGArchive[模组],363)="","",INDEX(DGArchive[模组],363)))</f>
        <v/>
      </c>
      <c r="CB562" t="str">
        <f>IF(363&gt;ROWS(DGArchive[阶段]),"",IF(INDEX(DGArchive[阶段],363)="","",INDEX(DGArchive[阶段],363)))</f>
        <v/>
      </c>
      <c r="CC562" t="str">
        <f>IF(363&gt;ROWS(DGArchive[游戏内日期]),"",IF(INDEX(DGArchive[游戏内日期],363)="","",INDEX(DGArchive[游戏内日期],363)))</f>
        <v/>
      </c>
      <c r="CD562" t="str">
        <f>IF(363&gt;ROWS(DGArchive[目标]),"",IF(INDEX(DGArchive[目标],363)="","",INDEX(DGArchive[目标],363)))</f>
        <v/>
      </c>
      <c r="CE562" t="str">
        <f>IF(363&gt;ROWS(DGArchive[变更前]),"",IF(INDEX(DGArchive[变更前],363)="","",INDEX(DGArchive[变更前],363)))</f>
        <v/>
      </c>
      <c r="CF562" t="str">
        <f>IF(363&gt;ROWS(DGArchive[增减]),"",IF(INDEX(DGArchive[增减],363)="","",INDEX(DGArchive[增减],363)))</f>
        <v/>
      </c>
      <c r="CG562" t="str">
        <f>IF(363&gt;ROWS(DGArchive[变更后]),"",IF(INDEX(DGArchive[变更后],363)="","",INDEX(DGArchive[变更后],363)))</f>
        <v/>
      </c>
      <c r="CH562" t="str">
        <f>IF(363&gt;ROWS(DGArchive[事件／活动]),"",IF(INDEX(DGArchive[事件／活动],363)="","",INDEX(DGArchive[事件／活动],363)))</f>
        <v/>
      </c>
      <c r="CI562" t="str">
        <f>IF(363&gt;ROWS(DGArchive[记录编号]),"",IF(INDEX(DGArchive[记录编号],363)="","",INDEX(DGArchive[记录编号],363)))</f>
        <v/>
      </c>
      <c r="CL562">
        <f t="shared" si="164"/>
        <v>0</v>
      </c>
      <c r="CM562">
        <f>IF(AND(A562=$AO$5,B562=$AQ$3,H562=1),COUNTIFS($A$200:A562,$AO$5,$B$200:B562,$AQ$3,$H$200:H562,1),0)</f>
        <v>0</v>
      </c>
      <c r="CN562">
        <f>IF(CA562="",363,1001)</f>
        <v>363</v>
      </c>
      <c r="GA562">
        <f t="shared" si="184"/>
        <v>0</v>
      </c>
      <c r="GB562">
        <f t="shared" si="185"/>
        <v>0</v>
      </c>
      <c r="GC562">
        <f>IF(AND(C562="事件记录",H562=1),COUNTIFS($C$200:C562,"事件记录",$H$200:H562,1),0)</f>
        <v>0</v>
      </c>
      <c r="GD562">
        <f t="shared" si="165"/>
        <v>0</v>
      </c>
      <c r="GH562">
        <f>IF(AND(H562=1,A562=$GA$10,B562=$GA$11),COUNTIFS($A$200:A562,$GA$10,$B$200:B562,$GA$11,$H$200:H562,1),0)</f>
        <v>0</v>
      </c>
    </row>
    <row r="563" spans="1:190">
      <c r="A563" t="str">
        <f t="shared" si="156"/>
        <v/>
      </c>
      <c r="B563" t="str">
        <f t="shared" si="157"/>
        <v/>
      </c>
      <c r="C563" t="str">
        <f t="shared" si="158"/>
        <v/>
      </c>
      <c r="D563" t="str">
        <f t="shared" si="159"/>
        <v/>
      </c>
      <c r="E563">
        <f t="shared" si="160"/>
        <v>0</v>
      </c>
      <c r="F563" t="str">
        <f t="shared" si="161"/>
        <v/>
      </c>
      <c r="G563">
        <f t="shared" si="162"/>
        <v>0</v>
      </c>
      <c r="H563">
        <f>IF(AND(G563=1,COUNTIFS($I$200:I563,I563,$G$200:G563,1)=1),1,0)</f>
        <v>0</v>
      </c>
      <c r="I563" t="str">
        <f t="shared" si="163"/>
        <v/>
      </c>
      <c r="BF563">
        <f t="shared" si="166"/>
        <v>0</v>
      </c>
      <c r="BG563">
        <f t="shared" si="167"/>
        <v>0</v>
      </c>
      <c r="BH563">
        <f t="shared" si="168"/>
        <v>0</v>
      </c>
      <c r="BI563">
        <f t="shared" si="169"/>
        <v>0</v>
      </c>
      <c r="BJ563">
        <f t="shared" si="170"/>
        <v>0</v>
      </c>
      <c r="BK563">
        <f t="shared" si="171"/>
        <v>0</v>
      </c>
      <c r="BL563">
        <f t="shared" si="172"/>
        <v>0</v>
      </c>
      <c r="BM563">
        <f t="shared" si="173"/>
        <v>0</v>
      </c>
      <c r="BN563">
        <f t="shared" si="174"/>
        <v>0</v>
      </c>
      <c r="BO563">
        <f t="shared" si="175"/>
        <v>0</v>
      </c>
      <c r="BP563">
        <f t="shared" si="176"/>
        <v>0</v>
      </c>
      <c r="BQ563">
        <f t="shared" si="177"/>
        <v>0</v>
      </c>
      <c r="BR563">
        <f t="shared" si="178"/>
        <v>0</v>
      </c>
      <c r="BS563">
        <f t="shared" si="179"/>
        <v>0</v>
      </c>
      <c r="BT563">
        <f t="shared" si="180"/>
        <v>0</v>
      </c>
      <c r="BU563">
        <f t="shared" si="181"/>
        <v>0</v>
      </c>
      <c r="BV563">
        <f t="shared" si="182"/>
        <v>0</v>
      </c>
      <c r="BW563">
        <f t="shared" si="183"/>
        <v>0</v>
      </c>
      <c r="CA563" t="str">
        <f>IF(364&gt;ROWS(DGArchive[模组]),"",IF(INDEX(DGArchive[模组],364)="","",INDEX(DGArchive[模组],364)))</f>
        <v/>
      </c>
      <c r="CB563" t="str">
        <f>IF(364&gt;ROWS(DGArchive[阶段]),"",IF(INDEX(DGArchive[阶段],364)="","",INDEX(DGArchive[阶段],364)))</f>
        <v/>
      </c>
      <c r="CC563" t="str">
        <f>IF(364&gt;ROWS(DGArchive[游戏内日期]),"",IF(INDEX(DGArchive[游戏内日期],364)="","",INDEX(DGArchive[游戏内日期],364)))</f>
        <v/>
      </c>
      <c r="CD563" t="str">
        <f>IF(364&gt;ROWS(DGArchive[目标]),"",IF(INDEX(DGArchive[目标],364)="","",INDEX(DGArchive[目标],364)))</f>
        <v/>
      </c>
      <c r="CE563" t="str">
        <f>IF(364&gt;ROWS(DGArchive[变更前]),"",IF(INDEX(DGArchive[变更前],364)="","",INDEX(DGArchive[变更前],364)))</f>
        <v/>
      </c>
      <c r="CF563" t="str">
        <f>IF(364&gt;ROWS(DGArchive[增减]),"",IF(INDEX(DGArchive[增减],364)="","",INDEX(DGArchive[增减],364)))</f>
        <v/>
      </c>
      <c r="CG563" t="str">
        <f>IF(364&gt;ROWS(DGArchive[变更后]),"",IF(INDEX(DGArchive[变更后],364)="","",INDEX(DGArchive[变更后],364)))</f>
        <v/>
      </c>
      <c r="CH563" t="str">
        <f>IF(364&gt;ROWS(DGArchive[事件／活动]),"",IF(INDEX(DGArchive[事件／活动],364)="","",INDEX(DGArchive[事件／活动],364)))</f>
        <v/>
      </c>
      <c r="CI563" t="str">
        <f>IF(364&gt;ROWS(DGArchive[记录编号]),"",IF(INDEX(DGArchive[记录编号],364)="","",INDEX(DGArchive[记录编号],364)))</f>
        <v/>
      </c>
      <c r="CL563">
        <f t="shared" si="164"/>
        <v>0</v>
      </c>
      <c r="CM563">
        <f>IF(AND(A563=$AO$5,B563=$AQ$3,H563=1),COUNTIFS($A$200:A563,$AO$5,$B$200:B563,$AQ$3,$H$200:H563,1),0)</f>
        <v>0</v>
      </c>
      <c r="CN563">
        <f>IF(CA563="",364,1001)</f>
        <v>364</v>
      </c>
      <c r="GA563">
        <f t="shared" si="184"/>
        <v>0</v>
      </c>
      <c r="GB563">
        <f t="shared" si="185"/>
        <v>0</v>
      </c>
      <c r="GC563">
        <f>IF(AND(C563="事件记录",H563=1),COUNTIFS($C$200:C563,"事件记录",$H$200:H563,1),0)</f>
        <v>0</v>
      </c>
      <c r="GD563">
        <f t="shared" si="165"/>
        <v>0</v>
      </c>
      <c r="GH563">
        <f>IF(AND(H563=1,A563=$GA$10,B563=$GA$11),COUNTIFS($A$200:A563,$GA$10,$B$200:B563,$GA$11,$H$200:H563,1),0)</f>
        <v>0</v>
      </c>
    </row>
    <row r="564" spans="1:190">
      <c r="A564" t="str">
        <f t="shared" si="156"/>
        <v/>
      </c>
      <c r="B564" t="str">
        <f t="shared" si="157"/>
        <v/>
      </c>
      <c r="C564" t="str">
        <f t="shared" si="158"/>
        <v/>
      </c>
      <c r="D564" t="str">
        <f t="shared" si="159"/>
        <v/>
      </c>
      <c r="E564">
        <f t="shared" si="160"/>
        <v>0</v>
      </c>
      <c r="F564" t="str">
        <f t="shared" si="161"/>
        <v/>
      </c>
      <c r="G564">
        <f t="shared" si="162"/>
        <v>0</v>
      </c>
      <c r="H564">
        <f>IF(AND(G564=1,COUNTIFS($I$200:I564,I564,$G$200:G564,1)=1),1,0)</f>
        <v>0</v>
      </c>
      <c r="I564" t="str">
        <f t="shared" si="163"/>
        <v/>
      </c>
      <c r="BF564">
        <f t="shared" si="166"/>
        <v>0</v>
      </c>
      <c r="BG564">
        <f t="shared" si="167"/>
        <v>0</v>
      </c>
      <c r="BH564">
        <f t="shared" si="168"/>
        <v>0</v>
      </c>
      <c r="BI564">
        <f t="shared" si="169"/>
        <v>0</v>
      </c>
      <c r="BJ564">
        <f t="shared" si="170"/>
        <v>0</v>
      </c>
      <c r="BK564">
        <f t="shared" si="171"/>
        <v>0</v>
      </c>
      <c r="BL564">
        <f t="shared" si="172"/>
        <v>0</v>
      </c>
      <c r="BM564">
        <f t="shared" si="173"/>
        <v>0</v>
      </c>
      <c r="BN564">
        <f t="shared" si="174"/>
        <v>0</v>
      </c>
      <c r="BO564">
        <f t="shared" si="175"/>
        <v>0</v>
      </c>
      <c r="BP564">
        <f t="shared" si="176"/>
        <v>0</v>
      </c>
      <c r="BQ564">
        <f t="shared" si="177"/>
        <v>0</v>
      </c>
      <c r="BR564">
        <f t="shared" si="178"/>
        <v>0</v>
      </c>
      <c r="BS564">
        <f t="shared" si="179"/>
        <v>0</v>
      </c>
      <c r="BT564">
        <f t="shared" si="180"/>
        <v>0</v>
      </c>
      <c r="BU564">
        <f t="shared" si="181"/>
        <v>0</v>
      </c>
      <c r="BV564">
        <f t="shared" si="182"/>
        <v>0</v>
      </c>
      <c r="BW564">
        <f t="shared" si="183"/>
        <v>0</v>
      </c>
      <c r="CA564" t="str">
        <f>IF(365&gt;ROWS(DGArchive[模组]),"",IF(INDEX(DGArchive[模组],365)="","",INDEX(DGArchive[模组],365)))</f>
        <v/>
      </c>
      <c r="CB564" t="str">
        <f>IF(365&gt;ROWS(DGArchive[阶段]),"",IF(INDEX(DGArchive[阶段],365)="","",INDEX(DGArchive[阶段],365)))</f>
        <v/>
      </c>
      <c r="CC564" t="str">
        <f>IF(365&gt;ROWS(DGArchive[游戏内日期]),"",IF(INDEX(DGArchive[游戏内日期],365)="","",INDEX(DGArchive[游戏内日期],365)))</f>
        <v/>
      </c>
      <c r="CD564" t="str">
        <f>IF(365&gt;ROWS(DGArchive[目标]),"",IF(INDEX(DGArchive[目标],365)="","",INDEX(DGArchive[目标],365)))</f>
        <v/>
      </c>
      <c r="CE564" t="str">
        <f>IF(365&gt;ROWS(DGArchive[变更前]),"",IF(INDEX(DGArchive[变更前],365)="","",INDEX(DGArchive[变更前],365)))</f>
        <v/>
      </c>
      <c r="CF564" t="str">
        <f>IF(365&gt;ROWS(DGArchive[增减]),"",IF(INDEX(DGArchive[增减],365)="","",INDEX(DGArchive[增减],365)))</f>
        <v/>
      </c>
      <c r="CG564" t="str">
        <f>IF(365&gt;ROWS(DGArchive[变更后]),"",IF(INDEX(DGArchive[变更后],365)="","",INDEX(DGArchive[变更后],365)))</f>
        <v/>
      </c>
      <c r="CH564" t="str">
        <f>IF(365&gt;ROWS(DGArchive[事件／活动]),"",IF(INDEX(DGArchive[事件／活动],365)="","",INDEX(DGArchive[事件／活动],365)))</f>
        <v/>
      </c>
      <c r="CI564" t="str">
        <f>IF(365&gt;ROWS(DGArchive[记录编号]),"",IF(INDEX(DGArchive[记录编号],365)="","",INDEX(DGArchive[记录编号],365)))</f>
        <v/>
      </c>
      <c r="CL564">
        <f t="shared" si="164"/>
        <v>0</v>
      </c>
      <c r="CM564">
        <f>IF(AND(A564=$AO$5,B564=$AQ$3,H564=1),COUNTIFS($A$200:A564,$AO$5,$B$200:B564,$AQ$3,$H$200:H564,1),0)</f>
        <v>0</v>
      </c>
      <c r="CN564">
        <f>IF(CA564="",365,1001)</f>
        <v>365</v>
      </c>
      <c r="GA564">
        <f t="shared" si="184"/>
        <v>0</v>
      </c>
      <c r="GB564">
        <f t="shared" si="185"/>
        <v>0</v>
      </c>
      <c r="GC564">
        <f>IF(AND(C564="事件记录",H564=1),COUNTIFS($C$200:C564,"事件记录",$H$200:H564,1),0)</f>
        <v>0</v>
      </c>
      <c r="GD564">
        <f t="shared" si="165"/>
        <v>0</v>
      </c>
      <c r="GH564">
        <f>IF(AND(H564=1,A564=$GA$10,B564=$GA$11),COUNTIFS($A$200:A564,$GA$10,$B$200:B564,$GA$11,$H$200:H564,1),0)</f>
        <v>0</v>
      </c>
    </row>
    <row r="565" spans="1:190">
      <c r="A565" t="str">
        <f t="shared" si="156"/>
        <v/>
      </c>
      <c r="B565" t="str">
        <f t="shared" si="157"/>
        <v/>
      </c>
      <c r="C565" t="str">
        <f t="shared" si="158"/>
        <v/>
      </c>
      <c r="D565" t="str">
        <f t="shared" si="159"/>
        <v/>
      </c>
      <c r="E565">
        <f t="shared" si="160"/>
        <v>0</v>
      </c>
      <c r="F565" t="str">
        <f t="shared" si="161"/>
        <v/>
      </c>
      <c r="G565">
        <f t="shared" si="162"/>
        <v>0</v>
      </c>
      <c r="H565">
        <f>IF(AND(G565=1,COUNTIFS($I$200:I565,I565,$G$200:G565,1)=1),1,0)</f>
        <v>0</v>
      </c>
      <c r="I565" t="str">
        <f t="shared" si="163"/>
        <v/>
      </c>
      <c r="BF565">
        <f t="shared" si="166"/>
        <v>0</v>
      </c>
      <c r="BG565">
        <f t="shared" si="167"/>
        <v>0</v>
      </c>
      <c r="BH565">
        <f t="shared" si="168"/>
        <v>0</v>
      </c>
      <c r="BI565">
        <f t="shared" si="169"/>
        <v>0</v>
      </c>
      <c r="BJ565">
        <f t="shared" si="170"/>
        <v>0</v>
      </c>
      <c r="BK565">
        <f t="shared" si="171"/>
        <v>0</v>
      </c>
      <c r="BL565">
        <f t="shared" si="172"/>
        <v>0</v>
      </c>
      <c r="BM565">
        <f t="shared" si="173"/>
        <v>0</v>
      </c>
      <c r="BN565">
        <f t="shared" si="174"/>
        <v>0</v>
      </c>
      <c r="BO565">
        <f t="shared" si="175"/>
        <v>0</v>
      </c>
      <c r="BP565">
        <f t="shared" si="176"/>
        <v>0</v>
      </c>
      <c r="BQ565">
        <f t="shared" si="177"/>
        <v>0</v>
      </c>
      <c r="BR565">
        <f t="shared" si="178"/>
        <v>0</v>
      </c>
      <c r="BS565">
        <f t="shared" si="179"/>
        <v>0</v>
      </c>
      <c r="BT565">
        <f t="shared" si="180"/>
        <v>0</v>
      </c>
      <c r="BU565">
        <f t="shared" si="181"/>
        <v>0</v>
      </c>
      <c r="BV565">
        <f t="shared" si="182"/>
        <v>0</v>
      </c>
      <c r="BW565">
        <f t="shared" si="183"/>
        <v>0</v>
      </c>
      <c r="CA565" t="str">
        <f>IF(366&gt;ROWS(DGArchive[模组]),"",IF(INDEX(DGArchive[模组],366)="","",INDEX(DGArchive[模组],366)))</f>
        <v/>
      </c>
      <c r="CB565" t="str">
        <f>IF(366&gt;ROWS(DGArchive[阶段]),"",IF(INDEX(DGArchive[阶段],366)="","",INDEX(DGArchive[阶段],366)))</f>
        <v/>
      </c>
      <c r="CC565" t="str">
        <f>IF(366&gt;ROWS(DGArchive[游戏内日期]),"",IF(INDEX(DGArchive[游戏内日期],366)="","",INDEX(DGArchive[游戏内日期],366)))</f>
        <v/>
      </c>
      <c r="CD565" t="str">
        <f>IF(366&gt;ROWS(DGArchive[目标]),"",IF(INDEX(DGArchive[目标],366)="","",INDEX(DGArchive[目标],366)))</f>
        <v/>
      </c>
      <c r="CE565" t="str">
        <f>IF(366&gt;ROWS(DGArchive[变更前]),"",IF(INDEX(DGArchive[变更前],366)="","",INDEX(DGArchive[变更前],366)))</f>
        <v/>
      </c>
      <c r="CF565" t="str">
        <f>IF(366&gt;ROWS(DGArchive[增减]),"",IF(INDEX(DGArchive[增减],366)="","",INDEX(DGArchive[增减],366)))</f>
        <v/>
      </c>
      <c r="CG565" t="str">
        <f>IF(366&gt;ROWS(DGArchive[变更后]),"",IF(INDEX(DGArchive[变更后],366)="","",INDEX(DGArchive[变更后],366)))</f>
        <v/>
      </c>
      <c r="CH565" t="str">
        <f>IF(366&gt;ROWS(DGArchive[事件／活动]),"",IF(INDEX(DGArchive[事件／活动],366)="","",INDEX(DGArchive[事件／活动],366)))</f>
        <v/>
      </c>
      <c r="CI565" t="str">
        <f>IF(366&gt;ROWS(DGArchive[记录编号]),"",IF(INDEX(DGArchive[记录编号],366)="","",INDEX(DGArchive[记录编号],366)))</f>
        <v/>
      </c>
      <c r="CL565">
        <f t="shared" si="164"/>
        <v>0</v>
      </c>
      <c r="CM565">
        <f>IF(AND(A565=$AO$5,B565=$AQ$3,H565=1),COUNTIFS($A$200:A565,$AO$5,$B$200:B565,$AQ$3,$H$200:H565,1),0)</f>
        <v>0</v>
      </c>
      <c r="CN565">
        <f>IF(CA565="",366,1001)</f>
        <v>366</v>
      </c>
      <c r="GA565">
        <f t="shared" si="184"/>
        <v>0</v>
      </c>
      <c r="GB565">
        <f t="shared" si="185"/>
        <v>0</v>
      </c>
      <c r="GC565">
        <f>IF(AND(C565="事件记录",H565=1),COUNTIFS($C$200:C565,"事件记录",$H$200:H565,1),0)</f>
        <v>0</v>
      </c>
      <c r="GD565">
        <f t="shared" si="165"/>
        <v>0</v>
      </c>
      <c r="GH565">
        <f>IF(AND(H565=1,A565=$GA$10,B565=$GA$11),COUNTIFS($A$200:A565,$GA$10,$B$200:B565,$GA$11,$H$200:H565,1),0)</f>
        <v>0</v>
      </c>
    </row>
    <row r="566" spans="1:190">
      <c r="A566" t="str">
        <f t="shared" si="156"/>
        <v/>
      </c>
      <c r="B566" t="str">
        <f t="shared" si="157"/>
        <v/>
      </c>
      <c r="C566" t="str">
        <f t="shared" si="158"/>
        <v/>
      </c>
      <c r="D566" t="str">
        <f t="shared" si="159"/>
        <v/>
      </c>
      <c r="E566">
        <f t="shared" si="160"/>
        <v>0</v>
      </c>
      <c r="F566" t="str">
        <f t="shared" si="161"/>
        <v/>
      </c>
      <c r="G566">
        <f t="shared" si="162"/>
        <v>0</v>
      </c>
      <c r="H566">
        <f>IF(AND(G566=1,COUNTIFS($I$200:I566,I566,$G$200:G566,1)=1),1,0)</f>
        <v>0</v>
      </c>
      <c r="I566" t="str">
        <f t="shared" si="163"/>
        <v/>
      </c>
      <c r="BF566">
        <f t="shared" si="166"/>
        <v>0</v>
      </c>
      <c r="BG566">
        <f t="shared" si="167"/>
        <v>0</v>
      </c>
      <c r="BH566">
        <f t="shared" si="168"/>
        <v>0</v>
      </c>
      <c r="BI566">
        <f t="shared" si="169"/>
        <v>0</v>
      </c>
      <c r="BJ566">
        <f t="shared" si="170"/>
        <v>0</v>
      </c>
      <c r="BK566">
        <f t="shared" si="171"/>
        <v>0</v>
      </c>
      <c r="BL566">
        <f t="shared" si="172"/>
        <v>0</v>
      </c>
      <c r="BM566">
        <f t="shared" si="173"/>
        <v>0</v>
      </c>
      <c r="BN566">
        <f t="shared" si="174"/>
        <v>0</v>
      </c>
      <c r="BO566">
        <f t="shared" si="175"/>
        <v>0</v>
      </c>
      <c r="BP566">
        <f t="shared" si="176"/>
        <v>0</v>
      </c>
      <c r="BQ566">
        <f t="shared" si="177"/>
        <v>0</v>
      </c>
      <c r="BR566">
        <f t="shared" si="178"/>
        <v>0</v>
      </c>
      <c r="BS566">
        <f t="shared" si="179"/>
        <v>0</v>
      </c>
      <c r="BT566">
        <f t="shared" si="180"/>
        <v>0</v>
      </c>
      <c r="BU566">
        <f t="shared" si="181"/>
        <v>0</v>
      </c>
      <c r="BV566">
        <f t="shared" si="182"/>
        <v>0</v>
      </c>
      <c r="BW566">
        <f t="shared" si="183"/>
        <v>0</v>
      </c>
      <c r="CA566" t="str">
        <f>IF(367&gt;ROWS(DGArchive[模组]),"",IF(INDEX(DGArchive[模组],367)="","",INDEX(DGArchive[模组],367)))</f>
        <v/>
      </c>
      <c r="CB566" t="str">
        <f>IF(367&gt;ROWS(DGArchive[阶段]),"",IF(INDEX(DGArchive[阶段],367)="","",INDEX(DGArchive[阶段],367)))</f>
        <v/>
      </c>
      <c r="CC566" t="str">
        <f>IF(367&gt;ROWS(DGArchive[游戏内日期]),"",IF(INDEX(DGArchive[游戏内日期],367)="","",INDEX(DGArchive[游戏内日期],367)))</f>
        <v/>
      </c>
      <c r="CD566" t="str">
        <f>IF(367&gt;ROWS(DGArchive[目标]),"",IF(INDEX(DGArchive[目标],367)="","",INDEX(DGArchive[目标],367)))</f>
        <v/>
      </c>
      <c r="CE566" t="str">
        <f>IF(367&gt;ROWS(DGArchive[变更前]),"",IF(INDEX(DGArchive[变更前],367)="","",INDEX(DGArchive[变更前],367)))</f>
        <v/>
      </c>
      <c r="CF566" t="str">
        <f>IF(367&gt;ROWS(DGArchive[增减]),"",IF(INDEX(DGArchive[增减],367)="","",INDEX(DGArchive[增减],367)))</f>
        <v/>
      </c>
      <c r="CG566" t="str">
        <f>IF(367&gt;ROWS(DGArchive[变更后]),"",IF(INDEX(DGArchive[变更后],367)="","",INDEX(DGArchive[变更后],367)))</f>
        <v/>
      </c>
      <c r="CH566" t="str">
        <f>IF(367&gt;ROWS(DGArchive[事件／活动]),"",IF(INDEX(DGArchive[事件／活动],367)="","",INDEX(DGArchive[事件／活动],367)))</f>
        <v/>
      </c>
      <c r="CI566" t="str">
        <f>IF(367&gt;ROWS(DGArchive[记录编号]),"",IF(INDEX(DGArchive[记录编号],367)="","",INDEX(DGArchive[记录编号],367)))</f>
        <v/>
      </c>
      <c r="CL566">
        <f t="shared" si="164"/>
        <v>0</v>
      </c>
      <c r="CM566">
        <f>IF(AND(A566=$AO$5,B566=$AQ$3,H566=1),COUNTIFS($A$200:A566,$AO$5,$B$200:B566,$AQ$3,$H$200:H566,1),0)</f>
        <v>0</v>
      </c>
      <c r="CN566">
        <f>IF(CA566="",367,1001)</f>
        <v>367</v>
      </c>
      <c r="GA566">
        <f t="shared" si="184"/>
        <v>0</v>
      </c>
      <c r="GB566">
        <f t="shared" si="185"/>
        <v>0</v>
      </c>
      <c r="GC566">
        <f>IF(AND(C566="事件记录",H566=1),COUNTIFS($C$200:C566,"事件记录",$H$200:H566,1),0)</f>
        <v>0</v>
      </c>
      <c r="GD566">
        <f t="shared" si="165"/>
        <v>0</v>
      </c>
      <c r="GH566">
        <f>IF(AND(H566=1,A566=$GA$10,B566=$GA$11),COUNTIFS($A$200:A566,$GA$10,$B$200:B566,$GA$11,$H$200:H566,1),0)</f>
        <v>0</v>
      </c>
    </row>
    <row r="567" spans="1:190">
      <c r="A567" t="str">
        <f t="shared" si="156"/>
        <v/>
      </c>
      <c r="B567" t="str">
        <f t="shared" si="157"/>
        <v/>
      </c>
      <c r="C567" t="str">
        <f t="shared" si="158"/>
        <v/>
      </c>
      <c r="D567" t="str">
        <f t="shared" si="159"/>
        <v/>
      </c>
      <c r="E567">
        <f t="shared" si="160"/>
        <v>0</v>
      </c>
      <c r="F567" t="str">
        <f t="shared" si="161"/>
        <v/>
      </c>
      <c r="G567">
        <f t="shared" si="162"/>
        <v>0</v>
      </c>
      <c r="H567">
        <f>IF(AND(G567=1,COUNTIFS($I$200:I567,I567,$G$200:G567,1)=1),1,0)</f>
        <v>0</v>
      </c>
      <c r="I567" t="str">
        <f t="shared" si="163"/>
        <v/>
      </c>
      <c r="BF567">
        <f t="shared" si="166"/>
        <v>0</v>
      </c>
      <c r="BG567">
        <f t="shared" si="167"/>
        <v>0</v>
      </c>
      <c r="BH567">
        <f t="shared" si="168"/>
        <v>0</v>
      </c>
      <c r="BI567">
        <f t="shared" si="169"/>
        <v>0</v>
      </c>
      <c r="BJ567">
        <f t="shared" si="170"/>
        <v>0</v>
      </c>
      <c r="BK567">
        <f t="shared" si="171"/>
        <v>0</v>
      </c>
      <c r="BL567">
        <f t="shared" si="172"/>
        <v>0</v>
      </c>
      <c r="BM567">
        <f t="shared" si="173"/>
        <v>0</v>
      </c>
      <c r="BN567">
        <f t="shared" si="174"/>
        <v>0</v>
      </c>
      <c r="BO567">
        <f t="shared" si="175"/>
        <v>0</v>
      </c>
      <c r="BP567">
        <f t="shared" si="176"/>
        <v>0</v>
      </c>
      <c r="BQ567">
        <f t="shared" si="177"/>
        <v>0</v>
      </c>
      <c r="BR567">
        <f t="shared" si="178"/>
        <v>0</v>
      </c>
      <c r="BS567">
        <f t="shared" si="179"/>
        <v>0</v>
      </c>
      <c r="BT567">
        <f t="shared" si="180"/>
        <v>0</v>
      </c>
      <c r="BU567">
        <f t="shared" si="181"/>
        <v>0</v>
      </c>
      <c r="BV567">
        <f t="shared" si="182"/>
        <v>0</v>
      </c>
      <c r="BW567">
        <f t="shared" si="183"/>
        <v>0</v>
      </c>
      <c r="CA567" t="str">
        <f>IF(368&gt;ROWS(DGArchive[模组]),"",IF(INDEX(DGArchive[模组],368)="","",INDEX(DGArchive[模组],368)))</f>
        <v/>
      </c>
      <c r="CB567" t="str">
        <f>IF(368&gt;ROWS(DGArchive[阶段]),"",IF(INDEX(DGArchive[阶段],368)="","",INDEX(DGArchive[阶段],368)))</f>
        <v/>
      </c>
      <c r="CC567" t="str">
        <f>IF(368&gt;ROWS(DGArchive[游戏内日期]),"",IF(INDEX(DGArchive[游戏内日期],368)="","",INDEX(DGArchive[游戏内日期],368)))</f>
        <v/>
      </c>
      <c r="CD567" t="str">
        <f>IF(368&gt;ROWS(DGArchive[目标]),"",IF(INDEX(DGArchive[目标],368)="","",INDEX(DGArchive[目标],368)))</f>
        <v/>
      </c>
      <c r="CE567" t="str">
        <f>IF(368&gt;ROWS(DGArchive[变更前]),"",IF(INDEX(DGArchive[变更前],368)="","",INDEX(DGArchive[变更前],368)))</f>
        <v/>
      </c>
      <c r="CF567" t="str">
        <f>IF(368&gt;ROWS(DGArchive[增减]),"",IF(INDEX(DGArchive[增减],368)="","",INDEX(DGArchive[增减],368)))</f>
        <v/>
      </c>
      <c r="CG567" t="str">
        <f>IF(368&gt;ROWS(DGArchive[变更后]),"",IF(INDEX(DGArchive[变更后],368)="","",INDEX(DGArchive[变更后],368)))</f>
        <v/>
      </c>
      <c r="CH567" t="str">
        <f>IF(368&gt;ROWS(DGArchive[事件／活动]),"",IF(INDEX(DGArchive[事件／活动],368)="","",INDEX(DGArchive[事件／活动],368)))</f>
        <v/>
      </c>
      <c r="CI567" t="str">
        <f>IF(368&gt;ROWS(DGArchive[记录编号]),"",IF(INDEX(DGArchive[记录编号],368)="","",INDEX(DGArchive[记录编号],368)))</f>
        <v/>
      </c>
      <c r="CL567">
        <f t="shared" si="164"/>
        <v>0</v>
      </c>
      <c r="CM567">
        <f>IF(AND(A567=$AO$5,B567=$AQ$3,H567=1),COUNTIFS($A$200:A567,$AO$5,$B$200:B567,$AQ$3,$H$200:H567,1),0)</f>
        <v>0</v>
      </c>
      <c r="CN567">
        <f>IF(CA567="",368,1001)</f>
        <v>368</v>
      </c>
      <c r="GA567">
        <f t="shared" si="184"/>
        <v>0</v>
      </c>
      <c r="GB567">
        <f t="shared" si="185"/>
        <v>0</v>
      </c>
      <c r="GC567">
        <f>IF(AND(C567="事件记录",H567=1),COUNTIFS($C$200:C567,"事件记录",$H$200:H567,1),0)</f>
        <v>0</v>
      </c>
      <c r="GD567">
        <f t="shared" si="165"/>
        <v>0</v>
      </c>
      <c r="GH567">
        <f>IF(AND(H567=1,A567=$GA$10,B567=$GA$11),COUNTIFS($A$200:A567,$GA$10,$B$200:B567,$GA$11,$H$200:H567,1),0)</f>
        <v>0</v>
      </c>
    </row>
    <row r="568" spans="1:190">
      <c r="A568" t="str">
        <f t="shared" si="156"/>
        <v/>
      </c>
      <c r="B568" t="str">
        <f t="shared" si="157"/>
        <v/>
      </c>
      <c r="C568" t="str">
        <f t="shared" si="158"/>
        <v/>
      </c>
      <c r="D568" t="str">
        <f t="shared" si="159"/>
        <v/>
      </c>
      <c r="E568">
        <f t="shared" si="160"/>
        <v>0</v>
      </c>
      <c r="F568" t="str">
        <f t="shared" si="161"/>
        <v/>
      </c>
      <c r="G568">
        <f t="shared" si="162"/>
        <v>0</v>
      </c>
      <c r="H568">
        <f>IF(AND(G568=1,COUNTIFS($I$200:I568,I568,$G$200:G568,1)=1),1,0)</f>
        <v>0</v>
      </c>
      <c r="I568" t="str">
        <f t="shared" si="163"/>
        <v/>
      </c>
      <c r="BF568">
        <f t="shared" si="166"/>
        <v>0</v>
      </c>
      <c r="BG568">
        <f t="shared" si="167"/>
        <v>0</v>
      </c>
      <c r="BH568">
        <f t="shared" si="168"/>
        <v>0</v>
      </c>
      <c r="BI568">
        <f t="shared" si="169"/>
        <v>0</v>
      </c>
      <c r="BJ568">
        <f t="shared" si="170"/>
        <v>0</v>
      </c>
      <c r="BK568">
        <f t="shared" si="171"/>
        <v>0</v>
      </c>
      <c r="BL568">
        <f t="shared" si="172"/>
        <v>0</v>
      </c>
      <c r="BM568">
        <f t="shared" si="173"/>
        <v>0</v>
      </c>
      <c r="BN568">
        <f t="shared" si="174"/>
        <v>0</v>
      </c>
      <c r="BO568">
        <f t="shared" si="175"/>
        <v>0</v>
      </c>
      <c r="BP568">
        <f t="shared" si="176"/>
        <v>0</v>
      </c>
      <c r="BQ568">
        <f t="shared" si="177"/>
        <v>0</v>
      </c>
      <c r="BR568">
        <f t="shared" si="178"/>
        <v>0</v>
      </c>
      <c r="BS568">
        <f t="shared" si="179"/>
        <v>0</v>
      </c>
      <c r="BT568">
        <f t="shared" si="180"/>
        <v>0</v>
      </c>
      <c r="BU568">
        <f t="shared" si="181"/>
        <v>0</v>
      </c>
      <c r="BV568">
        <f t="shared" si="182"/>
        <v>0</v>
      </c>
      <c r="BW568">
        <f t="shared" si="183"/>
        <v>0</v>
      </c>
      <c r="CA568" t="str">
        <f>IF(369&gt;ROWS(DGArchive[模组]),"",IF(INDEX(DGArchive[模组],369)="","",INDEX(DGArchive[模组],369)))</f>
        <v/>
      </c>
      <c r="CB568" t="str">
        <f>IF(369&gt;ROWS(DGArchive[阶段]),"",IF(INDEX(DGArchive[阶段],369)="","",INDEX(DGArchive[阶段],369)))</f>
        <v/>
      </c>
      <c r="CC568" t="str">
        <f>IF(369&gt;ROWS(DGArchive[游戏内日期]),"",IF(INDEX(DGArchive[游戏内日期],369)="","",INDEX(DGArchive[游戏内日期],369)))</f>
        <v/>
      </c>
      <c r="CD568" t="str">
        <f>IF(369&gt;ROWS(DGArchive[目标]),"",IF(INDEX(DGArchive[目标],369)="","",INDEX(DGArchive[目标],369)))</f>
        <v/>
      </c>
      <c r="CE568" t="str">
        <f>IF(369&gt;ROWS(DGArchive[变更前]),"",IF(INDEX(DGArchive[变更前],369)="","",INDEX(DGArchive[变更前],369)))</f>
        <v/>
      </c>
      <c r="CF568" t="str">
        <f>IF(369&gt;ROWS(DGArchive[增减]),"",IF(INDEX(DGArchive[增减],369)="","",INDEX(DGArchive[增减],369)))</f>
        <v/>
      </c>
      <c r="CG568" t="str">
        <f>IF(369&gt;ROWS(DGArchive[变更后]),"",IF(INDEX(DGArchive[变更后],369)="","",INDEX(DGArchive[变更后],369)))</f>
        <v/>
      </c>
      <c r="CH568" t="str">
        <f>IF(369&gt;ROWS(DGArchive[事件／活动]),"",IF(INDEX(DGArchive[事件／活动],369)="","",INDEX(DGArchive[事件／活动],369)))</f>
        <v/>
      </c>
      <c r="CI568" t="str">
        <f>IF(369&gt;ROWS(DGArchive[记录编号]),"",IF(INDEX(DGArchive[记录编号],369)="","",INDEX(DGArchive[记录编号],369)))</f>
        <v/>
      </c>
      <c r="CL568">
        <f t="shared" si="164"/>
        <v>0</v>
      </c>
      <c r="CM568">
        <f>IF(AND(A568=$AO$5,B568=$AQ$3,H568=1),COUNTIFS($A$200:A568,$AO$5,$B$200:B568,$AQ$3,$H$200:H568,1),0)</f>
        <v>0</v>
      </c>
      <c r="CN568">
        <f>IF(CA568="",369,1001)</f>
        <v>369</v>
      </c>
      <c r="GA568">
        <f t="shared" si="184"/>
        <v>0</v>
      </c>
      <c r="GB568">
        <f t="shared" si="185"/>
        <v>0</v>
      </c>
      <c r="GC568">
        <f>IF(AND(C568="事件记录",H568=1),COUNTIFS($C$200:C568,"事件记录",$H$200:H568,1),0)</f>
        <v>0</v>
      </c>
      <c r="GD568">
        <f t="shared" si="165"/>
        <v>0</v>
      </c>
      <c r="GH568">
        <f>IF(AND(H568=1,A568=$GA$10,B568=$GA$11),COUNTIFS($A$200:A568,$GA$10,$B$200:B568,$GA$11,$H$200:H568,1),0)</f>
        <v>0</v>
      </c>
    </row>
    <row r="569" spans="1:190">
      <c r="A569" t="str">
        <f t="shared" si="156"/>
        <v/>
      </c>
      <c r="B569" t="str">
        <f t="shared" si="157"/>
        <v/>
      </c>
      <c r="C569" t="str">
        <f t="shared" si="158"/>
        <v/>
      </c>
      <c r="D569" t="str">
        <f t="shared" si="159"/>
        <v/>
      </c>
      <c r="E569">
        <f t="shared" si="160"/>
        <v>0</v>
      </c>
      <c r="F569" t="str">
        <f t="shared" si="161"/>
        <v/>
      </c>
      <c r="G569">
        <f t="shared" si="162"/>
        <v>0</v>
      </c>
      <c r="H569">
        <f>IF(AND(G569=1,COUNTIFS($I$200:I569,I569,$G$200:G569,1)=1),1,0)</f>
        <v>0</v>
      </c>
      <c r="I569" t="str">
        <f t="shared" si="163"/>
        <v/>
      </c>
      <c r="BF569">
        <f t="shared" si="166"/>
        <v>0</v>
      </c>
      <c r="BG569">
        <f t="shared" si="167"/>
        <v>0</v>
      </c>
      <c r="BH569">
        <f t="shared" si="168"/>
        <v>0</v>
      </c>
      <c r="BI569">
        <f t="shared" si="169"/>
        <v>0</v>
      </c>
      <c r="BJ569">
        <f t="shared" si="170"/>
        <v>0</v>
      </c>
      <c r="BK569">
        <f t="shared" si="171"/>
        <v>0</v>
      </c>
      <c r="BL569">
        <f t="shared" si="172"/>
        <v>0</v>
      </c>
      <c r="BM569">
        <f t="shared" si="173"/>
        <v>0</v>
      </c>
      <c r="BN569">
        <f t="shared" si="174"/>
        <v>0</v>
      </c>
      <c r="BO569">
        <f t="shared" si="175"/>
        <v>0</v>
      </c>
      <c r="BP569">
        <f t="shared" si="176"/>
        <v>0</v>
      </c>
      <c r="BQ569">
        <f t="shared" si="177"/>
        <v>0</v>
      </c>
      <c r="BR569">
        <f t="shared" si="178"/>
        <v>0</v>
      </c>
      <c r="BS569">
        <f t="shared" si="179"/>
        <v>0</v>
      </c>
      <c r="BT569">
        <f t="shared" si="180"/>
        <v>0</v>
      </c>
      <c r="BU569">
        <f t="shared" si="181"/>
        <v>0</v>
      </c>
      <c r="BV569">
        <f t="shared" si="182"/>
        <v>0</v>
      </c>
      <c r="BW569">
        <f t="shared" si="183"/>
        <v>0</v>
      </c>
      <c r="CA569" t="str">
        <f>IF(370&gt;ROWS(DGArchive[模组]),"",IF(INDEX(DGArchive[模组],370)="","",INDEX(DGArchive[模组],370)))</f>
        <v/>
      </c>
      <c r="CB569" t="str">
        <f>IF(370&gt;ROWS(DGArchive[阶段]),"",IF(INDEX(DGArchive[阶段],370)="","",INDEX(DGArchive[阶段],370)))</f>
        <v/>
      </c>
      <c r="CC569" t="str">
        <f>IF(370&gt;ROWS(DGArchive[游戏内日期]),"",IF(INDEX(DGArchive[游戏内日期],370)="","",INDEX(DGArchive[游戏内日期],370)))</f>
        <v/>
      </c>
      <c r="CD569" t="str">
        <f>IF(370&gt;ROWS(DGArchive[目标]),"",IF(INDEX(DGArchive[目标],370)="","",INDEX(DGArchive[目标],370)))</f>
        <v/>
      </c>
      <c r="CE569" t="str">
        <f>IF(370&gt;ROWS(DGArchive[变更前]),"",IF(INDEX(DGArchive[变更前],370)="","",INDEX(DGArchive[变更前],370)))</f>
        <v/>
      </c>
      <c r="CF569" t="str">
        <f>IF(370&gt;ROWS(DGArchive[增减]),"",IF(INDEX(DGArchive[增减],370)="","",INDEX(DGArchive[增减],370)))</f>
        <v/>
      </c>
      <c r="CG569" t="str">
        <f>IF(370&gt;ROWS(DGArchive[变更后]),"",IF(INDEX(DGArchive[变更后],370)="","",INDEX(DGArchive[变更后],370)))</f>
        <v/>
      </c>
      <c r="CH569" t="str">
        <f>IF(370&gt;ROWS(DGArchive[事件／活动]),"",IF(INDEX(DGArchive[事件／活动],370)="","",INDEX(DGArchive[事件／活动],370)))</f>
        <v/>
      </c>
      <c r="CI569" t="str">
        <f>IF(370&gt;ROWS(DGArchive[记录编号]),"",IF(INDEX(DGArchive[记录编号],370)="","",INDEX(DGArchive[记录编号],370)))</f>
        <v/>
      </c>
      <c r="CL569">
        <f t="shared" si="164"/>
        <v>0</v>
      </c>
      <c r="CM569">
        <f>IF(AND(A569=$AO$5,B569=$AQ$3,H569=1),COUNTIFS($A$200:A569,$AO$5,$B$200:B569,$AQ$3,$H$200:H569,1),0)</f>
        <v>0</v>
      </c>
      <c r="CN569">
        <f>IF(CA569="",370,1001)</f>
        <v>370</v>
      </c>
      <c r="GA569">
        <f t="shared" si="184"/>
        <v>0</v>
      </c>
      <c r="GB569">
        <f t="shared" si="185"/>
        <v>0</v>
      </c>
      <c r="GC569">
        <f>IF(AND(C569="事件记录",H569=1),COUNTIFS($C$200:C569,"事件记录",$H$200:H569,1),0)</f>
        <v>0</v>
      </c>
      <c r="GD569">
        <f t="shared" si="165"/>
        <v>0</v>
      </c>
      <c r="GH569">
        <f>IF(AND(H569=1,A569=$GA$10,B569=$GA$11),COUNTIFS($A$200:A569,$GA$10,$B$200:B569,$GA$11,$H$200:H569,1),0)</f>
        <v>0</v>
      </c>
    </row>
    <row r="570" spans="1:190">
      <c r="A570" t="str">
        <f t="shared" si="156"/>
        <v/>
      </c>
      <c r="B570" t="str">
        <f t="shared" si="157"/>
        <v/>
      </c>
      <c r="C570" t="str">
        <f t="shared" si="158"/>
        <v/>
      </c>
      <c r="D570" t="str">
        <f t="shared" si="159"/>
        <v/>
      </c>
      <c r="E570">
        <f t="shared" si="160"/>
        <v>0</v>
      </c>
      <c r="F570" t="str">
        <f t="shared" si="161"/>
        <v/>
      </c>
      <c r="G570">
        <f t="shared" si="162"/>
        <v>0</v>
      </c>
      <c r="H570">
        <f>IF(AND(G570=1,COUNTIFS($I$200:I570,I570,$G$200:G570,1)=1),1,0)</f>
        <v>0</v>
      </c>
      <c r="I570" t="str">
        <f t="shared" si="163"/>
        <v/>
      </c>
      <c r="BF570">
        <f t="shared" si="166"/>
        <v>0</v>
      </c>
      <c r="BG570">
        <f t="shared" si="167"/>
        <v>0</v>
      </c>
      <c r="BH570">
        <f t="shared" si="168"/>
        <v>0</v>
      </c>
      <c r="BI570">
        <f t="shared" si="169"/>
        <v>0</v>
      </c>
      <c r="BJ570">
        <f t="shared" si="170"/>
        <v>0</v>
      </c>
      <c r="BK570">
        <f t="shared" si="171"/>
        <v>0</v>
      </c>
      <c r="BL570">
        <f t="shared" si="172"/>
        <v>0</v>
      </c>
      <c r="BM570">
        <f t="shared" si="173"/>
        <v>0</v>
      </c>
      <c r="BN570">
        <f t="shared" si="174"/>
        <v>0</v>
      </c>
      <c r="BO570">
        <f t="shared" si="175"/>
        <v>0</v>
      </c>
      <c r="BP570">
        <f t="shared" si="176"/>
        <v>0</v>
      </c>
      <c r="BQ570">
        <f t="shared" si="177"/>
        <v>0</v>
      </c>
      <c r="BR570">
        <f t="shared" si="178"/>
        <v>0</v>
      </c>
      <c r="BS570">
        <f t="shared" si="179"/>
        <v>0</v>
      </c>
      <c r="BT570">
        <f t="shared" si="180"/>
        <v>0</v>
      </c>
      <c r="BU570">
        <f t="shared" si="181"/>
        <v>0</v>
      </c>
      <c r="BV570">
        <f t="shared" si="182"/>
        <v>0</v>
      </c>
      <c r="BW570">
        <f t="shared" si="183"/>
        <v>0</v>
      </c>
      <c r="CA570" t="str">
        <f>IF(371&gt;ROWS(DGArchive[模组]),"",IF(INDEX(DGArchive[模组],371)="","",INDEX(DGArchive[模组],371)))</f>
        <v/>
      </c>
      <c r="CB570" t="str">
        <f>IF(371&gt;ROWS(DGArchive[阶段]),"",IF(INDEX(DGArchive[阶段],371)="","",INDEX(DGArchive[阶段],371)))</f>
        <v/>
      </c>
      <c r="CC570" t="str">
        <f>IF(371&gt;ROWS(DGArchive[游戏内日期]),"",IF(INDEX(DGArchive[游戏内日期],371)="","",INDEX(DGArchive[游戏内日期],371)))</f>
        <v/>
      </c>
      <c r="CD570" t="str">
        <f>IF(371&gt;ROWS(DGArchive[目标]),"",IF(INDEX(DGArchive[目标],371)="","",INDEX(DGArchive[目标],371)))</f>
        <v/>
      </c>
      <c r="CE570" t="str">
        <f>IF(371&gt;ROWS(DGArchive[变更前]),"",IF(INDEX(DGArchive[变更前],371)="","",INDEX(DGArchive[变更前],371)))</f>
        <v/>
      </c>
      <c r="CF570" t="str">
        <f>IF(371&gt;ROWS(DGArchive[增减]),"",IF(INDEX(DGArchive[增减],371)="","",INDEX(DGArchive[增减],371)))</f>
        <v/>
      </c>
      <c r="CG570" t="str">
        <f>IF(371&gt;ROWS(DGArchive[变更后]),"",IF(INDEX(DGArchive[变更后],371)="","",INDEX(DGArchive[变更后],371)))</f>
        <v/>
      </c>
      <c r="CH570" t="str">
        <f>IF(371&gt;ROWS(DGArchive[事件／活动]),"",IF(INDEX(DGArchive[事件／活动],371)="","",INDEX(DGArchive[事件／活动],371)))</f>
        <v/>
      </c>
      <c r="CI570" t="str">
        <f>IF(371&gt;ROWS(DGArchive[记录编号]),"",IF(INDEX(DGArchive[记录编号],371)="","",INDEX(DGArchive[记录编号],371)))</f>
        <v/>
      </c>
      <c r="CL570">
        <f t="shared" si="164"/>
        <v>0</v>
      </c>
      <c r="CM570">
        <f>IF(AND(A570=$AO$5,B570=$AQ$3,H570=1),COUNTIFS($A$200:A570,$AO$5,$B$200:B570,$AQ$3,$H$200:H570,1),0)</f>
        <v>0</v>
      </c>
      <c r="CN570">
        <f>IF(CA570="",371,1001)</f>
        <v>371</v>
      </c>
      <c r="GA570">
        <f t="shared" si="184"/>
        <v>0</v>
      </c>
      <c r="GB570">
        <f t="shared" si="185"/>
        <v>0</v>
      </c>
      <c r="GC570">
        <f>IF(AND(C570="事件记录",H570=1),COUNTIFS($C$200:C570,"事件记录",$H$200:H570,1),0)</f>
        <v>0</v>
      </c>
      <c r="GD570">
        <f t="shared" si="165"/>
        <v>0</v>
      </c>
      <c r="GH570">
        <f>IF(AND(H570=1,A570=$GA$10,B570=$GA$11),COUNTIFS($A$200:A570,$GA$10,$B$200:B570,$GA$11,$H$200:H570,1),0)</f>
        <v>0</v>
      </c>
    </row>
    <row r="571" spans="1:190">
      <c r="A571" t="str">
        <f t="shared" si="156"/>
        <v/>
      </c>
      <c r="B571" t="str">
        <f t="shared" si="157"/>
        <v/>
      </c>
      <c r="C571" t="str">
        <f t="shared" si="158"/>
        <v/>
      </c>
      <c r="D571" t="str">
        <f t="shared" si="159"/>
        <v/>
      </c>
      <c r="E571">
        <f t="shared" si="160"/>
        <v>0</v>
      </c>
      <c r="F571" t="str">
        <f t="shared" si="161"/>
        <v/>
      </c>
      <c r="G571">
        <f t="shared" si="162"/>
        <v>0</v>
      </c>
      <c r="H571">
        <f>IF(AND(G571=1,COUNTIFS($I$200:I571,I571,$G$200:G571,1)=1),1,0)</f>
        <v>0</v>
      </c>
      <c r="I571" t="str">
        <f t="shared" si="163"/>
        <v/>
      </c>
      <c r="BF571">
        <f t="shared" si="166"/>
        <v>0</v>
      </c>
      <c r="BG571">
        <f t="shared" si="167"/>
        <v>0</v>
      </c>
      <c r="BH571">
        <f t="shared" si="168"/>
        <v>0</v>
      </c>
      <c r="BI571">
        <f t="shared" si="169"/>
        <v>0</v>
      </c>
      <c r="BJ571">
        <f t="shared" si="170"/>
        <v>0</v>
      </c>
      <c r="BK571">
        <f t="shared" si="171"/>
        <v>0</v>
      </c>
      <c r="BL571">
        <f t="shared" si="172"/>
        <v>0</v>
      </c>
      <c r="BM571">
        <f t="shared" si="173"/>
        <v>0</v>
      </c>
      <c r="BN571">
        <f t="shared" si="174"/>
        <v>0</v>
      </c>
      <c r="BO571">
        <f t="shared" si="175"/>
        <v>0</v>
      </c>
      <c r="BP571">
        <f t="shared" si="176"/>
        <v>0</v>
      </c>
      <c r="BQ571">
        <f t="shared" si="177"/>
        <v>0</v>
      </c>
      <c r="BR571">
        <f t="shared" si="178"/>
        <v>0</v>
      </c>
      <c r="BS571">
        <f t="shared" si="179"/>
        <v>0</v>
      </c>
      <c r="BT571">
        <f t="shared" si="180"/>
        <v>0</v>
      </c>
      <c r="BU571">
        <f t="shared" si="181"/>
        <v>0</v>
      </c>
      <c r="BV571">
        <f t="shared" si="182"/>
        <v>0</v>
      </c>
      <c r="BW571">
        <f t="shared" si="183"/>
        <v>0</v>
      </c>
      <c r="CA571" t="str">
        <f>IF(372&gt;ROWS(DGArchive[模组]),"",IF(INDEX(DGArchive[模组],372)="","",INDEX(DGArchive[模组],372)))</f>
        <v/>
      </c>
      <c r="CB571" t="str">
        <f>IF(372&gt;ROWS(DGArchive[阶段]),"",IF(INDEX(DGArchive[阶段],372)="","",INDEX(DGArchive[阶段],372)))</f>
        <v/>
      </c>
      <c r="CC571" t="str">
        <f>IF(372&gt;ROWS(DGArchive[游戏内日期]),"",IF(INDEX(DGArchive[游戏内日期],372)="","",INDEX(DGArchive[游戏内日期],372)))</f>
        <v/>
      </c>
      <c r="CD571" t="str">
        <f>IF(372&gt;ROWS(DGArchive[目标]),"",IF(INDEX(DGArchive[目标],372)="","",INDEX(DGArchive[目标],372)))</f>
        <v/>
      </c>
      <c r="CE571" t="str">
        <f>IF(372&gt;ROWS(DGArchive[变更前]),"",IF(INDEX(DGArchive[变更前],372)="","",INDEX(DGArchive[变更前],372)))</f>
        <v/>
      </c>
      <c r="CF571" t="str">
        <f>IF(372&gt;ROWS(DGArchive[增减]),"",IF(INDEX(DGArchive[增减],372)="","",INDEX(DGArchive[增减],372)))</f>
        <v/>
      </c>
      <c r="CG571" t="str">
        <f>IF(372&gt;ROWS(DGArchive[变更后]),"",IF(INDEX(DGArchive[变更后],372)="","",INDEX(DGArchive[变更后],372)))</f>
        <v/>
      </c>
      <c r="CH571" t="str">
        <f>IF(372&gt;ROWS(DGArchive[事件／活动]),"",IF(INDEX(DGArchive[事件／活动],372)="","",INDEX(DGArchive[事件／活动],372)))</f>
        <v/>
      </c>
      <c r="CI571" t="str">
        <f>IF(372&gt;ROWS(DGArchive[记录编号]),"",IF(INDEX(DGArchive[记录编号],372)="","",INDEX(DGArchive[记录编号],372)))</f>
        <v/>
      </c>
      <c r="CL571">
        <f t="shared" si="164"/>
        <v>0</v>
      </c>
      <c r="CM571">
        <f>IF(AND(A571=$AO$5,B571=$AQ$3,H571=1),COUNTIFS($A$200:A571,$AO$5,$B$200:B571,$AQ$3,$H$200:H571,1),0)</f>
        <v>0</v>
      </c>
      <c r="CN571">
        <f>IF(CA571="",372,1001)</f>
        <v>372</v>
      </c>
      <c r="GA571">
        <f t="shared" si="184"/>
        <v>0</v>
      </c>
      <c r="GB571">
        <f t="shared" si="185"/>
        <v>0</v>
      </c>
      <c r="GC571">
        <f>IF(AND(C571="事件记录",H571=1),COUNTIFS($C$200:C571,"事件记录",$H$200:H571,1),0)</f>
        <v>0</v>
      </c>
      <c r="GD571">
        <f t="shared" si="165"/>
        <v>0</v>
      </c>
      <c r="GH571">
        <f>IF(AND(H571=1,A571=$GA$10,B571=$GA$11),COUNTIFS($A$200:A571,$GA$10,$B$200:B571,$GA$11,$H$200:H571,1),0)</f>
        <v>0</v>
      </c>
    </row>
    <row r="572" spans="1:190">
      <c r="A572" t="str">
        <f t="shared" si="156"/>
        <v/>
      </c>
      <c r="B572" t="str">
        <f t="shared" si="157"/>
        <v/>
      </c>
      <c r="C572" t="str">
        <f t="shared" si="158"/>
        <v/>
      </c>
      <c r="D572" t="str">
        <f t="shared" si="159"/>
        <v/>
      </c>
      <c r="E572">
        <f t="shared" si="160"/>
        <v>0</v>
      </c>
      <c r="F572" t="str">
        <f t="shared" si="161"/>
        <v/>
      </c>
      <c r="G572">
        <f t="shared" si="162"/>
        <v>0</v>
      </c>
      <c r="H572">
        <f>IF(AND(G572=1,COUNTIFS($I$200:I572,I572,$G$200:G572,1)=1),1,0)</f>
        <v>0</v>
      </c>
      <c r="I572" t="str">
        <f t="shared" si="163"/>
        <v/>
      </c>
      <c r="BF572">
        <f t="shared" si="166"/>
        <v>0</v>
      </c>
      <c r="BG572">
        <f t="shared" si="167"/>
        <v>0</v>
      </c>
      <c r="BH572">
        <f t="shared" si="168"/>
        <v>0</v>
      </c>
      <c r="BI572">
        <f t="shared" si="169"/>
        <v>0</v>
      </c>
      <c r="BJ572">
        <f t="shared" si="170"/>
        <v>0</v>
      </c>
      <c r="BK572">
        <f t="shared" si="171"/>
        <v>0</v>
      </c>
      <c r="BL572">
        <f t="shared" si="172"/>
        <v>0</v>
      </c>
      <c r="BM572">
        <f t="shared" si="173"/>
        <v>0</v>
      </c>
      <c r="BN572">
        <f t="shared" si="174"/>
        <v>0</v>
      </c>
      <c r="BO572">
        <f t="shared" si="175"/>
        <v>0</v>
      </c>
      <c r="BP572">
        <f t="shared" si="176"/>
        <v>0</v>
      </c>
      <c r="BQ572">
        <f t="shared" si="177"/>
        <v>0</v>
      </c>
      <c r="BR572">
        <f t="shared" si="178"/>
        <v>0</v>
      </c>
      <c r="BS572">
        <f t="shared" si="179"/>
        <v>0</v>
      </c>
      <c r="BT572">
        <f t="shared" si="180"/>
        <v>0</v>
      </c>
      <c r="BU572">
        <f t="shared" si="181"/>
        <v>0</v>
      </c>
      <c r="BV572">
        <f t="shared" si="182"/>
        <v>0</v>
      </c>
      <c r="BW572">
        <f t="shared" si="183"/>
        <v>0</v>
      </c>
      <c r="CA572" t="str">
        <f>IF(373&gt;ROWS(DGArchive[模组]),"",IF(INDEX(DGArchive[模组],373)="","",INDEX(DGArchive[模组],373)))</f>
        <v/>
      </c>
      <c r="CB572" t="str">
        <f>IF(373&gt;ROWS(DGArchive[阶段]),"",IF(INDEX(DGArchive[阶段],373)="","",INDEX(DGArchive[阶段],373)))</f>
        <v/>
      </c>
      <c r="CC572" t="str">
        <f>IF(373&gt;ROWS(DGArchive[游戏内日期]),"",IF(INDEX(DGArchive[游戏内日期],373)="","",INDEX(DGArchive[游戏内日期],373)))</f>
        <v/>
      </c>
      <c r="CD572" t="str">
        <f>IF(373&gt;ROWS(DGArchive[目标]),"",IF(INDEX(DGArchive[目标],373)="","",INDEX(DGArchive[目标],373)))</f>
        <v/>
      </c>
      <c r="CE572" t="str">
        <f>IF(373&gt;ROWS(DGArchive[变更前]),"",IF(INDEX(DGArchive[变更前],373)="","",INDEX(DGArchive[变更前],373)))</f>
        <v/>
      </c>
      <c r="CF572" t="str">
        <f>IF(373&gt;ROWS(DGArchive[增减]),"",IF(INDEX(DGArchive[增减],373)="","",INDEX(DGArchive[增减],373)))</f>
        <v/>
      </c>
      <c r="CG572" t="str">
        <f>IF(373&gt;ROWS(DGArchive[变更后]),"",IF(INDEX(DGArchive[变更后],373)="","",INDEX(DGArchive[变更后],373)))</f>
        <v/>
      </c>
      <c r="CH572" t="str">
        <f>IF(373&gt;ROWS(DGArchive[事件／活动]),"",IF(INDEX(DGArchive[事件／活动],373)="","",INDEX(DGArchive[事件／活动],373)))</f>
        <v/>
      </c>
      <c r="CI572" t="str">
        <f>IF(373&gt;ROWS(DGArchive[记录编号]),"",IF(INDEX(DGArchive[记录编号],373)="","",INDEX(DGArchive[记录编号],373)))</f>
        <v/>
      </c>
      <c r="CL572">
        <f t="shared" si="164"/>
        <v>0</v>
      </c>
      <c r="CM572">
        <f>IF(AND(A572=$AO$5,B572=$AQ$3,H572=1),COUNTIFS($A$200:A572,$AO$5,$B$200:B572,$AQ$3,$H$200:H572,1),0)</f>
        <v>0</v>
      </c>
      <c r="CN572">
        <f>IF(CA572="",373,1001)</f>
        <v>373</v>
      </c>
      <c r="GA572">
        <f t="shared" si="184"/>
        <v>0</v>
      </c>
      <c r="GB572">
        <f t="shared" si="185"/>
        <v>0</v>
      </c>
      <c r="GC572">
        <f>IF(AND(C572="事件记录",H572=1),COUNTIFS($C$200:C572,"事件记录",$H$200:H572,1),0)</f>
        <v>0</v>
      </c>
      <c r="GD572">
        <f t="shared" si="165"/>
        <v>0</v>
      </c>
      <c r="GH572">
        <f>IF(AND(H572=1,A572=$GA$10,B572=$GA$11),COUNTIFS($A$200:A572,$GA$10,$B$200:B572,$GA$11,$H$200:H572,1),0)</f>
        <v>0</v>
      </c>
    </row>
    <row r="573" spans="1:190">
      <c r="A573" t="str">
        <f t="shared" si="156"/>
        <v/>
      </c>
      <c r="B573" t="str">
        <f t="shared" si="157"/>
        <v/>
      </c>
      <c r="C573" t="str">
        <f t="shared" si="158"/>
        <v/>
      </c>
      <c r="D573" t="str">
        <f t="shared" si="159"/>
        <v/>
      </c>
      <c r="E573">
        <f t="shared" si="160"/>
        <v>0</v>
      </c>
      <c r="F573" t="str">
        <f t="shared" si="161"/>
        <v/>
      </c>
      <c r="G573">
        <f t="shared" si="162"/>
        <v>0</v>
      </c>
      <c r="H573">
        <f>IF(AND(G573=1,COUNTIFS($I$200:I573,I573,$G$200:G573,1)=1),1,0)</f>
        <v>0</v>
      </c>
      <c r="I573" t="str">
        <f t="shared" si="163"/>
        <v/>
      </c>
      <c r="BF573">
        <f t="shared" si="166"/>
        <v>0</v>
      </c>
      <c r="BG573">
        <f t="shared" si="167"/>
        <v>0</v>
      </c>
      <c r="BH573">
        <f t="shared" si="168"/>
        <v>0</v>
      </c>
      <c r="BI573">
        <f t="shared" si="169"/>
        <v>0</v>
      </c>
      <c r="BJ573">
        <f t="shared" si="170"/>
        <v>0</v>
      </c>
      <c r="BK573">
        <f t="shared" si="171"/>
        <v>0</v>
      </c>
      <c r="BL573">
        <f t="shared" si="172"/>
        <v>0</v>
      </c>
      <c r="BM573">
        <f t="shared" si="173"/>
        <v>0</v>
      </c>
      <c r="BN573">
        <f t="shared" si="174"/>
        <v>0</v>
      </c>
      <c r="BO573">
        <f t="shared" si="175"/>
        <v>0</v>
      </c>
      <c r="BP573">
        <f t="shared" si="176"/>
        <v>0</v>
      </c>
      <c r="BQ573">
        <f t="shared" si="177"/>
        <v>0</v>
      </c>
      <c r="BR573">
        <f t="shared" si="178"/>
        <v>0</v>
      </c>
      <c r="BS573">
        <f t="shared" si="179"/>
        <v>0</v>
      </c>
      <c r="BT573">
        <f t="shared" si="180"/>
        <v>0</v>
      </c>
      <c r="BU573">
        <f t="shared" si="181"/>
        <v>0</v>
      </c>
      <c r="BV573">
        <f t="shared" si="182"/>
        <v>0</v>
      </c>
      <c r="BW573">
        <f t="shared" si="183"/>
        <v>0</v>
      </c>
      <c r="CA573" t="str">
        <f>IF(374&gt;ROWS(DGArchive[模组]),"",IF(INDEX(DGArchive[模组],374)="","",INDEX(DGArchive[模组],374)))</f>
        <v/>
      </c>
      <c r="CB573" t="str">
        <f>IF(374&gt;ROWS(DGArchive[阶段]),"",IF(INDEX(DGArchive[阶段],374)="","",INDEX(DGArchive[阶段],374)))</f>
        <v/>
      </c>
      <c r="CC573" t="str">
        <f>IF(374&gt;ROWS(DGArchive[游戏内日期]),"",IF(INDEX(DGArchive[游戏内日期],374)="","",INDEX(DGArchive[游戏内日期],374)))</f>
        <v/>
      </c>
      <c r="CD573" t="str">
        <f>IF(374&gt;ROWS(DGArchive[目标]),"",IF(INDEX(DGArchive[目标],374)="","",INDEX(DGArchive[目标],374)))</f>
        <v/>
      </c>
      <c r="CE573" t="str">
        <f>IF(374&gt;ROWS(DGArchive[变更前]),"",IF(INDEX(DGArchive[变更前],374)="","",INDEX(DGArchive[变更前],374)))</f>
        <v/>
      </c>
      <c r="CF573" t="str">
        <f>IF(374&gt;ROWS(DGArchive[增减]),"",IF(INDEX(DGArchive[增减],374)="","",INDEX(DGArchive[增减],374)))</f>
        <v/>
      </c>
      <c r="CG573" t="str">
        <f>IF(374&gt;ROWS(DGArchive[变更后]),"",IF(INDEX(DGArchive[变更后],374)="","",INDEX(DGArchive[变更后],374)))</f>
        <v/>
      </c>
      <c r="CH573" t="str">
        <f>IF(374&gt;ROWS(DGArchive[事件／活动]),"",IF(INDEX(DGArchive[事件／活动],374)="","",INDEX(DGArchive[事件／活动],374)))</f>
        <v/>
      </c>
      <c r="CI573" t="str">
        <f>IF(374&gt;ROWS(DGArchive[记录编号]),"",IF(INDEX(DGArchive[记录编号],374)="","",INDEX(DGArchive[记录编号],374)))</f>
        <v/>
      </c>
      <c r="CL573">
        <f t="shared" si="164"/>
        <v>0</v>
      </c>
      <c r="CM573">
        <f>IF(AND(A573=$AO$5,B573=$AQ$3,H573=1),COUNTIFS($A$200:A573,$AO$5,$B$200:B573,$AQ$3,$H$200:H573,1),0)</f>
        <v>0</v>
      </c>
      <c r="CN573">
        <f>IF(CA573="",374,1001)</f>
        <v>374</v>
      </c>
      <c r="GA573">
        <f t="shared" si="184"/>
        <v>0</v>
      </c>
      <c r="GB573">
        <f t="shared" si="185"/>
        <v>0</v>
      </c>
      <c r="GC573">
        <f>IF(AND(C573="事件记录",H573=1),COUNTIFS($C$200:C573,"事件记录",$H$200:H573,1),0)</f>
        <v>0</v>
      </c>
      <c r="GD573">
        <f t="shared" si="165"/>
        <v>0</v>
      </c>
      <c r="GH573">
        <f>IF(AND(H573=1,A573=$GA$10,B573=$GA$11),COUNTIFS($A$200:A573,$GA$10,$B$200:B573,$GA$11,$H$200:H573,1),0)</f>
        <v>0</v>
      </c>
    </row>
    <row r="574" spans="1:190">
      <c r="A574" t="str">
        <f t="shared" si="156"/>
        <v/>
      </c>
      <c r="B574" t="str">
        <f t="shared" si="157"/>
        <v/>
      </c>
      <c r="C574" t="str">
        <f t="shared" si="158"/>
        <v/>
      </c>
      <c r="D574" t="str">
        <f t="shared" si="159"/>
        <v/>
      </c>
      <c r="E574">
        <f t="shared" si="160"/>
        <v>0</v>
      </c>
      <c r="F574" t="str">
        <f t="shared" si="161"/>
        <v/>
      </c>
      <c r="G574">
        <f t="shared" si="162"/>
        <v>0</v>
      </c>
      <c r="H574">
        <f>IF(AND(G574=1,COUNTIFS($I$200:I574,I574,$G$200:G574,1)=1),1,0)</f>
        <v>0</v>
      </c>
      <c r="I574" t="str">
        <f t="shared" si="163"/>
        <v/>
      </c>
      <c r="BF574">
        <f t="shared" si="166"/>
        <v>0</v>
      </c>
      <c r="BG574">
        <f t="shared" si="167"/>
        <v>0</v>
      </c>
      <c r="BH574">
        <f t="shared" si="168"/>
        <v>0</v>
      </c>
      <c r="BI574">
        <f t="shared" si="169"/>
        <v>0</v>
      </c>
      <c r="BJ574">
        <f t="shared" si="170"/>
        <v>0</v>
      </c>
      <c r="BK574">
        <f t="shared" si="171"/>
        <v>0</v>
      </c>
      <c r="BL574">
        <f t="shared" si="172"/>
        <v>0</v>
      </c>
      <c r="BM574">
        <f t="shared" si="173"/>
        <v>0</v>
      </c>
      <c r="BN574">
        <f t="shared" si="174"/>
        <v>0</v>
      </c>
      <c r="BO574">
        <f t="shared" si="175"/>
        <v>0</v>
      </c>
      <c r="BP574">
        <f t="shared" si="176"/>
        <v>0</v>
      </c>
      <c r="BQ574">
        <f t="shared" si="177"/>
        <v>0</v>
      </c>
      <c r="BR574">
        <f t="shared" si="178"/>
        <v>0</v>
      </c>
      <c r="BS574">
        <f t="shared" si="179"/>
        <v>0</v>
      </c>
      <c r="BT574">
        <f t="shared" si="180"/>
        <v>0</v>
      </c>
      <c r="BU574">
        <f t="shared" si="181"/>
        <v>0</v>
      </c>
      <c r="BV574">
        <f t="shared" si="182"/>
        <v>0</v>
      </c>
      <c r="BW574">
        <f t="shared" si="183"/>
        <v>0</v>
      </c>
      <c r="CA574" t="str">
        <f>IF(375&gt;ROWS(DGArchive[模组]),"",IF(INDEX(DGArchive[模组],375)="","",INDEX(DGArchive[模组],375)))</f>
        <v/>
      </c>
      <c r="CB574" t="str">
        <f>IF(375&gt;ROWS(DGArchive[阶段]),"",IF(INDEX(DGArchive[阶段],375)="","",INDEX(DGArchive[阶段],375)))</f>
        <v/>
      </c>
      <c r="CC574" t="str">
        <f>IF(375&gt;ROWS(DGArchive[游戏内日期]),"",IF(INDEX(DGArchive[游戏内日期],375)="","",INDEX(DGArchive[游戏内日期],375)))</f>
        <v/>
      </c>
      <c r="CD574" t="str">
        <f>IF(375&gt;ROWS(DGArchive[目标]),"",IF(INDEX(DGArchive[目标],375)="","",INDEX(DGArchive[目标],375)))</f>
        <v/>
      </c>
      <c r="CE574" t="str">
        <f>IF(375&gt;ROWS(DGArchive[变更前]),"",IF(INDEX(DGArchive[变更前],375)="","",INDEX(DGArchive[变更前],375)))</f>
        <v/>
      </c>
      <c r="CF574" t="str">
        <f>IF(375&gt;ROWS(DGArchive[增减]),"",IF(INDEX(DGArchive[增减],375)="","",INDEX(DGArchive[增减],375)))</f>
        <v/>
      </c>
      <c r="CG574" t="str">
        <f>IF(375&gt;ROWS(DGArchive[变更后]),"",IF(INDEX(DGArchive[变更后],375)="","",INDEX(DGArchive[变更后],375)))</f>
        <v/>
      </c>
      <c r="CH574" t="str">
        <f>IF(375&gt;ROWS(DGArchive[事件／活动]),"",IF(INDEX(DGArchive[事件／活动],375)="","",INDEX(DGArchive[事件／活动],375)))</f>
        <v/>
      </c>
      <c r="CI574" t="str">
        <f>IF(375&gt;ROWS(DGArchive[记录编号]),"",IF(INDEX(DGArchive[记录编号],375)="","",INDEX(DGArchive[记录编号],375)))</f>
        <v/>
      </c>
      <c r="CL574">
        <f t="shared" si="164"/>
        <v>0</v>
      </c>
      <c r="CM574">
        <f>IF(AND(A574=$AO$5,B574=$AQ$3,H574=1),COUNTIFS($A$200:A574,$AO$5,$B$200:B574,$AQ$3,$H$200:H574,1),0)</f>
        <v>0</v>
      </c>
      <c r="CN574">
        <f>IF(CA574="",375,1001)</f>
        <v>375</v>
      </c>
      <c r="GA574">
        <f t="shared" si="184"/>
        <v>0</v>
      </c>
      <c r="GB574">
        <f t="shared" si="185"/>
        <v>0</v>
      </c>
      <c r="GC574">
        <f>IF(AND(C574="事件记录",H574=1),COUNTIFS($C$200:C574,"事件记录",$H$200:H574,1),0)</f>
        <v>0</v>
      </c>
      <c r="GD574">
        <f t="shared" si="165"/>
        <v>0</v>
      </c>
      <c r="GH574">
        <f>IF(AND(H574=1,A574=$GA$10,B574=$GA$11),COUNTIFS($A$200:A574,$GA$10,$B$200:B574,$GA$11,$H$200:H574,1),0)</f>
        <v>0</v>
      </c>
    </row>
    <row r="575" spans="1:190">
      <c r="A575" t="str">
        <f t="shared" si="156"/>
        <v/>
      </c>
      <c r="B575" t="str">
        <f t="shared" si="157"/>
        <v/>
      </c>
      <c r="C575" t="str">
        <f t="shared" si="158"/>
        <v/>
      </c>
      <c r="D575" t="str">
        <f t="shared" si="159"/>
        <v/>
      </c>
      <c r="E575">
        <f t="shared" si="160"/>
        <v>0</v>
      </c>
      <c r="F575" t="str">
        <f t="shared" si="161"/>
        <v/>
      </c>
      <c r="G575">
        <f t="shared" si="162"/>
        <v>0</v>
      </c>
      <c r="H575">
        <f>IF(AND(G575=1,COUNTIFS($I$200:I575,I575,$G$200:G575,1)=1),1,0)</f>
        <v>0</v>
      </c>
      <c r="I575" t="str">
        <f t="shared" si="163"/>
        <v/>
      </c>
      <c r="BF575">
        <f t="shared" si="166"/>
        <v>0</v>
      </c>
      <c r="BG575">
        <f t="shared" si="167"/>
        <v>0</v>
      </c>
      <c r="BH575">
        <f t="shared" si="168"/>
        <v>0</v>
      </c>
      <c r="BI575">
        <f t="shared" si="169"/>
        <v>0</v>
      </c>
      <c r="BJ575">
        <f t="shared" si="170"/>
        <v>0</v>
      </c>
      <c r="BK575">
        <f t="shared" si="171"/>
        <v>0</v>
      </c>
      <c r="BL575">
        <f t="shared" si="172"/>
        <v>0</v>
      </c>
      <c r="BM575">
        <f t="shared" si="173"/>
        <v>0</v>
      </c>
      <c r="BN575">
        <f t="shared" si="174"/>
        <v>0</v>
      </c>
      <c r="BO575">
        <f t="shared" si="175"/>
        <v>0</v>
      </c>
      <c r="BP575">
        <f t="shared" si="176"/>
        <v>0</v>
      </c>
      <c r="BQ575">
        <f t="shared" si="177"/>
        <v>0</v>
      </c>
      <c r="BR575">
        <f t="shared" si="178"/>
        <v>0</v>
      </c>
      <c r="BS575">
        <f t="shared" si="179"/>
        <v>0</v>
      </c>
      <c r="BT575">
        <f t="shared" si="180"/>
        <v>0</v>
      </c>
      <c r="BU575">
        <f t="shared" si="181"/>
        <v>0</v>
      </c>
      <c r="BV575">
        <f t="shared" si="182"/>
        <v>0</v>
      </c>
      <c r="BW575">
        <f t="shared" si="183"/>
        <v>0</v>
      </c>
      <c r="CA575" t="str">
        <f>IF(376&gt;ROWS(DGArchive[模组]),"",IF(INDEX(DGArchive[模组],376)="","",INDEX(DGArchive[模组],376)))</f>
        <v/>
      </c>
      <c r="CB575" t="str">
        <f>IF(376&gt;ROWS(DGArchive[阶段]),"",IF(INDEX(DGArchive[阶段],376)="","",INDEX(DGArchive[阶段],376)))</f>
        <v/>
      </c>
      <c r="CC575" t="str">
        <f>IF(376&gt;ROWS(DGArchive[游戏内日期]),"",IF(INDEX(DGArchive[游戏内日期],376)="","",INDEX(DGArchive[游戏内日期],376)))</f>
        <v/>
      </c>
      <c r="CD575" t="str">
        <f>IF(376&gt;ROWS(DGArchive[目标]),"",IF(INDEX(DGArchive[目标],376)="","",INDEX(DGArchive[目标],376)))</f>
        <v/>
      </c>
      <c r="CE575" t="str">
        <f>IF(376&gt;ROWS(DGArchive[变更前]),"",IF(INDEX(DGArchive[变更前],376)="","",INDEX(DGArchive[变更前],376)))</f>
        <v/>
      </c>
      <c r="CF575" t="str">
        <f>IF(376&gt;ROWS(DGArchive[增减]),"",IF(INDEX(DGArchive[增减],376)="","",INDEX(DGArchive[增减],376)))</f>
        <v/>
      </c>
      <c r="CG575" t="str">
        <f>IF(376&gt;ROWS(DGArchive[变更后]),"",IF(INDEX(DGArchive[变更后],376)="","",INDEX(DGArchive[变更后],376)))</f>
        <v/>
      </c>
      <c r="CH575" t="str">
        <f>IF(376&gt;ROWS(DGArchive[事件／活动]),"",IF(INDEX(DGArchive[事件／活动],376)="","",INDEX(DGArchive[事件／活动],376)))</f>
        <v/>
      </c>
      <c r="CI575" t="str">
        <f>IF(376&gt;ROWS(DGArchive[记录编号]),"",IF(INDEX(DGArchive[记录编号],376)="","",INDEX(DGArchive[记录编号],376)))</f>
        <v/>
      </c>
      <c r="CL575">
        <f t="shared" si="164"/>
        <v>0</v>
      </c>
      <c r="CM575">
        <f>IF(AND(A575=$AO$5,B575=$AQ$3,H575=1),COUNTIFS($A$200:A575,$AO$5,$B$200:B575,$AQ$3,$H$200:H575,1),0)</f>
        <v>0</v>
      </c>
      <c r="CN575">
        <f>IF(CA575="",376,1001)</f>
        <v>376</v>
      </c>
      <c r="GA575">
        <f t="shared" si="184"/>
        <v>0</v>
      </c>
      <c r="GB575">
        <f t="shared" si="185"/>
        <v>0</v>
      </c>
      <c r="GC575">
        <f>IF(AND(C575="事件记录",H575=1),COUNTIFS($C$200:C575,"事件记录",$H$200:H575,1),0)</f>
        <v>0</v>
      </c>
      <c r="GD575">
        <f t="shared" si="165"/>
        <v>0</v>
      </c>
      <c r="GH575">
        <f>IF(AND(H575=1,A575=$GA$10,B575=$GA$11),COUNTIFS($A$200:A575,$GA$10,$B$200:B575,$GA$11,$H$200:H575,1),0)</f>
        <v>0</v>
      </c>
    </row>
    <row r="576" spans="1:190">
      <c r="A576" t="str">
        <f t="shared" si="156"/>
        <v/>
      </c>
      <c r="B576" t="str">
        <f t="shared" si="157"/>
        <v/>
      </c>
      <c r="C576" t="str">
        <f t="shared" si="158"/>
        <v/>
      </c>
      <c r="D576" t="str">
        <f t="shared" si="159"/>
        <v/>
      </c>
      <c r="E576">
        <f t="shared" si="160"/>
        <v>0</v>
      </c>
      <c r="F576" t="str">
        <f t="shared" si="161"/>
        <v/>
      </c>
      <c r="G576">
        <f t="shared" si="162"/>
        <v>0</v>
      </c>
      <c r="H576">
        <f>IF(AND(G576=1,COUNTIFS($I$200:I576,I576,$G$200:G576,1)=1),1,0)</f>
        <v>0</v>
      </c>
      <c r="I576" t="str">
        <f t="shared" si="163"/>
        <v/>
      </c>
      <c r="BF576">
        <f t="shared" si="166"/>
        <v>0</v>
      </c>
      <c r="BG576">
        <f t="shared" si="167"/>
        <v>0</v>
      </c>
      <c r="BH576">
        <f t="shared" si="168"/>
        <v>0</v>
      </c>
      <c r="BI576">
        <f t="shared" si="169"/>
        <v>0</v>
      </c>
      <c r="BJ576">
        <f t="shared" si="170"/>
        <v>0</v>
      </c>
      <c r="BK576">
        <f t="shared" si="171"/>
        <v>0</v>
      </c>
      <c r="BL576">
        <f t="shared" si="172"/>
        <v>0</v>
      </c>
      <c r="BM576">
        <f t="shared" si="173"/>
        <v>0</v>
      </c>
      <c r="BN576">
        <f t="shared" si="174"/>
        <v>0</v>
      </c>
      <c r="BO576">
        <f t="shared" si="175"/>
        <v>0</v>
      </c>
      <c r="BP576">
        <f t="shared" si="176"/>
        <v>0</v>
      </c>
      <c r="BQ576">
        <f t="shared" si="177"/>
        <v>0</v>
      </c>
      <c r="BR576">
        <f t="shared" si="178"/>
        <v>0</v>
      </c>
      <c r="BS576">
        <f t="shared" si="179"/>
        <v>0</v>
      </c>
      <c r="BT576">
        <f t="shared" si="180"/>
        <v>0</v>
      </c>
      <c r="BU576">
        <f t="shared" si="181"/>
        <v>0</v>
      </c>
      <c r="BV576">
        <f t="shared" si="182"/>
        <v>0</v>
      </c>
      <c r="BW576">
        <f t="shared" si="183"/>
        <v>0</v>
      </c>
      <c r="CA576" t="str">
        <f>IF(377&gt;ROWS(DGArchive[模组]),"",IF(INDEX(DGArchive[模组],377)="","",INDEX(DGArchive[模组],377)))</f>
        <v/>
      </c>
      <c r="CB576" t="str">
        <f>IF(377&gt;ROWS(DGArchive[阶段]),"",IF(INDEX(DGArchive[阶段],377)="","",INDEX(DGArchive[阶段],377)))</f>
        <v/>
      </c>
      <c r="CC576" t="str">
        <f>IF(377&gt;ROWS(DGArchive[游戏内日期]),"",IF(INDEX(DGArchive[游戏内日期],377)="","",INDEX(DGArchive[游戏内日期],377)))</f>
        <v/>
      </c>
      <c r="CD576" t="str">
        <f>IF(377&gt;ROWS(DGArchive[目标]),"",IF(INDEX(DGArchive[目标],377)="","",INDEX(DGArchive[目标],377)))</f>
        <v/>
      </c>
      <c r="CE576" t="str">
        <f>IF(377&gt;ROWS(DGArchive[变更前]),"",IF(INDEX(DGArchive[变更前],377)="","",INDEX(DGArchive[变更前],377)))</f>
        <v/>
      </c>
      <c r="CF576" t="str">
        <f>IF(377&gt;ROWS(DGArchive[增减]),"",IF(INDEX(DGArchive[增减],377)="","",INDEX(DGArchive[增减],377)))</f>
        <v/>
      </c>
      <c r="CG576" t="str">
        <f>IF(377&gt;ROWS(DGArchive[变更后]),"",IF(INDEX(DGArchive[变更后],377)="","",INDEX(DGArchive[变更后],377)))</f>
        <v/>
      </c>
      <c r="CH576" t="str">
        <f>IF(377&gt;ROWS(DGArchive[事件／活动]),"",IF(INDEX(DGArchive[事件／活动],377)="","",INDEX(DGArchive[事件／活动],377)))</f>
        <v/>
      </c>
      <c r="CI576" t="str">
        <f>IF(377&gt;ROWS(DGArchive[记录编号]),"",IF(INDEX(DGArchive[记录编号],377)="","",INDEX(DGArchive[记录编号],377)))</f>
        <v/>
      </c>
      <c r="CL576">
        <f t="shared" si="164"/>
        <v>0</v>
      </c>
      <c r="CM576">
        <f>IF(AND(A576=$AO$5,B576=$AQ$3,H576=1),COUNTIFS($A$200:A576,$AO$5,$B$200:B576,$AQ$3,$H$200:H576,1),0)</f>
        <v>0</v>
      </c>
      <c r="CN576">
        <f>IF(CA576="",377,1001)</f>
        <v>377</v>
      </c>
      <c r="GA576">
        <f t="shared" si="184"/>
        <v>0</v>
      </c>
      <c r="GB576">
        <f t="shared" si="185"/>
        <v>0</v>
      </c>
      <c r="GC576">
        <f>IF(AND(C576="事件记录",H576=1),COUNTIFS($C$200:C576,"事件记录",$H$200:H576,1),0)</f>
        <v>0</v>
      </c>
      <c r="GD576">
        <f t="shared" si="165"/>
        <v>0</v>
      </c>
      <c r="GH576">
        <f>IF(AND(H576=1,A576=$GA$10,B576=$GA$11),COUNTIFS($A$200:A576,$GA$10,$B$200:B576,$GA$11,$H$200:H576,1),0)</f>
        <v>0</v>
      </c>
    </row>
    <row r="577" spans="1:190">
      <c r="A577" t="str">
        <f t="shared" si="156"/>
        <v/>
      </c>
      <c r="B577" t="str">
        <f t="shared" si="157"/>
        <v/>
      </c>
      <c r="C577" t="str">
        <f t="shared" si="158"/>
        <v/>
      </c>
      <c r="D577" t="str">
        <f t="shared" si="159"/>
        <v/>
      </c>
      <c r="E577">
        <f t="shared" si="160"/>
        <v>0</v>
      </c>
      <c r="F577" t="str">
        <f t="shared" si="161"/>
        <v/>
      </c>
      <c r="G577">
        <f t="shared" si="162"/>
        <v>0</v>
      </c>
      <c r="H577">
        <f>IF(AND(G577=1,COUNTIFS($I$200:I577,I577,$G$200:G577,1)=1),1,0)</f>
        <v>0</v>
      </c>
      <c r="I577" t="str">
        <f t="shared" si="163"/>
        <v/>
      </c>
      <c r="BF577">
        <f t="shared" si="166"/>
        <v>0</v>
      </c>
      <c r="BG577">
        <f t="shared" si="167"/>
        <v>0</v>
      </c>
      <c r="BH577">
        <f t="shared" si="168"/>
        <v>0</v>
      </c>
      <c r="BI577">
        <f t="shared" si="169"/>
        <v>0</v>
      </c>
      <c r="BJ577">
        <f t="shared" si="170"/>
        <v>0</v>
      </c>
      <c r="BK577">
        <f t="shared" si="171"/>
        <v>0</v>
      </c>
      <c r="BL577">
        <f t="shared" si="172"/>
        <v>0</v>
      </c>
      <c r="BM577">
        <f t="shared" si="173"/>
        <v>0</v>
      </c>
      <c r="BN577">
        <f t="shared" si="174"/>
        <v>0</v>
      </c>
      <c r="BO577">
        <f t="shared" si="175"/>
        <v>0</v>
      </c>
      <c r="BP577">
        <f t="shared" si="176"/>
        <v>0</v>
      </c>
      <c r="BQ577">
        <f t="shared" si="177"/>
        <v>0</v>
      </c>
      <c r="BR577">
        <f t="shared" si="178"/>
        <v>0</v>
      </c>
      <c r="BS577">
        <f t="shared" si="179"/>
        <v>0</v>
      </c>
      <c r="BT577">
        <f t="shared" si="180"/>
        <v>0</v>
      </c>
      <c r="BU577">
        <f t="shared" si="181"/>
        <v>0</v>
      </c>
      <c r="BV577">
        <f t="shared" si="182"/>
        <v>0</v>
      </c>
      <c r="BW577">
        <f t="shared" si="183"/>
        <v>0</v>
      </c>
      <c r="CA577" t="str">
        <f>IF(378&gt;ROWS(DGArchive[模组]),"",IF(INDEX(DGArchive[模组],378)="","",INDEX(DGArchive[模组],378)))</f>
        <v/>
      </c>
      <c r="CB577" t="str">
        <f>IF(378&gt;ROWS(DGArchive[阶段]),"",IF(INDEX(DGArchive[阶段],378)="","",INDEX(DGArchive[阶段],378)))</f>
        <v/>
      </c>
      <c r="CC577" t="str">
        <f>IF(378&gt;ROWS(DGArchive[游戏内日期]),"",IF(INDEX(DGArchive[游戏内日期],378)="","",INDEX(DGArchive[游戏内日期],378)))</f>
        <v/>
      </c>
      <c r="CD577" t="str">
        <f>IF(378&gt;ROWS(DGArchive[目标]),"",IF(INDEX(DGArchive[目标],378)="","",INDEX(DGArchive[目标],378)))</f>
        <v/>
      </c>
      <c r="CE577" t="str">
        <f>IF(378&gt;ROWS(DGArchive[变更前]),"",IF(INDEX(DGArchive[变更前],378)="","",INDEX(DGArchive[变更前],378)))</f>
        <v/>
      </c>
      <c r="CF577" t="str">
        <f>IF(378&gt;ROWS(DGArchive[增减]),"",IF(INDEX(DGArchive[增减],378)="","",INDEX(DGArchive[增减],378)))</f>
        <v/>
      </c>
      <c r="CG577" t="str">
        <f>IF(378&gt;ROWS(DGArchive[变更后]),"",IF(INDEX(DGArchive[变更后],378)="","",INDEX(DGArchive[变更后],378)))</f>
        <v/>
      </c>
      <c r="CH577" t="str">
        <f>IF(378&gt;ROWS(DGArchive[事件／活动]),"",IF(INDEX(DGArchive[事件／活动],378)="","",INDEX(DGArchive[事件／活动],378)))</f>
        <v/>
      </c>
      <c r="CI577" t="str">
        <f>IF(378&gt;ROWS(DGArchive[记录编号]),"",IF(INDEX(DGArchive[记录编号],378)="","",INDEX(DGArchive[记录编号],378)))</f>
        <v/>
      </c>
      <c r="CL577">
        <f t="shared" si="164"/>
        <v>0</v>
      </c>
      <c r="CM577">
        <f>IF(AND(A577=$AO$5,B577=$AQ$3,H577=1),COUNTIFS($A$200:A577,$AO$5,$B$200:B577,$AQ$3,$H$200:H577,1),0)</f>
        <v>0</v>
      </c>
      <c r="CN577">
        <f>IF(CA577="",378,1001)</f>
        <v>378</v>
      </c>
      <c r="GA577">
        <f t="shared" si="184"/>
        <v>0</v>
      </c>
      <c r="GB577">
        <f t="shared" si="185"/>
        <v>0</v>
      </c>
      <c r="GC577">
        <f>IF(AND(C577="事件记录",H577=1),COUNTIFS($C$200:C577,"事件记录",$H$200:H577,1),0)</f>
        <v>0</v>
      </c>
      <c r="GD577">
        <f t="shared" si="165"/>
        <v>0</v>
      </c>
      <c r="GH577">
        <f>IF(AND(H577=1,A577=$GA$10,B577=$GA$11),COUNTIFS($A$200:A577,$GA$10,$B$200:B577,$GA$11,$H$200:H577,1),0)</f>
        <v>0</v>
      </c>
    </row>
    <row r="578" spans="1:190">
      <c r="A578" t="str">
        <f t="shared" si="156"/>
        <v/>
      </c>
      <c r="B578" t="str">
        <f t="shared" si="157"/>
        <v/>
      </c>
      <c r="C578" t="str">
        <f t="shared" si="158"/>
        <v/>
      </c>
      <c r="D578" t="str">
        <f t="shared" si="159"/>
        <v/>
      </c>
      <c r="E578">
        <f t="shared" si="160"/>
        <v>0</v>
      </c>
      <c r="F578" t="str">
        <f t="shared" si="161"/>
        <v/>
      </c>
      <c r="G578">
        <f t="shared" si="162"/>
        <v>0</v>
      </c>
      <c r="H578">
        <f>IF(AND(G578=1,COUNTIFS($I$200:I578,I578,$G$200:G578,1)=1),1,0)</f>
        <v>0</v>
      </c>
      <c r="I578" t="str">
        <f t="shared" si="163"/>
        <v/>
      </c>
      <c r="BF578">
        <f t="shared" si="166"/>
        <v>0</v>
      </c>
      <c r="BG578">
        <f t="shared" si="167"/>
        <v>0</v>
      </c>
      <c r="BH578">
        <f t="shared" si="168"/>
        <v>0</v>
      </c>
      <c r="BI578">
        <f t="shared" si="169"/>
        <v>0</v>
      </c>
      <c r="BJ578">
        <f t="shared" si="170"/>
        <v>0</v>
      </c>
      <c r="BK578">
        <f t="shared" si="171"/>
        <v>0</v>
      </c>
      <c r="BL578">
        <f t="shared" si="172"/>
        <v>0</v>
      </c>
      <c r="BM578">
        <f t="shared" si="173"/>
        <v>0</v>
      </c>
      <c r="BN578">
        <f t="shared" si="174"/>
        <v>0</v>
      </c>
      <c r="BO578">
        <f t="shared" si="175"/>
        <v>0</v>
      </c>
      <c r="BP578">
        <f t="shared" si="176"/>
        <v>0</v>
      </c>
      <c r="BQ578">
        <f t="shared" si="177"/>
        <v>0</v>
      </c>
      <c r="BR578">
        <f t="shared" si="178"/>
        <v>0</v>
      </c>
      <c r="BS578">
        <f t="shared" si="179"/>
        <v>0</v>
      </c>
      <c r="BT578">
        <f t="shared" si="180"/>
        <v>0</v>
      </c>
      <c r="BU578">
        <f t="shared" si="181"/>
        <v>0</v>
      </c>
      <c r="BV578">
        <f t="shared" si="182"/>
        <v>0</v>
      </c>
      <c r="BW578">
        <f t="shared" si="183"/>
        <v>0</v>
      </c>
      <c r="CA578" t="str">
        <f>IF(379&gt;ROWS(DGArchive[模组]),"",IF(INDEX(DGArchive[模组],379)="","",INDEX(DGArchive[模组],379)))</f>
        <v/>
      </c>
      <c r="CB578" t="str">
        <f>IF(379&gt;ROWS(DGArchive[阶段]),"",IF(INDEX(DGArchive[阶段],379)="","",INDEX(DGArchive[阶段],379)))</f>
        <v/>
      </c>
      <c r="CC578" t="str">
        <f>IF(379&gt;ROWS(DGArchive[游戏内日期]),"",IF(INDEX(DGArchive[游戏内日期],379)="","",INDEX(DGArchive[游戏内日期],379)))</f>
        <v/>
      </c>
      <c r="CD578" t="str">
        <f>IF(379&gt;ROWS(DGArchive[目标]),"",IF(INDEX(DGArchive[目标],379)="","",INDEX(DGArchive[目标],379)))</f>
        <v/>
      </c>
      <c r="CE578" t="str">
        <f>IF(379&gt;ROWS(DGArchive[变更前]),"",IF(INDEX(DGArchive[变更前],379)="","",INDEX(DGArchive[变更前],379)))</f>
        <v/>
      </c>
      <c r="CF578" t="str">
        <f>IF(379&gt;ROWS(DGArchive[增减]),"",IF(INDEX(DGArchive[增减],379)="","",INDEX(DGArchive[增减],379)))</f>
        <v/>
      </c>
      <c r="CG578" t="str">
        <f>IF(379&gt;ROWS(DGArchive[变更后]),"",IF(INDEX(DGArchive[变更后],379)="","",INDEX(DGArchive[变更后],379)))</f>
        <v/>
      </c>
      <c r="CH578" t="str">
        <f>IF(379&gt;ROWS(DGArchive[事件／活动]),"",IF(INDEX(DGArchive[事件／活动],379)="","",INDEX(DGArchive[事件／活动],379)))</f>
        <v/>
      </c>
      <c r="CI578" t="str">
        <f>IF(379&gt;ROWS(DGArchive[记录编号]),"",IF(INDEX(DGArchive[记录编号],379)="","",INDEX(DGArchive[记录编号],379)))</f>
        <v/>
      </c>
      <c r="CL578">
        <f t="shared" si="164"/>
        <v>0</v>
      </c>
      <c r="CM578">
        <f>IF(AND(A578=$AO$5,B578=$AQ$3,H578=1),COUNTIFS($A$200:A578,$AO$5,$B$200:B578,$AQ$3,$H$200:H578,1),0)</f>
        <v>0</v>
      </c>
      <c r="CN578">
        <f>IF(CA578="",379,1001)</f>
        <v>379</v>
      </c>
      <c r="GA578">
        <f t="shared" si="184"/>
        <v>0</v>
      </c>
      <c r="GB578">
        <f t="shared" si="185"/>
        <v>0</v>
      </c>
      <c r="GC578">
        <f>IF(AND(C578="事件记录",H578=1),COUNTIFS($C$200:C578,"事件记录",$H$200:H578,1),0)</f>
        <v>0</v>
      </c>
      <c r="GD578">
        <f t="shared" si="165"/>
        <v>0</v>
      </c>
      <c r="GH578">
        <f>IF(AND(H578=1,A578=$GA$10,B578=$GA$11),COUNTIFS($A$200:A578,$GA$10,$B$200:B578,$GA$11,$H$200:H578,1),0)</f>
        <v>0</v>
      </c>
    </row>
    <row r="579" spans="1:190">
      <c r="A579" t="str">
        <f t="shared" si="156"/>
        <v/>
      </c>
      <c r="B579" t="str">
        <f t="shared" si="157"/>
        <v/>
      </c>
      <c r="C579" t="str">
        <f t="shared" si="158"/>
        <v/>
      </c>
      <c r="D579" t="str">
        <f t="shared" si="159"/>
        <v/>
      </c>
      <c r="E579">
        <f t="shared" si="160"/>
        <v>0</v>
      </c>
      <c r="F579" t="str">
        <f t="shared" si="161"/>
        <v/>
      </c>
      <c r="G579">
        <f t="shared" si="162"/>
        <v>0</v>
      </c>
      <c r="H579">
        <f>IF(AND(G579=1,COUNTIFS($I$200:I579,I579,$G$200:G579,1)=1),1,0)</f>
        <v>0</v>
      </c>
      <c r="I579" t="str">
        <f t="shared" si="163"/>
        <v/>
      </c>
      <c r="BF579">
        <f t="shared" si="166"/>
        <v>0</v>
      </c>
      <c r="BG579">
        <f t="shared" si="167"/>
        <v>0</v>
      </c>
      <c r="BH579">
        <f t="shared" si="168"/>
        <v>0</v>
      </c>
      <c r="BI579">
        <f t="shared" si="169"/>
        <v>0</v>
      </c>
      <c r="BJ579">
        <f t="shared" si="170"/>
        <v>0</v>
      </c>
      <c r="BK579">
        <f t="shared" si="171"/>
        <v>0</v>
      </c>
      <c r="BL579">
        <f t="shared" si="172"/>
        <v>0</v>
      </c>
      <c r="BM579">
        <f t="shared" si="173"/>
        <v>0</v>
      </c>
      <c r="BN579">
        <f t="shared" si="174"/>
        <v>0</v>
      </c>
      <c r="BO579">
        <f t="shared" si="175"/>
        <v>0</v>
      </c>
      <c r="BP579">
        <f t="shared" si="176"/>
        <v>0</v>
      </c>
      <c r="BQ579">
        <f t="shared" si="177"/>
        <v>0</v>
      </c>
      <c r="BR579">
        <f t="shared" si="178"/>
        <v>0</v>
      </c>
      <c r="BS579">
        <f t="shared" si="179"/>
        <v>0</v>
      </c>
      <c r="BT579">
        <f t="shared" si="180"/>
        <v>0</v>
      </c>
      <c r="BU579">
        <f t="shared" si="181"/>
        <v>0</v>
      </c>
      <c r="BV579">
        <f t="shared" si="182"/>
        <v>0</v>
      </c>
      <c r="BW579">
        <f t="shared" si="183"/>
        <v>0</v>
      </c>
      <c r="CA579" t="str">
        <f>IF(380&gt;ROWS(DGArchive[模组]),"",IF(INDEX(DGArchive[模组],380)="","",INDEX(DGArchive[模组],380)))</f>
        <v/>
      </c>
      <c r="CB579" t="str">
        <f>IF(380&gt;ROWS(DGArchive[阶段]),"",IF(INDEX(DGArchive[阶段],380)="","",INDEX(DGArchive[阶段],380)))</f>
        <v/>
      </c>
      <c r="CC579" t="str">
        <f>IF(380&gt;ROWS(DGArchive[游戏内日期]),"",IF(INDEX(DGArchive[游戏内日期],380)="","",INDEX(DGArchive[游戏内日期],380)))</f>
        <v/>
      </c>
      <c r="CD579" t="str">
        <f>IF(380&gt;ROWS(DGArchive[目标]),"",IF(INDEX(DGArchive[目标],380)="","",INDEX(DGArchive[目标],380)))</f>
        <v/>
      </c>
      <c r="CE579" t="str">
        <f>IF(380&gt;ROWS(DGArchive[变更前]),"",IF(INDEX(DGArchive[变更前],380)="","",INDEX(DGArchive[变更前],380)))</f>
        <v/>
      </c>
      <c r="CF579" t="str">
        <f>IF(380&gt;ROWS(DGArchive[增减]),"",IF(INDEX(DGArchive[增减],380)="","",INDEX(DGArchive[增减],380)))</f>
        <v/>
      </c>
      <c r="CG579" t="str">
        <f>IF(380&gt;ROWS(DGArchive[变更后]),"",IF(INDEX(DGArchive[变更后],380)="","",INDEX(DGArchive[变更后],380)))</f>
        <v/>
      </c>
      <c r="CH579" t="str">
        <f>IF(380&gt;ROWS(DGArchive[事件／活动]),"",IF(INDEX(DGArchive[事件／活动],380)="","",INDEX(DGArchive[事件／活动],380)))</f>
        <v/>
      </c>
      <c r="CI579" t="str">
        <f>IF(380&gt;ROWS(DGArchive[记录编号]),"",IF(INDEX(DGArchive[记录编号],380)="","",INDEX(DGArchive[记录编号],380)))</f>
        <v/>
      </c>
      <c r="CL579">
        <f t="shared" si="164"/>
        <v>0</v>
      </c>
      <c r="CM579">
        <f>IF(AND(A579=$AO$5,B579=$AQ$3,H579=1),COUNTIFS($A$200:A579,$AO$5,$B$200:B579,$AQ$3,$H$200:H579,1),0)</f>
        <v>0</v>
      </c>
      <c r="CN579">
        <f>IF(CA579="",380,1001)</f>
        <v>380</v>
      </c>
      <c r="GA579">
        <f t="shared" si="184"/>
        <v>0</v>
      </c>
      <c r="GB579">
        <f t="shared" si="185"/>
        <v>0</v>
      </c>
      <c r="GC579">
        <f>IF(AND(C579="事件记录",H579=1),COUNTIFS($C$200:C579,"事件记录",$H$200:H579,1),0)</f>
        <v>0</v>
      </c>
      <c r="GD579">
        <f t="shared" si="165"/>
        <v>0</v>
      </c>
      <c r="GH579">
        <f>IF(AND(H579=1,A579=$GA$10,B579=$GA$11),COUNTIFS($A$200:A579,$GA$10,$B$200:B579,$GA$11,$H$200:H579,1),0)</f>
        <v>0</v>
      </c>
    </row>
    <row r="580" spans="1:190">
      <c r="A580" t="str">
        <f t="shared" si="156"/>
        <v/>
      </c>
      <c r="B580" t="str">
        <f t="shared" si="157"/>
        <v/>
      </c>
      <c r="C580" t="str">
        <f t="shared" si="158"/>
        <v/>
      </c>
      <c r="D580" t="str">
        <f t="shared" si="159"/>
        <v/>
      </c>
      <c r="E580">
        <f t="shared" si="160"/>
        <v>0</v>
      </c>
      <c r="F580" t="str">
        <f t="shared" si="161"/>
        <v/>
      </c>
      <c r="G580">
        <f t="shared" si="162"/>
        <v>0</v>
      </c>
      <c r="H580">
        <f>IF(AND(G580=1,COUNTIFS($I$200:I580,I580,$G$200:G580,1)=1),1,0)</f>
        <v>0</v>
      </c>
      <c r="I580" t="str">
        <f t="shared" si="163"/>
        <v/>
      </c>
      <c r="BF580">
        <f t="shared" si="166"/>
        <v>0</v>
      </c>
      <c r="BG580">
        <f t="shared" si="167"/>
        <v>0</v>
      </c>
      <c r="BH580">
        <f t="shared" si="168"/>
        <v>0</v>
      </c>
      <c r="BI580">
        <f t="shared" si="169"/>
        <v>0</v>
      </c>
      <c r="BJ580">
        <f t="shared" si="170"/>
        <v>0</v>
      </c>
      <c r="BK580">
        <f t="shared" si="171"/>
        <v>0</v>
      </c>
      <c r="BL580">
        <f t="shared" si="172"/>
        <v>0</v>
      </c>
      <c r="BM580">
        <f t="shared" si="173"/>
        <v>0</v>
      </c>
      <c r="BN580">
        <f t="shared" si="174"/>
        <v>0</v>
      </c>
      <c r="BO580">
        <f t="shared" si="175"/>
        <v>0</v>
      </c>
      <c r="BP580">
        <f t="shared" si="176"/>
        <v>0</v>
      </c>
      <c r="BQ580">
        <f t="shared" si="177"/>
        <v>0</v>
      </c>
      <c r="BR580">
        <f t="shared" si="178"/>
        <v>0</v>
      </c>
      <c r="BS580">
        <f t="shared" si="179"/>
        <v>0</v>
      </c>
      <c r="BT580">
        <f t="shared" si="180"/>
        <v>0</v>
      </c>
      <c r="BU580">
        <f t="shared" si="181"/>
        <v>0</v>
      </c>
      <c r="BV580">
        <f t="shared" si="182"/>
        <v>0</v>
      </c>
      <c r="BW580">
        <f t="shared" si="183"/>
        <v>0</v>
      </c>
      <c r="CA580" t="str">
        <f>IF(381&gt;ROWS(DGArchive[模组]),"",IF(INDEX(DGArchive[模组],381)="","",INDEX(DGArchive[模组],381)))</f>
        <v/>
      </c>
      <c r="CB580" t="str">
        <f>IF(381&gt;ROWS(DGArchive[阶段]),"",IF(INDEX(DGArchive[阶段],381)="","",INDEX(DGArchive[阶段],381)))</f>
        <v/>
      </c>
      <c r="CC580" t="str">
        <f>IF(381&gt;ROWS(DGArchive[游戏内日期]),"",IF(INDEX(DGArchive[游戏内日期],381)="","",INDEX(DGArchive[游戏内日期],381)))</f>
        <v/>
      </c>
      <c r="CD580" t="str">
        <f>IF(381&gt;ROWS(DGArchive[目标]),"",IF(INDEX(DGArchive[目标],381)="","",INDEX(DGArchive[目标],381)))</f>
        <v/>
      </c>
      <c r="CE580" t="str">
        <f>IF(381&gt;ROWS(DGArchive[变更前]),"",IF(INDEX(DGArchive[变更前],381)="","",INDEX(DGArchive[变更前],381)))</f>
        <v/>
      </c>
      <c r="CF580" t="str">
        <f>IF(381&gt;ROWS(DGArchive[增减]),"",IF(INDEX(DGArchive[增减],381)="","",INDEX(DGArchive[增减],381)))</f>
        <v/>
      </c>
      <c r="CG580" t="str">
        <f>IF(381&gt;ROWS(DGArchive[变更后]),"",IF(INDEX(DGArchive[变更后],381)="","",INDEX(DGArchive[变更后],381)))</f>
        <v/>
      </c>
      <c r="CH580" t="str">
        <f>IF(381&gt;ROWS(DGArchive[事件／活动]),"",IF(INDEX(DGArchive[事件／活动],381)="","",INDEX(DGArchive[事件／活动],381)))</f>
        <v/>
      </c>
      <c r="CI580" t="str">
        <f>IF(381&gt;ROWS(DGArchive[记录编号]),"",IF(INDEX(DGArchive[记录编号],381)="","",INDEX(DGArchive[记录编号],381)))</f>
        <v/>
      </c>
      <c r="CL580">
        <f t="shared" si="164"/>
        <v>0</v>
      </c>
      <c r="CM580">
        <f>IF(AND(A580=$AO$5,B580=$AQ$3,H580=1),COUNTIFS($A$200:A580,$AO$5,$B$200:B580,$AQ$3,$H$200:H580,1),0)</f>
        <v>0</v>
      </c>
      <c r="CN580">
        <f>IF(CA580="",381,1001)</f>
        <v>381</v>
      </c>
      <c r="GA580">
        <f t="shared" si="184"/>
        <v>0</v>
      </c>
      <c r="GB580">
        <f t="shared" si="185"/>
        <v>0</v>
      </c>
      <c r="GC580">
        <f>IF(AND(C580="事件记录",H580=1),COUNTIFS($C$200:C580,"事件记录",$H$200:H580,1),0)</f>
        <v>0</v>
      </c>
      <c r="GD580">
        <f t="shared" si="165"/>
        <v>0</v>
      </c>
      <c r="GH580">
        <f>IF(AND(H580=1,A580=$GA$10,B580=$GA$11),COUNTIFS($A$200:A580,$GA$10,$B$200:B580,$GA$11,$H$200:H580,1),0)</f>
        <v>0</v>
      </c>
    </row>
    <row r="581" spans="1:190">
      <c r="A581" t="str">
        <f t="shared" si="156"/>
        <v/>
      </c>
      <c r="B581" t="str">
        <f t="shared" si="157"/>
        <v/>
      </c>
      <c r="C581" t="str">
        <f t="shared" si="158"/>
        <v/>
      </c>
      <c r="D581" t="str">
        <f t="shared" si="159"/>
        <v/>
      </c>
      <c r="E581">
        <f t="shared" si="160"/>
        <v>0</v>
      </c>
      <c r="F581" t="str">
        <f t="shared" si="161"/>
        <v/>
      </c>
      <c r="G581">
        <f t="shared" si="162"/>
        <v>0</v>
      </c>
      <c r="H581">
        <f>IF(AND(G581=1,COUNTIFS($I$200:I581,I581,$G$200:G581,1)=1),1,0)</f>
        <v>0</v>
      </c>
      <c r="I581" t="str">
        <f t="shared" si="163"/>
        <v/>
      </c>
      <c r="BF581">
        <f t="shared" si="166"/>
        <v>0</v>
      </c>
      <c r="BG581">
        <f t="shared" si="167"/>
        <v>0</v>
      </c>
      <c r="BH581">
        <f t="shared" si="168"/>
        <v>0</v>
      </c>
      <c r="BI581">
        <f t="shared" si="169"/>
        <v>0</v>
      </c>
      <c r="BJ581">
        <f t="shared" si="170"/>
        <v>0</v>
      </c>
      <c r="BK581">
        <f t="shared" si="171"/>
        <v>0</v>
      </c>
      <c r="BL581">
        <f t="shared" si="172"/>
        <v>0</v>
      </c>
      <c r="BM581">
        <f t="shared" si="173"/>
        <v>0</v>
      </c>
      <c r="BN581">
        <f t="shared" si="174"/>
        <v>0</v>
      </c>
      <c r="BO581">
        <f t="shared" si="175"/>
        <v>0</v>
      </c>
      <c r="BP581">
        <f t="shared" si="176"/>
        <v>0</v>
      </c>
      <c r="BQ581">
        <f t="shared" si="177"/>
        <v>0</v>
      </c>
      <c r="BR581">
        <f t="shared" si="178"/>
        <v>0</v>
      </c>
      <c r="BS581">
        <f t="shared" si="179"/>
        <v>0</v>
      </c>
      <c r="BT581">
        <f t="shared" si="180"/>
        <v>0</v>
      </c>
      <c r="BU581">
        <f t="shared" si="181"/>
        <v>0</v>
      </c>
      <c r="BV581">
        <f t="shared" si="182"/>
        <v>0</v>
      </c>
      <c r="BW581">
        <f t="shared" si="183"/>
        <v>0</v>
      </c>
      <c r="CA581" t="str">
        <f>IF(382&gt;ROWS(DGArchive[模组]),"",IF(INDEX(DGArchive[模组],382)="","",INDEX(DGArchive[模组],382)))</f>
        <v/>
      </c>
      <c r="CB581" t="str">
        <f>IF(382&gt;ROWS(DGArchive[阶段]),"",IF(INDEX(DGArchive[阶段],382)="","",INDEX(DGArchive[阶段],382)))</f>
        <v/>
      </c>
      <c r="CC581" t="str">
        <f>IF(382&gt;ROWS(DGArchive[游戏内日期]),"",IF(INDEX(DGArchive[游戏内日期],382)="","",INDEX(DGArchive[游戏内日期],382)))</f>
        <v/>
      </c>
      <c r="CD581" t="str">
        <f>IF(382&gt;ROWS(DGArchive[目标]),"",IF(INDEX(DGArchive[目标],382)="","",INDEX(DGArchive[目标],382)))</f>
        <v/>
      </c>
      <c r="CE581" t="str">
        <f>IF(382&gt;ROWS(DGArchive[变更前]),"",IF(INDEX(DGArchive[变更前],382)="","",INDEX(DGArchive[变更前],382)))</f>
        <v/>
      </c>
      <c r="CF581" t="str">
        <f>IF(382&gt;ROWS(DGArchive[增减]),"",IF(INDEX(DGArchive[增减],382)="","",INDEX(DGArchive[增减],382)))</f>
        <v/>
      </c>
      <c r="CG581" t="str">
        <f>IF(382&gt;ROWS(DGArchive[变更后]),"",IF(INDEX(DGArchive[变更后],382)="","",INDEX(DGArchive[变更后],382)))</f>
        <v/>
      </c>
      <c r="CH581" t="str">
        <f>IF(382&gt;ROWS(DGArchive[事件／活动]),"",IF(INDEX(DGArchive[事件／活动],382)="","",INDEX(DGArchive[事件／活动],382)))</f>
        <v/>
      </c>
      <c r="CI581" t="str">
        <f>IF(382&gt;ROWS(DGArchive[记录编号]),"",IF(INDEX(DGArchive[记录编号],382)="","",INDEX(DGArchive[记录编号],382)))</f>
        <v/>
      </c>
      <c r="CL581">
        <f t="shared" si="164"/>
        <v>0</v>
      </c>
      <c r="CM581">
        <f>IF(AND(A581=$AO$5,B581=$AQ$3,H581=1),COUNTIFS($A$200:A581,$AO$5,$B$200:B581,$AQ$3,$H$200:H581,1),0)</f>
        <v>0</v>
      </c>
      <c r="CN581">
        <f>IF(CA581="",382,1001)</f>
        <v>382</v>
      </c>
      <c r="GA581">
        <f t="shared" si="184"/>
        <v>0</v>
      </c>
      <c r="GB581">
        <f t="shared" si="185"/>
        <v>0</v>
      </c>
      <c r="GC581">
        <f>IF(AND(C581="事件记录",H581=1),COUNTIFS($C$200:C581,"事件记录",$H$200:H581,1),0)</f>
        <v>0</v>
      </c>
      <c r="GD581">
        <f t="shared" si="165"/>
        <v>0</v>
      </c>
      <c r="GH581">
        <f>IF(AND(H581=1,A581=$GA$10,B581=$GA$11),COUNTIFS($A$200:A581,$GA$10,$B$200:B581,$GA$11,$H$200:H581,1),0)</f>
        <v>0</v>
      </c>
    </row>
    <row r="582" spans="1:190">
      <c r="A582" t="str">
        <f t="shared" si="156"/>
        <v/>
      </c>
      <c r="B582" t="str">
        <f t="shared" si="157"/>
        <v/>
      </c>
      <c r="C582" t="str">
        <f t="shared" si="158"/>
        <v/>
      </c>
      <c r="D582" t="str">
        <f t="shared" si="159"/>
        <v/>
      </c>
      <c r="E582">
        <f t="shared" si="160"/>
        <v>0</v>
      </c>
      <c r="F582" t="str">
        <f t="shared" si="161"/>
        <v/>
      </c>
      <c r="G582">
        <f t="shared" si="162"/>
        <v>0</v>
      </c>
      <c r="H582">
        <f>IF(AND(G582=1,COUNTIFS($I$200:I582,I582,$G$200:G582,1)=1),1,0)</f>
        <v>0</v>
      </c>
      <c r="I582" t="str">
        <f t="shared" si="163"/>
        <v/>
      </c>
      <c r="BF582">
        <f t="shared" si="166"/>
        <v>0</v>
      </c>
      <c r="BG582">
        <f t="shared" si="167"/>
        <v>0</v>
      </c>
      <c r="BH582">
        <f t="shared" si="168"/>
        <v>0</v>
      </c>
      <c r="BI582">
        <f t="shared" si="169"/>
        <v>0</v>
      </c>
      <c r="BJ582">
        <f t="shared" si="170"/>
        <v>0</v>
      </c>
      <c r="BK582">
        <f t="shared" si="171"/>
        <v>0</v>
      </c>
      <c r="BL582">
        <f t="shared" si="172"/>
        <v>0</v>
      </c>
      <c r="BM582">
        <f t="shared" si="173"/>
        <v>0</v>
      </c>
      <c r="BN582">
        <f t="shared" si="174"/>
        <v>0</v>
      </c>
      <c r="BO582">
        <f t="shared" si="175"/>
        <v>0</v>
      </c>
      <c r="BP582">
        <f t="shared" si="176"/>
        <v>0</v>
      </c>
      <c r="BQ582">
        <f t="shared" si="177"/>
        <v>0</v>
      </c>
      <c r="BR582">
        <f t="shared" si="178"/>
        <v>0</v>
      </c>
      <c r="BS582">
        <f t="shared" si="179"/>
        <v>0</v>
      </c>
      <c r="BT582">
        <f t="shared" si="180"/>
        <v>0</v>
      </c>
      <c r="BU582">
        <f t="shared" si="181"/>
        <v>0</v>
      </c>
      <c r="BV582">
        <f t="shared" si="182"/>
        <v>0</v>
      </c>
      <c r="BW582">
        <f t="shared" si="183"/>
        <v>0</v>
      </c>
      <c r="CA582" t="str">
        <f>IF(383&gt;ROWS(DGArchive[模组]),"",IF(INDEX(DGArchive[模组],383)="","",INDEX(DGArchive[模组],383)))</f>
        <v/>
      </c>
      <c r="CB582" t="str">
        <f>IF(383&gt;ROWS(DGArchive[阶段]),"",IF(INDEX(DGArchive[阶段],383)="","",INDEX(DGArchive[阶段],383)))</f>
        <v/>
      </c>
      <c r="CC582" t="str">
        <f>IF(383&gt;ROWS(DGArchive[游戏内日期]),"",IF(INDEX(DGArchive[游戏内日期],383)="","",INDEX(DGArchive[游戏内日期],383)))</f>
        <v/>
      </c>
      <c r="CD582" t="str">
        <f>IF(383&gt;ROWS(DGArchive[目标]),"",IF(INDEX(DGArchive[目标],383)="","",INDEX(DGArchive[目标],383)))</f>
        <v/>
      </c>
      <c r="CE582" t="str">
        <f>IF(383&gt;ROWS(DGArchive[变更前]),"",IF(INDEX(DGArchive[变更前],383)="","",INDEX(DGArchive[变更前],383)))</f>
        <v/>
      </c>
      <c r="CF582" t="str">
        <f>IF(383&gt;ROWS(DGArchive[增减]),"",IF(INDEX(DGArchive[增减],383)="","",INDEX(DGArchive[增减],383)))</f>
        <v/>
      </c>
      <c r="CG582" t="str">
        <f>IF(383&gt;ROWS(DGArchive[变更后]),"",IF(INDEX(DGArchive[变更后],383)="","",INDEX(DGArchive[变更后],383)))</f>
        <v/>
      </c>
      <c r="CH582" t="str">
        <f>IF(383&gt;ROWS(DGArchive[事件／活动]),"",IF(INDEX(DGArchive[事件／活动],383)="","",INDEX(DGArchive[事件／活动],383)))</f>
        <v/>
      </c>
      <c r="CI582" t="str">
        <f>IF(383&gt;ROWS(DGArchive[记录编号]),"",IF(INDEX(DGArchive[记录编号],383)="","",INDEX(DGArchive[记录编号],383)))</f>
        <v/>
      </c>
      <c r="CL582">
        <f t="shared" si="164"/>
        <v>0</v>
      </c>
      <c r="CM582">
        <f>IF(AND(A582=$AO$5,B582=$AQ$3,H582=1),COUNTIFS($A$200:A582,$AO$5,$B$200:B582,$AQ$3,$H$200:H582,1),0)</f>
        <v>0</v>
      </c>
      <c r="CN582">
        <f>IF(CA582="",383,1001)</f>
        <v>383</v>
      </c>
      <c r="GA582">
        <f t="shared" si="184"/>
        <v>0</v>
      </c>
      <c r="GB582">
        <f t="shared" si="185"/>
        <v>0</v>
      </c>
      <c r="GC582">
        <f>IF(AND(C582="事件记录",H582=1),COUNTIFS($C$200:C582,"事件记录",$H$200:H582,1),0)</f>
        <v>0</v>
      </c>
      <c r="GD582">
        <f t="shared" si="165"/>
        <v>0</v>
      </c>
      <c r="GH582">
        <f>IF(AND(H582=1,A582=$GA$10,B582=$GA$11),COUNTIFS($A$200:A582,$GA$10,$B$200:B582,$GA$11,$H$200:H582,1),0)</f>
        <v>0</v>
      </c>
    </row>
    <row r="583" spans="1:190">
      <c r="A583" t="str">
        <f t="shared" si="156"/>
        <v/>
      </c>
      <c r="B583" t="str">
        <f t="shared" si="157"/>
        <v/>
      </c>
      <c r="C583" t="str">
        <f t="shared" si="158"/>
        <v/>
      </c>
      <c r="D583" t="str">
        <f t="shared" si="159"/>
        <v/>
      </c>
      <c r="E583">
        <f t="shared" si="160"/>
        <v>0</v>
      </c>
      <c r="F583" t="str">
        <f t="shared" si="161"/>
        <v/>
      </c>
      <c r="G583">
        <f t="shared" si="162"/>
        <v>0</v>
      </c>
      <c r="H583">
        <f>IF(AND(G583=1,COUNTIFS($I$200:I583,I583,$G$200:G583,1)=1),1,0)</f>
        <v>0</v>
      </c>
      <c r="I583" t="str">
        <f t="shared" si="163"/>
        <v/>
      </c>
      <c r="BF583">
        <f t="shared" si="166"/>
        <v>0</v>
      </c>
      <c r="BG583">
        <f t="shared" si="167"/>
        <v>0</v>
      </c>
      <c r="BH583">
        <f t="shared" si="168"/>
        <v>0</v>
      </c>
      <c r="BI583">
        <f t="shared" si="169"/>
        <v>0</v>
      </c>
      <c r="BJ583">
        <f t="shared" si="170"/>
        <v>0</v>
      </c>
      <c r="BK583">
        <f t="shared" si="171"/>
        <v>0</v>
      </c>
      <c r="BL583">
        <f t="shared" si="172"/>
        <v>0</v>
      </c>
      <c r="BM583">
        <f t="shared" si="173"/>
        <v>0</v>
      </c>
      <c r="BN583">
        <f t="shared" si="174"/>
        <v>0</v>
      </c>
      <c r="BO583">
        <f t="shared" si="175"/>
        <v>0</v>
      </c>
      <c r="BP583">
        <f t="shared" si="176"/>
        <v>0</v>
      </c>
      <c r="BQ583">
        <f t="shared" si="177"/>
        <v>0</v>
      </c>
      <c r="BR583">
        <f t="shared" si="178"/>
        <v>0</v>
      </c>
      <c r="BS583">
        <f t="shared" si="179"/>
        <v>0</v>
      </c>
      <c r="BT583">
        <f t="shared" si="180"/>
        <v>0</v>
      </c>
      <c r="BU583">
        <f t="shared" si="181"/>
        <v>0</v>
      </c>
      <c r="BV583">
        <f t="shared" si="182"/>
        <v>0</v>
      </c>
      <c r="BW583">
        <f t="shared" si="183"/>
        <v>0</v>
      </c>
      <c r="CA583" t="str">
        <f>IF(384&gt;ROWS(DGArchive[模组]),"",IF(INDEX(DGArchive[模组],384)="","",INDEX(DGArchive[模组],384)))</f>
        <v/>
      </c>
      <c r="CB583" t="str">
        <f>IF(384&gt;ROWS(DGArchive[阶段]),"",IF(INDEX(DGArchive[阶段],384)="","",INDEX(DGArchive[阶段],384)))</f>
        <v/>
      </c>
      <c r="CC583" t="str">
        <f>IF(384&gt;ROWS(DGArchive[游戏内日期]),"",IF(INDEX(DGArchive[游戏内日期],384)="","",INDEX(DGArchive[游戏内日期],384)))</f>
        <v/>
      </c>
      <c r="CD583" t="str">
        <f>IF(384&gt;ROWS(DGArchive[目标]),"",IF(INDEX(DGArchive[目标],384)="","",INDEX(DGArchive[目标],384)))</f>
        <v/>
      </c>
      <c r="CE583" t="str">
        <f>IF(384&gt;ROWS(DGArchive[变更前]),"",IF(INDEX(DGArchive[变更前],384)="","",INDEX(DGArchive[变更前],384)))</f>
        <v/>
      </c>
      <c r="CF583" t="str">
        <f>IF(384&gt;ROWS(DGArchive[增减]),"",IF(INDEX(DGArchive[增减],384)="","",INDEX(DGArchive[增减],384)))</f>
        <v/>
      </c>
      <c r="CG583" t="str">
        <f>IF(384&gt;ROWS(DGArchive[变更后]),"",IF(INDEX(DGArchive[变更后],384)="","",INDEX(DGArchive[变更后],384)))</f>
        <v/>
      </c>
      <c r="CH583" t="str">
        <f>IF(384&gt;ROWS(DGArchive[事件／活动]),"",IF(INDEX(DGArchive[事件／活动],384)="","",INDEX(DGArchive[事件／活动],384)))</f>
        <v/>
      </c>
      <c r="CI583" t="str">
        <f>IF(384&gt;ROWS(DGArchive[记录编号]),"",IF(INDEX(DGArchive[记录编号],384)="","",INDEX(DGArchive[记录编号],384)))</f>
        <v/>
      </c>
      <c r="CL583">
        <f t="shared" si="164"/>
        <v>0</v>
      </c>
      <c r="CM583">
        <f>IF(AND(A583=$AO$5,B583=$AQ$3,H583=1),COUNTIFS($A$200:A583,$AO$5,$B$200:B583,$AQ$3,$H$200:H583,1),0)</f>
        <v>0</v>
      </c>
      <c r="CN583">
        <f>IF(CA583="",384,1001)</f>
        <v>384</v>
      </c>
      <c r="GA583">
        <f t="shared" si="184"/>
        <v>0</v>
      </c>
      <c r="GB583">
        <f t="shared" si="185"/>
        <v>0</v>
      </c>
      <c r="GC583">
        <f>IF(AND(C583="事件记录",H583=1),COUNTIFS($C$200:C583,"事件记录",$H$200:H583,1),0)</f>
        <v>0</v>
      </c>
      <c r="GD583">
        <f t="shared" si="165"/>
        <v>0</v>
      </c>
      <c r="GH583">
        <f>IF(AND(H583=1,A583=$GA$10,B583=$GA$11),COUNTIFS($A$200:A583,$GA$10,$B$200:B583,$GA$11,$H$200:H583,1),0)</f>
        <v>0</v>
      </c>
    </row>
    <row r="584" spans="1:190">
      <c r="A584" t="str">
        <f t="shared" ref="A584:A647" si="186">IFERROR(TEXT(VALUE(CA584),"00"),"")</f>
        <v/>
      </c>
      <c r="B584" t="str">
        <f t="shared" ref="B584:B647" si="187">CB584</f>
        <v/>
      </c>
      <c r="C584" t="str">
        <f t="shared" ref="C584:C647" si="188">CD584</f>
        <v/>
      </c>
      <c r="D584" t="str">
        <f t="shared" ref="D584:D647" si="189">CF584</f>
        <v/>
      </c>
      <c r="E584">
        <f t="shared" ref="E584:E647" si="190">IF(H584=1,MAX(-CE584,MIN(D584,IF(LEFT(C584,3)="技能：",99,IF(COUNTIF($L$2:$L$7,C584)&gt;0,18,999))-CE584)),0)</f>
        <v>0</v>
      </c>
      <c r="F584" t="str">
        <f t="shared" ref="F584:F647" si="191">IF(OR(C584=0,C584=""),"",IF(G584=0,"记录不完整",IF(H584=0,"重复未计","已计入")))</f>
        <v/>
      </c>
      <c r="G584">
        <f t="shared" ref="G584:G647" si="192">IF(AND(AND(CA584&lt;&gt;"",CB584&lt;&gt;"",CI584&lt;&gt;"",OR(LEFT(C584,3)="技能：",COUNTIF($L$2:$L$19,C584)&gt;0,C584="事件记录",C584="暴力进度",C584="无力进度"),ISNUMBER(CE584),ISNUMBER(CF584),ISNUMBER(CG584),CE584&gt;=0,CG584=SUM(CE584,CF584)),OR(B584&lt;&gt;"成长",AND(LEFT(C584,3)="技能：",C584&lt;&gt;"技能：非自然知识",CE584&gt;=1,CE584&lt;=99,CF584&gt;=0,CF584&lt;=4,CG584&lt;=99))),1,0)</f>
        <v>0</v>
      </c>
      <c r="H584">
        <f>IF(AND(G584=1,COUNTIFS($I$200:I584,I584,$G$200:G584,1)=1),1,0)</f>
        <v>0</v>
      </c>
      <c r="I584" t="str">
        <f t="shared" ref="I584:I647" si="193">IF(G584=1,IF(B584="成长",A584&amp;"-成长-"&amp;C584,CI584),"")</f>
        <v/>
      </c>
      <c r="BF584">
        <f t="shared" si="166"/>
        <v>0</v>
      </c>
      <c r="BG584">
        <f t="shared" si="167"/>
        <v>0</v>
      </c>
      <c r="BH584">
        <f t="shared" si="168"/>
        <v>0</v>
      </c>
      <c r="BI584">
        <f t="shared" si="169"/>
        <v>0</v>
      </c>
      <c r="BJ584">
        <f t="shared" si="170"/>
        <v>0</v>
      </c>
      <c r="BK584">
        <f t="shared" si="171"/>
        <v>0</v>
      </c>
      <c r="BL584">
        <f t="shared" si="172"/>
        <v>0</v>
      </c>
      <c r="BM584">
        <f t="shared" si="173"/>
        <v>0</v>
      </c>
      <c r="BN584">
        <f t="shared" si="174"/>
        <v>0</v>
      </c>
      <c r="BO584">
        <f t="shared" si="175"/>
        <v>0</v>
      </c>
      <c r="BP584">
        <f t="shared" si="176"/>
        <v>0</v>
      </c>
      <c r="BQ584">
        <f t="shared" si="177"/>
        <v>0</v>
      </c>
      <c r="BR584">
        <f t="shared" si="178"/>
        <v>0</v>
      </c>
      <c r="BS584">
        <f t="shared" si="179"/>
        <v>0</v>
      </c>
      <c r="BT584">
        <f t="shared" si="180"/>
        <v>0</v>
      </c>
      <c r="BU584">
        <f t="shared" si="181"/>
        <v>0</v>
      </c>
      <c r="BV584">
        <f t="shared" si="182"/>
        <v>0</v>
      </c>
      <c r="BW584">
        <f t="shared" si="183"/>
        <v>0</v>
      </c>
      <c r="CA584" t="str">
        <f>IF(385&gt;ROWS(DGArchive[模组]),"",IF(INDEX(DGArchive[模组],385)="","",INDEX(DGArchive[模组],385)))</f>
        <v/>
      </c>
      <c r="CB584" t="str">
        <f>IF(385&gt;ROWS(DGArchive[阶段]),"",IF(INDEX(DGArchive[阶段],385)="","",INDEX(DGArchive[阶段],385)))</f>
        <v/>
      </c>
      <c r="CC584" t="str">
        <f>IF(385&gt;ROWS(DGArchive[游戏内日期]),"",IF(INDEX(DGArchive[游戏内日期],385)="","",INDEX(DGArchive[游戏内日期],385)))</f>
        <v/>
      </c>
      <c r="CD584" t="str">
        <f>IF(385&gt;ROWS(DGArchive[目标]),"",IF(INDEX(DGArchive[目标],385)="","",INDEX(DGArchive[目标],385)))</f>
        <v/>
      </c>
      <c r="CE584" t="str">
        <f>IF(385&gt;ROWS(DGArchive[变更前]),"",IF(INDEX(DGArchive[变更前],385)="","",INDEX(DGArchive[变更前],385)))</f>
        <v/>
      </c>
      <c r="CF584" t="str">
        <f>IF(385&gt;ROWS(DGArchive[增减]),"",IF(INDEX(DGArchive[增减],385)="","",INDEX(DGArchive[增减],385)))</f>
        <v/>
      </c>
      <c r="CG584" t="str">
        <f>IF(385&gt;ROWS(DGArchive[变更后]),"",IF(INDEX(DGArchive[变更后],385)="","",INDEX(DGArchive[变更后],385)))</f>
        <v/>
      </c>
      <c r="CH584" t="str">
        <f>IF(385&gt;ROWS(DGArchive[事件／活动]),"",IF(INDEX(DGArchive[事件／活动],385)="","",INDEX(DGArchive[事件／活动],385)))</f>
        <v/>
      </c>
      <c r="CI584" t="str">
        <f>IF(385&gt;ROWS(DGArchive[记录编号]),"",IF(INDEX(DGArchive[记录编号],385)="","",INDEX(DGArchive[记录编号],385)))</f>
        <v/>
      </c>
      <c r="CL584">
        <f t="shared" ref="CL584:CL647" si="194">IF(AND(A584=$AO$5,H584=1,LEFT(B584,2)="幕间"),IFERROR(VALUE(MID(B584,3,20)),0),0)</f>
        <v>0</v>
      </c>
      <c r="CM584">
        <f>IF(AND(A584=$AO$5,B584=$AQ$3,H584=1),COUNTIFS($A$200:A584,$AO$5,$B$200:B584,$AQ$3,$H$200:H584,1),0)</f>
        <v>0</v>
      </c>
      <c r="CN584">
        <f>IF(CA584="",385,1001)</f>
        <v>385</v>
      </c>
      <c r="GA584">
        <f t="shared" si="184"/>
        <v>0</v>
      </c>
      <c r="GB584">
        <f t="shared" si="185"/>
        <v>0</v>
      </c>
      <c r="GC584">
        <f>IF(AND(C584="事件记录",H584=1),COUNTIFS($C$200:C584,"事件记录",$H$200:H584,1),0)</f>
        <v>0</v>
      </c>
      <c r="GD584">
        <f t="shared" ref="GD584:GD647" si="195">IF(AND(H584=1,A584=$GA$10,LEFT(B584,2)="事件"),IFERROR(VALUE(MID(B584,3,20)),0),0)</f>
        <v>0</v>
      </c>
      <c r="GH584">
        <f>IF(AND(H584=1,A584=$GA$10,B584=$GA$11),COUNTIFS($A$200:A584,$GA$10,$B$200:B584,$GA$11,$H$200:H584,1),0)</f>
        <v>0</v>
      </c>
    </row>
    <row r="585" spans="1:190">
      <c r="A585" t="str">
        <f t="shared" si="186"/>
        <v/>
      </c>
      <c r="B585" t="str">
        <f t="shared" si="187"/>
        <v/>
      </c>
      <c r="C585" t="str">
        <f t="shared" si="188"/>
        <v/>
      </c>
      <c r="D585" t="str">
        <f t="shared" si="189"/>
        <v/>
      </c>
      <c r="E585">
        <f t="shared" si="190"/>
        <v>0</v>
      </c>
      <c r="F585" t="str">
        <f t="shared" si="191"/>
        <v/>
      </c>
      <c r="G585">
        <f t="shared" si="192"/>
        <v>0</v>
      </c>
      <c r="H585">
        <f>IF(AND(G585=1,COUNTIFS($I$200:I585,I585,$G$200:G585,1)=1),1,0)</f>
        <v>0</v>
      </c>
      <c r="I585" t="str">
        <f t="shared" si="193"/>
        <v/>
      </c>
      <c r="BF585">
        <f t="shared" ref="BF585:BF648" si="196">MAX(0,MIN(18,BF584+IF(C585="力量",E585,0)))</f>
        <v>0</v>
      </c>
      <c r="BG585">
        <f t="shared" ref="BG585:BG648" si="197">MAX(0,MIN(18,BG584+IF(C585="体质",E585,0)))</f>
        <v>0</v>
      </c>
      <c r="BH585">
        <f t="shared" ref="BH585:BH648" si="198">MAX(0,MIN(18,BH584+IF(C585="敏捷",E585,0)))</f>
        <v>0</v>
      </c>
      <c r="BI585">
        <f t="shared" ref="BI585:BI648" si="199">MAX(0,MIN(18,BI584+IF(C585="智力",E585,0)))</f>
        <v>0</v>
      </c>
      <c r="BJ585">
        <f t="shared" ref="BJ585:BJ648" si="200">MAX(0,MIN(18,BJ584+IF(C585="意志",E585,0)))</f>
        <v>0</v>
      </c>
      <c r="BK585">
        <f t="shared" ref="BK585:BK648" si="201">MAX(0,MIN(18,BK584+IF(C585="魅力",E585,0)))</f>
        <v>0</v>
      </c>
      <c r="BL585">
        <f t="shared" ref="BL585:BL648" si="202">MAX(0,MIN(99,BL584+IF(C585="技能：非自然知识",E585,0)))</f>
        <v>0</v>
      </c>
      <c r="BM585">
        <f t="shared" ref="BM585:BM648" si="203">MAX(0,MIN(CEILING((BF585+BG585)/2,1),BM584+IF(C585="体力",E585,0)))</f>
        <v>0</v>
      </c>
      <c r="BN585">
        <f t="shared" ref="BN585:BN648" si="204">MAX(0,MIN(BJ585,BN584+IF(C585="毅力",E585,0)))</f>
        <v>0</v>
      </c>
      <c r="BO585">
        <f t="shared" ref="BO585:BO648" si="205">MAX(0,MIN(99-BL585,BO584+IF(C585="理智",E585,0)))</f>
        <v>0</v>
      </c>
      <c r="BP585">
        <f t="shared" ref="BP585:BP648" si="206">MAX(0,MIN(99,BP584+IF(C585="崩溃点",E585,0)))</f>
        <v>0</v>
      </c>
      <c r="BQ585">
        <f t="shared" ref="BQ585:BQ648" si="207">MAX(0,MIN(BK585,IF(AND(H585=1,C585="重要关系1",LEFT(CH585,8)="建立新的重要关系"),CE585+E585,IF(BQ584=0,0,BQ584+IF(C585="重要关系1",E585,0))+IF(AND(C585="魅力",E585&lt;0),E585,0))))</f>
        <v>0</v>
      </c>
      <c r="BR585">
        <f t="shared" ref="BR585:BR648" si="208">MAX(0,MIN(BK585,IF(AND(H585=1,C585="重要关系2",LEFT(CH585,8)="建立新的重要关系"),CE585+E585,IF(BR584=0,0,BR584+IF(C585="重要关系2",E585,0))+IF(AND(C585="魅力",E585&lt;0),E585,0))))</f>
        <v>0</v>
      </c>
      <c r="BS585">
        <f t="shared" ref="BS585:BS648" si="209">MAX(0,MIN(BK585,IF(AND(H585=1,C585="重要关系3",LEFT(CH585,8)="建立新的重要关系"),CE585+E585,IF(BS584=0,0,BS584+IF(C585="重要关系3",E585,0))+IF(AND(C585="魅力",E585&lt;0),E585,0))))</f>
        <v>0</v>
      </c>
      <c r="BT585">
        <f t="shared" ref="BT585:BT648" si="210">MAX(0,MIN(BK585,IF(AND(H585=1,C585="重要关系4",LEFT(CH585,8)="建立新的重要关系"),CE585+E585,IF(BT584=0,0,BT584+IF(C585="重要关系4",E585,0))+IF(AND(C585="魅力",E585&lt;0),E585,0))))</f>
        <v>0</v>
      </c>
      <c r="BU585">
        <f t="shared" ref="BU585:BU648" si="211">MAX(0,MIN(BK585,IF(AND(H585=1,C585="重要关系5",LEFT(CH585,8)="建立新的重要关系"),CE585+E585,IF(BU584=0,0,BU584+IF(C585="重要关系5",E585,0))+IF(AND(C585="魅力",E585&lt;0),E585,0))))</f>
        <v>0</v>
      </c>
      <c r="BV585">
        <f t="shared" ref="BV585:BV648" si="212">MAX(0,MIN(BK585,IF(AND(H585=1,C585="重要关系6",LEFT(CH585,8)="建立新的重要关系"),CE585+E585,IF(BV584=0,0,BV584+IF(C585="重要关系6",E585,0))+IF(AND(C585="魅力",E585&lt;0),E585,0))))</f>
        <v>0</v>
      </c>
      <c r="BW585">
        <f t="shared" ref="BW585:BW648" si="213">MAX(0,MIN(BK585,IF(AND(H585=1,C585="重要关系7",LEFT(CH585,8)="建立新的重要关系"),CE585+E585,IF(BW584=0,0,BW584+IF(C585="重要关系7",E585,0))+IF(AND(C585="魅力",E585&lt;0),E585,0))))</f>
        <v>0</v>
      </c>
      <c r="CA585" t="str">
        <f>IF(386&gt;ROWS(DGArchive[模组]),"",IF(INDEX(DGArchive[模组],386)="","",INDEX(DGArchive[模组],386)))</f>
        <v/>
      </c>
      <c r="CB585" t="str">
        <f>IF(386&gt;ROWS(DGArchive[阶段]),"",IF(INDEX(DGArchive[阶段],386)="","",INDEX(DGArchive[阶段],386)))</f>
        <v/>
      </c>
      <c r="CC585" t="str">
        <f>IF(386&gt;ROWS(DGArchive[游戏内日期]),"",IF(INDEX(DGArchive[游戏内日期],386)="","",INDEX(DGArchive[游戏内日期],386)))</f>
        <v/>
      </c>
      <c r="CD585" t="str">
        <f>IF(386&gt;ROWS(DGArchive[目标]),"",IF(INDEX(DGArchive[目标],386)="","",INDEX(DGArchive[目标],386)))</f>
        <v/>
      </c>
      <c r="CE585" t="str">
        <f>IF(386&gt;ROWS(DGArchive[变更前]),"",IF(INDEX(DGArchive[变更前],386)="","",INDEX(DGArchive[变更前],386)))</f>
        <v/>
      </c>
      <c r="CF585" t="str">
        <f>IF(386&gt;ROWS(DGArchive[增减]),"",IF(INDEX(DGArchive[增减],386)="","",INDEX(DGArchive[增减],386)))</f>
        <v/>
      </c>
      <c r="CG585" t="str">
        <f>IF(386&gt;ROWS(DGArchive[变更后]),"",IF(INDEX(DGArchive[变更后],386)="","",INDEX(DGArchive[变更后],386)))</f>
        <v/>
      </c>
      <c r="CH585" t="str">
        <f>IF(386&gt;ROWS(DGArchive[事件／活动]),"",IF(INDEX(DGArchive[事件／活动],386)="","",INDEX(DGArchive[事件／活动],386)))</f>
        <v/>
      </c>
      <c r="CI585" t="str">
        <f>IF(386&gt;ROWS(DGArchive[记录编号]),"",IF(INDEX(DGArchive[记录编号],386)="","",INDEX(DGArchive[记录编号],386)))</f>
        <v/>
      </c>
      <c r="CL585">
        <f t="shared" si="194"/>
        <v>0</v>
      </c>
      <c r="CM585">
        <f>IF(AND(A585=$AO$5,B585=$AQ$3,H585=1),COUNTIFS($A$200:A585,$AO$5,$B$200:B585,$AQ$3,$H$200:H585,1),0)</f>
        <v>0</v>
      </c>
      <c r="CN585">
        <f>IF(CA585="",386,1001)</f>
        <v>386</v>
      </c>
      <c r="GA585">
        <f t="shared" ref="GA585:GA648" si="214">MAX(0,MIN(3,GA584+IF(C585="暴力进度",E585,0)))</f>
        <v>0</v>
      </c>
      <c r="GB585">
        <f t="shared" ref="GB585:GB648" si="215">MAX(0,MIN(3,GB584+IF(C585="无力进度",E585,0)))</f>
        <v>0</v>
      </c>
      <c r="GC585">
        <f>IF(AND(C585="事件记录",H585=1),COUNTIFS($C$200:C585,"事件记录",$H$200:H585,1),0)</f>
        <v>0</v>
      </c>
      <c r="GD585">
        <f t="shared" si="195"/>
        <v>0</v>
      </c>
      <c r="GH585">
        <f>IF(AND(H585=1,A585=$GA$10,B585=$GA$11),COUNTIFS($A$200:A585,$GA$10,$B$200:B585,$GA$11,$H$200:H585,1),0)</f>
        <v>0</v>
      </c>
    </row>
    <row r="586" spans="1:190">
      <c r="A586" t="str">
        <f t="shared" si="186"/>
        <v/>
      </c>
      <c r="B586" t="str">
        <f t="shared" si="187"/>
        <v/>
      </c>
      <c r="C586" t="str">
        <f t="shared" si="188"/>
        <v/>
      </c>
      <c r="D586" t="str">
        <f t="shared" si="189"/>
        <v/>
      </c>
      <c r="E586">
        <f t="shared" si="190"/>
        <v>0</v>
      </c>
      <c r="F586" t="str">
        <f t="shared" si="191"/>
        <v/>
      </c>
      <c r="G586">
        <f t="shared" si="192"/>
        <v>0</v>
      </c>
      <c r="H586">
        <f>IF(AND(G586=1,COUNTIFS($I$200:I586,I586,$G$200:G586,1)=1),1,0)</f>
        <v>0</v>
      </c>
      <c r="I586" t="str">
        <f t="shared" si="193"/>
        <v/>
      </c>
      <c r="BF586">
        <f t="shared" si="196"/>
        <v>0</v>
      </c>
      <c r="BG586">
        <f t="shared" si="197"/>
        <v>0</v>
      </c>
      <c r="BH586">
        <f t="shared" si="198"/>
        <v>0</v>
      </c>
      <c r="BI586">
        <f t="shared" si="199"/>
        <v>0</v>
      </c>
      <c r="BJ586">
        <f t="shared" si="200"/>
        <v>0</v>
      </c>
      <c r="BK586">
        <f t="shared" si="201"/>
        <v>0</v>
      </c>
      <c r="BL586">
        <f t="shared" si="202"/>
        <v>0</v>
      </c>
      <c r="BM586">
        <f t="shared" si="203"/>
        <v>0</v>
      </c>
      <c r="BN586">
        <f t="shared" si="204"/>
        <v>0</v>
      </c>
      <c r="BO586">
        <f t="shared" si="205"/>
        <v>0</v>
      </c>
      <c r="BP586">
        <f t="shared" si="206"/>
        <v>0</v>
      </c>
      <c r="BQ586">
        <f t="shared" si="207"/>
        <v>0</v>
      </c>
      <c r="BR586">
        <f t="shared" si="208"/>
        <v>0</v>
      </c>
      <c r="BS586">
        <f t="shared" si="209"/>
        <v>0</v>
      </c>
      <c r="BT586">
        <f t="shared" si="210"/>
        <v>0</v>
      </c>
      <c r="BU586">
        <f t="shared" si="211"/>
        <v>0</v>
      </c>
      <c r="BV586">
        <f t="shared" si="212"/>
        <v>0</v>
      </c>
      <c r="BW586">
        <f t="shared" si="213"/>
        <v>0</v>
      </c>
      <c r="CA586" t="str">
        <f>IF(387&gt;ROWS(DGArchive[模组]),"",IF(INDEX(DGArchive[模组],387)="","",INDEX(DGArchive[模组],387)))</f>
        <v/>
      </c>
      <c r="CB586" t="str">
        <f>IF(387&gt;ROWS(DGArchive[阶段]),"",IF(INDEX(DGArchive[阶段],387)="","",INDEX(DGArchive[阶段],387)))</f>
        <v/>
      </c>
      <c r="CC586" t="str">
        <f>IF(387&gt;ROWS(DGArchive[游戏内日期]),"",IF(INDEX(DGArchive[游戏内日期],387)="","",INDEX(DGArchive[游戏内日期],387)))</f>
        <v/>
      </c>
      <c r="CD586" t="str">
        <f>IF(387&gt;ROWS(DGArchive[目标]),"",IF(INDEX(DGArchive[目标],387)="","",INDEX(DGArchive[目标],387)))</f>
        <v/>
      </c>
      <c r="CE586" t="str">
        <f>IF(387&gt;ROWS(DGArchive[变更前]),"",IF(INDEX(DGArchive[变更前],387)="","",INDEX(DGArchive[变更前],387)))</f>
        <v/>
      </c>
      <c r="CF586" t="str">
        <f>IF(387&gt;ROWS(DGArchive[增减]),"",IF(INDEX(DGArchive[增减],387)="","",INDEX(DGArchive[增减],387)))</f>
        <v/>
      </c>
      <c r="CG586" t="str">
        <f>IF(387&gt;ROWS(DGArchive[变更后]),"",IF(INDEX(DGArchive[变更后],387)="","",INDEX(DGArchive[变更后],387)))</f>
        <v/>
      </c>
      <c r="CH586" t="str">
        <f>IF(387&gt;ROWS(DGArchive[事件／活动]),"",IF(INDEX(DGArchive[事件／活动],387)="","",INDEX(DGArchive[事件／活动],387)))</f>
        <v/>
      </c>
      <c r="CI586" t="str">
        <f>IF(387&gt;ROWS(DGArchive[记录编号]),"",IF(INDEX(DGArchive[记录编号],387)="","",INDEX(DGArchive[记录编号],387)))</f>
        <v/>
      </c>
      <c r="CL586">
        <f t="shared" si="194"/>
        <v>0</v>
      </c>
      <c r="CM586">
        <f>IF(AND(A586=$AO$5,B586=$AQ$3,H586=1),COUNTIFS($A$200:A586,$AO$5,$B$200:B586,$AQ$3,$H$200:H586,1),0)</f>
        <v>0</v>
      </c>
      <c r="CN586">
        <f>IF(CA586="",387,1001)</f>
        <v>387</v>
      </c>
      <c r="GA586">
        <f t="shared" si="214"/>
        <v>0</v>
      </c>
      <c r="GB586">
        <f t="shared" si="215"/>
        <v>0</v>
      </c>
      <c r="GC586">
        <f>IF(AND(C586="事件记录",H586=1),COUNTIFS($C$200:C586,"事件记录",$H$200:H586,1),0)</f>
        <v>0</v>
      </c>
      <c r="GD586">
        <f t="shared" si="195"/>
        <v>0</v>
      </c>
      <c r="GH586">
        <f>IF(AND(H586=1,A586=$GA$10,B586=$GA$11),COUNTIFS($A$200:A586,$GA$10,$B$200:B586,$GA$11,$H$200:H586,1),0)</f>
        <v>0</v>
      </c>
    </row>
    <row r="587" spans="1:190">
      <c r="A587" t="str">
        <f t="shared" si="186"/>
        <v/>
      </c>
      <c r="B587" t="str">
        <f t="shared" si="187"/>
        <v/>
      </c>
      <c r="C587" t="str">
        <f t="shared" si="188"/>
        <v/>
      </c>
      <c r="D587" t="str">
        <f t="shared" si="189"/>
        <v/>
      </c>
      <c r="E587">
        <f t="shared" si="190"/>
        <v>0</v>
      </c>
      <c r="F587" t="str">
        <f t="shared" si="191"/>
        <v/>
      </c>
      <c r="G587">
        <f t="shared" si="192"/>
        <v>0</v>
      </c>
      <c r="H587">
        <f>IF(AND(G587=1,COUNTIFS($I$200:I587,I587,$G$200:G587,1)=1),1,0)</f>
        <v>0</v>
      </c>
      <c r="I587" t="str">
        <f t="shared" si="193"/>
        <v/>
      </c>
      <c r="BF587">
        <f t="shared" si="196"/>
        <v>0</v>
      </c>
      <c r="BG587">
        <f t="shared" si="197"/>
        <v>0</v>
      </c>
      <c r="BH587">
        <f t="shared" si="198"/>
        <v>0</v>
      </c>
      <c r="BI587">
        <f t="shared" si="199"/>
        <v>0</v>
      </c>
      <c r="BJ587">
        <f t="shared" si="200"/>
        <v>0</v>
      </c>
      <c r="BK587">
        <f t="shared" si="201"/>
        <v>0</v>
      </c>
      <c r="BL587">
        <f t="shared" si="202"/>
        <v>0</v>
      </c>
      <c r="BM587">
        <f t="shared" si="203"/>
        <v>0</v>
      </c>
      <c r="BN587">
        <f t="shared" si="204"/>
        <v>0</v>
      </c>
      <c r="BO587">
        <f t="shared" si="205"/>
        <v>0</v>
      </c>
      <c r="BP587">
        <f t="shared" si="206"/>
        <v>0</v>
      </c>
      <c r="BQ587">
        <f t="shared" si="207"/>
        <v>0</v>
      </c>
      <c r="BR587">
        <f t="shared" si="208"/>
        <v>0</v>
      </c>
      <c r="BS587">
        <f t="shared" si="209"/>
        <v>0</v>
      </c>
      <c r="BT587">
        <f t="shared" si="210"/>
        <v>0</v>
      </c>
      <c r="BU587">
        <f t="shared" si="211"/>
        <v>0</v>
      </c>
      <c r="BV587">
        <f t="shared" si="212"/>
        <v>0</v>
      </c>
      <c r="BW587">
        <f t="shared" si="213"/>
        <v>0</v>
      </c>
      <c r="CA587" t="str">
        <f>IF(388&gt;ROWS(DGArchive[模组]),"",IF(INDEX(DGArchive[模组],388)="","",INDEX(DGArchive[模组],388)))</f>
        <v/>
      </c>
      <c r="CB587" t="str">
        <f>IF(388&gt;ROWS(DGArchive[阶段]),"",IF(INDEX(DGArchive[阶段],388)="","",INDEX(DGArchive[阶段],388)))</f>
        <v/>
      </c>
      <c r="CC587" t="str">
        <f>IF(388&gt;ROWS(DGArchive[游戏内日期]),"",IF(INDEX(DGArchive[游戏内日期],388)="","",INDEX(DGArchive[游戏内日期],388)))</f>
        <v/>
      </c>
      <c r="CD587" t="str">
        <f>IF(388&gt;ROWS(DGArchive[目标]),"",IF(INDEX(DGArchive[目标],388)="","",INDEX(DGArchive[目标],388)))</f>
        <v/>
      </c>
      <c r="CE587" t="str">
        <f>IF(388&gt;ROWS(DGArchive[变更前]),"",IF(INDEX(DGArchive[变更前],388)="","",INDEX(DGArchive[变更前],388)))</f>
        <v/>
      </c>
      <c r="CF587" t="str">
        <f>IF(388&gt;ROWS(DGArchive[增减]),"",IF(INDEX(DGArchive[增减],388)="","",INDEX(DGArchive[增减],388)))</f>
        <v/>
      </c>
      <c r="CG587" t="str">
        <f>IF(388&gt;ROWS(DGArchive[变更后]),"",IF(INDEX(DGArchive[变更后],388)="","",INDEX(DGArchive[变更后],388)))</f>
        <v/>
      </c>
      <c r="CH587" t="str">
        <f>IF(388&gt;ROWS(DGArchive[事件／活动]),"",IF(INDEX(DGArchive[事件／活动],388)="","",INDEX(DGArchive[事件／活动],388)))</f>
        <v/>
      </c>
      <c r="CI587" t="str">
        <f>IF(388&gt;ROWS(DGArchive[记录编号]),"",IF(INDEX(DGArchive[记录编号],388)="","",INDEX(DGArchive[记录编号],388)))</f>
        <v/>
      </c>
      <c r="CL587">
        <f t="shared" si="194"/>
        <v>0</v>
      </c>
      <c r="CM587">
        <f>IF(AND(A587=$AO$5,B587=$AQ$3,H587=1),COUNTIFS($A$200:A587,$AO$5,$B$200:B587,$AQ$3,$H$200:H587,1),0)</f>
        <v>0</v>
      </c>
      <c r="CN587">
        <f>IF(CA587="",388,1001)</f>
        <v>388</v>
      </c>
      <c r="GA587">
        <f t="shared" si="214"/>
        <v>0</v>
      </c>
      <c r="GB587">
        <f t="shared" si="215"/>
        <v>0</v>
      </c>
      <c r="GC587">
        <f>IF(AND(C587="事件记录",H587=1),COUNTIFS($C$200:C587,"事件记录",$H$200:H587,1),0)</f>
        <v>0</v>
      </c>
      <c r="GD587">
        <f t="shared" si="195"/>
        <v>0</v>
      </c>
      <c r="GH587">
        <f>IF(AND(H587=1,A587=$GA$10,B587=$GA$11),COUNTIFS($A$200:A587,$GA$10,$B$200:B587,$GA$11,$H$200:H587,1),0)</f>
        <v>0</v>
      </c>
    </row>
    <row r="588" spans="1:190">
      <c r="A588" t="str">
        <f t="shared" si="186"/>
        <v/>
      </c>
      <c r="B588" t="str">
        <f t="shared" si="187"/>
        <v/>
      </c>
      <c r="C588" t="str">
        <f t="shared" si="188"/>
        <v/>
      </c>
      <c r="D588" t="str">
        <f t="shared" si="189"/>
        <v/>
      </c>
      <c r="E588">
        <f t="shared" si="190"/>
        <v>0</v>
      </c>
      <c r="F588" t="str">
        <f t="shared" si="191"/>
        <v/>
      </c>
      <c r="G588">
        <f t="shared" si="192"/>
        <v>0</v>
      </c>
      <c r="H588">
        <f>IF(AND(G588=1,COUNTIFS($I$200:I588,I588,$G$200:G588,1)=1),1,0)</f>
        <v>0</v>
      </c>
      <c r="I588" t="str">
        <f t="shared" si="193"/>
        <v/>
      </c>
      <c r="BF588">
        <f t="shared" si="196"/>
        <v>0</v>
      </c>
      <c r="BG588">
        <f t="shared" si="197"/>
        <v>0</v>
      </c>
      <c r="BH588">
        <f t="shared" si="198"/>
        <v>0</v>
      </c>
      <c r="BI588">
        <f t="shared" si="199"/>
        <v>0</v>
      </c>
      <c r="BJ588">
        <f t="shared" si="200"/>
        <v>0</v>
      </c>
      <c r="BK588">
        <f t="shared" si="201"/>
        <v>0</v>
      </c>
      <c r="BL588">
        <f t="shared" si="202"/>
        <v>0</v>
      </c>
      <c r="BM588">
        <f t="shared" si="203"/>
        <v>0</v>
      </c>
      <c r="BN588">
        <f t="shared" si="204"/>
        <v>0</v>
      </c>
      <c r="BO588">
        <f t="shared" si="205"/>
        <v>0</v>
      </c>
      <c r="BP588">
        <f t="shared" si="206"/>
        <v>0</v>
      </c>
      <c r="BQ588">
        <f t="shared" si="207"/>
        <v>0</v>
      </c>
      <c r="BR588">
        <f t="shared" si="208"/>
        <v>0</v>
      </c>
      <c r="BS588">
        <f t="shared" si="209"/>
        <v>0</v>
      </c>
      <c r="BT588">
        <f t="shared" si="210"/>
        <v>0</v>
      </c>
      <c r="BU588">
        <f t="shared" si="211"/>
        <v>0</v>
      </c>
      <c r="BV588">
        <f t="shared" si="212"/>
        <v>0</v>
      </c>
      <c r="BW588">
        <f t="shared" si="213"/>
        <v>0</v>
      </c>
      <c r="CA588" t="str">
        <f>IF(389&gt;ROWS(DGArchive[模组]),"",IF(INDEX(DGArchive[模组],389)="","",INDEX(DGArchive[模组],389)))</f>
        <v/>
      </c>
      <c r="CB588" t="str">
        <f>IF(389&gt;ROWS(DGArchive[阶段]),"",IF(INDEX(DGArchive[阶段],389)="","",INDEX(DGArchive[阶段],389)))</f>
        <v/>
      </c>
      <c r="CC588" t="str">
        <f>IF(389&gt;ROWS(DGArchive[游戏内日期]),"",IF(INDEX(DGArchive[游戏内日期],389)="","",INDEX(DGArchive[游戏内日期],389)))</f>
        <v/>
      </c>
      <c r="CD588" t="str">
        <f>IF(389&gt;ROWS(DGArchive[目标]),"",IF(INDEX(DGArchive[目标],389)="","",INDEX(DGArchive[目标],389)))</f>
        <v/>
      </c>
      <c r="CE588" t="str">
        <f>IF(389&gt;ROWS(DGArchive[变更前]),"",IF(INDEX(DGArchive[变更前],389)="","",INDEX(DGArchive[变更前],389)))</f>
        <v/>
      </c>
      <c r="CF588" t="str">
        <f>IF(389&gt;ROWS(DGArchive[增减]),"",IF(INDEX(DGArchive[增减],389)="","",INDEX(DGArchive[增减],389)))</f>
        <v/>
      </c>
      <c r="CG588" t="str">
        <f>IF(389&gt;ROWS(DGArchive[变更后]),"",IF(INDEX(DGArchive[变更后],389)="","",INDEX(DGArchive[变更后],389)))</f>
        <v/>
      </c>
      <c r="CH588" t="str">
        <f>IF(389&gt;ROWS(DGArchive[事件／活动]),"",IF(INDEX(DGArchive[事件／活动],389)="","",INDEX(DGArchive[事件／活动],389)))</f>
        <v/>
      </c>
      <c r="CI588" t="str">
        <f>IF(389&gt;ROWS(DGArchive[记录编号]),"",IF(INDEX(DGArchive[记录编号],389)="","",INDEX(DGArchive[记录编号],389)))</f>
        <v/>
      </c>
      <c r="CL588">
        <f t="shared" si="194"/>
        <v>0</v>
      </c>
      <c r="CM588">
        <f>IF(AND(A588=$AO$5,B588=$AQ$3,H588=1),COUNTIFS($A$200:A588,$AO$5,$B$200:B588,$AQ$3,$H$200:H588,1),0)</f>
        <v>0</v>
      </c>
      <c r="CN588">
        <f>IF(CA588="",389,1001)</f>
        <v>389</v>
      </c>
      <c r="GA588">
        <f t="shared" si="214"/>
        <v>0</v>
      </c>
      <c r="GB588">
        <f t="shared" si="215"/>
        <v>0</v>
      </c>
      <c r="GC588">
        <f>IF(AND(C588="事件记录",H588=1),COUNTIFS($C$200:C588,"事件记录",$H$200:H588,1),0)</f>
        <v>0</v>
      </c>
      <c r="GD588">
        <f t="shared" si="195"/>
        <v>0</v>
      </c>
      <c r="GH588">
        <f>IF(AND(H588=1,A588=$GA$10,B588=$GA$11),COUNTIFS($A$200:A588,$GA$10,$B$200:B588,$GA$11,$H$200:H588,1),0)</f>
        <v>0</v>
      </c>
    </row>
    <row r="589" spans="1:190">
      <c r="A589" t="str">
        <f t="shared" si="186"/>
        <v/>
      </c>
      <c r="B589" t="str">
        <f t="shared" si="187"/>
        <v/>
      </c>
      <c r="C589" t="str">
        <f t="shared" si="188"/>
        <v/>
      </c>
      <c r="D589" t="str">
        <f t="shared" si="189"/>
        <v/>
      </c>
      <c r="E589">
        <f t="shared" si="190"/>
        <v>0</v>
      </c>
      <c r="F589" t="str">
        <f t="shared" si="191"/>
        <v/>
      </c>
      <c r="G589">
        <f t="shared" si="192"/>
        <v>0</v>
      </c>
      <c r="H589">
        <f>IF(AND(G589=1,COUNTIFS($I$200:I589,I589,$G$200:G589,1)=1),1,0)</f>
        <v>0</v>
      </c>
      <c r="I589" t="str">
        <f t="shared" si="193"/>
        <v/>
      </c>
      <c r="BF589">
        <f t="shared" si="196"/>
        <v>0</v>
      </c>
      <c r="BG589">
        <f t="shared" si="197"/>
        <v>0</v>
      </c>
      <c r="BH589">
        <f t="shared" si="198"/>
        <v>0</v>
      </c>
      <c r="BI589">
        <f t="shared" si="199"/>
        <v>0</v>
      </c>
      <c r="BJ589">
        <f t="shared" si="200"/>
        <v>0</v>
      </c>
      <c r="BK589">
        <f t="shared" si="201"/>
        <v>0</v>
      </c>
      <c r="BL589">
        <f t="shared" si="202"/>
        <v>0</v>
      </c>
      <c r="BM589">
        <f t="shared" si="203"/>
        <v>0</v>
      </c>
      <c r="BN589">
        <f t="shared" si="204"/>
        <v>0</v>
      </c>
      <c r="BO589">
        <f t="shared" si="205"/>
        <v>0</v>
      </c>
      <c r="BP589">
        <f t="shared" si="206"/>
        <v>0</v>
      </c>
      <c r="BQ589">
        <f t="shared" si="207"/>
        <v>0</v>
      </c>
      <c r="BR589">
        <f t="shared" si="208"/>
        <v>0</v>
      </c>
      <c r="BS589">
        <f t="shared" si="209"/>
        <v>0</v>
      </c>
      <c r="BT589">
        <f t="shared" si="210"/>
        <v>0</v>
      </c>
      <c r="BU589">
        <f t="shared" si="211"/>
        <v>0</v>
      </c>
      <c r="BV589">
        <f t="shared" si="212"/>
        <v>0</v>
      </c>
      <c r="BW589">
        <f t="shared" si="213"/>
        <v>0</v>
      </c>
      <c r="CA589" t="str">
        <f>IF(390&gt;ROWS(DGArchive[模组]),"",IF(INDEX(DGArchive[模组],390)="","",INDEX(DGArchive[模组],390)))</f>
        <v/>
      </c>
      <c r="CB589" t="str">
        <f>IF(390&gt;ROWS(DGArchive[阶段]),"",IF(INDEX(DGArchive[阶段],390)="","",INDEX(DGArchive[阶段],390)))</f>
        <v/>
      </c>
      <c r="CC589" t="str">
        <f>IF(390&gt;ROWS(DGArchive[游戏内日期]),"",IF(INDEX(DGArchive[游戏内日期],390)="","",INDEX(DGArchive[游戏内日期],390)))</f>
        <v/>
      </c>
      <c r="CD589" t="str">
        <f>IF(390&gt;ROWS(DGArchive[目标]),"",IF(INDEX(DGArchive[目标],390)="","",INDEX(DGArchive[目标],390)))</f>
        <v/>
      </c>
      <c r="CE589" t="str">
        <f>IF(390&gt;ROWS(DGArchive[变更前]),"",IF(INDEX(DGArchive[变更前],390)="","",INDEX(DGArchive[变更前],390)))</f>
        <v/>
      </c>
      <c r="CF589" t="str">
        <f>IF(390&gt;ROWS(DGArchive[增减]),"",IF(INDEX(DGArchive[增减],390)="","",INDEX(DGArchive[增减],390)))</f>
        <v/>
      </c>
      <c r="CG589" t="str">
        <f>IF(390&gt;ROWS(DGArchive[变更后]),"",IF(INDEX(DGArchive[变更后],390)="","",INDEX(DGArchive[变更后],390)))</f>
        <v/>
      </c>
      <c r="CH589" t="str">
        <f>IF(390&gt;ROWS(DGArchive[事件／活动]),"",IF(INDEX(DGArchive[事件／活动],390)="","",INDEX(DGArchive[事件／活动],390)))</f>
        <v/>
      </c>
      <c r="CI589" t="str">
        <f>IF(390&gt;ROWS(DGArchive[记录编号]),"",IF(INDEX(DGArchive[记录编号],390)="","",INDEX(DGArchive[记录编号],390)))</f>
        <v/>
      </c>
      <c r="CL589">
        <f t="shared" si="194"/>
        <v>0</v>
      </c>
      <c r="CM589">
        <f>IF(AND(A589=$AO$5,B589=$AQ$3,H589=1),COUNTIFS($A$200:A589,$AO$5,$B$200:B589,$AQ$3,$H$200:H589,1),0)</f>
        <v>0</v>
      </c>
      <c r="CN589">
        <f>IF(CA589="",390,1001)</f>
        <v>390</v>
      </c>
      <c r="GA589">
        <f t="shared" si="214"/>
        <v>0</v>
      </c>
      <c r="GB589">
        <f t="shared" si="215"/>
        <v>0</v>
      </c>
      <c r="GC589">
        <f>IF(AND(C589="事件记录",H589=1),COUNTIFS($C$200:C589,"事件记录",$H$200:H589,1),0)</f>
        <v>0</v>
      </c>
      <c r="GD589">
        <f t="shared" si="195"/>
        <v>0</v>
      </c>
      <c r="GH589">
        <f>IF(AND(H589=1,A589=$GA$10,B589=$GA$11),COUNTIFS($A$200:A589,$GA$10,$B$200:B589,$GA$11,$H$200:H589,1),0)</f>
        <v>0</v>
      </c>
    </row>
    <row r="590" spans="1:190">
      <c r="A590" t="str">
        <f t="shared" si="186"/>
        <v/>
      </c>
      <c r="B590" t="str">
        <f t="shared" si="187"/>
        <v/>
      </c>
      <c r="C590" t="str">
        <f t="shared" si="188"/>
        <v/>
      </c>
      <c r="D590" t="str">
        <f t="shared" si="189"/>
        <v/>
      </c>
      <c r="E590">
        <f t="shared" si="190"/>
        <v>0</v>
      </c>
      <c r="F590" t="str">
        <f t="shared" si="191"/>
        <v/>
      </c>
      <c r="G590">
        <f t="shared" si="192"/>
        <v>0</v>
      </c>
      <c r="H590">
        <f>IF(AND(G590=1,COUNTIFS($I$200:I590,I590,$G$200:G590,1)=1),1,0)</f>
        <v>0</v>
      </c>
      <c r="I590" t="str">
        <f t="shared" si="193"/>
        <v/>
      </c>
      <c r="BF590">
        <f t="shared" si="196"/>
        <v>0</v>
      </c>
      <c r="BG590">
        <f t="shared" si="197"/>
        <v>0</v>
      </c>
      <c r="BH590">
        <f t="shared" si="198"/>
        <v>0</v>
      </c>
      <c r="BI590">
        <f t="shared" si="199"/>
        <v>0</v>
      </c>
      <c r="BJ590">
        <f t="shared" si="200"/>
        <v>0</v>
      </c>
      <c r="BK590">
        <f t="shared" si="201"/>
        <v>0</v>
      </c>
      <c r="BL590">
        <f t="shared" si="202"/>
        <v>0</v>
      </c>
      <c r="BM590">
        <f t="shared" si="203"/>
        <v>0</v>
      </c>
      <c r="BN590">
        <f t="shared" si="204"/>
        <v>0</v>
      </c>
      <c r="BO590">
        <f t="shared" si="205"/>
        <v>0</v>
      </c>
      <c r="BP590">
        <f t="shared" si="206"/>
        <v>0</v>
      </c>
      <c r="BQ590">
        <f t="shared" si="207"/>
        <v>0</v>
      </c>
      <c r="BR590">
        <f t="shared" si="208"/>
        <v>0</v>
      </c>
      <c r="BS590">
        <f t="shared" si="209"/>
        <v>0</v>
      </c>
      <c r="BT590">
        <f t="shared" si="210"/>
        <v>0</v>
      </c>
      <c r="BU590">
        <f t="shared" si="211"/>
        <v>0</v>
      </c>
      <c r="BV590">
        <f t="shared" si="212"/>
        <v>0</v>
      </c>
      <c r="BW590">
        <f t="shared" si="213"/>
        <v>0</v>
      </c>
      <c r="CA590" t="str">
        <f>IF(391&gt;ROWS(DGArchive[模组]),"",IF(INDEX(DGArchive[模组],391)="","",INDEX(DGArchive[模组],391)))</f>
        <v/>
      </c>
      <c r="CB590" t="str">
        <f>IF(391&gt;ROWS(DGArchive[阶段]),"",IF(INDEX(DGArchive[阶段],391)="","",INDEX(DGArchive[阶段],391)))</f>
        <v/>
      </c>
      <c r="CC590" t="str">
        <f>IF(391&gt;ROWS(DGArchive[游戏内日期]),"",IF(INDEX(DGArchive[游戏内日期],391)="","",INDEX(DGArchive[游戏内日期],391)))</f>
        <v/>
      </c>
      <c r="CD590" t="str">
        <f>IF(391&gt;ROWS(DGArchive[目标]),"",IF(INDEX(DGArchive[目标],391)="","",INDEX(DGArchive[目标],391)))</f>
        <v/>
      </c>
      <c r="CE590" t="str">
        <f>IF(391&gt;ROWS(DGArchive[变更前]),"",IF(INDEX(DGArchive[变更前],391)="","",INDEX(DGArchive[变更前],391)))</f>
        <v/>
      </c>
      <c r="CF590" t="str">
        <f>IF(391&gt;ROWS(DGArchive[增减]),"",IF(INDEX(DGArchive[增减],391)="","",INDEX(DGArchive[增减],391)))</f>
        <v/>
      </c>
      <c r="CG590" t="str">
        <f>IF(391&gt;ROWS(DGArchive[变更后]),"",IF(INDEX(DGArchive[变更后],391)="","",INDEX(DGArchive[变更后],391)))</f>
        <v/>
      </c>
      <c r="CH590" t="str">
        <f>IF(391&gt;ROWS(DGArchive[事件／活动]),"",IF(INDEX(DGArchive[事件／活动],391)="","",INDEX(DGArchive[事件／活动],391)))</f>
        <v/>
      </c>
      <c r="CI590" t="str">
        <f>IF(391&gt;ROWS(DGArchive[记录编号]),"",IF(INDEX(DGArchive[记录编号],391)="","",INDEX(DGArchive[记录编号],391)))</f>
        <v/>
      </c>
      <c r="CL590">
        <f t="shared" si="194"/>
        <v>0</v>
      </c>
      <c r="CM590">
        <f>IF(AND(A590=$AO$5,B590=$AQ$3,H590=1),COUNTIFS($A$200:A590,$AO$5,$B$200:B590,$AQ$3,$H$200:H590,1),0)</f>
        <v>0</v>
      </c>
      <c r="CN590">
        <f>IF(CA590="",391,1001)</f>
        <v>391</v>
      </c>
      <c r="GA590">
        <f t="shared" si="214"/>
        <v>0</v>
      </c>
      <c r="GB590">
        <f t="shared" si="215"/>
        <v>0</v>
      </c>
      <c r="GC590">
        <f>IF(AND(C590="事件记录",H590=1),COUNTIFS($C$200:C590,"事件记录",$H$200:H590,1),0)</f>
        <v>0</v>
      </c>
      <c r="GD590">
        <f t="shared" si="195"/>
        <v>0</v>
      </c>
      <c r="GH590">
        <f>IF(AND(H590=1,A590=$GA$10,B590=$GA$11),COUNTIFS($A$200:A590,$GA$10,$B$200:B590,$GA$11,$H$200:H590,1),0)</f>
        <v>0</v>
      </c>
    </row>
    <row r="591" spans="1:190">
      <c r="A591" t="str">
        <f t="shared" si="186"/>
        <v/>
      </c>
      <c r="B591" t="str">
        <f t="shared" si="187"/>
        <v/>
      </c>
      <c r="C591" t="str">
        <f t="shared" si="188"/>
        <v/>
      </c>
      <c r="D591" t="str">
        <f t="shared" si="189"/>
        <v/>
      </c>
      <c r="E591">
        <f t="shared" si="190"/>
        <v>0</v>
      </c>
      <c r="F591" t="str">
        <f t="shared" si="191"/>
        <v/>
      </c>
      <c r="G591">
        <f t="shared" si="192"/>
        <v>0</v>
      </c>
      <c r="H591">
        <f>IF(AND(G591=1,COUNTIFS($I$200:I591,I591,$G$200:G591,1)=1),1,0)</f>
        <v>0</v>
      </c>
      <c r="I591" t="str">
        <f t="shared" si="193"/>
        <v/>
      </c>
      <c r="BF591">
        <f t="shared" si="196"/>
        <v>0</v>
      </c>
      <c r="BG591">
        <f t="shared" si="197"/>
        <v>0</v>
      </c>
      <c r="BH591">
        <f t="shared" si="198"/>
        <v>0</v>
      </c>
      <c r="BI591">
        <f t="shared" si="199"/>
        <v>0</v>
      </c>
      <c r="BJ591">
        <f t="shared" si="200"/>
        <v>0</v>
      </c>
      <c r="BK591">
        <f t="shared" si="201"/>
        <v>0</v>
      </c>
      <c r="BL591">
        <f t="shared" si="202"/>
        <v>0</v>
      </c>
      <c r="BM591">
        <f t="shared" si="203"/>
        <v>0</v>
      </c>
      <c r="BN591">
        <f t="shared" si="204"/>
        <v>0</v>
      </c>
      <c r="BO591">
        <f t="shared" si="205"/>
        <v>0</v>
      </c>
      <c r="BP591">
        <f t="shared" si="206"/>
        <v>0</v>
      </c>
      <c r="BQ591">
        <f t="shared" si="207"/>
        <v>0</v>
      </c>
      <c r="BR591">
        <f t="shared" si="208"/>
        <v>0</v>
      </c>
      <c r="BS591">
        <f t="shared" si="209"/>
        <v>0</v>
      </c>
      <c r="BT591">
        <f t="shared" si="210"/>
        <v>0</v>
      </c>
      <c r="BU591">
        <f t="shared" si="211"/>
        <v>0</v>
      </c>
      <c r="BV591">
        <f t="shared" si="212"/>
        <v>0</v>
      </c>
      <c r="BW591">
        <f t="shared" si="213"/>
        <v>0</v>
      </c>
      <c r="CA591" t="str">
        <f>IF(392&gt;ROWS(DGArchive[模组]),"",IF(INDEX(DGArchive[模组],392)="","",INDEX(DGArchive[模组],392)))</f>
        <v/>
      </c>
      <c r="CB591" t="str">
        <f>IF(392&gt;ROWS(DGArchive[阶段]),"",IF(INDEX(DGArchive[阶段],392)="","",INDEX(DGArchive[阶段],392)))</f>
        <v/>
      </c>
      <c r="CC591" t="str">
        <f>IF(392&gt;ROWS(DGArchive[游戏内日期]),"",IF(INDEX(DGArchive[游戏内日期],392)="","",INDEX(DGArchive[游戏内日期],392)))</f>
        <v/>
      </c>
      <c r="CD591" t="str">
        <f>IF(392&gt;ROWS(DGArchive[目标]),"",IF(INDEX(DGArchive[目标],392)="","",INDEX(DGArchive[目标],392)))</f>
        <v/>
      </c>
      <c r="CE591" t="str">
        <f>IF(392&gt;ROWS(DGArchive[变更前]),"",IF(INDEX(DGArchive[变更前],392)="","",INDEX(DGArchive[变更前],392)))</f>
        <v/>
      </c>
      <c r="CF591" t="str">
        <f>IF(392&gt;ROWS(DGArchive[增减]),"",IF(INDEX(DGArchive[增减],392)="","",INDEX(DGArchive[增减],392)))</f>
        <v/>
      </c>
      <c r="CG591" t="str">
        <f>IF(392&gt;ROWS(DGArchive[变更后]),"",IF(INDEX(DGArchive[变更后],392)="","",INDEX(DGArchive[变更后],392)))</f>
        <v/>
      </c>
      <c r="CH591" t="str">
        <f>IF(392&gt;ROWS(DGArchive[事件／活动]),"",IF(INDEX(DGArchive[事件／活动],392)="","",INDEX(DGArchive[事件／活动],392)))</f>
        <v/>
      </c>
      <c r="CI591" t="str">
        <f>IF(392&gt;ROWS(DGArchive[记录编号]),"",IF(INDEX(DGArchive[记录编号],392)="","",INDEX(DGArchive[记录编号],392)))</f>
        <v/>
      </c>
      <c r="CL591">
        <f t="shared" si="194"/>
        <v>0</v>
      </c>
      <c r="CM591">
        <f>IF(AND(A591=$AO$5,B591=$AQ$3,H591=1),COUNTIFS($A$200:A591,$AO$5,$B$200:B591,$AQ$3,$H$200:H591,1),0)</f>
        <v>0</v>
      </c>
      <c r="CN591">
        <f>IF(CA591="",392,1001)</f>
        <v>392</v>
      </c>
      <c r="GA591">
        <f t="shared" si="214"/>
        <v>0</v>
      </c>
      <c r="GB591">
        <f t="shared" si="215"/>
        <v>0</v>
      </c>
      <c r="GC591">
        <f>IF(AND(C591="事件记录",H591=1),COUNTIFS($C$200:C591,"事件记录",$H$200:H591,1),0)</f>
        <v>0</v>
      </c>
      <c r="GD591">
        <f t="shared" si="195"/>
        <v>0</v>
      </c>
      <c r="GH591">
        <f>IF(AND(H591=1,A591=$GA$10,B591=$GA$11),COUNTIFS($A$200:A591,$GA$10,$B$200:B591,$GA$11,$H$200:H591,1),0)</f>
        <v>0</v>
      </c>
    </row>
    <row r="592" spans="1:190">
      <c r="A592" t="str">
        <f t="shared" si="186"/>
        <v/>
      </c>
      <c r="B592" t="str">
        <f t="shared" si="187"/>
        <v/>
      </c>
      <c r="C592" t="str">
        <f t="shared" si="188"/>
        <v/>
      </c>
      <c r="D592" t="str">
        <f t="shared" si="189"/>
        <v/>
      </c>
      <c r="E592">
        <f t="shared" si="190"/>
        <v>0</v>
      </c>
      <c r="F592" t="str">
        <f t="shared" si="191"/>
        <v/>
      </c>
      <c r="G592">
        <f t="shared" si="192"/>
        <v>0</v>
      </c>
      <c r="H592">
        <f>IF(AND(G592=1,COUNTIFS($I$200:I592,I592,$G$200:G592,1)=1),1,0)</f>
        <v>0</v>
      </c>
      <c r="I592" t="str">
        <f t="shared" si="193"/>
        <v/>
      </c>
      <c r="BF592">
        <f t="shared" si="196"/>
        <v>0</v>
      </c>
      <c r="BG592">
        <f t="shared" si="197"/>
        <v>0</v>
      </c>
      <c r="BH592">
        <f t="shared" si="198"/>
        <v>0</v>
      </c>
      <c r="BI592">
        <f t="shared" si="199"/>
        <v>0</v>
      </c>
      <c r="BJ592">
        <f t="shared" si="200"/>
        <v>0</v>
      </c>
      <c r="BK592">
        <f t="shared" si="201"/>
        <v>0</v>
      </c>
      <c r="BL592">
        <f t="shared" si="202"/>
        <v>0</v>
      </c>
      <c r="BM592">
        <f t="shared" si="203"/>
        <v>0</v>
      </c>
      <c r="BN592">
        <f t="shared" si="204"/>
        <v>0</v>
      </c>
      <c r="BO592">
        <f t="shared" si="205"/>
        <v>0</v>
      </c>
      <c r="BP592">
        <f t="shared" si="206"/>
        <v>0</v>
      </c>
      <c r="BQ592">
        <f t="shared" si="207"/>
        <v>0</v>
      </c>
      <c r="BR592">
        <f t="shared" si="208"/>
        <v>0</v>
      </c>
      <c r="BS592">
        <f t="shared" si="209"/>
        <v>0</v>
      </c>
      <c r="BT592">
        <f t="shared" si="210"/>
        <v>0</v>
      </c>
      <c r="BU592">
        <f t="shared" si="211"/>
        <v>0</v>
      </c>
      <c r="BV592">
        <f t="shared" si="212"/>
        <v>0</v>
      </c>
      <c r="BW592">
        <f t="shared" si="213"/>
        <v>0</v>
      </c>
      <c r="CA592" t="str">
        <f>IF(393&gt;ROWS(DGArchive[模组]),"",IF(INDEX(DGArchive[模组],393)="","",INDEX(DGArchive[模组],393)))</f>
        <v/>
      </c>
      <c r="CB592" t="str">
        <f>IF(393&gt;ROWS(DGArchive[阶段]),"",IF(INDEX(DGArchive[阶段],393)="","",INDEX(DGArchive[阶段],393)))</f>
        <v/>
      </c>
      <c r="CC592" t="str">
        <f>IF(393&gt;ROWS(DGArchive[游戏内日期]),"",IF(INDEX(DGArchive[游戏内日期],393)="","",INDEX(DGArchive[游戏内日期],393)))</f>
        <v/>
      </c>
      <c r="CD592" t="str">
        <f>IF(393&gt;ROWS(DGArchive[目标]),"",IF(INDEX(DGArchive[目标],393)="","",INDEX(DGArchive[目标],393)))</f>
        <v/>
      </c>
      <c r="CE592" t="str">
        <f>IF(393&gt;ROWS(DGArchive[变更前]),"",IF(INDEX(DGArchive[变更前],393)="","",INDEX(DGArchive[变更前],393)))</f>
        <v/>
      </c>
      <c r="CF592" t="str">
        <f>IF(393&gt;ROWS(DGArchive[增减]),"",IF(INDEX(DGArchive[增减],393)="","",INDEX(DGArchive[增减],393)))</f>
        <v/>
      </c>
      <c r="CG592" t="str">
        <f>IF(393&gt;ROWS(DGArchive[变更后]),"",IF(INDEX(DGArchive[变更后],393)="","",INDEX(DGArchive[变更后],393)))</f>
        <v/>
      </c>
      <c r="CH592" t="str">
        <f>IF(393&gt;ROWS(DGArchive[事件／活动]),"",IF(INDEX(DGArchive[事件／活动],393)="","",INDEX(DGArchive[事件／活动],393)))</f>
        <v/>
      </c>
      <c r="CI592" t="str">
        <f>IF(393&gt;ROWS(DGArchive[记录编号]),"",IF(INDEX(DGArchive[记录编号],393)="","",INDEX(DGArchive[记录编号],393)))</f>
        <v/>
      </c>
      <c r="CL592">
        <f t="shared" si="194"/>
        <v>0</v>
      </c>
      <c r="CM592">
        <f>IF(AND(A592=$AO$5,B592=$AQ$3,H592=1),COUNTIFS($A$200:A592,$AO$5,$B$200:B592,$AQ$3,$H$200:H592,1),0)</f>
        <v>0</v>
      </c>
      <c r="CN592">
        <f>IF(CA592="",393,1001)</f>
        <v>393</v>
      </c>
      <c r="GA592">
        <f t="shared" si="214"/>
        <v>0</v>
      </c>
      <c r="GB592">
        <f t="shared" si="215"/>
        <v>0</v>
      </c>
      <c r="GC592">
        <f>IF(AND(C592="事件记录",H592=1),COUNTIFS($C$200:C592,"事件记录",$H$200:H592,1),0)</f>
        <v>0</v>
      </c>
      <c r="GD592">
        <f t="shared" si="195"/>
        <v>0</v>
      </c>
      <c r="GH592">
        <f>IF(AND(H592=1,A592=$GA$10,B592=$GA$11),COUNTIFS($A$200:A592,$GA$10,$B$200:B592,$GA$11,$H$200:H592,1),0)</f>
        <v>0</v>
      </c>
    </row>
    <row r="593" spans="1:190">
      <c r="A593" t="str">
        <f t="shared" si="186"/>
        <v/>
      </c>
      <c r="B593" t="str">
        <f t="shared" si="187"/>
        <v/>
      </c>
      <c r="C593" t="str">
        <f t="shared" si="188"/>
        <v/>
      </c>
      <c r="D593" t="str">
        <f t="shared" si="189"/>
        <v/>
      </c>
      <c r="E593">
        <f t="shared" si="190"/>
        <v>0</v>
      </c>
      <c r="F593" t="str">
        <f t="shared" si="191"/>
        <v/>
      </c>
      <c r="G593">
        <f t="shared" si="192"/>
        <v>0</v>
      </c>
      <c r="H593">
        <f>IF(AND(G593=1,COUNTIFS($I$200:I593,I593,$G$200:G593,1)=1),1,0)</f>
        <v>0</v>
      </c>
      <c r="I593" t="str">
        <f t="shared" si="193"/>
        <v/>
      </c>
      <c r="BF593">
        <f t="shared" si="196"/>
        <v>0</v>
      </c>
      <c r="BG593">
        <f t="shared" si="197"/>
        <v>0</v>
      </c>
      <c r="BH593">
        <f t="shared" si="198"/>
        <v>0</v>
      </c>
      <c r="BI593">
        <f t="shared" si="199"/>
        <v>0</v>
      </c>
      <c r="BJ593">
        <f t="shared" si="200"/>
        <v>0</v>
      </c>
      <c r="BK593">
        <f t="shared" si="201"/>
        <v>0</v>
      </c>
      <c r="BL593">
        <f t="shared" si="202"/>
        <v>0</v>
      </c>
      <c r="BM593">
        <f t="shared" si="203"/>
        <v>0</v>
      </c>
      <c r="BN593">
        <f t="shared" si="204"/>
        <v>0</v>
      </c>
      <c r="BO593">
        <f t="shared" si="205"/>
        <v>0</v>
      </c>
      <c r="BP593">
        <f t="shared" si="206"/>
        <v>0</v>
      </c>
      <c r="BQ593">
        <f t="shared" si="207"/>
        <v>0</v>
      </c>
      <c r="BR593">
        <f t="shared" si="208"/>
        <v>0</v>
      </c>
      <c r="BS593">
        <f t="shared" si="209"/>
        <v>0</v>
      </c>
      <c r="BT593">
        <f t="shared" si="210"/>
        <v>0</v>
      </c>
      <c r="BU593">
        <f t="shared" si="211"/>
        <v>0</v>
      </c>
      <c r="BV593">
        <f t="shared" si="212"/>
        <v>0</v>
      </c>
      <c r="BW593">
        <f t="shared" si="213"/>
        <v>0</v>
      </c>
      <c r="CA593" t="str">
        <f>IF(394&gt;ROWS(DGArchive[模组]),"",IF(INDEX(DGArchive[模组],394)="","",INDEX(DGArchive[模组],394)))</f>
        <v/>
      </c>
      <c r="CB593" t="str">
        <f>IF(394&gt;ROWS(DGArchive[阶段]),"",IF(INDEX(DGArchive[阶段],394)="","",INDEX(DGArchive[阶段],394)))</f>
        <v/>
      </c>
      <c r="CC593" t="str">
        <f>IF(394&gt;ROWS(DGArchive[游戏内日期]),"",IF(INDEX(DGArchive[游戏内日期],394)="","",INDEX(DGArchive[游戏内日期],394)))</f>
        <v/>
      </c>
      <c r="CD593" t="str">
        <f>IF(394&gt;ROWS(DGArchive[目标]),"",IF(INDEX(DGArchive[目标],394)="","",INDEX(DGArchive[目标],394)))</f>
        <v/>
      </c>
      <c r="CE593" t="str">
        <f>IF(394&gt;ROWS(DGArchive[变更前]),"",IF(INDEX(DGArchive[变更前],394)="","",INDEX(DGArchive[变更前],394)))</f>
        <v/>
      </c>
      <c r="CF593" t="str">
        <f>IF(394&gt;ROWS(DGArchive[增减]),"",IF(INDEX(DGArchive[增减],394)="","",INDEX(DGArchive[增减],394)))</f>
        <v/>
      </c>
      <c r="CG593" t="str">
        <f>IF(394&gt;ROWS(DGArchive[变更后]),"",IF(INDEX(DGArchive[变更后],394)="","",INDEX(DGArchive[变更后],394)))</f>
        <v/>
      </c>
      <c r="CH593" t="str">
        <f>IF(394&gt;ROWS(DGArchive[事件／活动]),"",IF(INDEX(DGArchive[事件／活动],394)="","",INDEX(DGArchive[事件／活动],394)))</f>
        <v/>
      </c>
      <c r="CI593" t="str">
        <f>IF(394&gt;ROWS(DGArchive[记录编号]),"",IF(INDEX(DGArchive[记录编号],394)="","",INDEX(DGArchive[记录编号],394)))</f>
        <v/>
      </c>
      <c r="CL593">
        <f t="shared" si="194"/>
        <v>0</v>
      </c>
      <c r="CM593">
        <f>IF(AND(A593=$AO$5,B593=$AQ$3,H593=1),COUNTIFS($A$200:A593,$AO$5,$B$200:B593,$AQ$3,$H$200:H593,1),0)</f>
        <v>0</v>
      </c>
      <c r="CN593">
        <f>IF(CA593="",394,1001)</f>
        <v>394</v>
      </c>
      <c r="GA593">
        <f t="shared" si="214"/>
        <v>0</v>
      </c>
      <c r="GB593">
        <f t="shared" si="215"/>
        <v>0</v>
      </c>
      <c r="GC593">
        <f>IF(AND(C593="事件记录",H593=1),COUNTIFS($C$200:C593,"事件记录",$H$200:H593,1),0)</f>
        <v>0</v>
      </c>
      <c r="GD593">
        <f t="shared" si="195"/>
        <v>0</v>
      </c>
      <c r="GH593">
        <f>IF(AND(H593=1,A593=$GA$10,B593=$GA$11),COUNTIFS($A$200:A593,$GA$10,$B$200:B593,$GA$11,$H$200:H593,1),0)</f>
        <v>0</v>
      </c>
    </row>
    <row r="594" spans="1:190">
      <c r="A594" t="str">
        <f t="shared" si="186"/>
        <v/>
      </c>
      <c r="B594" t="str">
        <f t="shared" si="187"/>
        <v/>
      </c>
      <c r="C594" t="str">
        <f t="shared" si="188"/>
        <v/>
      </c>
      <c r="D594" t="str">
        <f t="shared" si="189"/>
        <v/>
      </c>
      <c r="E594">
        <f t="shared" si="190"/>
        <v>0</v>
      </c>
      <c r="F594" t="str">
        <f t="shared" si="191"/>
        <v/>
      </c>
      <c r="G594">
        <f t="shared" si="192"/>
        <v>0</v>
      </c>
      <c r="H594">
        <f>IF(AND(G594=1,COUNTIFS($I$200:I594,I594,$G$200:G594,1)=1),1,0)</f>
        <v>0</v>
      </c>
      <c r="I594" t="str">
        <f t="shared" si="193"/>
        <v/>
      </c>
      <c r="BF594">
        <f t="shared" si="196"/>
        <v>0</v>
      </c>
      <c r="BG594">
        <f t="shared" si="197"/>
        <v>0</v>
      </c>
      <c r="BH594">
        <f t="shared" si="198"/>
        <v>0</v>
      </c>
      <c r="BI594">
        <f t="shared" si="199"/>
        <v>0</v>
      </c>
      <c r="BJ594">
        <f t="shared" si="200"/>
        <v>0</v>
      </c>
      <c r="BK594">
        <f t="shared" si="201"/>
        <v>0</v>
      </c>
      <c r="BL594">
        <f t="shared" si="202"/>
        <v>0</v>
      </c>
      <c r="BM594">
        <f t="shared" si="203"/>
        <v>0</v>
      </c>
      <c r="BN594">
        <f t="shared" si="204"/>
        <v>0</v>
      </c>
      <c r="BO594">
        <f t="shared" si="205"/>
        <v>0</v>
      </c>
      <c r="BP594">
        <f t="shared" si="206"/>
        <v>0</v>
      </c>
      <c r="BQ594">
        <f t="shared" si="207"/>
        <v>0</v>
      </c>
      <c r="BR594">
        <f t="shared" si="208"/>
        <v>0</v>
      </c>
      <c r="BS594">
        <f t="shared" si="209"/>
        <v>0</v>
      </c>
      <c r="BT594">
        <f t="shared" si="210"/>
        <v>0</v>
      </c>
      <c r="BU594">
        <f t="shared" si="211"/>
        <v>0</v>
      </c>
      <c r="BV594">
        <f t="shared" si="212"/>
        <v>0</v>
      </c>
      <c r="BW594">
        <f t="shared" si="213"/>
        <v>0</v>
      </c>
      <c r="CA594" t="str">
        <f>IF(395&gt;ROWS(DGArchive[模组]),"",IF(INDEX(DGArchive[模组],395)="","",INDEX(DGArchive[模组],395)))</f>
        <v/>
      </c>
      <c r="CB594" t="str">
        <f>IF(395&gt;ROWS(DGArchive[阶段]),"",IF(INDEX(DGArchive[阶段],395)="","",INDEX(DGArchive[阶段],395)))</f>
        <v/>
      </c>
      <c r="CC594" t="str">
        <f>IF(395&gt;ROWS(DGArchive[游戏内日期]),"",IF(INDEX(DGArchive[游戏内日期],395)="","",INDEX(DGArchive[游戏内日期],395)))</f>
        <v/>
      </c>
      <c r="CD594" t="str">
        <f>IF(395&gt;ROWS(DGArchive[目标]),"",IF(INDEX(DGArchive[目标],395)="","",INDEX(DGArchive[目标],395)))</f>
        <v/>
      </c>
      <c r="CE594" t="str">
        <f>IF(395&gt;ROWS(DGArchive[变更前]),"",IF(INDEX(DGArchive[变更前],395)="","",INDEX(DGArchive[变更前],395)))</f>
        <v/>
      </c>
      <c r="CF594" t="str">
        <f>IF(395&gt;ROWS(DGArchive[增减]),"",IF(INDEX(DGArchive[增减],395)="","",INDEX(DGArchive[增减],395)))</f>
        <v/>
      </c>
      <c r="CG594" t="str">
        <f>IF(395&gt;ROWS(DGArchive[变更后]),"",IF(INDEX(DGArchive[变更后],395)="","",INDEX(DGArchive[变更后],395)))</f>
        <v/>
      </c>
      <c r="CH594" t="str">
        <f>IF(395&gt;ROWS(DGArchive[事件／活动]),"",IF(INDEX(DGArchive[事件／活动],395)="","",INDEX(DGArchive[事件／活动],395)))</f>
        <v/>
      </c>
      <c r="CI594" t="str">
        <f>IF(395&gt;ROWS(DGArchive[记录编号]),"",IF(INDEX(DGArchive[记录编号],395)="","",INDEX(DGArchive[记录编号],395)))</f>
        <v/>
      </c>
      <c r="CL594">
        <f t="shared" si="194"/>
        <v>0</v>
      </c>
      <c r="CM594">
        <f>IF(AND(A594=$AO$5,B594=$AQ$3,H594=1),COUNTIFS($A$200:A594,$AO$5,$B$200:B594,$AQ$3,$H$200:H594,1),0)</f>
        <v>0</v>
      </c>
      <c r="CN594">
        <f>IF(CA594="",395,1001)</f>
        <v>395</v>
      </c>
      <c r="GA594">
        <f t="shared" si="214"/>
        <v>0</v>
      </c>
      <c r="GB594">
        <f t="shared" si="215"/>
        <v>0</v>
      </c>
      <c r="GC594">
        <f>IF(AND(C594="事件记录",H594=1),COUNTIFS($C$200:C594,"事件记录",$H$200:H594,1),0)</f>
        <v>0</v>
      </c>
      <c r="GD594">
        <f t="shared" si="195"/>
        <v>0</v>
      </c>
      <c r="GH594">
        <f>IF(AND(H594=1,A594=$GA$10,B594=$GA$11),COUNTIFS($A$200:A594,$GA$10,$B$200:B594,$GA$11,$H$200:H594,1),0)</f>
        <v>0</v>
      </c>
    </row>
    <row r="595" spans="1:190">
      <c r="A595" t="str">
        <f t="shared" si="186"/>
        <v/>
      </c>
      <c r="B595" t="str">
        <f t="shared" si="187"/>
        <v/>
      </c>
      <c r="C595" t="str">
        <f t="shared" si="188"/>
        <v/>
      </c>
      <c r="D595" t="str">
        <f t="shared" si="189"/>
        <v/>
      </c>
      <c r="E595">
        <f t="shared" si="190"/>
        <v>0</v>
      </c>
      <c r="F595" t="str">
        <f t="shared" si="191"/>
        <v/>
      </c>
      <c r="G595">
        <f t="shared" si="192"/>
        <v>0</v>
      </c>
      <c r="H595">
        <f>IF(AND(G595=1,COUNTIFS($I$200:I595,I595,$G$200:G595,1)=1),1,0)</f>
        <v>0</v>
      </c>
      <c r="I595" t="str">
        <f t="shared" si="193"/>
        <v/>
      </c>
      <c r="BF595">
        <f t="shared" si="196"/>
        <v>0</v>
      </c>
      <c r="BG595">
        <f t="shared" si="197"/>
        <v>0</v>
      </c>
      <c r="BH595">
        <f t="shared" si="198"/>
        <v>0</v>
      </c>
      <c r="BI595">
        <f t="shared" si="199"/>
        <v>0</v>
      </c>
      <c r="BJ595">
        <f t="shared" si="200"/>
        <v>0</v>
      </c>
      <c r="BK595">
        <f t="shared" si="201"/>
        <v>0</v>
      </c>
      <c r="BL595">
        <f t="shared" si="202"/>
        <v>0</v>
      </c>
      <c r="BM595">
        <f t="shared" si="203"/>
        <v>0</v>
      </c>
      <c r="BN595">
        <f t="shared" si="204"/>
        <v>0</v>
      </c>
      <c r="BO595">
        <f t="shared" si="205"/>
        <v>0</v>
      </c>
      <c r="BP595">
        <f t="shared" si="206"/>
        <v>0</v>
      </c>
      <c r="BQ595">
        <f t="shared" si="207"/>
        <v>0</v>
      </c>
      <c r="BR595">
        <f t="shared" si="208"/>
        <v>0</v>
      </c>
      <c r="BS595">
        <f t="shared" si="209"/>
        <v>0</v>
      </c>
      <c r="BT595">
        <f t="shared" si="210"/>
        <v>0</v>
      </c>
      <c r="BU595">
        <f t="shared" si="211"/>
        <v>0</v>
      </c>
      <c r="BV595">
        <f t="shared" si="212"/>
        <v>0</v>
      </c>
      <c r="BW595">
        <f t="shared" si="213"/>
        <v>0</v>
      </c>
      <c r="CA595" t="str">
        <f>IF(396&gt;ROWS(DGArchive[模组]),"",IF(INDEX(DGArchive[模组],396)="","",INDEX(DGArchive[模组],396)))</f>
        <v/>
      </c>
      <c r="CB595" t="str">
        <f>IF(396&gt;ROWS(DGArchive[阶段]),"",IF(INDEX(DGArchive[阶段],396)="","",INDEX(DGArchive[阶段],396)))</f>
        <v/>
      </c>
      <c r="CC595" t="str">
        <f>IF(396&gt;ROWS(DGArchive[游戏内日期]),"",IF(INDEX(DGArchive[游戏内日期],396)="","",INDEX(DGArchive[游戏内日期],396)))</f>
        <v/>
      </c>
      <c r="CD595" t="str">
        <f>IF(396&gt;ROWS(DGArchive[目标]),"",IF(INDEX(DGArchive[目标],396)="","",INDEX(DGArchive[目标],396)))</f>
        <v/>
      </c>
      <c r="CE595" t="str">
        <f>IF(396&gt;ROWS(DGArchive[变更前]),"",IF(INDEX(DGArchive[变更前],396)="","",INDEX(DGArchive[变更前],396)))</f>
        <v/>
      </c>
      <c r="CF595" t="str">
        <f>IF(396&gt;ROWS(DGArchive[增减]),"",IF(INDEX(DGArchive[增减],396)="","",INDEX(DGArchive[增减],396)))</f>
        <v/>
      </c>
      <c r="CG595" t="str">
        <f>IF(396&gt;ROWS(DGArchive[变更后]),"",IF(INDEX(DGArchive[变更后],396)="","",INDEX(DGArchive[变更后],396)))</f>
        <v/>
      </c>
      <c r="CH595" t="str">
        <f>IF(396&gt;ROWS(DGArchive[事件／活动]),"",IF(INDEX(DGArchive[事件／活动],396)="","",INDEX(DGArchive[事件／活动],396)))</f>
        <v/>
      </c>
      <c r="CI595" t="str">
        <f>IF(396&gt;ROWS(DGArchive[记录编号]),"",IF(INDEX(DGArchive[记录编号],396)="","",INDEX(DGArchive[记录编号],396)))</f>
        <v/>
      </c>
      <c r="CL595">
        <f t="shared" si="194"/>
        <v>0</v>
      </c>
      <c r="CM595">
        <f>IF(AND(A595=$AO$5,B595=$AQ$3,H595=1),COUNTIFS($A$200:A595,$AO$5,$B$200:B595,$AQ$3,$H$200:H595,1),0)</f>
        <v>0</v>
      </c>
      <c r="CN595">
        <f>IF(CA595="",396,1001)</f>
        <v>396</v>
      </c>
      <c r="GA595">
        <f t="shared" si="214"/>
        <v>0</v>
      </c>
      <c r="GB595">
        <f t="shared" si="215"/>
        <v>0</v>
      </c>
      <c r="GC595">
        <f>IF(AND(C595="事件记录",H595=1),COUNTIFS($C$200:C595,"事件记录",$H$200:H595,1),0)</f>
        <v>0</v>
      </c>
      <c r="GD595">
        <f t="shared" si="195"/>
        <v>0</v>
      </c>
      <c r="GH595">
        <f>IF(AND(H595=1,A595=$GA$10,B595=$GA$11),COUNTIFS($A$200:A595,$GA$10,$B$200:B595,$GA$11,$H$200:H595,1),0)</f>
        <v>0</v>
      </c>
    </row>
    <row r="596" spans="1:190">
      <c r="A596" t="str">
        <f t="shared" si="186"/>
        <v/>
      </c>
      <c r="B596" t="str">
        <f t="shared" si="187"/>
        <v/>
      </c>
      <c r="C596" t="str">
        <f t="shared" si="188"/>
        <v/>
      </c>
      <c r="D596" t="str">
        <f t="shared" si="189"/>
        <v/>
      </c>
      <c r="E596">
        <f t="shared" si="190"/>
        <v>0</v>
      </c>
      <c r="F596" t="str">
        <f t="shared" si="191"/>
        <v/>
      </c>
      <c r="G596">
        <f t="shared" si="192"/>
        <v>0</v>
      </c>
      <c r="H596">
        <f>IF(AND(G596=1,COUNTIFS($I$200:I596,I596,$G$200:G596,1)=1),1,0)</f>
        <v>0</v>
      </c>
      <c r="I596" t="str">
        <f t="shared" si="193"/>
        <v/>
      </c>
      <c r="BF596">
        <f t="shared" si="196"/>
        <v>0</v>
      </c>
      <c r="BG596">
        <f t="shared" si="197"/>
        <v>0</v>
      </c>
      <c r="BH596">
        <f t="shared" si="198"/>
        <v>0</v>
      </c>
      <c r="BI596">
        <f t="shared" si="199"/>
        <v>0</v>
      </c>
      <c r="BJ596">
        <f t="shared" si="200"/>
        <v>0</v>
      </c>
      <c r="BK596">
        <f t="shared" si="201"/>
        <v>0</v>
      </c>
      <c r="BL596">
        <f t="shared" si="202"/>
        <v>0</v>
      </c>
      <c r="BM596">
        <f t="shared" si="203"/>
        <v>0</v>
      </c>
      <c r="BN596">
        <f t="shared" si="204"/>
        <v>0</v>
      </c>
      <c r="BO596">
        <f t="shared" si="205"/>
        <v>0</v>
      </c>
      <c r="BP596">
        <f t="shared" si="206"/>
        <v>0</v>
      </c>
      <c r="BQ596">
        <f t="shared" si="207"/>
        <v>0</v>
      </c>
      <c r="BR596">
        <f t="shared" si="208"/>
        <v>0</v>
      </c>
      <c r="BS596">
        <f t="shared" si="209"/>
        <v>0</v>
      </c>
      <c r="BT596">
        <f t="shared" si="210"/>
        <v>0</v>
      </c>
      <c r="BU596">
        <f t="shared" si="211"/>
        <v>0</v>
      </c>
      <c r="BV596">
        <f t="shared" si="212"/>
        <v>0</v>
      </c>
      <c r="BW596">
        <f t="shared" si="213"/>
        <v>0</v>
      </c>
      <c r="CA596" t="str">
        <f>IF(397&gt;ROWS(DGArchive[模组]),"",IF(INDEX(DGArchive[模组],397)="","",INDEX(DGArchive[模组],397)))</f>
        <v/>
      </c>
      <c r="CB596" t="str">
        <f>IF(397&gt;ROWS(DGArchive[阶段]),"",IF(INDEX(DGArchive[阶段],397)="","",INDEX(DGArchive[阶段],397)))</f>
        <v/>
      </c>
      <c r="CC596" t="str">
        <f>IF(397&gt;ROWS(DGArchive[游戏内日期]),"",IF(INDEX(DGArchive[游戏内日期],397)="","",INDEX(DGArchive[游戏内日期],397)))</f>
        <v/>
      </c>
      <c r="CD596" t="str">
        <f>IF(397&gt;ROWS(DGArchive[目标]),"",IF(INDEX(DGArchive[目标],397)="","",INDEX(DGArchive[目标],397)))</f>
        <v/>
      </c>
      <c r="CE596" t="str">
        <f>IF(397&gt;ROWS(DGArchive[变更前]),"",IF(INDEX(DGArchive[变更前],397)="","",INDEX(DGArchive[变更前],397)))</f>
        <v/>
      </c>
      <c r="CF596" t="str">
        <f>IF(397&gt;ROWS(DGArchive[增减]),"",IF(INDEX(DGArchive[增减],397)="","",INDEX(DGArchive[增减],397)))</f>
        <v/>
      </c>
      <c r="CG596" t="str">
        <f>IF(397&gt;ROWS(DGArchive[变更后]),"",IF(INDEX(DGArchive[变更后],397)="","",INDEX(DGArchive[变更后],397)))</f>
        <v/>
      </c>
      <c r="CH596" t="str">
        <f>IF(397&gt;ROWS(DGArchive[事件／活动]),"",IF(INDEX(DGArchive[事件／活动],397)="","",INDEX(DGArchive[事件／活动],397)))</f>
        <v/>
      </c>
      <c r="CI596" t="str">
        <f>IF(397&gt;ROWS(DGArchive[记录编号]),"",IF(INDEX(DGArchive[记录编号],397)="","",INDEX(DGArchive[记录编号],397)))</f>
        <v/>
      </c>
      <c r="CL596">
        <f t="shared" si="194"/>
        <v>0</v>
      </c>
      <c r="CM596">
        <f>IF(AND(A596=$AO$5,B596=$AQ$3,H596=1),COUNTIFS($A$200:A596,$AO$5,$B$200:B596,$AQ$3,$H$200:H596,1),0)</f>
        <v>0</v>
      </c>
      <c r="CN596">
        <f>IF(CA596="",397,1001)</f>
        <v>397</v>
      </c>
      <c r="GA596">
        <f t="shared" si="214"/>
        <v>0</v>
      </c>
      <c r="GB596">
        <f t="shared" si="215"/>
        <v>0</v>
      </c>
      <c r="GC596">
        <f>IF(AND(C596="事件记录",H596=1),COUNTIFS($C$200:C596,"事件记录",$H$200:H596,1),0)</f>
        <v>0</v>
      </c>
      <c r="GD596">
        <f t="shared" si="195"/>
        <v>0</v>
      </c>
      <c r="GH596">
        <f>IF(AND(H596=1,A596=$GA$10,B596=$GA$11),COUNTIFS($A$200:A596,$GA$10,$B$200:B596,$GA$11,$H$200:H596,1),0)</f>
        <v>0</v>
      </c>
    </row>
    <row r="597" spans="1:190">
      <c r="A597" t="str">
        <f t="shared" si="186"/>
        <v/>
      </c>
      <c r="B597" t="str">
        <f t="shared" si="187"/>
        <v/>
      </c>
      <c r="C597" t="str">
        <f t="shared" si="188"/>
        <v/>
      </c>
      <c r="D597" t="str">
        <f t="shared" si="189"/>
        <v/>
      </c>
      <c r="E597">
        <f t="shared" si="190"/>
        <v>0</v>
      </c>
      <c r="F597" t="str">
        <f t="shared" si="191"/>
        <v/>
      </c>
      <c r="G597">
        <f t="shared" si="192"/>
        <v>0</v>
      </c>
      <c r="H597">
        <f>IF(AND(G597=1,COUNTIFS($I$200:I597,I597,$G$200:G597,1)=1),1,0)</f>
        <v>0</v>
      </c>
      <c r="I597" t="str">
        <f t="shared" si="193"/>
        <v/>
      </c>
      <c r="BF597">
        <f t="shared" si="196"/>
        <v>0</v>
      </c>
      <c r="BG597">
        <f t="shared" si="197"/>
        <v>0</v>
      </c>
      <c r="BH597">
        <f t="shared" si="198"/>
        <v>0</v>
      </c>
      <c r="BI597">
        <f t="shared" si="199"/>
        <v>0</v>
      </c>
      <c r="BJ597">
        <f t="shared" si="200"/>
        <v>0</v>
      </c>
      <c r="BK597">
        <f t="shared" si="201"/>
        <v>0</v>
      </c>
      <c r="BL597">
        <f t="shared" si="202"/>
        <v>0</v>
      </c>
      <c r="BM597">
        <f t="shared" si="203"/>
        <v>0</v>
      </c>
      <c r="BN597">
        <f t="shared" si="204"/>
        <v>0</v>
      </c>
      <c r="BO597">
        <f t="shared" si="205"/>
        <v>0</v>
      </c>
      <c r="BP597">
        <f t="shared" si="206"/>
        <v>0</v>
      </c>
      <c r="BQ597">
        <f t="shared" si="207"/>
        <v>0</v>
      </c>
      <c r="BR597">
        <f t="shared" si="208"/>
        <v>0</v>
      </c>
      <c r="BS597">
        <f t="shared" si="209"/>
        <v>0</v>
      </c>
      <c r="BT597">
        <f t="shared" si="210"/>
        <v>0</v>
      </c>
      <c r="BU597">
        <f t="shared" si="211"/>
        <v>0</v>
      </c>
      <c r="BV597">
        <f t="shared" si="212"/>
        <v>0</v>
      </c>
      <c r="BW597">
        <f t="shared" si="213"/>
        <v>0</v>
      </c>
      <c r="CA597" t="str">
        <f>IF(398&gt;ROWS(DGArchive[模组]),"",IF(INDEX(DGArchive[模组],398)="","",INDEX(DGArchive[模组],398)))</f>
        <v/>
      </c>
      <c r="CB597" t="str">
        <f>IF(398&gt;ROWS(DGArchive[阶段]),"",IF(INDEX(DGArchive[阶段],398)="","",INDEX(DGArchive[阶段],398)))</f>
        <v/>
      </c>
      <c r="CC597" t="str">
        <f>IF(398&gt;ROWS(DGArchive[游戏内日期]),"",IF(INDEX(DGArchive[游戏内日期],398)="","",INDEX(DGArchive[游戏内日期],398)))</f>
        <v/>
      </c>
      <c r="CD597" t="str">
        <f>IF(398&gt;ROWS(DGArchive[目标]),"",IF(INDEX(DGArchive[目标],398)="","",INDEX(DGArchive[目标],398)))</f>
        <v/>
      </c>
      <c r="CE597" t="str">
        <f>IF(398&gt;ROWS(DGArchive[变更前]),"",IF(INDEX(DGArchive[变更前],398)="","",INDEX(DGArchive[变更前],398)))</f>
        <v/>
      </c>
      <c r="CF597" t="str">
        <f>IF(398&gt;ROWS(DGArchive[增减]),"",IF(INDEX(DGArchive[增减],398)="","",INDEX(DGArchive[增减],398)))</f>
        <v/>
      </c>
      <c r="CG597" t="str">
        <f>IF(398&gt;ROWS(DGArchive[变更后]),"",IF(INDEX(DGArchive[变更后],398)="","",INDEX(DGArchive[变更后],398)))</f>
        <v/>
      </c>
      <c r="CH597" t="str">
        <f>IF(398&gt;ROWS(DGArchive[事件／活动]),"",IF(INDEX(DGArchive[事件／活动],398)="","",INDEX(DGArchive[事件／活动],398)))</f>
        <v/>
      </c>
      <c r="CI597" t="str">
        <f>IF(398&gt;ROWS(DGArchive[记录编号]),"",IF(INDEX(DGArchive[记录编号],398)="","",INDEX(DGArchive[记录编号],398)))</f>
        <v/>
      </c>
      <c r="CL597">
        <f t="shared" si="194"/>
        <v>0</v>
      </c>
      <c r="CM597">
        <f>IF(AND(A597=$AO$5,B597=$AQ$3,H597=1),COUNTIFS($A$200:A597,$AO$5,$B$200:B597,$AQ$3,$H$200:H597,1),0)</f>
        <v>0</v>
      </c>
      <c r="CN597">
        <f>IF(CA597="",398,1001)</f>
        <v>398</v>
      </c>
      <c r="GA597">
        <f t="shared" si="214"/>
        <v>0</v>
      </c>
      <c r="GB597">
        <f t="shared" si="215"/>
        <v>0</v>
      </c>
      <c r="GC597">
        <f>IF(AND(C597="事件记录",H597=1),COUNTIFS($C$200:C597,"事件记录",$H$200:H597,1),0)</f>
        <v>0</v>
      </c>
      <c r="GD597">
        <f t="shared" si="195"/>
        <v>0</v>
      </c>
      <c r="GH597">
        <f>IF(AND(H597=1,A597=$GA$10,B597=$GA$11),COUNTIFS($A$200:A597,$GA$10,$B$200:B597,$GA$11,$H$200:H597,1),0)</f>
        <v>0</v>
      </c>
    </row>
    <row r="598" spans="1:190">
      <c r="A598" t="str">
        <f t="shared" si="186"/>
        <v/>
      </c>
      <c r="B598" t="str">
        <f t="shared" si="187"/>
        <v/>
      </c>
      <c r="C598" t="str">
        <f t="shared" si="188"/>
        <v/>
      </c>
      <c r="D598" t="str">
        <f t="shared" si="189"/>
        <v/>
      </c>
      <c r="E598">
        <f t="shared" si="190"/>
        <v>0</v>
      </c>
      <c r="F598" t="str">
        <f t="shared" si="191"/>
        <v/>
      </c>
      <c r="G598">
        <f t="shared" si="192"/>
        <v>0</v>
      </c>
      <c r="H598">
        <f>IF(AND(G598=1,COUNTIFS($I$200:I598,I598,$G$200:G598,1)=1),1,0)</f>
        <v>0</v>
      </c>
      <c r="I598" t="str">
        <f t="shared" si="193"/>
        <v/>
      </c>
      <c r="BF598">
        <f t="shared" si="196"/>
        <v>0</v>
      </c>
      <c r="BG598">
        <f t="shared" si="197"/>
        <v>0</v>
      </c>
      <c r="BH598">
        <f t="shared" si="198"/>
        <v>0</v>
      </c>
      <c r="BI598">
        <f t="shared" si="199"/>
        <v>0</v>
      </c>
      <c r="BJ598">
        <f t="shared" si="200"/>
        <v>0</v>
      </c>
      <c r="BK598">
        <f t="shared" si="201"/>
        <v>0</v>
      </c>
      <c r="BL598">
        <f t="shared" si="202"/>
        <v>0</v>
      </c>
      <c r="BM598">
        <f t="shared" si="203"/>
        <v>0</v>
      </c>
      <c r="BN598">
        <f t="shared" si="204"/>
        <v>0</v>
      </c>
      <c r="BO598">
        <f t="shared" si="205"/>
        <v>0</v>
      </c>
      <c r="BP598">
        <f t="shared" si="206"/>
        <v>0</v>
      </c>
      <c r="BQ598">
        <f t="shared" si="207"/>
        <v>0</v>
      </c>
      <c r="BR598">
        <f t="shared" si="208"/>
        <v>0</v>
      </c>
      <c r="BS598">
        <f t="shared" si="209"/>
        <v>0</v>
      </c>
      <c r="BT598">
        <f t="shared" si="210"/>
        <v>0</v>
      </c>
      <c r="BU598">
        <f t="shared" si="211"/>
        <v>0</v>
      </c>
      <c r="BV598">
        <f t="shared" si="212"/>
        <v>0</v>
      </c>
      <c r="BW598">
        <f t="shared" si="213"/>
        <v>0</v>
      </c>
      <c r="CA598" t="str">
        <f>IF(399&gt;ROWS(DGArchive[模组]),"",IF(INDEX(DGArchive[模组],399)="","",INDEX(DGArchive[模组],399)))</f>
        <v/>
      </c>
      <c r="CB598" t="str">
        <f>IF(399&gt;ROWS(DGArchive[阶段]),"",IF(INDEX(DGArchive[阶段],399)="","",INDEX(DGArchive[阶段],399)))</f>
        <v/>
      </c>
      <c r="CC598" t="str">
        <f>IF(399&gt;ROWS(DGArchive[游戏内日期]),"",IF(INDEX(DGArchive[游戏内日期],399)="","",INDEX(DGArchive[游戏内日期],399)))</f>
        <v/>
      </c>
      <c r="CD598" t="str">
        <f>IF(399&gt;ROWS(DGArchive[目标]),"",IF(INDEX(DGArchive[目标],399)="","",INDEX(DGArchive[目标],399)))</f>
        <v/>
      </c>
      <c r="CE598" t="str">
        <f>IF(399&gt;ROWS(DGArchive[变更前]),"",IF(INDEX(DGArchive[变更前],399)="","",INDEX(DGArchive[变更前],399)))</f>
        <v/>
      </c>
      <c r="CF598" t="str">
        <f>IF(399&gt;ROWS(DGArchive[增减]),"",IF(INDEX(DGArchive[增减],399)="","",INDEX(DGArchive[增减],399)))</f>
        <v/>
      </c>
      <c r="CG598" t="str">
        <f>IF(399&gt;ROWS(DGArchive[变更后]),"",IF(INDEX(DGArchive[变更后],399)="","",INDEX(DGArchive[变更后],399)))</f>
        <v/>
      </c>
      <c r="CH598" t="str">
        <f>IF(399&gt;ROWS(DGArchive[事件／活动]),"",IF(INDEX(DGArchive[事件／活动],399)="","",INDEX(DGArchive[事件／活动],399)))</f>
        <v/>
      </c>
      <c r="CI598" t="str">
        <f>IF(399&gt;ROWS(DGArchive[记录编号]),"",IF(INDEX(DGArchive[记录编号],399)="","",INDEX(DGArchive[记录编号],399)))</f>
        <v/>
      </c>
      <c r="CL598">
        <f t="shared" si="194"/>
        <v>0</v>
      </c>
      <c r="CM598">
        <f>IF(AND(A598=$AO$5,B598=$AQ$3,H598=1),COUNTIFS($A$200:A598,$AO$5,$B$200:B598,$AQ$3,$H$200:H598,1),0)</f>
        <v>0</v>
      </c>
      <c r="CN598">
        <f>IF(CA598="",399,1001)</f>
        <v>399</v>
      </c>
      <c r="GA598">
        <f t="shared" si="214"/>
        <v>0</v>
      </c>
      <c r="GB598">
        <f t="shared" si="215"/>
        <v>0</v>
      </c>
      <c r="GC598">
        <f>IF(AND(C598="事件记录",H598=1),COUNTIFS($C$200:C598,"事件记录",$H$200:H598,1),0)</f>
        <v>0</v>
      </c>
      <c r="GD598">
        <f t="shared" si="195"/>
        <v>0</v>
      </c>
      <c r="GH598">
        <f>IF(AND(H598=1,A598=$GA$10,B598=$GA$11),COUNTIFS($A$200:A598,$GA$10,$B$200:B598,$GA$11,$H$200:H598,1),0)</f>
        <v>0</v>
      </c>
    </row>
    <row r="599" spans="1:190">
      <c r="A599" t="str">
        <f t="shared" si="186"/>
        <v/>
      </c>
      <c r="B599" t="str">
        <f t="shared" si="187"/>
        <v/>
      </c>
      <c r="C599" t="str">
        <f t="shared" si="188"/>
        <v/>
      </c>
      <c r="D599" t="str">
        <f t="shared" si="189"/>
        <v/>
      </c>
      <c r="E599">
        <f t="shared" si="190"/>
        <v>0</v>
      </c>
      <c r="F599" t="str">
        <f t="shared" si="191"/>
        <v/>
      </c>
      <c r="G599">
        <f t="shared" si="192"/>
        <v>0</v>
      </c>
      <c r="H599">
        <f>IF(AND(G599=1,COUNTIFS($I$200:I599,I599,$G$200:G599,1)=1),1,0)</f>
        <v>0</v>
      </c>
      <c r="I599" t="str">
        <f t="shared" si="193"/>
        <v/>
      </c>
      <c r="BF599">
        <f t="shared" si="196"/>
        <v>0</v>
      </c>
      <c r="BG599">
        <f t="shared" si="197"/>
        <v>0</v>
      </c>
      <c r="BH599">
        <f t="shared" si="198"/>
        <v>0</v>
      </c>
      <c r="BI599">
        <f t="shared" si="199"/>
        <v>0</v>
      </c>
      <c r="BJ599">
        <f t="shared" si="200"/>
        <v>0</v>
      </c>
      <c r="BK599">
        <f t="shared" si="201"/>
        <v>0</v>
      </c>
      <c r="BL599">
        <f t="shared" si="202"/>
        <v>0</v>
      </c>
      <c r="BM599">
        <f t="shared" si="203"/>
        <v>0</v>
      </c>
      <c r="BN599">
        <f t="shared" si="204"/>
        <v>0</v>
      </c>
      <c r="BO599">
        <f t="shared" si="205"/>
        <v>0</v>
      </c>
      <c r="BP599">
        <f t="shared" si="206"/>
        <v>0</v>
      </c>
      <c r="BQ599">
        <f t="shared" si="207"/>
        <v>0</v>
      </c>
      <c r="BR599">
        <f t="shared" si="208"/>
        <v>0</v>
      </c>
      <c r="BS599">
        <f t="shared" si="209"/>
        <v>0</v>
      </c>
      <c r="BT599">
        <f t="shared" si="210"/>
        <v>0</v>
      </c>
      <c r="BU599">
        <f t="shared" si="211"/>
        <v>0</v>
      </c>
      <c r="BV599">
        <f t="shared" si="212"/>
        <v>0</v>
      </c>
      <c r="BW599">
        <f t="shared" si="213"/>
        <v>0</v>
      </c>
      <c r="CA599" t="str">
        <f>IF(400&gt;ROWS(DGArchive[模组]),"",IF(INDEX(DGArchive[模组],400)="","",INDEX(DGArchive[模组],400)))</f>
        <v/>
      </c>
      <c r="CB599" t="str">
        <f>IF(400&gt;ROWS(DGArchive[阶段]),"",IF(INDEX(DGArchive[阶段],400)="","",INDEX(DGArchive[阶段],400)))</f>
        <v/>
      </c>
      <c r="CC599" t="str">
        <f>IF(400&gt;ROWS(DGArchive[游戏内日期]),"",IF(INDEX(DGArchive[游戏内日期],400)="","",INDEX(DGArchive[游戏内日期],400)))</f>
        <v/>
      </c>
      <c r="CD599" t="str">
        <f>IF(400&gt;ROWS(DGArchive[目标]),"",IF(INDEX(DGArchive[目标],400)="","",INDEX(DGArchive[目标],400)))</f>
        <v/>
      </c>
      <c r="CE599" t="str">
        <f>IF(400&gt;ROWS(DGArchive[变更前]),"",IF(INDEX(DGArchive[变更前],400)="","",INDEX(DGArchive[变更前],400)))</f>
        <v/>
      </c>
      <c r="CF599" t="str">
        <f>IF(400&gt;ROWS(DGArchive[增减]),"",IF(INDEX(DGArchive[增减],400)="","",INDEX(DGArchive[增减],400)))</f>
        <v/>
      </c>
      <c r="CG599" t="str">
        <f>IF(400&gt;ROWS(DGArchive[变更后]),"",IF(INDEX(DGArchive[变更后],400)="","",INDEX(DGArchive[变更后],400)))</f>
        <v/>
      </c>
      <c r="CH599" t="str">
        <f>IF(400&gt;ROWS(DGArchive[事件／活动]),"",IF(INDEX(DGArchive[事件／活动],400)="","",INDEX(DGArchive[事件／活动],400)))</f>
        <v/>
      </c>
      <c r="CI599" t="str">
        <f>IF(400&gt;ROWS(DGArchive[记录编号]),"",IF(INDEX(DGArchive[记录编号],400)="","",INDEX(DGArchive[记录编号],400)))</f>
        <v/>
      </c>
      <c r="CL599">
        <f t="shared" si="194"/>
        <v>0</v>
      </c>
      <c r="CM599">
        <f>IF(AND(A599=$AO$5,B599=$AQ$3,H599=1),COUNTIFS($A$200:A599,$AO$5,$B$200:B599,$AQ$3,$H$200:H599,1),0)</f>
        <v>0</v>
      </c>
      <c r="CN599">
        <f>IF(CA599="",400,1001)</f>
        <v>400</v>
      </c>
      <c r="GA599">
        <f t="shared" si="214"/>
        <v>0</v>
      </c>
      <c r="GB599">
        <f t="shared" si="215"/>
        <v>0</v>
      </c>
      <c r="GC599">
        <f>IF(AND(C599="事件记录",H599=1),COUNTIFS($C$200:C599,"事件记录",$H$200:H599,1),0)</f>
        <v>0</v>
      </c>
      <c r="GD599">
        <f t="shared" si="195"/>
        <v>0</v>
      </c>
      <c r="GH599">
        <f>IF(AND(H599=1,A599=$GA$10,B599=$GA$11),COUNTIFS($A$200:A599,$GA$10,$B$200:B599,$GA$11,$H$200:H599,1),0)</f>
        <v>0</v>
      </c>
    </row>
    <row r="600" spans="1:190">
      <c r="A600" t="str">
        <f t="shared" si="186"/>
        <v/>
      </c>
      <c r="B600" t="str">
        <f t="shared" si="187"/>
        <v/>
      </c>
      <c r="C600" t="str">
        <f t="shared" si="188"/>
        <v/>
      </c>
      <c r="D600" t="str">
        <f t="shared" si="189"/>
        <v/>
      </c>
      <c r="E600">
        <f t="shared" si="190"/>
        <v>0</v>
      </c>
      <c r="F600" t="str">
        <f t="shared" si="191"/>
        <v/>
      </c>
      <c r="G600">
        <f t="shared" si="192"/>
        <v>0</v>
      </c>
      <c r="H600">
        <f>IF(AND(G600=1,COUNTIFS($I$200:I600,I600,$G$200:G600,1)=1),1,0)</f>
        <v>0</v>
      </c>
      <c r="I600" t="str">
        <f t="shared" si="193"/>
        <v/>
      </c>
      <c r="BF600">
        <f t="shared" si="196"/>
        <v>0</v>
      </c>
      <c r="BG600">
        <f t="shared" si="197"/>
        <v>0</v>
      </c>
      <c r="BH600">
        <f t="shared" si="198"/>
        <v>0</v>
      </c>
      <c r="BI600">
        <f t="shared" si="199"/>
        <v>0</v>
      </c>
      <c r="BJ600">
        <f t="shared" si="200"/>
        <v>0</v>
      </c>
      <c r="BK600">
        <f t="shared" si="201"/>
        <v>0</v>
      </c>
      <c r="BL600">
        <f t="shared" si="202"/>
        <v>0</v>
      </c>
      <c r="BM600">
        <f t="shared" si="203"/>
        <v>0</v>
      </c>
      <c r="BN600">
        <f t="shared" si="204"/>
        <v>0</v>
      </c>
      <c r="BO600">
        <f t="shared" si="205"/>
        <v>0</v>
      </c>
      <c r="BP600">
        <f t="shared" si="206"/>
        <v>0</v>
      </c>
      <c r="BQ600">
        <f t="shared" si="207"/>
        <v>0</v>
      </c>
      <c r="BR600">
        <f t="shared" si="208"/>
        <v>0</v>
      </c>
      <c r="BS600">
        <f t="shared" si="209"/>
        <v>0</v>
      </c>
      <c r="BT600">
        <f t="shared" si="210"/>
        <v>0</v>
      </c>
      <c r="BU600">
        <f t="shared" si="211"/>
        <v>0</v>
      </c>
      <c r="BV600">
        <f t="shared" si="212"/>
        <v>0</v>
      </c>
      <c r="BW600">
        <f t="shared" si="213"/>
        <v>0</v>
      </c>
      <c r="CA600" t="str">
        <f>IF(401&gt;ROWS(DGArchive[模组]),"",IF(INDEX(DGArchive[模组],401)="","",INDEX(DGArchive[模组],401)))</f>
        <v/>
      </c>
      <c r="CB600" t="str">
        <f>IF(401&gt;ROWS(DGArchive[阶段]),"",IF(INDEX(DGArchive[阶段],401)="","",INDEX(DGArchive[阶段],401)))</f>
        <v/>
      </c>
      <c r="CC600" t="str">
        <f>IF(401&gt;ROWS(DGArchive[游戏内日期]),"",IF(INDEX(DGArchive[游戏内日期],401)="","",INDEX(DGArchive[游戏内日期],401)))</f>
        <v/>
      </c>
      <c r="CD600" t="str">
        <f>IF(401&gt;ROWS(DGArchive[目标]),"",IF(INDEX(DGArchive[目标],401)="","",INDEX(DGArchive[目标],401)))</f>
        <v/>
      </c>
      <c r="CE600" t="str">
        <f>IF(401&gt;ROWS(DGArchive[变更前]),"",IF(INDEX(DGArchive[变更前],401)="","",INDEX(DGArchive[变更前],401)))</f>
        <v/>
      </c>
      <c r="CF600" t="str">
        <f>IF(401&gt;ROWS(DGArchive[增减]),"",IF(INDEX(DGArchive[增减],401)="","",INDEX(DGArchive[增减],401)))</f>
        <v/>
      </c>
      <c r="CG600" t="str">
        <f>IF(401&gt;ROWS(DGArchive[变更后]),"",IF(INDEX(DGArchive[变更后],401)="","",INDEX(DGArchive[变更后],401)))</f>
        <v/>
      </c>
      <c r="CH600" t="str">
        <f>IF(401&gt;ROWS(DGArchive[事件／活动]),"",IF(INDEX(DGArchive[事件／活动],401)="","",INDEX(DGArchive[事件／活动],401)))</f>
        <v/>
      </c>
      <c r="CI600" t="str">
        <f>IF(401&gt;ROWS(DGArchive[记录编号]),"",IF(INDEX(DGArchive[记录编号],401)="","",INDEX(DGArchive[记录编号],401)))</f>
        <v/>
      </c>
      <c r="CL600">
        <f t="shared" si="194"/>
        <v>0</v>
      </c>
      <c r="CM600">
        <f>IF(AND(A600=$AO$5,B600=$AQ$3,H600=1),COUNTIFS($A$200:A600,$AO$5,$B$200:B600,$AQ$3,$H$200:H600,1),0)</f>
        <v>0</v>
      </c>
      <c r="CN600">
        <f>IF(CA600="",401,1001)</f>
        <v>401</v>
      </c>
      <c r="GA600">
        <f t="shared" si="214"/>
        <v>0</v>
      </c>
      <c r="GB600">
        <f t="shared" si="215"/>
        <v>0</v>
      </c>
      <c r="GC600">
        <f>IF(AND(C600="事件记录",H600=1),COUNTIFS($C$200:C600,"事件记录",$H$200:H600,1),0)</f>
        <v>0</v>
      </c>
      <c r="GD600">
        <f t="shared" si="195"/>
        <v>0</v>
      </c>
      <c r="GH600">
        <f>IF(AND(H600=1,A600=$GA$10,B600=$GA$11),COUNTIFS($A$200:A600,$GA$10,$B$200:B600,$GA$11,$H$200:H600,1),0)</f>
        <v>0</v>
      </c>
    </row>
    <row r="601" spans="1:190">
      <c r="A601" t="str">
        <f t="shared" si="186"/>
        <v/>
      </c>
      <c r="B601" t="str">
        <f t="shared" si="187"/>
        <v/>
      </c>
      <c r="C601" t="str">
        <f t="shared" si="188"/>
        <v/>
      </c>
      <c r="D601" t="str">
        <f t="shared" si="189"/>
        <v/>
      </c>
      <c r="E601">
        <f t="shared" si="190"/>
        <v>0</v>
      </c>
      <c r="F601" t="str">
        <f t="shared" si="191"/>
        <v/>
      </c>
      <c r="G601">
        <f t="shared" si="192"/>
        <v>0</v>
      </c>
      <c r="H601">
        <f>IF(AND(G601=1,COUNTIFS($I$200:I601,I601,$G$200:G601,1)=1),1,0)</f>
        <v>0</v>
      </c>
      <c r="I601" t="str">
        <f t="shared" si="193"/>
        <v/>
      </c>
      <c r="BF601">
        <f t="shared" si="196"/>
        <v>0</v>
      </c>
      <c r="BG601">
        <f t="shared" si="197"/>
        <v>0</v>
      </c>
      <c r="BH601">
        <f t="shared" si="198"/>
        <v>0</v>
      </c>
      <c r="BI601">
        <f t="shared" si="199"/>
        <v>0</v>
      </c>
      <c r="BJ601">
        <f t="shared" si="200"/>
        <v>0</v>
      </c>
      <c r="BK601">
        <f t="shared" si="201"/>
        <v>0</v>
      </c>
      <c r="BL601">
        <f t="shared" si="202"/>
        <v>0</v>
      </c>
      <c r="BM601">
        <f t="shared" si="203"/>
        <v>0</v>
      </c>
      <c r="BN601">
        <f t="shared" si="204"/>
        <v>0</v>
      </c>
      <c r="BO601">
        <f t="shared" si="205"/>
        <v>0</v>
      </c>
      <c r="BP601">
        <f t="shared" si="206"/>
        <v>0</v>
      </c>
      <c r="BQ601">
        <f t="shared" si="207"/>
        <v>0</v>
      </c>
      <c r="BR601">
        <f t="shared" si="208"/>
        <v>0</v>
      </c>
      <c r="BS601">
        <f t="shared" si="209"/>
        <v>0</v>
      </c>
      <c r="BT601">
        <f t="shared" si="210"/>
        <v>0</v>
      </c>
      <c r="BU601">
        <f t="shared" si="211"/>
        <v>0</v>
      </c>
      <c r="BV601">
        <f t="shared" si="212"/>
        <v>0</v>
      </c>
      <c r="BW601">
        <f t="shared" si="213"/>
        <v>0</v>
      </c>
      <c r="CA601" t="str">
        <f>IF(402&gt;ROWS(DGArchive[模组]),"",IF(INDEX(DGArchive[模组],402)="","",INDEX(DGArchive[模组],402)))</f>
        <v/>
      </c>
      <c r="CB601" t="str">
        <f>IF(402&gt;ROWS(DGArchive[阶段]),"",IF(INDEX(DGArchive[阶段],402)="","",INDEX(DGArchive[阶段],402)))</f>
        <v/>
      </c>
      <c r="CC601" t="str">
        <f>IF(402&gt;ROWS(DGArchive[游戏内日期]),"",IF(INDEX(DGArchive[游戏内日期],402)="","",INDEX(DGArchive[游戏内日期],402)))</f>
        <v/>
      </c>
      <c r="CD601" t="str">
        <f>IF(402&gt;ROWS(DGArchive[目标]),"",IF(INDEX(DGArchive[目标],402)="","",INDEX(DGArchive[目标],402)))</f>
        <v/>
      </c>
      <c r="CE601" t="str">
        <f>IF(402&gt;ROWS(DGArchive[变更前]),"",IF(INDEX(DGArchive[变更前],402)="","",INDEX(DGArchive[变更前],402)))</f>
        <v/>
      </c>
      <c r="CF601" t="str">
        <f>IF(402&gt;ROWS(DGArchive[增减]),"",IF(INDEX(DGArchive[增减],402)="","",INDEX(DGArchive[增减],402)))</f>
        <v/>
      </c>
      <c r="CG601" t="str">
        <f>IF(402&gt;ROWS(DGArchive[变更后]),"",IF(INDEX(DGArchive[变更后],402)="","",INDEX(DGArchive[变更后],402)))</f>
        <v/>
      </c>
      <c r="CH601" t="str">
        <f>IF(402&gt;ROWS(DGArchive[事件／活动]),"",IF(INDEX(DGArchive[事件／活动],402)="","",INDEX(DGArchive[事件／活动],402)))</f>
        <v/>
      </c>
      <c r="CI601" t="str">
        <f>IF(402&gt;ROWS(DGArchive[记录编号]),"",IF(INDEX(DGArchive[记录编号],402)="","",INDEX(DGArchive[记录编号],402)))</f>
        <v/>
      </c>
      <c r="CL601">
        <f t="shared" si="194"/>
        <v>0</v>
      </c>
      <c r="CM601">
        <f>IF(AND(A601=$AO$5,B601=$AQ$3,H601=1),COUNTIFS($A$200:A601,$AO$5,$B$200:B601,$AQ$3,$H$200:H601,1),0)</f>
        <v>0</v>
      </c>
      <c r="CN601">
        <f>IF(CA601="",402,1001)</f>
        <v>402</v>
      </c>
      <c r="GA601">
        <f t="shared" si="214"/>
        <v>0</v>
      </c>
      <c r="GB601">
        <f t="shared" si="215"/>
        <v>0</v>
      </c>
      <c r="GC601">
        <f>IF(AND(C601="事件记录",H601=1),COUNTIFS($C$200:C601,"事件记录",$H$200:H601,1),0)</f>
        <v>0</v>
      </c>
      <c r="GD601">
        <f t="shared" si="195"/>
        <v>0</v>
      </c>
      <c r="GH601">
        <f>IF(AND(H601=1,A601=$GA$10,B601=$GA$11),COUNTIFS($A$200:A601,$GA$10,$B$200:B601,$GA$11,$H$200:H601,1),0)</f>
        <v>0</v>
      </c>
    </row>
    <row r="602" spans="1:190">
      <c r="A602" t="str">
        <f t="shared" si="186"/>
        <v/>
      </c>
      <c r="B602" t="str">
        <f t="shared" si="187"/>
        <v/>
      </c>
      <c r="C602" t="str">
        <f t="shared" si="188"/>
        <v/>
      </c>
      <c r="D602" t="str">
        <f t="shared" si="189"/>
        <v/>
      </c>
      <c r="E602">
        <f t="shared" si="190"/>
        <v>0</v>
      </c>
      <c r="F602" t="str">
        <f t="shared" si="191"/>
        <v/>
      </c>
      <c r="G602">
        <f t="shared" si="192"/>
        <v>0</v>
      </c>
      <c r="H602">
        <f>IF(AND(G602=1,COUNTIFS($I$200:I602,I602,$G$200:G602,1)=1),1,0)</f>
        <v>0</v>
      </c>
      <c r="I602" t="str">
        <f t="shared" si="193"/>
        <v/>
      </c>
      <c r="BF602">
        <f t="shared" si="196"/>
        <v>0</v>
      </c>
      <c r="BG602">
        <f t="shared" si="197"/>
        <v>0</v>
      </c>
      <c r="BH602">
        <f t="shared" si="198"/>
        <v>0</v>
      </c>
      <c r="BI602">
        <f t="shared" si="199"/>
        <v>0</v>
      </c>
      <c r="BJ602">
        <f t="shared" si="200"/>
        <v>0</v>
      </c>
      <c r="BK602">
        <f t="shared" si="201"/>
        <v>0</v>
      </c>
      <c r="BL602">
        <f t="shared" si="202"/>
        <v>0</v>
      </c>
      <c r="BM602">
        <f t="shared" si="203"/>
        <v>0</v>
      </c>
      <c r="BN602">
        <f t="shared" si="204"/>
        <v>0</v>
      </c>
      <c r="BO602">
        <f t="shared" si="205"/>
        <v>0</v>
      </c>
      <c r="BP602">
        <f t="shared" si="206"/>
        <v>0</v>
      </c>
      <c r="BQ602">
        <f t="shared" si="207"/>
        <v>0</v>
      </c>
      <c r="BR602">
        <f t="shared" si="208"/>
        <v>0</v>
      </c>
      <c r="BS602">
        <f t="shared" si="209"/>
        <v>0</v>
      </c>
      <c r="BT602">
        <f t="shared" si="210"/>
        <v>0</v>
      </c>
      <c r="BU602">
        <f t="shared" si="211"/>
        <v>0</v>
      </c>
      <c r="BV602">
        <f t="shared" si="212"/>
        <v>0</v>
      </c>
      <c r="BW602">
        <f t="shared" si="213"/>
        <v>0</v>
      </c>
      <c r="CA602" t="str">
        <f>IF(403&gt;ROWS(DGArchive[模组]),"",IF(INDEX(DGArchive[模组],403)="","",INDEX(DGArchive[模组],403)))</f>
        <v/>
      </c>
      <c r="CB602" t="str">
        <f>IF(403&gt;ROWS(DGArchive[阶段]),"",IF(INDEX(DGArchive[阶段],403)="","",INDEX(DGArchive[阶段],403)))</f>
        <v/>
      </c>
      <c r="CC602" t="str">
        <f>IF(403&gt;ROWS(DGArchive[游戏内日期]),"",IF(INDEX(DGArchive[游戏内日期],403)="","",INDEX(DGArchive[游戏内日期],403)))</f>
        <v/>
      </c>
      <c r="CD602" t="str">
        <f>IF(403&gt;ROWS(DGArchive[目标]),"",IF(INDEX(DGArchive[目标],403)="","",INDEX(DGArchive[目标],403)))</f>
        <v/>
      </c>
      <c r="CE602" t="str">
        <f>IF(403&gt;ROWS(DGArchive[变更前]),"",IF(INDEX(DGArchive[变更前],403)="","",INDEX(DGArchive[变更前],403)))</f>
        <v/>
      </c>
      <c r="CF602" t="str">
        <f>IF(403&gt;ROWS(DGArchive[增减]),"",IF(INDEX(DGArchive[增减],403)="","",INDEX(DGArchive[增减],403)))</f>
        <v/>
      </c>
      <c r="CG602" t="str">
        <f>IF(403&gt;ROWS(DGArchive[变更后]),"",IF(INDEX(DGArchive[变更后],403)="","",INDEX(DGArchive[变更后],403)))</f>
        <v/>
      </c>
      <c r="CH602" t="str">
        <f>IF(403&gt;ROWS(DGArchive[事件／活动]),"",IF(INDEX(DGArchive[事件／活动],403)="","",INDEX(DGArchive[事件／活动],403)))</f>
        <v/>
      </c>
      <c r="CI602" t="str">
        <f>IF(403&gt;ROWS(DGArchive[记录编号]),"",IF(INDEX(DGArchive[记录编号],403)="","",INDEX(DGArchive[记录编号],403)))</f>
        <v/>
      </c>
      <c r="CL602">
        <f t="shared" si="194"/>
        <v>0</v>
      </c>
      <c r="CM602">
        <f>IF(AND(A602=$AO$5,B602=$AQ$3,H602=1),COUNTIFS($A$200:A602,$AO$5,$B$200:B602,$AQ$3,$H$200:H602,1),0)</f>
        <v>0</v>
      </c>
      <c r="CN602">
        <f>IF(CA602="",403,1001)</f>
        <v>403</v>
      </c>
      <c r="GA602">
        <f t="shared" si="214"/>
        <v>0</v>
      </c>
      <c r="GB602">
        <f t="shared" si="215"/>
        <v>0</v>
      </c>
      <c r="GC602">
        <f>IF(AND(C602="事件记录",H602=1),COUNTIFS($C$200:C602,"事件记录",$H$200:H602,1),0)</f>
        <v>0</v>
      </c>
      <c r="GD602">
        <f t="shared" si="195"/>
        <v>0</v>
      </c>
      <c r="GH602">
        <f>IF(AND(H602=1,A602=$GA$10,B602=$GA$11),COUNTIFS($A$200:A602,$GA$10,$B$200:B602,$GA$11,$H$200:H602,1),0)</f>
        <v>0</v>
      </c>
    </row>
    <row r="603" spans="1:190">
      <c r="A603" t="str">
        <f t="shared" si="186"/>
        <v/>
      </c>
      <c r="B603" t="str">
        <f t="shared" si="187"/>
        <v/>
      </c>
      <c r="C603" t="str">
        <f t="shared" si="188"/>
        <v/>
      </c>
      <c r="D603" t="str">
        <f t="shared" si="189"/>
        <v/>
      </c>
      <c r="E603">
        <f t="shared" si="190"/>
        <v>0</v>
      </c>
      <c r="F603" t="str">
        <f t="shared" si="191"/>
        <v/>
      </c>
      <c r="G603">
        <f t="shared" si="192"/>
        <v>0</v>
      </c>
      <c r="H603">
        <f>IF(AND(G603=1,COUNTIFS($I$200:I603,I603,$G$200:G603,1)=1),1,0)</f>
        <v>0</v>
      </c>
      <c r="I603" t="str">
        <f t="shared" si="193"/>
        <v/>
      </c>
      <c r="BF603">
        <f t="shared" si="196"/>
        <v>0</v>
      </c>
      <c r="BG603">
        <f t="shared" si="197"/>
        <v>0</v>
      </c>
      <c r="BH603">
        <f t="shared" si="198"/>
        <v>0</v>
      </c>
      <c r="BI603">
        <f t="shared" si="199"/>
        <v>0</v>
      </c>
      <c r="BJ603">
        <f t="shared" si="200"/>
        <v>0</v>
      </c>
      <c r="BK603">
        <f t="shared" si="201"/>
        <v>0</v>
      </c>
      <c r="BL603">
        <f t="shared" si="202"/>
        <v>0</v>
      </c>
      <c r="BM603">
        <f t="shared" si="203"/>
        <v>0</v>
      </c>
      <c r="BN603">
        <f t="shared" si="204"/>
        <v>0</v>
      </c>
      <c r="BO603">
        <f t="shared" si="205"/>
        <v>0</v>
      </c>
      <c r="BP603">
        <f t="shared" si="206"/>
        <v>0</v>
      </c>
      <c r="BQ603">
        <f t="shared" si="207"/>
        <v>0</v>
      </c>
      <c r="BR603">
        <f t="shared" si="208"/>
        <v>0</v>
      </c>
      <c r="BS603">
        <f t="shared" si="209"/>
        <v>0</v>
      </c>
      <c r="BT603">
        <f t="shared" si="210"/>
        <v>0</v>
      </c>
      <c r="BU603">
        <f t="shared" si="211"/>
        <v>0</v>
      </c>
      <c r="BV603">
        <f t="shared" si="212"/>
        <v>0</v>
      </c>
      <c r="BW603">
        <f t="shared" si="213"/>
        <v>0</v>
      </c>
      <c r="CA603" t="str">
        <f>IF(404&gt;ROWS(DGArchive[模组]),"",IF(INDEX(DGArchive[模组],404)="","",INDEX(DGArchive[模组],404)))</f>
        <v/>
      </c>
      <c r="CB603" t="str">
        <f>IF(404&gt;ROWS(DGArchive[阶段]),"",IF(INDEX(DGArchive[阶段],404)="","",INDEX(DGArchive[阶段],404)))</f>
        <v/>
      </c>
      <c r="CC603" t="str">
        <f>IF(404&gt;ROWS(DGArchive[游戏内日期]),"",IF(INDEX(DGArchive[游戏内日期],404)="","",INDEX(DGArchive[游戏内日期],404)))</f>
        <v/>
      </c>
      <c r="CD603" t="str">
        <f>IF(404&gt;ROWS(DGArchive[目标]),"",IF(INDEX(DGArchive[目标],404)="","",INDEX(DGArchive[目标],404)))</f>
        <v/>
      </c>
      <c r="CE603" t="str">
        <f>IF(404&gt;ROWS(DGArchive[变更前]),"",IF(INDEX(DGArchive[变更前],404)="","",INDEX(DGArchive[变更前],404)))</f>
        <v/>
      </c>
      <c r="CF603" t="str">
        <f>IF(404&gt;ROWS(DGArchive[增减]),"",IF(INDEX(DGArchive[增减],404)="","",INDEX(DGArchive[增减],404)))</f>
        <v/>
      </c>
      <c r="CG603" t="str">
        <f>IF(404&gt;ROWS(DGArchive[变更后]),"",IF(INDEX(DGArchive[变更后],404)="","",INDEX(DGArchive[变更后],404)))</f>
        <v/>
      </c>
      <c r="CH603" t="str">
        <f>IF(404&gt;ROWS(DGArchive[事件／活动]),"",IF(INDEX(DGArchive[事件／活动],404)="","",INDEX(DGArchive[事件／活动],404)))</f>
        <v/>
      </c>
      <c r="CI603" t="str">
        <f>IF(404&gt;ROWS(DGArchive[记录编号]),"",IF(INDEX(DGArchive[记录编号],404)="","",INDEX(DGArchive[记录编号],404)))</f>
        <v/>
      </c>
      <c r="CL603">
        <f t="shared" si="194"/>
        <v>0</v>
      </c>
      <c r="CM603">
        <f>IF(AND(A603=$AO$5,B603=$AQ$3,H603=1),COUNTIFS($A$200:A603,$AO$5,$B$200:B603,$AQ$3,$H$200:H603,1),0)</f>
        <v>0</v>
      </c>
      <c r="CN603">
        <f>IF(CA603="",404,1001)</f>
        <v>404</v>
      </c>
      <c r="GA603">
        <f t="shared" si="214"/>
        <v>0</v>
      </c>
      <c r="GB603">
        <f t="shared" si="215"/>
        <v>0</v>
      </c>
      <c r="GC603">
        <f>IF(AND(C603="事件记录",H603=1),COUNTIFS($C$200:C603,"事件记录",$H$200:H603,1),0)</f>
        <v>0</v>
      </c>
      <c r="GD603">
        <f t="shared" si="195"/>
        <v>0</v>
      </c>
      <c r="GH603">
        <f>IF(AND(H603=1,A603=$GA$10,B603=$GA$11),COUNTIFS($A$200:A603,$GA$10,$B$200:B603,$GA$11,$H$200:H603,1),0)</f>
        <v>0</v>
      </c>
    </row>
    <row r="604" spans="1:190">
      <c r="A604" t="str">
        <f t="shared" si="186"/>
        <v/>
      </c>
      <c r="B604" t="str">
        <f t="shared" si="187"/>
        <v/>
      </c>
      <c r="C604" t="str">
        <f t="shared" si="188"/>
        <v/>
      </c>
      <c r="D604" t="str">
        <f t="shared" si="189"/>
        <v/>
      </c>
      <c r="E604">
        <f t="shared" si="190"/>
        <v>0</v>
      </c>
      <c r="F604" t="str">
        <f t="shared" si="191"/>
        <v/>
      </c>
      <c r="G604">
        <f t="shared" si="192"/>
        <v>0</v>
      </c>
      <c r="H604">
        <f>IF(AND(G604=1,COUNTIFS($I$200:I604,I604,$G$200:G604,1)=1),1,0)</f>
        <v>0</v>
      </c>
      <c r="I604" t="str">
        <f t="shared" si="193"/>
        <v/>
      </c>
      <c r="BF604">
        <f t="shared" si="196"/>
        <v>0</v>
      </c>
      <c r="BG604">
        <f t="shared" si="197"/>
        <v>0</v>
      </c>
      <c r="BH604">
        <f t="shared" si="198"/>
        <v>0</v>
      </c>
      <c r="BI604">
        <f t="shared" si="199"/>
        <v>0</v>
      </c>
      <c r="BJ604">
        <f t="shared" si="200"/>
        <v>0</v>
      </c>
      <c r="BK604">
        <f t="shared" si="201"/>
        <v>0</v>
      </c>
      <c r="BL604">
        <f t="shared" si="202"/>
        <v>0</v>
      </c>
      <c r="BM604">
        <f t="shared" si="203"/>
        <v>0</v>
      </c>
      <c r="BN604">
        <f t="shared" si="204"/>
        <v>0</v>
      </c>
      <c r="BO604">
        <f t="shared" si="205"/>
        <v>0</v>
      </c>
      <c r="BP604">
        <f t="shared" si="206"/>
        <v>0</v>
      </c>
      <c r="BQ604">
        <f t="shared" si="207"/>
        <v>0</v>
      </c>
      <c r="BR604">
        <f t="shared" si="208"/>
        <v>0</v>
      </c>
      <c r="BS604">
        <f t="shared" si="209"/>
        <v>0</v>
      </c>
      <c r="BT604">
        <f t="shared" si="210"/>
        <v>0</v>
      </c>
      <c r="BU604">
        <f t="shared" si="211"/>
        <v>0</v>
      </c>
      <c r="BV604">
        <f t="shared" si="212"/>
        <v>0</v>
      </c>
      <c r="BW604">
        <f t="shared" si="213"/>
        <v>0</v>
      </c>
      <c r="CA604" t="str">
        <f>IF(405&gt;ROWS(DGArchive[模组]),"",IF(INDEX(DGArchive[模组],405)="","",INDEX(DGArchive[模组],405)))</f>
        <v/>
      </c>
      <c r="CB604" t="str">
        <f>IF(405&gt;ROWS(DGArchive[阶段]),"",IF(INDEX(DGArchive[阶段],405)="","",INDEX(DGArchive[阶段],405)))</f>
        <v/>
      </c>
      <c r="CC604" t="str">
        <f>IF(405&gt;ROWS(DGArchive[游戏内日期]),"",IF(INDEX(DGArchive[游戏内日期],405)="","",INDEX(DGArchive[游戏内日期],405)))</f>
        <v/>
      </c>
      <c r="CD604" t="str">
        <f>IF(405&gt;ROWS(DGArchive[目标]),"",IF(INDEX(DGArchive[目标],405)="","",INDEX(DGArchive[目标],405)))</f>
        <v/>
      </c>
      <c r="CE604" t="str">
        <f>IF(405&gt;ROWS(DGArchive[变更前]),"",IF(INDEX(DGArchive[变更前],405)="","",INDEX(DGArchive[变更前],405)))</f>
        <v/>
      </c>
      <c r="CF604" t="str">
        <f>IF(405&gt;ROWS(DGArchive[增减]),"",IF(INDEX(DGArchive[增减],405)="","",INDEX(DGArchive[增减],405)))</f>
        <v/>
      </c>
      <c r="CG604" t="str">
        <f>IF(405&gt;ROWS(DGArchive[变更后]),"",IF(INDEX(DGArchive[变更后],405)="","",INDEX(DGArchive[变更后],405)))</f>
        <v/>
      </c>
      <c r="CH604" t="str">
        <f>IF(405&gt;ROWS(DGArchive[事件／活动]),"",IF(INDEX(DGArchive[事件／活动],405)="","",INDEX(DGArchive[事件／活动],405)))</f>
        <v/>
      </c>
      <c r="CI604" t="str">
        <f>IF(405&gt;ROWS(DGArchive[记录编号]),"",IF(INDEX(DGArchive[记录编号],405)="","",INDEX(DGArchive[记录编号],405)))</f>
        <v/>
      </c>
      <c r="CL604">
        <f t="shared" si="194"/>
        <v>0</v>
      </c>
      <c r="CM604">
        <f>IF(AND(A604=$AO$5,B604=$AQ$3,H604=1),COUNTIFS($A$200:A604,$AO$5,$B$200:B604,$AQ$3,$H$200:H604,1),0)</f>
        <v>0</v>
      </c>
      <c r="CN604">
        <f>IF(CA604="",405,1001)</f>
        <v>405</v>
      </c>
      <c r="GA604">
        <f t="shared" si="214"/>
        <v>0</v>
      </c>
      <c r="GB604">
        <f t="shared" si="215"/>
        <v>0</v>
      </c>
      <c r="GC604">
        <f>IF(AND(C604="事件记录",H604=1),COUNTIFS($C$200:C604,"事件记录",$H$200:H604,1),0)</f>
        <v>0</v>
      </c>
      <c r="GD604">
        <f t="shared" si="195"/>
        <v>0</v>
      </c>
      <c r="GH604">
        <f>IF(AND(H604=1,A604=$GA$10,B604=$GA$11),COUNTIFS($A$200:A604,$GA$10,$B$200:B604,$GA$11,$H$200:H604,1),0)</f>
        <v>0</v>
      </c>
    </row>
    <row r="605" spans="1:190">
      <c r="A605" t="str">
        <f t="shared" si="186"/>
        <v/>
      </c>
      <c r="B605" t="str">
        <f t="shared" si="187"/>
        <v/>
      </c>
      <c r="C605" t="str">
        <f t="shared" si="188"/>
        <v/>
      </c>
      <c r="D605" t="str">
        <f t="shared" si="189"/>
        <v/>
      </c>
      <c r="E605">
        <f t="shared" si="190"/>
        <v>0</v>
      </c>
      <c r="F605" t="str">
        <f t="shared" si="191"/>
        <v/>
      </c>
      <c r="G605">
        <f t="shared" si="192"/>
        <v>0</v>
      </c>
      <c r="H605">
        <f>IF(AND(G605=1,COUNTIFS($I$200:I605,I605,$G$200:G605,1)=1),1,0)</f>
        <v>0</v>
      </c>
      <c r="I605" t="str">
        <f t="shared" si="193"/>
        <v/>
      </c>
      <c r="BF605">
        <f t="shared" si="196"/>
        <v>0</v>
      </c>
      <c r="BG605">
        <f t="shared" si="197"/>
        <v>0</v>
      </c>
      <c r="BH605">
        <f t="shared" si="198"/>
        <v>0</v>
      </c>
      <c r="BI605">
        <f t="shared" si="199"/>
        <v>0</v>
      </c>
      <c r="BJ605">
        <f t="shared" si="200"/>
        <v>0</v>
      </c>
      <c r="BK605">
        <f t="shared" si="201"/>
        <v>0</v>
      </c>
      <c r="BL605">
        <f t="shared" si="202"/>
        <v>0</v>
      </c>
      <c r="BM605">
        <f t="shared" si="203"/>
        <v>0</v>
      </c>
      <c r="BN605">
        <f t="shared" si="204"/>
        <v>0</v>
      </c>
      <c r="BO605">
        <f t="shared" si="205"/>
        <v>0</v>
      </c>
      <c r="BP605">
        <f t="shared" si="206"/>
        <v>0</v>
      </c>
      <c r="BQ605">
        <f t="shared" si="207"/>
        <v>0</v>
      </c>
      <c r="BR605">
        <f t="shared" si="208"/>
        <v>0</v>
      </c>
      <c r="BS605">
        <f t="shared" si="209"/>
        <v>0</v>
      </c>
      <c r="BT605">
        <f t="shared" si="210"/>
        <v>0</v>
      </c>
      <c r="BU605">
        <f t="shared" si="211"/>
        <v>0</v>
      </c>
      <c r="BV605">
        <f t="shared" si="212"/>
        <v>0</v>
      </c>
      <c r="BW605">
        <f t="shared" si="213"/>
        <v>0</v>
      </c>
      <c r="CA605" t="str">
        <f>IF(406&gt;ROWS(DGArchive[模组]),"",IF(INDEX(DGArchive[模组],406)="","",INDEX(DGArchive[模组],406)))</f>
        <v/>
      </c>
      <c r="CB605" t="str">
        <f>IF(406&gt;ROWS(DGArchive[阶段]),"",IF(INDEX(DGArchive[阶段],406)="","",INDEX(DGArchive[阶段],406)))</f>
        <v/>
      </c>
      <c r="CC605" t="str">
        <f>IF(406&gt;ROWS(DGArchive[游戏内日期]),"",IF(INDEX(DGArchive[游戏内日期],406)="","",INDEX(DGArchive[游戏内日期],406)))</f>
        <v/>
      </c>
      <c r="CD605" t="str">
        <f>IF(406&gt;ROWS(DGArchive[目标]),"",IF(INDEX(DGArchive[目标],406)="","",INDEX(DGArchive[目标],406)))</f>
        <v/>
      </c>
      <c r="CE605" t="str">
        <f>IF(406&gt;ROWS(DGArchive[变更前]),"",IF(INDEX(DGArchive[变更前],406)="","",INDEX(DGArchive[变更前],406)))</f>
        <v/>
      </c>
      <c r="CF605" t="str">
        <f>IF(406&gt;ROWS(DGArchive[增减]),"",IF(INDEX(DGArchive[增减],406)="","",INDEX(DGArchive[增减],406)))</f>
        <v/>
      </c>
      <c r="CG605" t="str">
        <f>IF(406&gt;ROWS(DGArchive[变更后]),"",IF(INDEX(DGArchive[变更后],406)="","",INDEX(DGArchive[变更后],406)))</f>
        <v/>
      </c>
      <c r="CH605" t="str">
        <f>IF(406&gt;ROWS(DGArchive[事件／活动]),"",IF(INDEX(DGArchive[事件／活动],406)="","",INDEX(DGArchive[事件／活动],406)))</f>
        <v/>
      </c>
      <c r="CI605" t="str">
        <f>IF(406&gt;ROWS(DGArchive[记录编号]),"",IF(INDEX(DGArchive[记录编号],406)="","",INDEX(DGArchive[记录编号],406)))</f>
        <v/>
      </c>
      <c r="CL605">
        <f t="shared" si="194"/>
        <v>0</v>
      </c>
      <c r="CM605">
        <f>IF(AND(A605=$AO$5,B605=$AQ$3,H605=1),COUNTIFS($A$200:A605,$AO$5,$B$200:B605,$AQ$3,$H$200:H605,1),0)</f>
        <v>0</v>
      </c>
      <c r="CN605">
        <f>IF(CA605="",406,1001)</f>
        <v>406</v>
      </c>
      <c r="GA605">
        <f t="shared" si="214"/>
        <v>0</v>
      </c>
      <c r="GB605">
        <f t="shared" si="215"/>
        <v>0</v>
      </c>
      <c r="GC605">
        <f>IF(AND(C605="事件记录",H605=1),COUNTIFS($C$200:C605,"事件记录",$H$200:H605,1),0)</f>
        <v>0</v>
      </c>
      <c r="GD605">
        <f t="shared" si="195"/>
        <v>0</v>
      </c>
      <c r="GH605">
        <f>IF(AND(H605=1,A605=$GA$10,B605=$GA$11),COUNTIFS($A$200:A605,$GA$10,$B$200:B605,$GA$11,$H$200:H605,1),0)</f>
        <v>0</v>
      </c>
    </row>
    <row r="606" spans="1:190">
      <c r="A606" t="str">
        <f t="shared" si="186"/>
        <v/>
      </c>
      <c r="B606" t="str">
        <f t="shared" si="187"/>
        <v/>
      </c>
      <c r="C606" t="str">
        <f t="shared" si="188"/>
        <v/>
      </c>
      <c r="D606" t="str">
        <f t="shared" si="189"/>
        <v/>
      </c>
      <c r="E606">
        <f t="shared" si="190"/>
        <v>0</v>
      </c>
      <c r="F606" t="str">
        <f t="shared" si="191"/>
        <v/>
      </c>
      <c r="G606">
        <f t="shared" si="192"/>
        <v>0</v>
      </c>
      <c r="H606">
        <f>IF(AND(G606=1,COUNTIFS($I$200:I606,I606,$G$200:G606,1)=1),1,0)</f>
        <v>0</v>
      </c>
      <c r="I606" t="str">
        <f t="shared" si="193"/>
        <v/>
      </c>
      <c r="BF606">
        <f t="shared" si="196"/>
        <v>0</v>
      </c>
      <c r="BG606">
        <f t="shared" si="197"/>
        <v>0</v>
      </c>
      <c r="BH606">
        <f t="shared" si="198"/>
        <v>0</v>
      </c>
      <c r="BI606">
        <f t="shared" si="199"/>
        <v>0</v>
      </c>
      <c r="BJ606">
        <f t="shared" si="200"/>
        <v>0</v>
      </c>
      <c r="BK606">
        <f t="shared" si="201"/>
        <v>0</v>
      </c>
      <c r="BL606">
        <f t="shared" si="202"/>
        <v>0</v>
      </c>
      <c r="BM606">
        <f t="shared" si="203"/>
        <v>0</v>
      </c>
      <c r="BN606">
        <f t="shared" si="204"/>
        <v>0</v>
      </c>
      <c r="BO606">
        <f t="shared" si="205"/>
        <v>0</v>
      </c>
      <c r="BP606">
        <f t="shared" si="206"/>
        <v>0</v>
      </c>
      <c r="BQ606">
        <f t="shared" si="207"/>
        <v>0</v>
      </c>
      <c r="BR606">
        <f t="shared" si="208"/>
        <v>0</v>
      </c>
      <c r="BS606">
        <f t="shared" si="209"/>
        <v>0</v>
      </c>
      <c r="BT606">
        <f t="shared" si="210"/>
        <v>0</v>
      </c>
      <c r="BU606">
        <f t="shared" si="211"/>
        <v>0</v>
      </c>
      <c r="BV606">
        <f t="shared" si="212"/>
        <v>0</v>
      </c>
      <c r="BW606">
        <f t="shared" si="213"/>
        <v>0</v>
      </c>
      <c r="CA606" t="str">
        <f>IF(407&gt;ROWS(DGArchive[模组]),"",IF(INDEX(DGArchive[模组],407)="","",INDEX(DGArchive[模组],407)))</f>
        <v/>
      </c>
      <c r="CB606" t="str">
        <f>IF(407&gt;ROWS(DGArchive[阶段]),"",IF(INDEX(DGArchive[阶段],407)="","",INDEX(DGArchive[阶段],407)))</f>
        <v/>
      </c>
      <c r="CC606" t="str">
        <f>IF(407&gt;ROWS(DGArchive[游戏内日期]),"",IF(INDEX(DGArchive[游戏内日期],407)="","",INDEX(DGArchive[游戏内日期],407)))</f>
        <v/>
      </c>
      <c r="CD606" t="str">
        <f>IF(407&gt;ROWS(DGArchive[目标]),"",IF(INDEX(DGArchive[目标],407)="","",INDEX(DGArchive[目标],407)))</f>
        <v/>
      </c>
      <c r="CE606" t="str">
        <f>IF(407&gt;ROWS(DGArchive[变更前]),"",IF(INDEX(DGArchive[变更前],407)="","",INDEX(DGArchive[变更前],407)))</f>
        <v/>
      </c>
      <c r="CF606" t="str">
        <f>IF(407&gt;ROWS(DGArchive[增减]),"",IF(INDEX(DGArchive[增减],407)="","",INDEX(DGArchive[增减],407)))</f>
        <v/>
      </c>
      <c r="CG606" t="str">
        <f>IF(407&gt;ROWS(DGArchive[变更后]),"",IF(INDEX(DGArchive[变更后],407)="","",INDEX(DGArchive[变更后],407)))</f>
        <v/>
      </c>
      <c r="CH606" t="str">
        <f>IF(407&gt;ROWS(DGArchive[事件／活动]),"",IF(INDEX(DGArchive[事件／活动],407)="","",INDEX(DGArchive[事件／活动],407)))</f>
        <v/>
      </c>
      <c r="CI606" t="str">
        <f>IF(407&gt;ROWS(DGArchive[记录编号]),"",IF(INDEX(DGArchive[记录编号],407)="","",INDEX(DGArchive[记录编号],407)))</f>
        <v/>
      </c>
      <c r="CL606">
        <f t="shared" si="194"/>
        <v>0</v>
      </c>
      <c r="CM606">
        <f>IF(AND(A606=$AO$5,B606=$AQ$3,H606=1),COUNTIFS($A$200:A606,$AO$5,$B$200:B606,$AQ$3,$H$200:H606,1),0)</f>
        <v>0</v>
      </c>
      <c r="CN606">
        <f>IF(CA606="",407,1001)</f>
        <v>407</v>
      </c>
      <c r="GA606">
        <f t="shared" si="214"/>
        <v>0</v>
      </c>
      <c r="GB606">
        <f t="shared" si="215"/>
        <v>0</v>
      </c>
      <c r="GC606">
        <f>IF(AND(C606="事件记录",H606=1),COUNTIFS($C$200:C606,"事件记录",$H$200:H606,1),0)</f>
        <v>0</v>
      </c>
      <c r="GD606">
        <f t="shared" si="195"/>
        <v>0</v>
      </c>
      <c r="GH606">
        <f>IF(AND(H606=1,A606=$GA$10,B606=$GA$11),COUNTIFS($A$200:A606,$GA$10,$B$200:B606,$GA$11,$H$200:H606,1),0)</f>
        <v>0</v>
      </c>
    </row>
    <row r="607" spans="1:190">
      <c r="A607" t="str">
        <f t="shared" si="186"/>
        <v/>
      </c>
      <c r="B607" t="str">
        <f t="shared" si="187"/>
        <v/>
      </c>
      <c r="C607" t="str">
        <f t="shared" si="188"/>
        <v/>
      </c>
      <c r="D607" t="str">
        <f t="shared" si="189"/>
        <v/>
      </c>
      <c r="E607">
        <f t="shared" si="190"/>
        <v>0</v>
      </c>
      <c r="F607" t="str">
        <f t="shared" si="191"/>
        <v/>
      </c>
      <c r="G607">
        <f t="shared" si="192"/>
        <v>0</v>
      </c>
      <c r="H607">
        <f>IF(AND(G607=1,COUNTIFS($I$200:I607,I607,$G$200:G607,1)=1),1,0)</f>
        <v>0</v>
      </c>
      <c r="I607" t="str">
        <f t="shared" si="193"/>
        <v/>
      </c>
      <c r="BF607">
        <f t="shared" si="196"/>
        <v>0</v>
      </c>
      <c r="BG607">
        <f t="shared" si="197"/>
        <v>0</v>
      </c>
      <c r="BH607">
        <f t="shared" si="198"/>
        <v>0</v>
      </c>
      <c r="BI607">
        <f t="shared" si="199"/>
        <v>0</v>
      </c>
      <c r="BJ607">
        <f t="shared" si="200"/>
        <v>0</v>
      </c>
      <c r="BK607">
        <f t="shared" si="201"/>
        <v>0</v>
      </c>
      <c r="BL607">
        <f t="shared" si="202"/>
        <v>0</v>
      </c>
      <c r="BM607">
        <f t="shared" si="203"/>
        <v>0</v>
      </c>
      <c r="BN607">
        <f t="shared" si="204"/>
        <v>0</v>
      </c>
      <c r="BO607">
        <f t="shared" si="205"/>
        <v>0</v>
      </c>
      <c r="BP607">
        <f t="shared" si="206"/>
        <v>0</v>
      </c>
      <c r="BQ607">
        <f t="shared" si="207"/>
        <v>0</v>
      </c>
      <c r="BR607">
        <f t="shared" si="208"/>
        <v>0</v>
      </c>
      <c r="BS607">
        <f t="shared" si="209"/>
        <v>0</v>
      </c>
      <c r="BT607">
        <f t="shared" si="210"/>
        <v>0</v>
      </c>
      <c r="BU607">
        <f t="shared" si="211"/>
        <v>0</v>
      </c>
      <c r="BV607">
        <f t="shared" si="212"/>
        <v>0</v>
      </c>
      <c r="BW607">
        <f t="shared" si="213"/>
        <v>0</v>
      </c>
      <c r="CA607" t="str">
        <f>IF(408&gt;ROWS(DGArchive[模组]),"",IF(INDEX(DGArchive[模组],408)="","",INDEX(DGArchive[模组],408)))</f>
        <v/>
      </c>
      <c r="CB607" t="str">
        <f>IF(408&gt;ROWS(DGArchive[阶段]),"",IF(INDEX(DGArchive[阶段],408)="","",INDEX(DGArchive[阶段],408)))</f>
        <v/>
      </c>
      <c r="CC607" t="str">
        <f>IF(408&gt;ROWS(DGArchive[游戏内日期]),"",IF(INDEX(DGArchive[游戏内日期],408)="","",INDEX(DGArchive[游戏内日期],408)))</f>
        <v/>
      </c>
      <c r="CD607" t="str">
        <f>IF(408&gt;ROWS(DGArchive[目标]),"",IF(INDEX(DGArchive[目标],408)="","",INDEX(DGArchive[目标],408)))</f>
        <v/>
      </c>
      <c r="CE607" t="str">
        <f>IF(408&gt;ROWS(DGArchive[变更前]),"",IF(INDEX(DGArchive[变更前],408)="","",INDEX(DGArchive[变更前],408)))</f>
        <v/>
      </c>
      <c r="CF607" t="str">
        <f>IF(408&gt;ROWS(DGArchive[增减]),"",IF(INDEX(DGArchive[增减],408)="","",INDEX(DGArchive[增减],408)))</f>
        <v/>
      </c>
      <c r="CG607" t="str">
        <f>IF(408&gt;ROWS(DGArchive[变更后]),"",IF(INDEX(DGArchive[变更后],408)="","",INDEX(DGArchive[变更后],408)))</f>
        <v/>
      </c>
      <c r="CH607" t="str">
        <f>IF(408&gt;ROWS(DGArchive[事件／活动]),"",IF(INDEX(DGArchive[事件／活动],408)="","",INDEX(DGArchive[事件／活动],408)))</f>
        <v/>
      </c>
      <c r="CI607" t="str">
        <f>IF(408&gt;ROWS(DGArchive[记录编号]),"",IF(INDEX(DGArchive[记录编号],408)="","",INDEX(DGArchive[记录编号],408)))</f>
        <v/>
      </c>
      <c r="CL607">
        <f t="shared" si="194"/>
        <v>0</v>
      </c>
      <c r="CM607">
        <f>IF(AND(A607=$AO$5,B607=$AQ$3,H607=1),COUNTIFS($A$200:A607,$AO$5,$B$200:B607,$AQ$3,$H$200:H607,1),0)</f>
        <v>0</v>
      </c>
      <c r="CN607">
        <f>IF(CA607="",408,1001)</f>
        <v>408</v>
      </c>
      <c r="GA607">
        <f t="shared" si="214"/>
        <v>0</v>
      </c>
      <c r="GB607">
        <f t="shared" si="215"/>
        <v>0</v>
      </c>
      <c r="GC607">
        <f>IF(AND(C607="事件记录",H607=1),COUNTIFS($C$200:C607,"事件记录",$H$200:H607,1),0)</f>
        <v>0</v>
      </c>
      <c r="GD607">
        <f t="shared" si="195"/>
        <v>0</v>
      </c>
      <c r="GH607">
        <f>IF(AND(H607=1,A607=$GA$10,B607=$GA$11),COUNTIFS($A$200:A607,$GA$10,$B$200:B607,$GA$11,$H$200:H607,1),0)</f>
        <v>0</v>
      </c>
    </row>
    <row r="608" spans="1:190">
      <c r="A608" t="str">
        <f t="shared" si="186"/>
        <v/>
      </c>
      <c r="B608" t="str">
        <f t="shared" si="187"/>
        <v/>
      </c>
      <c r="C608" t="str">
        <f t="shared" si="188"/>
        <v/>
      </c>
      <c r="D608" t="str">
        <f t="shared" si="189"/>
        <v/>
      </c>
      <c r="E608">
        <f t="shared" si="190"/>
        <v>0</v>
      </c>
      <c r="F608" t="str">
        <f t="shared" si="191"/>
        <v/>
      </c>
      <c r="G608">
        <f t="shared" si="192"/>
        <v>0</v>
      </c>
      <c r="H608">
        <f>IF(AND(G608=1,COUNTIFS($I$200:I608,I608,$G$200:G608,1)=1),1,0)</f>
        <v>0</v>
      </c>
      <c r="I608" t="str">
        <f t="shared" si="193"/>
        <v/>
      </c>
      <c r="BF608">
        <f t="shared" si="196"/>
        <v>0</v>
      </c>
      <c r="BG608">
        <f t="shared" si="197"/>
        <v>0</v>
      </c>
      <c r="BH608">
        <f t="shared" si="198"/>
        <v>0</v>
      </c>
      <c r="BI608">
        <f t="shared" si="199"/>
        <v>0</v>
      </c>
      <c r="BJ608">
        <f t="shared" si="200"/>
        <v>0</v>
      </c>
      <c r="BK608">
        <f t="shared" si="201"/>
        <v>0</v>
      </c>
      <c r="BL608">
        <f t="shared" si="202"/>
        <v>0</v>
      </c>
      <c r="BM608">
        <f t="shared" si="203"/>
        <v>0</v>
      </c>
      <c r="BN608">
        <f t="shared" si="204"/>
        <v>0</v>
      </c>
      <c r="BO608">
        <f t="shared" si="205"/>
        <v>0</v>
      </c>
      <c r="BP608">
        <f t="shared" si="206"/>
        <v>0</v>
      </c>
      <c r="BQ608">
        <f t="shared" si="207"/>
        <v>0</v>
      </c>
      <c r="BR608">
        <f t="shared" si="208"/>
        <v>0</v>
      </c>
      <c r="BS608">
        <f t="shared" si="209"/>
        <v>0</v>
      </c>
      <c r="BT608">
        <f t="shared" si="210"/>
        <v>0</v>
      </c>
      <c r="BU608">
        <f t="shared" si="211"/>
        <v>0</v>
      </c>
      <c r="BV608">
        <f t="shared" si="212"/>
        <v>0</v>
      </c>
      <c r="BW608">
        <f t="shared" si="213"/>
        <v>0</v>
      </c>
      <c r="CA608" t="str">
        <f>IF(409&gt;ROWS(DGArchive[模组]),"",IF(INDEX(DGArchive[模组],409)="","",INDEX(DGArchive[模组],409)))</f>
        <v/>
      </c>
      <c r="CB608" t="str">
        <f>IF(409&gt;ROWS(DGArchive[阶段]),"",IF(INDEX(DGArchive[阶段],409)="","",INDEX(DGArchive[阶段],409)))</f>
        <v/>
      </c>
      <c r="CC608" t="str">
        <f>IF(409&gt;ROWS(DGArchive[游戏内日期]),"",IF(INDEX(DGArchive[游戏内日期],409)="","",INDEX(DGArchive[游戏内日期],409)))</f>
        <v/>
      </c>
      <c r="CD608" t="str">
        <f>IF(409&gt;ROWS(DGArchive[目标]),"",IF(INDEX(DGArchive[目标],409)="","",INDEX(DGArchive[目标],409)))</f>
        <v/>
      </c>
      <c r="CE608" t="str">
        <f>IF(409&gt;ROWS(DGArchive[变更前]),"",IF(INDEX(DGArchive[变更前],409)="","",INDEX(DGArchive[变更前],409)))</f>
        <v/>
      </c>
      <c r="CF608" t="str">
        <f>IF(409&gt;ROWS(DGArchive[增减]),"",IF(INDEX(DGArchive[增减],409)="","",INDEX(DGArchive[增减],409)))</f>
        <v/>
      </c>
      <c r="CG608" t="str">
        <f>IF(409&gt;ROWS(DGArchive[变更后]),"",IF(INDEX(DGArchive[变更后],409)="","",INDEX(DGArchive[变更后],409)))</f>
        <v/>
      </c>
      <c r="CH608" t="str">
        <f>IF(409&gt;ROWS(DGArchive[事件／活动]),"",IF(INDEX(DGArchive[事件／活动],409)="","",INDEX(DGArchive[事件／活动],409)))</f>
        <v/>
      </c>
      <c r="CI608" t="str">
        <f>IF(409&gt;ROWS(DGArchive[记录编号]),"",IF(INDEX(DGArchive[记录编号],409)="","",INDEX(DGArchive[记录编号],409)))</f>
        <v/>
      </c>
      <c r="CL608">
        <f t="shared" si="194"/>
        <v>0</v>
      </c>
      <c r="CM608">
        <f>IF(AND(A608=$AO$5,B608=$AQ$3,H608=1),COUNTIFS($A$200:A608,$AO$5,$B$200:B608,$AQ$3,$H$200:H608,1),0)</f>
        <v>0</v>
      </c>
      <c r="CN608">
        <f>IF(CA608="",409,1001)</f>
        <v>409</v>
      </c>
      <c r="GA608">
        <f t="shared" si="214"/>
        <v>0</v>
      </c>
      <c r="GB608">
        <f t="shared" si="215"/>
        <v>0</v>
      </c>
      <c r="GC608">
        <f>IF(AND(C608="事件记录",H608=1),COUNTIFS($C$200:C608,"事件记录",$H$200:H608,1),0)</f>
        <v>0</v>
      </c>
      <c r="GD608">
        <f t="shared" si="195"/>
        <v>0</v>
      </c>
      <c r="GH608">
        <f>IF(AND(H608=1,A608=$GA$10,B608=$GA$11),COUNTIFS($A$200:A608,$GA$10,$B$200:B608,$GA$11,$H$200:H608,1),0)</f>
        <v>0</v>
      </c>
    </row>
    <row r="609" spans="1:190">
      <c r="A609" t="str">
        <f t="shared" si="186"/>
        <v/>
      </c>
      <c r="B609" t="str">
        <f t="shared" si="187"/>
        <v/>
      </c>
      <c r="C609" t="str">
        <f t="shared" si="188"/>
        <v/>
      </c>
      <c r="D609" t="str">
        <f t="shared" si="189"/>
        <v/>
      </c>
      <c r="E609">
        <f t="shared" si="190"/>
        <v>0</v>
      </c>
      <c r="F609" t="str">
        <f t="shared" si="191"/>
        <v/>
      </c>
      <c r="G609">
        <f t="shared" si="192"/>
        <v>0</v>
      </c>
      <c r="H609">
        <f>IF(AND(G609=1,COUNTIFS($I$200:I609,I609,$G$200:G609,1)=1),1,0)</f>
        <v>0</v>
      </c>
      <c r="I609" t="str">
        <f t="shared" si="193"/>
        <v/>
      </c>
      <c r="BF609">
        <f t="shared" si="196"/>
        <v>0</v>
      </c>
      <c r="BG609">
        <f t="shared" si="197"/>
        <v>0</v>
      </c>
      <c r="BH609">
        <f t="shared" si="198"/>
        <v>0</v>
      </c>
      <c r="BI609">
        <f t="shared" si="199"/>
        <v>0</v>
      </c>
      <c r="BJ609">
        <f t="shared" si="200"/>
        <v>0</v>
      </c>
      <c r="BK609">
        <f t="shared" si="201"/>
        <v>0</v>
      </c>
      <c r="BL609">
        <f t="shared" si="202"/>
        <v>0</v>
      </c>
      <c r="BM609">
        <f t="shared" si="203"/>
        <v>0</v>
      </c>
      <c r="BN609">
        <f t="shared" si="204"/>
        <v>0</v>
      </c>
      <c r="BO609">
        <f t="shared" si="205"/>
        <v>0</v>
      </c>
      <c r="BP609">
        <f t="shared" si="206"/>
        <v>0</v>
      </c>
      <c r="BQ609">
        <f t="shared" si="207"/>
        <v>0</v>
      </c>
      <c r="BR609">
        <f t="shared" si="208"/>
        <v>0</v>
      </c>
      <c r="BS609">
        <f t="shared" si="209"/>
        <v>0</v>
      </c>
      <c r="BT609">
        <f t="shared" si="210"/>
        <v>0</v>
      </c>
      <c r="BU609">
        <f t="shared" si="211"/>
        <v>0</v>
      </c>
      <c r="BV609">
        <f t="shared" si="212"/>
        <v>0</v>
      </c>
      <c r="BW609">
        <f t="shared" si="213"/>
        <v>0</v>
      </c>
      <c r="CA609" t="str">
        <f>IF(410&gt;ROWS(DGArchive[模组]),"",IF(INDEX(DGArchive[模组],410)="","",INDEX(DGArchive[模组],410)))</f>
        <v/>
      </c>
      <c r="CB609" t="str">
        <f>IF(410&gt;ROWS(DGArchive[阶段]),"",IF(INDEX(DGArchive[阶段],410)="","",INDEX(DGArchive[阶段],410)))</f>
        <v/>
      </c>
      <c r="CC609" t="str">
        <f>IF(410&gt;ROWS(DGArchive[游戏内日期]),"",IF(INDEX(DGArchive[游戏内日期],410)="","",INDEX(DGArchive[游戏内日期],410)))</f>
        <v/>
      </c>
      <c r="CD609" t="str">
        <f>IF(410&gt;ROWS(DGArchive[目标]),"",IF(INDEX(DGArchive[目标],410)="","",INDEX(DGArchive[目标],410)))</f>
        <v/>
      </c>
      <c r="CE609" t="str">
        <f>IF(410&gt;ROWS(DGArchive[变更前]),"",IF(INDEX(DGArchive[变更前],410)="","",INDEX(DGArchive[变更前],410)))</f>
        <v/>
      </c>
      <c r="CF609" t="str">
        <f>IF(410&gt;ROWS(DGArchive[增减]),"",IF(INDEX(DGArchive[增减],410)="","",INDEX(DGArchive[增减],410)))</f>
        <v/>
      </c>
      <c r="CG609" t="str">
        <f>IF(410&gt;ROWS(DGArchive[变更后]),"",IF(INDEX(DGArchive[变更后],410)="","",INDEX(DGArchive[变更后],410)))</f>
        <v/>
      </c>
      <c r="CH609" t="str">
        <f>IF(410&gt;ROWS(DGArchive[事件／活动]),"",IF(INDEX(DGArchive[事件／活动],410)="","",INDEX(DGArchive[事件／活动],410)))</f>
        <v/>
      </c>
      <c r="CI609" t="str">
        <f>IF(410&gt;ROWS(DGArchive[记录编号]),"",IF(INDEX(DGArchive[记录编号],410)="","",INDEX(DGArchive[记录编号],410)))</f>
        <v/>
      </c>
      <c r="CL609">
        <f t="shared" si="194"/>
        <v>0</v>
      </c>
      <c r="CM609">
        <f>IF(AND(A609=$AO$5,B609=$AQ$3,H609=1),COUNTIFS($A$200:A609,$AO$5,$B$200:B609,$AQ$3,$H$200:H609,1),0)</f>
        <v>0</v>
      </c>
      <c r="CN609">
        <f>IF(CA609="",410,1001)</f>
        <v>410</v>
      </c>
      <c r="GA609">
        <f t="shared" si="214"/>
        <v>0</v>
      </c>
      <c r="GB609">
        <f t="shared" si="215"/>
        <v>0</v>
      </c>
      <c r="GC609">
        <f>IF(AND(C609="事件记录",H609=1),COUNTIFS($C$200:C609,"事件记录",$H$200:H609,1),0)</f>
        <v>0</v>
      </c>
      <c r="GD609">
        <f t="shared" si="195"/>
        <v>0</v>
      </c>
      <c r="GH609">
        <f>IF(AND(H609=1,A609=$GA$10,B609=$GA$11),COUNTIFS($A$200:A609,$GA$10,$B$200:B609,$GA$11,$H$200:H609,1),0)</f>
        <v>0</v>
      </c>
    </row>
    <row r="610" spans="1:190">
      <c r="A610" t="str">
        <f t="shared" si="186"/>
        <v/>
      </c>
      <c r="B610" t="str">
        <f t="shared" si="187"/>
        <v/>
      </c>
      <c r="C610" t="str">
        <f t="shared" si="188"/>
        <v/>
      </c>
      <c r="D610" t="str">
        <f t="shared" si="189"/>
        <v/>
      </c>
      <c r="E610">
        <f t="shared" si="190"/>
        <v>0</v>
      </c>
      <c r="F610" t="str">
        <f t="shared" si="191"/>
        <v/>
      </c>
      <c r="G610">
        <f t="shared" si="192"/>
        <v>0</v>
      </c>
      <c r="H610">
        <f>IF(AND(G610=1,COUNTIFS($I$200:I610,I610,$G$200:G610,1)=1),1,0)</f>
        <v>0</v>
      </c>
      <c r="I610" t="str">
        <f t="shared" si="193"/>
        <v/>
      </c>
      <c r="BF610">
        <f t="shared" si="196"/>
        <v>0</v>
      </c>
      <c r="BG610">
        <f t="shared" si="197"/>
        <v>0</v>
      </c>
      <c r="BH610">
        <f t="shared" si="198"/>
        <v>0</v>
      </c>
      <c r="BI610">
        <f t="shared" si="199"/>
        <v>0</v>
      </c>
      <c r="BJ610">
        <f t="shared" si="200"/>
        <v>0</v>
      </c>
      <c r="BK610">
        <f t="shared" si="201"/>
        <v>0</v>
      </c>
      <c r="BL610">
        <f t="shared" si="202"/>
        <v>0</v>
      </c>
      <c r="BM610">
        <f t="shared" si="203"/>
        <v>0</v>
      </c>
      <c r="BN610">
        <f t="shared" si="204"/>
        <v>0</v>
      </c>
      <c r="BO610">
        <f t="shared" si="205"/>
        <v>0</v>
      </c>
      <c r="BP610">
        <f t="shared" si="206"/>
        <v>0</v>
      </c>
      <c r="BQ610">
        <f t="shared" si="207"/>
        <v>0</v>
      </c>
      <c r="BR610">
        <f t="shared" si="208"/>
        <v>0</v>
      </c>
      <c r="BS610">
        <f t="shared" si="209"/>
        <v>0</v>
      </c>
      <c r="BT610">
        <f t="shared" si="210"/>
        <v>0</v>
      </c>
      <c r="BU610">
        <f t="shared" si="211"/>
        <v>0</v>
      </c>
      <c r="BV610">
        <f t="shared" si="212"/>
        <v>0</v>
      </c>
      <c r="BW610">
        <f t="shared" si="213"/>
        <v>0</v>
      </c>
      <c r="CA610" t="str">
        <f>IF(411&gt;ROWS(DGArchive[模组]),"",IF(INDEX(DGArchive[模组],411)="","",INDEX(DGArchive[模组],411)))</f>
        <v/>
      </c>
      <c r="CB610" t="str">
        <f>IF(411&gt;ROWS(DGArchive[阶段]),"",IF(INDEX(DGArchive[阶段],411)="","",INDEX(DGArchive[阶段],411)))</f>
        <v/>
      </c>
      <c r="CC610" t="str">
        <f>IF(411&gt;ROWS(DGArchive[游戏内日期]),"",IF(INDEX(DGArchive[游戏内日期],411)="","",INDEX(DGArchive[游戏内日期],411)))</f>
        <v/>
      </c>
      <c r="CD610" t="str">
        <f>IF(411&gt;ROWS(DGArchive[目标]),"",IF(INDEX(DGArchive[目标],411)="","",INDEX(DGArchive[目标],411)))</f>
        <v/>
      </c>
      <c r="CE610" t="str">
        <f>IF(411&gt;ROWS(DGArchive[变更前]),"",IF(INDEX(DGArchive[变更前],411)="","",INDEX(DGArchive[变更前],411)))</f>
        <v/>
      </c>
      <c r="CF610" t="str">
        <f>IF(411&gt;ROWS(DGArchive[增减]),"",IF(INDEX(DGArchive[增减],411)="","",INDEX(DGArchive[增减],411)))</f>
        <v/>
      </c>
      <c r="CG610" t="str">
        <f>IF(411&gt;ROWS(DGArchive[变更后]),"",IF(INDEX(DGArchive[变更后],411)="","",INDEX(DGArchive[变更后],411)))</f>
        <v/>
      </c>
      <c r="CH610" t="str">
        <f>IF(411&gt;ROWS(DGArchive[事件／活动]),"",IF(INDEX(DGArchive[事件／活动],411)="","",INDEX(DGArchive[事件／活动],411)))</f>
        <v/>
      </c>
      <c r="CI610" t="str">
        <f>IF(411&gt;ROWS(DGArchive[记录编号]),"",IF(INDEX(DGArchive[记录编号],411)="","",INDEX(DGArchive[记录编号],411)))</f>
        <v/>
      </c>
      <c r="CL610">
        <f t="shared" si="194"/>
        <v>0</v>
      </c>
      <c r="CM610">
        <f>IF(AND(A610=$AO$5,B610=$AQ$3,H610=1),COUNTIFS($A$200:A610,$AO$5,$B$200:B610,$AQ$3,$H$200:H610,1),0)</f>
        <v>0</v>
      </c>
      <c r="CN610">
        <f>IF(CA610="",411,1001)</f>
        <v>411</v>
      </c>
      <c r="GA610">
        <f t="shared" si="214"/>
        <v>0</v>
      </c>
      <c r="GB610">
        <f t="shared" si="215"/>
        <v>0</v>
      </c>
      <c r="GC610">
        <f>IF(AND(C610="事件记录",H610=1),COUNTIFS($C$200:C610,"事件记录",$H$200:H610,1),0)</f>
        <v>0</v>
      </c>
      <c r="GD610">
        <f t="shared" si="195"/>
        <v>0</v>
      </c>
      <c r="GH610">
        <f>IF(AND(H610=1,A610=$GA$10,B610=$GA$11),COUNTIFS($A$200:A610,$GA$10,$B$200:B610,$GA$11,$H$200:H610,1),0)</f>
        <v>0</v>
      </c>
    </row>
    <row r="611" spans="1:190">
      <c r="A611" t="str">
        <f t="shared" si="186"/>
        <v/>
      </c>
      <c r="B611" t="str">
        <f t="shared" si="187"/>
        <v/>
      </c>
      <c r="C611" t="str">
        <f t="shared" si="188"/>
        <v/>
      </c>
      <c r="D611" t="str">
        <f t="shared" si="189"/>
        <v/>
      </c>
      <c r="E611">
        <f t="shared" si="190"/>
        <v>0</v>
      </c>
      <c r="F611" t="str">
        <f t="shared" si="191"/>
        <v/>
      </c>
      <c r="G611">
        <f t="shared" si="192"/>
        <v>0</v>
      </c>
      <c r="H611">
        <f>IF(AND(G611=1,COUNTIFS($I$200:I611,I611,$G$200:G611,1)=1),1,0)</f>
        <v>0</v>
      </c>
      <c r="I611" t="str">
        <f t="shared" si="193"/>
        <v/>
      </c>
      <c r="BF611">
        <f t="shared" si="196"/>
        <v>0</v>
      </c>
      <c r="BG611">
        <f t="shared" si="197"/>
        <v>0</v>
      </c>
      <c r="BH611">
        <f t="shared" si="198"/>
        <v>0</v>
      </c>
      <c r="BI611">
        <f t="shared" si="199"/>
        <v>0</v>
      </c>
      <c r="BJ611">
        <f t="shared" si="200"/>
        <v>0</v>
      </c>
      <c r="BK611">
        <f t="shared" si="201"/>
        <v>0</v>
      </c>
      <c r="BL611">
        <f t="shared" si="202"/>
        <v>0</v>
      </c>
      <c r="BM611">
        <f t="shared" si="203"/>
        <v>0</v>
      </c>
      <c r="BN611">
        <f t="shared" si="204"/>
        <v>0</v>
      </c>
      <c r="BO611">
        <f t="shared" si="205"/>
        <v>0</v>
      </c>
      <c r="BP611">
        <f t="shared" si="206"/>
        <v>0</v>
      </c>
      <c r="BQ611">
        <f t="shared" si="207"/>
        <v>0</v>
      </c>
      <c r="BR611">
        <f t="shared" si="208"/>
        <v>0</v>
      </c>
      <c r="BS611">
        <f t="shared" si="209"/>
        <v>0</v>
      </c>
      <c r="BT611">
        <f t="shared" si="210"/>
        <v>0</v>
      </c>
      <c r="BU611">
        <f t="shared" si="211"/>
        <v>0</v>
      </c>
      <c r="BV611">
        <f t="shared" si="212"/>
        <v>0</v>
      </c>
      <c r="BW611">
        <f t="shared" si="213"/>
        <v>0</v>
      </c>
      <c r="CA611" t="str">
        <f>IF(412&gt;ROWS(DGArchive[模组]),"",IF(INDEX(DGArchive[模组],412)="","",INDEX(DGArchive[模组],412)))</f>
        <v/>
      </c>
      <c r="CB611" t="str">
        <f>IF(412&gt;ROWS(DGArchive[阶段]),"",IF(INDEX(DGArchive[阶段],412)="","",INDEX(DGArchive[阶段],412)))</f>
        <v/>
      </c>
      <c r="CC611" t="str">
        <f>IF(412&gt;ROWS(DGArchive[游戏内日期]),"",IF(INDEX(DGArchive[游戏内日期],412)="","",INDEX(DGArchive[游戏内日期],412)))</f>
        <v/>
      </c>
      <c r="CD611" t="str">
        <f>IF(412&gt;ROWS(DGArchive[目标]),"",IF(INDEX(DGArchive[目标],412)="","",INDEX(DGArchive[目标],412)))</f>
        <v/>
      </c>
      <c r="CE611" t="str">
        <f>IF(412&gt;ROWS(DGArchive[变更前]),"",IF(INDEX(DGArchive[变更前],412)="","",INDEX(DGArchive[变更前],412)))</f>
        <v/>
      </c>
      <c r="CF611" t="str">
        <f>IF(412&gt;ROWS(DGArchive[增减]),"",IF(INDEX(DGArchive[增减],412)="","",INDEX(DGArchive[增减],412)))</f>
        <v/>
      </c>
      <c r="CG611" t="str">
        <f>IF(412&gt;ROWS(DGArchive[变更后]),"",IF(INDEX(DGArchive[变更后],412)="","",INDEX(DGArchive[变更后],412)))</f>
        <v/>
      </c>
      <c r="CH611" t="str">
        <f>IF(412&gt;ROWS(DGArchive[事件／活动]),"",IF(INDEX(DGArchive[事件／活动],412)="","",INDEX(DGArchive[事件／活动],412)))</f>
        <v/>
      </c>
      <c r="CI611" t="str">
        <f>IF(412&gt;ROWS(DGArchive[记录编号]),"",IF(INDEX(DGArchive[记录编号],412)="","",INDEX(DGArchive[记录编号],412)))</f>
        <v/>
      </c>
      <c r="CL611">
        <f t="shared" si="194"/>
        <v>0</v>
      </c>
      <c r="CM611">
        <f>IF(AND(A611=$AO$5,B611=$AQ$3,H611=1),COUNTIFS($A$200:A611,$AO$5,$B$200:B611,$AQ$3,$H$200:H611,1),0)</f>
        <v>0</v>
      </c>
      <c r="CN611">
        <f>IF(CA611="",412,1001)</f>
        <v>412</v>
      </c>
      <c r="GA611">
        <f t="shared" si="214"/>
        <v>0</v>
      </c>
      <c r="GB611">
        <f t="shared" si="215"/>
        <v>0</v>
      </c>
      <c r="GC611">
        <f>IF(AND(C611="事件记录",H611=1),COUNTIFS($C$200:C611,"事件记录",$H$200:H611,1),0)</f>
        <v>0</v>
      </c>
      <c r="GD611">
        <f t="shared" si="195"/>
        <v>0</v>
      </c>
      <c r="GH611">
        <f>IF(AND(H611=1,A611=$GA$10,B611=$GA$11),COUNTIFS($A$200:A611,$GA$10,$B$200:B611,$GA$11,$H$200:H611,1),0)</f>
        <v>0</v>
      </c>
    </row>
    <row r="612" spans="1:190">
      <c r="A612" t="str">
        <f t="shared" si="186"/>
        <v/>
      </c>
      <c r="B612" t="str">
        <f t="shared" si="187"/>
        <v/>
      </c>
      <c r="C612" t="str">
        <f t="shared" si="188"/>
        <v/>
      </c>
      <c r="D612" t="str">
        <f t="shared" si="189"/>
        <v/>
      </c>
      <c r="E612">
        <f t="shared" si="190"/>
        <v>0</v>
      </c>
      <c r="F612" t="str">
        <f t="shared" si="191"/>
        <v/>
      </c>
      <c r="G612">
        <f t="shared" si="192"/>
        <v>0</v>
      </c>
      <c r="H612">
        <f>IF(AND(G612=1,COUNTIFS($I$200:I612,I612,$G$200:G612,1)=1),1,0)</f>
        <v>0</v>
      </c>
      <c r="I612" t="str">
        <f t="shared" si="193"/>
        <v/>
      </c>
      <c r="BF612">
        <f t="shared" si="196"/>
        <v>0</v>
      </c>
      <c r="BG612">
        <f t="shared" si="197"/>
        <v>0</v>
      </c>
      <c r="BH612">
        <f t="shared" si="198"/>
        <v>0</v>
      </c>
      <c r="BI612">
        <f t="shared" si="199"/>
        <v>0</v>
      </c>
      <c r="BJ612">
        <f t="shared" si="200"/>
        <v>0</v>
      </c>
      <c r="BK612">
        <f t="shared" si="201"/>
        <v>0</v>
      </c>
      <c r="BL612">
        <f t="shared" si="202"/>
        <v>0</v>
      </c>
      <c r="BM612">
        <f t="shared" si="203"/>
        <v>0</v>
      </c>
      <c r="BN612">
        <f t="shared" si="204"/>
        <v>0</v>
      </c>
      <c r="BO612">
        <f t="shared" si="205"/>
        <v>0</v>
      </c>
      <c r="BP612">
        <f t="shared" si="206"/>
        <v>0</v>
      </c>
      <c r="BQ612">
        <f t="shared" si="207"/>
        <v>0</v>
      </c>
      <c r="BR612">
        <f t="shared" si="208"/>
        <v>0</v>
      </c>
      <c r="BS612">
        <f t="shared" si="209"/>
        <v>0</v>
      </c>
      <c r="BT612">
        <f t="shared" si="210"/>
        <v>0</v>
      </c>
      <c r="BU612">
        <f t="shared" si="211"/>
        <v>0</v>
      </c>
      <c r="BV612">
        <f t="shared" si="212"/>
        <v>0</v>
      </c>
      <c r="BW612">
        <f t="shared" si="213"/>
        <v>0</v>
      </c>
      <c r="CA612" t="str">
        <f>IF(413&gt;ROWS(DGArchive[模组]),"",IF(INDEX(DGArchive[模组],413)="","",INDEX(DGArchive[模组],413)))</f>
        <v/>
      </c>
      <c r="CB612" t="str">
        <f>IF(413&gt;ROWS(DGArchive[阶段]),"",IF(INDEX(DGArchive[阶段],413)="","",INDEX(DGArchive[阶段],413)))</f>
        <v/>
      </c>
      <c r="CC612" t="str">
        <f>IF(413&gt;ROWS(DGArchive[游戏内日期]),"",IF(INDEX(DGArchive[游戏内日期],413)="","",INDEX(DGArchive[游戏内日期],413)))</f>
        <v/>
      </c>
      <c r="CD612" t="str">
        <f>IF(413&gt;ROWS(DGArchive[目标]),"",IF(INDEX(DGArchive[目标],413)="","",INDEX(DGArchive[目标],413)))</f>
        <v/>
      </c>
      <c r="CE612" t="str">
        <f>IF(413&gt;ROWS(DGArchive[变更前]),"",IF(INDEX(DGArchive[变更前],413)="","",INDEX(DGArchive[变更前],413)))</f>
        <v/>
      </c>
      <c r="CF612" t="str">
        <f>IF(413&gt;ROWS(DGArchive[增减]),"",IF(INDEX(DGArchive[增减],413)="","",INDEX(DGArchive[增减],413)))</f>
        <v/>
      </c>
      <c r="CG612" t="str">
        <f>IF(413&gt;ROWS(DGArchive[变更后]),"",IF(INDEX(DGArchive[变更后],413)="","",INDEX(DGArchive[变更后],413)))</f>
        <v/>
      </c>
      <c r="CH612" t="str">
        <f>IF(413&gt;ROWS(DGArchive[事件／活动]),"",IF(INDEX(DGArchive[事件／活动],413)="","",INDEX(DGArchive[事件／活动],413)))</f>
        <v/>
      </c>
      <c r="CI612" t="str">
        <f>IF(413&gt;ROWS(DGArchive[记录编号]),"",IF(INDEX(DGArchive[记录编号],413)="","",INDEX(DGArchive[记录编号],413)))</f>
        <v/>
      </c>
      <c r="CL612">
        <f t="shared" si="194"/>
        <v>0</v>
      </c>
      <c r="CM612">
        <f>IF(AND(A612=$AO$5,B612=$AQ$3,H612=1),COUNTIFS($A$200:A612,$AO$5,$B$200:B612,$AQ$3,$H$200:H612,1),0)</f>
        <v>0</v>
      </c>
      <c r="CN612">
        <f>IF(CA612="",413,1001)</f>
        <v>413</v>
      </c>
      <c r="GA612">
        <f t="shared" si="214"/>
        <v>0</v>
      </c>
      <c r="GB612">
        <f t="shared" si="215"/>
        <v>0</v>
      </c>
      <c r="GC612">
        <f>IF(AND(C612="事件记录",H612=1),COUNTIFS($C$200:C612,"事件记录",$H$200:H612,1),0)</f>
        <v>0</v>
      </c>
      <c r="GD612">
        <f t="shared" si="195"/>
        <v>0</v>
      </c>
      <c r="GH612">
        <f>IF(AND(H612=1,A612=$GA$10,B612=$GA$11),COUNTIFS($A$200:A612,$GA$10,$B$200:B612,$GA$11,$H$200:H612,1),0)</f>
        <v>0</v>
      </c>
    </row>
    <row r="613" spans="1:190">
      <c r="A613" t="str">
        <f t="shared" si="186"/>
        <v/>
      </c>
      <c r="B613" t="str">
        <f t="shared" si="187"/>
        <v/>
      </c>
      <c r="C613" t="str">
        <f t="shared" si="188"/>
        <v/>
      </c>
      <c r="D613" t="str">
        <f t="shared" si="189"/>
        <v/>
      </c>
      <c r="E613">
        <f t="shared" si="190"/>
        <v>0</v>
      </c>
      <c r="F613" t="str">
        <f t="shared" si="191"/>
        <v/>
      </c>
      <c r="G613">
        <f t="shared" si="192"/>
        <v>0</v>
      </c>
      <c r="H613">
        <f>IF(AND(G613=1,COUNTIFS($I$200:I613,I613,$G$200:G613,1)=1),1,0)</f>
        <v>0</v>
      </c>
      <c r="I613" t="str">
        <f t="shared" si="193"/>
        <v/>
      </c>
      <c r="BF613">
        <f t="shared" si="196"/>
        <v>0</v>
      </c>
      <c r="BG613">
        <f t="shared" si="197"/>
        <v>0</v>
      </c>
      <c r="BH613">
        <f t="shared" si="198"/>
        <v>0</v>
      </c>
      <c r="BI613">
        <f t="shared" si="199"/>
        <v>0</v>
      </c>
      <c r="BJ613">
        <f t="shared" si="200"/>
        <v>0</v>
      </c>
      <c r="BK613">
        <f t="shared" si="201"/>
        <v>0</v>
      </c>
      <c r="BL613">
        <f t="shared" si="202"/>
        <v>0</v>
      </c>
      <c r="BM613">
        <f t="shared" si="203"/>
        <v>0</v>
      </c>
      <c r="BN613">
        <f t="shared" si="204"/>
        <v>0</v>
      </c>
      <c r="BO613">
        <f t="shared" si="205"/>
        <v>0</v>
      </c>
      <c r="BP613">
        <f t="shared" si="206"/>
        <v>0</v>
      </c>
      <c r="BQ613">
        <f t="shared" si="207"/>
        <v>0</v>
      </c>
      <c r="BR613">
        <f t="shared" si="208"/>
        <v>0</v>
      </c>
      <c r="BS613">
        <f t="shared" si="209"/>
        <v>0</v>
      </c>
      <c r="BT613">
        <f t="shared" si="210"/>
        <v>0</v>
      </c>
      <c r="BU613">
        <f t="shared" si="211"/>
        <v>0</v>
      </c>
      <c r="BV613">
        <f t="shared" si="212"/>
        <v>0</v>
      </c>
      <c r="BW613">
        <f t="shared" si="213"/>
        <v>0</v>
      </c>
      <c r="CA613" t="str">
        <f>IF(414&gt;ROWS(DGArchive[模组]),"",IF(INDEX(DGArchive[模组],414)="","",INDEX(DGArchive[模组],414)))</f>
        <v/>
      </c>
      <c r="CB613" t="str">
        <f>IF(414&gt;ROWS(DGArchive[阶段]),"",IF(INDEX(DGArchive[阶段],414)="","",INDEX(DGArchive[阶段],414)))</f>
        <v/>
      </c>
      <c r="CC613" t="str">
        <f>IF(414&gt;ROWS(DGArchive[游戏内日期]),"",IF(INDEX(DGArchive[游戏内日期],414)="","",INDEX(DGArchive[游戏内日期],414)))</f>
        <v/>
      </c>
      <c r="CD613" t="str">
        <f>IF(414&gt;ROWS(DGArchive[目标]),"",IF(INDEX(DGArchive[目标],414)="","",INDEX(DGArchive[目标],414)))</f>
        <v/>
      </c>
      <c r="CE613" t="str">
        <f>IF(414&gt;ROWS(DGArchive[变更前]),"",IF(INDEX(DGArchive[变更前],414)="","",INDEX(DGArchive[变更前],414)))</f>
        <v/>
      </c>
      <c r="CF613" t="str">
        <f>IF(414&gt;ROWS(DGArchive[增减]),"",IF(INDEX(DGArchive[增减],414)="","",INDEX(DGArchive[增减],414)))</f>
        <v/>
      </c>
      <c r="CG613" t="str">
        <f>IF(414&gt;ROWS(DGArchive[变更后]),"",IF(INDEX(DGArchive[变更后],414)="","",INDEX(DGArchive[变更后],414)))</f>
        <v/>
      </c>
      <c r="CH613" t="str">
        <f>IF(414&gt;ROWS(DGArchive[事件／活动]),"",IF(INDEX(DGArchive[事件／活动],414)="","",INDEX(DGArchive[事件／活动],414)))</f>
        <v/>
      </c>
      <c r="CI613" t="str">
        <f>IF(414&gt;ROWS(DGArchive[记录编号]),"",IF(INDEX(DGArchive[记录编号],414)="","",INDEX(DGArchive[记录编号],414)))</f>
        <v/>
      </c>
      <c r="CL613">
        <f t="shared" si="194"/>
        <v>0</v>
      </c>
      <c r="CM613">
        <f>IF(AND(A613=$AO$5,B613=$AQ$3,H613=1),COUNTIFS($A$200:A613,$AO$5,$B$200:B613,$AQ$3,$H$200:H613,1),0)</f>
        <v>0</v>
      </c>
      <c r="CN613">
        <f>IF(CA613="",414,1001)</f>
        <v>414</v>
      </c>
      <c r="GA613">
        <f t="shared" si="214"/>
        <v>0</v>
      </c>
      <c r="GB613">
        <f t="shared" si="215"/>
        <v>0</v>
      </c>
      <c r="GC613">
        <f>IF(AND(C613="事件记录",H613=1),COUNTIFS($C$200:C613,"事件记录",$H$200:H613,1),0)</f>
        <v>0</v>
      </c>
      <c r="GD613">
        <f t="shared" si="195"/>
        <v>0</v>
      </c>
      <c r="GH613">
        <f>IF(AND(H613=1,A613=$GA$10,B613=$GA$11),COUNTIFS($A$200:A613,$GA$10,$B$200:B613,$GA$11,$H$200:H613,1),0)</f>
        <v>0</v>
      </c>
    </row>
    <row r="614" spans="1:190">
      <c r="A614" t="str">
        <f t="shared" si="186"/>
        <v/>
      </c>
      <c r="B614" t="str">
        <f t="shared" si="187"/>
        <v/>
      </c>
      <c r="C614" t="str">
        <f t="shared" si="188"/>
        <v/>
      </c>
      <c r="D614" t="str">
        <f t="shared" si="189"/>
        <v/>
      </c>
      <c r="E614">
        <f t="shared" si="190"/>
        <v>0</v>
      </c>
      <c r="F614" t="str">
        <f t="shared" si="191"/>
        <v/>
      </c>
      <c r="G614">
        <f t="shared" si="192"/>
        <v>0</v>
      </c>
      <c r="H614">
        <f>IF(AND(G614=1,COUNTIFS($I$200:I614,I614,$G$200:G614,1)=1),1,0)</f>
        <v>0</v>
      </c>
      <c r="I614" t="str">
        <f t="shared" si="193"/>
        <v/>
      </c>
      <c r="BF614">
        <f t="shared" si="196"/>
        <v>0</v>
      </c>
      <c r="BG614">
        <f t="shared" si="197"/>
        <v>0</v>
      </c>
      <c r="BH614">
        <f t="shared" si="198"/>
        <v>0</v>
      </c>
      <c r="BI614">
        <f t="shared" si="199"/>
        <v>0</v>
      </c>
      <c r="BJ614">
        <f t="shared" si="200"/>
        <v>0</v>
      </c>
      <c r="BK614">
        <f t="shared" si="201"/>
        <v>0</v>
      </c>
      <c r="BL614">
        <f t="shared" si="202"/>
        <v>0</v>
      </c>
      <c r="BM614">
        <f t="shared" si="203"/>
        <v>0</v>
      </c>
      <c r="BN614">
        <f t="shared" si="204"/>
        <v>0</v>
      </c>
      <c r="BO614">
        <f t="shared" si="205"/>
        <v>0</v>
      </c>
      <c r="BP614">
        <f t="shared" si="206"/>
        <v>0</v>
      </c>
      <c r="BQ614">
        <f t="shared" si="207"/>
        <v>0</v>
      </c>
      <c r="BR614">
        <f t="shared" si="208"/>
        <v>0</v>
      </c>
      <c r="BS614">
        <f t="shared" si="209"/>
        <v>0</v>
      </c>
      <c r="BT614">
        <f t="shared" si="210"/>
        <v>0</v>
      </c>
      <c r="BU614">
        <f t="shared" si="211"/>
        <v>0</v>
      </c>
      <c r="BV614">
        <f t="shared" si="212"/>
        <v>0</v>
      </c>
      <c r="BW614">
        <f t="shared" si="213"/>
        <v>0</v>
      </c>
      <c r="CA614" t="str">
        <f>IF(415&gt;ROWS(DGArchive[模组]),"",IF(INDEX(DGArchive[模组],415)="","",INDEX(DGArchive[模组],415)))</f>
        <v/>
      </c>
      <c r="CB614" t="str">
        <f>IF(415&gt;ROWS(DGArchive[阶段]),"",IF(INDEX(DGArchive[阶段],415)="","",INDEX(DGArchive[阶段],415)))</f>
        <v/>
      </c>
      <c r="CC614" t="str">
        <f>IF(415&gt;ROWS(DGArchive[游戏内日期]),"",IF(INDEX(DGArchive[游戏内日期],415)="","",INDEX(DGArchive[游戏内日期],415)))</f>
        <v/>
      </c>
      <c r="CD614" t="str">
        <f>IF(415&gt;ROWS(DGArchive[目标]),"",IF(INDEX(DGArchive[目标],415)="","",INDEX(DGArchive[目标],415)))</f>
        <v/>
      </c>
      <c r="CE614" t="str">
        <f>IF(415&gt;ROWS(DGArchive[变更前]),"",IF(INDEX(DGArchive[变更前],415)="","",INDEX(DGArchive[变更前],415)))</f>
        <v/>
      </c>
      <c r="CF614" t="str">
        <f>IF(415&gt;ROWS(DGArchive[增减]),"",IF(INDEX(DGArchive[增减],415)="","",INDEX(DGArchive[增减],415)))</f>
        <v/>
      </c>
      <c r="CG614" t="str">
        <f>IF(415&gt;ROWS(DGArchive[变更后]),"",IF(INDEX(DGArchive[变更后],415)="","",INDEX(DGArchive[变更后],415)))</f>
        <v/>
      </c>
      <c r="CH614" t="str">
        <f>IF(415&gt;ROWS(DGArchive[事件／活动]),"",IF(INDEX(DGArchive[事件／活动],415)="","",INDEX(DGArchive[事件／活动],415)))</f>
        <v/>
      </c>
      <c r="CI614" t="str">
        <f>IF(415&gt;ROWS(DGArchive[记录编号]),"",IF(INDEX(DGArchive[记录编号],415)="","",INDEX(DGArchive[记录编号],415)))</f>
        <v/>
      </c>
      <c r="CL614">
        <f t="shared" si="194"/>
        <v>0</v>
      </c>
      <c r="CM614">
        <f>IF(AND(A614=$AO$5,B614=$AQ$3,H614=1),COUNTIFS($A$200:A614,$AO$5,$B$200:B614,$AQ$3,$H$200:H614,1),0)</f>
        <v>0</v>
      </c>
      <c r="CN614">
        <f>IF(CA614="",415,1001)</f>
        <v>415</v>
      </c>
      <c r="GA614">
        <f t="shared" si="214"/>
        <v>0</v>
      </c>
      <c r="GB614">
        <f t="shared" si="215"/>
        <v>0</v>
      </c>
      <c r="GC614">
        <f>IF(AND(C614="事件记录",H614=1),COUNTIFS($C$200:C614,"事件记录",$H$200:H614,1),0)</f>
        <v>0</v>
      </c>
      <c r="GD614">
        <f t="shared" si="195"/>
        <v>0</v>
      </c>
      <c r="GH614">
        <f>IF(AND(H614=1,A614=$GA$10,B614=$GA$11),COUNTIFS($A$200:A614,$GA$10,$B$200:B614,$GA$11,$H$200:H614,1),0)</f>
        <v>0</v>
      </c>
    </row>
    <row r="615" spans="1:190">
      <c r="A615" t="str">
        <f t="shared" si="186"/>
        <v/>
      </c>
      <c r="B615" t="str">
        <f t="shared" si="187"/>
        <v/>
      </c>
      <c r="C615" t="str">
        <f t="shared" si="188"/>
        <v/>
      </c>
      <c r="D615" t="str">
        <f t="shared" si="189"/>
        <v/>
      </c>
      <c r="E615">
        <f t="shared" si="190"/>
        <v>0</v>
      </c>
      <c r="F615" t="str">
        <f t="shared" si="191"/>
        <v/>
      </c>
      <c r="G615">
        <f t="shared" si="192"/>
        <v>0</v>
      </c>
      <c r="H615">
        <f>IF(AND(G615=1,COUNTIFS($I$200:I615,I615,$G$200:G615,1)=1),1,0)</f>
        <v>0</v>
      </c>
      <c r="I615" t="str">
        <f t="shared" si="193"/>
        <v/>
      </c>
      <c r="BF615">
        <f t="shared" si="196"/>
        <v>0</v>
      </c>
      <c r="BG615">
        <f t="shared" si="197"/>
        <v>0</v>
      </c>
      <c r="BH615">
        <f t="shared" si="198"/>
        <v>0</v>
      </c>
      <c r="BI615">
        <f t="shared" si="199"/>
        <v>0</v>
      </c>
      <c r="BJ615">
        <f t="shared" si="200"/>
        <v>0</v>
      </c>
      <c r="BK615">
        <f t="shared" si="201"/>
        <v>0</v>
      </c>
      <c r="BL615">
        <f t="shared" si="202"/>
        <v>0</v>
      </c>
      <c r="BM615">
        <f t="shared" si="203"/>
        <v>0</v>
      </c>
      <c r="BN615">
        <f t="shared" si="204"/>
        <v>0</v>
      </c>
      <c r="BO615">
        <f t="shared" si="205"/>
        <v>0</v>
      </c>
      <c r="BP615">
        <f t="shared" si="206"/>
        <v>0</v>
      </c>
      <c r="BQ615">
        <f t="shared" si="207"/>
        <v>0</v>
      </c>
      <c r="BR615">
        <f t="shared" si="208"/>
        <v>0</v>
      </c>
      <c r="BS615">
        <f t="shared" si="209"/>
        <v>0</v>
      </c>
      <c r="BT615">
        <f t="shared" si="210"/>
        <v>0</v>
      </c>
      <c r="BU615">
        <f t="shared" si="211"/>
        <v>0</v>
      </c>
      <c r="BV615">
        <f t="shared" si="212"/>
        <v>0</v>
      </c>
      <c r="BW615">
        <f t="shared" si="213"/>
        <v>0</v>
      </c>
      <c r="CA615" t="str">
        <f>IF(416&gt;ROWS(DGArchive[模组]),"",IF(INDEX(DGArchive[模组],416)="","",INDEX(DGArchive[模组],416)))</f>
        <v/>
      </c>
      <c r="CB615" t="str">
        <f>IF(416&gt;ROWS(DGArchive[阶段]),"",IF(INDEX(DGArchive[阶段],416)="","",INDEX(DGArchive[阶段],416)))</f>
        <v/>
      </c>
      <c r="CC615" t="str">
        <f>IF(416&gt;ROWS(DGArchive[游戏内日期]),"",IF(INDEX(DGArchive[游戏内日期],416)="","",INDEX(DGArchive[游戏内日期],416)))</f>
        <v/>
      </c>
      <c r="CD615" t="str">
        <f>IF(416&gt;ROWS(DGArchive[目标]),"",IF(INDEX(DGArchive[目标],416)="","",INDEX(DGArchive[目标],416)))</f>
        <v/>
      </c>
      <c r="CE615" t="str">
        <f>IF(416&gt;ROWS(DGArchive[变更前]),"",IF(INDEX(DGArchive[变更前],416)="","",INDEX(DGArchive[变更前],416)))</f>
        <v/>
      </c>
      <c r="CF615" t="str">
        <f>IF(416&gt;ROWS(DGArchive[增减]),"",IF(INDEX(DGArchive[增减],416)="","",INDEX(DGArchive[增减],416)))</f>
        <v/>
      </c>
      <c r="CG615" t="str">
        <f>IF(416&gt;ROWS(DGArchive[变更后]),"",IF(INDEX(DGArchive[变更后],416)="","",INDEX(DGArchive[变更后],416)))</f>
        <v/>
      </c>
      <c r="CH615" t="str">
        <f>IF(416&gt;ROWS(DGArchive[事件／活动]),"",IF(INDEX(DGArchive[事件／活动],416)="","",INDEX(DGArchive[事件／活动],416)))</f>
        <v/>
      </c>
      <c r="CI615" t="str">
        <f>IF(416&gt;ROWS(DGArchive[记录编号]),"",IF(INDEX(DGArchive[记录编号],416)="","",INDEX(DGArchive[记录编号],416)))</f>
        <v/>
      </c>
      <c r="CL615">
        <f t="shared" si="194"/>
        <v>0</v>
      </c>
      <c r="CM615">
        <f>IF(AND(A615=$AO$5,B615=$AQ$3,H615=1),COUNTIFS($A$200:A615,$AO$5,$B$200:B615,$AQ$3,$H$200:H615,1),0)</f>
        <v>0</v>
      </c>
      <c r="CN615">
        <f>IF(CA615="",416,1001)</f>
        <v>416</v>
      </c>
      <c r="GA615">
        <f t="shared" si="214"/>
        <v>0</v>
      </c>
      <c r="GB615">
        <f t="shared" si="215"/>
        <v>0</v>
      </c>
      <c r="GC615">
        <f>IF(AND(C615="事件记录",H615=1),COUNTIFS($C$200:C615,"事件记录",$H$200:H615,1),0)</f>
        <v>0</v>
      </c>
      <c r="GD615">
        <f t="shared" si="195"/>
        <v>0</v>
      </c>
      <c r="GH615">
        <f>IF(AND(H615=1,A615=$GA$10,B615=$GA$11),COUNTIFS($A$200:A615,$GA$10,$B$200:B615,$GA$11,$H$200:H615,1),0)</f>
        <v>0</v>
      </c>
    </row>
    <row r="616" spans="1:190">
      <c r="A616" t="str">
        <f t="shared" si="186"/>
        <v/>
      </c>
      <c r="B616" t="str">
        <f t="shared" si="187"/>
        <v/>
      </c>
      <c r="C616" t="str">
        <f t="shared" si="188"/>
        <v/>
      </c>
      <c r="D616" t="str">
        <f t="shared" si="189"/>
        <v/>
      </c>
      <c r="E616">
        <f t="shared" si="190"/>
        <v>0</v>
      </c>
      <c r="F616" t="str">
        <f t="shared" si="191"/>
        <v/>
      </c>
      <c r="G616">
        <f t="shared" si="192"/>
        <v>0</v>
      </c>
      <c r="H616">
        <f>IF(AND(G616=1,COUNTIFS($I$200:I616,I616,$G$200:G616,1)=1),1,0)</f>
        <v>0</v>
      </c>
      <c r="I616" t="str">
        <f t="shared" si="193"/>
        <v/>
      </c>
      <c r="BF616">
        <f t="shared" si="196"/>
        <v>0</v>
      </c>
      <c r="BG616">
        <f t="shared" si="197"/>
        <v>0</v>
      </c>
      <c r="BH616">
        <f t="shared" si="198"/>
        <v>0</v>
      </c>
      <c r="BI616">
        <f t="shared" si="199"/>
        <v>0</v>
      </c>
      <c r="BJ616">
        <f t="shared" si="200"/>
        <v>0</v>
      </c>
      <c r="BK616">
        <f t="shared" si="201"/>
        <v>0</v>
      </c>
      <c r="BL616">
        <f t="shared" si="202"/>
        <v>0</v>
      </c>
      <c r="BM616">
        <f t="shared" si="203"/>
        <v>0</v>
      </c>
      <c r="BN616">
        <f t="shared" si="204"/>
        <v>0</v>
      </c>
      <c r="BO616">
        <f t="shared" si="205"/>
        <v>0</v>
      </c>
      <c r="BP616">
        <f t="shared" si="206"/>
        <v>0</v>
      </c>
      <c r="BQ616">
        <f t="shared" si="207"/>
        <v>0</v>
      </c>
      <c r="BR616">
        <f t="shared" si="208"/>
        <v>0</v>
      </c>
      <c r="BS616">
        <f t="shared" si="209"/>
        <v>0</v>
      </c>
      <c r="BT616">
        <f t="shared" si="210"/>
        <v>0</v>
      </c>
      <c r="BU616">
        <f t="shared" si="211"/>
        <v>0</v>
      </c>
      <c r="BV616">
        <f t="shared" si="212"/>
        <v>0</v>
      </c>
      <c r="BW616">
        <f t="shared" si="213"/>
        <v>0</v>
      </c>
      <c r="CA616" t="str">
        <f>IF(417&gt;ROWS(DGArchive[模组]),"",IF(INDEX(DGArchive[模组],417)="","",INDEX(DGArchive[模组],417)))</f>
        <v/>
      </c>
      <c r="CB616" t="str">
        <f>IF(417&gt;ROWS(DGArchive[阶段]),"",IF(INDEX(DGArchive[阶段],417)="","",INDEX(DGArchive[阶段],417)))</f>
        <v/>
      </c>
      <c r="CC616" t="str">
        <f>IF(417&gt;ROWS(DGArchive[游戏内日期]),"",IF(INDEX(DGArchive[游戏内日期],417)="","",INDEX(DGArchive[游戏内日期],417)))</f>
        <v/>
      </c>
      <c r="CD616" t="str">
        <f>IF(417&gt;ROWS(DGArchive[目标]),"",IF(INDEX(DGArchive[目标],417)="","",INDEX(DGArchive[目标],417)))</f>
        <v/>
      </c>
      <c r="CE616" t="str">
        <f>IF(417&gt;ROWS(DGArchive[变更前]),"",IF(INDEX(DGArchive[变更前],417)="","",INDEX(DGArchive[变更前],417)))</f>
        <v/>
      </c>
      <c r="CF616" t="str">
        <f>IF(417&gt;ROWS(DGArchive[增减]),"",IF(INDEX(DGArchive[增减],417)="","",INDEX(DGArchive[增减],417)))</f>
        <v/>
      </c>
      <c r="CG616" t="str">
        <f>IF(417&gt;ROWS(DGArchive[变更后]),"",IF(INDEX(DGArchive[变更后],417)="","",INDEX(DGArchive[变更后],417)))</f>
        <v/>
      </c>
      <c r="CH616" t="str">
        <f>IF(417&gt;ROWS(DGArchive[事件／活动]),"",IF(INDEX(DGArchive[事件／活动],417)="","",INDEX(DGArchive[事件／活动],417)))</f>
        <v/>
      </c>
      <c r="CI616" t="str">
        <f>IF(417&gt;ROWS(DGArchive[记录编号]),"",IF(INDEX(DGArchive[记录编号],417)="","",INDEX(DGArchive[记录编号],417)))</f>
        <v/>
      </c>
      <c r="CL616">
        <f t="shared" si="194"/>
        <v>0</v>
      </c>
      <c r="CM616">
        <f>IF(AND(A616=$AO$5,B616=$AQ$3,H616=1),COUNTIFS($A$200:A616,$AO$5,$B$200:B616,$AQ$3,$H$200:H616,1),0)</f>
        <v>0</v>
      </c>
      <c r="CN616">
        <f>IF(CA616="",417,1001)</f>
        <v>417</v>
      </c>
      <c r="GA616">
        <f t="shared" si="214"/>
        <v>0</v>
      </c>
      <c r="GB616">
        <f t="shared" si="215"/>
        <v>0</v>
      </c>
      <c r="GC616">
        <f>IF(AND(C616="事件记录",H616=1),COUNTIFS($C$200:C616,"事件记录",$H$200:H616,1),0)</f>
        <v>0</v>
      </c>
      <c r="GD616">
        <f t="shared" si="195"/>
        <v>0</v>
      </c>
      <c r="GH616">
        <f>IF(AND(H616=1,A616=$GA$10,B616=$GA$11),COUNTIFS($A$200:A616,$GA$10,$B$200:B616,$GA$11,$H$200:H616,1),0)</f>
        <v>0</v>
      </c>
    </row>
    <row r="617" spans="1:190">
      <c r="A617" t="str">
        <f t="shared" si="186"/>
        <v/>
      </c>
      <c r="B617" t="str">
        <f t="shared" si="187"/>
        <v/>
      </c>
      <c r="C617" t="str">
        <f t="shared" si="188"/>
        <v/>
      </c>
      <c r="D617" t="str">
        <f t="shared" si="189"/>
        <v/>
      </c>
      <c r="E617">
        <f t="shared" si="190"/>
        <v>0</v>
      </c>
      <c r="F617" t="str">
        <f t="shared" si="191"/>
        <v/>
      </c>
      <c r="G617">
        <f t="shared" si="192"/>
        <v>0</v>
      </c>
      <c r="H617">
        <f>IF(AND(G617=1,COUNTIFS($I$200:I617,I617,$G$200:G617,1)=1),1,0)</f>
        <v>0</v>
      </c>
      <c r="I617" t="str">
        <f t="shared" si="193"/>
        <v/>
      </c>
      <c r="BF617">
        <f t="shared" si="196"/>
        <v>0</v>
      </c>
      <c r="BG617">
        <f t="shared" si="197"/>
        <v>0</v>
      </c>
      <c r="BH617">
        <f t="shared" si="198"/>
        <v>0</v>
      </c>
      <c r="BI617">
        <f t="shared" si="199"/>
        <v>0</v>
      </c>
      <c r="BJ617">
        <f t="shared" si="200"/>
        <v>0</v>
      </c>
      <c r="BK617">
        <f t="shared" si="201"/>
        <v>0</v>
      </c>
      <c r="BL617">
        <f t="shared" si="202"/>
        <v>0</v>
      </c>
      <c r="BM617">
        <f t="shared" si="203"/>
        <v>0</v>
      </c>
      <c r="BN617">
        <f t="shared" si="204"/>
        <v>0</v>
      </c>
      <c r="BO617">
        <f t="shared" si="205"/>
        <v>0</v>
      </c>
      <c r="BP617">
        <f t="shared" si="206"/>
        <v>0</v>
      </c>
      <c r="BQ617">
        <f t="shared" si="207"/>
        <v>0</v>
      </c>
      <c r="BR617">
        <f t="shared" si="208"/>
        <v>0</v>
      </c>
      <c r="BS617">
        <f t="shared" si="209"/>
        <v>0</v>
      </c>
      <c r="BT617">
        <f t="shared" si="210"/>
        <v>0</v>
      </c>
      <c r="BU617">
        <f t="shared" si="211"/>
        <v>0</v>
      </c>
      <c r="BV617">
        <f t="shared" si="212"/>
        <v>0</v>
      </c>
      <c r="BW617">
        <f t="shared" si="213"/>
        <v>0</v>
      </c>
      <c r="CA617" t="str">
        <f>IF(418&gt;ROWS(DGArchive[模组]),"",IF(INDEX(DGArchive[模组],418)="","",INDEX(DGArchive[模组],418)))</f>
        <v/>
      </c>
      <c r="CB617" t="str">
        <f>IF(418&gt;ROWS(DGArchive[阶段]),"",IF(INDEX(DGArchive[阶段],418)="","",INDEX(DGArchive[阶段],418)))</f>
        <v/>
      </c>
      <c r="CC617" t="str">
        <f>IF(418&gt;ROWS(DGArchive[游戏内日期]),"",IF(INDEX(DGArchive[游戏内日期],418)="","",INDEX(DGArchive[游戏内日期],418)))</f>
        <v/>
      </c>
      <c r="CD617" t="str">
        <f>IF(418&gt;ROWS(DGArchive[目标]),"",IF(INDEX(DGArchive[目标],418)="","",INDEX(DGArchive[目标],418)))</f>
        <v/>
      </c>
      <c r="CE617" t="str">
        <f>IF(418&gt;ROWS(DGArchive[变更前]),"",IF(INDEX(DGArchive[变更前],418)="","",INDEX(DGArchive[变更前],418)))</f>
        <v/>
      </c>
      <c r="CF617" t="str">
        <f>IF(418&gt;ROWS(DGArchive[增减]),"",IF(INDEX(DGArchive[增减],418)="","",INDEX(DGArchive[增减],418)))</f>
        <v/>
      </c>
      <c r="CG617" t="str">
        <f>IF(418&gt;ROWS(DGArchive[变更后]),"",IF(INDEX(DGArchive[变更后],418)="","",INDEX(DGArchive[变更后],418)))</f>
        <v/>
      </c>
      <c r="CH617" t="str">
        <f>IF(418&gt;ROWS(DGArchive[事件／活动]),"",IF(INDEX(DGArchive[事件／活动],418)="","",INDEX(DGArchive[事件／活动],418)))</f>
        <v/>
      </c>
      <c r="CI617" t="str">
        <f>IF(418&gt;ROWS(DGArchive[记录编号]),"",IF(INDEX(DGArchive[记录编号],418)="","",INDEX(DGArchive[记录编号],418)))</f>
        <v/>
      </c>
      <c r="CL617">
        <f t="shared" si="194"/>
        <v>0</v>
      </c>
      <c r="CM617">
        <f>IF(AND(A617=$AO$5,B617=$AQ$3,H617=1),COUNTIFS($A$200:A617,$AO$5,$B$200:B617,$AQ$3,$H$200:H617,1),0)</f>
        <v>0</v>
      </c>
      <c r="CN617">
        <f>IF(CA617="",418,1001)</f>
        <v>418</v>
      </c>
      <c r="GA617">
        <f t="shared" si="214"/>
        <v>0</v>
      </c>
      <c r="GB617">
        <f t="shared" si="215"/>
        <v>0</v>
      </c>
      <c r="GC617">
        <f>IF(AND(C617="事件记录",H617=1),COUNTIFS($C$200:C617,"事件记录",$H$200:H617,1),0)</f>
        <v>0</v>
      </c>
      <c r="GD617">
        <f t="shared" si="195"/>
        <v>0</v>
      </c>
      <c r="GH617">
        <f>IF(AND(H617=1,A617=$GA$10,B617=$GA$11),COUNTIFS($A$200:A617,$GA$10,$B$200:B617,$GA$11,$H$200:H617,1),0)</f>
        <v>0</v>
      </c>
    </row>
    <row r="618" spans="1:190">
      <c r="A618" t="str">
        <f t="shared" si="186"/>
        <v/>
      </c>
      <c r="B618" t="str">
        <f t="shared" si="187"/>
        <v/>
      </c>
      <c r="C618" t="str">
        <f t="shared" si="188"/>
        <v/>
      </c>
      <c r="D618" t="str">
        <f t="shared" si="189"/>
        <v/>
      </c>
      <c r="E618">
        <f t="shared" si="190"/>
        <v>0</v>
      </c>
      <c r="F618" t="str">
        <f t="shared" si="191"/>
        <v/>
      </c>
      <c r="G618">
        <f t="shared" si="192"/>
        <v>0</v>
      </c>
      <c r="H618">
        <f>IF(AND(G618=1,COUNTIFS($I$200:I618,I618,$G$200:G618,1)=1),1,0)</f>
        <v>0</v>
      </c>
      <c r="I618" t="str">
        <f t="shared" si="193"/>
        <v/>
      </c>
      <c r="BF618">
        <f t="shared" si="196"/>
        <v>0</v>
      </c>
      <c r="BG618">
        <f t="shared" si="197"/>
        <v>0</v>
      </c>
      <c r="BH618">
        <f t="shared" si="198"/>
        <v>0</v>
      </c>
      <c r="BI618">
        <f t="shared" si="199"/>
        <v>0</v>
      </c>
      <c r="BJ618">
        <f t="shared" si="200"/>
        <v>0</v>
      </c>
      <c r="BK618">
        <f t="shared" si="201"/>
        <v>0</v>
      </c>
      <c r="BL618">
        <f t="shared" si="202"/>
        <v>0</v>
      </c>
      <c r="BM618">
        <f t="shared" si="203"/>
        <v>0</v>
      </c>
      <c r="BN618">
        <f t="shared" si="204"/>
        <v>0</v>
      </c>
      <c r="BO618">
        <f t="shared" si="205"/>
        <v>0</v>
      </c>
      <c r="BP618">
        <f t="shared" si="206"/>
        <v>0</v>
      </c>
      <c r="BQ618">
        <f t="shared" si="207"/>
        <v>0</v>
      </c>
      <c r="BR618">
        <f t="shared" si="208"/>
        <v>0</v>
      </c>
      <c r="BS618">
        <f t="shared" si="209"/>
        <v>0</v>
      </c>
      <c r="BT618">
        <f t="shared" si="210"/>
        <v>0</v>
      </c>
      <c r="BU618">
        <f t="shared" si="211"/>
        <v>0</v>
      </c>
      <c r="BV618">
        <f t="shared" si="212"/>
        <v>0</v>
      </c>
      <c r="BW618">
        <f t="shared" si="213"/>
        <v>0</v>
      </c>
      <c r="CA618" t="str">
        <f>IF(419&gt;ROWS(DGArchive[模组]),"",IF(INDEX(DGArchive[模组],419)="","",INDEX(DGArchive[模组],419)))</f>
        <v/>
      </c>
      <c r="CB618" t="str">
        <f>IF(419&gt;ROWS(DGArchive[阶段]),"",IF(INDEX(DGArchive[阶段],419)="","",INDEX(DGArchive[阶段],419)))</f>
        <v/>
      </c>
      <c r="CC618" t="str">
        <f>IF(419&gt;ROWS(DGArchive[游戏内日期]),"",IF(INDEX(DGArchive[游戏内日期],419)="","",INDEX(DGArchive[游戏内日期],419)))</f>
        <v/>
      </c>
      <c r="CD618" t="str">
        <f>IF(419&gt;ROWS(DGArchive[目标]),"",IF(INDEX(DGArchive[目标],419)="","",INDEX(DGArchive[目标],419)))</f>
        <v/>
      </c>
      <c r="CE618" t="str">
        <f>IF(419&gt;ROWS(DGArchive[变更前]),"",IF(INDEX(DGArchive[变更前],419)="","",INDEX(DGArchive[变更前],419)))</f>
        <v/>
      </c>
      <c r="CF618" t="str">
        <f>IF(419&gt;ROWS(DGArchive[增减]),"",IF(INDEX(DGArchive[增减],419)="","",INDEX(DGArchive[增减],419)))</f>
        <v/>
      </c>
      <c r="CG618" t="str">
        <f>IF(419&gt;ROWS(DGArchive[变更后]),"",IF(INDEX(DGArchive[变更后],419)="","",INDEX(DGArchive[变更后],419)))</f>
        <v/>
      </c>
      <c r="CH618" t="str">
        <f>IF(419&gt;ROWS(DGArchive[事件／活动]),"",IF(INDEX(DGArchive[事件／活动],419)="","",INDEX(DGArchive[事件／活动],419)))</f>
        <v/>
      </c>
      <c r="CI618" t="str">
        <f>IF(419&gt;ROWS(DGArchive[记录编号]),"",IF(INDEX(DGArchive[记录编号],419)="","",INDEX(DGArchive[记录编号],419)))</f>
        <v/>
      </c>
      <c r="CL618">
        <f t="shared" si="194"/>
        <v>0</v>
      </c>
      <c r="CM618">
        <f>IF(AND(A618=$AO$5,B618=$AQ$3,H618=1),COUNTIFS($A$200:A618,$AO$5,$B$200:B618,$AQ$3,$H$200:H618,1),0)</f>
        <v>0</v>
      </c>
      <c r="CN618">
        <f>IF(CA618="",419,1001)</f>
        <v>419</v>
      </c>
      <c r="GA618">
        <f t="shared" si="214"/>
        <v>0</v>
      </c>
      <c r="GB618">
        <f t="shared" si="215"/>
        <v>0</v>
      </c>
      <c r="GC618">
        <f>IF(AND(C618="事件记录",H618=1),COUNTIFS($C$200:C618,"事件记录",$H$200:H618,1),0)</f>
        <v>0</v>
      </c>
      <c r="GD618">
        <f t="shared" si="195"/>
        <v>0</v>
      </c>
      <c r="GH618">
        <f>IF(AND(H618=1,A618=$GA$10,B618=$GA$11),COUNTIFS($A$200:A618,$GA$10,$B$200:B618,$GA$11,$H$200:H618,1),0)</f>
        <v>0</v>
      </c>
    </row>
    <row r="619" spans="1:190">
      <c r="A619" t="str">
        <f t="shared" si="186"/>
        <v/>
      </c>
      <c r="B619" t="str">
        <f t="shared" si="187"/>
        <v/>
      </c>
      <c r="C619" t="str">
        <f t="shared" si="188"/>
        <v/>
      </c>
      <c r="D619" t="str">
        <f t="shared" si="189"/>
        <v/>
      </c>
      <c r="E619">
        <f t="shared" si="190"/>
        <v>0</v>
      </c>
      <c r="F619" t="str">
        <f t="shared" si="191"/>
        <v/>
      </c>
      <c r="G619">
        <f t="shared" si="192"/>
        <v>0</v>
      </c>
      <c r="H619">
        <f>IF(AND(G619=1,COUNTIFS($I$200:I619,I619,$G$200:G619,1)=1),1,0)</f>
        <v>0</v>
      </c>
      <c r="I619" t="str">
        <f t="shared" si="193"/>
        <v/>
      </c>
      <c r="BF619">
        <f t="shared" si="196"/>
        <v>0</v>
      </c>
      <c r="BG619">
        <f t="shared" si="197"/>
        <v>0</v>
      </c>
      <c r="BH619">
        <f t="shared" si="198"/>
        <v>0</v>
      </c>
      <c r="BI619">
        <f t="shared" si="199"/>
        <v>0</v>
      </c>
      <c r="BJ619">
        <f t="shared" si="200"/>
        <v>0</v>
      </c>
      <c r="BK619">
        <f t="shared" si="201"/>
        <v>0</v>
      </c>
      <c r="BL619">
        <f t="shared" si="202"/>
        <v>0</v>
      </c>
      <c r="BM619">
        <f t="shared" si="203"/>
        <v>0</v>
      </c>
      <c r="BN619">
        <f t="shared" si="204"/>
        <v>0</v>
      </c>
      <c r="BO619">
        <f t="shared" si="205"/>
        <v>0</v>
      </c>
      <c r="BP619">
        <f t="shared" si="206"/>
        <v>0</v>
      </c>
      <c r="BQ619">
        <f t="shared" si="207"/>
        <v>0</v>
      </c>
      <c r="BR619">
        <f t="shared" si="208"/>
        <v>0</v>
      </c>
      <c r="BS619">
        <f t="shared" si="209"/>
        <v>0</v>
      </c>
      <c r="BT619">
        <f t="shared" si="210"/>
        <v>0</v>
      </c>
      <c r="BU619">
        <f t="shared" si="211"/>
        <v>0</v>
      </c>
      <c r="BV619">
        <f t="shared" si="212"/>
        <v>0</v>
      </c>
      <c r="BW619">
        <f t="shared" si="213"/>
        <v>0</v>
      </c>
      <c r="CA619" t="str">
        <f>IF(420&gt;ROWS(DGArchive[模组]),"",IF(INDEX(DGArchive[模组],420)="","",INDEX(DGArchive[模组],420)))</f>
        <v/>
      </c>
      <c r="CB619" t="str">
        <f>IF(420&gt;ROWS(DGArchive[阶段]),"",IF(INDEX(DGArchive[阶段],420)="","",INDEX(DGArchive[阶段],420)))</f>
        <v/>
      </c>
      <c r="CC619" t="str">
        <f>IF(420&gt;ROWS(DGArchive[游戏内日期]),"",IF(INDEX(DGArchive[游戏内日期],420)="","",INDEX(DGArchive[游戏内日期],420)))</f>
        <v/>
      </c>
      <c r="CD619" t="str">
        <f>IF(420&gt;ROWS(DGArchive[目标]),"",IF(INDEX(DGArchive[目标],420)="","",INDEX(DGArchive[目标],420)))</f>
        <v/>
      </c>
      <c r="CE619" t="str">
        <f>IF(420&gt;ROWS(DGArchive[变更前]),"",IF(INDEX(DGArchive[变更前],420)="","",INDEX(DGArchive[变更前],420)))</f>
        <v/>
      </c>
      <c r="CF619" t="str">
        <f>IF(420&gt;ROWS(DGArchive[增减]),"",IF(INDEX(DGArchive[增减],420)="","",INDEX(DGArchive[增减],420)))</f>
        <v/>
      </c>
      <c r="CG619" t="str">
        <f>IF(420&gt;ROWS(DGArchive[变更后]),"",IF(INDEX(DGArchive[变更后],420)="","",INDEX(DGArchive[变更后],420)))</f>
        <v/>
      </c>
      <c r="CH619" t="str">
        <f>IF(420&gt;ROWS(DGArchive[事件／活动]),"",IF(INDEX(DGArchive[事件／活动],420)="","",INDEX(DGArchive[事件／活动],420)))</f>
        <v/>
      </c>
      <c r="CI619" t="str">
        <f>IF(420&gt;ROWS(DGArchive[记录编号]),"",IF(INDEX(DGArchive[记录编号],420)="","",INDEX(DGArchive[记录编号],420)))</f>
        <v/>
      </c>
      <c r="CL619">
        <f t="shared" si="194"/>
        <v>0</v>
      </c>
      <c r="CM619">
        <f>IF(AND(A619=$AO$5,B619=$AQ$3,H619=1),COUNTIFS($A$200:A619,$AO$5,$B$200:B619,$AQ$3,$H$200:H619,1),0)</f>
        <v>0</v>
      </c>
      <c r="CN619">
        <f>IF(CA619="",420,1001)</f>
        <v>420</v>
      </c>
      <c r="GA619">
        <f t="shared" si="214"/>
        <v>0</v>
      </c>
      <c r="GB619">
        <f t="shared" si="215"/>
        <v>0</v>
      </c>
      <c r="GC619">
        <f>IF(AND(C619="事件记录",H619=1),COUNTIFS($C$200:C619,"事件记录",$H$200:H619,1),0)</f>
        <v>0</v>
      </c>
      <c r="GD619">
        <f t="shared" si="195"/>
        <v>0</v>
      </c>
      <c r="GH619">
        <f>IF(AND(H619=1,A619=$GA$10,B619=$GA$11),COUNTIFS($A$200:A619,$GA$10,$B$200:B619,$GA$11,$H$200:H619,1),0)</f>
        <v>0</v>
      </c>
    </row>
    <row r="620" spans="1:190">
      <c r="A620" t="str">
        <f t="shared" si="186"/>
        <v/>
      </c>
      <c r="B620" t="str">
        <f t="shared" si="187"/>
        <v/>
      </c>
      <c r="C620" t="str">
        <f t="shared" si="188"/>
        <v/>
      </c>
      <c r="D620" t="str">
        <f t="shared" si="189"/>
        <v/>
      </c>
      <c r="E620">
        <f t="shared" si="190"/>
        <v>0</v>
      </c>
      <c r="F620" t="str">
        <f t="shared" si="191"/>
        <v/>
      </c>
      <c r="G620">
        <f t="shared" si="192"/>
        <v>0</v>
      </c>
      <c r="H620">
        <f>IF(AND(G620=1,COUNTIFS($I$200:I620,I620,$G$200:G620,1)=1),1,0)</f>
        <v>0</v>
      </c>
      <c r="I620" t="str">
        <f t="shared" si="193"/>
        <v/>
      </c>
      <c r="BF620">
        <f t="shared" si="196"/>
        <v>0</v>
      </c>
      <c r="BG620">
        <f t="shared" si="197"/>
        <v>0</v>
      </c>
      <c r="BH620">
        <f t="shared" si="198"/>
        <v>0</v>
      </c>
      <c r="BI620">
        <f t="shared" si="199"/>
        <v>0</v>
      </c>
      <c r="BJ620">
        <f t="shared" si="200"/>
        <v>0</v>
      </c>
      <c r="BK620">
        <f t="shared" si="201"/>
        <v>0</v>
      </c>
      <c r="BL620">
        <f t="shared" si="202"/>
        <v>0</v>
      </c>
      <c r="BM620">
        <f t="shared" si="203"/>
        <v>0</v>
      </c>
      <c r="BN620">
        <f t="shared" si="204"/>
        <v>0</v>
      </c>
      <c r="BO620">
        <f t="shared" si="205"/>
        <v>0</v>
      </c>
      <c r="BP620">
        <f t="shared" si="206"/>
        <v>0</v>
      </c>
      <c r="BQ620">
        <f t="shared" si="207"/>
        <v>0</v>
      </c>
      <c r="BR620">
        <f t="shared" si="208"/>
        <v>0</v>
      </c>
      <c r="BS620">
        <f t="shared" si="209"/>
        <v>0</v>
      </c>
      <c r="BT620">
        <f t="shared" si="210"/>
        <v>0</v>
      </c>
      <c r="BU620">
        <f t="shared" si="211"/>
        <v>0</v>
      </c>
      <c r="BV620">
        <f t="shared" si="212"/>
        <v>0</v>
      </c>
      <c r="BW620">
        <f t="shared" si="213"/>
        <v>0</v>
      </c>
      <c r="CA620" t="str">
        <f>IF(421&gt;ROWS(DGArchive[模组]),"",IF(INDEX(DGArchive[模组],421)="","",INDEX(DGArchive[模组],421)))</f>
        <v/>
      </c>
      <c r="CB620" t="str">
        <f>IF(421&gt;ROWS(DGArchive[阶段]),"",IF(INDEX(DGArchive[阶段],421)="","",INDEX(DGArchive[阶段],421)))</f>
        <v/>
      </c>
      <c r="CC620" t="str">
        <f>IF(421&gt;ROWS(DGArchive[游戏内日期]),"",IF(INDEX(DGArchive[游戏内日期],421)="","",INDEX(DGArchive[游戏内日期],421)))</f>
        <v/>
      </c>
      <c r="CD620" t="str">
        <f>IF(421&gt;ROWS(DGArchive[目标]),"",IF(INDEX(DGArchive[目标],421)="","",INDEX(DGArchive[目标],421)))</f>
        <v/>
      </c>
      <c r="CE620" t="str">
        <f>IF(421&gt;ROWS(DGArchive[变更前]),"",IF(INDEX(DGArchive[变更前],421)="","",INDEX(DGArchive[变更前],421)))</f>
        <v/>
      </c>
      <c r="CF620" t="str">
        <f>IF(421&gt;ROWS(DGArchive[增减]),"",IF(INDEX(DGArchive[增减],421)="","",INDEX(DGArchive[增减],421)))</f>
        <v/>
      </c>
      <c r="CG620" t="str">
        <f>IF(421&gt;ROWS(DGArchive[变更后]),"",IF(INDEX(DGArchive[变更后],421)="","",INDEX(DGArchive[变更后],421)))</f>
        <v/>
      </c>
      <c r="CH620" t="str">
        <f>IF(421&gt;ROWS(DGArchive[事件／活动]),"",IF(INDEX(DGArchive[事件／活动],421)="","",INDEX(DGArchive[事件／活动],421)))</f>
        <v/>
      </c>
      <c r="CI620" t="str">
        <f>IF(421&gt;ROWS(DGArchive[记录编号]),"",IF(INDEX(DGArchive[记录编号],421)="","",INDEX(DGArchive[记录编号],421)))</f>
        <v/>
      </c>
      <c r="CL620">
        <f t="shared" si="194"/>
        <v>0</v>
      </c>
      <c r="CM620">
        <f>IF(AND(A620=$AO$5,B620=$AQ$3,H620=1),COUNTIFS($A$200:A620,$AO$5,$B$200:B620,$AQ$3,$H$200:H620,1),0)</f>
        <v>0</v>
      </c>
      <c r="CN620">
        <f>IF(CA620="",421,1001)</f>
        <v>421</v>
      </c>
      <c r="GA620">
        <f t="shared" si="214"/>
        <v>0</v>
      </c>
      <c r="GB620">
        <f t="shared" si="215"/>
        <v>0</v>
      </c>
      <c r="GC620">
        <f>IF(AND(C620="事件记录",H620=1),COUNTIFS($C$200:C620,"事件记录",$H$200:H620,1),0)</f>
        <v>0</v>
      </c>
      <c r="GD620">
        <f t="shared" si="195"/>
        <v>0</v>
      </c>
      <c r="GH620">
        <f>IF(AND(H620=1,A620=$GA$10,B620=$GA$11),COUNTIFS($A$200:A620,$GA$10,$B$200:B620,$GA$11,$H$200:H620,1),0)</f>
        <v>0</v>
      </c>
    </row>
    <row r="621" spans="1:190">
      <c r="A621" t="str">
        <f t="shared" si="186"/>
        <v/>
      </c>
      <c r="B621" t="str">
        <f t="shared" si="187"/>
        <v/>
      </c>
      <c r="C621" t="str">
        <f t="shared" si="188"/>
        <v/>
      </c>
      <c r="D621" t="str">
        <f t="shared" si="189"/>
        <v/>
      </c>
      <c r="E621">
        <f t="shared" si="190"/>
        <v>0</v>
      </c>
      <c r="F621" t="str">
        <f t="shared" si="191"/>
        <v/>
      </c>
      <c r="G621">
        <f t="shared" si="192"/>
        <v>0</v>
      </c>
      <c r="H621">
        <f>IF(AND(G621=1,COUNTIFS($I$200:I621,I621,$G$200:G621,1)=1),1,0)</f>
        <v>0</v>
      </c>
      <c r="I621" t="str">
        <f t="shared" si="193"/>
        <v/>
      </c>
      <c r="BF621">
        <f t="shared" si="196"/>
        <v>0</v>
      </c>
      <c r="BG621">
        <f t="shared" si="197"/>
        <v>0</v>
      </c>
      <c r="BH621">
        <f t="shared" si="198"/>
        <v>0</v>
      </c>
      <c r="BI621">
        <f t="shared" si="199"/>
        <v>0</v>
      </c>
      <c r="BJ621">
        <f t="shared" si="200"/>
        <v>0</v>
      </c>
      <c r="BK621">
        <f t="shared" si="201"/>
        <v>0</v>
      </c>
      <c r="BL621">
        <f t="shared" si="202"/>
        <v>0</v>
      </c>
      <c r="BM621">
        <f t="shared" si="203"/>
        <v>0</v>
      </c>
      <c r="BN621">
        <f t="shared" si="204"/>
        <v>0</v>
      </c>
      <c r="BO621">
        <f t="shared" si="205"/>
        <v>0</v>
      </c>
      <c r="BP621">
        <f t="shared" si="206"/>
        <v>0</v>
      </c>
      <c r="BQ621">
        <f t="shared" si="207"/>
        <v>0</v>
      </c>
      <c r="BR621">
        <f t="shared" si="208"/>
        <v>0</v>
      </c>
      <c r="BS621">
        <f t="shared" si="209"/>
        <v>0</v>
      </c>
      <c r="BT621">
        <f t="shared" si="210"/>
        <v>0</v>
      </c>
      <c r="BU621">
        <f t="shared" si="211"/>
        <v>0</v>
      </c>
      <c r="BV621">
        <f t="shared" si="212"/>
        <v>0</v>
      </c>
      <c r="BW621">
        <f t="shared" si="213"/>
        <v>0</v>
      </c>
      <c r="CA621" t="str">
        <f>IF(422&gt;ROWS(DGArchive[模组]),"",IF(INDEX(DGArchive[模组],422)="","",INDEX(DGArchive[模组],422)))</f>
        <v/>
      </c>
      <c r="CB621" t="str">
        <f>IF(422&gt;ROWS(DGArchive[阶段]),"",IF(INDEX(DGArchive[阶段],422)="","",INDEX(DGArchive[阶段],422)))</f>
        <v/>
      </c>
      <c r="CC621" t="str">
        <f>IF(422&gt;ROWS(DGArchive[游戏内日期]),"",IF(INDEX(DGArchive[游戏内日期],422)="","",INDEX(DGArchive[游戏内日期],422)))</f>
        <v/>
      </c>
      <c r="CD621" t="str">
        <f>IF(422&gt;ROWS(DGArchive[目标]),"",IF(INDEX(DGArchive[目标],422)="","",INDEX(DGArchive[目标],422)))</f>
        <v/>
      </c>
      <c r="CE621" t="str">
        <f>IF(422&gt;ROWS(DGArchive[变更前]),"",IF(INDEX(DGArchive[变更前],422)="","",INDEX(DGArchive[变更前],422)))</f>
        <v/>
      </c>
      <c r="CF621" t="str">
        <f>IF(422&gt;ROWS(DGArchive[增减]),"",IF(INDEX(DGArchive[增减],422)="","",INDEX(DGArchive[增减],422)))</f>
        <v/>
      </c>
      <c r="CG621" t="str">
        <f>IF(422&gt;ROWS(DGArchive[变更后]),"",IF(INDEX(DGArchive[变更后],422)="","",INDEX(DGArchive[变更后],422)))</f>
        <v/>
      </c>
      <c r="CH621" t="str">
        <f>IF(422&gt;ROWS(DGArchive[事件／活动]),"",IF(INDEX(DGArchive[事件／活动],422)="","",INDEX(DGArchive[事件／活动],422)))</f>
        <v/>
      </c>
      <c r="CI621" t="str">
        <f>IF(422&gt;ROWS(DGArchive[记录编号]),"",IF(INDEX(DGArchive[记录编号],422)="","",INDEX(DGArchive[记录编号],422)))</f>
        <v/>
      </c>
      <c r="CL621">
        <f t="shared" si="194"/>
        <v>0</v>
      </c>
      <c r="CM621">
        <f>IF(AND(A621=$AO$5,B621=$AQ$3,H621=1),COUNTIFS($A$200:A621,$AO$5,$B$200:B621,$AQ$3,$H$200:H621,1),0)</f>
        <v>0</v>
      </c>
      <c r="CN621">
        <f>IF(CA621="",422,1001)</f>
        <v>422</v>
      </c>
      <c r="GA621">
        <f t="shared" si="214"/>
        <v>0</v>
      </c>
      <c r="GB621">
        <f t="shared" si="215"/>
        <v>0</v>
      </c>
      <c r="GC621">
        <f>IF(AND(C621="事件记录",H621=1),COUNTIFS($C$200:C621,"事件记录",$H$200:H621,1),0)</f>
        <v>0</v>
      </c>
      <c r="GD621">
        <f t="shared" si="195"/>
        <v>0</v>
      </c>
      <c r="GH621">
        <f>IF(AND(H621=1,A621=$GA$10,B621=$GA$11),COUNTIFS($A$200:A621,$GA$10,$B$200:B621,$GA$11,$H$200:H621,1),0)</f>
        <v>0</v>
      </c>
    </row>
    <row r="622" spans="1:190">
      <c r="A622" t="str">
        <f t="shared" si="186"/>
        <v/>
      </c>
      <c r="B622" t="str">
        <f t="shared" si="187"/>
        <v/>
      </c>
      <c r="C622" t="str">
        <f t="shared" si="188"/>
        <v/>
      </c>
      <c r="D622" t="str">
        <f t="shared" si="189"/>
        <v/>
      </c>
      <c r="E622">
        <f t="shared" si="190"/>
        <v>0</v>
      </c>
      <c r="F622" t="str">
        <f t="shared" si="191"/>
        <v/>
      </c>
      <c r="G622">
        <f t="shared" si="192"/>
        <v>0</v>
      </c>
      <c r="H622">
        <f>IF(AND(G622=1,COUNTIFS($I$200:I622,I622,$G$200:G622,1)=1),1,0)</f>
        <v>0</v>
      </c>
      <c r="I622" t="str">
        <f t="shared" si="193"/>
        <v/>
      </c>
      <c r="BF622">
        <f t="shared" si="196"/>
        <v>0</v>
      </c>
      <c r="BG622">
        <f t="shared" si="197"/>
        <v>0</v>
      </c>
      <c r="BH622">
        <f t="shared" si="198"/>
        <v>0</v>
      </c>
      <c r="BI622">
        <f t="shared" si="199"/>
        <v>0</v>
      </c>
      <c r="BJ622">
        <f t="shared" si="200"/>
        <v>0</v>
      </c>
      <c r="BK622">
        <f t="shared" si="201"/>
        <v>0</v>
      </c>
      <c r="BL622">
        <f t="shared" si="202"/>
        <v>0</v>
      </c>
      <c r="BM622">
        <f t="shared" si="203"/>
        <v>0</v>
      </c>
      <c r="BN622">
        <f t="shared" si="204"/>
        <v>0</v>
      </c>
      <c r="BO622">
        <f t="shared" si="205"/>
        <v>0</v>
      </c>
      <c r="BP622">
        <f t="shared" si="206"/>
        <v>0</v>
      </c>
      <c r="BQ622">
        <f t="shared" si="207"/>
        <v>0</v>
      </c>
      <c r="BR622">
        <f t="shared" si="208"/>
        <v>0</v>
      </c>
      <c r="BS622">
        <f t="shared" si="209"/>
        <v>0</v>
      </c>
      <c r="BT622">
        <f t="shared" si="210"/>
        <v>0</v>
      </c>
      <c r="BU622">
        <f t="shared" si="211"/>
        <v>0</v>
      </c>
      <c r="BV622">
        <f t="shared" si="212"/>
        <v>0</v>
      </c>
      <c r="BW622">
        <f t="shared" si="213"/>
        <v>0</v>
      </c>
      <c r="CA622" t="str">
        <f>IF(423&gt;ROWS(DGArchive[模组]),"",IF(INDEX(DGArchive[模组],423)="","",INDEX(DGArchive[模组],423)))</f>
        <v/>
      </c>
      <c r="CB622" t="str">
        <f>IF(423&gt;ROWS(DGArchive[阶段]),"",IF(INDEX(DGArchive[阶段],423)="","",INDEX(DGArchive[阶段],423)))</f>
        <v/>
      </c>
      <c r="CC622" t="str">
        <f>IF(423&gt;ROWS(DGArchive[游戏内日期]),"",IF(INDEX(DGArchive[游戏内日期],423)="","",INDEX(DGArchive[游戏内日期],423)))</f>
        <v/>
      </c>
      <c r="CD622" t="str">
        <f>IF(423&gt;ROWS(DGArchive[目标]),"",IF(INDEX(DGArchive[目标],423)="","",INDEX(DGArchive[目标],423)))</f>
        <v/>
      </c>
      <c r="CE622" t="str">
        <f>IF(423&gt;ROWS(DGArchive[变更前]),"",IF(INDEX(DGArchive[变更前],423)="","",INDEX(DGArchive[变更前],423)))</f>
        <v/>
      </c>
      <c r="CF622" t="str">
        <f>IF(423&gt;ROWS(DGArchive[增减]),"",IF(INDEX(DGArchive[增减],423)="","",INDEX(DGArchive[增减],423)))</f>
        <v/>
      </c>
      <c r="CG622" t="str">
        <f>IF(423&gt;ROWS(DGArchive[变更后]),"",IF(INDEX(DGArchive[变更后],423)="","",INDEX(DGArchive[变更后],423)))</f>
        <v/>
      </c>
      <c r="CH622" t="str">
        <f>IF(423&gt;ROWS(DGArchive[事件／活动]),"",IF(INDEX(DGArchive[事件／活动],423)="","",INDEX(DGArchive[事件／活动],423)))</f>
        <v/>
      </c>
      <c r="CI622" t="str">
        <f>IF(423&gt;ROWS(DGArchive[记录编号]),"",IF(INDEX(DGArchive[记录编号],423)="","",INDEX(DGArchive[记录编号],423)))</f>
        <v/>
      </c>
      <c r="CL622">
        <f t="shared" si="194"/>
        <v>0</v>
      </c>
      <c r="CM622">
        <f>IF(AND(A622=$AO$5,B622=$AQ$3,H622=1),COUNTIFS($A$200:A622,$AO$5,$B$200:B622,$AQ$3,$H$200:H622,1),0)</f>
        <v>0</v>
      </c>
      <c r="CN622">
        <f>IF(CA622="",423,1001)</f>
        <v>423</v>
      </c>
      <c r="GA622">
        <f t="shared" si="214"/>
        <v>0</v>
      </c>
      <c r="GB622">
        <f t="shared" si="215"/>
        <v>0</v>
      </c>
      <c r="GC622">
        <f>IF(AND(C622="事件记录",H622=1),COUNTIFS($C$200:C622,"事件记录",$H$200:H622,1),0)</f>
        <v>0</v>
      </c>
      <c r="GD622">
        <f t="shared" si="195"/>
        <v>0</v>
      </c>
      <c r="GH622">
        <f>IF(AND(H622=1,A622=$GA$10,B622=$GA$11),COUNTIFS($A$200:A622,$GA$10,$B$200:B622,$GA$11,$H$200:H622,1),0)</f>
        <v>0</v>
      </c>
    </row>
    <row r="623" spans="1:190">
      <c r="A623" t="str">
        <f t="shared" si="186"/>
        <v/>
      </c>
      <c r="B623" t="str">
        <f t="shared" si="187"/>
        <v/>
      </c>
      <c r="C623" t="str">
        <f t="shared" si="188"/>
        <v/>
      </c>
      <c r="D623" t="str">
        <f t="shared" si="189"/>
        <v/>
      </c>
      <c r="E623">
        <f t="shared" si="190"/>
        <v>0</v>
      </c>
      <c r="F623" t="str">
        <f t="shared" si="191"/>
        <v/>
      </c>
      <c r="G623">
        <f t="shared" si="192"/>
        <v>0</v>
      </c>
      <c r="H623">
        <f>IF(AND(G623=1,COUNTIFS($I$200:I623,I623,$G$200:G623,1)=1),1,0)</f>
        <v>0</v>
      </c>
      <c r="I623" t="str">
        <f t="shared" si="193"/>
        <v/>
      </c>
      <c r="BF623">
        <f t="shared" si="196"/>
        <v>0</v>
      </c>
      <c r="BG623">
        <f t="shared" si="197"/>
        <v>0</v>
      </c>
      <c r="BH623">
        <f t="shared" si="198"/>
        <v>0</v>
      </c>
      <c r="BI623">
        <f t="shared" si="199"/>
        <v>0</v>
      </c>
      <c r="BJ623">
        <f t="shared" si="200"/>
        <v>0</v>
      </c>
      <c r="BK623">
        <f t="shared" si="201"/>
        <v>0</v>
      </c>
      <c r="BL623">
        <f t="shared" si="202"/>
        <v>0</v>
      </c>
      <c r="BM623">
        <f t="shared" si="203"/>
        <v>0</v>
      </c>
      <c r="BN623">
        <f t="shared" si="204"/>
        <v>0</v>
      </c>
      <c r="BO623">
        <f t="shared" si="205"/>
        <v>0</v>
      </c>
      <c r="BP623">
        <f t="shared" si="206"/>
        <v>0</v>
      </c>
      <c r="BQ623">
        <f t="shared" si="207"/>
        <v>0</v>
      </c>
      <c r="BR623">
        <f t="shared" si="208"/>
        <v>0</v>
      </c>
      <c r="BS623">
        <f t="shared" si="209"/>
        <v>0</v>
      </c>
      <c r="BT623">
        <f t="shared" si="210"/>
        <v>0</v>
      </c>
      <c r="BU623">
        <f t="shared" si="211"/>
        <v>0</v>
      </c>
      <c r="BV623">
        <f t="shared" si="212"/>
        <v>0</v>
      </c>
      <c r="BW623">
        <f t="shared" si="213"/>
        <v>0</v>
      </c>
      <c r="CA623" t="str">
        <f>IF(424&gt;ROWS(DGArchive[模组]),"",IF(INDEX(DGArchive[模组],424)="","",INDEX(DGArchive[模组],424)))</f>
        <v/>
      </c>
      <c r="CB623" t="str">
        <f>IF(424&gt;ROWS(DGArchive[阶段]),"",IF(INDEX(DGArchive[阶段],424)="","",INDEX(DGArchive[阶段],424)))</f>
        <v/>
      </c>
      <c r="CC623" t="str">
        <f>IF(424&gt;ROWS(DGArchive[游戏内日期]),"",IF(INDEX(DGArchive[游戏内日期],424)="","",INDEX(DGArchive[游戏内日期],424)))</f>
        <v/>
      </c>
      <c r="CD623" t="str">
        <f>IF(424&gt;ROWS(DGArchive[目标]),"",IF(INDEX(DGArchive[目标],424)="","",INDEX(DGArchive[目标],424)))</f>
        <v/>
      </c>
      <c r="CE623" t="str">
        <f>IF(424&gt;ROWS(DGArchive[变更前]),"",IF(INDEX(DGArchive[变更前],424)="","",INDEX(DGArchive[变更前],424)))</f>
        <v/>
      </c>
      <c r="CF623" t="str">
        <f>IF(424&gt;ROWS(DGArchive[增减]),"",IF(INDEX(DGArchive[增减],424)="","",INDEX(DGArchive[增减],424)))</f>
        <v/>
      </c>
      <c r="CG623" t="str">
        <f>IF(424&gt;ROWS(DGArchive[变更后]),"",IF(INDEX(DGArchive[变更后],424)="","",INDEX(DGArchive[变更后],424)))</f>
        <v/>
      </c>
      <c r="CH623" t="str">
        <f>IF(424&gt;ROWS(DGArchive[事件／活动]),"",IF(INDEX(DGArchive[事件／活动],424)="","",INDEX(DGArchive[事件／活动],424)))</f>
        <v/>
      </c>
      <c r="CI623" t="str">
        <f>IF(424&gt;ROWS(DGArchive[记录编号]),"",IF(INDEX(DGArchive[记录编号],424)="","",INDEX(DGArchive[记录编号],424)))</f>
        <v/>
      </c>
      <c r="CL623">
        <f t="shared" si="194"/>
        <v>0</v>
      </c>
      <c r="CM623">
        <f>IF(AND(A623=$AO$5,B623=$AQ$3,H623=1),COUNTIFS($A$200:A623,$AO$5,$B$200:B623,$AQ$3,$H$200:H623,1),0)</f>
        <v>0</v>
      </c>
      <c r="CN623">
        <f>IF(CA623="",424,1001)</f>
        <v>424</v>
      </c>
      <c r="GA623">
        <f t="shared" si="214"/>
        <v>0</v>
      </c>
      <c r="GB623">
        <f t="shared" si="215"/>
        <v>0</v>
      </c>
      <c r="GC623">
        <f>IF(AND(C623="事件记录",H623=1),COUNTIFS($C$200:C623,"事件记录",$H$200:H623,1),0)</f>
        <v>0</v>
      </c>
      <c r="GD623">
        <f t="shared" si="195"/>
        <v>0</v>
      </c>
      <c r="GH623">
        <f>IF(AND(H623=1,A623=$GA$10,B623=$GA$11),COUNTIFS($A$200:A623,$GA$10,$B$200:B623,$GA$11,$H$200:H623,1),0)</f>
        <v>0</v>
      </c>
    </row>
    <row r="624" spans="1:190">
      <c r="A624" t="str">
        <f t="shared" si="186"/>
        <v/>
      </c>
      <c r="B624" t="str">
        <f t="shared" si="187"/>
        <v/>
      </c>
      <c r="C624" t="str">
        <f t="shared" si="188"/>
        <v/>
      </c>
      <c r="D624" t="str">
        <f t="shared" si="189"/>
        <v/>
      </c>
      <c r="E624">
        <f t="shared" si="190"/>
        <v>0</v>
      </c>
      <c r="F624" t="str">
        <f t="shared" si="191"/>
        <v/>
      </c>
      <c r="G624">
        <f t="shared" si="192"/>
        <v>0</v>
      </c>
      <c r="H624">
        <f>IF(AND(G624=1,COUNTIFS($I$200:I624,I624,$G$200:G624,1)=1),1,0)</f>
        <v>0</v>
      </c>
      <c r="I624" t="str">
        <f t="shared" si="193"/>
        <v/>
      </c>
      <c r="BF624">
        <f t="shared" si="196"/>
        <v>0</v>
      </c>
      <c r="BG624">
        <f t="shared" si="197"/>
        <v>0</v>
      </c>
      <c r="BH624">
        <f t="shared" si="198"/>
        <v>0</v>
      </c>
      <c r="BI624">
        <f t="shared" si="199"/>
        <v>0</v>
      </c>
      <c r="BJ624">
        <f t="shared" si="200"/>
        <v>0</v>
      </c>
      <c r="BK624">
        <f t="shared" si="201"/>
        <v>0</v>
      </c>
      <c r="BL624">
        <f t="shared" si="202"/>
        <v>0</v>
      </c>
      <c r="BM624">
        <f t="shared" si="203"/>
        <v>0</v>
      </c>
      <c r="BN624">
        <f t="shared" si="204"/>
        <v>0</v>
      </c>
      <c r="BO624">
        <f t="shared" si="205"/>
        <v>0</v>
      </c>
      <c r="BP624">
        <f t="shared" si="206"/>
        <v>0</v>
      </c>
      <c r="BQ624">
        <f t="shared" si="207"/>
        <v>0</v>
      </c>
      <c r="BR624">
        <f t="shared" si="208"/>
        <v>0</v>
      </c>
      <c r="BS624">
        <f t="shared" si="209"/>
        <v>0</v>
      </c>
      <c r="BT624">
        <f t="shared" si="210"/>
        <v>0</v>
      </c>
      <c r="BU624">
        <f t="shared" si="211"/>
        <v>0</v>
      </c>
      <c r="BV624">
        <f t="shared" si="212"/>
        <v>0</v>
      </c>
      <c r="BW624">
        <f t="shared" si="213"/>
        <v>0</v>
      </c>
      <c r="CA624" t="str">
        <f>IF(425&gt;ROWS(DGArchive[模组]),"",IF(INDEX(DGArchive[模组],425)="","",INDEX(DGArchive[模组],425)))</f>
        <v/>
      </c>
      <c r="CB624" t="str">
        <f>IF(425&gt;ROWS(DGArchive[阶段]),"",IF(INDEX(DGArchive[阶段],425)="","",INDEX(DGArchive[阶段],425)))</f>
        <v/>
      </c>
      <c r="CC624" t="str">
        <f>IF(425&gt;ROWS(DGArchive[游戏内日期]),"",IF(INDEX(DGArchive[游戏内日期],425)="","",INDEX(DGArchive[游戏内日期],425)))</f>
        <v/>
      </c>
      <c r="CD624" t="str">
        <f>IF(425&gt;ROWS(DGArchive[目标]),"",IF(INDEX(DGArchive[目标],425)="","",INDEX(DGArchive[目标],425)))</f>
        <v/>
      </c>
      <c r="CE624" t="str">
        <f>IF(425&gt;ROWS(DGArchive[变更前]),"",IF(INDEX(DGArchive[变更前],425)="","",INDEX(DGArchive[变更前],425)))</f>
        <v/>
      </c>
      <c r="CF624" t="str">
        <f>IF(425&gt;ROWS(DGArchive[增减]),"",IF(INDEX(DGArchive[增减],425)="","",INDEX(DGArchive[增减],425)))</f>
        <v/>
      </c>
      <c r="CG624" t="str">
        <f>IF(425&gt;ROWS(DGArchive[变更后]),"",IF(INDEX(DGArchive[变更后],425)="","",INDEX(DGArchive[变更后],425)))</f>
        <v/>
      </c>
      <c r="CH624" t="str">
        <f>IF(425&gt;ROWS(DGArchive[事件／活动]),"",IF(INDEX(DGArchive[事件／活动],425)="","",INDEX(DGArchive[事件／活动],425)))</f>
        <v/>
      </c>
      <c r="CI624" t="str">
        <f>IF(425&gt;ROWS(DGArchive[记录编号]),"",IF(INDEX(DGArchive[记录编号],425)="","",INDEX(DGArchive[记录编号],425)))</f>
        <v/>
      </c>
      <c r="CL624">
        <f t="shared" si="194"/>
        <v>0</v>
      </c>
      <c r="CM624">
        <f>IF(AND(A624=$AO$5,B624=$AQ$3,H624=1),COUNTIFS($A$200:A624,$AO$5,$B$200:B624,$AQ$3,$H$200:H624,1),0)</f>
        <v>0</v>
      </c>
      <c r="CN624">
        <f>IF(CA624="",425,1001)</f>
        <v>425</v>
      </c>
      <c r="GA624">
        <f t="shared" si="214"/>
        <v>0</v>
      </c>
      <c r="GB624">
        <f t="shared" si="215"/>
        <v>0</v>
      </c>
      <c r="GC624">
        <f>IF(AND(C624="事件记录",H624=1),COUNTIFS($C$200:C624,"事件记录",$H$200:H624,1),0)</f>
        <v>0</v>
      </c>
      <c r="GD624">
        <f t="shared" si="195"/>
        <v>0</v>
      </c>
      <c r="GH624">
        <f>IF(AND(H624=1,A624=$GA$10,B624=$GA$11),COUNTIFS($A$200:A624,$GA$10,$B$200:B624,$GA$11,$H$200:H624,1),0)</f>
        <v>0</v>
      </c>
    </row>
    <row r="625" spans="1:190">
      <c r="A625" t="str">
        <f t="shared" si="186"/>
        <v/>
      </c>
      <c r="B625" t="str">
        <f t="shared" si="187"/>
        <v/>
      </c>
      <c r="C625" t="str">
        <f t="shared" si="188"/>
        <v/>
      </c>
      <c r="D625" t="str">
        <f t="shared" si="189"/>
        <v/>
      </c>
      <c r="E625">
        <f t="shared" si="190"/>
        <v>0</v>
      </c>
      <c r="F625" t="str">
        <f t="shared" si="191"/>
        <v/>
      </c>
      <c r="G625">
        <f t="shared" si="192"/>
        <v>0</v>
      </c>
      <c r="H625">
        <f>IF(AND(G625=1,COUNTIFS($I$200:I625,I625,$G$200:G625,1)=1),1,0)</f>
        <v>0</v>
      </c>
      <c r="I625" t="str">
        <f t="shared" si="193"/>
        <v/>
      </c>
      <c r="BF625">
        <f t="shared" si="196"/>
        <v>0</v>
      </c>
      <c r="BG625">
        <f t="shared" si="197"/>
        <v>0</v>
      </c>
      <c r="BH625">
        <f t="shared" si="198"/>
        <v>0</v>
      </c>
      <c r="BI625">
        <f t="shared" si="199"/>
        <v>0</v>
      </c>
      <c r="BJ625">
        <f t="shared" si="200"/>
        <v>0</v>
      </c>
      <c r="BK625">
        <f t="shared" si="201"/>
        <v>0</v>
      </c>
      <c r="BL625">
        <f t="shared" si="202"/>
        <v>0</v>
      </c>
      <c r="BM625">
        <f t="shared" si="203"/>
        <v>0</v>
      </c>
      <c r="BN625">
        <f t="shared" si="204"/>
        <v>0</v>
      </c>
      <c r="BO625">
        <f t="shared" si="205"/>
        <v>0</v>
      </c>
      <c r="BP625">
        <f t="shared" si="206"/>
        <v>0</v>
      </c>
      <c r="BQ625">
        <f t="shared" si="207"/>
        <v>0</v>
      </c>
      <c r="BR625">
        <f t="shared" si="208"/>
        <v>0</v>
      </c>
      <c r="BS625">
        <f t="shared" si="209"/>
        <v>0</v>
      </c>
      <c r="BT625">
        <f t="shared" si="210"/>
        <v>0</v>
      </c>
      <c r="BU625">
        <f t="shared" si="211"/>
        <v>0</v>
      </c>
      <c r="BV625">
        <f t="shared" si="212"/>
        <v>0</v>
      </c>
      <c r="BW625">
        <f t="shared" si="213"/>
        <v>0</v>
      </c>
      <c r="CA625" t="str">
        <f>IF(426&gt;ROWS(DGArchive[模组]),"",IF(INDEX(DGArchive[模组],426)="","",INDEX(DGArchive[模组],426)))</f>
        <v/>
      </c>
      <c r="CB625" t="str">
        <f>IF(426&gt;ROWS(DGArchive[阶段]),"",IF(INDEX(DGArchive[阶段],426)="","",INDEX(DGArchive[阶段],426)))</f>
        <v/>
      </c>
      <c r="CC625" t="str">
        <f>IF(426&gt;ROWS(DGArchive[游戏内日期]),"",IF(INDEX(DGArchive[游戏内日期],426)="","",INDEX(DGArchive[游戏内日期],426)))</f>
        <v/>
      </c>
      <c r="CD625" t="str">
        <f>IF(426&gt;ROWS(DGArchive[目标]),"",IF(INDEX(DGArchive[目标],426)="","",INDEX(DGArchive[目标],426)))</f>
        <v/>
      </c>
      <c r="CE625" t="str">
        <f>IF(426&gt;ROWS(DGArchive[变更前]),"",IF(INDEX(DGArchive[变更前],426)="","",INDEX(DGArchive[变更前],426)))</f>
        <v/>
      </c>
      <c r="CF625" t="str">
        <f>IF(426&gt;ROWS(DGArchive[增减]),"",IF(INDEX(DGArchive[增减],426)="","",INDEX(DGArchive[增减],426)))</f>
        <v/>
      </c>
      <c r="CG625" t="str">
        <f>IF(426&gt;ROWS(DGArchive[变更后]),"",IF(INDEX(DGArchive[变更后],426)="","",INDEX(DGArchive[变更后],426)))</f>
        <v/>
      </c>
      <c r="CH625" t="str">
        <f>IF(426&gt;ROWS(DGArchive[事件／活动]),"",IF(INDEX(DGArchive[事件／活动],426)="","",INDEX(DGArchive[事件／活动],426)))</f>
        <v/>
      </c>
      <c r="CI625" t="str">
        <f>IF(426&gt;ROWS(DGArchive[记录编号]),"",IF(INDEX(DGArchive[记录编号],426)="","",INDEX(DGArchive[记录编号],426)))</f>
        <v/>
      </c>
      <c r="CL625">
        <f t="shared" si="194"/>
        <v>0</v>
      </c>
      <c r="CM625">
        <f>IF(AND(A625=$AO$5,B625=$AQ$3,H625=1),COUNTIFS($A$200:A625,$AO$5,$B$200:B625,$AQ$3,$H$200:H625,1),0)</f>
        <v>0</v>
      </c>
      <c r="CN625">
        <f>IF(CA625="",426,1001)</f>
        <v>426</v>
      </c>
      <c r="GA625">
        <f t="shared" si="214"/>
        <v>0</v>
      </c>
      <c r="GB625">
        <f t="shared" si="215"/>
        <v>0</v>
      </c>
      <c r="GC625">
        <f>IF(AND(C625="事件记录",H625=1),COUNTIFS($C$200:C625,"事件记录",$H$200:H625,1),0)</f>
        <v>0</v>
      </c>
      <c r="GD625">
        <f t="shared" si="195"/>
        <v>0</v>
      </c>
      <c r="GH625">
        <f>IF(AND(H625=1,A625=$GA$10,B625=$GA$11),COUNTIFS($A$200:A625,$GA$10,$B$200:B625,$GA$11,$H$200:H625,1),0)</f>
        <v>0</v>
      </c>
    </row>
    <row r="626" spans="1:190">
      <c r="A626" t="str">
        <f t="shared" si="186"/>
        <v/>
      </c>
      <c r="B626" t="str">
        <f t="shared" si="187"/>
        <v/>
      </c>
      <c r="C626" t="str">
        <f t="shared" si="188"/>
        <v/>
      </c>
      <c r="D626" t="str">
        <f t="shared" si="189"/>
        <v/>
      </c>
      <c r="E626">
        <f t="shared" si="190"/>
        <v>0</v>
      </c>
      <c r="F626" t="str">
        <f t="shared" si="191"/>
        <v/>
      </c>
      <c r="G626">
        <f t="shared" si="192"/>
        <v>0</v>
      </c>
      <c r="H626">
        <f>IF(AND(G626=1,COUNTIFS($I$200:I626,I626,$G$200:G626,1)=1),1,0)</f>
        <v>0</v>
      </c>
      <c r="I626" t="str">
        <f t="shared" si="193"/>
        <v/>
      </c>
      <c r="BF626">
        <f t="shared" si="196"/>
        <v>0</v>
      </c>
      <c r="BG626">
        <f t="shared" si="197"/>
        <v>0</v>
      </c>
      <c r="BH626">
        <f t="shared" si="198"/>
        <v>0</v>
      </c>
      <c r="BI626">
        <f t="shared" si="199"/>
        <v>0</v>
      </c>
      <c r="BJ626">
        <f t="shared" si="200"/>
        <v>0</v>
      </c>
      <c r="BK626">
        <f t="shared" si="201"/>
        <v>0</v>
      </c>
      <c r="BL626">
        <f t="shared" si="202"/>
        <v>0</v>
      </c>
      <c r="BM626">
        <f t="shared" si="203"/>
        <v>0</v>
      </c>
      <c r="BN626">
        <f t="shared" si="204"/>
        <v>0</v>
      </c>
      <c r="BO626">
        <f t="shared" si="205"/>
        <v>0</v>
      </c>
      <c r="BP626">
        <f t="shared" si="206"/>
        <v>0</v>
      </c>
      <c r="BQ626">
        <f t="shared" si="207"/>
        <v>0</v>
      </c>
      <c r="BR626">
        <f t="shared" si="208"/>
        <v>0</v>
      </c>
      <c r="BS626">
        <f t="shared" si="209"/>
        <v>0</v>
      </c>
      <c r="BT626">
        <f t="shared" si="210"/>
        <v>0</v>
      </c>
      <c r="BU626">
        <f t="shared" si="211"/>
        <v>0</v>
      </c>
      <c r="BV626">
        <f t="shared" si="212"/>
        <v>0</v>
      </c>
      <c r="BW626">
        <f t="shared" si="213"/>
        <v>0</v>
      </c>
      <c r="CA626" t="str">
        <f>IF(427&gt;ROWS(DGArchive[模组]),"",IF(INDEX(DGArchive[模组],427)="","",INDEX(DGArchive[模组],427)))</f>
        <v/>
      </c>
      <c r="CB626" t="str">
        <f>IF(427&gt;ROWS(DGArchive[阶段]),"",IF(INDEX(DGArchive[阶段],427)="","",INDEX(DGArchive[阶段],427)))</f>
        <v/>
      </c>
      <c r="CC626" t="str">
        <f>IF(427&gt;ROWS(DGArchive[游戏内日期]),"",IF(INDEX(DGArchive[游戏内日期],427)="","",INDEX(DGArchive[游戏内日期],427)))</f>
        <v/>
      </c>
      <c r="CD626" t="str">
        <f>IF(427&gt;ROWS(DGArchive[目标]),"",IF(INDEX(DGArchive[目标],427)="","",INDEX(DGArchive[目标],427)))</f>
        <v/>
      </c>
      <c r="CE626" t="str">
        <f>IF(427&gt;ROWS(DGArchive[变更前]),"",IF(INDEX(DGArchive[变更前],427)="","",INDEX(DGArchive[变更前],427)))</f>
        <v/>
      </c>
      <c r="CF626" t="str">
        <f>IF(427&gt;ROWS(DGArchive[增减]),"",IF(INDEX(DGArchive[增减],427)="","",INDEX(DGArchive[增减],427)))</f>
        <v/>
      </c>
      <c r="CG626" t="str">
        <f>IF(427&gt;ROWS(DGArchive[变更后]),"",IF(INDEX(DGArchive[变更后],427)="","",INDEX(DGArchive[变更后],427)))</f>
        <v/>
      </c>
      <c r="CH626" t="str">
        <f>IF(427&gt;ROWS(DGArchive[事件／活动]),"",IF(INDEX(DGArchive[事件／活动],427)="","",INDEX(DGArchive[事件／活动],427)))</f>
        <v/>
      </c>
      <c r="CI626" t="str">
        <f>IF(427&gt;ROWS(DGArchive[记录编号]),"",IF(INDEX(DGArchive[记录编号],427)="","",INDEX(DGArchive[记录编号],427)))</f>
        <v/>
      </c>
      <c r="CL626">
        <f t="shared" si="194"/>
        <v>0</v>
      </c>
      <c r="CM626">
        <f>IF(AND(A626=$AO$5,B626=$AQ$3,H626=1),COUNTIFS($A$200:A626,$AO$5,$B$200:B626,$AQ$3,$H$200:H626,1),0)</f>
        <v>0</v>
      </c>
      <c r="CN626">
        <f>IF(CA626="",427,1001)</f>
        <v>427</v>
      </c>
      <c r="GA626">
        <f t="shared" si="214"/>
        <v>0</v>
      </c>
      <c r="GB626">
        <f t="shared" si="215"/>
        <v>0</v>
      </c>
      <c r="GC626">
        <f>IF(AND(C626="事件记录",H626=1),COUNTIFS($C$200:C626,"事件记录",$H$200:H626,1),0)</f>
        <v>0</v>
      </c>
      <c r="GD626">
        <f t="shared" si="195"/>
        <v>0</v>
      </c>
      <c r="GH626">
        <f>IF(AND(H626=1,A626=$GA$10,B626=$GA$11),COUNTIFS($A$200:A626,$GA$10,$B$200:B626,$GA$11,$H$200:H626,1),0)</f>
        <v>0</v>
      </c>
    </row>
    <row r="627" spans="1:190">
      <c r="A627" t="str">
        <f t="shared" si="186"/>
        <v/>
      </c>
      <c r="B627" t="str">
        <f t="shared" si="187"/>
        <v/>
      </c>
      <c r="C627" t="str">
        <f t="shared" si="188"/>
        <v/>
      </c>
      <c r="D627" t="str">
        <f t="shared" si="189"/>
        <v/>
      </c>
      <c r="E627">
        <f t="shared" si="190"/>
        <v>0</v>
      </c>
      <c r="F627" t="str">
        <f t="shared" si="191"/>
        <v/>
      </c>
      <c r="G627">
        <f t="shared" si="192"/>
        <v>0</v>
      </c>
      <c r="H627">
        <f>IF(AND(G627=1,COUNTIFS($I$200:I627,I627,$G$200:G627,1)=1),1,0)</f>
        <v>0</v>
      </c>
      <c r="I627" t="str">
        <f t="shared" si="193"/>
        <v/>
      </c>
      <c r="BF627">
        <f t="shared" si="196"/>
        <v>0</v>
      </c>
      <c r="BG627">
        <f t="shared" si="197"/>
        <v>0</v>
      </c>
      <c r="BH627">
        <f t="shared" si="198"/>
        <v>0</v>
      </c>
      <c r="BI627">
        <f t="shared" si="199"/>
        <v>0</v>
      </c>
      <c r="BJ627">
        <f t="shared" si="200"/>
        <v>0</v>
      </c>
      <c r="BK627">
        <f t="shared" si="201"/>
        <v>0</v>
      </c>
      <c r="BL627">
        <f t="shared" si="202"/>
        <v>0</v>
      </c>
      <c r="BM627">
        <f t="shared" si="203"/>
        <v>0</v>
      </c>
      <c r="BN627">
        <f t="shared" si="204"/>
        <v>0</v>
      </c>
      <c r="BO627">
        <f t="shared" si="205"/>
        <v>0</v>
      </c>
      <c r="BP627">
        <f t="shared" si="206"/>
        <v>0</v>
      </c>
      <c r="BQ627">
        <f t="shared" si="207"/>
        <v>0</v>
      </c>
      <c r="BR627">
        <f t="shared" si="208"/>
        <v>0</v>
      </c>
      <c r="BS627">
        <f t="shared" si="209"/>
        <v>0</v>
      </c>
      <c r="BT627">
        <f t="shared" si="210"/>
        <v>0</v>
      </c>
      <c r="BU627">
        <f t="shared" si="211"/>
        <v>0</v>
      </c>
      <c r="BV627">
        <f t="shared" si="212"/>
        <v>0</v>
      </c>
      <c r="BW627">
        <f t="shared" si="213"/>
        <v>0</v>
      </c>
      <c r="CA627" t="str">
        <f>IF(428&gt;ROWS(DGArchive[模组]),"",IF(INDEX(DGArchive[模组],428)="","",INDEX(DGArchive[模组],428)))</f>
        <v/>
      </c>
      <c r="CB627" t="str">
        <f>IF(428&gt;ROWS(DGArchive[阶段]),"",IF(INDEX(DGArchive[阶段],428)="","",INDEX(DGArchive[阶段],428)))</f>
        <v/>
      </c>
      <c r="CC627" t="str">
        <f>IF(428&gt;ROWS(DGArchive[游戏内日期]),"",IF(INDEX(DGArchive[游戏内日期],428)="","",INDEX(DGArchive[游戏内日期],428)))</f>
        <v/>
      </c>
      <c r="CD627" t="str">
        <f>IF(428&gt;ROWS(DGArchive[目标]),"",IF(INDEX(DGArchive[目标],428)="","",INDEX(DGArchive[目标],428)))</f>
        <v/>
      </c>
      <c r="CE627" t="str">
        <f>IF(428&gt;ROWS(DGArchive[变更前]),"",IF(INDEX(DGArchive[变更前],428)="","",INDEX(DGArchive[变更前],428)))</f>
        <v/>
      </c>
      <c r="CF627" t="str">
        <f>IF(428&gt;ROWS(DGArchive[增减]),"",IF(INDEX(DGArchive[增减],428)="","",INDEX(DGArchive[增减],428)))</f>
        <v/>
      </c>
      <c r="CG627" t="str">
        <f>IF(428&gt;ROWS(DGArchive[变更后]),"",IF(INDEX(DGArchive[变更后],428)="","",INDEX(DGArchive[变更后],428)))</f>
        <v/>
      </c>
      <c r="CH627" t="str">
        <f>IF(428&gt;ROWS(DGArchive[事件／活动]),"",IF(INDEX(DGArchive[事件／活动],428)="","",INDEX(DGArchive[事件／活动],428)))</f>
        <v/>
      </c>
      <c r="CI627" t="str">
        <f>IF(428&gt;ROWS(DGArchive[记录编号]),"",IF(INDEX(DGArchive[记录编号],428)="","",INDEX(DGArchive[记录编号],428)))</f>
        <v/>
      </c>
      <c r="CL627">
        <f t="shared" si="194"/>
        <v>0</v>
      </c>
      <c r="CM627">
        <f>IF(AND(A627=$AO$5,B627=$AQ$3,H627=1),COUNTIFS($A$200:A627,$AO$5,$B$200:B627,$AQ$3,$H$200:H627,1),0)</f>
        <v>0</v>
      </c>
      <c r="CN627">
        <f>IF(CA627="",428,1001)</f>
        <v>428</v>
      </c>
      <c r="GA627">
        <f t="shared" si="214"/>
        <v>0</v>
      </c>
      <c r="GB627">
        <f t="shared" si="215"/>
        <v>0</v>
      </c>
      <c r="GC627">
        <f>IF(AND(C627="事件记录",H627=1),COUNTIFS($C$200:C627,"事件记录",$H$200:H627,1),0)</f>
        <v>0</v>
      </c>
      <c r="GD627">
        <f t="shared" si="195"/>
        <v>0</v>
      </c>
      <c r="GH627">
        <f>IF(AND(H627=1,A627=$GA$10,B627=$GA$11),COUNTIFS($A$200:A627,$GA$10,$B$200:B627,$GA$11,$H$200:H627,1),0)</f>
        <v>0</v>
      </c>
    </row>
    <row r="628" spans="1:190">
      <c r="A628" t="str">
        <f t="shared" si="186"/>
        <v/>
      </c>
      <c r="B628" t="str">
        <f t="shared" si="187"/>
        <v/>
      </c>
      <c r="C628" t="str">
        <f t="shared" si="188"/>
        <v/>
      </c>
      <c r="D628" t="str">
        <f t="shared" si="189"/>
        <v/>
      </c>
      <c r="E628">
        <f t="shared" si="190"/>
        <v>0</v>
      </c>
      <c r="F628" t="str">
        <f t="shared" si="191"/>
        <v/>
      </c>
      <c r="G628">
        <f t="shared" si="192"/>
        <v>0</v>
      </c>
      <c r="H628">
        <f>IF(AND(G628=1,COUNTIFS($I$200:I628,I628,$G$200:G628,1)=1),1,0)</f>
        <v>0</v>
      </c>
      <c r="I628" t="str">
        <f t="shared" si="193"/>
        <v/>
      </c>
      <c r="BF628">
        <f t="shared" si="196"/>
        <v>0</v>
      </c>
      <c r="BG628">
        <f t="shared" si="197"/>
        <v>0</v>
      </c>
      <c r="BH628">
        <f t="shared" si="198"/>
        <v>0</v>
      </c>
      <c r="BI628">
        <f t="shared" si="199"/>
        <v>0</v>
      </c>
      <c r="BJ628">
        <f t="shared" si="200"/>
        <v>0</v>
      </c>
      <c r="BK628">
        <f t="shared" si="201"/>
        <v>0</v>
      </c>
      <c r="BL628">
        <f t="shared" si="202"/>
        <v>0</v>
      </c>
      <c r="BM628">
        <f t="shared" si="203"/>
        <v>0</v>
      </c>
      <c r="BN628">
        <f t="shared" si="204"/>
        <v>0</v>
      </c>
      <c r="BO628">
        <f t="shared" si="205"/>
        <v>0</v>
      </c>
      <c r="BP628">
        <f t="shared" si="206"/>
        <v>0</v>
      </c>
      <c r="BQ628">
        <f t="shared" si="207"/>
        <v>0</v>
      </c>
      <c r="BR628">
        <f t="shared" si="208"/>
        <v>0</v>
      </c>
      <c r="BS628">
        <f t="shared" si="209"/>
        <v>0</v>
      </c>
      <c r="BT628">
        <f t="shared" si="210"/>
        <v>0</v>
      </c>
      <c r="BU628">
        <f t="shared" si="211"/>
        <v>0</v>
      </c>
      <c r="BV628">
        <f t="shared" si="212"/>
        <v>0</v>
      </c>
      <c r="BW628">
        <f t="shared" si="213"/>
        <v>0</v>
      </c>
      <c r="CA628" t="str">
        <f>IF(429&gt;ROWS(DGArchive[模组]),"",IF(INDEX(DGArchive[模组],429)="","",INDEX(DGArchive[模组],429)))</f>
        <v/>
      </c>
      <c r="CB628" t="str">
        <f>IF(429&gt;ROWS(DGArchive[阶段]),"",IF(INDEX(DGArchive[阶段],429)="","",INDEX(DGArchive[阶段],429)))</f>
        <v/>
      </c>
      <c r="CC628" t="str">
        <f>IF(429&gt;ROWS(DGArchive[游戏内日期]),"",IF(INDEX(DGArchive[游戏内日期],429)="","",INDEX(DGArchive[游戏内日期],429)))</f>
        <v/>
      </c>
      <c r="CD628" t="str">
        <f>IF(429&gt;ROWS(DGArchive[目标]),"",IF(INDEX(DGArchive[目标],429)="","",INDEX(DGArchive[目标],429)))</f>
        <v/>
      </c>
      <c r="CE628" t="str">
        <f>IF(429&gt;ROWS(DGArchive[变更前]),"",IF(INDEX(DGArchive[变更前],429)="","",INDEX(DGArchive[变更前],429)))</f>
        <v/>
      </c>
      <c r="CF628" t="str">
        <f>IF(429&gt;ROWS(DGArchive[增减]),"",IF(INDEX(DGArchive[增减],429)="","",INDEX(DGArchive[增减],429)))</f>
        <v/>
      </c>
      <c r="CG628" t="str">
        <f>IF(429&gt;ROWS(DGArchive[变更后]),"",IF(INDEX(DGArchive[变更后],429)="","",INDEX(DGArchive[变更后],429)))</f>
        <v/>
      </c>
      <c r="CH628" t="str">
        <f>IF(429&gt;ROWS(DGArchive[事件／活动]),"",IF(INDEX(DGArchive[事件／活动],429)="","",INDEX(DGArchive[事件／活动],429)))</f>
        <v/>
      </c>
      <c r="CI628" t="str">
        <f>IF(429&gt;ROWS(DGArchive[记录编号]),"",IF(INDEX(DGArchive[记录编号],429)="","",INDEX(DGArchive[记录编号],429)))</f>
        <v/>
      </c>
      <c r="CL628">
        <f t="shared" si="194"/>
        <v>0</v>
      </c>
      <c r="CM628">
        <f>IF(AND(A628=$AO$5,B628=$AQ$3,H628=1),COUNTIFS($A$200:A628,$AO$5,$B$200:B628,$AQ$3,$H$200:H628,1),0)</f>
        <v>0</v>
      </c>
      <c r="CN628">
        <f>IF(CA628="",429,1001)</f>
        <v>429</v>
      </c>
      <c r="GA628">
        <f t="shared" si="214"/>
        <v>0</v>
      </c>
      <c r="GB628">
        <f t="shared" si="215"/>
        <v>0</v>
      </c>
      <c r="GC628">
        <f>IF(AND(C628="事件记录",H628=1),COUNTIFS($C$200:C628,"事件记录",$H$200:H628,1),0)</f>
        <v>0</v>
      </c>
      <c r="GD628">
        <f t="shared" si="195"/>
        <v>0</v>
      </c>
      <c r="GH628">
        <f>IF(AND(H628=1,A628=$GA$10,B628=$GA$11),COUNTIFS($A$200:A628,$GA$10,$B$200:B628,$GA$11,$H$200:H628,1),0)</f>
        <v>0</v>
      </c>
    </row>
    <row r="629" spans="1:190">
      <c r="A629" t="str">
        <f t="shared" si="186"/>
        <v/>
      </c>
      <c r="B629" t="str">
        <f t="shared" si="187"/>
        <v/>
      </c>
      <c r="C629" t="str">
        <f t="shared" si="188"/>
        <v/>
      </c>
      <c r="D629" t="str">
        <f t="shared" si="189"/>
        <v/>
      </c>
      <c r="E629">
        <f t="shared" si="190"/>
        <v>0</v>
      </c>
      <c r="F629" t="str">
        <f t="shared" si="191"/>
        <v/>
      </c>
      <c r="G629">
        <f t="shared" si="192"/>
        <v>0</v>
      </c>
      <c r="H629">
        <f>IF(AND(G629=1,COUNTIFS($I$200:I629,I629,$G$200:G629,1)=1),1,0)</f>
        <v>0</v>
      </c>
      <c r="I629" t="str">
        <f t="shared" si="193"/>
        <v/>
      </c>
      <c r="BF629">
        <f t="shared" si="196"/>
        <v>0</v>
      </c>
      <c r="BG629">
        <f t="shared" si="197"/>
        <v>0</v>
      </c>
      <c r="BH629">
        <f t="shared" si="198"/>
        <v>0</v>
      </c>
      <c r="BI629">
        <f t="shared" si="199"/>
        <v>0</v>
      </c>
      <c r="BJ629">
        <f t="shared" si="200"/>
        <v>0</v>
      </c>
      <c r="BK629">
        <f t="shared" si="201"/>
        <v>0</v>
      </c>
      <c r="BL629">
        <f t="shared" si="202"/>
        <v>0</v>
      </c>
      <c r="BM629">
        <f t="shared" si="203"/>
        <v>0</v>
      </c>
      <c r="BN629">
        <f t="shared" si="204"/>
        <v>0</v>
      </c>
      <c r="BO629">
        <f t="shared" si="205"/>
        <v>0</v>
      </c>
      <c r="BP629">
        <f t="shared" si="206"/>
        <v>0</v>
      </c>
      <c r="BQ629">
        <f t="shared" si="207"/>
        <v>0</v>
      </c>
      <c r="BR629">
        <f t="shared" si="208"/>
        <v>0</v>
      </c>
      <c r="BS629">
        <f t="shared" si="209"/>
        <v>0</v>
      </c>
      <c r="BT629">
        <f t="shared" si="210"/>
        <v>0</v>
      </c>
      <c r="BU629">
        <f t="shared" si="211"/>
        <v>0</v>
      </c>
      <c r="BV629">
        <f t="shared" si="212"/>
        <v>0</v>
      </c>
      <c r="BW629">
        <f t="shared" si="213"/>
        <v>0</v>
      </c>
      <c r="CA629" t="str">
        <f>IF(430&gt;ROWS(DGArchive[模组]),"",IF(INDEX(DGArchive[模组],430)="","",INDEX(DGArchive[模组],430)))</f>
        <v/>
      </c>
      <c r="CB629" t="str">
        <f>IF(430&gt;ROWS(DGArchive[阶段]),"",IF(INDEX(DGArchive[阶段],430)="","",INDEX(DGArchive[阶段],430)))</f>
        <v/>
      </c>
      <c r="CC629" t="str">
        <f>IF(430&gt;ROWS(DGArchive[游戏内日期]),"",IF(INDEX(DGArchive[游戏内日期],430)="","",INDEX(DGArchive[游戏内日期],430)))</f>
        <v/>
      </c>
      <c r="CD629" t="str">
        <f>IF(430&gt;ROWS(DGArchive[目标]),"",IF(INDEX(DGArchive[目标],430)="","",INDEX(DGArchive[目标],430)))</f>
        <v/>
      </c>
      <c r="CE629" t="str">
        <f>IF(430&gt;ROWS(DGArchive[变更前]),"",IF(INDEX(DGArchive[变更前],430)="","",INDEX(DGArchive[变更前],430)))</f>
        <v/>
      </c>
      <c r="CF629" t="str">
        <f>IF(430&gt;ROWS(DGArchive[增减]),"",IF(INDEX(DGArchive[增减],430)="","",INDEX(DGArchive[增减],430)))</f>
        <v/>
      </c>
      <c r="CG629" t="str">
        <f>IF(430&gt;ROWS(DGArchive[变更后]),"",IF(INDEX(DGArchive[变更后],430)="","",INDEX(DGArchive[变更后],430)))</f>
        <v/>
      </c>
      <c r="CH629" t="str">
        <f>IF(430&gt;ROWS(DGArchive[事件／活动]),"",IF(INDEX(DGArchive[事件／活动],430)="","",INDEX(DGArchive[事件／活动],430)))</f>
        <v/>
      </c>
      <c r="CI629" t="str">
        <f>IF(430&gt;ROWS(DGArchive[记录编号]),"",IF(INDEX(DGArchive[记录编号],430)="","",INDEX(DGArchive[记录编号],430)))</f>
        <v/>
      </c>
      <c r="CL629">
        <f t="shared" si="194"/>
        <v>0</v>
      </c>
      <c r="CM629">
        <f>IF(AND(A629=$AO$5,B629=$AQ$3,H629=1),COUNTIFS($A$200:A629,$AO$5,$B$200:B629,$AQ$3,$H$200:H629,1),0)</f>
        <v>0</v>
      </c>
      <c r="CN629">
        <f>IF(CA629="",430,1001)</f>
        <v>430</v>
      </c>
      <c r="GA629">
        <f t="shared" si="214"/>
        <v>0</v>
      </c>
      <c r="GB629">
        <f t="shared" si="215"/>
        <v>0</v>
      </c>
      <c r="GC629">
        <f>IF(AND(C629="事件记录",H629=1),COUNTIFS($C$200:C629,"事件记录",$H$200:H629,1),0)</f>
        <v>0</v>
      </c>
      <c r="GD629">
        <f t="shared" si="195"/>
        <v>0</v>
      </c>
      <c r="GH629">
        <f>IF(AND(H629=1,A629=$GA$10,B629=$GA$11),COUNTIFS($A$200:A629,$GA$10,$B$200:B629,$GA$11,$H$200:H629,1),0)</f>
        <v>0</v>
      </c>
    </row>
    <row r="630" spans="1:190">
      <c r="A630" t="str">
        <f t="shared" si="186"/>
        <v/>
      </c>
      <c r="B630" t="str">
        <f t="shared" si="187"/>
        <v/>
      </c>
      <c r="C630" t="str">
        <f t="shared" si="188"/>
        <v/>
      </c>
      <c r="D630" t="str">
        <f t="shared" si="189"/>
        <v/>
      </c>
      <c r="E630">
        <f t="shared" si="190"/>
        <v>0</v>
      </c>
      <c r="F630" t="str">
        <f t="shared" si="191"/>
        <v/>
      </c>
      <c r="G630">
        <f t="shared" si="192"/>
        <v>0</v>
      </c>
      <c r="H630">
        <f>IF(AND(G630=1,COUNTIFS($I$200:I630,I630,$G$200:G630,1)=1),1,0)</f>
        <v>0</v>
      </c>
      <c r="I630" t="str">
        <f t="shared" si="193"/>
        <v/>
      </c>
      <c r="BF630">
        <f t="shared" si="196"/>
        <v>0</v>
      </c>
      <c r="BG630">
        <f t="shared" si="197"/>
        <v>0</v>
      </c>
      <c r="BH630">
        <f t="shared" si="198"/>
        <v>0</v>
      </c>
      <c r="BI630">
        <f t="shared" si="199"/>
        <v>0</v>
      </c>
      <c r="BJ630">
        <f t="shared" si="200"/>
        <v>0</v>
      </c>
      <c r="BK630">
        <f t="shared" si="201"/>
        <v>0</v>
      </c>
      <c r="BL630">
        <f t="shared" si="202"/>
        <v>0</v>
      </c>
      <c r="BM630">
        <f t="shared" si="203"/>
        <v>0</v>
      </c>
      <c r="BN630">
        <f t="shared" si="204"/>
        <v>0</v>
      </c>
      <c r="BO630">
        <f t="shared" si="205"/>
        <v>0</v>
      </c>
      <c r="BP630">
        <f t="shared" si="206"/>
        <v>0</v>
      </c>
      <c r="BQ630">
        <f t="shared" si="207"/>
        <v>0</v>
      </c>
      <c r="BR630">
        <f t="shared" si="208"/>
        <v>0</v>
      </c>
      <c r="BS630">
        <f t="shared" si="209"/>
        <v>0</v>
      </c>
      <c r="BT630">
        <f t="shared" si="210"/>
        <v>0</v>
      </c>
      <c r="BU630">
        <f t="shared" si="211"/>
        <v>0</v>
      </c>
      <c r="BV630">
        <f t="shared" si="212"/>
        <v>0</v>
      </c>
      <c r="BW630">
        <f t="shared" si="213"/>
        <v>0</v>
      </c>
      <c r="CA630" t="str">
        <f>IF(431&gt;ROWS(DGArchive[模组]),"",IF(INDEX(DGArchive[模组],431)="","",INDEX(DGArchive[模组],431)))</f>
        <v/>
      </c>
      <c r="CB630" t="str">
        <f>IF(431&gt;ROWS(DGArchive[阶段]),"",IF(INDEX(DGArchive[阶段],431)="","",INDEX(DGArchive[阶段],431)))</f>
        <v/>
      </c>
      <c r="CC630" t="str">
        <f>IF(431&gt;ROWS(DGArchive[游戏内日期]),"",IF(INDEX(DGArchive[游戏内日期],431)="","",INDEX(DGArchive[游戏内日期],431)))</f>
        <v/>
      </c>
      <c r="CD630" t="str">
        <f>IF(431&gt;ROWS(DGArchive[目标]),"",IF(INDEX(DGArchive[目标],431)="","",INDEX(DGArchive[目标],431)))</f>
        <v/>
      </c>
      <c r="CE630" t="str">
        <f>IF(431&gt;ROWS(DGArchive[变更前]),"",IF(INDEX(DGArchive[变更前],431)="","",INDEX(DGArchive[变更前],431)))</f>
        <v/>
      </c>
      <c r="CF630" t="str">
        <f>IF(431&gt;ROWS(DGArchive[增减]),"",IF(INDEX(DGArchive[增减],431)="","",INDEX(DGArchive[增减],431)))</f>
        <v/>
      </c>
      <c r="CG630" t="str">
        <f>IF(431&gt;ROWS(DGArchive[变更后]),"",IF(INDEX(DGArchive[变更后],431)="","",INDEX(DGArchive[变更后],431)))</f>
        <v/>
      </c>
      <c r="CH630" t="str">
        <f>IF(431&gt;ROWS(DGArchive[事件／活动]),"",IF(INDEX(DGArchive[事件／活动],431)="","",INDEX(DGArchive[事件／活动],431)))</f>
        <v/>
      </c>
      <c r="CI630" t="str">
        <f>IF(431&gt;ROWS(DGArchive[记录编号]),"",IF(INDEX(DGArchive[记录编号],431)="","",INDEX(DGArchive[记录编号],431)))</f>
        <v/>
      </c>
      <c r="CL630">
        <f t="shared" si="194"/>
        <v>0</v>
      </c>
      <c r="CM630">
        <f>IF(AND(A630=$AO$5,B630=$AQ$3,H630=1),COUNTIFS($A$200:A630,$AO$5,$B$200:B630,$AQ$3,$H$200:H630,1),0)</f>
        <v>0</v>
      </c>
      <c r="CN630">
        <f>IF(CA630="",431,1001)</f>
        <v>431</v>
      </c>
      <c r="GA630">
        <f t="shared" si="214"/>
        <v>0</v>
      </c>
      <c r="GB630">
        <f t="shared" si="215"/>
        <v>0</v>
      </c>
      <c r="GC630">
        <f>IF(AND(C630="事件记录",H630=1),COUNTIFS($C$200:C630,"事件记录",$H$200:H630,1),0)</f>
        <v>0</v>
      </c>
      <c r="GD630">
        <f t="shared" si="195"/>
        <v>0</v>
      </c>
      <c r="GH630">
        <f>IF(AND(H630=1,A630=$GA$10,B630=$GA$11),COUNTIFS($A$200:A630,$GA$10,$B$200:B630,$GA$11,$H$200:H630,1),0)</f>
        <v>0</v>
      </c>
    </row>
    <row r="631" spans="1:190">
      <c r="A631" t="str">
        <f t="shared" si="186"/>
        <v/>
      </c>
      <c r="B631" t="str">
        <f t="shared" si="187"/>
        <v/>
      </c>
      <c r="C631" t="str">
        <f t="shared" si="188"/>
        <v/>
      </c>
      <c r="D631" t="str">
        <f t="shared" si="189"/>
        <v/>
      </c>
      <c r="E631">
        <f t="shared" si="190"/>
        <v>0</v>
      </c>
      <c r="F631" t="str">
        <f t="shared" si="191"/>
        <v/>
      </c>
      <c r="G631">
        <f t="shared" si="192"/>
        <v>0</v>
      </c>
      <c r="H631">
        <f>IF(AND(G631=1,COUNTIFS($I$200:I631,I631,$G$200:G631,1)=1),1,0)</f>
        <v>0</v>
      </c>
      <c r="I631" t="str">
        <f t="shared" si="193"/>
        <v/>
      </c>
      <c r="BF631">
        <f t="shared" si="196"/>
        <v>0</v>
      </c>
      <c r="BG631">
        <f t="shared" si="197"/>
        <v>0</v>
      </c>
      <c r="BH631">
        <f t="shared" si="198"/>
        <v>0</v>
      </c>
      <c r="BI631">
        <f t="shared" si="199"/>
        <v>0</v>
      </c>
      <c r="BJ631">
        <f t="shared" si="200"/>
        <v>0</v>
      </c>
      <c r="BK631">
        <f t="shared" si="201"/>
        <v>0</v>
      </c>
      <c r="BL631">
        <f t="shared" si="202"/>
        <v>0</v>
      </c>
      <c r="BM631">
        <f t="shared" si="203"/>
        <v>0</v>
      </c>
      <c r="BN631">
        <f t="shared" si="204"/>
        <v>0</v>
      </c>
      <c r="BO631">
        <f t="shared" si="205"/>
        <v>0</v>
      </c>
      <c r="BP631">
        <f t="shared" si="206"/>
        <v>0</v>
      </c>
      <c r="BQ631">
        <f t="shared" si="207"/>
        <v>0</v>
      </c>
      <c r="BR631">
        <f t="shared" si="208"/>
        <v>0</v>
      </c>
      <c r="BS631">
        <f t="shared" si="209"/>
        <v>0</v>
      </c>
      <c r="BT631">
        <f t="shared" si="210"/>
        <v>0</v>
      </c>
      <c r="BU631">
        <f t="shared" si="211"/>
        <v>0</v>
      </c>
      <c r="BV631">
        <f t="shared" si="212"/>
        <v>0</v>
      </c>
      <c r="BW631">
        <f t="shared" si="213"/>
        <v>0</v>
      </c>
      <c r="CA631" t="str">
        <f>IF(432&gt;ROWS(DGArchive[模组]),"",IF(INDEX(DGArchive[模组],432)="","",INDEX(DGArchive[模组],432)))</f>
        <v/>
      </c>
      <c r="CB631" t="str">
        <f>IF(432&gt;ROWS(DGArchive[阶段]),"",IF(INDEX(DGArchive[阶段],432)="","",INDEX(DGArchive[阶段],432)))</f>
        <v/>
      </c>
      <c r="CC631" t="str">
        <f>IF(432&gt;ROWS(DGArchive[游戏内日期]),"",IF(INDEX(DGArchive[游戏内日期],432)="","",INDEX(DGArchive[游戏内日期],432)))</f>
        <v/>
      </c>
      <c r="CD631" t="str">
        <f>IF(432&gt;ROWS(DGArchive[目标]),"",IF(INDEX(DGArchive[目标],432)="","",INDEX(DGArchive[目标],432)))</f>
        <v/>
      </c>
      <c r="CE631" t="str">
        <f>IF(432&gt;ROWS(DGArchive[变更前]),"",IF(INDEX(DGArchive[变更前],432)="","",INDEX(DGArchive[变更前],432)))</f>
        <v/>
      </c>
      <c r="CF631" t="str">
        <f>IF(432&gt;ROWS(DGArchive[增减]),"",IF(INDEX(DGArchive[增减],432)="","",INDEX(DGArchive[增减],432)))</f>
        <v/>
      </c>
      <c r="CG631" t="str">
        <f>IF(432&gt;ROWS(DGArchive[变更后]),"",IF(INDEX(DGArchive[变更后],432)="","",INDEX(DGArchive[变更后],432)))</f>
        <v/>
      </c>
      <c r="CH631" t="str">
        <f>IF(432&gt;ROWS(DGArchive[事件／活动]),"",IF(INDEX(DGArchive[事件／活动],432)="","",INDEX(DGArchive[事件／活动],432)))</f>
        <v/>
      </c>
      <c r="CI631" t="str">
        <f>IF(432&gt;ROWS(DGArchive[记录编号]),"",IF(INDEX(DGArchive[记录编号],432)="","",INDEX(DGArchive[记录编号],432)))</f>
        <v/>
      </c>
      <c r="CL631">
        <f t="shared" si="194"/>
        <v>0</v>
      </c>
      <c r="CM631">
        <f>IF(AND(A631=$AO$5,B631=$AQ$3,H631=1),COUNTIFS($A$200:A631,$AO$5,$B$200:B631,$AQ$3,$H$200:H631,1),0)</f>
        <v>0</v>
      </c>
      <c r="CN631">
        <f>IF(CA631="",432,1001)</f>
        <v>432</v>
      </c>
      <c r="GA631">
        <f t="shared" si="214"/>
        <v>0</v>
      </c>
      <c r="GB631">
        <f t="shared" si="215"/>
        <v>0</v>
      </c>
      <c r="GC631">
        <f>IF(AND(C631="事件记录",H631=1),COUNTIFS($C$200:C631,"事件记录",$H$200:H631,1),0)</f>
        <v>0</v>
      </c>
      <c r="GD631">
        <f t="shared" si="195"/>
        <v>0</v>
      </c>
      <c r="GH631">
        <f>IF(AND(H631=1,A631=$GA$10,B631=$GA$11),COUNTIFS($A$200:A631,$GA$10,$B$200:B631,$GA$11,$H$200:H631,1),0)</f>
        <v>0</v>
      </c>
    </row>
    <row r="632" spans="1:190">
      <c r="A632" t="str">
        <f t="shared" si="186"/>
        <v/>
      </c>
      <c r="B632" t="str">
        <f t="shared" si="187"/>
        <v/>
      </c>
      <c r="C632" t="str">
        <f t="shared" si="188"/>
        <v/>
      </c>
      <c r="D632" t="str">
        <f t="shared" si="189"/>
        <v/>
      </c>
      <c r="E632">
        <f t="shared" si="190"/>
        <v>0</v>
      </c>
      <c r="F632" t="str">
        <f t="shared" si="191"/>
        <v/>
      </c>
      <c r="G632">
        <f t="shared" si="192"/>
        <v>0</v>
      </c>
      <c r="H632">
        <f>IF(AND(G632=1,COUNTIFS($I$200:I632,I632,$G$200:G632,1)=1),1,0)</f>
        <v>0</v>
      </c>
      <c r="I632" t="str">
        <f t="shared" si="193"/>
        <v/>
      </c>
      <c r="BF632">
        <f t="shared" si="196"/>
        <v>0</v>
      </c>
      <c r="BG632">
        <f t="shared" si="197"/>
        <v>0</v>
      </c>
      <c r="BH632">
        <f t="shared" si="198"/>
        <v>0</v>
      </c>
      <c r="BI632">
        <f t="shared" si="199"/>
        <v>0</v>
      </c>
      <c r="BJ632">
        <f t="shared" si="200"/>
        <v>0</v>
      </c>
      <c r="BK632">
        <f t="shared" si="201"/>
        <v>0</v>
      </c>
      <c r="BL632">
        <f t="shared" si="202"/>
        <v>0</v>
      </c>
      <c r="BM632">
        <f t="shared" si="203"/>
        <v>0</v>
      </c>
      <c r="BN632">
        <f t="shared" si="204"/>
        <v>0</v>
      </c>
      <c r="BO632">
        <f t="shared" si="205"/>
        <v>0</v>
      </c>
      <c r="BP632">
        <f t="shared" si="206"/>
        <v>0</v>
      </c>
      <c r="BQ632">
        <f t="shared" si="207"/>
        <v>0</v>
      </c>
      <c r="BR632">
        <f t="shared" si="208"/>
        <v>0</v>
      </c>
      <c r="BS632">
        <f t="shared" si="209"/>
        <v>0</v>
      </c>
      <c r="BT632">
        <f t="shared" si="210"/>
        <v>0</v>
      </c>
      <c r="BU632">
        <f t="shared" si="211"/>
        <v>0</v>
      </c>
      <c r="BV632">
        <f t="shared" si="212"/>
        <v>0</v>
      </c>
      <c r="BW632">
        <f t="shared" si="213"/>
        <v>0</v>
      </c>
      <c r="CA632" t="str">
        <f>IF(433&gt;ROWS(DGArchive[模组]),"",IF(INDEX(DGArchive[模组],433)="","",INDEX(DGArchive[模组],433)))</f>
        <v/>
      </c>
      <c r="CB632" t="str">
        <f>IF(433&gt;ROWS(DGArchive[阶段]),"",IF(INDEX(DGArchive[阶段],433)="","",INDEX(DGArchive[阶段],433)))</f>
        <v/>
      </c>
      <c r="CC632" t="str">
        <f>IF(433&gt;ROWS(DGArchive[游戏内日期]),"",IF(INDEX(DGArchive[游戏内日期],433)="","",INDEX(DGArchive[游戏内日期],433)))</f>
        <v/>
      </c>
      <c r="CD632" t="str">
        <f>IF(433&gt;ROWS(DGArchive[目标]),"",IF(INDEX(DGArchive[目标],433)="","",INDEX(DGArchive[目标],433)))</f>
        <v/>
      </c>
      <c r="CE632" t="str">
        <f>IF(433&gt;ROWS(DGArchive[变更前]),"",IF(INDEX(DGArchive[变更前],433)="","",INDEX(DGArchive[变更前],433)))</f>
        <v/>
      </c>
      <c r="CF632" t="str">
        <f>IF(433&gt;ROWS(DGArchive[增减]),"",IF(INDEX(DGArchive[增减],433)="","",INDEX(DGArchive[增减],433)))</f>
        <v/>
      </c>
      <c r="CG632" t="str">
        <f>IF(433&gt;ROWS(DGArchive[变更后]),"",IF(INDEX(DGArchive[变更后],433)="","",INDEX(DGArchive[变更后],433)))</f>
        <v/>
      </c>
      <c r="CH632" t="str">
        <f>IF(433&gt;ROWS(DGArchive[事件／活动]),"",IF(INDEX(DGArchive[事件／活动],433)="","",INDEX(DGArchive[事件／活动],433)))</f>
        <v/>
      </c>
      <c r="CI632" t="str">
        <f>IF(433&gt;ROWS(DGArchive[记录编号]),"",IF(INDEX(DGArchive[记录编号],433)="","",INDEX(DGArchive[记录编号],433)))</f>
        <v/>
      </c>
      <c r="CL632">
        <f t="shared" si="194"/>
        <v>0</v>
      </c>
      <c r="CM632">
        <f>IF(AND(A632=$AO$5,B632=$AQ$3,H632=1),COUNTIFS($A$200:A632,$AO$5,$B$200:B632,$AQ$3,$H$200:H632,1),0)</f>
        <v>0</v>
      </c>
      <c r="CN632">
        <f>IF(CA632="",433,1001)</f>
        <v>433</v>
      </c>
      <c r="GA632">
        <f t="shared" si="214"/>
        <v>0</v>
      </c>
      <c r="GB632">
        <f t="shared" si="215"/>
        <v>0</v>
      </c>
      <c r="GC632">
        <f>IF(AND(C632="事件记录",H632=1),COUNTIFS($C$200:C632,"事件记录",$H$200:H632,1),0)</f>
        <v>0</v>
      </c>
      <c r="GD632">
        <f t="shared" si="195"/>
        <v>0</v>
      </c>
      <c r="GH632">
        <f>IF(AND(H632=1,A632=$GA$10,B632=$GA$11),COUNTIFS($A$200:A632,$GA$10,$B$200:B632,$GA$11,$H$200:H632,1),0)</f>
        <v>0</v>
      </c>
    </row>
    <row r="633" spans="1:190">
      <c r="A633" t="str">
        <f t="shared" si="186"/>
        <v/>
      </c>
      <c r="B633" t="str">
        <f t="shared" si="187"/>
        <v/>
      </c>
      <c r="C633" t="str">
        <f t="shared" si="188"/>
        <v/>
      </c>
      <c r="D633" t="str">
        <f t="shared" si="189"/>
        <v/>
      </c>
      <c r="E633">
        <f t="shared" si="190"/>
        <v>0</v>
      </c>
      <c r="F633" t="str">
        <f t="shared" si="191"/>
        <v/>
      </c>
      <c r="G633">
        <f t="shared" si="192"/>
        <v>0</v>
      </c>
      <c r="H633">
        <f>IF(AND(G633=1,COUNTIFS($I$200:I633,I633,$G$200:G633,1)=1),1,0)</f>
        <v>0</v>
      </c>
      <c r="I633" t="str">
        <f t="shared" si="193"/>
        <v/>
      </c>
      <c r="BF633">
        <f t="shared" si="196"/>
        <v>0</v>
      </c>
      <c r="BG633">
        <f t="shared" si="197"/>
        <v>0</v>
      </c>
      <c r="BH633">
        <f t="shared" si="198"/>
        <v>0</v>
      </c>
      <c r="BI633">
        <f t="shared" si="199"/>
        <v>0</v>
      </c>
      <c r="BJ633">
        <f t="shared" si="200"/>
        <v>0</v>
      </c>
      <c r="BK633">
        <f t="shared" si="201"/>
        <v>0</v>
      </c>
      <c r="BL633">
        <f t="shared" si="202"/>
        <v>0</v>
      </c>
      <c r="BM633">
        <f t="shared" si="203"/>
        <v>0</v>
      </c>
      <c r="BN633">
        <f t="shared" si="204"/>
        <v>0</v>
      </c>
      <c r="BO633">
        <f t="shared" si="205"/>
        <v>0</v>
      </c>
      <c r="BP633">
        <f t="shared" si="206"/>
        <v>0</v>
      </c>
      <c r="BQ633">
        <f t="shared" si="207"/>
        <v>0</v>
      </c>
      <c r="BR633">
        <f t="shared" si="208"/>
        <v>0</v>
      </c>
      <c r="BS633">
        <f t="shared" si="209"/>
        <v>0</v>
      </c>
      <c r="BT633">
        <f t="shared" si="210"/>
        <v>0</v>
      </c>
      <c r="BU633">
        <f t="shared" si="211"/>
        <v>0</v>
      </c>
      <c r="BV633">
        <f t="shared" si="212"/>
        <v>0</v>
      </c>
      <c r="BW633">
        <f t="shared" si="213"/>
        <v>0</v>
      </c>
      <c r="CA633" t="str">
        <f>IF(434&gt;ROWS(DGArchive[模组]),"",IF(INDEX(DGArchive[模组],434)="","",INDEX(DGArchive[模组],434)))</f>
        <v/>
      </c>
      <c r="CB633" t="str">
        <f>IF(434&gt;ROWS(DGArchive[阶段]),"",IF(INDEX(DGArchive[阶段],434)="","",INDEX(DGArchive[阶段],434)))</f>
        <v/>
      </c>
      <c r="CC633" t="str">
        <f>IF(434&gt;ROWS(DGArchive[游戏内日期]),"",IF(INDEX(DGArchive[游戏内日期],434)="","",INDEX(DGArchive[游戏内日期],434)))</f>
        <v/>
      </c>
      <c r="CD633" t="str">
        <f>IF(434&gt;ROWS(DGArchive[目标]),"",IF(INDEX(DGArchive[目标],434)="","",INDEX(DGArchive[目标],434)))</f>
        <v/>
      </c>
      <c r="CE633" t="str">
        <f>IF(434&gt;ROWS(DGArchive[变更前]),"",IF(INDEX(DGArchive[变更前],434)="","",INDEX(DGArchive[变更前],434)))</f>
        <v/>
      </c>
      <c r="CF633" t="str">
        <f>IF(434&gt;ROWS(DGArchive[增减]),"",IF(INDEX(DGArchive[增减],434)="","",INDEX(DGArchive[增减],434)))</f>
        <v/>
      </c>
      <c r="CG633" t="str">
        <f>IF(434&gt;ROWS(DGArchive[变更后]),"",IF(INDEX(DGArchive[变更后],434)="","",INDEX(DGArchive[变更后],434)))</f>
        <v/>
      </c>
      <c r="CH633" t="str">
        <f>IF(434&gt;ROWS(DGArchive[事件／活动]),"",IF(INDEX(DGArchive[事件／活动],434)="","",INDEX(DGArchive[事件／活动],434)))</f>
        <v/>
      </c>
      <c r="CI633" t="str">
        <f>IF(434&gt;ROWS(DGArchive[记录编号]),"",IF(INDEX(DGArchive[记录编号],434)="","",INDEX(DGArchive[记录编号],434)))</f>
        <v/>
      </c>
      <c r="CL633">
        <f t="shared" si="194"/>
        <v>0</v>
      </c>
      <c r="CM633">
        <f>IF(AND(A633=$AO$5,B633=$AQ$3,H633=1),COUNTIFS($A$200:A633,$AO$5,$B$200:B633,$AQ$3,$H$200:H633,1),0)</f>
        <v>0</v>
      </c>
      <c r="CN633">
        <f>IF(CA633="",434,1001)</f>
        <v>434</v>
      </c>
      <c r="GA633">
        <f t="shared" si="214"/>
        <v>0</v>
      </c>
      <c r="GB633">
        <f t="shared" si="215"/>
        <v>0</v>
      </c>
      <c r="GC633">
        <f>IF(AND(C633="事件记录",H633=1),COUNTIFS($C$200:C633,"事件记录",$H$200:H633,1),0)</f>
        <v>0</v>
      </c>
      <c r="GD633">
        <f t="shared" si="195"/>
        <v>0</v>
      </c>
      <c r="GH633">
        <f>IF(AND(H633=1,A633=$GA$10,B633=$GA$11),COUNTIFS($A$200:A633,$GA$10,$B$200:B633,$GA$11,$H$200:H633,1),0)</f>
        <v>0</v>
      </c>
    </row>
    <row r="634" spans="1:190">
      <c r="A634" t="str">
        <f t="shared" si="186"/>
        <v/>
      </c>
      <c r="B634" t="str">
        <f t="shared" si="187"/>
        <v/>
      </c>
      <c r="C634" t="str">
        <f t="shared" si="188"/>
        <v/>
      </c>
      <c r="D634" t="str">
        <f t="shared" si="189"/>
        <v/>
      </c>
      <c r="E634">
        <f t="shared" si="190"/>
        <v>0</v>
      </c>
      <c r="F634" t="str">
        <f t="shared" si="191"/>
        <v/>
      </c>
      <c r="G634">
        <f t="shared" si="192"/>
        <v>0</v>
      </c>
      <c r="H634">
        <f>IF(AND(G634=1,COUNTIFS($I$200:I634,I634,$G$200:G634,1)=1),1,0)</f>
        <v>0</v>
      </c>
      <c r="I634" t="str">
        <f t="shared" si="193"/>
        <v/>
      </c>
      <c r="BF634">
        <f t="shared" si="196"/>
        <v>0</v>
      </c>
      <c r="BG634">
        <f t="shared" si="197"/>
        <v>0</v>
      </c>
      <c r="BH634">
        <f t="shared" si="198"/>
        <v>0</v>
      </c>
      <c r="BI634">
        <f t="shared" si="199"/>
        <v>0</v>
      </c>
      <c r="BJ634">
        <f t="shared" si="200"/>
        <v>0</v>
      </c>
      <c r="BK634">
        <f t="shared" si="201"/>
        <v>0</v>
      </c>
      <c r="BL634">
        <f t="shared" si="202"/>
        <v>0</v>
      </c>
      <c r="BM634">
        <f t="shared" si="203"/>
        <v>0</v>
      </c>
      <c r="BN634">
        <f t="shared" si="204"/>
        <v>0</v>
      </c>
      <c r="BO634">
        <f t="shared" si="205"/>
        <v>0</v>
      </c>
      <c r="BP634">
        <f t="shared" si="206"/>
        <v>0</v>
      </c>
      <c r="BQ634">
        <f t="shared" si="207"/>
        <v>0</v>
      </c>
      <c r="BR634">
        <f t="shared" si="208"/>
        <v>0</v>
      </c>
      <c r="BS634">
        <f t="shared" si="209"/>
        <v>0</v>
      </c>
      <c r="BT634">
        <f t="shared" si="210"/>
        <v>0</v>
      </c>
      <c r="BU634">
        <f t="shared" si="211"/>
        <v>0</v>
      </c>
      <c r="BV634">
        <f t="shared" si="212"/>
        <v>0</v>
      </c>
      <c r="BW634">
        <f t="shared" si="213"/>
        <v>0</v>
      </c>
      <c r="CA634" t="str">
        <f>IF(435&gt;ROWS(DGArchive[模组]),"",IF(INDEX(DGArchive[模组],435)="","",INDEX(DGArchive[模组],435)))</f>
        <v/>
      </c>
      <c r="CB634" t="str">
        <f>IF(435&gt;ROWS(DGArchive[阶段]),"",IF(INDEX(DGArchive[阶段],435)="","",INDEX(DGArchive[阶段],435)))</f>
        <v/>
      </c>
      <c r="CC634" t="str">
        <f>IF(435&gt;ROWS(DGArchive[游戏内日期]),"",IF(INDEX(DGArchive[游戏内日期],435)="","",INDEX(DGArchive[游戏内日期],435)))</f>
        <v/>
      </c>
      <c r="CD634" t="str">
        <f>IF(435&gt;ROWS(DGArchive[目标]),"",IF(INDEX(DGArchive[目标],435)="","",INDEX(DGArchive[目标],435)))</f>
        <v/>
      </c>
      <c r="CE634" t="str">
        <f>IF(435&gt;ROWS(DGArchive[变更前]),"",IF(INDEX(DGArchive[变更前],435)="","",INDEX(DGArchive[变更前],435)))</f>
        <v/>
      </c>
      <c r="CF634" t="str">
        <f>IF(435&gt;ROWS(DGArchive[增减]),"",IF(INDEX(DGArchive[增减],435)="","",INDEX(DGArchive[增减],435)))</f>
        <v/>
      </c>
      <c r="CG634" t="str">
        <f>IF(435&gt;ROWS(DGArchive[变更后]),"",IF(INDEX(DGArchive[变更后],435)="","",INDEX(DGArchive[变更后],435)))</f>
        <v/>
      </c>
      <c r="CH634" t="str">
        <f>IF(435&gt;ROWS(DGArchive[事件／活动]),"",IF(INDEX(DGArchive[事件／活动],435)="","",INDEX(DGArchive[事件／活动],435)))</f>
        <v/>
      </c>
      <c r="CI634" t="str">
        <f>IF(435&gt;ROWS(DGArchive[记录编号]),"",IF(INDEX(DGArchive[记录编号],435)="","",INDEX(DGArchive[记录编号],435)))</f>
        <v/>
      </c>
      <c r="CL634">
        <f t="shared" si="194"/>
        <v>0</v>
      </c>
      <c r="CM634">
        <f>IF(AND(A634=$AO$5,B634=$AQ$3,H634=1),COUNTIFS($A$200:A634,$AO$5,$B$200:B634,$AQ$3,$H$200:H634,1),0)</f>
        <v>0</v>
      </c>
      <c r="CN634">
        <f>IF(CA634="",435,1001)</f>
        <v>435</v>
      </c>
      <c r="GA634">
        <f t="shared" si="214"/>
        <v>0</v>
      </c>
      <c r="GB634">
        <f t="shared" si="215"/>
        <v>0</v>
      </c>
      <c r="GC634">
        <f>IF(AND(C634="事件记录",H634=1),COUNTIFS($C$200:C634,"事件记录",$H$200:H634,1),0)</f>
        <v>0</v>
      </c>
      <c r="GD634">
        <f t="shared" si="195"/>
        <v>0</v>
      </c>
      <c r="GH634">
        <f>IF(AND(H634=1,A634=$GA$10,B634=$GA$11),COUNTIFS($A$200:A634,$GA$10,$B$200:B634,$GA$11,$H$200:H634,1),0)</f>
        <v>0</v>
      </c>
    </row>
    <row r="635" spans="1:190">
      <c r="A635" t="str">
        <f t="shared" si="186"/>
        <v/>
      </c>
      <c r="B635" t="str">
        <f t="shared" si="187"/>
        <v/>
      </c>
      <c r="C635" t="str">
        <f t="shared" si="188"/>
        <v/>
      </c>
      <c r="D635" t="str">
        <f t="shared" si="189"/>
        <v/>
      </c>
      <c r="E635">
        <f t="shared" si="190"/>
        <v>0</v>
      </c>
      <c r="F635" t="str">
        <f t="shared" si="191"/>
        <v/>
      </c>
      <c r="G635">
        <f t="shared" si="192"/>
        <v>0</v>
      </c>
      <c r="H635">
        <f>IF(AND(G635=1,COUNTIFS($I$200:I635,I635,$G$200:G635,1)=1),1,0)</f>
        <v>0</v>
      </c>
      <c r="I635" t="str">
        <f t="shared" si="193"/>
        <v/>
      </c>
      <c r="BF635">
        <f t="shared" si="196"/>
        <v>0</v>
      </c>
      <c r="BG635">
        <f t="shared" si="197"/>
        <v>0</v>
      </c>
      <c r="BH635">
        <f t="shared" si="198"/>
        <v>0</v>
      </c>
      <c r="BI635">
        <f t="shared" si="199"/>
        <v>0</v>
      </c>
      <c r="BJ635">
        <f t="shared" si="200"/>
        <v>0</v>
      </c>
      <c r="BK635">
        <f t="shared" si="201"/>
        <v>0</v>
      </c>
      <c r="BL635">
        <f t="shared" si="202"/>
        <v>0</v>
      </c>
      <c r="BM635">
        <f t="shared" si="203"/>
        <v>0</v>
      </c>
      <c r="BN635">
        <f t="shared" si="204"/>
        <v>0</v>
      </c>
      <c r="BO635">
        <f t="shared" si="205"/>
        <v>0</v>
      </c>
      <c r="BP635">
        <f t="shared" si="206"/>
        <v>0</v>
      </c>
      <c r="BQ635">
        <f t="shared" si="207"/>
        <v>0</v>
      </c>
      <c r="BR635">
        <f t="shared" si="208"/>
        <v>0</v>
      </c>
      <c r="BS635">
        <f t="shared" si="209"/>
        <v>0</v>
      </c>
      <c r="BT635">
        <f t="shared" si="210"/>
        <v>0</v>
      </c>
      <c r="BU635">
        <f t="shared" si="211"/>
        <v>0</v>
      </c>
      <c r="BV635">
        <f t="shared" si="212"/>
        <v>0</v>
      </c>
      <c r="BW635">
        <f t="shared" si="213"/>
        <v>0</v>
      </c>
      <c r="CA635" t="str">
        <f>IF(436&gt;ROWS(DGArchive[模组]),"",IF(INDEX(DGArchive[模组],436)="","",INDEX(DGArchive[模组],436)))</f>
        <v/>
      </c>
      <c r="CB635" t="str">
        <f>IF(436&gt;ROWS(DGArchive[阶段]),"",IF(INDEX(DGArchive[阶段],436)="","",INDEX(DGArchive[阶段],436)))</f>
        <v/>
      </c>
      <c r="CC635" t="str">
        <f>IF(436&gt;ROWS(DGArchive[游戏内日期]),"",IF(INDEX(DGArchive[游戏内日期],436)="","",INDEX(DGArchive[游戏内日期],436)))</f>
        <v/>
      </c>
      <c r="CD635" t="str">
        <f>IF(436&gt;ROWS(DGArchive[目标]),"",IF(INDEX(DGArchive[目标],436)="","",INDEX(DGArchive[目标],436)))</f>
        <v/>
      </c>
      <c r="CE635" t="str">
        <f>IF(436&gt;ROWS(DGArchive[变更前]),"",IF(INDEX(DGArchive[变更前],436)="","",INDEX(DGArchive[变更前],436)))</f>
        <v/>
      </c>
      <c r="CF635" t="str">
        <f>IF(436&gt;ROWS(DGArchive[增减]),"",IF(INDEX(DGArchive[增减],436)="","",INDEX(DGArchive[增减],436)))</f>
        <v/>
      </c>
      <c r="CG635" t="str">
        <f>IF(436&gt;ROWS(DGArchive[变更后]),"",IF(INDEX(DGArchive[变更后],436)="","",INDEX(DGArchive[变更后],436)))</f>
        <v/>
      </c>
      <c r="CH635" t="str">
        <f>IF(436&gt;ROWS(DGArchive[事件／活动]),"",IF(INDEX(DGArchive[事件／活动],436)="","",INDEX(DGArchive[事件／活动],436)))</f>
        <v/>
      </c>
      <c r="CI635" t="str">
        <f>IF(436&gt;ROWS(DGArchive[记录编号]),"",IF(INDEX(DGArchive[记录编号],436)="","",INDEX(DGArchive[记录编号],436)))</f>
        <v/>
      </c>
      <c r="CL635">
        <f t="shared" si="194"/>
        <v>0</v>
      </c>
      <c r="CM635">
        <f>IF(AND(A635=$AO$5,B635=$AQ$3,H635=1),COUNTIFS($A$200:A635,$AO$5,$B$200:B635,$AQ$3,$H$200:H635,1),0)</f>
        <v>0</v>
      </c>
      <c r="CN635">
        <f>IF(CA635="",436,1001)</f>
        <v>436</v>
      </c>
      <c r="GA635">
        <f t="shared" si="214"/>
        <v>0</v>
      </c>
      <c r="GB635">
        <f t="shared" si="215"/>
        <v>0</v>
      </c>
      <c r="GC635">
        <f>IF(AND(C635="事件记录",H635=1),COUNTIFS($C$200:C635,"事件记录",$H$200:H635,1),0)</f>
        <v>0</v>
      </c>
      <c r="GD635">
        <f t="shared" si="195"/>
        <v>0</v>
      </c>
      <c r="GH635">
        <f>IF(AND(H635=1,A635=$GA$10,B635=$GA$11),COUNTIFS($A$200:A635,$GA$10,$B$200:B635,$GA$11,$H$200:H635,1),0)</f>
        <v>0</v>
      </c>
    </row>
    <row r="636" spans="1:190">
      <c r="A636" t="str">
        <f t="shared" si="186"/>
        <v/>
      </c>
      <c r="B636" t="str">
        <f t="shared" si="187"/>
        <v/>
      </c>
      <c r="C636" t="str">
        <f t="shared" si="188"/>
        <v/>
      </c>
      <c r="D636" t="str">
        <f t="shared" si="189"/>
        <v/>
      </c>
      <c r="E636">
        <f t="shared" si="190"/>
        <v>0</v>
      </c>
      <c r="F636" t="str">
        <f t="shared" si="191"/>
        <v/>
      </c>
      <c r="G636">
        <f t="shared" si="192"/>
        <v>0</v>
      </c>
      <c r="H636">
        <f>IF(AND(G636=1,COUNTIFS($I$200:I636,I636,$G$200:G636,1)=1),1,0)</f>
        <v>0</v>
      </c>
      <c r="I636" t="str">
        <f t="shared" si="193"/>
        <v/>
      </c>
      <c r="BF636">
        <f t="shared" si="196"/>
        <v>0</v>
      </c>
      <c r="BG636">
        <f t="shared" si="197"/>
        <v>0</v>
      </c>
      <c r="BH636">
        <f t="shared" si="198"/>
        <v>0</v>
      </c>
      <c r="BI636">
        <f t="shared" si="199"/>
        <v>0</v>
      </c>
      <c r="BJ636">
        <f t="shared" si="200"/>
        <v>0</v>
      </c>
      <c r="BK636">
        <f t="shared" si="201"/>
        <v>0</v>
      </c>
      <c r="BL636">
        <f t="shared" si="202"/>
        <v>0</v>
      </c>
      <c r="BM636">
        <f t="shared" si="203"/>
        <v>0</v>
      </c>
      <c r="BN636">
        <f t="shared" si="204"/>
        <v>0</v>
      </c>
      <c r="BO636">
        <f t="shared" si="205"/>
        <v>0</v>
      </c>
      <c r="BP636">
        <f t="shared" si="206"/>
        <v>0</v>
      </c>
      <c r="BQ636">
        <f t="shared" si="207"/>
        <v>0</v>
      </c>
      <c r="BR636">
        <f t="shared" si="208"/>
        <v>0</v>
      </c>
      <c r="BS636">
        <f t="shared" si="209"/>
        <v>0</v>
      </c>
      <c r="BT636">
        <f t="shared" si="210"/>
        <v>0</v>
      </c>
      <c r="BU636">
        <f t="shared" si="211"/>
        <v>0</v>
      </c>
      <c r="BV636">
        <f t="shared" si="212"/>
        <v>0</v>
      </c>
      <c r="BW636">
        <f t="shared" si="213"/>
        <v>0</v>
      </c>
      <c r="CA636" t="str">
        <f>IF(437&gt;ROWS(DGArchive[模组]),"",IF(INDEX(DGArchive[模组],437)="","",INDEX(DGArchive[模组],437)))</f>
        <v/>
      </c>
      <c r="CB636" t="str">
        <f>IF(437&gt;ROWS(DGArchive[阶段]),"",IF(INDEX(DGArchive[阶段],437)="","",INDEX(DGArchive[阶段],437)))</f>
        <v/>
      </c>
      <c r="CC636" t="str">
        <f>IF(437&gt;ROWS(DGArchive[游戏内日期]),"",IF(INDEX(DGArchive[游戏内日期],437)="","",INDEX(DGArchive[游戏内日期],437)))</f>
        <v/>
      </c>
      <c r="CD636" t="str">
        <f>IF(437&gt;ROWS(DGArchive[目标]),"",IF(INDEX(DGArchive[目标],437)="","",INDEX(DGArchive[目标],437)))</f>
        <v/>
      </c>
      <c r="CE636" t="str">
        <f>IF(437&gt;ROWS(DGArchive[变更前]),"",IF(INDEX(DGArchive[变更前],437)="","",INDEX(DGArchive[变更前],437)))</f>
        <v/>
      </c>
      <c r="CF636" t="str">
        <f>IF(437&gt;ROWS(DGArchive[增减]),"",IF(INDEX(DGArchive[增减],437)="","",INDEX(DGArchive[增减],437)))</f>
        <v/>
      </c>
      <c r="CG636" t="str">
        <f>IF(437&gt;ROWS(DGArchive[变更后]),"",IF(INDEX(DGArchive[变更后],437)="","",INDEX(DGArchive[变更后],437)))</f>
        <v/>
      </c>
      <c r="CH636" t="str">
        <f>IF(437&gt;ROWS(DGArchive[事件／活动]),"",IF(INDEX(DGArchive[事件／活动],437)="","",INDEX(DGArchive[事件／活动],437)))</f>
        <v/>
      </c>
      <c r="CI636" t="str">
        <f>IF(437&gt;ROWS(DGArchive[记录编号]),"",IF(INDEX(DGArchive[记录编号],437)="","",INDEX(DGArchive[记录编号],437)))</f>
        <v/>
      </c>
      <c r="CL636">
        <f t="shared" si="194"/>
        <v>0</v>
      </c>
      <c r="CM636">
        <f>IF(AND(A636=$AO$5,B636=$AQ$3,H636=1),COUNTIFS($A$200:A636,$AO$5,$B$200:B636,$AQ$3,$H$200:H636,1),0)</f>
        <v>0</v>
      </c>
      <c r="CN636">
        <f>IF(CA636="",437,1001)</f>
        <v>437</v>
      </c>
      <c r="GA636">
        <f t="shared" si="214"/>
        <v>0</v>
      </c>
      <c r="GB636">
        <f t="shared" si="215"/>
        <v>0</v>
      </c>
      <c r="GC636">
        <f>IF(AND(C636="事件记录",H636=1),COUNTIFS($C$200:C636,"事件记录",$H$200:H636,1),0)</f>
        <v>0</v>
      </c>
      <c r="GD636">
        <f t="shared" si="195"/>
        <v>0</v>
      </c>
      <c r="GH636">
        <f>IF(AND(H636=1,A636=$GA$10,B636=$GA$11),COUNTIFS($A$200:A636,$GA$10,$B$200:B636,$GA$11,$H$200:H636,1),0)</f>
        <v>0</v>
      </c>
    </row>
    <row r="637" spans="1:190">
      <c r="A637" t="str">
        <f t="shared" si="186"/>
        <v/>
      </c>
      <c r="B637" t="str">
        <f t="shared" si="187"/>
        <v/>
      </c>
      <c r="C637" t="str">
        <f t="shared" si="188"/>
        <v/>
      </c>
      <c r="D637" t="str">
        <f t="shared" si="189"/>
        <v/>
      </c>
      <c r="E637">
        <f t="shared" si="190"/>
        <v>0</v>
      </c>
      <c r="F637" t="str">
        <f t="shared" si="191"/>
        <v/>
      </c>
      <c r="G637">
        <f t="shared" si="192"/>
        <v>0</v>
      </c>
      <c r="H637">
        <f>IF(AND(G637=1,COUNTIFS($I$200:I637,I637,$G$200:G637,1)=1),1,0)</f>
        <v>0</v>
      </c>
      <c r="I637" t="str">
        <f t="shared" si="193"/>
        <v/>
      </c>
      <c r="BF637">
        <f t="shared" si="196"/>
        <v>0</v>
      </c>
      <c r="BG637">
        <f t="shared" si="197"/>
        <v>0</v>
      </c>
      <c r="BH637">
        <f t="shared" si="198"/>
        <v>0</v>
      </c>
      <c r="BI637">
        <f t="shared" si="199"/>
        <v>0</v>
      </c>
      <c r="BJ637">
        <f t="shared" si="200"/>
        <v>0</v>
      </c>
      <c r="BK637">
        <f t="shared" si="201"/>
        <v>0</v>
      </c>
      <c r="BL637">
        <f t="shared" si="202"/>
        <v>0</v>
      </c>
      <c r="BM637">
        <f t="shared" si="203"/>
        <v>0</v>
      </c>
      <c r="BN637">
        <f t="shared" si="204"/>
        <v>0</v>
      </c>
      <c r="BO637">
        <f t="shared" si="205"/>
        <v>0</v>
      </c>
      <c r="BP637">
        <f t="shared" si="206"/>
        <v>0</v>
      </c>
      <c r="BQ637">
        <f t="shared" si="207"/>
        <v>0</v>
      </c>
      <c r="BR637">
        <f t="shared" si="208"/>
        <v>0</v>
      </c>
      <c r="BS637">
        <f t="shared" si="209"/>
        <v>0</v>
      </c>
      <c r="BT637">
        <f t="shared" si="210"/>
        <v>0</v>
      </c>
      <c r="BU637">
        <f t="shared" si="211"/>
        <v>0</v>
      </c>
      <c r="BV637">
        <f t="shared" si="212"/>
        <v>0</v>
      </c>
      <c r="BW637">
        <f t="shared" si="213"/>
        <v>0</v>
      </c>
      <c r="CA637" t="str">
        <f>IF(438&gt;ROWS(DGArchive[模组]),"",IF(INDEX(DGArchive[模组],438)="","",INDEX(DGArchive[模组],438)))</f>
        <v/>
      </c>
      <c r="CB637" t="str">
        <f>IF(438&gt;ROWS(DGArchive[阶段]),"",IF(INDEX(DGArchive[阶段],438)="","",INDEX(DGArchive[阶段],438)))</f>
        <v/>
      </c>
      <c r="CC637" t="str">
        <f>IF(438&gt;ROWS(DGArchive[游戏内日期]),"",IF(INDEX(DGArchive[游戏内日期],438)="","",INDEX(DGArchive[游戏内日期],438)))</f>
        <v/>
      </c>
      <c r="CD637" t="str">
        <f>IF(438&gt;ROWS(DGArchive[目标]),"",IF(INDEX(DGArchive[目标],438)="","",INDEX(DGArchive[目标],438)))</f>
        <v/>
      </c>
      <c r="CE637" t="str">
        <f>IF(438&gt;ROWS(DGArchive[变更前]),"",IF(INDEX(DGArchive[变更前],438)="","",INDEX(DGArchive[变更前],438)))</f>
        <v/>
      </c>
      <c r="CF637" t="str">
        <f>IF(438&gt;ROWS(DGArchive[增减]),"",IF(INDEX(DGArchive[增减],438)="","",INDEX(DGArchive[增减],438)))</f>
        <v/>
      </c>
      <c r="CG637" t="str">
        <f>IF(438&gt;ROWS(DGArchive[变更后]),"",IF(INDEX(DGArchive[变更后],438)="","",INDEX(DGArchive[变更后],438)))</f>
        <v/>
      </c>
      <c r="CH637" t="str">
        <f>IF(438&gt;ROWS(DGArchive[事件／活动]),"",IF(INDEX(DGArchive[事件／活动],438)="","",INDEX(DGArchive[事件／活动],438)))</f>
        <v/>
      </c>
      <c r="CI637" t="str">
        <f>IF(438&gt;ROWS(DGArchive[记录编号]),"",IF(INDEX(DGArchive[记录编号],438)="","",INDEX(DGArchive[记录编号],438)))</f>
        <v/>
      </c>
      <c r="CL637">
        <f t="shared" si="194"/>
        <v>0</v>
      </c>
      <c r="CM637">
        <f>IF(AND(A637=$AO$5,B637=$AQ$3,H637=1),COUNTIFS($A$200:A637,$AO$5,$B$200:B637,$AQ$3,$H$200:H637,1),0)</f>
        <v>0</v>
      </c>
      <c r="CN637">
        <f>IF(CA637="",438,1001)</f>
        <v>438</v>
      </c>
      <c r="GA637">
        <f t="shared" si="214"/>
        <v>0</v>
      </c>
      <c r="GB637">
        <f t="shared" si="215"/>
        <v>0</v>
      </c>
      <c r="GC637">
        <f>IF(AND(C637="事件记录",H637=1),COUNTIFS($C$200:C637,"事件记录",$H$200:H637,1),0)</f>
        <v>0</v>
      </c>
      <c r="GD637">
        <f t="shared" si="195"/>
        <v>0</v>
      </c>
      <c r="GH637">
        <f>IF(AND(H637=1,A637=$GA$10,B637=$GA$11),COUNTIFS($A$200:A637,$GA$10,$B$200:B637,$GA$11,$H$200:H637,1),0)</f>
        <v>0</v>
      </c>
    </row>
    <row r="638" spans="1:190">
      <c r="A638" t="str">
        <f t="shared" si="186"/>
        <v/>
      </c>
      <c r="B638" t="str">
        <f t="shared" si="187"/>
        <v/>
      </c>
      <c r="C638" t="str">
        <f t="shared" si="188"/>
        <v/>
      </c>
      <c r="D638" t="str">
        <f t="shared" si="189"/>
        <v/>
      </c>
      <c r="E638">
        <f t="shared" si="190"/>
        <v>0</v>
      </c>
      <c r="F638" t="str">
        <f t="shared" si="191"/>
        <v/>
      </c>
      <c r="G638">
        <f t="shared" si="192"/>
        <v>0</v>
      </c>
      <c r="H638">
        <f>IF(AND(G638=1,COUNTIFS($I$200:I638,I638,$G$200:G638,1)=1),1,0)</f>
        <v>0</v>
      </c>
      <c r="I638" t="str">
        <f t="shared" si="193"/>
        <v/>
      </c>
      <c r="BF638">
        <f t="shared" si="196"/>
        <v>0</v>
      </c>
      <c r="BG638">
        <f t="shared" si="197"/>
        <v>0</v>
      </c>
      <c r="BH638">
        <f t="shared" si="198"/>
        <v>0</v>
      </c>
      <c r="BI638">
        <f t="shared" si="199"/>
        <v>0</v>
      </c>
      <c r="BJ638">
        <f t="shared" si="200"/>
        <v>0</v>
      </c>
      <c r="BK638">
        <f t="shared" si="201"/>
        <v>0</v>
      </c>
      <c r="BL638">
        <f t="shared" si="202"/>
        <v>0</v>
      </c>
      <c r="BM638">
        <f t="shared" si="203"/>
        <v>0</v>
      </c>
      <c r="BN638">
        <f t="shared" si="204"/>
        <v>0</v>
      </c>
      <c r="BO638">
        <f t="shared" si="205"/>
        <v>0</v>
      </c>
      <c r="BP638">
        <f t="shared" si="206"/>
        <v>0</v>
      </c>
      <c r="BQ638">
        <f t="shared" si="207"/>
        <v>0</v>
      </c>
      <c r="BR638">
        <f t="shared" si="208"/>
        <v>0</v>
      </c>
      <c r="BS638">
        <f t="shared" si="209"/>
        <v>0</v>
      </c>
      <c r="BT638">
        <f t="shared" si="210"/>
        <v>0</v>
      </c>
      <c r="BU638">
        <f t="shared" si="211"/>
        <v>0</v>
      </c>
      <c r="BV638">
        <f t="shared" si="212"/>
        <v>0</v>
      </c>
      <c r="BW638">
        <f t="shared" si="213"/>
        <v>0</v>
      </c>
      <c r="CA638" t="str">
        <f>IF(439&gt;ROWS(DGArchive[模组]),"",IF(INDEX(DGArchive[模组],439)="","",INDEX(DGArchive[模组],439)))</f>
        <v/>
      </c>
      <c r="CB638" t="str">
        <f>IF(439&gt;ROWS(DGArchive[阶段]),"",IF(INDEX(DGArchive[阶段],439)="","",INDEX(DGArchive[阶段],439)))</f>
        <v/>
      </c>
      <c r="CC638" t="str">
        <f>IF(439&gt;ROWS(DGArchive[游戏内日期]),"",IF(INDEX(DGArchive[游戏内日期],439)="","",INDEX(DGArchive[游戏内日期],439)))</f>
        <v/>
      </c>
      <c r="CD638" t="str">
        <f>IF(439&gt;ROWS(DGArchive[目标]),"",IF(INDEX(DGArchive[目标],439)="","",INDEX(DGArchive[目标],439)))</f>
        <v/>
      </c>
      <c r="CE638" t="str">
        <f>IF(439&gt;ROWS(DGArchive[变更前]),"",IF(INDEX(DGArchive[变更前],439)="","",INDEX(DGArchive[变更前],439)))</f>
        <v/>
      </c>
      <c r="CF638" t="str">
        <f>IF(439&gt;ROWS(DGArchive[增减]),"",IF(INDEX(DGArchive[增减],439)="","",INDEX(DGArchive[增减],439)))</f>
        <v/>
      </c>
      <c r="CG638" t="str">
        <f>IF(439&gt;ROWS(DGArchive[变更后]),"",IF(INDEX(DGArchive[变更后],439)="","",INDEX(DGArchive[变更后],439)))</f>
        <v/>
      </c>
      <c r="CH638" t="str">
        <f>IF(439&gt;ROWS(DGArchive[事件／活动]),"",IF(INDEX(DGArchive[事件／活动],439)="","",INDEX(DGArchive[事件／活动],439)))</f>
        <v/>
      </c>
      <c r="CI638" t="str">
        <f>IF(439&gt;ROWS(DGArchive[记录编号]),"",IF(INDEX(DGArchive[记录编号],439)="","",INDEX(DGArchive[记录编号],439)))</f>
        <v/>
      </c>
      <c r="CL638">
        <f t="shared" si="194"/>
        <v>0</v>
      </c>
      <c r="CM638">
        <f>IF(AND(A638=$AO$5,B638=$AQ$3,H638=1),COUNTIFS($A$200:A638,$AO$5,$B$200:B638,$AQ$3,$H$200:H638,1),0)</f>
        <v>0</v>
      </c>
      <c r="CN638">
        <f>IF(CA638="",439,1001)</f>
        <v>439</v>
      </c>
      <c r="GA638">
        <f t="shared" si="214"/>
        <v>0</v>
      </c>
      <c r="GB638">
        <f t="shared" si="215"/>
        <v>0</v>
      </c>
      <c r="GC638">
        <f>IF(AND(C638="事件记录",H638=1),COUNTIFS($C$200:C638,"事件记录",$H$200:H638,1),0)</f>
        <v>0</v>
      </c>
      <c r="GD638">
        <f t="shared" si="195"/>
        <v>0</v>
      </c>
      <c r="GH638">
        <f>IF(AND(H638=1,A638=$GA$10,B638=$GA$11),COUNTIFS($A$200:A638,$GA$10,$B$200:B638,$GA$11,$H$200:H638,1),0)</f>
        <v>0</v>
      </c>
    </row>
    <row r="639" spans="1:190">
      <c r="A639" t="str">
        <f t="shared" si="186"/>
        <v/>
      </c>
      <c r="B639" t="str">
        <f t="shared" si="187"/>
        <v/>
      </c>
      <c r="C639" t="str">
        <f t="shared" si="188"/>
        <v/>
      </c>
      <c r="D639" t="str">
        <f t="shared" si="189"/>
        <v/>
      </c>
      <c r="E639">
        <f t="shared" si="190"/>
        <v>0</v>
      </c>
      <c r="F639" t="str">
        <f t="shared" si="191"/>
        <v/>
      </c>
      <c r="G639">
        <f t="shared" si="192"/>
        <v>0</v>
      </c>
      <c r="H639">
        <f>IF(AND(G639=1,COUNTIFS($I$200:I639,I639,$G$200:G639,1)=1),1,0)</f>
        <v>0</v>
      </c>
      <c r="I639" t="str">
        <f t="shared" si="193"/>
        <v/>
      </c>
      <c r="BF639">
        <f t="shared" si="196"/>
        <v>0</v>
      </c>
      <c r="BG639">
        <f t="shared" si="197"/>
        <v>0</v>
      </c>
      <c r="BH639">
        <f t="shared" si="198"/>
        <v>0</v>
      </c>
      <c r="BI639">
        <f t="shared" si="199"/>
        <v>0</v>
      </c>
      <c r="BJ639">
        <f t="shared" si="200"/>
        <v>0</v>
      </c>
      <c r="BK639">
        <f t="shared" si="201"/>
        <v>0</v>
      </c>
      <c r="BL639">
        <f t="shared" si="202"/>
        <v>0</v>
      </c>
      <c r="BM639">
        <f t="shared" si="203"/>
        <v>0</v>
      </c>
      <c r="BN639">
        <f t="shared" si="204"/>
        <v>0</v>
      </c>
      <c r="BO639">
        <f t="shared" si="205"/>
        <v>0</v>
      </c>
      <c r="BP639">
        <f t="shared" si="206"/>
        <v>0</v>
      </c>
      <c r="BQ639">
        <f t="shared" si="207"/>
        <v>0</v>
      </c>
      <c r="BR639">
        <f t="shared" si="208"/>
        <v>0</v>
      </c>
      <c r="BS639">
        <f t="shared" si="209"/>
        <v>0</v>
      </c>
      <c r="BT639">
        <f t="shared" si="210"/>
        <v>0</v>
      </c>
      <c r="BU639">
        <f t="shared" si="211"/>
        <v>0</v>
      </c>
      <c r="BV639">
        <f t="shared" si="212"/>
        <v>0</v>
      </c>
      <c r="BW639">
        <f t="shared" si="213"/>
        <v>0</v>
      </c>
      <c r="CA639" t="str">
        <f>IF(440&gt;ROWS(DGArchive[模组]),"",IF(INDEX(DGArchive[模组],440)="","",INDEX(DGArchive[模组],440)))</f>
        <v/>
      </c>
      <c r="CB639" t="str">
        <f>IF(440&gt;ROWS(DGArchive[阶段]),"",IF(INDEX(DGArchive[阶段],440)="","",INDEX(DGArchive[阶段],440)))</f>
        <v/>
      </c>
      <c r="CC639" t="str">
        <f>IF(440&gt;ROWS(DGArchive[游戏内日期]),"",IF(INDEX(DGArchive[游戏内日期],440)="","",INDEX(DGArchive[游戏内日期],440)))</f>
        <v/>
      </c>
      <c r="CD639" t="str">
        <f>IF(440&gt;ROWS(DGArchive[目标]),"",IF(INDEX(DGArchive[目标],440)="","",INDEX(DGArchive[目标],440)))</f>
        <v/>
      </c>
      <c r="CE639" t="str">
        <f>IF(440&gt;ROWS(DGArchive[变更前]),"",IF(INDEX(DGArchive[变更前],440)="","",INDEX(DGArchive[变更前],440)))</f>
        <v/>
      </c>
      <c r="CF639" t="str">
        <f>IF(440&gt;ROWS(DGArchive[增减]),"",IF(INDEX(DGArchive[增减],440)="","",INDEX(DGArchive[增减],440)))</f>
        <v/>
      </c>
      <c r="CG639" t="str">
        <f>IF(440&gt;ROWS(DGArchive[变更后]),"",IF(INDEX(DGArchive[变更后],440)="","",INDEX(DGArchive[变更后],440)))</f>
        <v/>
      </c>
      <c r="CH639" t="str">
        <f>IF(440&gt;ROWS(DGArchive[事件／活动]),"",IF(INDEX(DGArchive[事件／活动],440)="","",INDEX(DGArchive[事件／活动],440)))</f>
        <v/>
      </c>
      <c r="CI639" t="str">
        <f>IF(440&gt;ROWS(DGArchive[记录编号]),"",IF(INDEX(DGArchive[记录编号],440)="","",INDEX(DGArchive[记录编号],440)))</f>
        <v/>
      </c>
      <c r="CL639">
        <f t="shared" si="194"/>
        <v>0</v>
      </c>
      <c r="CM639">
        <f>IF(AND(A639=$AO$5,B639=$AQ$3,H639=1),COUNTIFS($A$200:A639,$AO$5,$B$200:B639,$AQ$3,$H$200:H639,1),0)</f>
        <v>0</v>
      </c>
      <c r="CN639">
        <f>IF(CA639="",440,1001)</f>
        <v>440</v>
      </c>
      <c r="GA639">
        <f t="shared" si="214"/>
        <v>0</v>
      </c>
      <c r="GB639">
        <f t="shared" si="215"/>
        <v>0</v>
      </c>
      <c r="GC639">
        <f>IF(AND(C639="事件记录",H639=1),COUNTIFS($C$200:C639,"事件记录",$H$200:H639,1),0)</f>
        <v>0</v>
      </c>
      <c r="GD639">
        <f t="shared" si="195"/>
        <v>0</v>
      </c>
      <c r="GH639">
        <f>IF(AND(H639=1,A639=$GA$10,B639=$GA$11),COUNTIFS($A$200:A639,$GA$10,$B$200:B639,$GA$11,$H$200:H639,1),0)</f>
        <v>0</v>
      </c>
    </row>
    <row r="640" spans="1:190">
      <c r="A640" t="str">
        <f t="shared" si="186"/>
        <v/>
      </c>
      <c r="B640" t="str">
        <f t="shared" si="187"/>
        <v/>
      </c>
      <c r="C640" t="str">
        <f t="shared" si="188"/>
        <v/>
      </c>
      <c r="D640" t="str">
        <f t="shared" si="189"/>
        <v/>
      </c>
      <c r="E640">
        <f t="shared" si="190"/>
        <v>0</v>
      </c>
      <c r="F640" t="str">
        <f t="shared" si="191"/>
        <v/>
      </c>
      <c r="G640">
        <f t="shared" si="192"/>
        <v>0</v>
      </c>
      <c r="H640">
        <f>IF(AND(G640=1,COUNTIFS($I$200:I640,I640,$G$200:G640,1)=1),1,0)</f>
        <v>0</v>
      </c>
      <c r="I640" t="str">
        <f t="shared" si="193"/>
        <v/>
      </c>
      <c r="BF640">
        <f t="shared" si="196"/>
        <v>0</v>
      </c>
      <c r="BG640">
        <f t="shared" si="197"/>
        <v>0</v>
      </c>
      <c r="BH640">
        <f t="shared" si="198"/>
        <v>0</v>
      </c>
      <c r="BI640">
        <f t="shared" si="199"/>
        <v>0</v>
      </c>
      <c r="BJ640">
        <f t="shared" si="200"/>
        <v>0</v>
      </c>
      <c r="BK640">
        <f t="shared" si="201"/>
        <v>0</v>
      </c>
      <c r="BL640">
        <f t="shared" si="202"/>
        <v>0</v>
      </c>
      <c r="BM640">
        <f t="shared" si="203"/>
        <v>0</v>
      </c>
      <c r="BN640">
        <f t="shared" si="204"/>
        <v>0</v>
      </c>
      <c r="BO640">
        <f t="shared" si="205"/>
        <v>0</v>
      </c>
      <c r="BP640">
        <f t="shared" si="206"/>
        <v>0</v>
      </c>
      <c r="BQ640">
        <f t="shared" si="207"/>
        <v>0</v>
      </c>
      <c r="BR640">
        <f t="shared" si="208"/>
        <v>0</v>
      </c>
      <c r="BS640">
        <f t="shared" si="209"/>
        <v>0</v>
      </c>
      <c r="BT640">
        <f t="shared" si="210"/>
        <v>0</v>
      </c>
      <c r="BU640">
        <f t="shared" si="211"/>
        <v>0</v>
      </c>
      <c r="BV640">
        <f t="shared" si="212"/>
        <v>0</v>
      </c>
      <c r="BW640">
        <f t="shared" si="213"/>
        <v>0</v>
      </c>
      <c r="CA640" t="str">
        <f>IF(441&gt;ROWS(DGArchive[模组]),"",IF(INDEX(DGArchive[模组],441)="","",INDEX(DGArchive[模组],441)))</f>
        <v/>
      </c>
      <c r="CB640" t="str">
        <f>IF(441&gt;ROWS(DGArchive[阶段]),"",IF(INDEX(DGArchive[阶段],441)="","",INDEX(DGArchive[阶段],441)))</f>
        <v/>
      </c>
      <c r="CC640" t="str">
        <f>IF(441&gt;ROWS(DGArchive[游戏内日期]),"",IF(INDEX(DGArchive[游戏内日期],441)="","",INDEX(DGArchive[游戏内日期],441)))</f>
        <v/>
      </c>
      <c r="CD640" t="str">
        <f>IF(441&gt;ROWS(DGArchive[目标]),"",IF(INDEX(DGArchive[目标],441)="","",INDEX(DGArchive[目标],441)))</f>
        <v/>
      </c>
      <c r="CE640" t="str">
        <f>IF(441&gt;ROWS(DGArchive[变更前]),"",IF(INDEX(DGArchive[变更前],441)="","",INDEX(DGArchive[变更前],441)))</f>
        <v/>
      </c>
      <c r="CF640" t="str">
        <f>IF(441&gt;ROWS(DGArchive[增减]),"",IF(INDEX(DGArchive[增减],441)="","",INDEX(DGArchive[增减],441)))</f>
        <v/>
      </c>
      <c r="CG640" t="str">
        <f>IF(441&gt;ROWS(DGArchive[变更后]),"",IF(INDEX(DGArchive[变更后],441)="","",INDEX(DGArchive[变更后],441)))</f>
        <v/>
      </c>
      <c r="CH640" t="str">
        <f>IF(441&gt;ROWS(DGArchive[事件／活动]),"",IF(INDEX(DGArchive[事件／活动],441)="","",INDEX(DGArchive[事件／活动],441)))</f>
        <v/>
      </c>
      <c r="CI640" t="str">
        <f>IF(441&gt;ROWS(DGArchive[记录编号]),"",IF(INDEX(DGArchive[记录编号],441)="","",INDEX(DGArchive[记录编号],441)))</f>
        <v/>
      </c>
      <c r="CL640">
        <f t="shared" si="194"/>
        <v>0</v>
      </c>
      <c r="CM640">
        <f>IF(AND(A640=$AO$5,B640=$AQ$3,H640=1),COUNTIFS($A$200:A640,$AO$5,$B$200:B640,$AQ$3,$H$200:H640,1),0)</f>
        <v>0</v>
      </c>
      <c r="CN640">
        <f>IF(CA640="",441,1001)</f>
        <v>441</v>
      </c>
      <c r="GA640">
        <f t="shared" si="214"/>
        <v>0</v>
      </c>
      <c r="GB640">
        <f t="shared" si="215"/>
        <v>0</v>
      </c>
      <c r="GC640">
        <f>IF(AND(C640="事件记录",H640=1),COUNTIFS($C$200:C640,"事件记录",$H$200:H640,1),0)</f>
        <v>0</v>
      </c>
      <c r="GD640">
        <f t="shared" si="195"/>
        <v>0</v>
      </c>
      <c r="GH640">
        <f>IF(AND(H640=1,A640=$GA$10,B640=$GA$11),COUNTIFS($A$200:A640,$GA$10,$B$200:B640,$GA$11,$H$200:H640,1),0)</f>
        <v>0</v>
      </c>
    </row>
    <row r="641" spans="1:190">
      <c r="A641" t="str">
        <f t="shared" si="186"/>
        <v/>
      </c>
      <c r="B641" t="str">
        <f t="shared" si="187"/>
        <v/>
      </c>
      <c r="C641" t="str">
        <f t="shared" si="188"/>
        <v/>
      </c>
      <c r="D641" t="str">
        <f t="shared" si="189"/>
        <v/>
      </c>
      <c r="E641">
        <f t="shared" si="190"/>
        <v>0</v>
      </c>
      <c r="F641" t="str">
        <f t="shared" si="191"/>
        <v/>
      </c>
      <c r="G641">
        <f t="shared" si="192"/>
        <v>0</v>
      </c>
      <c r="H641">
        <f>IF(AND(G641=1,COUNTIFS($I$200:I641,I641,$G$200:G641,1)=1),1,0)</f>
        <v>0</v>
      </c>
      <c r="I641" t="str">
        <f t="shared" si="193"/>
        <v/>
      </c>
      <c r="BF641">
        <f t="shared" si="196"/>
        <v>0</v>
      </c>
      <c r="BG641">
        <f t="shared" si="197"/>
        <v>0</v>
      </c>
      <c r="BH641">
        <f t="shared" si="198"/>
        <v>0</v>
      </c>
      <c r="BI641">
        <f t="shared" si="199"/>
        <v>0</v>
      </c>
      <c r="BJ641">
        <f t="shared" si="200"/>
        <v>0</v>
      </c>
      <c r="BK641">
        <f t="shared" si="201"/>
        <v>0</v>
      </c>
      <c r="BL641">
        <f t="shared" si="202"/>
        <v>0</v>
      </c>
      <c r="BM641">
        <f t="shared" si="203"/>
        <v>0</v>
      </c>
      <c r="BN641">
        <f t="shared" si="204"/>
        <v>0</v>
      </c>
      <c r="BO641">
        <f t="shared" si="205"/>
        <v>0</v>
      </c>
      <c r="BP641">
        <f t="shared" si="206"/>
        <v>0</v>
      </c>
      <c r="BQ641">
        <f t="shared" si="207"/>
        <v>0</v>
      </c>
      <c r="BR641">
        <f t="shared" si="208"/>
        <v>0</v>
      </c>
      <c r="BS641">
        <f t="shared" si="209"/>
        <v>0</v>
      </c>
      <c r="BT641">
        <f t="shared" si="210"/>
        <v>0</v>
      </c>
      <c r="BU641">
        <f t="shared" si="211"/>
        <v>0</v>
      </c>
      <c r="BV641">
        <f t="shared" si="212"/>
        <v>0</v>
      </c>
      <c r="BW641">
        <f t="shared" si="213"/>
        <v>0</v>
      </c>
      <c r="CA641" t="str">
        <f>IF(442&gt;ROWS(DGArchive[模组]),"",IF(INDEX(DGArchive[模组],442)="","",INDEX(DGArchive[模组],442)))</f>
        <v/>
      </c>
      <c r="CB641" t="str">
        <f>IF(442&gt;ROWS(DGArchive[阶段]),"",IF(INDEX(DGArchive[阶段],442)="","",INDEX(DGArchive[阶段],442)))</f>
        <v/>
      </c>
      <c r="CC641" t="str">
        <f>IF(442&gt;ROWS(DGArchive[游戏内日期]),"",IF(INDEX(DGArchive[游戏内日期],442)="","",INDEX(DGArchive[游戏内日期],442)))</f>
        <v/>
      </c>
      <c r="CD641" t="str">
        <f>IF(442&gt;ROWS(DGArchive[目标]),"",IF(INDEX(DGArchive[目标],442)="","",INDEX(DGArchive[目标],442)))</f>
        <v/>
      </c>
      <c r="CE641" t="str">
        <f>IF(442&gt;ROWS(DGArchive[变更前]),"",IF(INDEX(DGArchive[变更前],442)="","",INDEX(DGArchive[变更前],442)))</f>
        <v/>
      </c>
      <c r="CF641" t="str">
        <f>IF(442&gt;ROWS(DGArchive[增减]),"",IF(INDEX(DGArchive[增减],442)="","",INDEX(DGArchive[增减],442)))</f>
        <v/>
      </c>
      <c r="CG641" t="str">
        <f>IF(442&gt;ROWS(DGArchive[变更后]),"",IF(INDEX(DGArchive[变更后],442)="","",INDEX(DGArchive[变更后],442)))</f>
        <v/>
      </c>
      <c r="CH641" t="str">
        <f>IF(442&gt;ROWS(DGArchive[事件／活动]),"",IF(INDEX(DGArchive[事件／活动],442)="","",INDEX(DGArchive[事件／活动],442)))</f>
        <v/>
      </c>
      <c r="CI641" t="str">
        <f>IF(442&gt;ROWS(DGArchive[记录编号]),"",IF(INDEX(DGArchive[记录编号],442)="","",INDEX(DGArchive[记录编号],442)))</f>
        <v/>
      </c>
      <c r="CL641">
        <f t="shared" si="194"/>
        <v>0</v>
      </c>
      <c r="CM641">
        <f>IF(AND(A641=$AO$5,B641=$AQ$3,H641=1),COUNTIFS($A$200:A641,$AO$5,$B$200:B641,$AQ$3,$H$200:H641,1),0)</f>
        <v>0</v>
      </c>
      <c r="CN641">
        <f>IF(CA641="",442,1001)</f>
        <v>442</v>
      </c>
      <c r="GA641">
        <f t="shared" si="214"/>
        <v>0</v>
      </c>
      <c r="GB641">
        <f t="shared" si="215"/>
        <v>0</v>
      </c>
      <c r="GC641">
        <f>IF(AND(C641="事件记录",H641=1),COUNTIFS($C$200:C641,"事件记录",$H$200:H641,1),0)</f>
        <v>0</v>
      </c>
      <c r="GD641">
        <f t="shared" si="195"/>
        <v>0</v>
      </c>
      <c r="GH641">
        <f>IF(AND(H641=1,A641=$GA$10,B641=$GA$11),COUNTIFS($A$200:A641,$GA$10,$B$200:B641,$GA$11,$H$200:H641,1),0)</f>
        <v>0</v>
      </c>
    </row>
    <row r="642" spans="1:190">
      <c r="A642" t="str">
        <f t="shared" si="186"/>
        <v/>
      </c>
      <c r="B642" t="str">
        <f t="shared" si="187"/>
        <v/>
      </c>
      <c r="C642" t="str">
        <f t="shared" si="188"/>
        <v/>
      </c>
      <c r="D642" t="str">
        <f t="shared" si="189"/>
        <v/>
      </c>
      <c r="E642">
        <f t="shared" si="190"/>
        <v>0</v>
      </c>
      <c r="F642" t="str">
        <f t="shared" si="191"/>
        <v/>
      </c>
      <c r="G642">
        <f t="shared" si="192"/>
        <v>0</v>
      </c>
      <c r="H642">
        <f>IF(AND(G642=1,COUNTIFS($I$200:I642,I642,$G$200:G642,1)=1),1,0)</f>
        <v>0</v>
      </c>
      <c r="I642" t="str">
        <f t="shared" si="193"/>
        <v/>
      </c>
      <c r="BF642">
        <f t="shared" si="196"/>
        <v>0</v>
      </c>
      <c r="BG642">
        <f t="shared" si="197"/>
        <v>0</v>
      </c>
      <c r="BH642">
        <f t="shared" si="198"/>
        <v>0</v>
      </c>
      <c r="BI642">
        <f t="shared" si="199"/>
        <v>0</v>
      </c>
      <c r="BJ642">
        <f t="shared" si="200"/>
        <v>0</v>
      </c>
      <c r="BK642">
        <f t="shared" si="201"/>
        <v>0</v>
      </c>
      <c r="BL642">
        <f t="shared" si="202"/>
        <v>0</v>
      </c>
      <c r="BM642">
        <f t="shared" si="203"/>
        <v>0</v>
      </c>
      <c r="BN642">
        <f t="shared" si="204"/>
        <v>0</v>
      </c>
      <c r="BO642">
        <f t="shared" si="205"/>
        <v>0</v>
      </c>
      <c r="BP642">
        <f t="shared" si="206"/>
        <v>0</v>
      </c>
      <c r="BQ642">
        <f t="shared" si="207"/>
        <v>0</v>
      </c>
      <c r="BR642">
        <f t="shared" si="208"/>
        <v>0</v>
      </c>
      <c r="BS642">
        <f t="shared" si="209"/>
        <v>0</v>
      </c>
      <c r="BT642">
        <f t="shared" si="210"/>
        <v>0</v>
      </c>
      <c r="BU642">
        <f t="shared" si="211"/>
        <v>0</v>
      </c>
      <c r="BV642">
        <f t="shared" si="212"/>
        <v>0</v>
      </c>
      <c r="BW642">
        <f t="shared" si="213"/>
        <v>0</v>
      </c>
      <c r="CA642" t="str">
        <f>IF(443&gt;ROWS(DGArchive[模组]),"",IF(INDEX(DGArchive[模组],443)="","",INDEX(DGArchive[模组],443)))</f>
        <v/>
      </c>
      <c r="CB642" t="str">
        <f>IF(443&gt;ROWS(DGArchive[阶段]),"",IF(INDEX(DGArchive[阶段],443)="","",INDEX(DGArchive[阶段],443)))</f>
        <v/>
      </c>
      <c r="CC642" t="str">
        <f>IF(443&gt;ROWS(DGArchive[游戏内日期]),"",IF(INDEX(DGArchive[游戏内日期],443)="","",INDEX(DGArchive[游戏内日期],443)))</f>
        <v/>
      </c>
      <c r="CD642" t="str">
        <f>IF(443&gt;ROWS(DGArchive[目标]),"",IF(INDEX(DGArchive[目标],443)="","",INDEX(DGArchive[目标],443)))</f>
        <v/>
      </c>
      <c r="CE642" t="str">
        <f>IF(443&gt;ROWS(DGArchive[变更前]),"",IF(INDEX(DGArchive[变更前],443)="","",INDEX(DGArchive[变更前],443)))</f>
        <v/>
      </c>
      <c r="CF642" t="str">
        <f>IF(443&gt;ROWS(DGArchive[增减]),"",IF(INDEX(DGArchive[增减],443)="","",INDEX(DGArchive[增减],443)))</f>
        <v/>
      </c>
      <c r="CG642" t="str">
        <f>IF(443&gt;ROWS(DGArchive[变更后]),"",IF(INDEX(DGArchive[变更后],443)="","",INDEX(DGArchive[变更后],443)))</f>
        <v/>
      </c>
      <c r="CH642" t="str">
        <f>IF(443&gt;ROWS(DGArchive[事件／活动]),"",IF(INDEX(DGArchive[事件／活动],443)="","",INDEX(DGArchive[事件／活动],443)))</f>
        <v/>
      </c>
      <c r="CI642" t="str">
        <f>IF(443&gt;ROWS(DGArchive[记录编号]),"",IF(INDEX(DGArchive[记录编号],443)="","",INDEX(DGArchive[记录编号],443)))</f>
        <v/>
      </c>
      <c r="CL642">
        <f t="shared" si="194"/>
        <v>0</v>
      </c>
      <c r="CM642">
        <f>IF(AND(A642=$AO$5,B642=$AQ$3,H642=1),COUNTIFS($A$200:A642,$AO$5,$B$200:B642,$AQ$3,$H$200:H642,1),0)</f>
        <v>0</v>
      </c>
      <c r="CN642">
        <f>IF(CA642="",443,1001)</f>
        <v>443</v>
      </c>
      <c r="GA642">
        <f t="shared" si="214"/>
        <v>0</v>
      </c>
      <c r="GB642">
        <f t="shared" si="215"/>
        <v>0</v>
      </c>
      <c r="GC642">
        <f>IF(AND(C642="事件记录",H642=1),COUNTIFS($C$200:C642,"事件记录",$H$200:H642,1),0)</f>
        <v>0</v>
      </c>
      <c r="GD642">
        <f t="shared" si="195"/>
        <v>0</v>
      </c>
      <c r="GH642">
        <f>IF(AND(H642=1,A642=$GA$10,B642=$GA$11),COUNTIFS($A$200:A642,$GA$10,$B$200:B642,$GA$11,$H$200:H642,1),0)</f>
        <v>0</v>
      </c>
    </row>
    <row r="643" spans="1:190">
      <c r="A643" t="str">
        <f t="shared" si="186"/>
        <v/>
      </c>
      <c r="B643" t="str">
        <f t="shared" si="187"/>
        <v/>
      </c>
      <c r="C643" t="str">
        <f t="shared" si="188"/>
        <v/>
      </c>
      <c r="D643" t="str">
        <f t="shared" si="189"/>
        <v/>
      </c>
      <c r="E643">
        <f t="shared" si="190"/>
        <v>0</v>
      </c>
      <c r="F643" t="str">
        <f t="shared" si="191"/>
        <v/>
      </c>
      <c r="G643">
        <f t="shared" si="192"/>
        <v>0</v>
      </c>
      <c r="H643">
        <f>IF(AND(G643=1,COUNTIFS($I$200:I643,I643,$G$200:G643,1)=1),1,0)</f>
        <v>0</v>
      </c>
      <c r="I643" t="str">
        <f t="shared" si="193"/>
        <v/>
      </c>
      <c r="BF643">
        <f t="shared" si="196"/>
        <v>0</v>
      </c>
      <c r="BG643">
        <f t="shared" si="197"/>
        <v>0</v>
      </c>
      <c r="BH643">
        <f t="shared" si="198"/>
        <v>0</v>
      </c>
      <c r="BI643">
        <f t="shared" si="199"/>
        <v>0</v>
      </c>
      <c r="BJ643">
        <f t="shared" si="200"/>
        <v>0</v>
      </c>
      <c r="BK643">
        <f t="shared" si="201"/>
        <v>0</v>
      </c>
      <c r="BL643">
        <f t="shared" si="202"/>
        <v>0</v>
      </c>
      <c r="BM643">
        <f t="shared" si="203"/>
        <v>0</v>
      </c>
      <c r="BN643">
        <f t="shared" si="204"/>
        <v>0</v>
      </c>
      <c r="BO643">
        <f t="shared" si="205"/>
        <v>0</v>
      </c>
      <c r="BP643">
        <f t="shared" si="206"/>
        <v>0</v>
      </c>
      <c r="BQ643">
        <f t="shared" si="207"/>
        <v>0</v>
      </c>
      <c r="BR643">
        <f t="shared" si="208"/>
        <v>0</v>
      </c>
      <c r="BS643">
        <f t="shared" si="209"/>
        <v>0</v>
      </c>
      <c r="BT643">
        <f t="shared" si="210"/>
        <v>0</v>
      </c>
      <c r="BU643">
        <f t="shared" si="211"/>
        <v>0</v>
      </c>
      <c r="BV643">
        <f t="shared" si="212"/>
        <v>0</v>
      </c>
      <c r="BW643">
        <f t="shared" si="213"/>
        <v>0</v>
      </c>
      <c r="CA643" t="str">
        <f>IF(444&gt;ROWS(DGArchive[模组]),"",IF(INDEX(DGArchive[模组],444)="","",INDEX(DGArchive[模组],444)))</f>
        <v/>
      </c>
      <c r="CB643" t="str">
        <f>IF(444&gt;ROWS(DGArchive[阶段]),"",IF(INDEX(DGArchive[阶段],444)="","",INDEX(DGArchive[阶段],444)))</f>
        <v/>
      </c>
      <c r="CC643" t="str">
        <f>IF(444&gt;ROWS(DGArchive[游戏内日期]),"",IF(INDEX(DGArchive[游戏内日期],444)="","",INDEX(DGArchive[游戏内日期],444)))</f>
        <v/>
      </c>
      <c r="CD643" t="str">
        <f>IF(444&gt;ROWS(DGArchive[目标]),"",IF(INDEX(DGArchive[目标],444)="","",INDEX(DGArchive[目标],444)))</f>
        <v/>
      </c>
      <c r="CE643" t="str">
        <f>IF(444&gt;ROWS(DGArchive[变更前]),"",IF(INDEX(DGArchive[变更前],444)="","",INDEX(DGArchive[变更前],444)))</f>
        <v/>
      </c>
      <c r="CF643" t="str">
        <f>IF(444&gt;ROWS(DGArchive[增减]),"",IF(INDEX(DGArchive[增减],444)="","",INDEX(DGArchive[增减],444)))</f>
        <v/>
      </c>
      <c r="CG643" t="str">
        <f>IF(444&gt;ROWS(DGArchive[变更后]),"",IF(INDEX(DGArchive[变更后],444)="","",INDEX(DGArchive[变更后],444)))</f>
        <v/>
      </c>
      <c r="CH643" t="str">
        <f>IF(444&gt;ROWS(DGArchive[事件／活动]),"",IF(INDEX(DGArchive[事件／活动],444)="","",INDEX(DGArchive[事件／活动],444)))</f>
        <v/>
      </c>
      <c r="CI643" t="str">
        <f>IF(444&gt;ROWS(DGArchive[记录编号]),"",IF(INDEX(DGArchive[记录编号],444)="","",INDEX(DGArchive[记录编号],444)))</f>
        <v/>
      </c>
      <c r="CL643">
        <f t="shared" si="194"/>
        <v>0</v>
      </c>
      <c r="CM643">
        <f>IF(AND(A643=$AO$5,B643=$AQ$3,H643=1),COUNTIFS($A$200:A643,$AO$5,$B$200:B643,$AQ$3,$H$200:H643,1),0)</f>
        <v>0</v>
      </c>
      <c r="CN643">
        <f>IF(CA643="",444,1001)</f>
        <v>444</v>
      </c>
      <c r="GA643">
        <f t="shared" si="214"/>
        <v>0</v>
      </c>
      <c r="GB643">
        <f t="shared" si="215"/>
        <v>0</v>
      </c>
      <c r="GC643">
        <f>IF(AND(C643="事件记录",H643=1),COUNTIFS($C$200:C643,"事件记录",$H$200:H643,1),0)</f>
        <v>0</v>
      </c>
      <c r="GD643">
        <f t="shared" si="195"/>
        <v>0</v>
      </c>
      <c r="GH643">
        <f>IF(AND(H643=1,A643=$GA$10,B643=$GA$11),COUNTIFS($A$200:A643,$GA$10,$B$200:B643,$GA$11,$H$200:H643,1),0)</f>
        <v>0</v>
      </c>
    </row>
    <row r="644" spans="1:190">
      <c r="A644" t="str">
        <f t="shared" si="186"/>
        <v/>
      </c>
      <c r="B644" t="str">
        <f t="shared" si="187"/>
        <v/>
      </c>
      <c r="C644" t="str">
        <f t="shared" si="188"/>
        <v/>
      </c>
      <c r="D644" t="str">
        <f t="shared" si="189"/>
        <v/>
      </c>
      <c r="E644">
        <f t="shared" si="190"/>
        <v>0</v>
      </c>
      <c r="F644" t="str">
        <f t="shared" si="191"/>
        <v/>
      </c>
      <c r="G644">
        <f t="shared" si="192"/>
        <v>0</v>
      </c>
      <c r="H644">
        <f>IF(AND(G644=1,COUNTIFS($I$200:I644,I644,$G$200:G644,1)=1),1,0)</f>
        <v>0</v>
      </c>
      <c r="I644" t="str">
        <f t="shared" si="193"/>
        <v/>
      </c>
      <c r="BF644">
        <f t="shared" si="196"/>
        <v>0</v>
      </c>
      <c r="BG644">
        <f t="shared" si="197"/>
        <v>0</v>
      </c>
      <c r="BH644">
        <f t="shared" si="198"/>
        <v>0</v>
      </c>
      <c r="BI644">
        <f t="shared" si="199"/>
        <v>0</v>
      </c>
      <c r="BJ644">
        <f t="shared" si="200"/>
        <v>0</v>
      </c>
      <c r="BK644">
        <f t="shared" si="201"/>
        <v>0</v>
      </c>
      <c r="BL644">
        <f t="shared" si="202"/>
        <v>0</v>
      </c>
      <c r="BM644">
        <f t="shared" si="203"/>
        <v>0</v>
      </c>
      <c r="BN644">
        <f t="shared" si="204"/>
        <v>0</v>
      </c>
      <c r="BO644">
        <f t="shared" si="205"/>
        <v>0</v>
      </c>
      <c r="BP644">
        <f t="shared" si="206"/>
        <v>0</v>
      </c>
      <c r="BQ644">
        <f t="shared" si="207"/>
        <v>0</v>
      </c>
      <c r="BR644">
        <f t="shared" si="208"/>
        <v>0</v>
      </c>
      <c r="BS644">
        <f t="shared" si="209"/>
        <v>0</v>
      </c>
      <c r="BT644">
        <f t="shared" si="210"/>
        <v>0</v>
      </c>
      <c r="BU644">
        <f t="shared" si="211"/>
        <v>0</v>
      </c>
      <c r="BV644">
        <f t="shared" si="212"/>
        <v>0</v>
      </c>
      <c r="BW644">
        <f t="shared" si="213"/>
        <v>0</v>
      </c>
      <c r="CA644" t="str">
        <f>IF(445&gt;ROWS(DGArchive[模组]),"",IF(INDEX(DGArchive[模组],445)="","",INDEX(DGArchive[模组],445)))</f>
        <v/>
      </c>
      <c r="CB644" t="str">
        <f>IF(445&gt;ROWS(DGArchive[阶段]),"",IF(INDEX(DGArchive[阶段],445)="","",INDEX(DGArchive[阶段],445)))</f>
        <v/>
      </c>
      <c r="CC644" t="str">
        <f>IF(445&gt;ROWS(DGArchive[游戏内日期]),"",IF(INDEX(DGArchive[游戏内日期],445)="","",INDEX(DGArchive[游戏内日期],445)))</f>
        <v/>
      </c>
      <c r="CD644" t="str">
        <f>IF(445&gt;ROWS(DGArchive[目标]),"",IF(INDEX(DGArchive[目标],445)="","",INDEX(DGArchive[目标],445)))</f>
        <v/>
      </c>
      <c r="CE644" t="str">
        <f>IF(445&gt;ROWS(DGArchive[变更前]),"",IF(INDEX(DGArchive[变更前],445)="","",INDEX(DGArchive[变更前],445)))</f>
        <v/>
      </c>
      <c r="CF644" t="str">
        <f>IF(445&gt;ROWS(DGArchive[增减]),"",IF(INDEX(DGArchive[增减],445)="","",INDEX(DGArchive[增减],445)))</f>
        <v/>
      </c>
      <c r="CG644" t="str">
        <f>IF(445&gt;ROWS(DGArchive[变更后]),"",IF(INDEX(DGArchive[变更后],445)="","",INDEX(DGArchive[变更后],445)))</f>
        <v/>
      </c>
      <c r="CH644" t="str">
        <f>IF(445&gt;ROWS(DGArchive[事件／活动]),"",IF(INDEX(DGArchive[事件／活动],445)="","",INDEX(DGArchive[事件／活动],445)))</f>
        <v/>
      </c>
      <c r="CI644" t="str">
        <f>IF(445&gt;ROWS(DGArchive[记录编号]),"",IF(INDEX(DGArchive[记录编号],445)="","",INDEX(DGArchive[记录编号],445)))</f>
        <v/>
      </c>
      <c r="CL644">
        <f t="shared" si="194"/>
        <v>0</v>
      </c>
      <c r="CM644">
        <f>IF(AND(A644=$AO$5,B644=$AQ$3,H644=1),COUNTIFS($A$200:A644,$AO$5,$B$200:B644,$AQ$3,$H$200:H644,1),0)</f>
        <v>0</v>
      </c>
      <c r="CN644">
        <f>IF(CA644="",445,1001)</f>
        <v>445</v>
      </c>
      <c r="GA644">
        <f t="shared" si="214"/>
        <v>0</v>
      </c>
      <c r="GB644">
        <f t="shared" si="215"/>
        <v>0</v>
      </c>
      <c r="GC644">
        <f>IF(AND(C644="事件记录",H644=1),COUNTIFS($C$200:C644,"事件记录",$H$200:H644,1),0)</f>
        <v>0</v>
      </c>
      <c r="GD644">
        <f t="shared" si="195"/>
        <v>0</v>
      </c>
      <c r="GH644">
        <f>IF(AND(H644=1,A644=$GA$10,B644=$GA$11),COUNTIFS($A$200:A644,$GA$10,$B$200:B644,$GA$11,$H$200:H644,1),0)</f>
        <v>0</v>
      </c>
    </row>
    <row r="645" spans="1:190">
      <c r="A645" t="str">
        <f t="shared" si="186"/>
        <v/>
      </c>
      <c r="B645" t="str">
        <f t="shared" si="187"/>
        <v/>
      </c>
      <c r="C645" t="str">
        <f t="shared" si="188"/>
        <v/>
      </c>
      <c r="D645" t="str">
        <f t="shared" si="189"/>
        <v/>
      </c>
      <c r="E645">
        <f t="shared" si="190"/>
        <v>0</v>
      </c>
      <c r="F645" t="str">
        <f t="shared" si="191"/>
        <v/>
      </c>
      <c r="G645">
        <f t="shared" si="192"/>
        <v>0</v>
      </c>
      <c r="H645">
        <f>IF(AND(G645=1,COUNTIFS($I$200:I645,I645,$G$200:G645,1)=1),1,0)</f>
        <v>0</v>
      </c>
      <c r="I645" t="str">
        <f t="shared" si="193"/>
        <v/>
      </c>
      <c r="BF645">
        <f t="shared" si="196"/>
        <v>0</v>
      </c>
      <c r="BG645">
        <f t="shared" si="197"/>
        <v>0</v>
      </c>
      <c r="BH645">
        <f t="shared" si="198"/>
        <v>0</v>
      </c>
      <c r="BI645">
        <f t="shared" si="199"/>
        <v>0</v>
      </c>
      <c r="BJ645">
        <f t="shared" si="200"/>
        <v>0</v>
      </c>
      <c r="BK645">
        <f t="shared" si="201"/>
        <v>0</v>
      </c>
      <c r="BL645">
        <f t="shared" si="202"/>
        <v>0</v>
      </c>
      <c r="BM645">
        <f t="shared" si="203"/>
        <v>0</v>
      </c>
      <c r="BN645">
        <f t="shared" si="204"/>
        <v>0</v>
      </c>
      <c r="BO645">
        <f t="shared" si="205"/>
        <v>0</v>
      </c>
      <c r="BP645">
        <f t="shared" si="206"/>
        <v>0</v>
      </c>
      <c r="BQ645">
        <f t="shared" si="207"/>
        <v>0</v>
      </c>
      <c r="BR645">
        <f t="shared" si="208"/>
        <v>0</v>
      </c>
      <c r="BS645">
        <f t="shared" si="209"/>
        <v>0</v>
      </c>
      <c r="BT645">
        <f t="shared" si="210"/>
        <v>0</v>
      </c>
      <c r="BU645">
        <f t="shared" si="211"/>
        <v>0</v>
      </c>
      <c r="BV645">
        <f t="shared" si="212"/>
        <v>0</v>
      </c>
      <c r="BW645">
        <f t="shared" si="213"/>
        <v>0</v>
      </c>
      <c r="CA645" t="str">
        <f>IF(446&gt;ROWS(DGArchive[模组]),"",IF(INDEX(DGArchive[模组],446)="","",INDEX(DGArchive[模组],446)))</f>
        <v/>
      </c>
      <c r="CB645" t="str">
        <f>IF(446&gt;ROWS(DGArchive[阶段]),"",IF(INDEX(DGArchive[阶段],446)="","",INDEX(DGArchive[阶段],446)))</f>
        <v/>
      </c>
      <c r="CC645" t="str">
        <f>IF(446&gt;ROWS(DGArchive[游戏内日期]),"",IF(INDEX(DGArchive[游戏内日期],446)="","",INDEX(DGArchive[游戏内日期],446)))</f>
        <v/>
      </c>
      <c r="CD645" t="str">
        <f>IF(446&gt;ROWS(DGArchive[目标]),"",IF(INDEX(DGArchive[目标],446)="","",INDEX(DGArchive[目标],446)))</f>
        <v/>
      </c>
      <c r="CE645" t="str">
        <f>IF(446&gt;ROWS(DGArchive[变更前]),"",IF(INDEX(DGArchive[变更前],446)="","",INDEX(DGArchive[变更前],446)))</f>
        <v/>
      </c>
      <c r="CF645" t="str">
        <f>IF(446&gt;ROWS(DGArchive[增减]),"",IF(INDEX(DGArchive[增减],446)="","",INDEX(DGArchive[增减],446)))</f>
        <v/>
      </c>
      <c r="CG645" t="str">
        <f>IF(446&gt;ROWS(DGArchive[变更后]),"",IF(INDEX(DGArchive[变更后],446)="","",INDEX(DGArchive[变更后],446)))</f>
        <v/>
      </c>
      <c r="CH645" t="str">
        <f>IF(446&gt;ROWS(DGArchive[事件／活动]),"",IF(INDEX(DGArchive[事件／活动],446)="","",INDEX(DGArchive[事件／活动],446)))</f>
        <v/>
      </c>
      <c r="CI645" t="str">
        <f>IF(446&gt;ROWS(DGArchive[记录编号]),"",IF(INDEX(DGArchive[记录编号],446)="","",INDEX(DGArchive[记录编号],446)))</f>
        <v/>
      </c>
      <c r="CL645">
        <f t="shared" si="194"/>
        <v>0</v>
      </c>
      <c r="CM645">
        <f>IF(AND(A645=$AO$5,B645=$AQ$3,H645=1),COUNTIFS($A$200:A645,$AO$5,$B$200:B645,$AQ$3,$H$200:H645,1),0)</f>
        <v>0</v>
      </c>
      <c r="CN645">
        <f>IF(CA645="",446,1001)</f>
        <v>446</v>
      </c>
      <c r="GA645">
        <f t="shared" si="214"/>
        <v>0</v>
      </c>
      <c r="GB645">
        <f t="shared" si="215"/>
        <v>0</v>
      </c>
      <c r="GC645">
        <f>IF(AND(C645="事件记录",H645=1),COUNTIFS($C$200:C645,"事件记录",$H$200:H645,1),0)</f>
        <v>0</v>
      </c>
      <c r="GD645">
        <f t="shared" si="195"/>
        <v>0</v>
      </c>
      <c r="GH645">
        <f>IF(AND(H645=1,A645=$GA$10,B645=$GA$11),COUNTIFS($A$200:A645,$GA$10,$B$200:B645,$GA$11,$H$200:H645,1),0)</f>
        <v>0</v>
      </c>
    </row>
    <row r="646" spans="1:190">
      <c r="A646" t="str">
        <f t="shared" si="186"/>
        <v/>
      </c>
      <c r="B646" t="str">
        <f t="shared" si="187"/>
        <v/>
      </c>
      <c r="C646" t="str">
        <f t="shared" si="188"/>
        <v/>
      </c>
      <c r="D646" t="str">
        <f t="shared" si="189"/>
        <v/>
      </c>
      <c r="E646">
        <f t="shared" si="190"/>
        <v>0</v>
      </c>
      <c r="F646" t="str">
        <f t="shared" si="191"/>
        <v/>
      </c>
      <c r="G646">
        <f t="shared" si="192"/>
        <v>0</v>
      </c>
      <c r="H646">
        <f>IF(AND(G646=1,COUNTIFS($I$200:I646,I646,$G$200:G646,1)=1),1,0)</f>
        <v>0</v>
      </c>
      <c r="I646" t="str">
        <f t="shared" si="193"/>
        <v/>
      </c>
      <c r="BF646">
        <f t="shared" si="196"/>
        <v>0</v>
      </c>
      <c r="BG646">
        <f t="shared" si="197"/>
        <v>0</v>
      </c>
      <c r="BH646">
        <f t="shared" si="198"/>
        <v>0</v>
      </c>
      <c r="BI646">
        <f t="shared" si="199"/>
        <v>0</v>
      </c>
      <c r="BJ646">
        <f t="shared" si="200"/>
        <v>0</v>
      </c>
      <c r="BK646">
        <f t="shared" si="201"/>
        <v>0</v>
      </c>
      <c r="BL646">
        <f t="shared" si="202"/>
        <v>0</v>
      </c>
      <c r="BM646">
        <f t="shared" si="203"/>
        <v>0</v>
      </c>
      <c r="BN646">
        <f t="shared" si="204"/>
        <v>0</v>
      </c>
      <c r="BO646">
        <f t="shared" si="205"/>
        <v>0</v>
      </c>
      <c r="BP646">
        <f t="shared" si="206"/>
        <v>0</v>
      </c>
      <c r="BQ646">
        <f t="shared" si="207"/>
        <v>0</v>
      </c>
      <c r="BR646">
        <f t="shared" si="208"/>
        <v>0</v>
      </c>
      <c r="BS646">
        <f t="shared" si="209"/>
        <v>0</v>
      </c>
      <c r="BT646">
        <f t="shared" si="210"/>
        <v>0</v>
      </c>
      <c r="BU646">
        <f t="shared" si="211"/>
        <v>0</v>
      </c>
      <c r="BV646">
        <f t="shared" si="212"/>
        <v>0</v>
      </c>
      <c r="BW646">
        <f t="shared" si="213"/>
        <v>0</v>
      </c>
      <c r="CA646" t="str">
        <f>IF(447&gt;ROWS(DGArchive[模组]),"",IF(INDEX(DGArchive[模组],447)="","",INDEX(DGArchive[模组],447)))</f>
        <v/>
      </c>
      <c r="CB646" t="str">
        <f>IF(447&gt;ROWS(DGArchive[阶段]),"",IF(INDEX(DGArchive[阶段],447)="","",INDEX(DGArchive[阶段],447)))</f>
        <v/>
      </c>
      <c r="CC646" t="str">
        <f>IF(447&gt;ROWS(DGArchive[游戏内日期]),"",IF(INDEX(DGArchive[游戏内日期],447)="","",INDEX(DGArchive[游戏内日期],447)))</f>
        <v/>
      </c>
      <c r="CD646" t="str">
        <f>IF(447&gt;ROWS(DGArchive[目标]),"",IF(INDEX(DGArchive[目标],447)="","",INDEX(DGArchive[目标],447)))</f>
        <v/>
      </c>
      <c r="CE646" t="str">
        <f>IF(447&gt;ROWS(DGArchive[变更前]),"",IF(INDEX(DGArchive[变更前],447)="","",INDEX(DGArchive[变更前],447)))</f>
        <v/>
      </c>
      <c r="CF646" t="str">
        <f>IF(447&gt;ROWS(DGArchive[增减]),"",IF(INDEX(DGArchive[增减],447)="","",INDEX(DGArchive[增减],447)))</f>
        <v/>
      </c>
      <c r="CG646" t="str">
        <f>IF(447&gt;ROWS(DGArchive[变更后]),"",IF(INDEX(DGArchive[变更后],447)="","",INDEX(DGArchive[变更后],447)))</f>
        <v/>
      </c>
      <c r="CH646" t="str">
        <f>IF(447&gt;ROWS(DGArchive[事件／活动]),"",IF(INDEX(DGArchive[事件／活动],447)="","",INDEX(DGArchive[事件／活动],447)))</f>
        <v/>
      </c>
      <c r="CI646" t="str">
        <f>IF(447&gt;ROWS(DGArchive[记录编号]),"",IF(INDEX(DGArchive[记录编号],447)="","",INDEX(DGArchive[记录编号],447)))</f>
        <v/>
      </c>
      <c r="CL646">
        <f t="shared" si="194"/>
        <v>0</v>
      </c>
      <c r="CM646">
        <f>IF(AND(A646=$AO$5,B646=$AQ$3,H646=1),COUNTIFS($A$200:A646,$AO$5,$B$200:B646,$AQ$3,$H$200:H646,1),0)</f>
        <v>0</v>
      </c>
      <c r="CN646">
        <f>IF(CA646="",447,1001)</f>
        <v>447</v>
      </c>
      <c r="GA646">
        <f t="shared" si="214"/>
        <v>0</v>
      </c>
      <c r="GB646">
        <f t="shared" si="215"/>
        <v>0</v>
      </c>
      <c r="GC646">
        <f>IF(AND(C646="事件记录",H646=1),COUNTIFS($C$200:C646,"事件记录",$H$200:H646,1),0)</f>
        <v>0</v>
      </c>
      <c r="GD646">
        <f t="shared" si="195"/>
        <v>0</v>
      </c>
      <c r="GH646">
        <f>IF(AND(H646=1,A646=$GA$10,B646=$GA$11),COUNTIFS($A$200:A646,$GA$10,$B$200:B646,$GA$11,$H$200:H646,1),0)</f>
        <v>0</v>
      </c>
    </row>
    <row r="647" spans="1:190">
      <c r="A647" t="str">
        <f t="shared" si="186"/>
        <v/>
      </c>
      <c r="B647" t="str">
        <f t="shared" si="187"/>
        <v/>
      </c>
      <c r="C647" t="str">
        <f t="shared" si="188"/>
        <v/>
      </c>
      <c r="D647" t="str">
        <f t="shared" si="189"/>
        <v/>
      </c>
      <c r="E647">
        <f t="shared" si="190"/>
        <v>0</v>
      </c>
      <c r="F647" t="str">
        <f t="shared" si="191"/>
        <v/>
      </c>
      <c r="G647">
        <f t="shared" si="192"/>
        <v>0</v>
      </c>
      <c r="H647">
        <f>IF(AND(G647=1,COUNTIFS($I$200:I647,I647,$G$200:G647,1)=1),1,0)</f>
        <v>0</v>
      </c>
      <c r="I647" t="str">
        <f t="shared" si="193"/>
        <v/>
      </c>
      <c r="BF647">
        <f t="shared" si="196"/>
        <v>0</v>
      </c>
      <c r="BG647">
        <f t="shared" si="197"/>
        <v>0</v>
      </c>
      <c r="BH647">
        <f t="shared" si="198"/>
        <v>0</v>
      </c>
      <c r="BI647">
        <f t="shared" si="199"/>
        <v>0</v>
      </c>
      <c r="BJ647">
        <f t="shared" si="200"/>
        <v>0</v>
      </c>
      <c r="BK647">
        <f t="shared" si="201"/>
        <v>0</v>
      </c>
      <c r="BL647">
        <f t="shared" si="202"/>
        <v>0</v>
      </c>
      <c r="BM647">
        <f t="shared" si="203"/>
        <v>0</v>
      </c>
      <c r="BN647">
        <f t="shared" si="204"/>
        <v>0</v>
      </c>
      <c r="BO647">
        <f t="shared" si="205"/>
        <v>0</v>
      </c>
      <c r="BP647">
        <f t="shared" si="206"/>
        <v>0</v>
      </c>
      <c r="BQ647">
        <f t="shared" si="207"/>
        <v>0</v>
      </c>
      <c r="BR647">
        <f t="shared" si="208"/>
        <v>0</v>
      </c>
      <c r="BS647">
        <f t="shared" si="209"/>
        <v>0</v>
      </c>
      <c r="BT647">
        <f t="shared" si="210"/>
        <v>0</v>
      </c>
      <c r="BU647">
        <f t="shared" si="211"/>
        <v>0</v>
      </c>
      <c r="BV647">
        <f t="shared" si="212"/>
        <v>0</v>
      </c>
      <c r="BW647">
        <f t="shared" si="213"/>
        <v>0</v>
      </c>
      <c r="CA647" t="str">
        <f>IF(448&gt;ROWS(DGArchive[模组]),"",IF(INDEX(DGArchive[模组],448)="","",INDEX(DGArchive[模组],448)))</f>
        <v/>
      </c>
      <c r="CB647" t="str">
        <f>IF(448&gt;ROWS(DGArchive[阶段]),"",IF(INDEX(DGArchive[阶段],448)="","",INDEX(DGArchive[阶段],448)))</f>
        <v/>
      </c>
      <c r="CC647" t="str">
        <f>IF(448&gt;ROWS(DGArchive[游戏内日期]),"",IF(INDEX(DGArchive[游戏内日期],448)="","",INDEX(DGArchive[游戏内日期],448)))</f>
        <v/>
      </c>
      <c r="CD647" t="str">
        <f>IF(448&gt;ROWS(DGArchive[目标]),"",IF(INDEX(DGArchive[目标],448)="","",INDEX(DGArchive[目标],448)))</f>
        <v/>
      </c>
      <c r="CE647" t="str">
        <f>IF(448&gt;ROWS(DGArchive[变更前]),"",IF(INDEX(DGArchive[变更前],448)="","",INDEX(DGArchive[变更前],448)))</f>
        <v/>
      </c>
      <c r="CF647" t="str">
        <f>IF(448&gt;ROWS(DGArchive[增减]),"",IF(INDEX(DGArchive[增减],448)="","",INDEX(DGArchive[增减],448)))</f>
        <v/>
      </c>
      <c r="CG647" t="str">
        <f>IF(448&gt;ROWS(DGArchive[变更后]),"",IF(INDEX(DGArchive[变更后],448)="","",INDEX(DGArchive[变更后],448)))</f>
        <v/>
      </c>
      <c r="CH647" t="str">
        <f>IF(448&gt;ROWS(DGArchive[事件／活动]),"",IF(INDEX(DGArchive[事件／活动],448)="","",INDEX(DGArchive[事件／活动],448)))</f>
        <v/>
      </c>
      <c r="CI647" t="str">
        <f>IF(448&gt;ROWS(DGArchive[记录编号]),"",IF(INDEX(DGArchive[记录编号],448)="","",INDEX(DGArchive[记录编号],448)))</f>
        <v/>
      </c>
      <c r="CL647">
        <f t="shared" si="194"/>
        <v>0</v>
      </c>
      <c r="CM647">
        <f>IF(AND(A647=$AO$5,B647=$AQ$3,H647=1),COUNTIFS($A$200:A647,$AO$5,$B$200:B647,$AQ$3,$H$200:H647,1),0)</f>
        <v>0</v>
      </c>
      <c r="CN647">
        <f>IF(CA647="",448,1001)</f>
        <v>448</v>
      </c>
      <c r="GA647">
        <f t="shared" si="214"/>
        <v>0</v>
      </c>
      <c r="GB647">
        <f t="shared" si="215"/>
        <v>0</v>
      </c>
      <c r="GC647">
        <f>IF(AND(C647="事件记录",H647=1),COUNTIFS($C$200:C647,"事件记录",$H$200:H647,1),0)</f>
        <v>0</v>
      </c>
      <c r="GD647">
        <f t="shared" si="195"/>
        <v>0</v>
      </c>
      <c r="GH647">
        <f>IF(AND(H647=1,A647=$GA$10,B647=$GA$11),COUNTIFS($A$200:A647,$GA$10,$B$200:B647,$GA$11,$H$200:H647,1),0)</f>
        <v>0</v>
      </c>
    </row>
    <row r="648" spans="1:190">
      <c r="A648" t="str">
        <f t="shared" ref="A648:A711" si="216">IFERROR(TEXT(VALUE(CA648),"00"),"")</f>
        <v/>
      </c>
      <c r="B648" t="str">
        <f t="shared" ref="B648:B711" si="217">CB648</f>
        <v/>
      </c>
      <c r="C648" t="str">
        <f t="shared" ref="C648:C711" si="218">CD648</f>
        <v/>
      </c>
      <c r="D648" t="str">
        <f t="shared" ref="D648:D711" si="219">CF648</f>
        <v/>
      </c>
      <c r="E648">
        <f t="shared" ref="E648:E711" si="220">IF(H648=1,MAX(-CE648,MIN(D648,IF(LEFT(C648,3)="技能：",99,IF(COUNTIF($L$2:$L$7,C648)&gt;0,18,999))-CE648)),0)</f>
        <v>0</v>
      </c>
      <c r="F648" t="str">
        <f t="shared" ref="F648:F711" si="221">IF(OR(C648=0,C648=""),"",IF(G648=0,"记录不完整",IF(H648=0,"重复未计","已计入")))</f>
        <v/>
      </c>
      <c r="G648">
        <f t="shared" ref="G648:G711" si="222">IF(AND(AND(CA648&lt;&gt;"",CB648&lt;&gt;"",CI648&lt;&gt;"",OR(LEFT(C648,3)="技能：",COUNTIF($L$2:$L$19,C648)&gt;0,C648="事件记录",C648="暴力进度",C648="无力进度"),ISNUMBER(CE648),ISNUMBER(CF648),ISNUMBER(CG648),CE648&gt;=0,CG648=SUM(CE648,CF648)),OR(B648&lt;&gt;"成长",AND(LEFT(C648,3)="技能：",C648&lt;&gt;"技能：非自然知识",CE648&gt;=1,CE648&lt;=99,CF648&gt;=0,CF648&lt;=4,CG648&lt;=99))),1,0)</f>
        <v>0</v>
      </c>
      <c r="H648">
        <f>IF(AND(G648=1,COUNTIFS($I$200:I648,I648,$G$200:G648,1)=1),1,0)</f>
        <v>0</v>
      </c>
      <c r="I648" t="str">
        <f t="shared" ref="I648:I711" si="223">IF(G648=1,IF(B648="成长",A648&amp;"-成长-"&amp;C648,CI648),"")</f>
        <v/>
      </c>
      <c r="BF648">
        <f t="shared" si="196"/>
        <v>0</v>
      </c>
      <c r="BG648">
        <f t="shared" si="197"/>
        <v>0</v>
      </c>
      <c r="BH648">
        <f t="shared" si="198"/>
        <v>0</v>
      </c>
      <c r="BI648">
        <f t="shared" si="199"/>
        <v>0</v>
      </c>
      <c r="BJ648">
        <f t="shared" si="200"/>
        <v>0</v>
      </c>
      <c r="BK648">
        <f t="shared" si="201"/>
        <v>0</v>
      </c>
      <c r="BL648">
        <f t="shared" si="202"/>
        <v>0</v>
      </c>
      <c r="BM648">
        <f t="shared" si="203"/>
        <v>0</v>
      </c>
      <c r="BN648">
        <f t="shared" si="204"/>
        <v>0</v>
      </c>
      <c r="BO648">
        <f t="shared" si="205"/>
        <v>0</v>
      </c>
      <c r="BP648">
        <f t="shared" si="206"/>
        <v>0</v>
      </c>
      <c r="BQ648">
        <f t="shared" si="207"/>
        <v>0</v>
      </c>
      <c r="BR648">
        <f t="shared" si="208"/>
        <v>0</v>
      </c>
      <c r="BS648">
        <f t="shared" si="209"/>
        <v>0</v>
      </c>
      <c r="BT648">
        <f t="shared" si="210"/>
        <v>0</v>
      </c>
      <c r="BU648">
        <f t="shared" si="211"/>
        <v>0</v>
      </c>
      <c r="BV648">
        <f t="shared" si="212"/>
        <v>0</v>
      </c>
      <c r="BW648">
        <f t="shared" si="213"/>
        <v>0</v>
      </c>
      <c r="CA648" t="str">
        <f>IF(449&gt;ROWS(DGArchive[模组]),"",IF(INDEX(DGArchive[模组],449)="","",INDEX(DGArchive[模组],449)))</f>
        <v/>
      </c>
      <c r="CB648" t="str">
        <f>IF(449&gt;ROWS(DGArchive[阶段]),"",IF(INDEX(DGArchive[阶段],449)="","",INDEX(DGArchive[阶段],449)))</f>
        <v/>
      </c>
      <c r="CC648" t="str">
        <f>IF(449&gt;ROWS(DGArchive[游戏内日期]),"",IF(INDEX(DGArchive[游戏内日期],449)="","",INDEX(DGArchive[游戏内日期],449)))</f>
        <v/>
      </c>
      <c r="CD648" t="str">
        <f>IF(449&gt;ROWS(DGArchive[目标]),"",IF(INDEX(DGArchive[目标],449)="","",INDEX(DGArchive[目标],449)))</f>
        <v/>
      </c>
      <c r="CE648" t="str">
        <f>IF(449&gt;ROWS(DGArchive[变更前]),"",IF(INDEX(DGArchive[变更前],449)="","",INDEX(DGArchive[变更前],449)))</f>
        <v/>
      </c>
      <c r="CF648" t="str">
        <f>IF(449&gt;ROWS(DGArchive[增减]),"",IF(INDEX(DGArchive[增减],449)="","",INDEX(DGArchive[增减],449)))</f>
        <v/>
      </c>
      <c r="CG648" t="str">
        <f>IF(449&gt;ROWS(DGArchive[变更后]),"",IF(INDEX(DGArchive[变更后],449)="","",INDEX(DGArchive[变更后],449)))</f>
        <v/>
      </c>
      <c r="CH648" t="str">
        <f>IF(449&gt;ROWS(DGArchive[事件／活动]),"",IF(INDEX(DGArchive[事件／活动],449)="","",INDEX(DGArchive[事件／活动],449)))</f>
        <v/>
      </c>
      <c r="CI648" t="str">
        <f>IF(449&gt;ROWS(DGArchive[记录编号]),"",IF(INDEX(DGArchive[记录编号],449)="","",INDEX(DGArchive[记录编号],449)))</f>
        <v/>
      </c>
      <c r="CL648">
        <f t="shared" ref="CL648:CL711" si="224">IF(AND(A648=$AO$5,H648=1,LEFT(B648,2)="幕间"),IFERROR(VALUE(MID(B648,3,20)),0),0)</f>
        <v>0</v>
      </c>
      <c r="CM648">
        <f>IF(AND(A648=$AO$5,B648=$AQ$3,H648=1),COUNTIFS($A$200:A648,$AO$5,$B$200:B648,$AQ$3,$H$200:H648,1),0)</f>
        <v>0</v>
      </c>
      <c r="CN648">
        <f>IF(CA648="",449,1001)</f>
        <v>449</v>
      </c>
      <c r="GA648">
        <f t="shared" si="214"/>
        <v>0</v>
      </c>
      <c r="GB648">
        <f t="shared" si="215"/>
        <v>0</v>
      </c>
      <c r="GC648">
        <f>IF(AND(C648="事件记录",H648=1),COUNTIFS($C$200:C648,"事件记录",$H$200:H648,1),0)</f>
        <v>0</v>
      </c>
      <c r="GD648">
        <f t="shared" ref="GD648:GD711" si="225">IF(AND(H648=1,A648=$GA$10,LEFT(B648,2)="事件"),IFERROR(VALUE(MID(B648,3,20)),0),0)</f>
        <v>0</v>
      </c>
      <c r="GH648">
        <f>IF(AND(H648=1,A648=$GA$10,B648=$GA$11),COUNTIFS($A$200:A648,$GA$10,$B$200:B648,$GA$11,$H$200:H648,1),0)</f>
        <v>0</v>
      </c>
    </row>
    <row r="649" spans="1:190">
      <c r="A649" t="str">
        <f t="shared" si="216"/>
        <v/>
      </c>
      <c r="B649" t="str">
        <f t="shared" si="217"/>
        <v/>
      </c>
      <c r="C649" t="str">
        <f t="shared" si="218"/>
        <v/>
      </c>
      <c r="D649" t="str">
        <f t="shared" si="219"/>
        <v/>
      </c>
      <c r="E649">
        <f t="shared" si="220"/>
        <v>0</v>
      </c>
      <c r="F649" t="str">
        <f t="shared" si="221"/>
        <v/>
      </c>
      <c r="G649">
        <f t="shared" si="222"/>
        <v>0</v>
      </c>
      <c r="H649">
        <f>IF(AND(G649=1,COUNTIFS($I$200:I649,I649,$G$200:G649,1)=1),1,0)</f>
        <v>0</v>
      </c>
      <c r="I649" t="str">
        <f t="shared" si="223"/>
        <v/>
      </c>
      <c r="BF649">
        <f t="shared" ref="BF649:BF712" si="226">MAX(0,MIN(18,BF648+IF(C649="力量",E649,0)))</f>
        <v>0</v>
      </c>
      <c r="BG649">
        <f t="shared" ref="BG649:BG712" si="227">MAX(0,MIN(18,BG648+IF(C649="体质",E649,0)))</f>
        <v>0</v>
      </c>
      <c r="BH649">
        <f t="shared" ref="BH649:BH712" si="228">MAX(0,MIN(18,BH648+IF(C649="敏捷",E649,0)))</f>
        <v>0</v>
      </c>
      <c r="BI649">
        <f t="shared" ref="BI649:BI712" si="229">MAX(0,MIN(18,BI648+IF(C649="智力",E649,0)))</f>
        <v>0</v>
      </c>
      <c r="BJ649">
        <f t="shared" ref="BJ649:BJ712" si="230">MAX(0,MIN(18,BJ648+IF(C649="意志",E649,0)))</f>
        <v>0</v>
      </c>
      <c r="BK649">
        <f t="shared" ref="BK649:BK712" si="231">MAX(0,MIN(18,BK648+IF(C649="魅力",E649,0)))</f>
        <v>0</v>
      </c>
      <c r="BL649">
        <f t="shared" ref="BL649:BL712" si="232">MAX(0,MIN(99,BL648+IF(C649="技能：非自然知识",E649,0)))</f>
        <v>0</v>
      </c>
      <c r="BM649">
        <f t="shared" ref="BM649:BM712" si="233">MAX(0,MIN(CEILING((BF649+BG649)/2,1),BM648+IF(C649="体力",E649,0)))</f>
        <v>0</v>
      </c>
      <c r="BN649">
        <f t="shared" ref="BN649:BN712" si="234">MAX(0,MIN(BJ649,BN648+IF(C649="毅力",E649,0)))</f>
        <v>0</v>
      </c>
      <c r="BO649">
        <f t="shared" ref="BO649:BO712" si="235">MAX(0,MIN(99-BL649,BO648+IF(C649="理智",E649,0)))</f>
        <v>0</v>
      </c>
      <c r="BP649">
        <f t="shared" ref="BP649:BP712" si="236">MAX(0,MIN(99,BP648+IF(C649="崩溃点",E649,0)))</f>
        <v>0</v>
      </c>
      <c r="BQ649">
        <f t="shared" ref="BQ649:BQ712" si="237">MAX(0,MIN(BK649,IF(AND(H649=1,C649="重要关系1",LEFT(CH649,8)="建立新的重要关系"),CE649+E649,IF(BQ648=0,0,BQ648+IF(C649="重要关系1",E649,0))+IF(AND(C649="魅力",E649&lt;0),E649,0))))</f>
        <v>0</v>
      </c>
      <c r="BR649">
        <f t="shared" ref="BR649:BR712" si="238">MAX(0,MIN(BK649,IF(AND(H649=1,C649="重要关系2",LEFT(CH649,8)="建立新的重要关系"),CE649+E649,IF(BR648=0,0,BR648+IF(C649="重要关系2",E649,0))+IF(AND(C649="魅力",E649&lt;0),E649,0))))</f>
        <v>0</v>
      </c>
      <c r="BS649">
        <f t="shared" ref="BS649:BS712" si="239">MAX(0,MIN(BK649,IF(AND(H649=1,C649="重要关系3",LEFT(CH649,8)="建立新的重要关系"),CE649+E649,IF(BS648=0,0,BS648+IF(C649="重要关系3",E649,0))+IF(AND(C649="魅力",E649&lt;0),E649,0))))</f>
        <v>0</v>
      </c>
      <c r="BT649">
        <f t="shared" ref="BT649:BT712" si="240">MAX(0,MIN(BK649,IF(AND(H649=1,C649="重要关系4",LEFT(CH649,8)="建立新的重要关系"),CE649+E649,IF(BT648=0,0,BT648+IF(C649="重要关系4",E649,0))+IF(AND(C649="魅力",E649&lt;0),E649,0))))</f>
        <v>0</v>
      </c>
      <c r="BU649">
        <f t="shared" ref="BU649:BU712" si="241">MAX(0,MIN(BK649,IF(AND(H649=1,C649="重要关系5",LEFT(CH649,8)="建立新的重要关系"),CE649+E649,IF(BU648=0,0,BU648+IF(C649="重要关系5",E649,0))+IF(AND(C649="魅力",E649&lt;0),E649,0))))</f>
        <v>0</v>
      </c>
      <c r="BV649">
        <f t="shared" ref="BV649:BV712" si="242">MAX(0,MIN(BK649,IF(AND(H649=1,C649="重要关系6",LEFT(CH649,8)="建立新的重要关系"),CE649+E649,IF(BV648=0,0,BV648+IF(C649="重要关系6",E649,0))+IF(AND(C649="魅力",E649&lt;0),E649,0))))</f>
        <v>0</v>
      </c>
      <c r="BW649">
        <f t="shared" ref="BW649:BW712" si="243">MAX(0,MIN(BK649,IF(AND(H649=1,C649="重要关系7",LEFT(CH649,8)="建立新的重要关系"),CE649+E649,IF(BW648=0,0,BW648+IF(C649="重要关系7",E649,0))+IF(AND(C649="魅力",E649&lt;0),E649,0))))</f>
        <v>0</v>
      </c>
      <c r="CA649" t="str">
        <f>IF(450&gt;ROWS(DGArchive[模组]),"",IF(INDEX(DGArchive[模组],450)="","",INDEX(DGArchive[模组],450)))</f>
        <v/>
      </c>
      <c r="CB649" t="str">
        <f>IF(450&gt;ROWS(DGArchive[阶段]),"",IF(INDEX(DGArchive[阶段],450)="","",INDEX(DGArchive[阶段],450)))</f>
        <v/>
      </c>
      <c r="CC649" t="str">
        <f>IF(450&gt;ROWS(DGArchive[游戏内日期]),"",IF(INDEX(DGArchive[游戏内日期],450)="","",INDEX(DGArchive[游戏内日期],450)))</f>
        <v/>
      </c>
      <c r="CD649" t="str">
        <f>IF(450&gt;ROWS(DGArchive[目标]),"",IF(INDEX(DGArchive[目标],450)="","",INDEX(DGArchive[目标],450)))</f>
        <v/>
      </c>
      <c r="CE649" t="str">
        <f>IF(450&gt;ROWS(DGArchive[变更前]),"",IF(INDEX(DGArchive[变更前],450)="","",INDEX(DGArchive[变更前],450)))</f>
        <v/>
      </c>
      <c r="CF649" t="str">
        <f>IF(450&gt;ROWS(DGArchive[增减]),"",IF(INDEX(DGArchive[增减],450)="","",INDEX(DGArchive[增减],450)))</f>
        <v/>
      </c>
      <c r="CG649" t="str">
        <f>IF(450&gt;ROWS(DGArchive[变更后]),"",IF(INDEX(DGArchive[变更后],450)="","",INDEX(DGArchive[变更后],450)))</f>
        <v/>
      </c>
      <c r="CH649" t="str">
        <f>IF(450&gt;ROWS(DGArchive[事件／活动]),"",IF(INDEX(DGArchive[事件／活动],450)="","",INDEX(DGArchive[事件／活动],450)))</f>
        <v/>
      </c>
      <c r="CI649" t="str">
        <f>IF(450&gt;ROWS(DGArchive[记录编号]),"",IF(INDEX(DGArchive[记录编号],450)="","",INDEX(DGArchive[记录编号],450)))</f>
        <v/>
      </c>
      <c r="CL649">
        <f t="shared" si="224"/>
        <v>0</v>
      </c>
      <c r="CM649">
        <f>IF(AND(A649=$AO$5,B649=$AQ$3,H649=1),COUNTIFS($A$200:A649,$AO$5,$B$200:B649,$AQ$3,$H$200:H649,1),0)</f>
        <v>0</v>
      </c>
      <c r="CN649">
        <f>IF(CA649="",450,1001)</f>
        <v>450</v>
      </c>
      <c r="GA649">
        <f t="shared" ref="GA649:GA712" si="244">MAX(0,MIN(3,GA648+IF(C649="暴力进度",E649,0)))</f>
        <v>0</v>
      </c>
      <c r="GB649">
        <f t="shared" ref="GB649:GB712" si="245">MAX(0,MIN(3,GB648+IF(C649="无力进度",E649,0)))</f>
        <v>0</v>
      </c>
      <c r="GC649">
        <f>IF(AND(C649="事件记录",H649=1),COUNTIFS($C$200:C649,"事件记录",$H$200:H649,1),0)</f>
        <v>0</v>
      </c>
      <c r="GD649">
        <f t="shared" si="225"/>
        <v>0</v>
      </c>
      <c r="GH649">
        <f>IF(AND(H649=1,A649=$GA$10,B649=$GA$11),COUNTIFS($A$200:A649,$GA$10,$B$200:B649,$GA$11,$H$200:H649,1),0)</f>
        <v>0</v>
      </c>
    </row>
    <row r="650" spans="1:190">
      <c r="A650" t="str">
        <f t="shared" si="216"/>
        <v/>
      </c>
      <c r="B650" t="str">
        <f t="shared" si="217"/>
        <v/>
      </c>
      <c r="C650" t="str">
        <f t="shared" si="218"/>
        <v/>
      </c>
      <c r="D650" t="str">
        <f t="shared" si="219"/>
        <v/>
      </c>
      <c r="E650">
        <f t="shared" si="220"/>
        <v>0</v>
      </c>
      <c r="F650" t="str">
        <f t="shared" si="221"/>
        <v/>
      </c>
      <c r="G650">
        <f t="shared" si="222"/>
        <v>0</v>
      </c>
      <c r="H650">
        <f>IF(AND(G650=1,COUNTIFS($I$200:I650,I650,$G$200:G650,1)=1),1,0)</f>
        <v>0</v>
      </c>
      <c r="I650" t="str">
        <f t="shared" si="223"/>
        <v/>
      </c>
      <c r="BF650">
        <f t="shared" si="226"/>
        <v>0</v>
      </c>
      <c r="BG650">
        <f t="shared" si="227"/>
        <v>0</v>
      </c>
      <c r="BH650">
        <f t="shared" si="228"/>
        <v>0</v>
      </c>
      <c r="BI650">
        <f t="shared" si="229"/>
        <v>0</v>
      </c>
      <c r="BJ650">
        <f t="shared" si="230"/>
        <v>0</v>
      </c>
      <c r="BK650">
        <f t="shared" si="231"/>
        <v>0</v>
      </c>
      <c r="BL650">
        <f t="shared" si="232"/>
        <v>0</v>
      </c>
      <c r="BM650">
        <f t="shared" si="233"/>
        <v>0</v>
      </c>
      <c r="BN650">
        <f t="shared" si="234"/>
        <v>0</v>
      </c>
      <c r="BO650">
        <f t="shared" si="235"/>
        <v>0</v>
      </c>
      <c r="BP650">
        <f t="shared" si="236"/>
        <v>0</v>
      </c>
      <c r="BQ650">
        <f t="shared" si="237"/>
        <v>0</v>
      </c>
      <c r="BR650">
        <f t="shared" si="238"/>
        <v>0</v>
      </c>
      <c r="BS650">
        <f t="shared" si="239"/>
        <v>0</v>
      </c>
      <c r="BT650">
        <f t="shared" si="240"/>
        <v>0</v>
      </c>
      <c r="BU650">
        <f t="shared" si="241"/>
        <v>0</v>
      </c>
      <c r="BV650">
        <f t="shared" si="242"/>
        <v>0</v>
      </c>
      <c r="BW650">
        <f t="shared" si="243"/>
        <v>0</v>
      </c>
      <c r="CA650" t="str">
        <f>IF(451&gt;ROWS(DGArchive[模组]),"",IF(INDEX(DGArchive[模组],451)="","",INDEX(DGArchive[模组],451)))</f>
        <v/>
      </c>
      <c r="CB650" t="str">
        <f>IF(451&gt;ROWS(DGArchive[阶段]),"",IF(INDEX(DGArchive[阶段],451)="","",INDEX(DGArchive[阶段],451)))</f>
        <v/>
      </c>
      <c r="CC650" t="str">
        <f>IF(451&gt;ROWS(DGArchive[游戏内日期]),"",IF(INDEX(DGArchive[游戏内日期],451)="","",INDEX(DGArchive[游戏内日期],451)))</f>
        <v/>
      </c>
      <c r="CD650" t="str">
        <f>IF(451&gt;ROWS(DGArchive[目标]),"",IF(INDEX(DGArchive[目标],451)="","",INDEX(DGArchive[目标],451)))</f>
        <v/>
      </c>
      <c r="CE650" t="str">
        <f>IF(451&gt;ROWS(DGArchive[变更前]),"",IF(INDEX(DGArchive[变更前],451)="","",INDEX(DGArchive[变更前],451)))</f>
        <v/>
      </c>
      <c r="CF650" t="str">
        <f>IF(451&gt;ROWS(DGArchive[增减]),"",IF(INDEX(DGArchive[增减],451)="","",INDEX(DGArchive[增减],451)))</f>
        <v/>
      </c>
      <c r="CG650" t="str">
        <f>IF(451&gt;ROWS(DGArchive[变更后]),"",IF(INDEX(DGArchive[变更后],451)="","",INDEX(DGArchive[变更后],451)))</f>
        <v/>
      </c>
      <c r="CH650" t="str">
        <f>IF(451&gt;ROWS(DGArchive[事件／活动]),"",IF(INDEX(DGArchive[事件／活动],451)="","",INDEX(DGArchive[事件／活动],451)))</f>
        <v/>
      </c>
      <c r="CI650" t="str">
        <f>IF(451&gt;ROWS(DGArchive[记录编号]),"",IF(INDEX(DGArchive[记录编号],451)="","",INDEX(DGArchive[记录编号],451)))</f>
        <v/>
      </c>
      <c r="CL650">
        <f t="shared" si="224"/>
        <v>0</v>
      </c>
      <c r="CM650">
        <f>IF(AND(A650=$AO$5,B650=$AQ$3,H650=1),COUNTIFS($A$200:A650,$AO$5,$B$200:B650,$AQ$3,$H$200:H650,1),0)</f>
        <v>0</v>
      </c>
      <c r="CN650">
        <f>IF(CA650="",451,1001)</f>
        <v>451</v>
      </c>
      <c r="GA650">
        <f t="shared" si="244"/>
        <v>0</v>
      </c>
      <c r="GB650">
        <f t="shared" si="245"/>
        <v>0</v>
      </c>
      <c r="GC650">
        <f>IF(AND(C650="事件记录",H650=1),COUNTIFS($C$200:C650,"事件记录",$H$200:H650,1),0)</f>
        <v>0</v>
      </c>
      <c r="GD650">
        <f t="shared" si="225"/>
        <v>0</v>
      </c>
      <c r="GH650">
        <f>IF(AND(H650=1,A650=$GA$10,B650=$GA$11),COUNTIFS($A$200:A650,$GA$10,$B$200:B650,$GA$11,$H$200:H650,1),0)</f>
        <v>0</v>
      </c>
    </row>
    <row r="651" spans="1:190">
      <c r="A651" t="str">
        <f t="shared" si="216"/>
        <v/>
      </c>
      <c r="B651" t="str">
        <f t="shared" si="217"/>
        <v/>
      </c>
      <c r="C651" t="str">
        <f t="shared" si="218"/>
        <v/>
      </c>
      <c r="D651" t="str">
        <f t="shared" si="219"/>
        <v/>
      </c>
      <c r="E651">
        <f t="shared" si="220"/>
        <v>0</v>
      </c>
      <c r="F651" t="str">
        <f t="shared" si="221"/>
        <v/>
      </c>
      <c r="G651">
        <f t="shared" si="222"/>
        <v>0</v>
      </c>
      <c r="H651">
        <f>IF(AND(G651=1,COUNTIFS($I$200:I651,I651,$G$200:G651,1)=1),1,0)</f>
        <v>0</v>
      </c>
      <c r="I651" t="str">
        <f t="shared" si="223"/>
        <v/>
      </c>
      <c r="BF651">
        <f t="shared" si="226"/>
        <v>0</v>
      </c>
      <c r="BG651">
        <f t="shared" si="227"/>
        <v>0</v>
      </c>
      <c r="BH651">
        <f t="shared" si="228"/>
        <v>0</v>
      </c>
      <c r="BI651">
        <f t="shared" si="229"/>
        <v>0</v>
      </c>
      <c r="BJ651">
        <f t="shared" si="230"/>
        <v>0</v>
      </c>
      <c r="BK651">
        <f t="shared" si="231"/>
        <v>0</v>
      </c>
      <c r="BL651">
        <f t="shared" si="232"/>
        <v>0</v>
      </c>
      <c r="BM651">
        <f t="shared" si="233"/>
        <v>0</v>
      </c>
      <c r="BN651">
        <f t="shared" si="234"/>
        <v>0</v>
      </c>
      <c r="BO651">
        <f t="shared" si="235"/>
        <v>0</v>
      </c>
      <c r="BP651">
        <f t="shared" si="236"/>
        <v>0</v>
      </c>
      <c r="BQ651">
        <f t="shared" si="237"/>
        <v>0</v>
      </c>
      <c r="BR651">
        <f t="shared" si="238"/>
        <v>0</v>
      </c>
      <c r="BS651">
        <f t="shared" si="239"/>
        <v>0</v>
      </c>
      <c r="BT651">
        <f t="shared" si="240"/>
        <v>0</v>
      </c>
      <c r="BU651">
        <f t="shared" si="241"/>
        <v>0</v>
      </c>
      <c r="BV651">
        <f t="shared" si="242"/>
        <v>0</v>
      </c>
      <c r="BW651">
        <f t="shared" si="243"/>
        <v>0</v>
      </c>
      <c r="CA651" t="str">
        <f>IF(452&gt;ROWS(DGArchive[模组]),"",IF(INDEX(DGArchive[模组],452)="","",INDEX(DGArchive[模组],452)))</f>
        <v/>
      </c>
      <c r="CB651" t="str">
        <f>IF(452&gt;ROWS(DGArchive[阶段]),"",IF(INDEX(DGArchive[阶段],452)="","",INDEX(DGArchive[阶段],452)))</f>
        <v/>
      </c>
      <c r="CC651" t="str">
        <f>IF(452&gt;ROWS(DGArchive[游戏内日期]),"",IF(INDEX(DGArchive[游戏内日期],452)="","",INDEX(DGArchive[游戏内日期],452)))</f>
        <v/>
      </c>
      <c r="CD651" t="str">
        <f>IF(452&gt;ROWS(DGArchive[目标]),"",IF(INDEX(DGArchive[目标],452)="","",INDEX(DGArchive[目标],452)))</f>
        <v/>
      </c>
      <c r="CE651" t="str">
        <f>IF(452&gt;ROWS(DGArchive[变更前]),"",IF(INDEX(DGArchive[变更前],452)="","",INDEX(DGArchive[变更前],452)))</f>
        <v/>
      </c>
      <c r="CF651" t="str">
        <f>IF(452&gt;ROWS(DGArchive[增减]),"",IF(INDEX(DGArchive[增减],452)="","",INDEX(DGArchive[增减],452)))</f>
        <v/>
      </c>
      <c r="CG651" t="str">
        <f>IF(452&gt;ROWS(DGArchive[变更后]),"",IF(INDEX(DGArchive[变更后],452)="","",INDEX(DGArchive[变更后],452)))</f>
        <v/>
      </c>
      <c r="CH651" t="str">
        <f>IF(452&gt;ROWS(DGArchive[事件／活动]),"",IF(INDEX(DGArchive[事件／活动],452)="","",INDEX(DGArchive[事件／活动],452)))</f>
        <v/>
      </c>
      <c r="CI651" t="str">
        <f>IF(452&gt;ROWS(DGArchive[记录编号]),"",IF(INDEX(DGArchive[记录编号],452)="","",INDEX(DGArchive[记录编号],452)))</f>
        <v/>
      </c>
      <c r="CL651">
        <f t="shared" si="224"/>
        <v>0</v>
      </c>
      <c r="CM651">
        <f>IF(AND(A651=$AO$5,B651=$AQ$3,H651=1),COUNTIFS($A$200:A651,$AO$5,$B$200:B651,$AQ$3,$H$200:H651,1),0)</f>
        <v>0</v>
      </c>
      <c r="CN651">
        <f>IF(CA651="",452,1001)</f>
        <v>452</v>
      </c>
      <c r="GA651">
        <f t="shared" si="244"/>
        <v>0</v>
      </c>
      <c r="GB651">
        <f t="shared" si="245"/>
        <v>0</v>
      </c>
      <c r="GC651">
        <f>IF(AND(C651="事件记录",H651=1),COUNTIFS($C$200:C651,"事件记录",$H$200:H651,1),0)</f>
        <v>0</v>
      </c>
      <c r="GD651">
        <f t="shared" si="225"/>
        <v>0</v>
      </c>
      <c r="GH651">
        <f>IF(AND(H651=1,A651=$GA$10,B651=$GA$11),COUNTIFS($A$200:A651,$GA$10,$B$200:B651,$GA$11,$H$200:H651,1),0)</f>
        <v>0</v>
      </c>
    </row>
    <row r="652" spans="1:190">
      <c r="A652" t="str">
        <f t="shared" si="216"/>
        <v/>
      </c>
      <c r="B652" t="str">
        <f t="shared" si="217"/>
        <v/>
      </c>
      <c r="C652" t="str">
        <f t="shared" si="218"/>
        <v/>
      </c>
      <c r="D652" t="str">
        <f t="shared" si="219"/>
        <v/>
      </c>
      <c r="E652">
        <f t="shared" si="220"/>
        <v>0</v>
      </c>
      <c r="F652" t="str">
        <f t="shared" si="221"/>
        <v/>
      </c>
      <c r="G652">
        <f t="shared" si="222"/>
        <v>0</v>
      </c>
      <c r="H652">
        <f>IF(AND(G652=1,COUNTIFS($I$200:I652,I652,$G$200:G652,1)=1),1,0)</f>
        <v>0</v>
      </c>
      <c r="I652" t="str">
        <f t="shared" si="223"/>
        <v/>
      </c>
      <c r="BF652">
        <f t="shared" si="226"/>
        <v>0</v>
      </c>
      <c r="BG652">
        <f t="shared" si="227"/>
        <v>0</v>
      </c>
      <c r="BH652">
        <f t="shared" si="228"/>
        <v>0</v>
      </c>
      <c r="BI652">
        <f t="shared" si="229"/>
        <v>0</v>
      </c>
      <c r="BJ652">
        <f t="shared" si="230"/>
        <v>0</v>
      </c>
      <c r="BK652">
        <f t="shared" si="231"/>
        <v>0</v>
      </c>
      <c r="BL652">
        <f t="shared" si="232"/>
        <v>0</v>
      </c>
      <c r="BM652">
        <f t="shared" si="233"/>
        <v>0</v>
      </c>
      <c r="BN652">
        <f t="shared" si="234"/>
        <v>0</v>
      </c>
      <c r="BO652">
        <f t="shared" si="235"/>
        <v>0</v>
      </c>
      <c r="BP652">
        <f t="shared" si="236"/>
        <v>0</v>
      </c>
      <c r="BQ652">
        <f t="shared" si="237"/>
        <v>0</v>
      </c>
      <c r="BR652">
        <f t="shared" si="238"/>
        <v>0</v>
      </c>
      <c r="BS652">
        <f t="shared" si="239"/>
        <v>0</v>
      </c>
      <c r="BT652">
        <f t="shared" si="240"/>
        <v>0</v>
      </c>
      <c r="BU652">
        <f t="shared" si="241"/>
        <v>0</v>
      </c>
      <c r="BV652">
        <f t="shared" si="242"/>
        <v>0</v>
      </c>
      <c r="BW652">
        <f t="shared" si="243"/>
        <v>0</v>
      </c>
      <c r="CA652" t="str">
        <f>IF(453&gt;ROWS(DGArchive[模组]),"",IF(INDEX(DGArchive[模组],453)="","",INDEX(DGArchive[模组],453)))</f>
        <v/>
      </c>
      <c r="CB652" t="str">
        <f>IF(453&gt;ROWS(DGArchive[阶段]),"",IF(INDEX(DGArchive[阶段],453)="","",INDEX(DGArchive[阶段],453)))</f>
        <v/>
      </c>
      <c r="CC652" t="str">
        <f>IF(453&gt;ROWS(DGArchive[游戏内日期]),"",IF(INDEX(DGArchive[游戏内日期],453)="","",INDEX(DGArchive[游戏内日期],453)))</f>
        <v/>
      </c>
      <c r="CD652" t="str">
        <f>IF(453&gt;ROWS(DGArchive[目标]),"",IF(INDEX(DGArchive[目标],453)="","",INDEX(DGArchive[目标],453)))</f>
        <v/>
      </c>
      <c r="CE652" t="str">
        <f>IF(453&gt;ROWS(DGArchive[变更前]),"",IF(INDEX(DGArchive[变更前],453)="","",INDEX(DGArchive[变更前],453)))</f>
        <v/>
      </c>
      <c r="CF652" t="str">
        <f>IF(453&gt;ROWS(DGArchive[增减]),"",IF(INDEX(DGArchive[增减],453)="","",INDEX(DGArchive[增减],453)))</f>
        <v/>
      </c>
      <c r="CG652" t="str">
        <f>IF(453&gt;ROWS(DGArchive[变更后]),"",IF(INDEX(DGArchive[变更后],453)="","",INDEX(DGArchive[变更后],453)))</f>
        <v/>
      </c>
      <c r="CH652" t="str">
        <f>IF(453&gt;ROWS(DGArchive[事件／活动]),"",IF(INDEX(DGArchive[事件／活动],453)="","",INDEX(DGArchive[事件／活动],453)))</f>
        <v/>
      </c>
      <c r="CI652" t="str">
        <f>IF(453&gt;ROWS(DGArchive[记录编号]),"",IF(INDEX(DGArchive[记录编号],453)="","",INDEX(DGArchive[记录编号],453)))</f>
        <v/>
      </c>
      <c r="CL652">
        <f t="shared" si="224"/>
        <v>0</v>
      </c>
      <c r="CM652">
        <f>IF(AND(A652=$AO$5,B652=$AQ$3,H652=1),COUNTIFS($A$200:A652,$AO$5,$B$200:B652,$AQ$3,$H$200:H652,1),0)</f>
        <v>0</v>
      </c>
      <c r="CN652">
        <f>IF(CA652="",453,1001)</f>
        <v>453</v>
      </c>
      <c r="GA652">
        <f t="shared" si="244"/>
        <v>0</v>
      </c>
      <c r="GB652">
        <f t="shared" si="245"/>
        <v>0</v>
      </c>
      <c r="GC652">
        <f>IF(AND(C652="事件记录",H652=1),COUNTIFS($C$200:C652,"事件记录",$H$200:H652,1),0)</f>
        <v>0</v>
      </c>
      <c r="GD652">
        <f t="shared" si="225"/>
        <v>0</v>
      </c>
      <c r="GH652">
        <f>IF(AND(H652=1,A652=$GA$10,B652=$GA$11),COUNTIFS($A$200:A652,$GA$10,$B$200:B652,$GA$11,$H$200:H652,1),0)</f>
        <v>0</v>
      </c>
    </row>
    <row r="653" spans="1:190">
      <c r="A653" t="str">
        <f t="shared" si="216"/>
        <v/>
      </c>
      <c r="B653" t="str">
        <f t="shared" si="217"/>
        <v/>
      </c>
      <c r="C653" t="str">
        <f t="shared" si="218"/>
        <v/>
      </c>
      <c r="D653" t="str">
        <f t="shared" si="219"/>
        <v/>
      </c>
      <c r="E653">
        <f t="shared" si="220"/>
        <v>0</v>
      </c>
      <c r="F653" t="str">
        <f t="shared" si="221"/>
        <v/>
      </c>
      <c r="G653">
        <f t="shared" si="222"/>
        <v>0</v>
      </c>
      <c r="H653">
        <f>IF(AND(G653=1,COUNTIFS($I$200:I653,I653,$G$200:G653,1)=1),1,0)</f>
        <v>0</v>
      </c>
      <c r="I653" t="str">
        <f t="shared" si="223"/>
        <v/>
      </c>
      <c r="BF653">
        <f t="shared" si="226"/>
        <v>0</v>
      </c>
      <c r="BG653">
        <f t="shared" si="227"/>
        <v>0</v>
      </c>
      <c r="BH653">
        <f t="shared" si="228"/>
        <v>0</v>
      </c>
      <c r="BI653">
        <f t="shared" si="229"/>
        <v>0</v>
      </c>
      <c r="BJ653">
        <f t="shared" si="230"/>
        <v>0</v>
      </c>
      <c r="BK653">
        <f t="shared" si="231"/>
        <v>0</v>
      </c>
      <c r="BL653">
        <f t="shared" si="232"/>
        <v>0</v>
      </c>
      <c r="BM653">
        <f t="shared" si="233"/>
        <v>0</v>
      </c>
      <c r="BN653">
        <f t="shared" si="234"/>
        <v>0</v>
      </c>
      <c r="BO653">
        <f t="shared" si="235"/>
        <v>0</v>
      </c>
      <c r="BP653">
        <f t="shared" si="236"/>
        <v>0</v>
      </c>
      <c r="BQ653">
        <f t="shared" si="237"/>
        <v>0</v>
      </c>
      <c r="BR653">
        <f t="shared" si="238"/>
        <v>0</v>
      </c>
      <c r="BS653">
        <f t="shared" si="239"/>
        <v>0</v>
      </c>
      <c r="BT653">
        <f t="shared" si="240"/>
        <v>0</v>
      </c>
      <c r="BU653">
        <f t="shared" si="241"/>
        <v>0</v>
      </c>
      <c r="BV653">
        <f t="shared" si="242"/>
        <v>0</v>
      </c>
      <c r="BW653">
        <f t="shared" si="243"/>
        <v>0</v>
      </c>
      <c r="CA653" t="str">
        <f>IF(454&gt;ROWS(DGArchive[模组]),"",IF(INDEX(DGArchive[模组],454)="","",INDEX(DGArchive[模组],454)))</f>
        <v/>
      </c>
      <c r="CB653" t="str">
        <f>IF(454&gt;ROWS(DGArchive[阶段]),"",IF(INDEX(DGArchive[阶段],454)="","",INDEX(DGArchive[阶段],454)))</f>
        <v/>
      </c>
      <c r="CC653" t="str">
        <f>IF(454&gt;ROWS(DGArchive[游戏内日期]),"",IF(INDEX(DGArchive[游戏内日期],454)="","",INDEX(DGArchive[游戏内日期],454)))</f>
        <v/>
      </c>
      <c r="CD653" t="str">
        <f>IF(454&gt;ROWS(DGArchive[目标]),"",IF(INDEX(DGArchive[目标],454)="","",INDEX(DGArchive[目标],454)))</f>
        <v/>
      </c>
      <c r="CE653" t="str">
        <f>IF(454&gt;ROWS(DGArchive[变更前]),"",IF(INDEX(DGArchive[变更前],454)="","",INDEX(DGArchive[变更前],454)))</f>
        <v/>
      </c>
      <c r="CF653" t="str">
        <f>IF(454&gt;ROWS(DGArchive[增减]),"",IF(INDEX(DGArchive[增减],454)="","",INDEX(DGArchive[增减],454)))</f>
        <v/>
      </c>
      <c r="CG653" t="str">
        <f>IF(454&gt;ROWS(DGArchive[变更后]),"",IF(INDEX(DGArchive[变更后],454)="","",INDEX(DGArchive[变更后],454)))</f>
        <v/>
      </c>
      <c r="CH653" t="str">
        <f>IF(454&gt;ROWS(DGArchive[事件／活动]),"",IF(INDEX(DGArchive[事件／活动],454)="","",INDEX(DGArchive[事件／活动],454)))</f>
        <v/>
      </c>
      <c r="CI653" t="str">
        <f>IF(454&gt;ROWS(DGArchive[记录编号]),"",IF(INDEX(DGArchive[记录编号],454)="","",INDEX(DGArchive[记录编号],454)))</f>
        <v/>
      </c>
      <c r="CL653">
        <f t="shared" si="224"/>
        <v>0</v>
      </c>
      <c r="CM653">
        <f>IF(AND(A653=$AO$5,B653=$AQ$3,H653=1),COUNTIFS($A$200:A653,$AO$5,$B$200:B653,$AQ$3,$H$200:H653,1),0)</f>
        <v>0</v>
      </c>
      <c r="CN653">
        <f>IF(CA653="",454,1001)</f>
        <v>454</v>
      </c>
      <c r="GA653">
        <f t="shared" si="244"/>
        <v>0</v>
      </c>
      <c r="GB653">
        <f t="shared" si="245"/>
        <v>0</v>
      </c>
      <c r="GC653">
        <f>IF(AND(C653="事件记录",H653=1),COUNTIFS($C$200:C653,"事件记录",$H$200:H653,1),0)</f>
        <v>0</v>
      </c>
      <c r="GD653">
        <f t="shared" si="225"/>
        <v>0</v>
      </c>
      <c r="GH653">
        <f>IF(AND(H653=1,A653=$GA$10,B653=$GA$11),COUNTIFS($A$200:A653,$GA$10,$B$200:B653,$GA$11,$H$200:H653,1),0)</f>
        <v>0</v>
      </c>
    </row>
    <row r="654" spans="1:190">
      <c r="A654" t="str">
        <f t="shared" si="216"/>
        <v/>
      </c>
      <c r="B654" t="str">
        <f t="shared" si="217"/>
        <v/>
      </c>
      <c r="C654" t="str">
        <f t="shared" si="218"/>
        <v/>
      </c>
      <c r="D654" t="str">
        <f t="shared" si="219"/>
        <v/>
      </c>
      <c r="E654">
        <f t="shared" si="220"/>
        <v>0</v>
      </c>
      <c r="F654" t="str">
        <f t="shared" si="221"/>
        <v/>
      </c>
      <c r="G654">
        <f t="shared" si="222"/>
        <v>0</v>
      </c>
      <c r="H654">
        <f>IF(AND(G654=1,COUNTIFS($I$200:I654,I654,$G$200:G654,1)=1),1,0)</f>
        <v>0</v>
      </c>
      <c r="I654" t="str">
        <f t="shared" si="223"/>
        <v/>
      </c>
      <c r="BF654">
        <f t="shared" si="226"/>
        <v>0</v>
      </c>
      <c r="BG654">
        <f t="shared" si="227"/>
        <v>0</v>
      </c>
      <c r="BH654">
        <f t="shared" si="228"/>
        <v>0</v>
      </c>
      <c r="BI654">
        <f t="shared" si="229"/>
        <v>0</v>
      </c>
      <c r="BJ654">
        <f t="shared" si="230"/>
        <v>0</v>
      </c>
      <c r="BK654">
        <f t="shared" si="231"/>
        <v>0</v>
      </c>
      <c r="BL654">
        <f t="shared" si="232"/>
        <v>0</v>
      </c>
      <c r="BM654">
        <f t="shared" si="233"/>
        <v>0</v>
      </c>
      <c r="BN654">
        <f t="shared" si="234"/>
        <v>0</v>
      </c>
      <c r="BO654">
        <f t="shared" si="235"/>
        <v>0</v>
      </c>
      <c r="BP654">
        <f t="shared" si="236"/>
        <v>0</v>
      </c>
      <c r="BQ654">
        <f t="shared" si="237"/>
        <v>0</v>
      </c>
      <c r="BR654">
        <f t="shared" si="238"/>
        <v>0</v>
      </c>
      <c r="BS654">
        <f t="shared" si="239"/>
        <v>0</v>
      </c>
      <c r="BT654">
        <f t="shared" si="240"/>
        <v>0</v>
      </c>
      <c r="BU654">
        <f t="shared" si="241"/>
        <v>0</v>
      </c>
      <c r="BV654">
        <f t="shared" si="242"/>
        <v>0</v>
      </c>
      <c r="BW654">
        <f t="shared" si="243"/>
        <v>0</v>
      </c>
      <c r="CA654" t="str">
        <f>IF(455&gt;ROWS(DGArchive[模组]),"",IF(INDEX(DGArchive[模组],455)="","",INDEX(DGArchive[模组],455)))</f>
        <v/>
      </c>
      <c r="CB654" t="str">
        <f>IF(455&gt;ROWS(DGArchive[阶段]),"",IF(INDEX(DGArchive[阶段],455)="","",INDEX(DGArchive[阶段],455)))</f>
        <v/>
      </c>
      <c r="CC654" t="str">
        <f>IF(455&gt;ROWS(DGArchive[游戏内日期]),"",IF(INDEX(DGArchive[游戏内日期],455)="","",INDEX(DGArchive[游戏内日期],455)))</f>
        <v/>
      </c>
      <c r="CD654" t="str">
        <f>IF(455&gt;ROWS(DGArchive[目标]),"",IF(INDEX(DGArchive[目标],455)="","",INDEX(DGArchive[目标],455)))</f>
        <v/>
      </c>
      <c r="CE654" t="str">
        <f>IF(455&gt;ROWS(DGArchive[变更前]),"",IF(INDEX(DGArchive[变更前],455)="","",INDEX(DGArchive[变更前],455)))</f>
        <v/>
      </c>
      <c r="CF654" t="str">
        <f>IF(455&gt;ROWS(DGArchive[增减]),"",IF(INDEX(DGArchive[增减],455)="","",INDEX(DGArchive[增减],455)))</f>
        <v/>
      </c>
      <c r="CG654" t="str">
        <f>IF(455&gt;ROWS(DGArchive[变更后]),"",IF(INDEX(DGArchive[变更后],455)="","",INDEX(DGArchive[变更后],455)))</f>
        <v/>
      </c>
      <c r="CH654" t="str">
        <f>IF(455&gt;ROWS(DGArchive[事件／活动]),"",IF(INDEX(DGArchive[事件／活动],455)="","",INDEX(DGArchive[事件／活动],455)))</f>
        <v/>
      </c>
      <c r="CI654" t="str">
        <f>IF(455&gt;ROWS(DGArchive[记录编号]),"",IF(INDEX(DGArchive[记录编号],455)="","",INDEX(DGArchive[记录编号],455)))</f>
        <v/>
      </c>
      <c r="CL654">
        <f t="shared" si="224"/>
        <v>0</v>
      </c>
      <c r="CM654">
        <f>IF(AND(A654=$AO$5,B654=$AQ$3,H654=1),COUNTIFS($A$200:A654,$AO$5,$B$200:B654,$AQ$3,$H$200:H654,1),0)</f>
        <v>0</v>
      </c>
      <c r="CN654">
        <f>IF(CA654="",455,1001)</f>
        <v>455</v>
      </c>
      <c r="GA654">
        <f t="shared" si="244"/>
        <v>0</v>
      </c>
      <c r="GB654">
        <f t="shared" si="245"/>
        <v>0</v>
      </c>
      <c r="GC654">
        <f>IF(AND(C654="事件记录",H654=1),COUNTIFS($C$200:C654,"事件记录",$H$200:H654,1),0)</f>
        <v>0</v>
      </c>
      <c r="GD654">
        <f t="shared" si="225"/>
        <v>0</v>
      </c>
      <c r="GH654">
        <f>IF(AND(H654=1,A654=$GA$10,B654=$GA$11),COUNTIFS($A$200:A654,$GA$10,$B$200:B654,$GA$11,$H$200:H654,1),0)</f>
        <v>0</v>
      </c>
    </row>
    <row r="655" spans="1:190">
      <c r="A655" t="str">
        <f t="shared" si="216"/>
        <v/>
      </c>
      <c r="B655" t="str">
        <f t="shared" si="217"/>
        <v/>
      </c>
      <c r="C655" t="str">
        <f t="shared" si="218"/>
        <v/>
      </c>
      <c r="D655" t="str">
        <f t="shared" si="219"/>
        <v/>
      </c>
      <c r="E655">
        <f t="shared" si="220"/>
        <v>0</v>
      </c>
      <c r="F655" t="str">
        <f t="shared" si="221"/>
        <v/>
      </c>
      <c r="G655">
        <f t="shared" si="222"/>
        <v>0</v>
      </c>
      <c r="H655">
        <f>IF(AND(G655=1,COUNTIFS($I$200:I655,I655,$G$200:G655,1)=1),1,0)</f>
        <v>0</v>
      </c>
      <c r="I655" t="str">
        <f t="shared" si="223"/>
        <v/>
      </c>
      <c r="BF655">
        <f t="shared" si="226"/>
        <v>0</v>
      </c>
      <c r="BG655">
        <f t="shared" si="227"/>
        <v>0</v>
      </c>
      <c r="BH655">
        <f t="shared" si="228"/>
        <v>0</v>
      </c>
      <c r="BI655">
        <f t="shared" si="229"/>
        <v>0</v>
      </c>
      <c r="BJ655">
        <f t="shared" si="230"/>
        <v>0</v>
      </c>
      <c r="BK655">
        <f t="shared" si="231"/>
        <v>0</v>
      </c>
      <c r="BL655">
        <f t="shared" si="232"/>
        <v>0</v>
      </c>
      <c r="BM655">
        <f t="shared" si="233"/>
        <v>0</v>
      </c>
      <c r="BN655">
        <f t="shared" si="234"/>
        <v>0</v>
      </c>
      <c r="BO655">
        <f t="shared" si="235"/>
        <v>0</v>
      </c>
      <c r="BP655">
        <f t="shared" si="236"/>
        <v>0</v>
      </c>
      <c r="BQ655">
        <f t="shared" si="237"/>
        <v>0</v>
      </c>
      <c r="BR655">
        <f t="shared" si="238"/>
        <v>0</v>
      </c>
      <c r="BS655">
        <f t="shared" si="239"/>
        <v>0</v>
      </c>
      <c r="BT655">
        <f t="shared" si="240"/>
        <v>0</v>
      </c>
      <c r="BU655">
        <f t="shared" si="241"/>
        <v>0</v>
      </c>
      <c r="BV655">
        <f t="shared" si="242"/>
        <v>0</v>
      </c>
      <c r="BW655">
        <f t="shared" si="243"/>
        <v>0</v>
      </c>
      <c r="CA655" t="str">
        <f>IF(456&gt;ROWS(DGArchive[模组]),"",IF(INDEX(DGArchive[模组],456)="","",INDEX(DGArchive[模组],456)))</f>
        <v/>
      </c>
      <c r="CB655" t="str">
        <f>IF(456&gt;ROWS(DGArchive[阶段]),"",IF(INDEX(DGArchive[阶段],456)="","",INDEX(DGArchive[阶段],456)))</f>
        <v/>
      </c>
      <c r="CC655" t="str">
        <f>IF(456&gt;ROWS(DGArchive[游戏内日期]),"",IF(INDEX(DGArchive[游戏内日期],456)="","",INDEX(DGArchive[游戏内日期],456)))</f>
        <v/>
      </c>
      <c r="CD655" t="str">
        <f>IF(456&gt;ROWS(DGArchive[目标]),"",IF(INDEX(DGArchive[目标],456)="","",INDEX(DGArchive[目标],456)))</f>
        <v/>
      </c>
      <c r="CE655" t="str">
        <f>IF(456&gt;ROWS(DGArchive[变更前]),"",IF(INDEX(DGArchive[变更前],456)="","",INDEX(DGArchive[变更前],456)))</f>
        <v/>
      </c>
      <c r="CF655" t="str">
        <f>IF(456&gt;ROWS(DGArchive[增减]),"",IF(INDEX(DGArchive[增减],456)="","",INDEX(DGArchive[增减],456)))</f>
        <v/>
      </c>
      <c r="CG655" t="str">
        <f>IF(456&gt;ROWS(DGArchive[变更后]),"",IF(INDEX(DGArchive[变更后],456)="","",INDEX(DGArchive[变更后],456)))</f>
        <v/>
      </c>
      <c r="CH655" t="str">
        <f>IF(456&gt;ROWS(DGArchive[事件／活动]),"",IF(INDEX(DGArchive[事件／活动],456)="","",INDEX(DGArchive[事件／活动],456)))</f>
        <v/>
      </c>
      <c r="CI655" t="str">
        <f>IF(456&gt;ROWS(DGArchive[记录编号]),"",IF(INDEX(DGArchive[记录编号],456)="","",INDEX(DGArchive[记录编号],456)))</f>
        <v/>
      </c>
      <c r="CL655">
        <f t="shared" si="224"/>
        <v>0</v>
      </c>
      <c r="CM655">
        <f>IF(AND(A655=$AO$5,B655=$AQ$3,H655=1),COUNTIFS($A$200:A655,$AO$5,$B$200:B655,$AQ$3,$H$200:H655,1),0)</f>
        <v>0</v>
      </c>
      <c r="CN655">
        <f>IF(CA655="",456,1001)</f>
        <v>456</v>
      </c>
      <c r="GA655">
        <f t="shared" si="244"/>
        <v>0</v>
      </c>
      <c r="GB655">
        <f t="shared" si="245"/>
        <v>0</v>
      </c>
      <c r="GC655">
        <f>IF(AND(C655="事件记录",H655=1),COUNTIFS($C$200:C655,"事件记录",$H$200:H655,1),0)</f>
        <v>0</v>
      </c>
      <c r="GD655">
        <f t="shared" si="225"/>
        <v>0</v>
      </c>
      <c r="GH655">
        <f>IF(AND(H655=1,A655=$GA$10,B655=$GA$11),COUNTIFS($A$200:A655,$GA$10,$B$200:B655,$GA$11,$H$200:H655,1),0)</f>
        <v>0</v>
      </c>
    </row>
    <row r="656" spans="1:190">
      <c r="A656" t="str">
        <f t="shared" si="216"/>
        <v/>
      </c>
      <c r="B656" t="str">
        <f t="shared" si="217"/>
        <v/>
      </c>
      <c r="C656" t="str">
        <f t="shared" si="218"/>
        <v/>
      </c>
      <c r="D656" t="str">
        <f t="shared" si="219"/>
        <v/>
      </c>
      <c r="E656">
        <f t="shared" si="220"/>
        <v>0</v>
      </c>
      <c r="F656" t="str">
        <f t="shared" si="221"/>
        <v/>
      </c>
      <c r="G656">
        <f t="shared" si="222"/>
        <v>0</v>
      </c>
      <c r="H656">
        <f>IF(AND(G656=1,COUNTIFS($I$200:I656,I656,$G$200:G656,1)=1),1,0)</f>
        <v>0</v>
      </c>
      <c r="I656" t="str">
        <f t="shared" si="223"/>
        <v/>
      </c>
      <c r="BF656">
        <f t="shared" si="226"/>
        <v>0</v>
      </c>
      <c r="BG656">
        <f t="shared" si="227"/>
        <v>0</v>
      </c>
      <c r="BH656">
        <f t="shared" si="228"/>
        <v>0</v>
      </c>
      <c r="BI656">
        <f t="shared" si="229"/>
        <v>0</v>
      </c>
      <c r="BJ656">
        <f t="shared" si="230"/>
        <v>0</v>
      </c>
      <c r="BK656">
        <f t="shared" si="231"/>
        <v>0</v>
      </c>
      <c r="BL656">
        <f t="shared" si="232"/>
        <v>0</v>
      </c>
      <c r="BM656">
        <f t="shared" si="233"/>
        <v>0</v>
      </c>
      <c r="BN656">
        <f t="shared" si="234"/>
        <v>0</v>
      </c>
      <c r="BO656">
        <f t="shared" si="235"/>
        <v>0</v>
      </c>
      <c r="BP656">
        <f t="shared" si="236"/>
        <v>0</v>
      </c>
      <c r="BQ656">
        <f t="shared" si="237"/>
        <v>0</v>
      </c>
      <c r="BR656">
        <f t="shared" si="238"/>
        <v>0</v>
      </c>
      <c r="BS656">
        <f t="shared" si="239"/>
        <v>0</v>
      </c>
      <c r="BT656">
        <f t="shared" si="240"/>
        <v>0</v>
      </c>
      <c r="BU656">
        <f t="shared" si="241"/>
        <v>0</v>
      </c>
      <c r="BV656">
        <f t="shared" si="242"/>
        <v>0</v>
      </c>
      <c r="BW656">
        <f t="shared" si="243"/>
        <v>0</v>
      </c>
      <c r="CA656" t="str">
        <f>IF(457&gt;ROWS(DGArchive[模组]),"",IF(INDEX(DGArchive[模组],457)="","",INDEX(DGArchive[模组],457)))</f>
        <v/>
      </c>
      <c r="CB656" t="str">
        <f>IF(457&gt;ROWS(DGArchive[阶段]),"",IF(INDEX(DGArchive[阶段],457)="","",INDEX(DGArchive[阶段],457)))</f>
        <v/>
      </c>
      <c r="CC656" t="str">
        <f>IF(457&gt;ROWS(DGArchive[游戏内日期]),"",IF(INDEX(DGArchive[游戏内日期],457)="","",INDEX(DGArchive[游戏内日期],457)))</f>
        <v/>
      </c>
      <c r="CD656" t="str">
        <f>IF(457&gt;ROWS(DGArchive[目标]),"",IF(INDEX(DGArchive[目标],457)="","",INDEX(DGArchive[目标],457)))</f>
        <v/>
      </c>
      <c r="CE656" t="str">
        <f>IF(457&gt;ROWS(DGArchive[变更前]),"",IF(INDEX(DGArchive[变更前],457)="","",INDEX(DGArchive[变更前],457)))</f>
        <v/>
      </c>
      <c r="CF656" t="str">
        <f>IF(457&gt;ROWS(DGArchive[增减]),"",IF(INDEX(DGArchive[增减],457)="","",INDEX(DGArchive[增减],457)))</f>
        <v/>
      </c>
      <c r="CG656" t="str">
        <f>IF(457&gt;ROWS(DGArchive[变更后]),"",IF(INDEX(DGArchive[变更后],457)="","",INDEX(DGArchive[变更后],457)))</f>
        <v/>
      </c>
      <c r="CH656" t="str">
        <f>IF(457&gt;ROWS(DGArchive[事件／活动]),"",IF(INDEX(DGArchive[事件／活动],457)="","",INDEX(DGArchive[事件／活动],457)))</f>
        <v/>
      </c>
      <c r="CI656" t="str">
        <f>IF(457&gt;ROWS(DGArchive[记录编号]),"",IF(INDEX(DGArchive[记录编号],457)="","",INDEX(DGArchive[记录编号],457)))</f>
        <v/>
      </c>
      <c r="CL656">
        <f t="shared" si="224"/>
        <v>0</v>
      </c>
      <c r="CM656">
        <f>IF(AND(A656=$AO$5,B656=$AQ$3,H656=1),COUNTIFS($A$200:A656,$AO$5,$B$200:B656,$AQ$3,$H$200:H656,1),0)</f>
        <v>0</v>
      </c>
      <c r="CN656">
        <f>IF(CA656="",457,1001)</f>
        <v>457</v>
      </c>
      <c r="GA656">
        <f t="shared" si="244"/>
        <v>0</v>
      </c>
      <c r="GB656">
        <f t="shared" si="245"/>
        <v>0</v>
      </c>
      <c r="GC656">
        <f>IF(AND(C656="事件记录",H656=1),COUNTIFS($C$200:C656,"事件记录",$H$200:H656,1),0)</f>
        <v>0</v>
      </c>
      <c r="GD656">
        <f t="shared" si="225"/>
        <v>0</v>
      </c>
      <c r="GH656">
        <f>IF(AND(H656=1,A656=$GA$10,B656=$GA$11),COUNTIFS($A$200:A656,$GA$10,$B$200:B656,$GA$11,$H$200:H656,1),0)</f>
        <v>0</v>
      </c>
    </row>
    <row r="657" spans="1:190">
      <c r="A657" t="str">
        <f t="shared" si="216"/>
        <v/>
      </c>
      <c r="B657" t="str">
        <f t="shared" si="217"/>
        <v/>
      </c>
      <c r="C657" t="str">
        <f t="shared" si="218"/>
        <v/>
      </c>
      <c r="D657" t="str">
        <f t="shared" si="219"/>
        <v/>
      </c>
      <c r="E657">
        <f t="shared" si="220"/>
        <v>0</v>
      </c>
      <c r="F657" t="str">
        <f t="shared" si="221"/>
        <v/>
      </c>
      <c r="G657">
        <f t="shared" si="222"/>
        <v>0</v>
      </c>
      <c r="H657">
        <f>IF(AND(G657=1,COUNTIFS($I$200:I657,I657,$G$200:G657,1)=1),1,0)</f>
        <v>0</v>
      </c>
      <c r="I657" t="str">
        <f t="shared" si="223"/>
        <v/>
      </c>
      <c r="BF657">
        <f t="shared" si="226"/>
        <v>0</v>
      </c>
      <c r="BG657">
        <f t="shared" si="227"/>
        <v>0</v>
      </c>
      <c r="BH657">
        <f t="shared" si="228"/>
        <v>0</v>
      </c>
      <c r="BI657">
        <f t="shared" si="229"/>
        <v>0</v>
      </c>
      <c r="BJ657">
        <f t="shared" si="230"/>
        <v>0</v>
      </c>
      <c r="BK657">
        <f t="shared" si="231"/>
        <v>0</v>
      </c>
      <c r="BL657">
        <f t="shared" si="232"/>
        <v>0</v>
      </c>
      <c r="BM657">
        <f t="shared" si="233"/>
        <v>0</v>
      </c>
      <c r="BN657">
        <f t="shared" si="234"/>
        <v>0</v>
      </c>
      <c r="BO657">
        <f t="shared" si="235"/>
        <v>0</v>
      </c>
      <c r="BP657">
        <f t="shared" si="236"/>
        <v>0</v>
      </c>
      <c r="BQ657">
        <f t="shared" si="237"/>
        <v>0</v>
      </c>
      <c r="BR657">
        <f t="shared" si="238"/>
        <v>0</v>
      </c>
      <c r="BS657">
        <f t="shared" si="239"/>
        <v>0</v>
      </c>
      <c r="BT657">
        <f t="shared" si="240"/>
        <v>0</v>
      </c>
      <c r="BU657">
        <f t="shared" si="241"/>
        <v>0</v>
      </c>
      <c r="BV657">
        <f t="shared" si="242"/>
        <v>0</v>
      </c>
      <c r="BW657">
        <f t="shared" si="243"/>
        <v>0</v>
      </c>
      <c r="CA657" t="str">
        <f>IF(458&gt;ROWS(DGArchive[模组]),"",IF(INDEX(DGArchive[模组],458)="","",INDEX(DGArchive[模组],458)))</f>
        <v/>
      </c>
      <c r="CB657" t="str">
        <f>IF(458&gt;ROWS(DGArchive[阶段]),"",IF(INDEX(DGArchive[阶段],458)="","",INDEX(DGArchive[阶段],458)))</f>
        <v/>
      </c>
      <c r="CC657" t="str">
        <f>IF(458&gt;ROWS(DGArchive[游戏内日期]),"",IF(INDEX(DGArchive[游戏内日期],458)="","",INDEX(DGArchive[游戏内日期],458)))</f>
        <v/>
      </c>
      <c r="CD657" t="str">
        <f>IF(458&gt;ROWS(DGArchive[目标]),"",IF(INDEX(DGArchive[目标],458)="","",INDEX(DGArchive[目标],458)))</f>
        <v/>
      </c>
      <c r="CE657" t="str">
        <f>IF(458&gt;ROWS(DGArchive[变更前]),"",IF(INDEX(DGArchive[变更前],458)="","",INDEX(DGArchive[变更前],458)))</f>
        <v/>
      </c>
      <c r="CF657" t="str">
        <f>IF(458&gt;ROWS(DGArchive[增减]),"",IF(INDEX(DGArchive[增减],458)="","",INDEX(DGArchive[增减],458)))</f>
        <v/>
      </c>
      <c r="CG657" t="str">
        <f>IF(458&gt;ROWS(DGArchive[变更后]),"",IF(INDEX(DGArchive[变更后],458)="","",INDEX(DGArchive[变更后],458)))</f>
        <v/>
      </c>
      <c r="CH657" t="str">
        <f>IF(458&gt;ROWS(DGArchive[事件／活动]),"",IF(INDEX(DGArchive[事件／活动],458)="","",INDEX(DGArchive[事件／活动],458)))</f>
        <v/>
      </c>
      <c r="CI657" t="str">
        <f>IF(458&gt;ROWS(DGArchive[记录编号]),"",IF(INDEX(DGArchive[记录编号],458)="","",INDEX(DGArchive[记录编号],458)))</f>
        <v/>
      </c>
      <c r="CL657">
        <f t="shared" si="224"/>
        <v>0</v>
      </c>
      <c r="CM657">
        <f>IF(AND(A657=$AO$5,B657=$AQ$3,H657=1),COUNTIFS($A$200:A657,$AO$5,$B$200:B657,$AQ$3,$H$200:H657,1),0)</f>
        <v>0</v>
      </c>
      <c r="CN657">
        <f>IF(CA657="",458,1001)</f>
        <v>458</v>
      </c>
      <c r="GA657">
        <f t="shared" si="244"/>
        <v>0</v>
      </c>
      <c r="GB657">
        <f t="shared" si="245"/>
        <v>0</v>
      </c>
      <c r="GC657">
        <f>IF(AND(C657="事件记录",H657=1),COUNTIFS($C$200:C657,"事件记录",$H$200:H657,1),0)</f>
        <v>0</v>
      </c>
      <c r="GD657">
        <f t="shared" si="225"/>
        <v>0</v>
      </c>
      <c r="GH657">
        <f>IF(AND(H657=1,A657=$GA$10,B657=$GA$11),COUNTIFS($A$200:A657,$GA$10,$B$200:B657,$GA$11,$H$200:H657,1),0)</f>
        <v>0</v>
      </c>
    </row>
    <row r="658" spans="1:190">
      <c r="A658" t="str">
        <f t="shared" si="216"/>
        <v/>
      </c>
      <c r="B658" t="str">
        <f t="shared" si="217"/>
        <v/>
      </c>
      <c r="C658" t="str">
        <f t="shared" si="218"/>
        <v/>
      </c>
      <c r="D658" t="str">
        <f t="shared" si="219"/>
        <v/>
      </c>
      <c r="E658">
        <f t="shared" si="220"/>
        <v>0</v>
      </c>
      <c r="F658" t="str">
        <f t="shared" si="221"/>
        <v/>
      </c>
      <c r="G658">
        <f t="shared" si="222"/>
        <v>0</v>
      </c>
      <c r="H658">
        <f>IF(AND(G658=1,COUNTIFS($I$200:I658,I658,$G$200:G658,1)=1),1,0)</f>
        <v>0</v>
      </c>
      <c r="I658" t="str">
        <f t="shared" si="223"/>
        <v/>
      </c>
      <c r="BF658">
        <f t="shared" si="226"/>
        <v>0</v>
      </c>
      <c r="BG658">
        <f t="shared" si="227"/>
        <v>0</v>
      </c>
      <c r="BH658">
        <f t="shared" si="228"/>
        <v>0</v>
      </c>
      <c r="BI658">
        <f t="shared" si="229"/>
        <v>0</v>
      </c>
      <c r="BJ658">
        <f t="shared" si="230"/>
        <v>0</v>
      </c>
      <c r="BK658">
        <f t="shared" si="231"/>
        <v>0</v>
      </c>
      <c r="BL658">
        <f t="shared" si="232"/>
        <v>0</v>
      </c>
      <c r="BM658">
        <f t="shared" si="233"/>
        <v>0</v>
      </c>
      <c r="BN658">
        <f t="shared" si="234"/>
        <v>0</v>
      </c>
      <c r="BO658">
        <f t="shared" si="235"/>
        <v>0</v>
      </c>
      <c r="BP658">
        <f t="shared" si="236"/>
        <v>0</v>
      </c>
      <c r="BQ658">
        <f t="shared" si="237"/>
        <v>0</v>
      </c>
      <c r="BR658">
        <f t="shared" si="238"/>
        <v>0</v>
      </c>
      <c r="BS658">
        <f t="shared" si="239"/>
        <v>0</v>
      </c>
      <c r="BT658">
        <f t="shared" si="240"/>
        <v>0</v>
      </c>
      <c r="BU658">
        <f t="shared" si="241"/>
        <v>0</v>
      </c>
      <c r="BV658">
        <f t="shared" si="242"/>
        <v>0</v>
      </c>
      <c r="BW658">
        <f t="shared" si="243"/>
        <v>0</v>
      </c>
      <c r="CA658" t="str">
        <f>IF(459&gt;ROWS(DGArchive[模组]),"",IF(INDEX(DGArchive[模组],459)="","",INDEX(DGArchive[模组],459)))</f>
        <v/>
      </c>
      <c r="CB658" t="str">
        <f>IF(459&gt;ROWS(DGArchive[阶段]),"",IF(INDEX(DGArchive[阶段],459)="","",INDEX(DGArchive[阶段],459)))</f>
        <v/>
      </c>
      <c r="CC658" t="str">
        <f>IF(459&gt;ROWS(DGArchive[游戏内日期]),"",IF(INDEX(DGArchive[游戏内日期],459)="","",INDEX(DGArchive[游戏内日期],459)))</f>
        <v/>
      </c>
      <c r="CD658" t="str">
        <f>IF(459&gt;ROWS(DGArchive[目标]),"",IF(INDEX(DGArchive[目标],459)="","",INDEX(DGArchive[目标],459)))</f>
        <v/>
      </c>
      <c r="CE658" t="str">
        <f>IF(459&gt;ROWS(DGArchive[变更前]),"",IF(INDEX(DGArchive[变更前],459)="","",INDEX(DGArchive[变更前],459)))</f>
        <v/>
      </c>
      <c r="CF658" t="str">
        <f>IF(459&gt;ROWS(DGArchive[增减]),"",IF(INDEX(DGArchive[增减],459)="","",INDEX(DGArchive[增减],459)))</f>
        <v/>
      </c>
      <c r="CG658" t="str">
        <f>IF(459&gt;ROWS(DGArchive[变更后]),"",IF(INDEX(DGArchive[变更后],459)="","",INDEX(DGArchive[变更后],459)))</f>
        <v/>
      </c>
      <c r="CH658" t="str">
        <f>IF(459&gt;ROWS(DGArchive[事件／活动]),"",IF(INDEX(DGArchive[事件／活动],459)="","",INDEX(DGArchive[事件／活动],459)))</f>
        <v/>
      </c>
      <c r="CI658" t="str">
        <f>IF(459&gt;ROWS(DGArchive[记录编号]),"",IF(INDEX(DGArchive[记录编号],459)="","",INDEX(DGArchive[记录编号],459)))</f>
        <v/>
      </c>
      <c r="CL658">
        <f t="shared" si="224"/>
        <v>0</v>
      </c>
      <c r="CM658">
        <f>IF(AND(A658=$AO$5,B658=$AQ$3,H658=1),COUNTIFS($A$200:A658,$AO$5,$B$200:B658,$AQ$3,$H$200:H658,1),0)</f>
        <v>0</v>
      </c>
      <c r="CN658">
        <f>IF(CA658="",459,1001)</f>
        <v>459</v>
      </c>
      <c r="GA658">
        <f t="shared" si="244"/>
        <v>0</v>
      </c>
      <c r="GB658">
        <f t="shared" si="245"/>
        <v>0</v>
      </c>
      <c r="GC658">
        <f>IF(AND(C658="事件记录",H658=1),COUNTIFS($C$200:C658,"事件记录",$H$200:H658,1),0)</f>
        <v>0</v>
      </c>
      <c r="GD658">
        <f t="shared" si="225"/>
        <v>0</v>
      </c>
      <c r="GH658">
        <f>IF(AND(H658=1,A658=$GA$10,B658=$GA$11),COUNTIFS($A$200:A658,$GA$10,$B$200:B658,$GA$11,$H$200:H658,1),0)</f>
        <v>0</v>
      </c>
    </row>
    <row r="659" spans="1:190">
      <c r="A659" t="str">
        <f t="shared" si="216"/>
        <v/>
      </c>
      <c r="B659" t="str">
        <f t="shared" si="217"/>
        <v/>
      </c>
      <c r="C659" t="str">
        <f t="shared" si="218"/>
        <v/>
      </c>
      <c r="D659" t="str">
        <f t="shared" si="219"/>
        <v/>
      </c>
      <c r="E659">
        <f t="shared" si="220"/>
        <v>0</v>
      </c>
      <c r="F659" t="str">
        <f t="shared" si="221"/>
        <v/>
      </c>
      <c r="G659">
        <f t="shared" si="222"/>
        <v>0</v>
      </c>
      <c r="H659">
        <f>IF(AND(G659=1,COUNTIFS($I$200:I659,I659,$G$200:G659,1)=1),1,0)</f>
        <v>0</v>
      </c>
      <c r="I659" t="str">
        <f t="shared" si="223"/>
        <v/>
      </c>
      <c r="BF659">
        <f t="shared" si="226"/>
        <v>0</v>
      </c>
      <c r="BG659">
        <f t="shared" si="227"/>
        <v>0</v>
      </c>
      <c r="BH659">
        <f t="shared" si="228"/>
        <v>0</v>
      </c>
      <c r="BI659">
        <f t="shared" si="229"/>
        <v>0</v>
      </c>
      <c r="BJ659">
        <f t="shared" si="230"/>
        <v>0</v>
      </c>
      <c r="BK659">
        <f t="shared" si="231"/>
        <v>0</v>
      </c>
      <c r="BL659">
        <f t="shared" si="232"/>
        <v>0</v>
      </c>
      <c r="BM659">
        <f t="shared" si="233"/>
        <v>0</v>
      </c>
      <c r="BN659">
        <f t="shared" si="234"/>
        <v>0</v>
      </c>
      <c r="BO659">
        <f t="shared" si="235"/>
        <v>0</v>
      </c>
      <c r="BP659">
        <f t="shared" si="236"/>
        <v>0</v>
      </c>
      <c r="BQ659">
        <f t="shared" si="237"/>
        <v>0</v>
      </c>
      <c r="BR659">
        <f t="shared" si="238"/>
        <v>0</v>
      </c>
      <c r="BS659">
        <f t="shared" si="239"/>
        <v>0</v>
      </c>
      <c r="BT659">
        <f t="shared" si="240"/>
        <v>0</v>
      </c>
      <c r="BU659">
        <f t="shared" si="241"/>
        <v>0</v>
      </c>
      <c r="BV659">
        <f t="shared" si="242"/>
        <v>0</v>
      </c>
      <c r="BW659">
        <f t="shared" si="243"/>
        <v>0</v>
      </c>
      <c r="CA659" t="str">
        <f>IF(460&gt;ROWS(DGArchive[模组]),"",IF(INDEX(DGArchive[模组],460)="","",INDEX(DGArchive[模组],460)))</f>
        <v/>
      </c>
      <c r="CB659" t="str">
        <f>IF(460&gt;ROWS(DGArchive[阶段]),"",IF(INDEX(DGArchive[阶段],460)="","",INDEX(DGArchive[阶段],460)))</f>
        <v/>
      </c>
      <c r="CC659" t="str">
        <f>IF(460&gt;ROWS(DGArchive[游戏内日期]),"",IF(INDEX(DGArchive[游戏内日期],460)="","",INDEX(DGArchive[游戏内日期],460)))</f>
        <v/>
      </c>
      <c r="CD659" t="str">
        <f>IF(460&gt;ROWS(DGArchive[目标]),"",IF(INDEX(DGArchive[目标],460)="","",INDEX(DGArchive[目标],460)))</f>
        <v/>
      </c>
      <c r="CE659" t="str">
        <f>IF(460&gt;ROWS(DGArchive[变更前]),"",IF(INDEX(DGArchive[变更前],460)="","",INDEX(DGArchive[变更前],460)))</f>
        <v/>
      </c>
      <c r="CF659" t="str">
        <f>IF(460&gt;ROWS(DGArchive[增减]),"",IF(INDEX(DGArchive[增减],460)="","",INDEX(DGArchive[增减],460)))</f>
        <v/>
      </c>
      <c r="CG659" t="str">
        <f>IF(460&gt;ROWS(DGArchive[变更后]),"",IF(INDEX(DGArchive[变更后],460)="","",INDEX(DGArchive[变更后],460)))</f>
        <v/>
      </c>
      <c r="CH659" t="str">
        <f>IF(460&gt;ROWS(DGArchive[事件／活动]),"",IF(INDEX(DGArchive[事件／活动],460)="","",INDEX(DGArchive[事件／活动],460)))</f>
        <v/>
      </c>
      <c r="CI659" t="str">
        <f>IF(460&gt;ROWS(DGArchive[记录编号]),"",IF(INDEX(DGArchive[记录编号],460)="","",INDEX(DGArchive[记录编号],460)))</f>
        <v/>
      </c>
      <c r="CL659">
        <f t="shared" si="224"/>
        <v>0</v>
      </c>
      <c r="CM659">
        <f>IF(AND(A659=$AO$5,B659=$AQ$3,H659=1),COUNTIFS($A$200:A659,$AO$5,$B$200:B659,$AQ$3,$H$200:H659,1),0)</f>
        <v>0</v>
      </c>
      <c r="CN659">
        <f>IF(CA659="",460,1001)</f>
        <v>460</v>
      </c>
      <c r="GA659">
        <f t="shared" si="244"/>
        <v>0</v>
      </c>
      <c r="GB659">
        <f t="shared" si="245"/>
        <v>0</v>
      </c>
      <c r="GC659">
        <f>IF(AND(C659="事件记录",H659=1),COUNTIFS($C$200:C659,"事件记录",$H$200:H659,1),0)</f>
        <v>0</v>
      </c>
      <c r="GD659">
        <f t="shared" si="225"/>
        <v>0</v>
      </c>
      <c r="GH659">
        <f>IF(AND(H659=1,A659=$GA$10,B659=$GA$11),COUNTIFS($A$200:A659,$GA$10,$B$200:B659,$GA$11,$H$200:H659,1),0)</f>
        <v>0</v>
      </c>
    </row>
    <row r="660" spans="1:190">
      <c r="A660" t="str">
        <f t="shared" si="216"/>
        <v/>
      </c>
      <c r="B660" t="str">
        <f t="shared" si="217"/>
        <v/>
      </c>
      <c r="C660" t="str">
        <f t="shared" si="218"/>
        <v/>
      </c>
      <c r="D660" t="str">
        <f t="shared" si="219"/>
        <v/>
      </c>
      <c r="E660">
        <f t="shared" si="220"/>
        <v>0</v>
      </c>
      <c r="F660" t="str">
        <f t="shared" si="221"/>
        <v/>
      </c>
      <c r="G660">
        <f t="shared" si="222"/>
        <v>0</v>
      </c>
      <c r="H660">
        <f>IF(AND(G660=1,COUNTIFS($I$200:I660,I660,$G$200:G660,1)=1),1,0)</f>
        <v>0</v>
      </c>
      <c r="I660" t="str">
        <f t="shared" si="223"/>
        <v/>
      </c>
      <c r="BF660">
        <f t="shared" si="226"/>
        <v>0</v>
      </c>
      <c r="BG660">
        <f t="shared" si="227"/>
        <v>0</v>
      </c>
      <c r="BH660">
        <f t="shared" si="228"/>
        <v>0</v>
      </c>
      <c r="BI660">
        <f t="shared" si="229"/>
        <v>0</v>
      </c>
      <c r="BJ660">
        <f t="shared" si="230"/>
        <v>0</v>
      </c>
      <c r="BK660">
        <f t="shared" si="231"/>
        <v>0</v>
      </c>
      <c r="BL660">
        <f t="shared" si="232"/>
        <v>0</v>
      </c>
      <c r="BM660">
        <f t="shared" si="233"/>
        <v>0</v>
      </c>
      <c r="BN660">
        <f t="shared" si="234"/>
        <v>0</v>
      </c>
      <c r="BO660">
        <f t="shared" si="235"/>
        <v>0</v>
      </c>
      <c r="BP660">
        <f t="shared" si="236"/>
        <v>0</v>
      </c>
      <c r="BQ660">
        <f t="shared" si="237"/>
        <v>0</v>
      </c>
      <c r="BR660">
        <f t="shared" si="238"/>
        <v>0</v>
      </c>
      <c r="BS660">
        <f t="shared" si="239"/>
        <v>0</v>
      </c>
      <c r="BT660">
        <f t="shared" si="240"/>
        <v>0</v>
      </c>
      <c r="BU660">
        <f t="shared" si="241"/>
        <v>0</v>
      </c>
      <c r="BV660">
        <f t="shared" si="242"/>
        <v>0</v>
      </c>
      <c r="BW660">
        <f t="shared" si="243"/>
        <v>0</v>
      </c>
      <c r="CA660" t="str">
        <f>IF(461&gt;ROWS(DGArchive[模组]),"",IF(INDEX(DGArchive[模组],461)="","",INDEX(DGArchive[模组],461)))</f>
        <v/>
      </c>
      <c r="CB660" t="str">
        <f>IF(461&gt;ROWS(DGArchive[阶段]),"",IF(INDEX(DGArchive[阶段],461)="","",INDEX(DGArchive[阶段],461)))</f>
        <v/>
      </c>
      <c r="CC660" t="str">
        <f>IF(461&gt;ROWS(DGArchive[游戏内日期]),"",IF(INDEX(DGArchive[游戏内日期],461)="","",INDEX(DGArchive[游戏内日期],461)))</f>
        <v/>
      </c>
      <c r="CD660" t="str">
        <f>IF(461&gt;ROWS(DGArchive[目标]),"",IF(INDEX(DGArchive[目标],461)="","",INDEX(DGArchive[目标],461)))</f>
        <v/>
      </c>
      <c r="CE660" t="str">
        <f>IF(461&gt;ROWS(DGArchive[变更前]),"",IF(INDEX(DGArchive[变更前],461)="","",INDEX(DGArchive[变更前],461)))</f>
        <v/>
      </c>
      <c r="CF660" t="str">
        <f>IF(461&gt;ROWS(DGArchive[增减]),"",IF(INDEX(DGArchive[增减],461)="","",INDEX(DGArchive[增减],461)))</f>
        <v/>
      </c>
      <c r="CG660" t="str">
        <f>IF(461&gt;ROWS(DGArchive[变更后]),"",IF(INDEX(DGArchive[变更后],461)="","",INDEX(DGArchive[变更后],461)))</f>
        <v/>
      </c>
      <c r="CH660" t="str">
        <f>IF(461&gt;ROWS(DGArchive[事件／活动]),"",IF(INDEX(DGArchive[事件／活动],461)="","",INDEX(DGArchive[事件／活动],461)))</f>
        <v/>
      </c>
      <c r="CI660" t="str">
        <f>IF(461&gt;ROWS(DGArchive[记录编号]),"",IF(INDEX(DGArchive[记录编号],461)="","",INDEX(DGArchive[记录编号],461)))</f>
        <v/>
      </c>
      <c r="CL660">
        <f t="shared" si="224"/>
        <v>0</v>
      </c>
      <c r="CM660">
        <f>IF(AND(A660=$AO$5,B660=$AQ$3,H660=1),COUNTIFS($A$200:A660,$AO$5,$B$200:B660,$AQ$3,$H$200:H660,1),0)</f>
        <v>0</v>
      </c>
      <c r="CN660">
        <f>IF(CA660="",461,1001)</f>
        <v>461</v>
      </c>
      <c r="GA660">
        <f t="shared" si="244"/>
        <v>0</v>
      </c>
      <c r="GB660">
        <f t="shared" si="245"/>
        <v>0</v>
      </c>
      <c r="GC660">
        <f>IF(AND(C660="事件记录",H660=1),COUNTIFS($C$200:C660,"事件记录",$H$200:H660,1),0)</f>
        <v>0</v>
      </c>
      <c r="GD660">
        <f t="shared" si="225"/>
        <v>0</v>
      </c>
      <c r="GH660">
        <f>IF(AND(H660=1,A660=$GA$10,B660=$GA$11),COUNTIFS($A$200:A660,$GA$10,$B$200:B660,$GA$11,$H$200:H660,1),0)</f>
        <v>0</v>
      </c>
    </row>
    <row r="661" spans="1:190">
      <c r="A661" t="str">
        <f t="shared" si="216"/>
        <v/>
      </c>
      <c r="B661" t="str">
        <f t="shared" si="217"/>
        <v/>
      </c>
      <c r="C661" t="str">
        <f t="shared" si="218"/>
        <v/>
      </c>
      <c r="D661" t="str">
        <f t="shared" si="219"/>
        <v/>
      </c>
      <c r="E661">
        <f t="shared" si="220"/>
        <v>0</v>
      </c>
      <c r="F661" t="str">
        <f t="shared" si="221"/>
        <v/>
      </c>
      <c r="G661">
        <f t="shared" si="222"/>
        <v>0</v>
      </c>
      <c r="H661">
        <f>IF(AND(G661=1,COUNTIFS($I$200:I661,I661,$G$200:G661,1)=1),1,0)</f>
        <v>0</v>
      </c>
      <c r="I661" t="str">
        <f t="shared" si="223"/>
        <v/>
      </c>
      <c r="BF661">
        <f t="shared" si="226"/>
        <v>0</v>
      </c>
      <c r="BG661">
        <f t="shared" si="227"/>
        <v>0</v>
      </c>
      <c r="BH661">
        <f t="shared" si="228"/>
        <v>0</v>
      </c>
      <c r="BI661">
        <f t="shared" si="229"/>
        <v>0</v>
      </c>
      <c r="BJ661">
        <f t="shared" si="230"/>
        <v>0</v>
      </c>
      <c r="BK661">
        <f t="shared" si="231"/>
        <v>0</v>
      </c>
      <c r="BL661">
        <f t="shared" si="232"/>
        <v>0</v>
      </c>
      <c r="BM661">
        <f t="shared" si="233"/>
        <v>0</v>
      </c>
      <c r="BN661">
        <f t="shared" si="234"/>
        <v>0</v>
      </c>
      <c r="BO661">
        <f t="shared" si="235"/>
        <v>0</v>
      </c>
      <c r="BP661">
        <f t="shared" si="236"/>
        <v>0</v>
      </c>
      <c r="BQ661">
        <f t="shared" si="237"/>
        <v>0</v>
      </c>
      <c r="BR661">
        <f t="shared" si="238"/>
        <v>0</v>
      </c>
      <c r="BS661">
        <f t="shared" si="239"/>
        <v>0</v>
      </c>
      <c r="BT661">
        <f t="shared" si="240"/>
        <v>0</v>
      </c>
      <c r="BU661">
        <f t="shared" si="241"/>
        <v>0</v>
      </c>
      <c r="BV661">
        <f t="shared" si="242"/>
        <v>0</v>
      </c>
      <c r="BW661">
        <f t="shared" si="243"/>
        <v>0</v>
      </c>
      <c r="CA661" t="str">
        <f>IF(462&gt;ROWS(DGArchive[模组]),"",IF(INDEX(DGArchive[模组],462)="","",INDEX(DGArchive[模组],462)))</f>
        <v/>
      </c>
      <c r="CB661" t="str">
        <f>IF(462&gt;ROWS(DGArchive[阶段]),"",IF(INDEX(DGArchive[阶段],462)="","",INDEX(DGArchive[阶段],462)))</f>
        <v/>
      </c>
      <c r="CC661" t="str">
        <f>IF(462&gt;ROWS(DGArchive[游戏内日期]),"",IF(INDEX(DGArchive[游戏内日期],462)="","",INDEX(DGArchive[游戏内日期],462)))</f>
        <v/>
      </c>
      <c r="CD661" t="str">
        <f>IF(462&gt;ROWS(DGArchive[目标]),"",IF(INDEX(DGArchive[目标],462)="","",INDEX(DGArchive[目标],462)))</f>
        <v/>
      </c>
      <c r="CE661" t="str">
        <f>IF(462&gt;ROWS(DGArchive[变更前]),"",IF(INDEX(DGArchive[变更前],462)="","",INDEX(DGArchive[变更前],462)))</f>
        <v/>
      </c>
      <c r="CF661" t="str">
        <f>IF(462&gt;ROWS(DGArchive[增减]),"",IF(INDEX(DGArchive[增减],462)="","",INDEX(DGArchive[增减],462)))</f>
        <v/>
      </c>
      <c r="CG661" t="str">
        <f>IF(462&gt;ROWS(DGArchive[变更后]),"",IF(INDEX(DGArchive[变更后],462)="","",INDEX(DGArchive[变更后],462)))</f>
        <v/>
      </c>
      <c r="CH661" t="str">
        <f>IF(462&gt;ROWS(DGArchive[事件／活动]),"",IF(INDEX(DGArchive[事件／活动],462)="","",INDEX(DGArchive[事件／活动],462)))</f>
        <v/>
      </c>
      <c r="CI661" t="str">
        <f>IF(462&gt;ROWS(DGArchive[记录编号]),"",IF(INDEX(DGArchive[记录编号],462)="","",INDEX(DGArchive[记录编号],462)))</f>
        <v/>
      </c>
      <c r="CL661">
        <f t="shared" si="224"/>
        <v>0</v>
      </c>
      <c r="CM661">
        <f>IF(AND(A661=$AO$5,B661=$AQ$3,H661=1),COUNTIFS($A$200:A661,$AO$5,$B$200:B661,$AQ$3,$H$200:H661,1),0)</f>
        <v>0</v>
      </c>
      <c r="CN661">
        <f>IF(CA661="",462,1001)</f>
        <v>462</v>
      </c>
      <c r="GA661">
        <f t="shared" si="244"/>
        <v>0</v>
      </c>
      <c r="GB661">
        <f t="shared" si="245"/>
        <v>0</v>
      </c>
      <c r="GC661">
        <f>IF(AND(C661="事件记录",H661=1),COUNTIFS($C$200:C661,"事件记录",$H$200:H661,1),0)</f>
        <v>0</v>
      </c>
      <c r="GD661">
        <f t="shared" si="225"/>
        <v>0</v>
      </c>
      <c r="GH661">
        <f>IF(AND(H661=1,A661=$GA$10,B661=$GA$11),COUNTIFS($A$200:A661,$GA$10,$B$200:B661,$GA$11,$H$200:H661,1),0)</f>
        <v>0</v>
      </c>
    </row>
    <row r="662" spans="1:190">
      <c r="A662" t="str">
        <f t="shared" si="216"/>
        <v/>
      </c>
      <c r="B662" t="str">
        <f t="shared" si="217"/>
        <v/>
      </c>
      <c r="C662" t="str">
        <f t="shared" si="218"/>
        <v/>
      </c>
      <c r="D662" t="str">
        <f t="shared" si="219"/>
        <v/>
      </c>
      <c r="E662">
        <f t="shared" si="220"/>
        <v>0</v>
      </c>
      <c r="F662" t="str">
        <f t="shared" si="221"/>
        <v/>
      </c>
      <c r="G662">
        <f t="shared" si="222"/>
        <v>0</v>
      </c>
      <c r="H662">
        <f>IF(AND(G662=1,COUNTIFS($I$200:I662,I662,$G$200:G662,1)=1),1,0)</f>
        <v>0</v>
      </c>
      <c r="I662" t="str">
        <f t="shared" si="223"/>
        <v/>
      </c>
      <c r="BF662">
        <f t="shared" si="226"/>
        <v>0</v>
      </c>
      <c r="BG662">
        <f t="shared" si="227"/>
        <v>0</v>
      </c>
      <c r="BH662">
        <f t="shared" si="228"/>
        <v>0</v>
      </c>
      <c r="BI662">
        <f t="shared" si="229"/>
        <v>0</v>
      </c>
      <c r="BJ662">
        <f t="shared" si="230"/>
        <v>0</v>
      </c>
      <c r="BK662">
        <f t="shared" si="231"/>
        <v>0</v>
      </c>
      <c r="BL662">
        <f t="shared" si="232"/>
        <v>0</v>
      </c>
      <c r="BM662">
        <f t="shared" si="233"/>
        <v>0</v>
      </c>
      <c r="BN662">
        <f t="shared" si="234"/>
        <v>0</v>
      </c>
      <c r="BO662">
        <f t="shared" si="235"/>
        <v>0</v>
      </c>
      <c r="BP662">
        <f t="shared" si="236"/>
        <v>0</v>
      </c>
      <c r="BQ662">
        <f t="shared" si="237"/>
        <v>0</v>
      </c>
      <c r="BR662">
        <f t="shared" si="238"/>
        <v>0</v>
      </c>
      <c r="BS662">
        <f t="shared" si="239"/>
        <v>0</v>
      </c>
      <c r="BT662">
        <f t="shared" si="240"/>
        <v>0</v>
      </c>
      <c r="BU662">
        <f t="shared" si="241"/>
        <v>0</v>
      </c>
      <c r="BV662">
        <f t="shared" si="242"/>
        <v>0</v>
      </c>
      <c r="BW662">
        <f t="shared" si="243"/>
        <v>0</v>
      </c>
      <c r="CA662" t="str">
        <f>IF(463&gt;ROWS(DGArchive[模组]),"",IF(INDEX(DGArchive[模组],463)="","",INDEX(DGArchive[模组],463)))</f>
        <v/>
      </c>
      <c r="CB662" t="str">
        <f>IF(463&gt;ROWS(DGArchive[阶段]),"",IF(INDEX(DGArchive[阶段],463)="","",INDEX(DGArchive[阶段],463)))</f>
        <v/>
      </c>
      <c r="CC662" t="str">
        <f>IF(463&gt;ROWS(DGArchive[游戏内日期]),"",IF(INDEX(DGArchive[游戏内日期],463)="","",INDEX(DGArchive[游戏内日期],463)))</f>
        <v/>
      </c>
      <c r="CD662" t="str">
        <f>IF(463&gt;ROWS(DGArchive[目标]),"",IF(INDEX(DGArchive[目标],463)="","",INDEX(DGArchive[目标],463)))</f>
        <v/>
      </c>
      <c r="CE662" t="str">
        <f>IF(463&gt;ROWS(DGArchive[变更前]),"",IF(INDEX(DGArchive[变更前],463)="","",INDEX(DGArchive[变更前],463)))</f>
        <v/>
      </c>
      <c r="CF662" t="str">
        <f>IF(463&gt;ROWS(DGArchive[增减]),"",IF(INDEX(DGArchive[增减],463)="","",INDEX(DGArchive[增减],463)))</f>
        <v/>
      </c>
      <c r="CG662" t="str">
        <f>IF(463&gt;ROWS(DGArchive[变更后]),"",IF(INDEX(DGArchive[变更后],463)="","",INDEX(DGArchive[变更后],463)))</f>
        <v/>
      </c>
      <c r="CH662" t="str">
        <f>IF(463&gt;ROWS(DGArchive[事件／活动]),"",IF(INDEX(DGArchive[事件／活动],463)="","",INDEX(DGArchive[事件／活动],463)))</f>
        <v/>
      </c>
      <c r="CI662" t="str">
        <f>IF(463&gt;ROWS(DGArchive[记录编号]),"",IF(INDEX(DGArchive[记录编号],463)="","",INDEX(DGArchive[记录编号],463)))</f>
        <v/>
      </c>
      <c r="CL662">
        <f t="shared" si="224"/>
        <v>0</v>
      </c>
      <c r="CM662">
        <f>IF(AND(A662=$AO$5,B662=$AQ$3,H662=1),COUNTIFS($A$200:A662,$AO$5,$B$200:B662,$AQ$3,$H$200:H662,1),0)</f>
        <v>0</v>
      </c>
      <c r="CN662">
        <f>IF(CA662="",463,1001)</f>
        <v>463</v>
      </c>
      <c r="GA662">
        <f t="shared" si="244"/>
        <v>0</v>
      </c>
      <c r="GB662">
        <f t="shared" si="245"/>
        <v>0</v>
      </c>
      <c r="GC662">
        <f>IF(AND(C662="事件记录",H662=1),COUNTIFS($C$200:C662,"事件记录",$H$200:H662,1),0)</f>
        <v>0</v>
      </c>
      <c r="GD662">
        <f t="shared" si="225"/>
        <v>0</v>
      </c>
      <c r="GH662">
        <f>IF(AND(H662=1,A662=$GA$10,B662=$GA$11),COUNTIFS($A$200:A662,$GA$10,$B$200:B662,$GA$11,$H$200:H662,1),0)</f>
        <v>0</v>
      </c>
    </row>
    <row r="663" spans="1:190">
      <c r="A663" t="str">
        <f t="shared" si="216"/>
        <v/>
      </c>
      <c r="B663" t="str">
        <f t="shared" si="217"/>
        <v/>
      </c>
      <c r="C663" t="str">
        <f t="shared" si="218"/>
        <v/>
      </c>
      <c r="D663" t="str">
        <f t="shared" si="219"/>
        <v/>
      </c>
      <c r="E663">
        <f t="shared" si="220"/>
        <v>0</v>
      </c>
      <c r="F663" t="str">
        <f t="shared" si="221"/>
        <v/>
      </c>
      <c r="G663">
        <f t="shared" si="222"/>
        <v>0</v>
      </c>
      <c r="H663">
        <f>IF(AND(G663=1,COUNTIFS($I$200:I663,I663,$G$200:G663,1)=1),1,0)</f>
        <v>0</v>
      </c>
      <c r="I663" t="str">
        <f t="shared" si="223"/>
        <v/>
      </c>
      <c r="BF663">
        <f t="shared" si="226"/>
        <v>0</v>
      </c>
      <c r="BG663">
        <f t="shared" si="227"/>
        <v>0</v>
      </c>
      <c r="BH663">
        <f t="shared" si="228"/>
        <v>0</v>
      </c>
      <c r="BI663">
        <f t="shared" si="229"/>
        <v>0</v>
      </c>
      <c r="BJ663">
        <f t="shared" si="230"/>
        <v>0</v>
      </c>
      <c r="BK663">
        <f t="shared" si="231"/>
        <v>0</v>
      </c>
      <c r="BL663">
        <f t="shared" si="232"/>
        <v>0</v>
      </c>
      <c r="BM663">
        <f t="shared" si="233"/>
        <v>0</v>
      </c>
      <c r="BN663">
        <f t="shared" si="234"/>
        <v>0</v>
      </c>
      <c r="BO663">
        <f t="shared" si="235"/>
        <v>0</v>
      </c>
      <c r="BP663">
        <f t="shared" si="236"/>
        <v>0</v>
      </c>
      <c r="BQ663">
        <f t="shared" si="237"/>
        <v>0</v>
      </c>
      <c r="BR663">
        <f t="shared" si="238"/>
        <v>0</v>
      </c>
      <c r="BS663">
        <f t="shared" si="239"/>
        <v>0</v>
      </c>
      <c r="BT663">
        <f t="shared" si="240"/>
        <v>0</v>
      </c>
      <c r="BU663">
        <f t="shared" si="241"/>
        <v>0</v>
      </c>
      <c r="BV663">
        <f t="shared" si="242"/>
        <v>0</v>
      </c>
      <c r="BW663">
        <f t="shared" si="243"/>
        <v>0</v>
      </c>
      <c r="CA663" t="str">
        <f>IF(464&gt;ROWS(DGArchive[模组]),"",IF(INDEX(DGArchive[模组],464)="","",INDEX(DGArchive[模组],464)))</f>
        <v/>
      </c>
      <c r="CB663" t="str">
        <f>IF(464&gt;ROWS(DGArchive[阶段]),"",IF(INDEX(DGArchive[阶段],464)="","",INDEX(DGArchive[阶段],464)))</f>
        <v/>
      </c>
      <c r="CC663" t="str">
        <f>IF(464&gt;ROWS(DGArchive[游戏内日期]),"",IF(INDEX(DGArchive[游戏内日期],464)="","",INDEX(DGArchive[游戏内日期],464)))</f>
        <v/>
      </c>
      <c r="CD663" t="str">
        <f>IF(464&gt;ROWS(DGArchive[目标]),"",IF(INDEX(DGArchive[目标],464)="","",INDEX(DGArchive[目标],464)))</f>
        <v/>
      </c>
      <c r="CE663" t="str">
        <f>IF(464&gt;ROWS(DGArchive[变更前]),"",IF(INDEX(DGArchive[变更前],464)="","",INDEX(DGArchive[变更前],464)))</f>
        <v/>
      </c>
      <c r="CF663" t="str">
        <f>IF(464&gt;ROWS(DGArchive[增减]),"",IF(INDEX(DGArchive[增减],464)="","",INDEX(DGArchive[增减],464)))</f>
        <v/>
      </c>
      <c r="CG663" t="str">
        <f>IF(464&gt;ROWS(DGArchive[变更后]),"",IF(INDEX(DGArchive[变更后],464)="","",INDEX(DGArchive[变更后],464)))</f>
        <v/>
      </c>
      <c r="CH663" t="str">
        <f>IF(464&gt;ROWS(DGArchive[事件／活动]),"",IF(INDEX(DGArchive[事件／活动],464)="","",INDEX(DGArchive[事件／活动],464)))</f>
        <v/>
      </c>
      <c r="CI663" t="str">
        <f>IF(464&gt;ROWS(DGArchive[记录编号]),"",IF(INDEX(DGArchive[记录编号],464)="","",INDEX(DGArchive[记录编号],464)))</f>
        <v/>
      </c>
      <c r="CL663">
        <f t="shared" si="224"/>
        <v>0</v>
      </c>
      <c r="CM663">
        <f>IF(AND(A663=$AO$5,B663=$AQ$3,H663=1),COUNTIFS($A$200:A663,$AO$5,$B$200:B663,$AQ$3,$H$200:H663,1),0)</f>
        <v>0</v>
      </c>
      <c r="CN663">
        <f>IF(CA663="",464,1001)</f>
        <v>464</v>
      </c>
      <c r="GA663">
        <f t="shared" si="244"/>
        <v>0</v>
      </c>
      <c r="GB663">
        <f t="shared" si="245"/>
        <v>0</v>
      </c>
      <c r="GC663">
        <f>IF(AND(C663="事件记录",H663=1),COUNTIFS($C$200:C663,"事件记录",$H$200:H663,1),0)</f>
        <v>0</v>
      </c>
      <c r="GD663">
        <f t="shared" si="225"/>
        <v>0</v>
      </c>
      <c r="GH663">
        <f>IF(AND(H663=1,A663=$GA$10,B663=$GA$11),COUNTIFS($A$200:A663,$GA$10,$B$200:B663,$GA$11,$H$200:H663,1),0)</f>
        <v>0</v>
      </c>
    </row>
    <row r="664" spans="1:190">
      <c r="A664" t="str">
        <f t="shared" si="216"/>
        <v/>
      </c>
      <c r="B664" t="str">
        <f t="shared" si="217"/>
        <v/>
      </c>
      <c r="C664" t="str">
        <f t="shared" si="218"/>
        <v/>
      </c>
      <c r="D664" t="str">
        <f t="shared" si="219"/>
        <v/>
      </c>
      <c r="E664">
        <f t="shared" si="220"/>
        <v>0</v>
      </c>
      <c r="F664" t="str">
        <f t="shared" si="221"/>
        <v/>
      </c>
      <c r="G664">
        <f t="shared" si="222"/>
        <v>0</v>
      </c>
      <c r="H664">
        <f>IF(AND(G664=1,COUNTIFS($I$200:I664,I664,$G$200:G664,1)=1),1,0)</f>
        <v>0</v>
      </c>
      <c r="I664" t="str">
        <f t="shared" si="223"/>
        <v/>
      </c>
      <c r="BF664">
        <f t="shared" si="226"/>
        <v>0</v>
      </c>
      <c r="BG664">
        <f t="shared" si="227"/>
        <v>0</v>
      </c>
      <c r="BH664">
        <f t="shared" si="228"/>
        <v>0</v>
      </c>
      <c r="BI664">
        <f t="shared" si="229"/>
        <v>0</v>
      </c>
      <c r="BJ664">
        <f t="shared" si="230"/>
        <v>0</v>
      </c>
      <c r="BK664">
        <f t="shared" si="231"/>
        <v>0</v>
      </c>
      <c r="BL664">
        <f t="shared" si="232"/>
        <v>0</v>
      </c>
      <c r="BM664">
        <f t="shared" si="233"/>
        <v>0</v>
      </c>
      <c r="BN664">
        <f t="shared" si="234"/>
        <v>0</v>
      </c>
      <c r="BO664">
        <f t="shared" si="235"/>
        <v>0</v>
      </c>
      <c r="BP664">
        <f t="shared" si="236"/>
        <v>0</v>
      </c>
      <c r="BQ664">
        <f t="shared" si="237"/>
        <v>0</v>
      </c>
      <c r="BR664">
        <f t="shared" si="238"/>
        <v>0</v>
      </c>
      <c r="BS664">
        <f t="shared" si="239"/>
        <v>0</v>
      </c>
      <c r="BT664">
        <f t="shared" si="240"/>
        <v>0</v>
      </c>
      <c r="BU664">
        <f t="shared" si="241"/>
        <v>0</v>
      </c>
      <c r="BV664">
        <f t="shared" si="242"/>
        <v>0</v>
      </c>
      <c r="BW664">
        <f t="shared" si="243"/>
        <v>0</v>
      </c>
      <c r="CA664" t="str">
        <f>IF(465&gt;ROWS(DGArchive[模组]),"",IF(INDEX(DGArchive[模组],465)="","",INDEX(DGArchive[模组],465)))</f>
        <v/>
      </c>
      <c r="CB664" t="str">
        <f>IF(465&gt;ROWS(DGArchive[阶段]),"",IF(INDEX(DGArchive[阶段],465)="","",INDEX(DGArchive[阶段],465)))</f>
        <v/>
      </c>
      <c r="CC664" t="str">
        <f>IF(465&gt;ROWS(DGArchive[游戏内日期]),"",IF(INDEX(DGArchive[游戏内日期],465)="","",INDEX(DGArchive[游戏内日期],465)))</f>
        <v/>
      </c>
      <c r="CD664" t="str">
        <f>IF(465&gt;ROWS(DGArchive[目标]),"",IF(INDEX(DGArchive[目标],465)="","",INDEX(DGArchive[目标],465)))</f>
        <v/>
      </c>
      <c r="CE664" t="str">
        <f>IF(465&gt;ROWS(DGArchive[变更前]),"",IF(INDEX(DGArchive[变更前],465)="","",INDEX(DGArchive[变更前],465)))</f>
        <v/>
      </c>
      <c r="CF664" t="str">
        <f>IF(465&gt;ROWS(DGArchive[增减]),"",IF(INDEX(DGArchive[增减],465)="","",INDEX(DGArchive[增减],465)))</f>
        <v/>
      </c>
      <c r="CG664" t="str">
        <f>IF(465&gt;ROWS(DGArchive[变更后]),"",IF(INDEX(DGArchive[变更后],465)="","",INDEX(DGArchive[变更后],465)))</f>
        <v/>
      </c>
      <c r="CH664" t="str">
        <f>IF(465&gt;ROWS(DGArchive[事件／活动]),"",IF(INDEX(DGArchive[事件／活动],465)="","",INDEX(DGArchive[事件／活动],465)))</f>
        <v/>
      </c>
      <c r="CI664" t="str">
        <f>IF(465&gt;ROWS(DGArchive[记录编号]),"",IF(INDEX(DGArchive[记录编号],465)="","",INDEX(DGArchive[记录编号],465)))</f>
        <v/>
      </c>
      <c r="CL664">
        <f t="shared" si="224"/>
        <v>0</v>
      </c>
      <c r="CM664">
        <f>IF(AND(A664=$AO$5,B664=$AQ$3,H664=1),COUNTIFS($A$200:A664,$AO$5,$B$200:B664,$AQ$3,$H$200:H664,1),0)</f>
        <v>0</v>
      </c>
      <c r="CN664">
        <f>IF(CA664="",465,1001)</f>
        <v>465</v>
      </c>
      <c r="GA664">
        <f t="shared" si="244"/>
        <v>0</v>
      </c>
      <c r="GB664">
        <f t="shared" si="245"/>
        <v>0</v>
      </c>
      <c r="GC664">
        <f>IF(AND(C664="事件记录",H664=1),COUNTIFS($C$200:C664,"事件记录",$H$200:H664,1),0)</f>
        <v>0</v>
      </c>
      <c r="GD664">
        <f t="shared" si="225"/>
        <v>0</v>
      </c>
      <c r="GH664">
        <f>IF(AND(H664=1,A664=$GA$10,B664=$GA$11),COUNTIFS($A$200:A664,$GA$10,$B$200:B664,$GA$11,$H$200:H664,1),0)</f>
        <v>0</v>
      </c>
    </row>
    <row r="665" spans="1:190">
      <c r="A665" t="str">
        <f t="shared" si="216"/>
        <v/>
      </c>
      <c r="B665" t="str">
        <f t="shared" si="217"/>
        <v/>
      </c>
      <c r="C665" t="str">
        <f t="shared" si="218"/>
        <v/>
      </c>
      <c r="D665" t="str">
        <f t="shared" si="219"/>
        <v/>
      </c>
      <c r="E665">
        <f t="shared" si="220"/>
        <v>0</v>
      </c>
      <c r="F665" t="str">
        <f t="shared" si="221"/>
        <v/>
      </c>
      <c r="G665">
        <f t="shared" si="222"/>
        <v>0</v>
      </c>
      <c r="H665">
        <f>IF(AND(G665=1,COUNTIFS($I$200:I665,I665,$G$200:G665,1)=1),1,0)</f>
        <v>0</v>
      </c>
      <c r="I665" t="str">
        <f t="shared" si="223"/>
        <v/>
      </c>
      <c r="BF665">
        <f t="shared" si="226"/>
        <v>0</v>
      </c>
      <c r="BG665">
        <f t="shared" si="227"/>
        <v>0</v>
      </c>
      <c r="BH665">
        <f t="shared" si="228"/>
        <v>0</v>
      </c>
      <c r="BI665">
        <f t="shared" si="229"/>
        <v>0</v>
      </c>
      <c r="BJ665">
        <f t="shared" si="230"/>
        <v>0</v>
      </c>
      <c r="BK665">
        <f t="shared" si="231"/>
        <v>0</v>
      </c>
      <c r="BL665">
        <f t="shared" si="232"/>
        <v>0</v>
      </c>
      <c r="BM665">
        <f t="shared" si="233"/>
        <v>0</v>
      </c>
      <c r="BN665">
        <f t="shared" si="234"/>
        <v>0</v>
      </c>
      <c r="BO665">
        <f t="shared" si="235"/>
        <v>0</v>
      </c>
      <c r="BP665">
        <f t="shared" si="236"/>
        <v>0</v>
      </c>
      <c r="BQ665">
        <f t="shared" si="237"/>
        <v>0</v>
      </c>
      <c r="BR665">
        <f t="shared" si="238"/>
        <v>0</v>
      </c>
      <c r="BS665">
        <f t="shared" si="239"/>
        <v>0</v>
      </c>
      <c r="BT665">
        <f t="shared" si="240"/>
        <v>0</v>
      </c>
      <c r="BU665">
        <f t="shared" si="241"/>
        <v>0</v>
      </c>
      <c r="BV665">
        <f t="shared" si="242"/>
        <v>0</v>
      </c>
      <c r="BW665">
        <f t="shared" si="243"/>
        <v>0</v>
      </c>
      <c r="CA665" t="str">
        <f>IF(466&gt;ROWS(DGArchive[模组]),"",IF(INDEX(DGArchive[模组],466)="","",INDEX(DGArchive[模组],466)))</f>
        <v/>
      </c>
      <c r="CB665" t="str">
        <f>IF(466&gt;ROWS(DGArchive[阶段]),"",IF(INDEX(DGArchive[阶段],466)="","",INDEX(DGArchive[阶段],466)))</f>
        <v/>
      </c>
      <c r="CC665" t="str">
        <f>IF(466&gt;ROWS(DGArchive[游戏内日期]),"",IF(INDEX(DGArchive[游戏内日期],466)="","",INDEX(DGArchive[游戏内日期],466)))</f>
        <v/>
      </c>
      <c r="CD665" t="str">
        <f>IF(466&gt;ROWS(DGArchive[目标]),"",IF(INDEX(DGArchive[目标],466)="","",INDEX(DGArchive[目标],466)))</f>
        <v/>
      </c>
      <c r="CE665" t="str">
        <f>IF(466&gt;ROWS(DGArchive[变更前]),"",IF(INDEX(DGArchive[变更前],466)="","",INDEX(DGArchive[变更前],466)))</f>
        <v/>
      </c>
      <c r="CF665" t="str">
        <f>IF(466&gt;ROWS(DGArchive[增减]),"",IF(INDEX(DGArchive[增减],466)="","",INDEX(DGArchive[增减],466)))</f>
        <v/>
      </c>
      <c r="CG665" t="str">
        <f>IF(466&gt;ROWS(DGArchive[变更后]),"",IF(INDEX(DGArchive[变更后],466)="","",INDEX(DGArchive[变更后],466)))</f>
        <v/>
      </c>
      <c r="CH665" t="str">
        <f>IF(466&gt;ROWS(DGArchive[事件／活动]),"",IF(INDEX(DGArchive[事件／活动],466)="","",INDEX(DGArchive[事件／活动],466)))</f>
        <v/>
      </c>
      <c r="CI665" t="str">
        <f>IF(466&gt;ROWS(DGArchive[记录编号]),"",IF(INDEX(DGArchive[记录编号],466)="","",INDEX(DGArchive[记录编号],466)))</f>
        <v/>
      </c>
      <c r="CL665">
        <f t="shared" si="224"/>
        <v>0</v>
      </c>
      <c r="CM665">
        <f>IF(AND(A665=$AO$5,B665=$AQ$3,H665=1),COUNTIFS($A$200:A665,$AO$5,$B$200:B665,$AQ$3,$H$200:H665,1),0)</f>
        <v>0</v>
      </c>
      <c r="CN665">
        <f>IF(CA665="",466,1001)</f>
        <v>466</v>
      </c>
      <c r="GA665">
        <f t="shared" si="244"/>
        <v>0</v>
      </c>
      <c r="GB665">
        <f t="shared" si="245"/>
        <v>0</v>
      </c>
      <c r="GC665">
        <f>IF(AND(C665="事件记录",H665=1),COUNTIFS($C$200:C665,"事件记录",$H$200:H665,1),0)</f>
        <v>0</v>
      </c>
      <c r="GD665">
        <f t="shared" si="225"/>
        <v>0</v>
      </c>
      <c r="GH665">
        <f>IF(AND(H665=1,A665=$GA$10,B665=$GA$11),COUNTIFS($A$200:A665,$GA$10,$B$200:B665,$GA$11,$H$200:H665,1),0)</f>
        <v>0</v>
      </c>
    </row>
    <row r="666" spans="1:190">
      <c r="A666" t="str">
        <f t="shared" si="216"/>
        <v/>
      </c>
      <c r="B666" t="str">
        <f t="shared" si="217"/>
        <v/>
      </c>
      <c r="C666" t="str">
        <f t="shared" si="218"/>
        <v/>
      </c>
      <c r="D666" t="str">
        <f t="shared" si="219"/>
        <v/>
      </c>
      <c r="E666">
        <f t="shared" si="220"/>
        <v>0</v>
      </c>
      <c r="F666" t="str">
        <f t="shared" si="221"/>
        <v/>
      </c>
      <c r="G666">
        <f t="shared" si="222"/>
        <v>0</v>
      </c>
      <c r="H666">
        <f>IF(AND(G666=1,COUNTIFS($I$200:I666,I666,$G$200:G666,1)=1),1,0)</f>
        <v>0</v>
      </c>
      <c r="I666" t="str">
        <f t="shared" si="223"/>
        <v/>
      </c>
      <c r="BF666">
        <f t="shared" si="226"/>
        <v>0</v>
      </c>
      <c r="BG666">
        <f t="shared" si="227"/>
        <v>0</v>
      </c>
      <c r="BH666">
        <f t="shared" si="228"/>
        <v>0</v>
      </c>
      <c r="BI666">
        <f t="shared" si="229"/>
        <v>0</v>
      </c>
      <c r="BJ666">
        <f t="shared" si="230"/>
        <v>0</v>
      </c>
      <c r="BK666">
        <f t="shared" si="231"/>
        <v>0</v>
      </c>
      <c r="BL666">
        <f t="shared" si="232"/>
        <v>0</v>
      </c>
      <c r="BM666">
        <f t="shared" si="233"/>
        <v>0</v>
      </c>
      <c r="BN666">
        <f t="shared" si="234"/>
        <v>0</v>
      </c>
      <c r="BO666">
        <f t="shared" si="235"/>
        <v>0</v>
      </c>
      <c r="BP666">
        <f t="shared" si="236"/>
        <v>0</v>
      </c>
      <c r="BQ666">
        <f t="shared" si="237"/>
        <v>0</v>
      </c>
      <c r="BR666">
        <f t="shared" si="238"/>
        <v>0</v>
      </c>
      <c r="BS666">
        <f t="shared" si="239"/>
        <v>0</v>
      </c>
      <c r="BT666">
        <f t="shared" si="240"/>
        <v>0</v>
      </c>
      <c r="BU666">
        <f t="shared" si="241"/>
        <v>0</v>
      </c>
      <c r="BV666">
        <f t="shared" si="242"/>
        <v>0</v>
      </c>
      <c r="BW666">
        <f t="shared" si="243"/>
        <v>0</v>
      </c>
      <c r="CA666" t="str">
        <f>IF(467&gt;ROWS(DGArchive[模组]),"",IF(INDEX(DGArchive[模组],467)="","",INDEX(DGArchive[模组],467)))</f>
        <v/>
      </c>
      <c r="CB666" t="str">
        <f>IF(467&gt;ROWS(DGArchive[阶段]),"",IF(INDEX(DGArchive[阶段],467)="","",INDEX(DGArchive[阶段],467)))</f>
        <v/>
      </c>
      <c r="CC666" t="str">
        <f>IF(467&gt;ROWS(DGArchive[游戏内日期]),"",IF(INDEX(DGArchive[游戏内日期],467)="","",INDEX(DGArchive[游戏内日期],467)))</f>
        <v/>
      </c>
      <c r="CD666" t="str">
        <f>IF(467&gt;ROWS(DGArchive[目标]),"",IF(INDEX(DGArchive[目标],467)="","",INDEX(DGArchive[目标],467)))</f>
        <v/>
      </c>
      <c r="CE666" t="str">
        <f>IF(467&gt;ROWS(DGArchive[变更前]),"",IF(INDEX(DGArchive[变更前],467)="","",INDEX(DGArchive[变更前],467)))</f>
        <v/>
      </c>
      <c r="CF666" t="str">
        <f>IF(467&gt;ROWS(DGArchive[增减]),"",IF(INDEX(DGArchive[增减],467)="","",INDEX(DGArchive[增减],467)))</f>
        <v/>
      </c>
      <c r="CG666" t="str">
        <f>IF(467&gt;ROWS(DGArchive[变更后]),"",IF(INDEX(DGArchive[变更后],467)="","",INDEX(DGArchive[变更后],467)))</f>
        <v/>
      </c>
      <c r="CH666" t="str">
        <f>IF(467&gt;ROWS(DGArchive[事件／活动]),"",IF(INDEX(DGArchive[事件／活动],467)="","",INDEX(DGArchive[事件／活动],467)))</f>
        <v/>
      </c>
      <c r="CI666" t="str">
        <f>IF(467&gt;ROWS(DGArchive[记录编号]),"",IF(INDEX(DGArchive[记录编号],467)="","",INDEX(DGArchive[记录编号],467)))</f>
        <v/>
      </c>
      <c r="CL666">
        <f t="shared" si="224"/>
        <v>0</v>
      </c>
      <c r="CM666">
        <f>IF(AND(A666=$AO$5,B666=$AQ$3,H666=1),COUNTIFS($A$200:A666,$AO$5,$B$200:B666,$AQ$3,$H$200:H666,1),0)</f>
        <v>0</v>
      </c>
      <c r="CN666">
        <f>IF(CA666="",467,1001)</f>
        <v>467</v>
      </c>
      <c r="GA666">
        <f t="shared" si="244"/>
        <v>0</v>
      </c>
      <c r="GB666">
        <f t="shared" si="245"/>
        <v>0</v>
      </c>
      <c r="GC666">
        <f>IF(AND(C666="事件记录",H666=1),COUNTIFS($C$200:C666,"事件记录",$H$200:H666,1),0)</f>
        <v>0</v>
      </c>
      <c r="GD666">
        <f t="shared" si="225"/>
        <v>0</v>
      </c>
      <c r="GH666">
        <f>IF(AND(H666=1,A666=$GA$10,B666=$GA$11),COUNTIFS($A$200:A666,$GA$10,$B$200:B666,$GA$11,$H$200:H666,1),0)</f>
        <v>0</v>
      </c>
    </row>
    <row r="667" spans="1:190">
      <c r="A667" t="str">
        <f t="shared" si="216"/>
        <v/>
      </c>
      <c r="B667" t="str">
        <f t="shared" si="217"/>
        <v/>
      </c>
      <c r="C667" t="str">
        <f t="shared" si="218"/>
        <v/>
      </c>
      <c r="D667" t="str">
        <f t="shared" si="219"/>
        <v/>
      </c>
      <c r="E667">
        <f t="shared" si="220"/>
        <v>0</v>
      </c>
      <c r="F667" t="str">
        <f t="shared" si="221"/>
        <v/>
      </c>
      <c r="G667">
        <f t="shared" si="222"/>
        <v>0</v>
      </c>
      <c r="H667">
        <f>IF(AND(G667=1,COUNTIFS($I$200:I667,I667,$G$200:G667,1)=1),1,0)</f>
        <v>0</v>
      </c>
      <c r="I667" t="str">
        <f t="shared" si="223"/>
        <v/>
      </c>
      <c r="BF667">
        <f t="shared" si="226"/>
        <v>0</v>
      </c>
      <c r="BG667">
        <f t="shared" si="227"/>
        <v>0</v>
      </c>
      <c r="BH667">
        <f t="shared" si="228"/>
        <v>0</v>
      </c>
      <c r="BI667">
        <f t="shared" si="229"/>
        <v>0</v>
      </c>
      <c r="BJ667">
        <f t="shared" si="230"/>
        <v>0</v>
      </c>
      <c r="BK667">
        <f t="shared" si="231"/>
        <v>0</v>
      </c>
      <c r="BL667">
        <f t="shared" si="232"/>
        <v>0</v>
      </c>
      <c r="BM667">
        <f t="shared" si="233"/>
        <v>0</v>
      </c>
      <c r="BN667">
        <f t="shared" si="234"/>
        <v>0</v>
      </c>
      <c r="BO667">
        <f t="shared" si="235"/>
        <v>0</v>
      </c>
      <c r="BP667">
        <f t="shared" si="236"/>
        <v>0</v>
      </c>
      <c r="BQ667">
        <f t="shared" si="237"/>
        <v>0</v>
      </c>
      <c r="BR667">
        <f t="shared" si="238"/>
        <v>0</v>
      </c>
      <c r="BS667">
        <f t="shared" si="239"/>
        <v>0</v>
      </c>
      <c r="BT667">
        <f t="shared" si="240"/>
        <v>0</v>
      </c>
      <c r="BU667">
        <f t="shared" si="241"/>
        <v>0</v>
      </c>
      <c r="BV667">
        <f t="shared" si="242"/>
        <v>0</v>
      </c>
      <c r="BW667">
        <f t="shared" si="243"/>
        <v>0</v>
      </c>
      <c r="CA667" t="str">
        <f>IF(468&gt;ROWS(DGArchive[模组]),"",IF(INDEX(DGArchive[模组],468)="","",INDEX(DGArchive[模组],468)))</f>
        <v/>
      </c>
      <c r="CB667" t="str">
        <f>IF(468&gt;ROWS(DGArchive[阶段]),"",IF(INDEX(DGArchive[阶段],468)="","",INDEX(DGArchive[阶段],468)))</f>
        <v/>
      </c>
      <c r="CC667" t="str">
        <f>IF(468&gt;ROWS(DGArchive[游戏内日期]),"",IF(INDEX(DGArchive[游戏内日期],468)="","",INDEX(DGArchive[游戏内日期],468)))</f>
        <v/>
      </c>
      <c r="CD667" t="str">
        <f>IF(468&gt;ROWS(DGArchive[目标]),"",IF(INDEX(DGArchive[目标],468)="","",INDEX(DGArchive[目标],468)))</f>
        <v/>
      </c>
      <c r="CE667" t="str">
        <f>IF(468&gt;ROWS(DGArchive[变更前]),"",IF(INDEX(DGArchive[变更前],468)="","",INDEX(DGArchive[变更前],468)))</f>
        <v/>
      </c>
      <c r="CF667" t="str">
        <f>IF(468&gt;ROWS(DGArchive[增减]),"",IF(INDEX(DGArchive[增减],468)="","",INDEX(DGArchive[增减],468)))</f>
        <v/>
      </c>
      <c r="CG667" t="str">
        <f>IF(468&gt;ROWS(DGArchive[变更后]),"",IF(INDEX(DGArchive[变更后],468)="","",INDEX(DGArchive[变更后],468)))</f>
        <v/>
      </c>
      <c r="CH667" t="str">
        <f>IF(468&gt;ROWS(DGArchive[事件／活动]),"",IF(INDEX(DGArchive[事件／活动],468)="","",INDEX(DGArchive[事件／活动],468)))</f>
        <v/>
      </c>
      <c r="CI667" t="str">
        <f>IF(468&gt;ROWS(DGArchive[记录编号]),"",IF(INDEX(DGArchive[记录编号],468)="","",INDEX(DGArchive[记录编号],468)))</f>
        <v/>
      </c>
      <c r="CL667">
        <f t="shared" si="224"/>
        <v>0</v>
      </c>
      <c r="CM667">
        <f>IF(AND(A667=$AO$5,B667=$AQ$3,H667=1),COUNTIFS($A$200:A667,$AO$5,$B$200:B667,$AQ$3,$H$200:H667,1),0)</f>
        <v>0</v>
      </c>
      <c r="CN667">
        <f>IF(CA667="",468,1001)</f>
        <v>468</v>
      </c>
      <c r="GA667">
        <f t="shared" si="244"/>
        <v>0</v>
      </c>
      <c r="GB667">
        <f t="shared" si="245"/>
        <v>0</v>
      </c>
      <c r="GC667">
        <f>IF(AND(C667="事件记录",H667=1),COUNTIFS($C$200:C667,"事件记录",$H$200:H667,1),0)</f>
        <v>0</v>
      </c>
      <c r="GD667">
        <f t="shared" si="225"/>
        <v>0</v>
      </c>
      <c r="GH667">
        <f>IF(AND(H667=1,A667=$GA$10,B667=$GA$11),COUNTIFS($A$200:A667,$GA$10,$B$200:B667,$GA$11,$H$200:H667,1),0)</f>
        <v>0</v>
      </c>
    </row>
    <row r="668" spans="1:190">
      <c r="A668" t="str">
        <f t="shared" si="216"/>
        <v/>
      </c>
      <c r="B668" t="str">
        <f t="shared" si="217"/>
        <v/>
      </c>
      <c r="C668" t="str">
        <f t="shared" si="218"/>
        <v/>
      </c>
      <c r="D668" t="str">
        <f t="shared" si="219"/>
        <v/>
      </c>
      <c r="E668">
        <f t="shared" si="220"/>
        <v>0</v>
      </c>
      <c r="F668" t="str">
        <f t="shared" si="221"/>
        <v/>
      </c>
      <c r="G668">
        <f t="shared" si="222"/>
        <v>0</v>
      </c>
      <c r="H668">
        <f>IF(AND(G668=1,COUNTIFS($I$200:I668,I668,$G$200:G668,1)=1),1,0)</f>
        <v>0</v>
      </c>
      <c r="I668" t="str">
        <f t="shared" si="223"/>
        <v/>
      </c>
      <c r="BF668">
        <f t="shared" si="226"/>
        <v>0</v>
      </c>
      <c r="BG668">
        <f t="shared" si="227"/>
        <v>0</v>
      </c>
      <c r="BH668">
        <f t="shared" si="228"/>
        <v>0</v>
      </c>
      <c r="BI668">
        <f t="shared" si="229"/>
        <v>0</v>
      </c>
      <c r="BJ668">
        <f t="shared" si="230"/>
        <v>0</v>
      </c>
      <c r="BK668">
        <f t="shared" si="231"/>
        <v>0</v>
      </c>
      <c r="BL668">
        <f t="shared" si="232"/>
        <v>0</v>
      </c>
      <c r="BM668">
        <f t="shared" si="233"/>
        <v>0</v>
      </c>
      <c r="BN668">
        <f t="shared" si="234"/>
        <v>0</v>
      </c>
      <c r="BO668">
        <f t="shared" si="235"/>
        <v>0</v>
      </c>
      <c r="BP668">
        <f t="shared" si="236"/>
        <v>0</v>
      </c>
      <c r="BQ668">
        <f t="shared" si="237"/>
        <v>0</v>
      </c>
      <c r="BR668">
        <f t="shared" si="238"/>
        <v>0</v>
      </c>
      <c r="BS668">
        <f t="shared" si="239"/>
        <v>0</v>
      </c>
      <c r="BT668">
        <f t="shared" si="240"/>
        <v>0</v>
      </c>
      <c r="BU668">
        <f t="shared" si="241"/>
        <v>0</v>
      </c>
      <c r="BV668">
        <f t="shared" si="242"/>
        <v>0</v>
      </c>
      <c r="BW668">
        <f t="shared" si="243"/>
        <v>0</v>
      </c>
      <c r="CA668" t="str">
        <f>IF(469&gt;ROWS(DGArchive[模组]),"",IF(INDEX(DGArchive[模组],469)="","",INDEX(DGArchive[模组],469)))</f>
        <v/>
      </c>
      <c r="CB668" t="str">
        <f>IF(469&gt;ROWS(DGArchive[阶段]),"",IF(INDEX(DGArchive[阶段],469)="","",INDEX(DGArchive[阶段],469)))</f>
        <v/>
      </c>
      <c r="CC668" t="str">
        <f>IF(469&gt;ROWS(DGArchive[游戏内日期]),"",IF(INDEX(DGArchive[游戏内日期],469)="","",INDEX(DGArchive[游戏内日期],469)))</f>
        <v/>
      </c>
      <c r="CD668" t="str">
        <f>IF(469&gt;ROWS(DGArchive[目标]),"",IF(INDEX(DGArchive[目标],469)="","",INDEX(DGArchive[目标],469)))</f>
        <v/>
      </c>
      <c r="CE668" t="str">
        <f>IF(469&gt;ROWS(DGArchive[变更前]),"",IF(INDEX(DGArchive[变更前],469)="","",INDEX(DGArchive[变更前],469)))</f>
        <v/>
      </c>
      <c r="CF668" t="str">
        <f>IF(469&gt;ROWS(DGArchive[增减]),"",IF(INDEX(DGArchive[增减],469)="","",INDEX(DGArchive[增减],469)))</f>
        <v/>
      </c>
      <c r="CG668" t="str">
        <f>IF(469&gt;ROWS(DGArchive[变更后]),"",IF(INDEX(DGArchive[变更后],469)="","",INDEX(DGArchive[变更后],469)))</f>
        <v/>
      </c>
      <c r="CH668" t="str">
        <f>IF(469&gt;ROWS(DGArchive[事件／活动]),"",IF(INDEX(DGArchive[事件／活动],469)="","",INDEX(DGArchive[事件／活动],469)))</f>
        <v/>
      </c>
      <c r="CI668" t="str">
        <f>IF(469&gt;ROWS(DGArchive[记录编号]),"",IF(INDEX(DGArchive[记录编号],469)="","",INDEX(DGArchive[记录编号],469)))</f>
        <v/>
      </c>
      <c r="CL668">
        <f t="shared" si="224"/>
        <v>0</v>
      </c>
      <c r="CM668">
        <f>IF(AND(A668=$AO$5,B668=$AQ$3,H668=1),COUNTIFS($A$200:A668,$AO$5,$B$200:B668,$AQ$3,$H$200:H668,1),0)</f>
        <v>0</v>
      </c>
      <c r="CN668">
        <f>IF(CA668="",469,1001)</f>
        <v>469</v>
      </c>
      <c r="GA668">
        <f t="shared" si="244"/>
        <v>0</v>
      </c>
      <c r="GB668">
        <f t="shared" si="245"/>
        <v>0</v>
      </c>
      <c r="GC668">
        <f>IF(AND(C668="事件记录",H668=1),COUNTIFS($C$200:C668,"事件记录",$H$200:H668,1),0)</f>
        <v>0</v>
      </c>
      <c r="GD668">
        <f t="shared" si="225"/>
        <v>0</v>
      </c>
      <c r="GH668">
        <f>IF(AND(H668=1,A668=$GA$10,B668=$GA$11),COUNTIFS($A$200:A668,$GA$10,$B$200:B668,$GA$11,$H$200:H668,1),0)</f>
        <v>0</v>
      </c>
    </row>
    <row r="669" spans="1:190">
      <c r="A669" t="str">
        <f t="shared" si="216"/>
        <v/>
      </c>
      <c r="B669" t="str">
        <f t="shared" si="217"/>
        <v/>
      </c>
      <c r="C669" t="str">
        <f t="shared" si="218"/>
        <v/>
      </c>
      <c r="D669" t="str">
        <f t="shared" si="219"/>
        <v/>
      </c>
      <c r="E669">
        <f t="shared" si="220"/>
        <v>0</v>
      </c>
      <c r="F669" t="str">
        <f t="shared" si="221"/>
        <v/>
      </c>
      <c r="G669">
        <f t="shared" si="222"/>
        <v>0</v>
      </c>
      <c r="H669">
        <f>IF(AND(G669=1,COUNTIFS($I$200:I669,I669,$G$200:G669,1)=1),1,0)</f>
        <v>0</v>
      </c>
      <c r="I669" t="str">
        <f t="shared" si="223"/>
        <v/>
      </c>
      <c r="BF669">
        <f t="shared" si="226"/>
        <v>0</v>
      </c>
      <c r="BG669">
        <f t="shared" si="227"/>
        <v>0</v>
      </c>
      <c r="BH669">
        <f t="shared" si="228"/>
        <v>0</v>
      </c>
      <c r="BI669">
        <f t="shared" si="229"/>
        <v>0</v>
      </c>
      <c r="BJ669">
        <f t="shared" si="230"/>
        <v>0</v>
      </c>
      <c r="BK669">
        <f t="shared" si="231"/>
        <v>0</v>
      </c>
      <c r="BL669">
        <f t="shared" si="232"/>
        <v>0</v>
      </c>
      <c r="BM669">
        <f t="shared" si="233"/>
        <v>0</v>
      </c>
      <c r="BN669">
        <f t="shared" si="234"/>
        <v>0</v>
      </c>
      <c r="BO669">
        <f t="shared" si="235"/>
        <v>0</v>
      </c>
      <c r="BP669">
        <f t="shared" si="236"/>
        <v>0</v>
      </c>
      <c r="BQ669">
        <f t="shared" si="237"/>
        <v>0</v>
      </c>
      <c r="BR669">
        <f t="shared" si="238"/>
        <v>0</v>
      </c>
      <c r="BS669">
        <f t="shared" si="239"/>
        <v>0</v>
      </c>
      <c r="BT669">
        <f t="shared" si="240"/>
        <v>0</v>
      </c>
      <c r="BU669">
        <f t="shared" si="241"/>
        <v>0</v>
      </c>
      <c r="BV669">
        <f t="shared" si="242"/>
        <v>0</v>
      </c>
      <c r="BW669">
        <f t="shared" si="243"/>
        <v>0</v>
      </c>
      <c r="CA669" t="str">
        <f>IF(470&gt;ROWS(DGArchive[模组]),"",IF(INDEX(DGArchive[模组],470)="","",INDEX(DGArchive[模组],470)))</f>
        <v/>
      </c>
      <c r="CB669" t="str">
        <f>IF(470&gt;ROWS(DGArchive[阶段]),"",IF(INDEX(DGArchive[阶段],470)="","",INDEX(DGArchive[阶段],470)))</f>
        <v/>
      </c>
      <c r="CC669" t="str">
        <f>IF(470&gt;ROWS(DGArchive[游戏内日期]),"",IF(INDEX(DGArchive[游戏内日期],470)="","",INDEX(DGArchive[游戏内日期],470)))</f>
        <v/>
      </c>
      <c r="CD669" t="str">
        <f>IF(470&gt;ROWS(DGArchive[目标]),"",IF(INDEX(DGArchive[目标],470)="","",INDEX(DGArchive[目标],470)))</f>
        <v/>
      </c>
      <c r="CE669" t="str">
        <f>IF(470&gt;ROWS(DGArchive[变更前]),"",IF(INDEX(DGArchive[变更前],470)="","",INDEX(DGArchive[变更前],470)))</f>
        <v/>
      </c>
      <c r="CF669" t="str">
        <f>IF(470&gt;ROWS(DGArchive[增减]),"",IF(INDEX(DGArchive[增减],470)="","",INDEX(DGArchive[增减],470)))</f>
        <v/>
      </c>
      <c r="CG669" t="str">
        <f>IF(470&gt;ROWS(DGArchive[变更后]),"",IF(INDEX(DGArchive[变更后],470)="","",INDEX(DGArchive[变更后],470)))</f>
        <v/>
      </c>
      <c r="CH669" t="str">
        <f>IF(470&gt;ROWS(DGArchive[事件／活动]),"",IF(INDEX(DGArchive[事件／活动],470)="","",INDEX(DGArchive[事件／活动],470)))</f>
        <v/>
      </c>
      <c r="CI669" t="str">
        <f>IF(470&gt;ROWS(DGArchive[记录编号]),"",IF(INDEX(DGArchive[记录编号],470)="","",INDEX(DGArchive[记录编号],470)))</f>
        <v/>
      </c>
      <c r="CL669">
        <f t="shared" si="224"/>
        <v>0</v>
      </c>
      <c r="CM669">
        <f>IF(AND(A669=$AO$5,B669=$AQ$3,H669=1),COUNTIFS($A$200:A669,$AO$5,$B$200:B669,$AQ$3,$H$200:H669,1),0)</f>
        <v>0</v>
      </c>
      <c r="CN669">
        <f>IF(CA669="",470,1001)</f>
        <v>470</v>
      </c>
      <c r="GA669">
        <f t="shared" si="244"/>
        <v>0</v>
      </c>
      <c r="GB669">
        <f t="shared" si="245"/>
        <v>0</v>
      </c>
      <c r="GC669">
        <f>IF(AND(C669="事件记录",H669=1),COUNTIFS($C$200:C669,"事件记录",$H$200:H669,1),0)</f>
        <v>0</v>
      </c>
      <c r="GD669">
        <f t="shared" si="225"/>
        <v>0</v>
      </c>
      <c r="GH669">
        <f>IF(AND(H669=1,A669=$GA$10,B669=$GA$11),COUNTIFS($A$200:A669,$GA$10,$B$200:B669,$GA$11,$H$200:H669,1),0)</f>
        <v>0</v>
      </c>
    </row>
    <row r="670" spans="1:190">
      <c r="A670" t="str">
        <f t="shared" si="216"/>
        <v/>
      </c>
      <c r="B670" t="str">
        <f t="shared" si="217"/>
        <v/>
      </c>
      <c r="C670" t="str">
        <f t="shared" si="218"/>
        <v/>
      </c>
      <c r="D670" t="str">
        <f t="shared" si="219"/>
        <v/>
      </c>
      <c r="E670">
        <f t="shared" si="220"/>
        <v>0</v>
      </c>
      <c r="F670" t="str">
        <f t="shared" si="221"/>
        <v/>
      </c>
      <c r="G670">
        <f t="shared" si="222"/>
        <v>0</v>
      </c>
      <c r="H670">
        <f>IF(AND(G670=1,COUNTIFS($I$200:I670,I670,$G$200:G670,1)=1),1,0)</f>
        <v>0</v>
      </c>
      <c r="I670" t="str">
        <f t="shared" si="223"/>
        <v/>
      </c>
      <c r="BF670">
        <f t="shared" si="226"/>
        <v>0</v>
      </c>
      <c r="BG670">
        <f t="shared" si="227"/>
        <v>0</v>
      </c>
      <c r="BH670">
        <f t="shared" si="228"/>
        <v>0</v>
      </c>
      <c r="BI670">
        <f t="shared" si="229"/>
        <v>0</v>
      </c>
      <c r="BJ670">
        <f t="shared" si="230"/>
        <v>0</v>
      </c>
      <c r="BK670">
        <f t="shared" si="231"/>
        <v>0</v>
      </c>
      <c r="BL670">
        <f t="shared" si="232"/>
        <v>0</v>
      </c>
      <c r="BM670">
        <f t="shared" si="233"/>
        <v>0</v>
      </c>
      <c r="BN670">
        <f t="shared" si="234"/>
        <v>0</v>
      </c>
      <c r="BO670">
        <f t="shared" si="235"/>
        <v>0</v>
      </c>
      <c r="BP670">
        <f t="shared" si="236"/>
        <v>0</v>
      </c>
      <c r="BQ670">
        <f t="shared" si="237"/>
        <v>0</v>
      </c>
      <c r="BR670">
        <f t="shared" si="238"/>
        <v>0</v>
      </c>
      <c r="BS670">
        <f t="shared" si="239"/>
        <v>0</v>
      </c>
      <c r="BT670">
        <f t="shared" si="240"/>
        <v>0</v>
      </c>
      <c r="BU670">
        <f t="shared" si="241"/>
        <v>0</v>
      </c>
      <c r="BV670">
        <f t="shared" si="242"/>
        <v>0</v>
      </c>
      <c r="BW670">
        <f t="shared" si="243"/>
        <v>0</v>
      </c>
      <c r="CA670" t="str">
        <f>IF(471&gt;ROWS(DGArchive[模组]),"",IF(INDEX(DGArchive[模组],471)="","",INDEX(DGArchive[模组],471)))</f>
        <v/>
      </c>
      <c r="CB670" t="str">
        <f>IF(471&gt;ROWS(DGArchive[阶段]),"",IF(INDEX(DGArchive[阶段],471)="","",INDEX(DGArchive[阶段],471)))</f>
        <v/>
      </c>
      <c r="CC670" t="str">
        <f>IF(471&gt;ROWS(DGArchive[游戏内日期]),"",IF(INDEX(DGArchive[游戏内日期],471)="","",INDEX(DGArchive[游戏内日期],471)))</f>
        <v/>
      </c>
      <c r="CD670" t="str">
        <f>IF(471&gt;ROWS(DGArchive[目标]),"",IF(INDEX(DGArchive[目标],471)="","",INDEX(DGArchive[目标],471)))</f>
        <v/>
      </c>
      <c r="CE670" t="str">
        <f>IF(471&gt;ROWS(DGArchive[变更前]),"",IF(INDEX(DGArchive[变更前],471)="","",INDEX(DGArchive[变更前],471)))</f>
        <v/>
      </c>
      <c r="CF670" t="str">
        <f>IF(471&gt;ROWS(DGArchive[增减]),"",IF(INDEX(DGArchive[增减],471)="","",INDEX(DGArchive[增减],471)))</f>
        <v/>
      </c>
      <c r="CG670" t="str">
        <f>IF(471&gt;ROWS(DGArchive[变更后]),"",IF(INDEX(DGArchive[变更后],471)="","",INDEX(DGArchive[变更后],471)))</f>
        <v/>
      </c>
      <c r="CH670" t="str">
        <f>IF(471&gt;ROWS(DGArchive[事件／活动]),"",IF(INDEX(DGArchive[事件／活动],471)="","",INDEX(DGArchive[事件／活动],471)))</f>
        <v/>
      </c>
      <c r="CI670" t="str">
        <f>IF(471&gt;ROWS(DGArchive[记录编号]),"",IF(INDEX(DGArchive[记录编号],471)="","",INDEX(DGArchive[记录编号],471)))</f>
        <v/>
      </c>
      <c r="CL670">
        <f t="shared" si="224"/>
        <v>0</v>
      </c>
      <c r="CM670">
        <f>IF(AND(A670=$AO$5,B670=$AQ$3,H670=1),COUNTIFS($A$200:A670,$AO$5,$B$200:B670,$AQ$3,$H$200:H670,1),0)</f>
        <v>0</v>
      </c>
      <c r="CN670">
        <f>IF(CA670="",471,1001)</f>
        <v>471</v>
      </c>
      <c r="GA670">
        <f t="shared" si="244"/>
        <v>0</v>
      </c>
      <c r="GB670">
        <f t="shared" si="245"/>
        <v>0</v>
      </c>
      <c r="GC670">
        <f>IF(AND(C670="事件记录",H670=1),COUNTIFS($C$200:C670,"事件记录",$H$200:H670,1),0)</f>
        <v>0</v>
      </c>
      <c r="GD670">
        <f t="shared" si="225"/>
        <v>0</v>
      </c>
      <c r="GH670">
        <f>IF(AND(H670=1,A670=$GA$10,B670=$GA$11),COUNTIFS($A$200:A670,$GA$10,$B$200:B670,$GA$11,$H$200:H670,1),0)</f>
        <v>0</v>
      </c>
    </row>
    <row r="671" spans="1:190">
      <c r="A671" t="str">
        <f t="shared" si="216"/>
        <v/>
      </c>
      <c r="B671" t="str">
        <f t="shared" si="217"/>
        <v/>
      </c>
      <c r="C671" t="str">
        <f t="shared" si="218"/>
        <v/>
      </c>
      <c r="D671" t="str">
        <f t="shared" si="219"/>
        <v/>
      </c>
      <c r="E671">
        <f t="shared" si="220"/>
        <v>0</v>
      </c>
      <c r="F671" t="str">
        <f t="shared" si="221"/>
        <v/>
      </c>
      <c r="G671">
        <f t="shared" si="222"/>
        <v>0</v>
      </c>
      <c r="H671">
        <f>IF(AND(G671=1,COUNTIFS($I$200:I671,I671,$G$200:G671,1)=1),1,0)</f>
        <v>0</v>
      </c>
      <c r="I671" t="str">
        <f t="shared" si="223"/>
        <v/>
      </c>
      <c r="BF671">
        <f t="shared" si="226"/>
        <v>0</v>
      </c>
      <c r="BG671">
        <f t="shared" si="227"/>
        <v>0</v>
      </c>
      <c r="BH671">
        <f t="shared" si="228"/>
        <v>0</v>
      </c>
      <c r="BI671">
        <f t="shared" si="229"/>
        <v>0</v>
      </c>
      <c r="BJ671">
        <f t="shared" si="230"/>
        <v>0</v>
      </c>
      <c r="BK671">
        <f t="shared" si="231"/>
        <v>0</v>
      </c>
      <c r="BL671">
        <f t="shared" si="232"/>
        <v>0</v>
      </c>
      <c r="BM671">
        <f t="shared" si="233"/>
        <v>0</v>
      </c>
      <c r="BN671">
        <f t="shared" si="234"/>
        <v>0</v>
      </c>
      <c r="BO671">
        <f t="shared" si="235"/>
        <v>0</v>
      </c>
      <c r="BP671">
        <f t="shared" si="236"/>
        <v>0</v>
      </c>
      <c r="BQ671">
        <f t="shared" si="237"/>
        <v>0</v>
      </c>
      <c r="BR671">
        <f t="shared" si="238"/>
        <v>0</v>
      </c>
      <c r="BS671">
        <f t="shared" si="239"/>
        <v>0</v>
      </c>
      <c r="BT671">
        <f t="shared" si="240"/>
        <v>0</v>
      </c>
      <c r="BU671">
        <f t="shared" si="241"/>
        <v>0</v>
      </c>
      <c r="BV671">
        <f t="shared" si="242"/>
        <v>0</v>
      </c>
      <c r="BW671">
        <f t="shared" si="243"/>
        <v>0</v>
      </c>
      <c r="CA671" t="str">
        <f>IF(472&gt;ROWS(DGArchive[模组]),"",IF(INDEX(DGArchive[模组],472)="","",INDEX(DGArchive[模组],472)))</f>
        <v/>
      </c>
      <c r="CB671" t="str">
        <f>IF(472&gt;ROWS(DGArchive[阶段]),"",IF(INDEX(DGArchive[阶段],472)="","",INDEX(DGArchive[阶段],472)))</f>
        <v/>
      </c>
      <c r="CC671" t="str">
        <f>IF(472&gt;ROWS(DGArchive[游戏内日期]),"",IF(INDEX(DGArchive[游戏内日期],472)="","",INDEX(DGArchive[游戏内日期],472)))</f>
        <v/>
      </c>
      <c r="CD671" t="str">
        <f>IF(472&gt;ROWS(DGArchive[目标]),"",IF(INDEX(DGArchive[目标],472)="","",INDEX(DGArchive[目标],472)))</f>
        <v/>
      </c>
      <c r="CE671" t="str">
        <f>IF(472&gt;ROWS(DGArchive[变更前]),"",IF(INDEX(DGArchive[变更前],472)="","",INDEX(DGArchive[变更前],472)))</f>
        <v/>
      </c>
      <c r="CF671" t="str">
        <f>IF(472&gt;ROWS(DGArchive[增减]),"",IF(INDEX(DGArchive[增减],472)="","",INDEX(DGArchive[增减],472)))</f>
        <v/>
      </c>
      <c r="CG671" t="str">
        <f>IF(472&gt;ROWS(DGArchive[变更后]),"",IF(INDEX(DGArchive[变更后],472)="","",INDEX(DGArchive[变更后],472)))</f>
        <v/>
      </c>
      <c r="CH671" t="str">
        <f>IF(472&gt;ROWS(DGArchive[事件／活动]),"",IF(INDEX(DGArchive[事件／活动],472)="","",INDEX(DGArchive[事件／活动],472)))</f>
        <v/>
      </c>
      <c r="CI671" t="str">
        <f>IF(472&gt;ROWS(DGArchive[记录编号]),"",IF(INDEX(DGArchive[记录编号],472)="","",INDEX(DGArchive[记录编号],472)))</f>
        <v/>
      </c>
      <c r="CL671">
        <f t="shared" si="224"/>
        <v>0</v>
      </c>
      <c r="CM671">
        <f>IF(AND(A671=$AO$5,B671=$AQ$3,H671=1),COUNTIFS($A$200:A671,$AO$5,$B$200:B671,$AQ$3,$H$200:H671,1),0)</f>
        <v>0</v>
      </c>
      <c r="CN671">
        <f>IF(CA671="",472,1001)</f>
        <v>472</v>
      </c>
      <c r="GA671">
        <f t="shared" si="244"/>
        <v>0</v>
      </c>
      <c r="GB671">
        <f t="shared" si="245"/>
        <v>0</v>
      </c>
      <c r="GC671">
        <f>IF(AND(C671="事件记录",H671=1),COUNTIFS($C$200:C671,"事件记录",$H$200:H671,1),0)</f>
        <v>0</v>
      </c>
      <c r="GD671">
        <f t="shared" si="225"/>
        <v>0</v>
      </c>
      <c r="GH671">
        <f>IF(AND(H671=1,A671=$GA$10,B671=$GA$11),COUNTIFS($A$200:A671,$GA$10,$B$200:B671,$GA$11,$H$200:H671,1),0)</f>
        <v>0</v>
      </c>
    </row>
    <row r="672" spans="1:190">
      <c r="A672" t="str">
        <f t="shared" si="216"/>
        <v/>
      </c>
      <c r="B672" t="str">
        <f t="shared" si="217"/>
        <v/>
      </c>
      <c r="C672" t="str">
        <f t="shared" si="218"/>
        <v/>
      </c>
      <c r="D672" t="str">
        <f t="shared" si="219"/>
        <v/>
      </c>
      <c r="E672">
        <f t="shared" si="220"/>
        <v>0</v>
      </c>
      <c r="F672" t="str">
        <f t="shared" si="221"/>
        <v/>
      </c>
      <c r="G672">
        <f t="shared" si="222"/>
        <v>0</v>
      </c>
      <c r="H672">
        <f>IF(AND(G672=1,COUNTIFS($I$200:I672,I672,$G$200:G672,1)=1),1,0)</f>
        <v>0</v>
      </c>
      <c r="I672" t="str">
        <f t="shared" si="223"/>
        <v/>
      </c>
      <c r="BF672">
        <f t="shared" si="226"/>
        <v>0</v>
      </c>
      <c r="BG672">
        <f t="shared" si="227"/>
        <v>0</v>
      </c>
      <c r="BH672">
        <f t="shared" si="228"/>
        <v>0</v>
      </c>
      <c r="BI672">
        <f t="shared" si="229"/>
        <v>0</v>
      </c>
      <c r="BJ672">
        <f t="shared" si="230"/>
        <v>0</v>
      </c>
      <c r="BK672">
        <f t="shared" si="231"/>
        <v>0</v>
      </c>
      <c r="BL672">
        <f t="shared" si="232"/>
        <v>0</v>
      </c>
      <c r="BM672">
        <f t="shared" si="233"/>
        <v>0</v>
      </c>
      <c r="BN672">
        <f t="shared" si="234"/>
        <v>0</v>
      </c>
      <c r="BO672">
        <f t="shared" si="235"/>
        <v>0</v>
      </c>
      <c r="BP672">
        <f t="shared" si="236"/>
        <v>0</v>
      </c>
      <c r="BQ672">
        <f t="shared" si="237"/>
        <v>0</v>
      </c>
      <c r="BR672">
        <f t="shared" si="238"/>
        <v>0</v>
      </c>
      <c r="BS672">
        <f t="shared" si="239"/>
        <v>0</v>
      </c>
      <c r="BT672">
        <f t="shared" si="240"/>
        <v>0</v>
      </c>
      <c r="BU672">
        <f t="shared" si="241"/>
        <v>0</v>
      </c>
      <c r="BV672">
        <f t="shared" si="242"/>
        <v>0</v>
      </c>
      <c r="BW672">
        <f t="shared" si="243"/>
        <v>0</v>
      </c>
      <c r="CA672" t="str">
        <f>IF(473&gt;ROWS(DGArchive[模组]),"",IF(INDEX(DGArchive[模组],473)="","",INDEX(DGArchive[模组],473)))</f>
        <v/>
      </c>
      <c r="CB672" t="str">
        <f>IF(473&gt;ROWS(DGArchive[阶段]),"",IF(INDEX(DGArchive[阶段],473)="","",INDEX(DGArchive[阶段],473)))</f>
        <v/>
      </c>
      <c r="CC672" t="str">
        <f>IF(473&gt;ROWS(DGArchive[游戏内日期]),"",IF(INDEX(DGArchive[游戏内日期],473)="","",INDEX(DGArchive[游戏内日期],473)))</f>
        <v/>
      </c>
      <c r="CD672" t="str">
        <f>IF(473&gt;ROWS(DGArchive[目标]),"",IF(INDEX(DGArchive[目标],473)="","",INDEX(DGArchive[目标],473)))</f>
        <v/>
      </c>
      <c r="CE672" t="str">
        <f>IF(473&gt;ROWS(DGArchive[变更前]),"",IF(INDEX(DGArchive[变更前],473)="","",INDEX(DGArchive[变更前],473)))</f>
        <v/>
      </c>
      <c r="CF672" t="str">
        <f>IF(473&gt;ROWS(DGArchive[增减]),"",IF(INDEX(DGArchive[增减],473)="","",INDEX(DGArchive[增减],473)))</f>
        <v/>
      </c>
      <c r="CG672" t="str">
        <f>IF(473&gt;ROWS(DGArchive[变更后]),"",IF(INDEX(DGArchive[变更后],473)="","",INDEX(DGArchive[变更后],473)))</f>
        <v/>
      </c>
      <c r="CH672" t="str">
        <f>IF(473&gt;ROWS(DGArchive[事件／活动]),"",IF(INDEX(DGArchive[事件／活动],473)="","",INDEX(DGArchive[事件／活动],473)))</f>
        <v/>
      </c>
      <c r="CI672" t="str">
        <f>IF(473&gt;ROWS(DGArchive[记录编号]),"",IF(INDEX(DGArchive[记录编号],473)="","",INDEX(DGArchive[记录编号],473)))</f>
        <v/>
      </c>
      <c r="CL672">
        <f t="shared" si="224"/>
        <v>0</v>
      </c>
      <c r="CM672">
        <f>IF(AND(A672=$AO$5,B672=$AQ$3,H672=1),COUNTIFS($A$200:A672,$AO$5,$B$200:B672,$AQ$3,$H$200:H672,1),0)</f>
        <v>0</v>
      </c>
      <c r="CN672">
        <f>IF(CA672="",473,1001)</f>
        <v>473</v>
      </c>
      <c r="GA672">
        <f t="shared" si="244"/>
        <v>0</v>
      </c>
      <c r="GB672">
        <f t="shared" si="245"/>
        <v>0</v>
      </c>
      <c r="GC672">
        <f>IF(AND(C672="事件记录",H672=1),COUNTIFS($C$200:C672,"事件记录",$H$200:H672,1),0)</f>
        <v>0</v>
      </c>
      <c r="GD672">
        <f t="shared" si="225"/>
        <v>0</v>
      </c>
      <c r="GH672">
        <f>IF(AND(H672=1,A672=$GA$10,B672=$GA$11),COUNTIFS($A$200:A672,$GA$10,$B$200:B672,$GA$11,$H$200:H672,1),0)</f>
        <v>0</v>
      </c>
    </row>
    <row r="673" spans="1:190">
      <c r="A673" t="str">
        <f t="shared" si="216"/>
        <v/>
      </c>
      <c r="B673" t="str">
        <f t="shared" si="217"/>
        <v/>
      </c>
      <c r="C673" t="str">
        <f t="shared" si="218"/>
        <v/>
      </c>
      <c r="D673" t="str">
        <f t="shared" si="219"/>
        <v/>
      </c>
      <c r="E673">
        <f t="shared" si="220"/>
        <v>0</v>
      </c>
      <c r="F673" t="str">
        <f t="shared" si="221"/>
        <v/>
      </c>
      <c r="G673">
        <f t="shared" si="222"/>
        <v>0</v>
      </c>
      <c r="H673">
        <f>IF(AND(G673=1,COUNTIFS($I$200:I673,I673,$G$200:G673,1)=1),1,0)</f>
        <v>0</v>
      </c>
      <c r="I673" t="str">
        <f t="shared" si="223"/>
        <v/>
      </c>
      <c r="BF673">
        <f t="shared" si="226"/>
        <v>0</v>
      </c>
      <c r="BG673">
        <f t="shared" si="227"/>
        <v>0</v>
      </c>
      <c r="BH673">
        <f t="shared" si="228"/>
        <v>0</v>
      </c>
      <c r="BI673">
        <f t="shared" si="229"/>
        <v>0</v>
      </c>
      <c r="BJ673">
        <f t="shared" si="230"/>
        <v>0</v>
      </c>
      <c r="BK673">
        <f t="shared" si="231"/>
        <v>0</v>
      </c>
      <c r="BL673">
        <f t="shared" si="232"/>
        <v>0</v>
      </c>
      <c r="BM673">
        <f t="shared" si="233"/>
        <v>0</v>
      </c>
      <c r="BN673">
        <f t="shared" si="234"/>
        <v>0</v>
      </c>
      <c r="BO673">
        <f t="shared" si="235"/>
        <v>0</v>
      </c>
      <c r="BP673">
        <f t="shared" si="236"/>
        <v>0</v>
      </c>
      <c r="BQ673">
        <f t="shared" si="237"/>
        <v>0</v>
      </c>
      <c r="BR673">
        <f t="shared" si="238"/>
        <v>0</v>
      </c>
      <c r="BS673">
        <f t="shared" si="239"/>
        <v>0</v>
      </c>
      <c r="BT673">
        <f t="shared" si="240"/>
        <v>0</v>
      </c>
      <c r="BU673">
        <f t="shared" si="241"/>
        <v>0</v>
      </c>
      <c r="BV673">
        <f t="shared" si="242"/>
        <v>0</v>
      </c>
      <c r="BW673">
        <f t="shared" si="243"/>
        <v>0</v>
      </c>
      <c r="CA673" t="str">
        <f>IF(474&gt;ROWS(DGArchive[模组]),"",IF(INDEX(DGArchive[模组],474)="","",INDEX(DGArchive[模组],474)))</f>
        <v/>
      </c>
      <c r="CB673" t="str">
        <f>IF(474&gt;ROWS(DGArchive[阶段]),"",IF(INDEX(DGArchive[阶段],474)="","",INDEX(DGArchive[阶段],474)))</f>
        <v/>
      </c>
      <c r="CC673" t="str">
        <f>IF(474&gt;ROWS(DGArchive[游戏内日期]),"",IF(INDEX(DGArchive[游戏内日期],474)="","",INDEX(DGArchive[游戏内日期],474)))</f>
        <v/>
      </c>
      <c r="CD673" t="str">
        <f>IF(474&gt;ROWS(DGArchive[目标]),"",IF(INDEX(DGArchive[目标],474)="","",INDEX(DGArchive[目标],474)))</f>
        <v/>
      </c>
      <c r="CE673" t="str">
        <f>IF(474&gt;ROWS(DGArchive[变更前]),"",IF(INDEX(DGArchive[变更前],474)="","",INDEX(DGArchive[变更前],474)))</f>
        <v/>
      </c>
      <c r="CF673" t="str">
        <f>IF(474&gt;ROWS(DGArchive[增减]),"",IF(INDEX(DGArchive[增减],474)="","",INDEX(DGArchive[增减],474)))</f>
        <v/>
      </c>
      <c r="CG673" t="str">
        <f>IF(474&gt;ROWS(DGArchive[变更后]),"",IF(INDEX(DGArchive[变更后],474)="","",INDEX(DGArchive[变更后],474)))</f>
        <v/>
      </c>
      <c r="CH673" t="str">
        <f>IF(474&gt;ROWS(DGArchive[事件／活动]),"",IF(INDEX(DGArchive[事件／活动],474)="","",INDEX(DGArchive[事件／活动],474)))</f>
        <v/>
      </c>
      <c r="CI673" t="str">
        <f>IF(474&gt;ROWS(DGArchive[记录编号]),"",IF(INDEX(DGArchive[记录编号],474)="","",INDEX(DGArchive[记录编号],474)))</f>
        <v/>
      </c>
      <c r="CL673">
        <f t="shared" si="224"/>
        <v>0</v>
      </c>
      <c r="CM673">
        <f>IF(AND(A673=$AO$5,B673=$AQ$3,H673=1),COUNTIFS($A$200:A673,$AO$5,$B$200:B673,$AQ$3,$H$200:H673,1),0)</f>
        <v>0</v>
      </c>
      <c r="CN673">
        <f>IF(CA673="",474,1001)</f>
        <v>474</v>
      </c>
      <c r="GA673">
        <f t="shared" si="244"/>
        <v>0</v>
      </c>
      <c r="GB673">
        <f t="shared" si="245"/>
        <v>0</v>
      </c>
      <c r="GC673">
        <f>IF(AND(C673="事件记录",H673=1),COUNTIFS($C$200:C673,"事件记录",$H$200:H673,1),0)</f>
        <v>0</v>
      </c>
      <c r="GD673">
        <f t="shared" si="225"/>
        <v>0</v>
      </c>
      <c r="GH673">
        <f>IF(AND(H673=1,A673=$GA$10,B673=$GA$11),COUNTIFS($A$200:A673,$GA$10,$B$200:B673,$GA$11,$H$200:H673,1),0)</f>
        <v>0</v>
      </c>
    </row>
    <row r="674" spans="1:190">
      <c r="A674" t="str">
        <f t="shared" si="216"/>
        <v/>
      </c>
      <c r="B674" t="str">
        <f t="shared" si="217"/>
        <v/>
      </c>
      <c r="C674" t="str">
        <f t="shared" si="218"/>
        <v/>
      </c>
      <c r="D674" t="str">
        <f t="shared" si="219"/>
        <v/>
      </c>
      <c r="E674">
        <f t="shared" si="220"/>
        <v>0</v>
      </c>
      <c r="F674" t="str">
        <f t="shared" si="221"/>
        <v/>
      </c>
      <c r="G674">
        <f t="shared" si="222"/>
        <v>0</v>
      </c>
      <c r="H674">
        <f>IF(AND(G674=1,COUNTIFS($I$200:I674,I674,$G$200:G674,1)=1),1,0)</f>
        <v>0</v>
      </c>
      <c r="I674" t="str">
        <f t="shared" si="223"/>
        <v/>
      </c>
      <c r="BF674">
        <f t="shared" si="226"/>
        <v>0</v>
      </c>
      <c r="BG674">
        <f t="shared" si="227"/>
        <v>0</v>
      </c>
      <c r="BH674">
        <f t="shared" si="228"/>
        <v>0</v>
      </c>
      <c r="BI674">
        <f t="shared" si="229"/>
        <v>0</v>
      </c>
      <c r="BJ674">
        <f t="shared" si="230"/>
        <v>0</v>
      </c>
      <c r="BK674">
        <f t="shared" si="231"/>
        <v>0</v>
      </c>
      <c r="BL674">
        <f t="shared" si="232"/>
        <v>0</v>
      </c>
      <c r="BM674">
        <f t="shared" si="233"/>
        <v>0</v>
      </c>
      <c r="BN674">
        <f t="shared" si="234"/>
        <v>0</v>
      </c>
      <c r="BO674">
        <f t="shared" si="235"/>
        <v>0</v>
      </c>
      <c r="BP674">
        <f t="shared" si="236"/>
        <v>0</v>
      </c>
      <c r="BQ674">
        <f t="shared" si="237"/>
        <v>0</v>
      </c>
      <c r="BR674">
        <f t="shared" si="238"/>
        <v>0</v>
      </c>
      <c r="BS674">
        <f t="shared" si="239"/>
        <v>0</v>
      </c>
      <c r="BT674">
        <f t="shared" si="240"/>
        <v>0</v>
      </c>
      <c r="BU674">
        <f t="shared" si="241"/>
        <v>0</v>
      </c>
      <c r="BV674">
        <f t="shared" si="242"/>
        <v>0</v>
      </c>
      <c r="BW674">
        <f t="shared" si="243"/>
        <v>0</v>
      </c>
      <c r="CA674" t="str">
        <f>IF(475&gt;ROWS(DGArchive[模组]),"",IF(INDEX(DGArchive[模组],475)="","",INDEX(DGArchive[模组],475)))</f>
        <v/>
      </c>
      <c r="CB674" t="str">
        <f>IF(475&gt;ROWS(DGArchive[阶段]),"",IF(INDEX(DGArchive[阶段],475)="","",INDEX(DGArchive[阶段],475)))</f>
        <v/>
      </c>
      <c r="CC674" t="str">
        <f>IF(475&gt;ROWS(DGArchive[游戏内日期]),"",IF(INDEX(DGArchive[游戏内日期],475)="","",INDEX(DGArchive[游戏内日期],475)))</f>
        <v/>
      </c>
      <c r="CD674" t="str">
        <f>IF(475&gt;ROWS(DGArchive[目标]),"",IF(INDEX(DGArchive[目标],475)="","",INDEX(DGArchive[目标],475)))</f>
        <v/>
      </c>
      <c r="CE674" t="str">
        <f>IF(475&gt;ROWS(DGArchive[变更前]),"",IF(INDEX(DGArchive[变更前],475)="","",INDEX(DGArchive[变更前],475)))</f>
        <v/>
      </c>
      <c r="CF674" t="str">
        <f>IF(475&gt;ROWS(DGArchive[增减]),"",IF(INDEX(DGArchive[增减],475)="","",INDEX(DGArchive[增减],475)))</f>
        <v/>
      </c>
      <c r="CG674" t="str">
        <f>IF(475&gt;ROWS(DGArchive[变更后]),"",IF(INDEX(DGArchive[变更后],475)="","",INDEX(DGArchive[变更后],475)))</f>
        <v/>
      </c>
      <c r="CH674" t="str">
        <f>IF(475&gt;ROWS(DGArchive[事件／活动]),"",IF(INDEX(DGArchive[事件／活动],475)="","",INDEX(DGArchive[事件／活动],475)))</f>
        <v/>
      </c>
      <c r="CI674" t="str">
        <f>IF(475&gt;ROWS(DGArchive[记录编号]),"",IF(INDEX(DGArchive[记录编号],475)="","",INDEX(DGArchive[记录编号],475)))</f>
        <v/>
      </c>
      <c r="CL674">
        <f t="shared" si="224"/>
        <v>0</v>
      </c>
      <c r="CM674">
        <f>IF(AND(A674=$AO$5,B674=$AQ$3,H674=1),COUNTIFS($A$200:A674,$AO$5,$B$200:B674,$AQ$3,$H$200:H674,1),0)</f>
        <v>0</v>
      </c>
      <c r="CN674">
        <f>IF(CA674="",475,1001)</f>
        <v>475</v>
      </c>
      <c r="GA674">
        <f t="shared" si="244"/>
        <v>0</v>
      </c>
      <c r="GB674">
        <f t="shared" si="245"/>
        <v>0</v>
      </c>
      <c r="GC674">
        <f>IF(AND(C674="事件记录",H674=1),COUNTIFS($C$200:C674,"事件记录",$H$200:H674,1),0)</f>
        <v>0</v>
      </c>
      <c r="GD674">
        <f t="shared" si="225"/>
        <v>0</v>
      </c>
      <c r="GH674">
        <f>IF(AND(H674=1,A674=$GA$10,B674=$GA$11),COUNTIFS($A$200:A674,$GA$10,$B$200:B674,$GA$11,$H$200:H674,1),0)</f>
        <v>0</v>
      </c>
    </row>
    <row r="675" spans="1:190">
      <c r="A675" t="str">
        <f t="shared" si="216"/>
        <v/>
      </c>
      <c r="B675" t="str">
        <f t="shared" si="217"/>
        <v/>
      </c>
      <c r="C675" t="str">
        <f t="shared" si="218"/>
        <v/>
      </c>
      <c r="D675" t="str">
        <f t="shared" si="219"/>
        <v/>
      </c>
      <c r="E675">
        <f t="shared" si="220"/>
        <v>0</v>
      </c>
      <c r="F675" t="str">
        <f t="shared" si="221"/>
        <v/>
      </c>
      <c r="G675">
        <f t="shared" si="222"/>
        <v>0</v>
      </c>
      <c r="H675">
        <f>IF(AND(G675=1,COUNTIFS($I$200:I675,I675,$G$200:G675,1)=1),1,0)</f>
        <v>0</v>
      </c>
      <c r="I675" t="str">
        <f t="shared" si="223"/>
        <v/>
      </c>
      <c r="BF675">
        <f t="shared" si="226"/>
        <v>0</v>
      </c>
      <c r="BG675">
        <f t="shared" si="227"/>
        <v>0</v>
      </c>
      <c r="BH675">
        <f t="shared" si="228"/>
        <v>0</v>
      </c>
      <c r="BI675">
        <f t="shared" si="229"/>
        <v>0</v>
      </c>
      <c r="BJ675">
        <f t="shared" si="230"/>
        <v>0</v>
      </c>
      <c r="BK675">
        <f t="shared" si="231"/>
        <v>0</v>
      </c>
      <c r="BL675">
        <f t="shared" si="232"/>
        <v>0</v>
      </c>
      <c r="BM675">
        <f t="shared" si="233"/>
        <v>0</v>
      </c>
      <c r="BN675">
        <f t="shared" si="234"/>
        <v>0</v>
      </c>
      <c r="BO675">
        <f t="shared" si="235"/>
        <v>0</v>
      </c>
      <c r="BP675">
        <f t="shared" si="236"/>
        <v>0</v>
      </c>
      <c r="BQ675">
        <f t="shared" si="237"/>
        <v>0</v>
      </c>
      <c r="BR675">
        <f t="shared" si="238"/>
        <v>0</v>
      </c>
      <c r="BS675">
        <f t="shared" si="239"/>
        <v>0</v>
      </c>
      <c r="BT675">
        <f t="shared" si="240"/>
        <v>0</v>
      </c>
      <c r="BU675">
        <f t="shared" si="241"/>
        <v>0</v>
      </c>
      <c r="BV675">
        <f t="shared" si="242"/>
        <v>0</v>
      </c>
      <c r="BW675">
        <f t="shared" si="243"/>
        <v>0</v>
      </c>
      <c r="CA675" t="str">
        <f>IF(476&gt;ROWS(DGArchive[模组]),"",IF(INDEX(DGArchive[模组],476)="","",INDEX(DGArchive[模组],476)))</f>
        <v/>
      </c>
      <c r="CB675" t="str">
        <f>IF(476&gt;ROWS(DGArchive[阶段]),"",IF(INDEX(DGArchive[阶段],476)="","",INDEX(DGArchive[阶段],476)))</f>
        <v/>
      </c>
      <c r="CC675" t="str">
        <f>IF(476&gt;ROWS(DGArchive[游戏内日期]),"",IF(INDEX(DGArchive[游戏内日期],476)="","",INDEX(DGArchive[游戏内日期],476)))</f>
        <v/>
      </c>
      <c r="CD675" t="str">
        <f>IF(476&gt;ROWS(DGArchive[目标]),"",IF(INDEX(DGArchive[目标],476)="","",INDEX(DGArchive[目标],476)))</f>
        <v/>
      </c>
      <c r="CE675" t="str">
        <f>IF(476&gt;ROWS(DGArchive[变更前]),"",IF(INDEX(DGArchive[变更前],476)="","",INDEX(DGArchive[变更前],476)))</f>
        <v/>
      </c>
      <c r="CF675" t="str">
        <f>IF(476&gt;ROWS(DGArchive[增减]),"",IF(INDEX(DGArchive[增减],476)="","",INDEX(DGArchive[增减],476)))</f>
        <v/>
      </c>
      <c r="CG675" t="str">
        <f>IF(476&gt;ROWS(DGArchive[变更后]),"",IF(INDEX(DGArchive[变更后],476)="","",INDEX(DGArchive[变更后],476)))</f>
        <v/>
      </c>
      <c r="CH675" t="str">
        <f>IF(476&gt;ROWS(DGArchive[事件／活动]),"",IF(INDEX(DGArchive[事件／活动],476)="","",INDEX(DGArchive[事件／活动],476)))</f>
        <v/>
      </c>
      <c r="CI675" t="str">
        <f>IF(476&gt;ROWS(DGArchive[记录编号]),"",IF(INDEX(DGArchive[记录编号],476)="","",INDEX(DGArchive[记录编号],476)))</f>
        <v/>
      </c>
      <c r="CL675">
        <f t="shared" si="224"/>
        <v>0</v>
      </c>
      <c r="CM675">
        <f>IF(AND(A675=$AO$5,B675=$AQ$3,H675=1),COUNTIFS($A$200:A675,$AO$5,$B$200:B675,$AQ$3,$H$200:H675,1),0)</f>
        <v>0</v>
      </c>
      <c r="CN675">
        <f>IF(CA675="",476,1001)</f>
        <v>476</v>
      </c>
      <c r="GA675">
        <f t="shared" si="244"/>
        <v>0</v>
      </c>
      <c r="GB675">
        <f t="shared" si="245"/>
        <v>0</v>
      </c>
      <c r="GC675">
        <f>IF(AND(C675="事件记录",H675=1),COUNTIFS($C$200:C675,"事件记录",$H$200:H675,1),0)</f>
        <v>0</v>
      </c>
      <c r="GD675">
        <f t="shared" si="225"/>
        <v>0</v>
      </c>
      <c r="GH675">
        <f>IF(AND(H675=1,A675=$GA$10,B675=$GA$11),COUNTIFS($A$200:A675,$GA$10,$B$200:B675,$GA$11,$H$200:H675,1),0)</f>
        <v>0</v>
      </c>
    </row>
    <row r="676" spans="1:190">
      <c r="A676" t="str">
        <f t="shared" si="216"/>
        <v/>
      </c>
      <c r="B676" t="str">
        <f t="shared" si="217"/>
        <v/>
      </c>
      <c r="C676" t="str">
        <f t="shared" si="218"/>
        <v/>
      </c>
      <c r="D676" t="str">
        <f t="shared" si="219"/>
        <v/>
      </c>
      <c r="E676">
        <f t="shared" si="220"/>
        <v>0</v>
      </c>
      <c r="F676" t="str">
        <f t="shared" si="221"/>
        <v/>
      </c>
      <c r="G676">
        <f t="shared" si="222"/>
        <v>0</v>
      </c>
      <c r="H676">
        <f>IF(AND(G676=1,COUNTIFS($I$200:I676,I676,$G$200:G676,1)=1),1,0)</f>
        <v>0</v>
      </c>
      <c r="I676" t="str">
        <f t="shared" si="223"/>
        <v/>
      </c>
      <c r="BF676">
        <f t="shared" si="226"/>
        <v>0</v>
      </c>
      <c r="BG676">
        <f t="shared" si="227"/>
        <v>0</v>
      </c>
      <c r="BH676">
        <f t="shared" si="228"/>
        <v>0</v>
      </c>
      <c r="BI676">
        <f t="shared" si="229"/>
        <v>0</v>
      </c>
      <c r="BJ676">
        <f t="shared" si="230"/>
        <v>0</v>
      </c>
      <c r="BK676">
        <f t="shared" si="231"/>
        <v>0</v>
      </c>
      <c r="BL676">
        <f t="shared" si="232"/>
        <v>0</v>
      </c>
      <c r="BM676">
        <f t="shared" si="233"/>
        <v>0</v>
      </c>
      <c r="BN676">
        <f t="shared" si="234"/>
        <v>0</v>
      </c>
      <c r="BO676">
        <f t="shared" si="235"/>
        <v>0</v>
      </c>
      <c r="BP676">
        <f t="shared" si="236"/>
        <v>0</v>
      </c>
      <c r="BQ676">
        <f t="shared" si="237"/>
        <v>0</v>
      </c>
      <c r="BR676">
        <f t="shared" si="238"/>
        <v>0</v>
      </c>
      <c r="BS676">
        <f t="shared" si="239"/>
        <v>0</v>
      </c>
      <c r="BT676">
        <f t="shared" si="240"/>
        <v>0</v>
      </c>
      <c r="BU676">
        <f t="shared" si="241"/>
        <v>0</v>
      </c>
      <c r="BV676">
        <f t="shared" si="242"/>
        <v>0</v>
      </c>
      <c r="BW676">
        <f t="shared" si="243"/>
        <v>0</v>
      </c>
      <c r="CA676" t="str">
        <f>IF(477&gt;ROWS(DGArchive[模组]),"",IF(INDEX(DGArchive[模组],477)="","",INDEX(DGArchive[模组],477)))</f>
        <v/>
      </c>
      <c r="CB676" t="str">
        <f>IF(477&gt;ROWS(DGArchive[阶段]),"",IF(INDEX(DGArchive[阶段],477)="","",INDEX(DGArchive[阶段],477)))</f>
        <v/>
      </c>
      <c r="CC676" t="str">
        <f>IF(477&gt;ROWS(DGArchive[游戏内日期]),"",IF(INDEX(DGArchive[游戏内日期],477)="","",INDEX(DGArchive[游戏内日期],477)))</f>
        <v/>
      </c>
      <c r="CD676" t="str">
        <f>IF(477&gt;ROWS(DGArchive[目标]),"",IF(INDEX(DGArchive[目标],477)="","",INDEX(DGArchive[目标],477)))</f>
        <v/>
      </c>
      <c r="CE676" t="str">
        <f>IF(477&gt;ROWS(DGArchive[变更前]),"",IF(INDEX(DGArchive[变更前],477)="","",INDEX(DGArchive[变更前],477)))</f>
        <v/>
      </c>
      <c r="CF676" t="str">
        <f>IF(477&gt;ROWS(DGArchive[增减]),"",IF(INDEX(DGArchive[增减],477)="","",INDEX(DGArchive[增减],477)))</f>
        <v/>
      </c>
      <c r="CG676" t="str">
        <f>IF(477&gt;ROWS(DGArchive[变更后]),"",IF(INDEX(DGArchive[变更后],477)="","",INDEX(DGArchive[变更后],477)))</f>
        <v/>
      </c>
      <c r="CH676" t="str">
        <f>IF(477&gt;ROWS(DGArchive[事件／活动]),"",IF(INDEX(DGArchive[事件／活动],477)="","",INDEX(DGArchive[事件／活动],477)))</f>
        <v/>
      </c>
      <c r="CI676" t="str">
        <f>IF(477&gt;ROWS(DGArchive[记录编号]),"",IF(INDEX(DGArchive[记录编号],477)="","",INDEX(DGArchive[记录编号],477)))</f>
        <v/>
      </c>
      <c r="CL676">
        <f t="shared" si="224"/>
        <v>0</v>
      </c>
      <c r="CM676">
        <f>IF(AND(A676=$AO$5,B676=$AQ$3,H676=1),COUNTIFS($A$200:A676,$AO$5,$B$200:B676,$AQ$3,$H$200:H676,1),0)</f>
        <v>0</v>
      </c>
      <c r="CN676">
        <f>IF(CA676="",477,1001)</f>
        <v>477</v>
      </c>
      <c r="GA676">
        <f t="shared" si="244"/>
        <v>0</v>
      </c>
      <c r="GB676">
        <f t="shared" si="245"/>
        <v>0</v>
      </c>
      <c r="GC676">
        <f>IF(AND(C676="事件记录",H676=1),COUNTIFS($C$200:C676,"事件记录",$H$200:H676,1),0)</f>
        <v>0</v>
      </c>
      <c r="GD676">
        <f t="shared" si="225"/>
        <v>0</v>
      </c>
      <c r="GH676">
        <f>IF(AND(H676=1,A676=$GA$10,B676=$GA$11),COUNTIFS($A$200:A676,$GA$10,$B$200:B676,$GA$11,$H$200:H676,1),0)</f>
        <v>0</v>
      </c>
    </row>
    <row r="677" spans="1:190">
      <c r="A677" t="str">
        <f t="shared" si="216"/>
        <v/>
      </c>
      <c r="B677" t="str">
        <f t="shared" si="217"/>
        <v/>
      </c>
      <c r="C677" t="str">
        <f t="shared" si="218"/>
        <v/>
      </c>
      <c r="D677" t="str">
        <f t="shared" si="219"/>
        <v/>
      </c>
      <c r="E677">
        <f t="shared" si="220"/>
        <v>0</v>
      </c>
      <c r="F677" t="str">
        <f t="shared" si="221"/>
        <v/>
      </c>
      <c r="G677">
        <f t="shared" si="222"/>
        <v>0</v>
      </c>
      <c r="H677">
        <f>IF(AND(G677=1,COUNTIFS($I$200:I677,I677,$G$200:G677,1)=1),1,0)</f>
        <v>0</v>
      </c>
      <c r="I677" t="str">
        <f t="shared" si="223"/>
        <v/>
      </c>
      <c r="BF677">
        <f t="shared" si="226"/>
        <v>0</v>
      </c>
      <c r="BG677">
        <f t="shared" si="227"/>
        <v>0</v>
      </c>
      <c r="BH677">
        <f t="shared" si="228"/>
        <v>0</v>
      </c>
      <c r="BI677">
        <f t="shared" si="229"/>
        <v>0</v>
      </c>
      <c r="BJ677">
        <f t="shared" si="230"/>
        <v>0</v>
      </c>
      <c r="BK677">
        <f t="shared" si="231"/>
        <v>0</v>
      </c>
      <c r="BL677">
        <f t="shared" si="232"/>
        <v>0</v>
      </c>
      <c r="BM677">
        <f t="shared" si="233"/>
        <v>0</v>
      </c>
      <c r="BN677">
        <f t="shared" si="234"/>
        <v>0</v>
      </c>
      <c r="BO677">
        <f t="shared" si="235"/>
        <v>0</v>
      </c>
      <c r="BP677">
        <f t="shared" si="236"/>
        <v>0</v>
      </c>
      <c r="BQ677">
        <f t="shared" si="237"/>
        <v>0</v>
      </c>
      <c r="BR677">
        <f t="shared" si="238"/>
        <v>0</v>
      </c>
      <c r="BS677">
        <f t="shared" si="239"/>
        <v>0</v>
      </c>
      <c r="BT677">
        <f t="shared" si="240"/>
        <v>0</v>
      </c>
      <c r="BU677">
        <f t="shared" si="241"/>
        <v>0</v>
      </c>
      <c r="BV677">
        <f t="shared" si="242"/>
        <v>0</v>
      </c>
      <c r="BW677">
        <f t="shared" si="243"/>
        <v>0</v>
      </c>
      <c r="CA677" t="str">
        <f>IF(478&gt;ROWS(DGArchive[模组]),"",IF(INDEX(DGArchive[模组],478)="","",INDEX(DGArchive[模组],478)))</f>
        <v/>
      </c>
      <c r="CB677" t="str">
        <f>IF(478&gt;ROWS(DGArchive[阶段]),"",IF(INDEX(DGArchive[阶段],478)="","",INDEX(DGArchive[阶段],478)))</f>
        <v/>
      </c>
      <c r="CC677" t="str">
        <f>IF(478&gt;ROWS(DGArchive[游戏内日期]),"",IF(INDEX(DGArchive[游戏内日期],478)="","",INDEX(DGArchive[游戏内日期],478)))</f>
        <v/>
      </c>
      <c r="CD677" t="str">
        <f>IF(478&gt;ROWS(DGArchive[目标]),"",IF(INDEX(DGArchive[目标],478)="","",INDEX(DGArchive[目标],478)))</f>
        <v/>
      </c>
      <c r="CE677" t="str">
        <f>IF(478&gt;ROWS(DGArchive[变更前]),"",IF(INDEX(DGArchive[变更前],478)="","",INDEX(DGArchive[变更前],478)))</f>
        <v/>
      </c>
      <c r="CF677" t="str">
        <f>IF(478&gt;ROWS(DGArchive[增减]),"",IF(INDEX(DGArchive[增减],478)="","",INDEX(DGArchive[增减],478)))</f>
        <v/>
      </c>
      <c r="CG677" t="str">
        <f>IF(478&gt;ROWS(DGArchive[变更后]),"",IF(INDEX(DGArchive[变更后],478)="","",INDEX(DGArchive[变更后],478)))</f>
        <v/>
      </c>
      <c r="CH677" t="str">
        <f>IF(478&gt;ROWS(DGArchive[事件／活动]),"",IF(INDEX(DGArchive[事件／活动],478)="","",INDEX(DGArchive[事件／活动],478)))</f>
        <v/>
      </c>
      <c r="CI677" t="str">
        <f>IF(478&gt;ROWS(DGArchive[记录编号]),"",IF(INDEX(DGArchive[记录编号],478)="","",INDEX(DGArchive[记录编号],478)))</f>
        <v/>
      </c>
      <c r="CL677">
        <f t="shared" si="224"/>
        <v>0</v>
      </c>
      <c r="CM677">
        <f>IF(AND(A677=$AO$5,B677=$AQ$3,H677=1),COUNTIFS($A$200:A677,$AO$5,$B$200:B677,$AQ$3,$H$200:H677,1),0)</f>
        <v>0</v>
      </c>
      <c r="CN677">
        <f>IF(CA677="",478,1001)</f>
        <v>478</v>
      </c>
      <c r="GA677">
        <f t="shared" si="244"/>
        <v>0</v>
      </c>
      <c r="GB677">
        <f t="shared" si="245"/>
        <v>0</v>
      </c>
      <c r="GC677">
        <f>IF(AND(C677="事件记录",H677=1),COUNTIFS($C$200:C677,"事件记录",$H$200:H677,1),0)</f>
        <v>0</v>
      </c>
      <c r="GD677">
        <f t="shared" si="225"/>
        <v>0</v>
      </c>
      <c r="GH677">
        <f>IF(AND(H677=1,A677=$GA$10,B677=$GA$11),COUNTIFS($A$200:A677,$GA$10,$B$200:B677,$GA$11,$H$200:H677,1),0)</f>
        <v>0</v>
      </c>
    </row>
    <row r="678" spans="1:190">
      <c r="A678" t="str">
        <f t="shared" si="216"/>
        <v/>
      </c>
      <c r="B678" t="str">
        <f t="shared" si="217"/>
        <v/>
      </c>
      <c r="C678" t="str">
        <f t="shared" si="218"/>
        <v/>
      </c>
      <c r="D678" t="str">
        <f t="shared" si="219"/>
        <v/>
      </c>
      <c r="E678">
        <f t="shared" si="220"/>
        <v>0</v>
      </c>
      <c r="F678" t="str">
        <f t="shared" si="221"/>
        <v/>
      </c>
      <c r="G678">
        <f t="shared" si="222"/>
        <v>0</v>
      </c>
      <c r="H678">
        <f>IF(AND(G678=1,COUNTIFS($I$200:I678,I678,$G$200:G678,1)=1),1,0)</f>
        <v>0</v>
      </c>
      <c r="I678" t="str">
        <f t="shared" si="223"/>
        <v/>
      </c>
      <c r="BF678">
        <f t="shared" si="226"/>
        <v>0</v>
      </c>
      <c r="BG678">
        <f t="shared" si="227"/>
        <v>0</v>
      </c>
      <c r="BH678">
        <f t="shared" si="228"/>
        <v>0</v>
      </c>
      <c r="BI678">
        <f t="shared" si="229"/>
        <v>0</v>
      </c>
      <c r="BJ678">
        <f t="shared" si="230"/>
        <v>0</v>
      </c>
      <c r="BK678">
        <f t="shared" si="231"/>
        <v>0</v>
      </c>
      <c r="BL678">
        <f t="shared" si="232"/>
        <v>0</v>
      </c>
      <c r="BM678">
        <f t="shared" si="233"/>
        <v>0</v>
      </c>
      <c r="BN678">
        <f t="shared" si="234"/>
        <v>0</v>
      </c>
      <c r="BO678">
        <f t="shared" si="235"/>
        <v>0</v>
      </c>
      <c r="BP678">
        <f t="shared" si="236"/>
        <v>0</v>
      </c>
      <c r="BQ678">
        <f t="shared" si="237"/>
        <v>0</v>
      </c>
      <c r="BR678">
        <f t="shared" si="238"/>
        <v>0</v>
      </c>
      <c r="BS678">
        <f t="shared" si="239"/>
        <v>0</v>
      </c>
      <c r="BT678">
        <f t="shared" si="240"/>
        <v>0</v>
      </c>
      <c r="BU678">
        <f t="shared" si="241"/>
        <v>0</v>
      </c>
      <c r="BV678">
        <f t="shared" si="242"/>
        <v>0</v>
      </c>
      <c r="BW678">
        <f t="shared" si="243"/>
        <v>0</v>
      </c>
      <c r="CA678" t="str">
        <f>IF(479&gt;ROWS(DGArchive[模组]),"",IF(INDEX(DGArchive[模组],479)="","",INDEX(DGArchive[模组],479)))</f>
        <v/>
      </c>
      <c r="CB678" t="str">
        <f>IF(479&gt;ROWS(DGArchive[阶段]),"",IF(INDEX(DGArchive[阶段],479)="","",INDEX(DGArchive[阶段],479)))</f>
        <v/>
      </c>
      <c r="CC678" t="str">
        <f>IF(479&gt;ROWS(DGArchive[游戏内日期]),"",IF(INDEX(DGArchive[游戏内日期],479)="","",INDEX(DGArchive[游戏内日期],479)))</f>
        <v/>
      </c>
      <c r="CD678" t="str">
        <f>IF(479&gt;ROWS(DGArchive[目标]),"",IF(INDEX(DGArchive[目标],479)="","",INDEX(DGArchive[目标],479)))</f>
        <v/>
      </c>
      <c r="CE678" t="str">
        <f>IF(479&gt;ROWS(DGArchive[变更前]),"",IF(INDEX(DGArchive[变更前],479)="","",INDEX(DGArchive[变更前],479)))</f>
        <v/>
      </c>
      <c r="CF678" t="str">
        <f>IF(479&gt;ROWS(DGArchive[增减]),"",IF(INDEX(DGArchive[增减],479)="","",INDEX(DGArchive[增减],479)))</f>
        <v/>
      </c>
      <c r="CG678" t="str">
        <f>IF(479&gt;ROWS(DGArchive[变更后]),"",IF(INDEX(DGArchive[变更后],479)="","",INDEX(DGArchive[变更后],479)))</f>
        <v/>
      </c>
      <c r="CH678" t="str">
        <f>IF(479&gt;ROWS(DGArchive[事件／活动]),"",IF(INDEX(DGArchive[事件／活动],479)="","",INDEX(DGArchive[事件／活动],479)))</f>
        <v/>
      </c>
      <c r="CI678" t="str">
        <f>IF(479&gt;ROWS(DGArchive[记录编号]),"",IF(INDEX(DGArchive[记录编号],479)="","",INDEX(DGArchive[记录编号],479)))</f>
        <v/>
      </c>
      <c r="CL678">
        <f t="shared" si="224"/>
        <v>0</v>
      </c>
      <c r="CM678">
        <f>IF(AND(A678=$AO$5,B678=$AQ$3,H678=1),COUNTIFS($A$200:A678,$AO$5,$B$200:B678,$AQ$3,$H$200:H678,1),0)</f>
        <v>0</v>
      </c>
      <c r="CN678">
        <f>IF(CA678="",479,1001)</f>
        <v>479</v>
      </c>
      <c r="GA678">
        <f t="shared" si="244"/>
        <v>0</v>
      </c>
      <c r="GB678">
        <f t="shared" si="245"/>
        <v>0</v>
      </c>
      <c r="GC678">
        <f>IF(AND(C678="事件记录",H678=1),COUNTIFS($C$200:C678,"事件记录",$H$200:H678,1),0)</f>
        <v>0</v>
      </c>
      <c r="GD678">
        <f t="shared" si="225"/>
        <v>0</v>
      </c>
      <c r="GH678">
        <f>IF(AND(H678=1,A678=$GA$10,B678=$GA$11),COUNTIFS($A$200:A678,$GA$10,$B$200:B678,$GA$11,$H$200:H678,1),0)</f>
        <v>0</v>
      </c>
    </row>
    <row r="679" spans="1:190">
      <c r="A679" t="str">
        <f t="shared" si="216"/>
        <v/>
      </c>
      <c r="B679" t="str">
        <f t="shared" si="217"/>
        <v/>
      </c>
      <c r="C679" t="str">
        <f t="shared" si="218"/>
        <v/>
      </c>
      <c r="D679" t="str">
        <f t="shared" si="219"/>
        <v/>
      </c>
      <c r="E679">
        <f t="shared" si="220"/>
        <v>0</v>
      </c>
      <c r="F679" t="str">
        <f t="shared" si="221"/>
        <v/>
      </c>
      <c r="G679">
        <f t="shared" si="222"/>
        <v>0</v>
      </c>
      <c r="H679">
        <f>IF(AND(G679=1,COUNTIFS($I$200:I679,I679,$G$200:G679,1)=1),1,0)</f>
        <v>0</v>
      </c>
      <c r="I679" t="str">
        <f t="shared" si="223"/>
        <v/>
      </c>
      <c r="BF679">
        <f t="shared" si="226"/>
        <v>0</v>
      </c>
      <c r="BG679">
        <f t="shared" si="227"/>
        <v>0</v>
      </c>
      <c r="BH679">
        <f t="shared" si="228"/>
        <v>0</v>
      </c>
      <c r="BI679">
        <f t="shared" si="229"/>
        <v>0</v>
      </c>
      <c r="BJ679">
        <f t="shared" si="230"/>
        <v>0</v>
      </c>
      <c r="BK679">
        <f t="shared" si="231"/>
        <v>0</v>
      </c>
      <c r="BL679">
        <f t="shared" si="232"/>
        <v>0</v>
      </c>
      <c r="BM679">
        <f t="shared" si="233"/>
        <v>0</v>
      </c>
      <c r="BN679">
        <f t="shared" si="234"/>
        <v>0</v>
      </c>
      <c r="BO679">
        <f t="shared" si="235"/>
        <v>0</v>
      </c>
      <c r="BP679">
        <f t="shared" si="236"/>
        <v>0</v>
      </c>
      <c r="BQ679">
        <f t="shared" si="237"/>
        <v>0</v>
      </c>
      <c r="BR679">
        <f t="shared" si="238"/>
        <v>0</v>
      </c>
      <c r="BS679">
        <f t="shared" si="239"/>
        <v>0</v>
      </c>
      <c r="BT679">
        <f t="shared" si="240"/>
        <v>0</v>
      </c>
      <c r="BU679">
        <f t="shared" si="241"/>
        <v>0</v>
      </c>
      <c r="BV679">
        <f t="shared" si="242"/>
        <v>0</v>
      </c>
      <c r="BW679">
        <f t="shared" si="243"/>
        <v>0</v>
      </c>
      <c r="CA679" t="str">
        <f>IF(480&gt;ROWS(DGArchive[模组]),"",IF(INDEX(DGArchive[模组],480)="","",INDEX(DGArchive[模组],480)))</f>
        <v/>
      </c>
      <c r="CB679" t="str">
        <f>IF(480&gt;ROWS(DGArchive[阶段]),"",IF(INDEX(DGArchive[阶段],480)="","",INDEX(DGArchive[阶段],480)))</f>
        <v/>
      </c>
      <c r="CC679" t="str">
        <f>IF(480&gt;ROWS(DGArchive[游戏内日期]),"",IF(INDEX(DGArchive[游戏内日期],480)="","",INDEX(DGArchive[游戏内日期],480)))</f>
        <v/>
      </c>
      <c r="CD679" t="str">
        <f>IF(480&gt;ROWS(DGArchive[目标]),"",IF(INDEX(DGArchive[目标],480)="","",INDEX(DGArchive[目标],480)))</f>
        <v/>
      </c>
      <c r="CE679" t="str">
        <f>IF(480&gt;ROWS(DGArchive[变更前]),"",IF(INDEX(DGArchive[变更前],480)="","",INDEX(DGArchive[变更前],480)))</f>
        <v/>
      </c>
      <c r="CF679" t="str">
        <f>IF(480&gt;ROWS(DGArchive[增减]),"",IF(INDEX(DGArchive[增减],480)="","",INDEX(DGArchive[增减],480)))</f>
        <v/>
      </c>
      <c r="CG679" t="str">
        <f>IF(480&gt;ROWS(DGArchive[变更后]),"",IF(INDEX(DGArchive[变更后],480)="","",INDEX(DGArchive[变更后],480)))</f>
        <v/>
      </c>
      <c r="CH679" t="str">
        <f>IF(480&gt;ROWS(DGArchive[事件／活动]),"",IF(INDEX(DGArchive[事件／活动],480)="","",INDEX(DGArchive[事件／活动],480)))</f>
        <v/>
      </c>
      <c r="CI679" t="str">
        <f>IF(480&gt;ROWS(DGArchive[记录编号]),"",IF(INDEX(DGArchive[记录编号],480)="","",INDEX(DGArchive[记录编号],480)))</f>
        <v/>
      </c>
      <c r="CL679">
        <f t="shared" si="224"/>
        <v>0</v>
      </c>
      <c r="CM679">
        <f>IF(AND(A679=$AO$5,B679=$AQ$3,H679=1),COUNTIFS($A$200:A679,$AO$5,$B$200:B679,$AQ$3,$H$200:H679,1),0)</f>
        <v>0</v>
      </c>
      <c r="CN679">
        <f>IF(CA679="",480,1001)</f>
        <v>480</v>
      </c>
      <c r="GA679">
        <f t="shared" si="244"/>
        <v>0</v>
      </c>
      <c r="GB679">
        <f t="shared" si="245"/>
        <v>0</v>
      </c>
      <c r="GC679">
        <f>IF(AND(C679="事件记录",H679=1),COUNTIFS($C$200:C679,"事件记录",$H$200:H679,1),0)</f>
        <v>0</v>
      </c>
      <c r="GD679">
        <f t="shared" si="225"/>
        <v>0</v>
      </c>
      <c r="GH679">
        <f>IF(AND(H679=1,A679=$GA$10,B679=$GA$11),COUNTIFS($A$200:A679,$GA$10,$B$200:B679,$GA$11,$H$200:H679,1),0)</f>
        <v>0</v>
      </c>
    </row>
    <row r="680" spans="1:190">
      <c r="A680" t="str">
        <f t="shared" si="216"/>
        <v/>
      </c>
      <c r="B680" t="str">
        <f t="shared" si="217"/>
        <v/>
      </c>
      <c r="C680" t="str">
        <f t="shared" si="218"/>
        <v/>
      </c>
      <c r="D680" t="str">
        <f t="shared" si="219"/>
        <v/>
      </c>
      <c r="E680">
        <f t="shared" si="220"/>
        <v>0</v>
      </c>
      <c r="F680" t="str">
        <f t="shared" si="221"/>
        <v/>
      </c>
      <c r="G680">
        <f t="shared" si="222"/>
        <v>0</v>
      </c>
      <c r="H680">
        <f>IF(AND(G680=1,COUNTIFS($I$200:I680,I680,$G$200:G680,1)=1),1,0)</f>
        <v>0</v>
      </c>
      <c r="I680" t="str">
        <f t="shared" si="223"/>
        <v/>
      </c>
      <c r="BF680">
        <f t="shared" si="226"/>
        <v>0</v>
      </c>
      <c r="BG680">
        <f t="shared" si="227"/>
        <v>0</v>
      </c>
      <c r="BH680">
        <f t="shared" si="228"/>
        <v>0</v>
      </c>
      <c r="BI680">
        <f t="shared" si="229"/>
        <v>0</v>
      </c>
      <c r="BJ680">
        <f t="shared" si="230"/>
        <v>0</v>
      </c>
      <c r="BK680">
        <f t="shared" si="231"/>
        <v>0</v>
      </c>
      <c r="BL680">
        <f t="shared" si="232"/>
        <v>0</v>
      </c>
      <c r="BM680">
        <f t="shared" si="233"/>
        <v>0</v>
      </c>
      <c r="BN680">
        <f t="shared" si="234"/>
        <v>0</v>
      </c>
      <c r="BO680">
        <f t="shared" si="235"/>
        <v>0</v>
      </c>
      <c r="BP680">
        <f t="shared" si="236"/>
        <v>0</v>
      </c>
      <c r="BQ680">
        <f t="shared" si="237"/>
        <v>0</v>
      </c>
      <c r="BR680">
        <f t="shared" si="238"/>
        <v>0</v>
      </c>
      <c r="BS680">
        <f t="shared" si="239"/>
        <v>0</v>
      </c>
      <c r="BT680">
        <f t="shared" si="240"/>
        <v>0</v>
      </c>
      <c r="BU680">
        <f t="shared" si="241"/>
        <v>0</v>
      </c>
      <c r="BV680">
        <f t="shared" si="242"/>
        <v>0</v>
      </c>
      <c r="BW680">
        <f t="shared" si="243"/>
        <v>0</v>
      </c>
      <c r="CA680" t="str">
        <f>IF(481&gt;ROWS(DGArchive[模组]),"",IF(INDEX(DGArchive[模组],481)="","",INDEX(DGArchive[模组],481)))</f>
        <v/>
      </c>
      <c r="CB680" t="str">
        <f>IF(481&gt;ROWS(DGArchive[阶段]),"",IF(INDEX(DGArchive[阶段],481)="","",INDEX(DGArchive[阶段],481)))</f>
        <v/>
      </c>
      <c r="CC680" t="str">
        <f>IF(481&gt;ROWS(DGArchive[游戏内日期]),"",IF(INDEX(DGArchive[游戏内日期],481)="","",INDEX(DGArchive[游戏内日期],481)))</f>
        <v/>
      </c>
      <c r="CD680" t="str">
        <f>IF(481&gt;ROWS(DGArchive[目标]),"",IF(INDEX(DGArchive[目标],481)="","",INDEX(DGArchive[目标],481)))</f>
        <v/>
      </c>
      <c r="CE680" t="str">
        <f>IF(481&gt;ROWS(DGArchive[变更前]),"",IF(INDEX(DGArchive[变更前],481)="","",INDEX(DGArchive[变更前],481)))</f>
        <v/>
      </c>
      <c r="CF680" t="str">
        <f>IF(481&gt;ROWS(DGArchive[增减]),"",IF(INDEX(DGArchive[增减],481)="","",INDEX(DGArchive[增减],481)))</f>
        <v/>
      </c>
      <c r="CG680" t="str">
        <f>IF(481&gt;ROWS(DGArchive[变更后]),"",IF(INDEX(DGArchive[变更后],481)="","",INDEX(DGArchive[变更后],481)))</f>
        <v/>
      </c>
      <c r="CH680" t="str">
        <f>IF(481&gt;ROWS(DGArchive[事件／活动]),"",IF(INDEX(DGArchive[事件／活动],481)="","",INDEX(DGArchive[事件／活动],481)))</f>
        <v/>
      </c>
      <c r="CI680" t="str">
        <f>IF(481&gt;ROWS(DGArchive[记录编号]),"",IF(INDEX(DGArchive[记录编号],481)="","",INDEX(DGArchive[记录编号],481)))</f>
        <v/>
      </c>
      <c r="CL680">
        <f t="shared" si="224"/>
        <v>0</v>
      </c>
      <c r="CM680">
        <f>IF(AND(A680=$AO$5,B680=$AQ$3,H680=1),COUNTIFS($A$200:A680,$AO$5,$B$200:B680,$AQ$3,$H$200:H680,1),0)</f>
        <v>0</v>
      </c>
      <c r="CN680">
        <f>IF(CA680="",481,1001)</f>
        <v>481</v>
      </c>
      <c r="GA680">
        <f t="shared" si="244"/>
        <v>0</v>
      </c>
      <c r="GB680">
        <f t="shared" si="245"/>
        <v>0</v>
      </c>
      <c r="GC680">
        <f>IF(AND(C680="事件记录",H680=1),COUNTIFS($C$200:C680,"事件记录",$H$200:H680,1),0)</f>
        <v>0</v>
      </c>
      <c r="GD680">
        <f t="shared" si="225"/>
        <v>0</v>
      </c>
      <c r="GH680">
        <f>IF(AND(H680=1,A680=$GA$10,B680=$GA$11),COUNTIFS($A$200:A680,$GA$10,$B$200:B680,$GA$11,$H$200:H680,1),0)</f>
        <v>0</v>
      </c>
    </row>
    <row r="681" spans="1:190">
      <c r="A681" t="str">
        <f t="shared" si="216"/>
        <v/>
      </c>
      <c r="B681" t="str">
        <f t="shared" si="217"/>
        <v/>
      </c>
      <c r="C681" t="str">
        <f t="shared" si="218"/>
        <v/>
      </c>
      <c r="D681" t="str">
        <f t="shared" si="219"/>
        <v/>
      </c>
      <c r="E681">
        <f t="shared" si="220"/>
        <v>0</v>
      </c>
      <c r="F681" t="str">
        <f t="shared" si="221"/>
        <v/>
      </c>
      <c r="G681">
        <f t="shared" si="222"/>
        <v>0</v>
      </c>
      <c r="H681">
        <f>IF(AND(G681=1,COUNTIFS($I$200:I681,I681,$G$200:G681,1)=1),1,0)</f>
        <v>0</v>
      </c>
      <c r="I681" t="str">
        <f t="shared" si="223"/>
        <v/>
      </c>
      <c r="BF681">
        <f t="shared" si="226"/>
        <v>0</v>
      </c>
      <c r="BG681">
        <f t="shared" si="227"/>
        <v>0</v>
      </c>
      <c r="BH681">
        <f t="shared" si="228"/>
        <v>0</v>
      </c>
      <c r="BI681">
        <f t="shared" si="229"/>
        <v>0</v>
      </c>
      <c r="BJ681">
        <f t="shared" si="230"/>
        <v>0</v>
      </c>
      <c r="BK681">
        <f t="shared" si="231"/>
        <v>0</v>
      </c>
      <c r="BL681">
        <f t="shared" si="232"/>
        <v>0</v>
      </c>
      <c r="BM681">
        <f t="shared" si="233"/>
        <v>0</v>
      </c>
      <c r="BN681">
        <f t="shared" si="234"/>
        <v>0</v>
      </c>
      <c r="BO681">
        <f t="shared" si="235"/>
        <v>0</v>
      </c>
      <c r="BP681">
        <f t="shared" si="236"/>
        <v>0</v>
      </c>
      <c r="BQ681">
        <f t="shared" si="237"/>
        <v>0</v>
      </c>
      <c r="BR681">
        <f t="shared" si="238"/>
        <v>0</v>
      </c>
      <c r="BS681">
        <f t="shared" si="239"/>
        <v>0</v>
      </c>
      <c r="BT681">
        <f t="shared" si="240"/>
        <v>0</v>
      </c>
      <c r="BU681">
        <f t="shared" si="241"/>
        <v>0</v>
      </c>
      <c r="BV681">
        <f t="shared" si="242"/>
        <v>0</v>
      </c>
      <c r="BW681">
        <f t="shared" si="243"/>
        <v>0</v>
      </c>
      <c r="CA681" t="str">
        <f>IF(482&gt;ROWS(DGArchive[模组]),"",IF(INDEX(DGArchive[模组],482)="","",INDEX(DGArchive[模组],482)))</f>
        <v/>
      </c>
      <c r="CB681" t="str">
        <f>IF(482&gt;ROWS(DGArchive[阶段]),"",IF(INDEX(DGArchive[阶段],482)="","",INDEX(DGArchive[阶段],482)))</f>
        <v/>
      </c>
      <c r="CC681" t="str">
        <f>IF(482&gt;ROWS(DGArchive[游戏内日期]),"",IF(INDEX(DGArchive[游戏内日期],482)="","",INDEX(DGArchive[游戏内日期],482)))</f>
        <v/>
      </c>
      <c r="CD681" t="str">
        <f>IF(482&gt;ROWS(DGArchive[目标]),"",IF(INDEX(DGArchive[目标],482)="","",INDEX(DGArchive[目标],482)))</f>
        <v/>
      </c>
      <c r="CE681" t="str">
        <f>IF(482&gt;ROWS(DGArchive[变更前]),"",IF(INDEX(DGArchive[变更前],482)="","",INDEX(DGArchive[变更前],482)))</f>
        <v/>
      </c>
      <c r="CF681" t="str">
        <f>IF(482&gt;ROWS(DGArchive[增减]),"",IF(INDEX(DGArchive[增减],482)="","",INDEX(DGArchive[增减],482)))</f>
        <v/>
      </c>
      <c r="CG681" t="str">
        <f>IF(482&gt;ROWS(DGArchive[变更后]),"",IF(INDEX(DGArchive[变更后],482)="","",INDEX(DGArchive[变更后],482)))</f>
        <v/>
      </c>
      <c r="CH681" t="str">
        <f>IF(482&gt;ROWS(DGArchive[事件／活动]),"",IF(INDEX(DGArchive[事件／活动],482)="","",INDEX(DGArchive[事件／活动],482)))</f>
        <v/>
      </c>
      <c r="CI681" t="str">
        <f>IF(482&gt;ROWS(DGArchive[记录编号]),"",IF(INDEX(DGArchive[记录编号],482)="","",INDEX(DGArchive[记录编号],482)))</f>
        <v/>
      </c>
      <c r="CL681">
        <f t="shared" si="224"/>
        <v>0</v>
      </c>
      <c r="CM681">
        <f>IF(AND(A681=$AO$5,B681=$AQ$3,H681=1),COUNTIFS($A$200:A681,$AO$5,$B$200:B681,$AQ$3,$H$200:H681,1),0)</f>
        <v>0</v>
      </c>
      <c r="CN681">
        <f>IF(CA681="",482,1001)</f>
        <v>482</v>
      </c>
      <c r="GA681">
        <f t="shared" si="244"/>
        <v>0</v>
      </c>
      <c r="GB681">
        <f t="shared" si="245"/>
        <v>0</v>
      </c>
      <c r="GC681">
        <f>IF(AND(C681="事件记录",H681=1),COUNTIFS($C$200:C681,"事件记录",$H$200:H681,1),0)</f>
        <v>0</v>
      </c>
      <c r="GD681">
        <f t="shared" si="225"/>
        <v>0</v>
      </c>
      <c r="GH681">
        <f>IF(AND(H681=1,A681=$GA$10,B681=$GA$11),COUNTIFS($A$200:A681,$GA$10,$B$200:B681,$GA$11,$H$200:H681,1),0)</f>
        <v>0</v>
      </c>
    </row>
    <row r="682" spans="1:190">
      <c r="A682" t="str">
        <f t="shared" si="216"/>
        <v/>
      </c>
      <c r="B682" t="str">
        <f t="shared" si="217"/>
        <v/>
      </c>
      <c r="C682" t="str">
        <f t="shared" si="218"/>
        <v/>
      </c>
      <c r="D682" t="str">
        <f t="shared" si="219"/>
        <v/>
      </c>
      <c r="E682">
        <f t="shared" si="220"/>
        <v>0</v>
      </c>
      <c r="F682" t="str">
        <f t="shared" si="221"/>
        <v/>
      </c>
      <c r="G682">
        <f t="shared" si="222"/>
        <v>0</v>
      </c>
      <c r="H682">
        <f>IF(AND(G682=1,COUNTIFS($I$200:I682,I682,$G$200:G682,1)=1),1,0)</f>
        <v>0</v>
      </c>
      <c r="I682" t="str">
        <f t="shared" si="223"/>
        <v/>
      </c>
      <c r="BF682">
        <f t="shared" si="226"/>
        <v>0</v>
      </c>
      <c r="BG682">
        <f t="shared" si="227"/>
        <v>0</v>
      </c>
      <c r="BH682">
        <f t="shared" si="228"/>
        <v>0</v>
      </c>
      <c r="BI682">
        <f t="shared" si="229"/>
        <v>0</v>
      </c>
      <c r="BJ682">
        <f t="shared" si="230"/>
        <v>0</v>
      </c>
      <c r="BK682">
        <f t="shared" si="231"/>
        <v>0</v>
      </c>
      <c r="BL682">
        <f t="shared" si="232"/>
        <v>0</v>
      </c>
      <c r="BM682">
        <f t="shared" si="233"/>
        <v>0</v>
      </c>
      <c r="BN682">
        <f t="shared" si="234"/>
        <v>0</v>
      </c>
      <c r="BO682">
        <f t="shared" si="235"/>
        <v>0</v>
      </c>
      <c r="BP682">
        <f t="shared" si="236"/>
        <v>0</v>
      </c>
      <c r="BQ682">
        <f t="shared" si="237"/>
        <v>0</v>
      </c>
      <c r="BR682">
        <f t="shared" si="238"/>
        <v>0</v>
      </c>
      <c r="BS682">
        <f t="shared" si="239"/>
        <v>0</v>
      </c>
      <c r="BT682">
        <f t="shared" si="240"/>
        <v>0</v>
      </c>
      <c r="BU682">
        <f t="shared" si="241"/>
        <v>0</v>
      </c>
      <c r="BV682">
        <f t="shared" si="242"/>
        <v>0</v>
      </c>
      <c r="BW682">
        <f t="shared" si="243"/>
        <v>0</v>
      </c>
      <c r="CA682" t="str">
        <f>IF(483&gt;ROWS(DGArchive[模组]),"",IF(INDEX(DGArchive[模组],483)="","",INDEX(DGArchive[模组],483)))</f>
        <v/>
      </c>
      <c r="CB682" t="str">
        <f>IF(483&gt;ROWS(DGArchive[阶段]),"",IF(INDEX(DGArchive[阶段],483)="","",INDEX(DGArchive[阶段],483)))</f>
        <v/>
      </c>
      <c r="CC682" t="str">
        <f>IF(483&gt;ROWS(DGArchive[游戏内日期]),"",IF(INDEX(DGArchive[游戏内日期],483)="","",INDEX(DGArchive[游戏内日期],483)))</f>
        <v/>
      </c>
      <c r="CD682" t="str">
        <f>IF(483&gt;ROWS(DGArchive[目标]),"",IF(INDEX(DGArchive[目标],483)="","",INDEX(DGArchive[目标],483)))</f>
        <v/>
      </c>
      <c r="CE682" t="str">
        <f>IF(483&gt;ROWS(DGArchive[变更前]),"",IF(INDEX(DGArchive[变更前],483)="","",INDEX(DGArchive[变更前],483)))</f>
        <v/>
      </c>
      <c r="CF682" t="str">
        <f>IF(483&gt;ROWS(DGArchive[增减]),"",IF(INDEX(DGArchive[增减],483)="","",INDEX(DGArchive[增减],483)))</f>
        <v/>
      </c>
      <c r="CG682" t="str">
        <f>IF(483&gt;ROWS(DGArchive[变更后]),"",IF(INDEX(DGArchive[变更后],483)="","",INDEX(DGArchive[变更后],483)))</f>
        <v/>
      </c>
      <c r="CH682" t="str">
        <f>IF(483&gt;ROWS(DGArchive[事件／活动]),"",IF(INDEX(DGArchive[事件／活动],483)="","",INDEX(DGArchive[事件／活动],483)))</f>
        <v/>
      </c>
      <c r="CI682" t="str">
        <f>IF(483&gt;ROWS(DGArchive[记录编号]),"",IF(INDEX(DGArchive[记录编号],483)="","",INDEX(DGArchive[记录编号],483)))</f>
        <v/>
      </c>
      <c r="CL682">
        <f t="shared" si="224"/>
        <v>0</v>
      </c>
      <c r="CM682">
        <f>IF(AND(A682=$AO$5,B682=$AQ$3,H682=1),COUNTIFS($A$200:A682,$AO$5,$B$200:B682,$AQ$3,$H$200:H682,1),0)</f>
        <v>0</v>
      </c>
      <c r="CN682">
        <f>IF(CA682="",483,1001)</f>
        <v>483</v>
      </c>
      <c r="GA682">
        <f t="shared" si="244"/>
        <v>0</v>
      </c>
      <c r="GB682">
        <f t="shared" si="245"/>
        <v>0</v>
      </c>
      <c r="GC682">
        <f>IF(AND(C682="事件记录",H682=1),COUNTIFS($C$200:C682,"事件记录",$H$200:H682,1),0)</f>
        <v>0</v>
      </c>
      <c r="GD682">
        <f t="shared" si="225"/>
        <v>0</v>
      </c>
      <c r="GH682">
        <f>IF(AND(H682=1,A682=$GA$10,B682=$GA$11),COUNTIFS($A$200:A682,$GA$10,$B$200:B682,$GA$11,$H$200:H682,1),0)</f>
        <v>0</v>
      </c>
    </row>
    <row r="683" spans="1:190">
      <c r="A683" t="str">
        <f t="shared" si="216"/>
        <v/>
      </c>
      <c r="B683" t="str">
        <f t="shared" si="217"/>
        <v/>
      </c>
      <c r="C683" t="str">
        <f t="shared" si="218"/>
        <v/>
      </c>
      <c r="D683" t="str">
        <f t="shared" si="219"/>
        <v/>
      </c>
      <c r="E683">
        <f t="shared" si="220"/>
        <v>0</v>
      </c>
      <c r="F683" t="str">
        <f t="shared" si="221"/>
        <v/>
      </c>
      <c r="G683">
        <f t="shared" si="222"/>
        <v>0</v>
      </c>
      <c r="H683">
        <f>IF(AND(G683=1,COUNTIFS($I$200:I683,I683,$G$200:G683,1)=1),1,0)</f>
        <v>0</v>
      </c>
      <c r="I683" t="str">
        <f t="shared" si="223"/>
        <v/>
      </c>
      <c r="BF683">
        <f t="shared" si="226"/>
        <v>0</v>
      </c>
      <c r="BG683">
        <f t="shared" si="227"/>
        <v>0</v>
      </c>
      <c r="BH683">
        <f t="shared" si="228"/>
        <v>0</v>
      </c>
      <c r="BI683">
        <f t="shared" si="229"/>
        <v>0</v>
      </c>
      <c r="BJ683">
        <f t="shared" si="230"/>
        <v>0</v>
      </c>
      <c r="BK683">
        <f t="shared" si="231"/>
        <v>0</v>
      </c>
      <c r="BL683">
        <f t="shared" si="232"/>
        <v>0</v>
      </c>
      <c r="BM683">
        <f t="shared" si="233"/>
        <v>0</v>
      </c>
      <c r="BN683">
        <f t="shared" si="234"/>
        <v>0</v>
      </c>
      <c r="BO683">
        <f t="shared" si="235"/>
        <v>0</v>
      </c>
      <c r="BP683">
        <f t="shared" si="236"/>
        <v>0</v>
      </c>
      <c r="BQ683">
        <f t="shared" si="237"/>
        <v>0</v>
      </c>
      <c r="BR683">
        <f t="shared" si="238"/>
        <v>0</v>
      </c>
      <c r="BS683">
        <f t="shared" si="239"/>
        <v>0</v>
      </c>
      <c r="BT683">
        <f t="shared" si="240"/>
        <v>0</v>
      </c>
      <c r="BU683">
        <f t="shared" si="241"/>
        <v>0</v>
      </c>
      <c r="BV683">
        <f t="shared" si="242"/>
        <v>0</v>
      </c>
      <c r="BW683">
        <f t="shared" si="243"/>
        <v>0</v>
      </c>
      <c r="CA683" t="str">
        <f>IF(484&gt;ROWS(DGArchive[模组]),"",IF(INDEX(DGArchive[模组],484)="","",INDEX(DGArchive[模组],484)))</f>
        <v/>
      </c>
      <c r="CB683" t="str">
        <f>IF(484&gt;ROWS(DGArchive[阶段]),"",IF(INDEX(DGArchive[阶段],484)="","",INDEX(DGArchive[阶段],484)))</f>
        <v/>
      </c>
      <c r="CC683" t="str">
        <f>IF(484&gt;ROWS(DGArchive[游戏内日期]),"",IF(INDEX(DGArchive[游戏内日期],484)="","",INDEX(DGArchive[游戏内日期],484)))</f>
        <v/>
      </c>
      <c r="CD683" t="str">
        <f>IF(484&gt;ROWS(DGArchive[目标]),"",IF(INDEX(DGArchive[目标],484)="","",INDEX(DGArchive[目标],484)))</f>
        <v/>
      </c>
      <c r="CE683" t="str">
        <f>IF(484&gt;ROWS(DGArchive[变更前]),"",IF(INDEX(DGArchive[变更前],484)="","",INDEX(DGArchive[变更前],484)))</f>
        <v/>
      </c>
      <c r="CF683" t="str">
        <f>IF(484&gt;ROWS(DGArchive[增减]),"",IF(INDEX(DGArchive[增减],484)="","",INDEX(DGArchive[增减],484)))</f>
        <v/>
      </c>
      <c r="CG683" t="str">
        <f>IF(484&gt;ROWS(DGArchive[变更后]),"",IF(INDEX(DGArchive[变更后],484)="","",INDEX(DGArchive[变更后],484)))</f>
        <v/>
      </c>
      <c r="CH683" t="str">
        <f>IF(484&gt;ROWS(DGArchive[事件／活动]),"",IF(INDEX(DGArchive[事件／活动],484)="","",INDEX(DGArchive[事件／活动],484)))</f>
        <v/>
      </c>
      <c r="CI683" t="str">
        <f>IF(484&gt;ROWS(DGArchive[记录编号]),"",IF(INDEX(DGArchive[记录编号],484)="","",INDEX(DGArchive[记录编号],484)))</f>
        <v/>
      </c>
      <c r="CL683">
        <f t="shared" si="224"/>
        <v>0</v>
      </c>
      <c r="CM683">
        <f>IF(AND(A683=$AO$5,B683=$AQ$3,H683=1),COUNTIFS($A$200:A683,$AO$5,$B$200:B683,$AQ$3,$H$200:H683,1),0)</f>
        <v>0</v>
      </c>
      <c r="CN683">
        <f>IF(CA683="",484,1001)</f>
        <v>484</v>
      </c>
      <c r="GA683">
        <f t="shared" si="244"/>
        <v>0</v>
      </c>
      <c r="GB683">
        <f t="shared" si="245"/>
        <v>0</v>
      </c>
      <c r="GC683">
        <f>IF(AND(C683="事件记录",H683=1),COUNTIFS($C$200:C683,"事件记录",$H$200:H683,1),0)</f>
        <v>0</v>
      </c>
      <c r="GD683">
        <f t="shared" si="225"/>
        <v>0</v>
      </c>
      <c r="GH683">
        <f>IF(AND(H683=1,A683=$GA$10,B683=$GA$11),COUNTIFS($A$200:A683,$GA$10,$B$200:B683,$GA$11,$H$200:H683,1),0)</f>
        <v>0</v>
      </c>
    </row>
    <row r="684" spans="1:190">
      <c r="A684" t="str">
        <f t="shared" si="216"/>
        <v/>
      </c>
      <c r="B684" t="str">
        <f t="shared" si="217"/>
        <v/>
      </c>
      <c r="C684" t="str">
        <f t="shared" si="218"/>
        <v/>
      </c>
      <c r="D684" t="str">
        <f t="shared" si="219"/>
        <v/>
      </c>
      <c r="E684">
        <f t="shared" si="220"/>
        <v>0</v>
      </c>
      <c r="F684" t="str">
        <f t="shared" si="221"/>
        <v/>
      </c>
      <c r="G684">
        <f t="shared" si="222"/>
        <v>0</v>
      </c>
      <c r="H684">
        <f>IF(AND(G684=1,COUNTIFS($I$200:I684,I684,$G$200:G684,1)=1),1,0)</f>
        <v>0</v>
      </c>
      <c r="I684" t="str">
        <f t="shared" si="223"/>
        <v/>
      </c>
      <c r="BF684">
        <f t="shared" si="226"/>
        <v>0</v>
      </c>
      <c r="BG684">
        <f t="shared" si="227"/>
        <v>0</v>
      </c>
      <c r="BH684">
        <f t="shared" si="228"/>
        <v>0</v>
      </c>
      <c r="BI684">
        <f t="shared" si="229"/>
        <v>0</v>
      </c>
      <c r="BJ684">
        <f t="shared" si="230"/>
        <v>0</v>
      </c>
      <c r="BK684">
        <f t="shared" si="231"/>
        <v>0</v>
      </c>
      <c r="BL684">
        <f t="shared" si="232"/>
        <v>0</v>
      </c>
      <c r="BM684">
        <f t="shared" si="233"/>
        <v>0</v>
      </c>
      <c r="BN684">
        <f t="shared" si="234"/>
        <v>0</v>
      </c>
      <c r="BO684">
        <f t="shared" si="235"/>
        <v>0</v>
      </c>
      <c r="BP684">
        <f t="shared" si="236"/>
        <v>0</v>
      </c>
      <c r="BQ684">
        <f t="shared" si="237"/>
        <v>0</v>
      </c>
      <c r="BR684">
        <f t="shared" si="238"/>
        <v>0</v>
      </c>
      <c r="BS684">
        <f t="shared" si="239"/>
        <v>0</v>
      </c>
      <c r="BT684">
        <f t="shared" si="240"/>
        <v>0</v>
      </c>
      <c r="BU684">
        <f t="shared" si="241"/>
        <v>0</v>
      </c>
      <c r="BV684">
        <f t="shared" si="242"/>
        <v>0</v>
      </c>
      <c r="BW684">
        <f t="shared" si="243"/>
        <v>0</v>
      </c>
      <c r="CA684" t="str">
        <f>IF(485&gt;ROWS(DGArchive[模组]),"",IF(INDEX(DGArchive[模组],485)="","",INDEX(DGArchive[模组],485)))</f>
        <v/>
      </c>
      <c r="CB684" t="str">
        <f>IF(485&gt;ROWS(DGArchive[阶段]),"",IF(INDEX(DGArchive[阶段],485)="","",INDEX(DGArchive[阶段],485)))</f>
        <v/>
      </c>
      <c r="CC684" t="str">
        <f>IF(485&gt;ROWS(DGArchive[游戏内日期]),"",IF(INDEX(DGArchive[游戏内日期],485)="","",INDEX(DGArchive[游戏内日期],485)))</f>
        <v/>
      </c>
      <c r="CD684" t="str">
        <f>IF(485&gt;ROWS(DGArchive[目标]),"",IF(INDEX(DGArchive[目标],485)="","",INDEX(DGArchive[目标],485)))</f>
        <v/>
      </c>
      <c r="CE684" t="str">
        <f>IF(485&gt;ROWS(DGArchive[变更前]),"",IF(INDEX(DGArchive[变更前],485)="","",INDEX(DGArchive[变更前],485)))</f>
        <v/>
      </c>
      <c r="CF684" t="str">
        <f>IF(485&gt;ROWS(DGArchive[增减]),"",IF(INDEX(DGArchive[增减],485)="","",INDEX(DGArchive[增减],485)))</f>
        <v/>
      </c>
      <c r="CG684" t="str">
        <f>IF(485&gt;ROWS(DGArchive[变更后]),"",IF(INDEX(DGArchive[变更后],485)="","",INDEX(DGArchive[变更后],485)))</f>
        <v/>
      </c>
      <c r="CH684" t="str">
        <f>IF(485&gt;ROWS(DGArchive[事件／活动]),"",IF(INDEX(DGArchive[事件／活动],485)="","",INDEX(DGArchive[事件／活动],485)))</f>
        <v/>
      </c>
      <c r="CI684" t="str">
        <f>IF(485&gt;ROWS(DGArchive[记录编号]),"",IF(INDEX(DGArchive[记录编号],485)="","",INDEX(DGArchive[记录编号],485)))</f>
        <v/>
      </c>
      <c r="CL684">
        <f t="shared" si="224"/>
        <v>0</v>
      </c>
      <c r="CM684">
        <f>IF(AND(A684=$AO$5,B684=$AQ$3,H684=1),COUNTIFS($A$200:A684,$AO$5,$B$200:B684,$AQ$3,$H$200:H684,1),0)</f>
        <v>0</v>
      </c>
      <c r="CN684">
        <f>IF(CA684="",485,1001)</f>
        <v>485</v>
      </c>
      <c r="GA684">
        <f t="shared" si="244"/>
        <v>0</v>
      </c>
      <c r="GB684">
        <f t="shared" si="245"/>
        <v>0</v>
      </c>
      <c r="GC684">
        <f>IF(AND(C684="事件记录",H684=1),COUNTIFS($C$200:C684,"事件记录",$H$200:H684,1),0)</f>
        <v>0</v>
      </c>
      <c r="GD684">
        <f t="shared" si="225"/>
        <v>0</v>
      </c>
      <c r="GH684">
        <f>IF(AND(H684=1,A684=$GA$10,B684=$GA$11),COUNTIFS($A$200:A684,$GA$10,$B$200:B684,$GA$11,$H$200:H684,1),0)</f>
        <v>0</v>
      </c>
    </row>
    <row r="685" spans="1:190">
      <c r="A685" t="str">
        <f t="shared" si="216"/>
        <v/>
      </c>
      <c r="B685" t="str">
        <f t="shared" si="217"/>
        <v/>
      </c>
      <c r="C685" t="str">
        <f t="shared" si="218"/>
        <v/>
      </c>
      <c r="D685" t="str">
        <f t="shared" si="219"/>
        <v/>
      </c>
      <c r="E685">
        <f t="shared" si="220"/>
        <v>0</v>
      </c>
      <c r="F685" t="str">
        <f t="shared" si="221"/>
        <v/>
      </c>
      <c r="G685">
        <f t="shared" si="222"/>
        <v>0</v>
      </c>
      <c r="H685">
        <f>IF(AND(G685=1,COUNTIFS($I$200:I685,I685,$G$200:G685,1)=1),1,0)</f>
        <v>0</v>
      </c>
      <c r="I685" t="str">
        <f t="shared" si="223"/>
        <v/>
      </c>
      <c r="BF685">
        <f t="shared" si="226"/>
        <v>0</v>
      </c>
      <c r="BG685">
        <f t="shared" si="227"/>
        <v>0</v>
      </c>
      <c r="BH685">
        <f t="shared" si="228"/>
        <v>0</v>
      </c>
      <c r="BI685">
        <f t="shared" si="229"/>
        <v>0</v>
      </c>
      <c r="BJ685">
        <f t="shared" si="230"/>
        <v>0</v>
      </c>
      <c r="BK685">
        <f t="shared" si="231"/>
        <v>0</v>
      </c>
      <c r="BL685">
        <f t="shared" si="232"/>
        <v>0</v>
      </c>
      <c r="BM685">
        <f t="shared" si="233"/>
        <v>0</v>
      </c>
      <c r="BN685">
        <f t="shared" si="234"/>
        <v>0</v>
      </c>
      <c r="BO685">
        <f t="shared" si="235"/>
        <v>0</v>
      </c>
      <c r="BP685">
        <f t="shared" si="236"/>
        <v>0</v>
      </c>
      <c r="BQ685">
        <f t="shared" si="237"/>
        <v>0</v>
      </c>
      <c r="BR685">
        <f t="shared" si="238"/>
        <v>0</v>
      </c>
      <c r="BS685">
        <f t="shared" si="239"/>
        <v>0</v>
      </c>
      <c r="BT685">
        <f t="shared" si="240"/>
        <v>0</v>
      </c>
      <c r="BU685">
        <f t="shared" si="241"/>
        <v>0</v>
      </c>
      <c r="BV685">
        <f t="shared" si="242"/>
        <v>0</v>
      </c>
      <c r="BW685">
        <f t="shared" si="243"/>
        <v>0</v>
      </c>
      <c r="CA685" t="str">
        <f>IF(486&gt;ROWS(DGArchive[模组]),"",IF(INDEX(DGArchive[模组],486)="","",INDEX(DGArchive[模组],486)))</f>
        <v/>
      </c>
      <c r="CB685" t="str">
        <f>IF(486&gt;ROWS(DGArchive[阶段]),"",IF(INDEX(DGArchive[阶段],486)="","",INDEX(DGArchive[阶段],486)))</f>
        <v/>
      </c>
      <c r="CC685" t="str">
        <f>IF(486&gt;ROWS(DGArchive[游戏内日期]),"",IF(INDEX(DGArchive[游戏内日期],486)="","",INDEX(DGArchive[游戏内日期],486)))</f>
        <v/>
      </c>
      <c r="CD685" t="str">
        <f>IF(486&gt;ROWS(DGArchive[目标]),"",IF(INDEX(DGArchive[目标],486)="","",INDEX(DGArchive[目标],486)))</f>
        <v/>
      </c>
      <c r="CE685" t="str">
        <f>IF(486&gt;ROWS(DGArchive[变更前]),"",IF(INDEX(DGArchive[变更前],486)="","",INDEX(DGArchive[变更前],486)))</f>
        <v/>
      </c>
      <c r="CF685" t="str">
        <f>IF(486&gt;ROWS(DGArchive[增减]),"",IF(INDEX(DGArchive[增减],486)="","",INDEX(DGArchive[增减],486)))</f>
        <v/>
      </c>
      <c r="CG685" t="str">
        <f>IF(486&gt;ROWS(DGArchive[变更后]),"",IF(INDEX(DGArchive[变更后],486)="","",INDEX(DGArchive[变更后],486)))</f>
        <v/>
      </c>
      <c r="CH685" t="str">
        <f>IF(486&gt;ROWS(DGArchive[事件／活动]),"",IF(INDEX(DGArchive[事件／活动],486)="","",INDEX(DGArchive[事件／活动],486)))</f>
        <v/>
      </c>
      <c r="CI685" t="str">
        <f>IF(486&gt;ROWS(DGArchive[记录编号]),"",IF(INDEX(DGArchive[记录编号],486)="","",INDEX(DGArchive[记录编号],486)))</f>
        <v/>
      </c>
      <c r="CL685">
        <f t="shared" si="224"/>
        <v>0</v>
      </c>
      <c r="CM685">
        <f>IF(AND(A685=$AO$5,B685=$AQ$3,H685=1),COUNTIFS($A$200:A685,$AO$5,$B$200:B685,$AQ$3,$H$200:H685,1),0)</f>
        <v>0</v>
      </c>
      <c r="CN685">
        <f>IF(CA685="",486,1001)</f>
        <v>486</v>
      </c>
      <c r="GA685">
        <f t="shared" si="244"/>
        <v>0</v>
      </c>
      <c r="GB685">
        <f t="shared" si="245"/>
        <v>0</v>
      </c>
      <c r="GC685">
        <f>IF(AND(C685="事件记录",H685=1),COUNTIFS($C$200:C685,"事件记录",$H$200:H685,1),0)</f>
        <v>0</v>
      </c>
      <c r="GD685">
        <f t="shared" si="225"/>
        <v>0</v>
      </c>
      <c r="GH685">
        <f>IF(AND(H685=1,A685=$GA$10,B685=$GA$11),COUNTIFS($A$200:A685,$GA$10,$B$200:B685,$GA$11,$H$200:H685,1),0)</f>
        <v>0</v>
      </c>
    </row>
    <row r="686" spans="1:190">
      <c r="A686" t="str">
        <f t="shared" si="216"/>
        <v/>
      </c>
      <c r="B686" t="str">
        <f t="shared" si="217"/>
        <v/>
      </c>
      <c r="C686" t="str">
        <f t="shared" si="218"/>
        <v/>
      </c>
      <c r="D686" t="str">
        <f t="shared" si="219"/>
        <v/>
      </c>
      <c r="E686">
        <f t="shared" si="220"/>
        <v>0</v>
      </c>
      <c r="F686" t="str">
        <f t="shared" si="221"/>
        <v/>
      </c>
      <c r="G686">
        <f t="shared" si="222"/>
        <v>0</v>
      </c>
      <c r="H686">
        <f>IF(AND(G686=1,COUNTIFS($I$200:I686,I686,$G$200:G686,1)=1),1,0)</f>
        <v>0</v>
      </c>
      <c r="I686" t="str">
        <f t="shared" si="223"/>
        <v/>
      </c>
      <c r="BF686">
        <f t="shared" si="226"/>
        <v>0</v>
      </c>
      <c r="BG686">
        <f t="shared" si="227"/>
        <v>0</v>
      </c>
      <c r="BH686">
        <f t="shared" si="228"/>
        <v>0</v>
      </c>
      <c r="BI686">
        <f t="shared" si="229"/>
        <v>0</v>
      </c>
      <c r="BJ686">
        <f t="shared" si="230"/>
        <v>0</v>
      </c>
      <c r="BK686">
        <f t="shared" si="231"/>
        <v>0</v>
      </c>
      <c r="BL686">
        <f t="shared" si="232"/>
        <v>0</v>
      </c>
      <c r="BM686">
        <f t="shared" si="233"/>
        <v>0</v>
      </c>
      <c r="BN686">
        <f t="shared" si="234"/>
        <v>0</v>
      </c>
      <c r="BO686">
        <f t="shared" si="235"/>
        <v>0</v>
      </c>
      <c r="BP686">
        <f t="shared" si="236"/>
        <v>0</v>
      </c>
      <c r="BQ686">
        <f t="shared" si="237"/>
        <v>0</v>
      </c>
      <c r="BR686">
        <f t="shared" si="238"/>
        <v>0</v>
      </c>
      <c r="BS686">
        <f t="shared" si="239"/>
        <v>0</v>
      </c>
      <c r="BT686">
        <f t="shared" si="240"/>
        <v>0</v>
      </c>
      <c r="BU686">
        <f t="shared" si="241"/>
        <v>0</v>
      </c>
      <c r="BV686">
        <f t="shared" si="242"/>
        <v>0</v>
      </c>
      <c r="BW686">
        <f t="shared" si="243"/>
        <v>0</v>
      </c>
      <c r="CA686" t="str">
        <f>IF(487&gt;ROWS(DGArchive[模组]),"",IF(INDEX(DGArchive[模组],487)="","",INDEX(DGArchive[模组],487)))</f>
        <v/>
      </c>
      <c r="CB686" t="str">
        <f>IF(487&gt;ROWS(DGArchive[阶段]),"",IF(INDEX(DGArchive[阶段],487)="","",INDEX(DGArchive[阶段],487)))</f>
        <v/>
      </c>
      <c r="CC686" t="str">
        <f>IF(487&gt;ROWS(DGArchive[游戏内日期]),"",IF(INDEX(DGArchive[游戏内日期],487)="","",INDEX(DGArchive[游戏内日期],487)))</f>
        <v/>
      </c>
      <c r="CD686" t="str">
        <f>IF(487&gt;ROWS(DGArchive[目标]),"",IF(INDEX(DGArchive[目标],487)="","",INDEX(DGArchive[目标],487)))</f>
        <v/>
      </c>
      <c r="CE686" t="str">
        <f>IF(487&gt;ROWS(DGArchive[变更前]),"",IF(INDEX(DGArchive[变更前],487)="","",INDEX(DGArchive[变更前],487)))</f>
        <v/>
      </c>
      <c r="CF686" t="str">
        <f>IF(487&gt;ROWS(DGArchive[增减]),"",IF(INDEX(DGArchive[增减],487)="","",INDEX(DGArchive[增减],487)))</f>
        <v/>
      </c>
      <c r="CG686" t="str">
        <f>IF(487&gt;ROWS(DGArchive[变更后]),"",IF(INDEX(DGArchive[变更后],487)="","",INDEX(DGArchive[变更后],487)))</f>
        <v/>
      </c>
      <c r="CH686" t="str">
        <f>IF(487&gt;ROWS(DGArchive[事件／活动]),"",IF(INDEX(DGArchive[事件／活动],487)="","",INDEX(DGArchive[事件／活动],487)))</f>
        <v/>
      </c>
      <c r="CI686" t="str">
        <f>IF(487&gt;ROWS(DGArchive[记录编号]),"",IF(INDEX(DGArchive[记录编号],487)="","",INDEX(DGArchive[记录编号],487)))</f>
        <v/>
      </c>
      <c r="CL686">
        <f t="shared" si="224"/>
        <v>0</v>
      </c>
      <c r="CM686">
        <f>IF(AND(A686=$AO$5,B686=$AQ$3,H686=1),COUNTIFS($A$200:A686,$AO$5,$B$200:B686,$AQ$3,$H$200:H686,1),0)</f>
        <v>0</v>
      </c>
      <c r="CN686">
        <f>IF(CA686="",487,1001)</f>
        <v>487</v>
      </c>
      <c r="GA686">
        <f t="shared" si="244"/>
        <v>0</v>
      </c>
      <c r="GB686">
        <f t="shared" si="245"/>
        <v>0</v>
      </c>
      <c r="GC686">
        <f>IF(AND(C686="事件记录",H686=1),COUNTIFS($C$200:C686,"事件记录",$H$200:H686,1),0)</f>
        <v>0</v>
      </c>
      <c r="GD686">
        <f t="shared" si="225"/>
        <v>0</v>
      </c>
      <c r="GH686">
        <f>IF(AND(H686=1,A686=$GA$10,B686=$GA$11),COUNTIFS($A$200:A686,$GA$10,$B$200:B686,$GA$11,$H$200:H686,1),0)</f>
        <v>0</v>
      </c>
    </row>
    <row r="687" spans="1:190">
      <c r="A687" t="str">
        <f t="shared" si="216"/>
        <v/>
      </c>
      <c r="B687" t="str">
        <f t="shared" si="217"/>
        <v/>
      </c>
      <c r="C687" t="str">
        <f t="shared" si="218"/>
        <v/>
      </c>
      <c r="D687" t="str">
        <f t="shared" si="219"/>
        <v/>
      </c>
      <c r="E687">
        <f t="shared" si="220"/>
        <v>0</v>
      </c>
      <c r="F687" t="str">
        <f t="shared" si="221"/>
        <v/>
      </c>
      <c r="G687">
        <f t="shared" si="222"/>
        <v>0</v>
      </c>
      <c r="H687">
        <f>IF(AND(G687=1,COUNTIFS($I$200:I687,I687,$G$200:G687,1)=1),1,0)</f>
        <v>0</v>
      </c>
      <c r="I687" t="str">
        <f t="shared" si="223"/>
        <v/>
      </c>
      <c r="BF687">
        <f t="shared" si="226"/>
        <v>0</v>
      </c>
      <c r="BG687">
        <f t="shared" si="227"/>
        <v>0</v>
      </c>
      <c r="BH687">
        <f t="shared" si="228"/>
        <v>0</v>
      </c>
      <c r="BI687">
        <f t="shared" si="229"/>
        <v>0</v>
      </c>
      <c r="BJ687">
        <f t="shared" si="230"/>
        <v>0</v>
      </c>
      <c r="BK687">
        <f t="shared" si="231"/>
        <v>0</v>
      </c>
      <c r="BL687">
        <f t="shared" si="232"/>
        <v>0</v>
      </c>
      <c r="BM687">
        <f t="shared" si="233"/>
        <v>0</v>
      </c>
      <c r="BN687">
        <f t="shared" si="234"/>
        <v>0</v>
      </c>
      <c r="BO687">
        <f t="shared" si="235"/>
        <v>0</v>
      </c>
      <c r="BP687">
        <f t="shared" si="236"/>
        <v>0</v>
      </c>
      <c r="BQ687">
        <f t="shared" si="237"/>
        <v>0</v>
      </c>
      <c r="BR687">
        <f t="shared" si="238"/>
        <v>0</v>
      </c>
      <c r="BS687">
        <f t="shared" si="239"/>
        <v>0</v>
      </c>
      <c r="BT687">
        <f t="shared" si="240"/>
        <v>0</v>
      </c>
      <c r="BU687">
        <f t="shared" si="241"/>
        <v>0</v>
      </c>
      <c r="BV687">
        <f t="shared" si="242"/>
        <v>0</v>
      </c>
      <c r="BW687">
        <f t="shared" si="243"/>
        <v>0</v>
      </c>
      <c r="CA687" t="str">
        <f>IF(488&gt;ROWS(DGArchive[模组]),"",IF(INDEX(DGArchive[模组],488)="","",INDEX(DGArchive[模组],488)))</f>
        <v/>
      </c>
      <c r="CB687" t="str">
        <f>IF(488&gt;ROWS(DGArchive[阶段]),"",IF(INDEX(DGArchive[阶段],488)="","",INDEX(DGArchive[阶段],488)))</f>
        <v/>
      </c>
      <c r="CC687" t="str">
        <f>IF(488&gt;ROWS(DGArchive[游戏内日期]),"",IF(INDEX(DGArchive[游戏内日期],488)="","",INDEX(DGArchive[游戏内日期],488)))</f>
        <v/>
      </c>
      <c r="CD687" t="str">
        <f>IF(488&gt;ROWS(DGArchive[目标]),"",IF(INDEX(DGArchive[目标],488)="","",INDEX(DGArchive[目标],488)))</f>
        <v/>
      </c>
      <c r="CE687" t="str">
        <f>IF(488&gt;ROWS(DGArchive[变更前]),"",IF(INDEX(DGArchive[变更前],488)="","",INDEX(DGArchive[变更前],488)))</f>
        <v/>
      </c>
      <c r="CF687" t="str">
        <f>IF(488&gt;ROWS(DGArchive[增减]),"",IF(INDEX(DGArchive[增减],488)="","",INDEX(DGArchive[增减],488)))</f>
        <v/>
      </c>
      <c r="CG687" t="str">
        <f>IF(488&gt;ROWS(DGArchive[变更后]),"",IF(INDEX(DGArchive[变更后],488)="","",INDEX(DGArchive[变更后],488)))</f>
        <v/>
      </c>
      <c r="CH687" t="str">
        <f>IF(488&gt;ROWS(DGArchive[事件／活动]),"",IF(INDEX(DGArchive[事件／活动],488)="","",INDEX(DGArchive[事件／活动],488)))</f>
        <v/>
      </c>
      <c r="CI687" t="str">
        <f>IF(488&gt;ROWS(DGArchive[记录编号]),"",IF(INDEX(DGArchive[记录编号],488)="","",INDEX(DGArchive[记录编号],488)))</f>
        <v/>
      </c>
      <c r="CL687">
        <f t="shared" si="224"/>
        <v>0</v>
      </c>
      <c r="CM687">
        <f>IF(AND(A687=$AO$5,B687=$AQ$3,H687=1),COUNTIFS($A$200:A687,$AO$5,$B$200:B687,$AQ$3,$H$200:H687,1),0)</f>
        <v>0</v>
      </c>
      <c r="CN687">
        <f>IF(CA687="",488,1001)</f>
        <v>488</v>
      </c>
      <c r="GA687">
        <f t="shared" si="244"/>
        <v>0</v>
      </c>
      <c r="GB687">
        <f t="shared" si="245"/>
        <v>0</v>
      </c>
      <c r="GC687">
        <f>IF(AND(C687="事件记录",H687=1),COUNTIFS($C$200:C687,"事件记录",$H$200:H687,1),0)</f>
        <v>0</v>
      </c>
      <c r="GD687">
        <f t="shared" si="225"/>
        <v>0</v>
      </c>
      <c r="GH687">
        <f>IF(AND(H687=1,A687=$GA$10,B687=$GA$11),COUNTIFS($A$200:A687,$GA$10,$B$200:B687,$GA$11,$H$200:H687,1),0)</f>
        <v>0</v>
      </c>
    </row>
    <row r="688" spans="1:190">
      <c r="A688" t="str">
        <f t="shared" si="216"/>
        <v/>
      </c>
      <c r="B688" t="str">
        <f t="shared" si="217"/>
        <v/>
      </c>
      <c r="C688" t="str">
        <f t="shared" si="218"/>
        <v/>
      </c>
      <c r="D688" t="str">
        <f t="shared" si="219"/>
        <v/>
      </c>
      <c r="E688">
        <f t="shared" si="220"/>
        <v>0</v>
      </c>
      <c r="F688" t="str">
        <f t="shared" si="221"/>
        <v/>
      </c>
      <c r="G688">
        <f t="shared" si="222"/>
        <v>0</v>
      </c>
      <c r="H688">
        <f>IF(AND(G688=1,COUNTIFS($I$200:I688,I688,$G$200:G688,1)=1),1,0)</f>
        <v>0</v>
      </c>
      <c r="I688" t="str">
        <f t="shared" si="223"/>
        <v/>
      </c>
      <c r="BF688">
        <f t="shared" si="226"/>
        <v>0</v>
      </c>
      <c r="BG688">
        <f t="shared" si="227"/>
        <v>0</v>
      </c>
      <c r="BH688">
        <f t="shared" si="228"/>
        <v>0</v>
      </c>
      <c r="BI688">
        <f t="shared" si="229"/>
        <v>0</v>
      </c>
      <c r="BJ688">
        <f t="shared" si="230"/>
        <v>0</v>
      </c>
      <c r="BK688">
        <f t="shared" si="231"/>
        <v>0</v>
      </c>
      <c r="BL688">
        <f t="shared" si="232"/>
        <v>0</v>
      </c>
      <c r="BM688">
        <f t="shared" si="233"/>
        <v>0</v>
      </c>
      <c r="BN688">
        <f t="shared" si="234"/>
        <v>0</v>
      </c>
      <c r="BO688">
        <f t="shared" si="235"/>
        <v>0</v>
      </c>
      <c r="BP688">
        <f t="shared" si="236"/>
        <v>0</v>
      </c>
      <c r="BQ688">
        <f t="shared" si="237"/>
        <v>0</v>
      </c>
      <c r="BR688">
        <f t="shared" si="238"/>
        <v>0</v>
      </c>
      <c r="BS688">
        <f t="shared" si="239"/>
        <v>0</v>
      </c>
      <c r="BT688">
        <f t="shared" si="240"/>
        <v>0</v>
      </c>
      <c r="BU688">
        <f t="shared" si="241"/>
        <v>0</v>
      </c>
      <c r="BV688">
        <f t="shared" si="242"/>
        <v>0</v>
      </c>
      <c r="BW688">
        <f t="shared" si="243"/>
        <v>0</v>
      </c>
      <c r="CA688" t="str">
        <f>IF(489&gt;ROWS(DGArchive[模组]),"",IF(INDEX(DGArchive[模组],489)="","",INDEX(DGArchive[模组],489)))</f>
        <v/>
      </c>
      <c r="CB688" t="str">
        <f>IF(489&gt;ROWS(DGArchive[阶段]),"",IF(INDEX(DGArchive[阶段],489)="","",INDEX(DGArchive[阶段],489)))</f>
        <v/>
      </c>
      <c r="CC688" t="str">
        <f>IF(489&gt;ROWS(DGArchive[游戏内日期]),"",IF(INDEX(DGArchive[游戏内日期],489)="","",INDEX(DGArchive[游戏内日期],489)))</f>
        <v/>
      </c>
      <c r="CD688" t="str">
        <f>IF(489&gt;ROWS(DGArchive[目标]),"",IF(INDEX(DGArchive[目标],489)="","",INDEX(DGArchive[目标],489)))</f>
        <v/>
      </c>
      <c r="CE688" t="str">
        <f>IF(489&gt;ROWS(DGArchive[变更前]),"",IF(INDEX(DGArchive[变更前],489)="","",INDEX(DGArchive[变更前],489)))</f>
        <v/>
      </c>
      <c r="CF688" t="str">
        <f>IF(489&gt;ROWS(DGArchive[增减]),"",IF(INDEX(DGArchive[增减],489)="","",INDEX(DGArchive[增减],489)))</f>
        <v/>
      </c>
      <c r="CG688" t="str">
        <f>IF(489&gt;ROWS(DGArchive[变更后]),"",IF(INDEX(DGArchive[变更后],489)="","",INDEX(DGArchive[变更后],489)))</f>
        <v/>
      </c>
      <c r="CH688" t="str">
        <f>IF(489&gt;ROWS(DGArchive[事件／活动]),"",IF(INDEX(DGArchive[事件／活动],489)="","",INDEX(DGArchive[事件／活动],489)))</f>
        <v/>
      </c>
      <c r="CI688" t="str">
        <f>IF(489&gt;ROWS(DGArchive[记录编号]),"",IF(INDEX(DGArchive[记录编号],489)="","",INDEX(DGArchive[记录编号],489)))</f>
        <v/>
      </c>
      <c r="CL688">
        <f t="shared" si="224"/>
        <v>0</v>
      </c>
      <c r="CM688">
        <f>IF(AND(A688=$AO$5,B688=$AQ$3,H688=1),COUNTIFS($A$200:A688,$AO$5,$B$200:B688,$AQ$3,$H$200:H688,1),0)</f>
        <v>0</v>
      </c>
      <c r="CN688">
        <f>IF(CA688="",489,1001)</f>
        <v>489</v>
      </c>
      <c r="GA688">
        <f t="shared" si="244"/>
        <v>0</v>
      </c>
      <c r="GB688">
        <f t="shared" si="245"/>
        <v>0</v>
      </c>
      <c r="GC688">
        <f>IF(AND(C688="事件记录",H688=1),COUNTIFS($C$200:C688,"事件记录",$H$200:H688,1),0)</f>
        <v>0</v>
      </c>
      <c r="GD688">
        <f t="shared" si="225"/>
        <v>0</v>
      </c>
      <c r="GH688">
        <f>IF(AND(H688=1,A688=$GA$10,B688=$GA$11),COUNTIFS($A$200:A688,$GA$10,$B$200:B688,$GA$11,$H$200:H688,1),0)</f>
        <v>0</v>
      </c>
    </row>
    <row r="689" spans="1:190">
      <c r="A689" t="str">
        <f t="shared" si="216"/>
        <v/>
      </c>
      <c r="B689" t="str">
        <f t="shared" si="217"/>
        <v/>
      </c>
      <c r="C689" t="str">
        <f t="shared" si="218"/>
        <v/>
      </c>
      <c r="D689" t="str">
        <f t="shared" si="219"/>
        <v/>
      </c>
      <c r="E689">
        <f t="shared" si="220"/>
        <v>0</v>
      </c>
      <c r="F689" t="str">
        <f t="shared" si="221"/>
        <v/>
      </c>
      <c r="G689">
        <f t="shared" si="222"/>
        <v>0</v>
      </c>
      <c r="H689">
        <f>IF(AND(G689=1,COUNTIFS($I$200:I689,I689,$G$200:G689,1)=1),1,0)</f>
        <v>0</v>
      </c>
      <c r="I689" t="str">
        <f t="shared" si="223"/>
        <v/>
      </c>
      <c r="BF689">
        <f t="shared" si="226"/>
        <v>0</v>
      </c>
      <c r="BG689">
        <f t="shared" si="227"/>
        <v>0</v>
      </c>
      <c r="BH689">
        <f t="shared" si="228"/>
        <v>0</v>
      </c>
      <c r="BI689">
        <f t="shared" si="229"/>
        <v>0</v>
      </c>
      <c r="BJ689">
        <f t="shared" si="230"/>
        <v>0</v>
      </c>
      <c r="BK689">
        <f t="shared" si="231"/>
        <v>0</v>
      </c>
      <c r="BL689">
        <f t="shared" si="232"/>
        <v>0</v>
      </c>
      <c r="BM689">
        <f t="shared" si="233"/>
        <v>0</v>
      </c>
      <c r="BN689">
        <f t="shared" si="234"/>
        <v>0</v>
      </c>
      <c r="BO689">
        <f t="shared" si="235"/>
        <v>0</v>
      </c>
      <c r="BP689">
        <f t="shared" si="236"/>
        <v>0</v>
      </c>
      <c r="BQ689">
        <f t="shared" si="237"/>
        <v>0</v>
      </c>
      <c r="BR689">
        <f t="shared" si="238"/>
        <v>0</v>
      </c>
      <c r="BS689">
        <f t="shared" si="239"/>
        <v>0</v>
      </c>
      <c r="BT689">
        <f t="shared" si="240"/>
        <v>0</v>
      </c>
      <c r="BU689">
        <f t="shared" si="241"/>
        <v>0</v>
      </c>
      <c r="BV689">
        <f t="shared" si="242"/>
        <v>0</v>
      </c>
      <c r="BW689">
        <f t="shared" si="243"/>
        <v>0</v>
      </c>
      <c r="CA689" t="str">
        <f>IF(490&gt;ROWS(DGArchive[模组]),"",IF(INDEX(DGArchive[模组],490)="","",INDEX(DGArchive[模组],490)))</f>
        <v/>
      </c>
      <c r="CB689" t="str">
        <f>IF(490&gt;ROWS(DGArchive[阶段]),"",IF(INDEX(DGArchive[阶段],490)="","",INDEX(DGArchive[阶段],490)))</f>
        <v/>
      </c>
      <c r="CC689" t="str">
        <f>IF(490&gt;ROWS(DGArchive[游戏内日期]),"",IF(INDEX(DGArchive[游戏内日期],490)="","",INDEX(DGArchive[游戏内日期],490)))</f>
        <v/>
      </c>
      <c r="CD689" t="str">
        <f>IF(490&gt;ROWS(DGArchive[目标]),"",IF(INDEX(DGArchive[目标],490)="","",INDEX(DGArchive[目标],490)))</f>
        <v/>
      </c>
      <c r="CE689" t="str">
        <f>IF(490&gt;ROWS(DGArchive[变更前]),"",IF(INDEX(DGArchive[变更前],490)="","",INDEX(DGArchive[变更前],490)))</f>
        <v/>
      </c>
      <c r="CF689" t="str">
        <f>IF(490&gt;ROWS(DGArchive[增减]),"",IF(INDEX(DGArchive[增减],490)="","",INDEX(DGArchive[增减],490)))</f>
        <v/>
      </c>
      <c r="CG689" t="str">
        <f>IF(490&gt;ROWS(DGArchive[变更后]),"",IF(INDEX(DGArchive[变更后],490)="","",INDEX(DGArchive[变更后],490)))</f>
        <v/>
      </c>
      <c r="CH689" t="str">
        <f>IF(490&gt;ROWS(DGArchive[事件／活动]),"",IF(INDEX(DGArchive[事件／活动],490)="","",INDEX(DGArchive[事件／活动],490)))</f>
        <v/>
      </c>
      <c r="CI689" t="str">
        <f>IF(490&gt;ROWS(DGArchive[记录编号]),"",IF(INDEX(DGArchive[记录编号],490)="","",INDEX(DGArchive[记录编号],490)))</f>
        <v/>
      </c>
      <c r="CL689">
        <f t="shared" si="224"/>
        <v>0</v>
      </c>
      <c r="CM689">
        <f>IF(AND(A689=$AO$5,B689=$AQ$3,H689=1),COUNTIFS($A$200:A689,$AO$5,$B$200:B689,$AQ$3,$H$200:H689,1),0)</f>
        <v>0</v>
      </c>
      <c r="CN689">
        <f>IF(CA689="",490,1001)</f>
        <v>490</v>
      </c>
      <c r="GA689">
        <f t="shared" si="244"/>
        <v>0</v>
      </c>
      <c r="GB689">
        <f t="shared" si="245"/>
        <v>0</v>
      </c>
      <c r="GC689">
        <f>IF(AND(C689="事件记录",H689=1),COUNTIFS($C$200:C689,"事件记录",$H$200:H689,1),0)</f>
        <v>0</v>
      </c>
      <c r="GD689">
        <f t="shared" si="225"/>
        <v>0</v>
      </c>
      <c r="GH689">
        <f>IF(AND(H689=1,A689=$GA$10,B689=$GA$11),COUNTIFS($A$200:A689,$GA$10,$B$200:B689,$GA$11,$H$200:H689,1),0)</f>
        <v>0</v>
      </c>
    </row>
    <row r="690" spans="1:190">
      <c r="A690" t="str">
        <f t="shared" si="216"/>
        <v/>
      </c>
      <c r="B690" t="str">
        <f t="shared" si="217"/>
        <v/>
      </c>
      <c r="C690" t="str">
        <f t="shared" si="218"/>
        <v/>
      </c>
      <c r="D690" t="str">
        <f t="shared" si="219"/>
        <v/>
      </c>
      <c r="E690">
        <f t="shared" si="220"/>
        <v>0</v>
      </c>
      <c r="F690" t="str">
        <f t="shared" si="221"/>
        <v/>
      </c>
      <c r="G690">
        <f t="shared" si="222"/>
        <v>0</v>
      </c>
      <c r="H690">
        <f>IF(AND(G690=1,COUNTIFS($I$200:I690,I690,$G$200:G690,1)=1),1,0)</f>
        <v>0</v>
      </c>
      <c r="I690" t="str">
        <f t="shared" si="223"/>
        <v/>
      </c>
      <c r="BF690">
        <f t="shared" si="226"/>
        <v>0</v>
      </c>
      <c r="BG690">
        <f t="shared" si="227"/>
        <v>0</v>
      </c>
      <c r="BH690">
        <f t="shared" si="228"/>
        <v>0</v>
      </c>
      <c r="BI690">
        <f t="shared" si="229"/>
        <v>0</v>
      </c>
      <c r="BJ690">
        <f t="shared" si="230"/>
        <v>0</v>
      </c>
      <c r="BK690">
        <f t="shared" si="231"/>
        <v>0</v>
      </c>
      <c r="BL690">
        <f t="shared" si="232"/>
        <v>0</v>
      </c>
      <c r="BM690">
        <f t="shared" si="233"/>
        <v>0</v>
      </c>
      <c r="BN690">
        <f t="shared" si="234"/>
        <v>0</v>
      </c>
      <c r="BO690">
        <f t="shared" si="235"/>
        <v>0</v>
      </c>
      <c r="BP690">
        <f t="shared" si="236"/>
        <v>0</v>
      </c>
      <c r="BQ690">
        <f t="shared" si="237"/>
        <v>0</v>
      </c>
      <c r="BR690">
        <f t="shared" si="238"/>
        <v>0</v>
      </c>
      <c r="BS690">
        <f t="shared" si="239"/>
        <v>0</v>
      </c>
      <c r="BT690">
        <f t="shared" si="240"/>
        <v>0</v>
      </c>
      <c r="BU690">
        <f t="shared" si="241"/>
        <v>0</v>
      </c>
      <c r="BV690">
        <f t="shared" si="242"/>
        <v>0</v>
      </c>
      <c r="BW690">
        <f t="shared" si="243"/>
        <v>0</v>
      </c>
      <c r="CA690" t="str">
        <f>IF(491&gt;ROWS(DGArchive[模组]),"",IF(INDEX(DGArchive[模组],491)="","",INDEX(DGArchive[模组],491)))</f>
        <v/>
      </c>
      <c r="CB690" t="str">
        <f>IF(491&gt;ROWS(DGArchive[阶段]),"",IF(INDEX(DGArchive[阶段],491)="","",INDEX(DGArchive[阶段],491)))</f>
        <v/>
      </c>
      <c r="CC690" t="str">
        <f>IF(491&gt;ROWS(DGArchive[游戏内日期]),"",IF(INDEX(DGArchive[游戏内日期],491)="","",INDEX(DGArchive[游戏内日期],491)))</f>
        <v/>
      </c>
      <c r="CD690" t="str">
        <f>IF(491&gt;ROWS(DGArchive[目标]),"",IF(INDEX(DGArchive[目标],491)="","",INDEX(DGArchive[目标],491)))</f>
        <v/>
      </c>
      <c r="CE690" t="str">
        <f>IF(491&gt;ROWS(DGArchive[变更前]),"",IF(INDEX(DGArchive[变更前],491)="","",INDEX(DGArchive[变更前],491)))</f>
        <v/>
      </c>
      <c r="CF690" t="str">
        <f>IF(491&gt;ROWS(DGArchive[增减]),"",IF(INDEX(DGArchive[增减],491)="","",INDEX(DGArchive[增减],491)))</f>
        <v/>
      </c>
      <c r="CG690" t="str">
        <f>IF(491&gt;ROWS(DGArchive[变更后]),"",IF(INDEX(DGArchive[变更后],491)="","",INDEX(DGArchive[变更后],491)))</f>
        <v/>
      </c>
      <c r="CH690" t="str">
        <f>IF(491&gt;ROWS(DGArchive[事件／活动]),"",IF(INDEX(DGArchive[事件／活动],491)="","",INDEX(DGArchive[事件／活动],491)))</f>
        <v/>
      </c>
      <c r="CI690" t="str">
        <f>IF(491&gt;ROWS(DGArchive[记录编号]),"",IF(INDEX(DGArchive[记录编号],491)="","",INDEX(DGArchive[记录编号],491)))</f>
        <v/>
      </c>
      <c r="CL690">
        <f t="shared" si="224"/>
        <v>0</v>
      </c>
      <c r="CM690">
        <f>IF(AND(A690=$AO$5,B690=$AQ$3,H690=1),COUNTIFS($A$200:A690,$AO$5,$B$200:B690,$AQ$3,$H$200:H690,1),0)</f>
        <v>0</v>
      </c>
      <c r="CN690">
        <f>IF(CA690="",491,1001)</f>
        <v>491</v>
      </c>
      <c r="GA690">
        <f t="shared" si="244"/>
        <v>0</v>
      </c>
      <c r="GB690">
        <f t="shared" si="245"/>
        <v>0</v>
      </c>
      <c r="GC690">
        <f>IF(AND(C690="事件记录",H690=1),COUNTIFS($C$200:C690,"事件记录",$H$200:H690,1),0)</f>
        <v>0</v>
      </c>
      <c r="GD690">
        <f t="shared" si="225"/>
        <v>0</v>
      </c>
      <c r="GH690">
        <f>IF(AND(H690=1,A690=$GA$10,B690=$GA$11),COUNTIFS($A$200:A690,$GA$10,$B$200:B690,$GA$11,$H$200:H690,1),0)</f>
        <v>0</v>
      </c>
    </row>
    <row r="691" spans="1:190">
      <c r="A691" t="str">
        <f t="shared" si="216"/>
        <v/>
      </c>
      <c r="B691" t="str">
        <f t="shared" si="217"/>
        <v/>
      </c>
      <c r="C691" t="str">
        <f t="shared" si="218"/>
        <v/>
      </c>
      <c r="D691" t="str">
        <f t="shared" si="219"/>
        <v/>
      </c>
      <c r="E691">
        <f t="shared" si="220"/>
        <v>0</v>
      </c>
      <c r="F691" t="str">
        <f t="shared" si="221"/>
        <v/>
      </c>
      <c r="G691">
        <f t="shared" si="222"/>
        <v>0</v>
      </c>
      <c r="H691">
        <f>IF(AND(G691=1,COUNTIFS($I$200:I691,I691,$G$200:G691,1)=1),1,0)</f>
        <v>0</v>
      </c>
      <c r="I691" t="str">
        <f t="shared" si="223"/>
        <v/>
      </c>
      <c r="BF691">
        <f t="shared" si="226"/>
        <v>0</v>
      </c>
      <c r="BG691">
        <f t="shared" si="227"/>
        <v>0</v>
      </c>
      <c r="BH691">
        <f t="shared" si="228"/>
        <v>0</v>
      </c>
      <c r="BI691">
        <f t="shared" si="229"/>
        <v>0</v>
      </c>
      <c r="BJ691">
        <f t="shared" si="230"/>
        <v>0</v>
      </c>
      <c r="BK691">
        <f t="shared" si="231"/>
        <v>0</v>
      </c>
      <c r="BL691">
        <f t="shared" si="232"/>
        <v>0</v>
      </c>
      <c r="BM691">
        <f t="shared" si="233"/>
        <v>0</v>
      </c>
      <c r="BN691">
        <f t="shared" si="234"/>
        <v>0</v>
      </c>
      <c r="BO691">
        <f t="shared" si="235"/>
        <v>0</v>
      </c>
      <c r="BP691">
        <f t="shared" si="236"/>
        <v>0</v>
      </c>
      <c r="BQ691">
        <f t="shared" si="237"/>
        <v>0</v>
      </c>
      <c r="BR691">
        <f t="shared" si="238"/>
        <v>0</v>
      </c>
      <c r="BS691">
        <f t="shared" si="239"/>
        <v>0</v>
      </c>
      <c r="BT691">
        <f t="shared" si="240"/>
        <v>0</v>
      </c>
      <c r="BU691">
        <f t="shared" si="241"/>
        <v>0</v>
      </c>
      <c r="BV691">
        <f t="shared" si="242"/>
        <v>0</v>
      </c>
      <c r="BW691">
        <f t="shared" si="243"/>
        <v>0</v>
      </c>
      <c r="CA691" t="str">
        <f>IF(492&gt;ROWS(DGArchive[模组]),"",IF(INDEX(DGArchive[模组],492)="","",INDEX(DGArchive[模组],492)))</f>
        <v/>
      </c>
      <c r="CB691" t="str">
        <f>IF(492&gt;ROWS(DGArchive[阶段]),"",IF(INDEX(DGArchive[阶段],492)="","",INDEX(DGArchive[阶段],492)))</f>
        <v/>
      </c>
      <c r="CC691" t="str">
        <f>IF(492&gt;ROWS(DGArchive[游戏内日期]),"",IF(INDEX(DGArchive[游戏内日期],492)="","",INDEX(DGArchive[游戏内日期],492)))</f>
        <v/>
      </c>
      <c r="CD691" t="str">
        <f>IF(492&gt;ROWS(DGArchive[目标]),"",IF(INDEX(DGArchive[目标],492)="","",INDEX(DGArchive[目标],492)))</f>
        <v/>
      </c>
      <c r="CE691" t="str">
        <f>IF(492&gt;ROWS(DGArchive[变更前]),"",IF(INDEX(DGArchive[变更前],492)="","",INDEX(DGArchive[变更前],492)))</f>
        <v/>
      </c>
      <c r="CF691" t="str">
        <f>IF(492&gt;ROWS(DGArchive[增减]),"",IF(INDEX(DGArchive[增减],492)="","",INDEX(DGArchive[增减],492)))</f>
        <v/>
      </c>
      <c r="CG691" t="str">
        <f>IF(492&gt;ROWS(DGArchive[变更后]),"",IF(INDEX(DGArchive[变更后],492)="","",INDEX(DGArchive[变更后],492)))</f>
        <v/>
      </c>
      <c r="CH691" t="str">
        <f>IF(492&gt;ROWS(DGArchive[事件／活动]),"",IF(INDEX(DGArchive[事件／活动],492)="","",INDEX(DGArchive[事件／活动],492)))</f>
        <v/>
      </c>
      <c r="CI691" t="str">
        <f>IF(492&gt;ROWS(DGArchive[记录编号]),"",IF(INDEX(DGArchive[记录编号],492)="","",INDEX(DGArchive[记录编号],492)))</f>
        <v/>
      </c>
      <c r="CL691">
        <f t="shared" si="224"/>
        <v>0</v>
      </c>
      <c r="CM691">
        <f>IF(AND(A691=$AO$5,B691=$AQ$3,H691=1),COUNTIFS($A$200:A691,$AO$5,$B$200:B691,$AQ$3,$H$200:H691,1),0)</f>
        <v>0</v>
      </c>
      <c r="CN691">
        <f>IF(CA691="",492,1001)</f>
        <v>492</v>
      </c>
      <c r="GA691">
        <f t="shared" si="244"/>
        <v>0</v>
      </c>
      <c r="GB691">
        <f t="shared" si="245"/>
        <v>0</v>
      </c>
      <c r="GC691">
        <f>IF(AND(C691="事件记录",H691=1),COUNTIFS($C$200:C691,"事件记录",$H$200:H691,1),0)</f>
        <v>0</v>
      </c>
      <c r="GD691">
        <f t="shared" si="225"/>
        <v>0</v>
      </c>
      <c r="GH691">
        <f>IF(AND(H691=1,A691=$GA$10,B691=$GA$11),COUNTIFS($A$200:A691,$GA$10,$B$200:B691,$GA$11,$H$200:H691,1),0)</f>
        <v>0</v>
      </c>
    </row>
    <row r="692" spans="1:190">
      <c r="A692" t="str">
        <f t="shared" si="216"/>
        <v/>
      </c>
      <c r="B692" t="str">
        <f t="shared" si="217"/>
        <v/>
      </c>
      <c r="C692" t="str">
        <f t="shared" si="218"/>
        <v/>
      </c>
      <c r="D692" t="str">
        <f t="shared" si="219"/>
        <v/>
      </c>
      <c r="E692">
        <f t="shared" si="220"/>
        <v>0</v>
      </c>
      <c r="F692" t="str">
        <f t="shared" si="221"/>
        <v/>
      </c>
      <c r="G692">
        <f t="shared" si="222"/>
        <v>0</v>
      </c>
      <c r="H692">
        <f>IF(AND(G692=1,COUNTIFS($I$200:I692,I692,$G$200:G692,1)=1),1,0)</f>
        <v>0</v>
      </c>
      <c r="I692" t="str">
        <f t="shared" si="223"/>
        <v/>
      </c>
      <c r="BF692">
        <f t="shared" si="226"/>
        <v>0</v>
      </c>
      <c r="BG692">
        <f t="shared" si="227"/>
        <v>0</v>
      </c>
      <c r="BH692">
        <f t="shared" si="228"/>
        <v>0</v>
      </c>
      <c r="BI692">
        <f t="shared" si="229"/>
        <v>0</v>
      </c>
      <c r="BJ692">
        <f t="shared" si="230"/>
        <v>0</v>
      </c>
      <c r="BK692">
        <f t="shared" si="231"/>
        <v>0</v>
      </c>
      <c r="BL692">
        <f t="shared" si="232"/>
        <v>0</v>
      </c>
      <c r="BM692">
        <f t="shared" si="233"/>
        <v>0</v>
      </c>
      <c r="BN692">
        <f t="shared" si="234"/>
        <v>0</v>
      </c>
      <c r="BO692">
        <f t="shared" si="235"/>
        <v>0</v>
      </c>
      <c r="BP692">
        <f t="shared" si="236"/>
        <v>0</v>
      </c>
      <c r="BQ692">
        <f t="shared" si="237"/>
        <v>0</v>
      </c>
      <c r="BR692">
        <f t="shared" si="238"/>
        <v>0</v>
      </c>
      <c r="BS692">
        <f t="shared" si="239"/>
        <v>0</v>
      </c>
      <c r="BT692">
        <f t="shared" si="240"/>
        <v>0</v>
      </c>
      <c r="BU692">
        <f t="shared" si="241"/>
        <v>0</v>
      </c>
      <c r="BV692">
        <f t="shared" si="242"/>
        <v>0</v>
      </c>
      <c r="BW692">
        <f t="shared" si="243"/>
        <v>0</v>
      </c>
      <c r="CA692" t="str">
        <f>IF(493&gt;ROWS(DGArchive[模组]),"",IF(INDEX(DGArchive[模组],493)="","",INDEX(DGArchive[模组],493)))</f>
        <v/>
      </c>
      <c r="CB692" t="str">
        <f>IF(493&gt;ROWS(DGArchive[阶段]),"",IF(INDEX(DGArchive[阶段],493)="","",INDEX(DGArchive[阶段],493)))</f>
        <v/>
      </c>
      <c r="CC692" t="str">
        <f>IF(493&gt;ROWS(DGArchive[游戏内日期]),"",IF(INDEX(DGArchive[游戏内日期],493)="","",INDEX(DGArchive[游戏内日期],493)))</f>
        <v/>
      </c>
      <c r="CD692" t="str">
        <f>IF(493&gt;ROWS(DGArchive[目标]),"",IF(INDEX(DGArchive[目标],493)="","",INDEX(DGArchive[目标],493)))</f>
        <v/>
      </c>
      <c r="CE692" t="str">
        <f>IF(493&gt;ROWS(DGArchive[变更前]),"",IF(INDEX(DGArchive[变更前],493)="","",INDEX(DGArchive[变更前],493)))</f>
        <v/>
      </c>
      <c r="CF692" t="str">
        <f>IF(493&gt;ROWS(DGArchive[增减]),"",IF(INDEX(DGArchive[增减],493)="","",INDEX(DGArchive[增减],493)))</f>
        <v/>
      </c>
      <c r="CG692" t="str">
        <f>IF(493&gt;ROWS(DGArchive[变更后]),"",IF(INDEX(DGArchive[变更后],493)="","",INDEX(DGArchive[变更后],493)))</f>
        <v/>
      </c>
      <c r="CH692" t="str">
        <f>IF(493&gt;ROWS(DGArchive[事件／活动]),"",IF(INDEX(DGArchive[事件／活动],493)="","",INDEX(DGArchive[事件／活动],493)))</f>
        <v/>
      </c>
      <c r="CI692" t="str">
        <f>IF(493&gt;ROWS(DGArchive[记录编号]),"",IF(INDEX(DGArchive[记录编号],493)="","",INDEX(DGArchive[记录编号],493)))</f>
        <v/>
      </c>
      <c r="CL692">
        <f t="shared" si="224"/>
        <v>0</v>
      </c>
      <c r="CM692">
        <f>IF(AND(A692=$AO$5,B692=$AQ$3,H692=1),COUNTIFS($A$200:A692,$AO$5,$B$200:B692,$AQ$3,$H$200:H692,1),0)</f>
        <v>0</v>
      </c>
      <c r="CN692">
        <f>IF(CA692="",493,1001)</f>
        <v>493</v>
      </c>
      <c r="GA692">
        <f t="shared" si="244"/>
        <v>0</v>
      </c>
      <c r="GB692">
        <f t="shared" si="245"/>
        <v>0</v>
      </c>
      <c r="GC692">
        <f>IF(AND(C692="事件记录",H692=1),COUNTIFS($C$200:C692,"事件记录",$H$200:H692,1),0)</f>
        <v>0</v>
      </c>
      <c r="GD692">
        <f t="shared" si="225"/>
        <v>0</v>
      </c>
      <c r="GH692">
        <f>IF(AND(H692=1,A692=$GA$10,B692=$GA$11),COUNTIFS($A$200:A692,$GA$10,$B$200:B692,$GA$11,$H$200:H692,1),0)</f>
        <v>0</v>
      </c>
    </row>
    <row r="693" spans="1:190">
      <c r="A693" t="str">
        <f t="shared" si="216"/>
        <v/>
      </c>
      <c r="B693" t="str">
        <f t="shared" si="217"/>
        <v/>
      </c>
      <c r="C693" t="str">
        <f t="shared" si="218"/>
        <v/>
      </c>
      <c r="D693" t="str">
        <f t="shared" si="219"/>
        <v/>
      </c>
      <c r="E693">
        <f t="shared" si="220"/>
        <v>0</v>
      </c>
      <c r="F693" t="str">
        <f t="shared" si="221"/>
        <v/>
      </c>
      <c r="G693">
        <f t="shared" si="222"/>
        <v>0</v>
      </c>
      <c r="H693">
        <f>IF(AND(G693=1,COUNTIFS($I$200:I693,I693,$G$200:G693,1)=1),1,0)</f>
        <v>0</v>
      </c>
      <c r="I693" t="str">
        <f t="shared" si="223"/>
        <v/>
      </c>
      <c r="BF693">
        <f t="shared" si="226"/>
        <v>0</v>
      </c>
      <c r="BG693">
        <f t="shared" si="227"/>
        <v>0</v>
      </c>
      <c r="BH693">
        <f t="shared" si="228"/>
        <v>0</v>
      </c>
      <c r="BI693">
        <f t="shared" si="229"/>
        <v>0</v>
      </c>
      <c r="BJ693">
        <f t="shared" si="230"/>
        <v>0</v>
      </c>
      <c r="BK693">
        <f t="shared" si="231"/>
        <v>0</v>
      </c>
      <c r="BL693">
        <f t="shared" si="232"/>
        <v>0</v>
      </c>
      <c r="BM693">
        <f t="shared" si="233"/>
        <v>0</v>
      </c>
      <c r="BN693">
        <f t="shared" si="234"/>
        <v>0</v>
      </c>
      <c r="BO693">
        <f t="shared" si="235"/>
        <v>0</v>
      </c>
      <c r="BP693">
        <f t="shared" si="236"/>
        <v>0</v>
      </c>
      <c r="BQ693">
        <f t="shared" si="237"/>
        <v>0</v>
      </c>
      <c r="BR693">
        <f t="shared" si="238"/>
        <v>0</v>
      </c>
      <c r="BS693">
        <f t="shared" si="239"/>
        <v>0</v>
      </c>
      <c r="BT693">
        <f t="shared" si="240"/>
        <v>0</v>
      </c>
      <c r="BU693">
        <f t="shared" si="241"/>
        <v>0</v>
      </c>
      <c r="BV693">
        <f t="shared" si="242"/>
        <v>0</v>
      </c>
      <c r="BW693">
        <f t="shared" si="243"/>
        <v>0</v>
      </c>
      <c r="CA693" t="str">
        <f>IF(494&gt;ROWS(DGArchive[模组]),"",IF(INDEX(DGArchive[模组],494)="","",INDEX(DGArchive[模组],494)))</f>
        <v/>
      </c>
      <c r="CB693" t="str">
        <f>IF(494&gt;ROWS(DGArchive[阶段]),"",IF(INDEX(DGArchive[阶段],494)="","",INDEX(DGArchive[阶段],494)))</f>
        <v/>
      </c>
      <c r="CC693" t="str">
        <f>IF(494&gt;ROWS(DGArchive[游戏内日期]),"",IF(INDEX(DGArchive[游戏内日期],494)="","",INDEX(DGArchive[游戏内日期],494)))</f>
        <v/>
      </c>
      <c r="CD693" t="str">
        <f>IF(494&gt;ROWS(DGArchive[目标]),"",IF(INDEX(DGArchive[目标],494)="","",INDEX(DGArchive[目标],494)))</f>
        <v/>
      </c>
      <c r="CE693" t="str">
        <f>IF(494&gt;ROWS(DGArchive[变更前]),"",IF(INDEX(DGArchive[变更前],494)="","",INDEX(DGArchive[变更前],494)))</f>
        <v/>
      </c>
      <c r="CF693" t="str">
        <f>IF(494&gt;ROWS(DGArchive[增减]),"",IF(INDEX(DGArchive[增减],494)="","",INDEX(DGArchive[增减],494)))</f>
        <v/>
      </c>
      <c r="CG693" t="str">
        <f>IF(494&gt;ROWS(DGArchive[变更后]),"",IF(INDEX(DGArchive[变更后],494)="","",INDEX(DGArchive[变更后],494)))</f>
        <v/>
      </c>
      <c r="CH693" t="str">
        <f>IF(494&gt;ROWS(DGArchive[事件／活动]),"",IF(INDEX(DGArchive[事件／活动],494)="","",INDEX(DGArchive[事件／活动],494)))</f>
        <v/>
      </c>
      <c r="CI693" t="str">
        <f>IF(494&gt;ROWS(DGArchive[记录编号]),"",IF(INDEX(DGArchive[记录编号],494)="","",INDEX(DGArchive[记录编号],494)))</f>
        <v/>
      </c>
      <c r="CL693">
        <f t="shared" si="224"/>
        <v>0</v>
      </c>
      <c r="CM693">
        <f>IF(AND(A693=$AO$5,B693=$AQ$3,H693=1),COUNTIFS($A$200:A693,$AO$5,$B$200:B693,$AQ$3,$H$200:H693,1),0)</f>
        <v>0</v>
      </c>
      <c r="CN693">
        <f>IF(CA693="",494,1001)</f>
        <v>494</v>
      </c>
      <c r="GA693">
        <f t="shared" si="244"/>
        <v>0</v>
      </c>
      <c r="GB693">
        <f t="shared" si="245"/>
        <v>0</v>
      </c>
      <c r="GC693">
        <f>IF(AND(C693="事件记录",H693=1),COUNTIFS($C$200:C693,"事件记录",$H$200:H693,1),0)</f>
        <v>0</v>
      </c>
      <c r="GD693">
        <f t="shared" si="225"/>
        <v>0</v>
      </c>
      <c r="GH693">
        <f>IF(AND(H693=1,A693=$GA$10,B693=$GA$11),COUNTIFS($A$200:A693,$GA$10,$B$200:B693,$GA$11,$H$200:H693,1),0)</f>
        <v>0</v>
      </c>
    </row>
    <row r="694" spans="1:190">
      <c r="A694" t="str">
        <f t="shared" si="216"/>
        <v/>
      </c>
      <c r="B694" t="str">
        <f t="shared" si="217"/>
        <v/>
      </c>
      <c r="C694" t="str">
        <f t="shared" si="218"/>
        <v/>
      </c>
      <c r="D694" t="str">
        <f t="shared" si="219"/>
        <v/>
      </c>
      <c r="E694">
        <f t="shared" si="220"/>
        <v>0</v>
      </c>
      <c r="F694" t="str">
        <f t="shared" si="221"/>
        <v/>
      </c>
      <c r="G694">
        <f t="shared" si="222"/>
        <v>0</v>
      </c>
      <c r="H694">
        <f>IF(AND(G694=1,COUNTIFS($I$200:I694,I694,$G$200:G694,1)=1),1,0)</f>
        <v>0</v>
      </c>
      <c r="I694" t="str">
        <f t="shared" si="223"/>
        <v/>
      </c>
      <c r="BF694">
        <f t="shared" si="226"/>
        <v>0</v>
      </c>
      <c r="BG694">
        <f t="shared" si="227"/>
        <v>0</v>
      </c>
      <c r="BH694">
        <f t="shared" si="228"/>
        <v>0</v>
      </c>
      <c r="BI694">
        <f t="shared" si="229"/>
        <v>0</v>
      </c>
      <c r="BJ694">
        <f t="shared" si="230"/>
        <v>0</v>
      </c>
      <c r="BK694">
        <f t="shared" si="231"/>
        <v>0</v>
      </c>
      <c r="BL694">
        <f t="shared" si="232"/>
        <v>0</v>
      </c>
      <c r="BM694">
        <f t="shared" si="233"/>
        <v>0</v>
      </c>
      <c r="BN694">
        <f t="shared" si="234"/>
        <v>0</v>
      </c>
      <c r="BO694">
        <f t="shared" si="235"/>
        <v>0</v>
      </c>
      <c r="BP694">
        <f t="shared" si="236"/>
        <v>0</v>
      </c>
      <c r="BQ694">
        <f t="shared" si="237"/>
        <v>0</v>
      </c>
      <c r="BR694">
        <f t="shared" si="238"/>
        <v>0</v>
      </c>
      <c r="BS694">
        <f t="shared" si="239"/>
        <v>0</v>
      </c>
      <c r="BT694">
        <f t="shared" si="240"/>
        <v>0</v>
      </c>
      <c r="BU694">
        <f t="shared" si="241"/>
        <v>0</v>
      </c>
      <c r="BV694">
        <f t="shared" si="242"/>
        <v>0</v>
      </c>
      <c r="BW694">
        <f t="shared" si="243"/>
        <v>0</v>
      </c>
      <c r="CA694" t="str">
        <f>IF(495&gt;ROWS(DGArchive[模组]),"",IF(INDEX(DGArchive[模组],495)="","",INDEX(DGArchive[模组],495)))</f>
        <v/>
      </c>
      <c r="CB694" t="str">
        <f>IF(495&gt;ROWS(DGArchive[阶段]),"",IF(INDEX(DGArchive[阶段],495)="","",INDEX(DGArchive[阶段],495)))</f>
        <v/>
      </c>
      <c r="CC694" t="str">
        <f>IF(495&gt;ROWS(DGArchive[游戏内日期]),"",IF(INDEX(DGArchive[游戏内日期],495)="","",INDEX(DGArchive[游戏内日期],495)))</f>
        <v/>
      </c>
      <c r="CD694" t="str">
        <f>IF(495&gt;ROWS(DGArchive[目标]),"",IF(INDEX(DGArchive[目标],495)="","",INDEX(DGArchive[目标],495)))</f>
        <v/>
      </c>
      <c r="CE694" t="str">
        <f>IF(495&gt;ROWS(DGArchive[变更前]),"",IF(INDEX(DGArchive[变更前],495)="","",INDEX(DGArchive[变更前],495)))</f>
        <v/>
      </c>
      <c r="CF694" t="str">
        <f>IF(495&gt;ROWS(DGArchive[增减]),"",IF(INDEX(DGArchive[增减],495)="","",INDEX(DGArchive[增减],495)))</f>
        <v/>
      </c>
      <c r="CG694" t="str">
        <f>IF(495&gt;ROWS(DGArchive[变更后]),"",IF(INDEX(DGArchive[变更后],495)="","",INDEX(DGArchive[变更后],495)))</f>
        <v/>
      </c>
      <c r="CH694" t="str">
        <f>IF(495&gt;ROWS(DGArchive[事件／活动]),"",IF(INDEX(DGArchive[事件／活动],495)="","",INDEX(DGArchive[事件／活动],495)))</f>
        <v/>
      </c>
      <c r="CI694" t="str">
        <f>IF(495&gt;ROWS(DGArchive[记录编号]),"",IF(INDEX(DGArchive[记录编号],495)="","",INDEX(DGArchive[记录编号],495)))</f>
        <v/>
      </c>
      <c r="CL694">
        <f t="shared" si="224"/>
        <v>0</v>
      </c>
      <c r="CM694">
        <f>IF(AND(A694=$AO$5,B694=$AQ$3,H694=1),COUNTIFS($A$200:A694,$AO$5,$B$200:B694,$AQ$3,$H$200:H694,1),0)</f>
        <v>0</v>
      </c>
      <c r="CN694">
        <f>IF(CA694="",495,1001)</f>
        <v>495</v>
      </c>
      <c r="GA694">
        <f t="shared" si="244"/>
        <v>0</v>
      </c>
      <c r="GB694">
        <f t="shared" si="245"/>
        <v>0</v>
      </c>
      <c r="GC694">
        <f>IF(AND(C694="事件记录",H694=1),COUNTIFS($C$200:C694,"事件记录",$H$200:H694,1),0)</f>
        <v>0</v>
      </c>
      <c r="GD694">
        <f t="shared" si="225"/>
        <v>0</v>
      </c>
      <c r="GH694">
        <f>IF(AND(H694=1,A694=$GA$10,B694=$GA$11),COUNTIFS($A$200:A694,$GA$10,$B$200:B694,$GA$11,$H$200:H694,1),0)</f>
        <v>0</v>
      </c>
    </row>
    <row r="695" spans="1:190">
      <c r="A695" t="str">
        <f t="shared" si="216"/>
        <v/>
      </c>
      <c r="B695" t="str">
        <f t="shared" si="217"/>
        <v/>
      </c>
      <c r="C695" t="str">
        <f t="shared" si="218"/>
        <v/>
      </c>
      <c r="D695" t="str">
        <f t="shared" si="219"/>
        <v/>
      </c>
      <c r="E695">
        <f t="shared" si="220"/>
        <v>0</v>
      </c>
      <c r="F695" t="str">
        <f t="shared" si="221"/>
        <v/>
      </c>
      <c r="G695">
        <f t="shared" si="222"/>
        <v>0</v>
      </c>
      <c r="H695">
        <f>IF(AND(G695=1,COUNTIFS($I$200:I695,I695,$G$200:G695,1)=1),1,0)</f>
        <v>0</v>
      </c>
      <c r="I695" t="str">
        <f t="shared" si="223"/>
        <v/>
      </c>
      <c r="BF695">
        <f t="shared" si="226"/>
        <v>0</v>
      </c>
      <c r="BG695">
        <f t="shared" si="227"/>
        <v>0</v>
      </c>
      <c r="BH695">
        <f t="shared" si="228"/>
        <v>0</v>
      </c>
      <c r="BI695">
        <f t="shared" si="229"/>
        <v>0</v>
      </c>
      <c r="BJ695">
        <f t="shared" si="230"/>
        <v>0</v>
      </c>
      <c r="BK695">
        <f t="shared" si="231"/>
        <v>0</v>
      </c>
      <c r="BL695">
        <f t="shared" si="232"/>
        <v>0</v>
      </c>
      <c r="BM695">
        <f t="shared" si="233"/>
        <v>0</v>
      </c>
      <c r="BN695">
        <f t="shared" si="234"/>
        <v>0</v>
      </c>
      <c r="BO695">
        <f t="shared" si="235"/>
        <v>0</v>
      </c>
      <c r="BP695">
        <f t="shared" si="236"/>
        <v>0</v>
      </c>
      <c r="BQ695">
        <f t="shared" si="237"/>
        <v>0</v>
      </c>
      <c r="BR695">
        <f t="shared" si="238"/>
        <v>0</v>
      </c>
      <c r="BS695">
        <f t="shared" si="239"/>
        <v>0</v>
      </c>
      <c r="BT695">
        <f t="shared" si="240"/>
        <v>0</v>
      </c>
      <c r="BU695">
        <f t="shared" si="241"/>
        <v>0</v>
      </c>
      <c r="BV695">
        <f t="shared" si="242"/>
        <v>0</v>
      </c>
      <c r="BW695">
        <f t="shared" si="243"/>
        <v>0</v>
      </c>
      <c r="CA695" t="str">
        <f>IF(496&gt;ROWS(DGArchive[模组]),"",IF(INDEX(DGArchive[模组],496)="","",INDEX(DGArchive[模组],496)))</f>
        <v/>
      </c>
      <c r="CB695" t="str">
        <f>IF(496&gt;ROWS(DGArchive[阶段]),"",IF(INDEX(DGArchive[阶段],496)="","",INDEX(DGArchive[阶段],496)))</f>
        <v/>
      </c>
      <c r="CC695" t="str">
        <f>IF(496&gt;ROWS(DGArchive[游戏内日期]),"",IF(INDEX(DGArchive[游戏内日期],496)="","",INDEX(DGArchive[游戏内日期],496)))</f>
        <v/>
      </c>
      <c r="CD695" t="str">
        <f>IF(496&gt;ROWS(DGArchive[目标]),"",IF(INDEX(DGArchive[目标],496)="","",INDEX(DGArchive[目标],496)))</f>
        <v/>
      </c>
      <c r="CE695" t="str">
        <f>IF(496&gt;ROWS(DGArchive[变更前]),"",IF(INDEX(DGArchive[变更前],496)="","",INDEX(DGArchive[变更前],496)))</f>
        <v/>
      </c>
      <c r="CF695" t="str">
        <f>IF(496&gt;ROWS(DGArchive[增减]),"",IF(INDEX(DGArchive[增减],496)="","",INDEX(DGArchive[增减],496)))</f>
        <v/>
      </c>
      <c r="CG695" t="str">
        <f>IF(496&gt;ROWS(DGArchive[变更后]),"",IF(INDEX(DGArchive[变更后],496)="","",INDEX(DGArchive[变更后],496)))</f>
        <v/>
      </c>
      <c r="CH695" t="str">
        <f>IF(496&gt;ROWS(DGArchive[事件／活动]),"",IF(INDEX(DGArchive[事件／活动],496)="","",INDEX(DGArchive[事件／活动],496)))</f>
        <v/>
      </c>
      <c r="CI695" t="str">
        <f>IF(496&gt;ROWS(DGArchive[记录编号]),"",IF(INDEX(DGArchive[记录编号],496)="","",INDEX(DGArchive[记录编号],496)))</f>
        <v/>
      </c>
      <c r="CL695">
        <f t="shared" si="224"/>
        <v>0</v>
      </c>
      <c r="CM695">
        <f>IF(AND(A695=$AO$5,B695=$AQ$3,H695=1),COUNTIFS($A$200:A695,$AO$5,$B$200:B695,$AQ$3,$H$200:H695,1),0)</f>
        <v>0</v>
      </c>
      <c r="CN695">
        <f>IF(CA695="",496,1001)</f>
        <v>496</v>
      </c>
      <c r="GA695">
        <f t="shared" si="244"/>
        <v>0</v>
      </c>
      <c r="GB695">
        <f t="shared" si="245"/>
        <v>0</v>
      </c>
      <c r="GC695">
        <f>IF(AND(C695="事件记录",H695=1),COUNTIFS($C$200:C695,"事件记录",$H$200:H695,1),0)</f>
        <v>0</v>
      </c>
      <c r="GD695">
        <f t="shared" si="225"/>
        <v>0</v>
      </c>
      <c r="GH695">
        <f>IF(AND(H695=1,A695=$GA$10,B695=$GA$11),COUNTIFS($A$200:A695,$GA$10,$B$200:B695,$GA$11,$H$200:H695,1),0)</f>
        <v>0</v>
      </c>
    </row>
    <row r="696" spans="1:190">
      <c r="A696" t="str">
        <f t="shared" si="216"/>
        <v/>
      </c>
      <c r="B696" t="str">
        <f t="shared" si="217"/>
        <v/>
      </c>
      <c r="C696" t="str">
        <f t="shared" si="218"/>
        <v/>
      </c>
      <c r="D696" t="str">
        <f t="shared" si="219"/>
        <v/>
      </c>
      <c r="E696">
        <f t="shared" si="220"/>
        <v>0</v>
      </c>
      <c r="F696" t="str">
        <f t="shared" si="221"/>
        <v/>
      </c>
      <c r="G696">
        <f t="shared" si="222"/>
        <v>0</v>
      </c>
      <c r="H696">
        <f>IF(AND(G696=1,COUNTIFS($I$200:I696,I696,$G$200:G696,1)=1),1,0)</f>
        <v>0</v>
      </c>
      <c r="I696" t="str">
        <f t="shared" si="223"/>
        <v/>
      </c>
      <c r="BF696">
        <f t="shared" si="226"/>
        <v>0</v>
      </c>
      <c r="BG696">
        <f t="shared" si="227"/>
        <v>0</v>
      </c>
      <c r="BH696">
        <f t="shared" si="228"/>
        <v>0</v>
      </c>
      <c r="BI696">
        <f t="shared" si="229"/>
        <v>0</v>
      </c>
      <c r="BJ696">
        <f t="shared" si="230"/>
        <v>0</v>
      </c>
      <c r="BK696">
        <f t="shared" si="231"/>
        <v>0</v>
      </c>
      <c r="BL696">
        <f t="shared" si="232"/>
        <v>0</v>
      </c>
      <c r="BM696">
        <f t="shared" si="233"/>
        <v>0</v>
      </c>
      <c r="BN696">
        <f t="shared" si="234"/>
        <v>0</v>
      </c>
      <c r="BO696">
        <f t="shared" si="235"/>
        <v>0</v>
      </c>
      <c r="BP696">
        <f t="shared" si="236"/>
        <v>0</v>
      </c>
      <c r="BQ696">
        <f t="shared" si="237"/>
        <v>0</v>
      </c>
      <c r="BR696">
        <f t="shared" si="238"/>
        <v>0</v>
      </c>
      <c r="BS696">
        <f t="shared" si="239"/>
        <v>0</v>
      </c>
      <c r="BT696">
        <f t="shared" si="240"/>
        <v>0</v>
      </c>
      <c r="BU696">
        <f t="shared" si="241"/>
        <v>0</v>
      </c>
      <c r="BV696">
        <f t="shared" si="242"/>
        <v>0</v>
      </c>
      <c r="BW696">
        <f t="shared" si="243"/>
        <v>0</v>
      </c>
      <c r="CA696" t="str">
        <f>IF(497&gt;ROWS(DGArchive[模组]),"",IF(INDEX(DGArchive[模组],497)="","",INDEX(DGArchive[模组],497)))</f>
        <v/>
      </c>
      <c r="CB696" t="str">
        <f>IF(497&gt;ROWS(DGArchive[阶段]),"",IF(INDEX(DGArchive[阶段],497)="","",INDEX(DGArchive[阶段],497)))</f>
        <v/>
      </c>
      <c r="CC696" t="str">
        <f>IF(497&gt;ROWS(DGArchive[游戏内日期]),"",IF(INDEX(DGArchive[游戏内日期],497)="","",INDEX(DGArchive[游戏内日期],497)))</f>
        <v/>
      </c>
      <c r="CD696" t="str">
        <f>IF(497&gt;ROWS(DGArchive[目标]),"",IF(INDEX(DGArchive[目标],497)="","",INDEX(DGArchive[目标],497)))</f>
        <v/>
      </c>
      <c r="CE696" t="str">
        <f>IF(497&gt;ROWS(DGArchive[变更前]),"",IF(INDEX(DGArchive[变更前],497)="","",INDEX(DGArchive[变更前],497)))</f>
        <v/>
      </c>
      <c r="CF696" t="str">
        <f>IF(497&gt;ROWS(DGArchive[增减]),"",IF(INDEX(DGArchive[增减],497)="","",INDEX(DGArchive[增减],497)))</f>
        <v/>
      </c>
      <c r="CG696" t="str">
        <f>IF(497&gt;ROWS(DGArchive[变更后]),"",IF(INDEX(DGArchive[变更后],497)="","",INDEX(DGArchive[变更后],497)))</f>
        <v/>
      </c>
      <c r="CH696" t="str">
        <f>IF(497&gt;ROWS(DGArchive[事件／活动]),"",IF(INDEX(DGArchive[事件／活动],497)="","",INDEX(DGArchive[事件／活动],497)))</f>
        <v/>
      </c>
      <c r="CI696" t="str">
        <f>IF(497&gt;ROWS(DGArchive[记录编号]),"",IF(INDEX(DGArchive[记录编号],497)="","",INDEX(DGArchive[记录编号],497)))</f>
        <v/>
      </c>
      <c r="CL696">
        <f t="shared" si="224"/>
        <v>0</v>
      </c>
      <c r="CM696">
        <f>IF(AND(A696=$AO$5,B696=$AQ$3,H696=1),COUNTIFS($A$200:A696,$AO$5,$B$200:B696,$AQ$3,$H$200:H696,1),0)</f>
        <v>0</v>
      </c>
      <c r="CN696">
        <f>IF(CA696="",497,1001)</f>
        <v>497</v>
      </c>
      <c r="GA696">
        <f t="shared" si="244"/>
        <v>0</v>
      </c>
      <c r="GB696">
        <f t="shared" si="245"/>
        <v>0</v>
      </c>
      <c r="GC696">
        <f>IF(AND(C696="事件记录",H696=1),COUNTIFS($C$200:C696,"事件记录",$H$200:H696,1),0)</f>
        <v>0</v>
      </c>
      <c r="GD696">
        <f t="shared" si="225"/>
        <v>0</v>
      </c>
      <c r="GH696">
        <f>IF(AND(H696=1,A696=$GA$10,B696=$GA$11),COUNTIFS($A$200:A696,$GA$10,$B$200:B696,$GA$11,$H$200:H696,1),0)</f>
        <v>0</v>
      </c>
    </row>
    <row r="697" spans="1:190">
      <c r="A697" t="str">
        <f t="shared" si="216"/>
        <v/>
      </c>
      <c r="B697" t="str">
        <f t="shared" si="217"/>
        <v/>
      </c>
      <c r="C697" t="str">
        <f t="shared" si="218"/>
        <v/>
      </c>
      <c r="D697" t="str">
        <f t="shared" si="219"/>
        <v/>
      </c>
      <c r="E697">
        <f t="shared" si="220"/>
        <v>0</v>
      </c>
      <c r="F697" t="str">
        <f t="shared" si="221"/>
        <v/>
      </c>
      <c r="G697">
        <f t="shared" si="222"/>
        <v>0</v>
      </c>
      <c r="H697">
        <f>IF(AND(G697=1,COUNTIFS($I$200:I697,I697,$G$200:G697,1)=1),1,0)</f>
        <v>0</v>
      </c>
      <c r="I697" t="str">
        <f t="shared" si="223"/>
        <v/>
      </c>
      <c r="BF697">
        <f t="shared" si="226"/>
        <v>0</v>
      </c>
      <c r="BG697">
        <f t="shared" si="227"/>
        <v>0</v>
      </c>
      <c r="BH697">
        <f t="shared" si="228"/>
        <v>0</v>
      </c>
      <c r="BI697">
        <f t="shared" si="229"/>
        <v>0</v>
      </c>
      <c r="BJ697">
        <f t="shared" si="230"/>
        <v>0</v>
      </c>
      <c r="BK697">
        <f t="shared" si="231"/>
        <v>0</v>
      </c>
      <c r="BL697">
        <f t="shared" si="232"/>
        <v>0</v>
      </c>
      <c r="BM697">
        <f t="shared" si="233"/>
        <v>0</v>
      </c>
      <c r="BN697">
        <f t="shared" si="234"/>
        <v>0</v>
      </c>
      <c r="BO697">
        <f t="shared" si="235"/>
        <v>0</v>
      </c>
      <c r="BP697">
        <f t="shared" si="236"/>
        <v>0</v>
      </c>
      <c r="BQ697">
        <f t="shared" si="237"/>
        <v>0</v>
      </c>
      <c r="BR697">
        <f t="shared" si="238"/>
        <v>0</v>
      </c>
      <c r="BS697">
        <f t="shared" si="239"/>
        <v>0</v>
      </c>
      <c r="BT697">
        <f t="shared" si="240"/>
        <v>0</v>
      </c>
      <c r="BU697">
        <f t="shared" si="241"/>
        <v>0</v>
      </c>
      <c r="BV697">
        <f t="shared" si="242"/>
        <v>0</v>
      </c>
      <c r="BW697">
        <f t="shared" si="243"/>
        <v>0</v>
      </c>
      <c r="CA697" t="str">
        <f>IF(498&gt;ROWS(DGArchive[模组]),"",IF(INDEX(DGArchive[模组],498)="","",INDEX(DGArchive[模组],498)))</f>
        <v/>
      </c>
      <c r="CB697" t="str">
        <f>IF(498&gt;ROWS(DGArchive[阶段]),"",IF(INDEX(DGArchive[阶段],498)="","",INDEX(DGArchive[阶段],498)))</f>
        <v/>
      </c>
      <c r="CC697" t="str">
        <f>IF(498&gt;ROWS(DGArchive[游戏内日期]),"",IF(INDEX(DGArchive[游戏内日期],498)="","",INDEX(DGArchive[游戏内日期],498)))</f>
        <v/>
      </c>
      <c r="CD697" t="str">
        <f>IF(498&gt;ROWS(DGArchive[目标]),"",IF(INDEX(DGArchive[目标],498)="","",INDEX(DGArchive[目标],498)))</f>
        <v/>
      </c>
      <c r="CE697" t="str">
        <f>IF(498&gt;ROWS(DGArchive[变更前]),"",IF(INDEX(DGArchive[变更前],498)="","",INDEX(DGArchive[变更前],498)))</f>
        <v/>
      </c>
      <c r="CF697" t="str">
        <f>IF(498&gt;ROWS(DGArchive[增减]),"",IF(INDEX(DGArchive[增减],498)="","",INDEX(DGArchive[增减],498)))</f>
        <v/>
      </c>
      <c r="CG697" t="str">
        <f>IF(498&gt;ROWS(DGArchive[变更后]),"",IF(INDEX(DGArchive[变更后],498)="","",INDEX(DGArchive[变更后],498)))</f>
        <v/>
      </c>
      <c r="CH697" t="str">
        <f>IF(498&gt;ROWS(DGArchive[事件／活动]),"",IF(INDEX(DGArchive[事件／活动],498)="","",INDEX(DGArchive[事件／活动],498)))</f>
        <v/>
      </c>
      <c r="CI697" t="str">
        <f>IF(498&gt;ROWS(DGArchive[记录编号]),"",IF(INDEX(DGArchive[记录编号],498)="","",INDEX(DGArchive[记录编号],498)))</f>
        <v/>
      </c>
      <c r="CL697">
        <f t="shared" si="224"/>
        <v>0</v>
      </c>
      <c r="CM697">
        <f>IF(AND(A697=$AO$5,B697=$AQ$3,H697=1),COUNTIFS($A$200:A697,$AO$5,$B$200:B697,$AQ$3,$H$200:H697,1),0)</f>
        <v>0</v>
      </c>
      <c r="CN697">
        <f>IF(CA697="",498,1001)</f>
        <v>498</v>
      </c>
      <c r="GA697">
        <f t="shared" si="244"/>
        <v>0</v>
      </c>
      <c r="GB697">
        <f t="shared" si="245"/>
        <v>0</v>
      </c>
      <c r="GC697">
        <f>IF(AND(C697="事件记录",H697=1),COUNTIFS($C$200:C697,"事件记录",$H$200:H697,1),0)</f>
        <v>0</v>
      </c>
      <c r="GD697">
        <f t="shared" si="225"/>
        <v>0</v>
      </c>
      <c r="GH697">
        <f>IF(AND(H697=1,A697=$GA$10,B697=$GA$11),COUNTIFS($A$200:A697,$GA$10,$B$200:B697,$GA$11,$H$200:H697,1),0)</f>
        <v>0</v>
      </c>
    </row>
    <row r="698" spans="1:190">
      <c r="A698" t="str">
        <f t="shared" si="216"/>
        <v/>
      </c>
      <c r="B698" t="str">
        <f t="shared" si="217"/>
        <v/>
      </c>
      <c r="C698" t="str">
        <f t="shared" si="218"/>
        <v/>
      </c>
      <c r="D698" t="str">
        <f t="shared" si="219"/>
        <v/>
      </c>
      <c r="E698">
        <f t="shared" si="220"/>
        <v>0</v>
      </c>
      <c r="F698" t="str">
        <f t="shared" si="221"/>
        <v/>
      </c>
      <c r="G698">
        <f t="shared" si="222"/>
        <v>0</v>
      </c>
      <c r="H698">
        <f>IF(AND(G698=1,COUNTIFS($I$200:I698,I698,$G$200:G698,1)=1),1,0)</f>
        <v>0</v>
      </c>
      <c r="I698" t="str">
        <f t="shared" si="223"/>
        <v/>
      </c>
      <c r="BF698">
        <f t="shared" si="226"/>
        <v>0</v>
      </c>
      <c r="BG698">
        <f t="shared" si="227"/>
        <v>0</v>
      </c>
      <c r="BH698">
        <f t="shared" si="228"/>
        <v>0</v>
      </c>
      <c r="BI698">
        <f t="shared" si="229"/>
        <v>0</v>
      </c>
      <c r="BJ698">
        <f t="shared" si="230"/>
        <v>0</v>
      </c>
      <c r="BK698">
        <f t="shared" si="231"/>
        <v>0</v>
      </c>
      <c r="BL698">
        <f t="shared" si="232"/>
        <v>0</v>
      </c>
      <c r="BM698">
        <f t="shared" si="233"/>
        <v>0</v>
      </c>
      <c r="BN698">
        <f t="shared" si="234"/>
        <v>0</v>
      </c>
      <c r="BO698">
        <f t="shared" si="235"/>
        <v>0</v>
      </c>
      <c r="BP698">
        <f t="shared" si="236"/>
        <v>0</v>
      </c>
      <c r="BQ698">
        <f t="shared" si="237"/>
        <v>0</v>
      </c>
      <c r="BR698">
        <f t="shared" si="238"/>
        <v>0</v>
      </c>
      <c r="BS698">
        <f t="shared" si="239"/>
        <v>0</v>
      </c>
      <c r="BT698">
        <f t="shared" si="240"/>
        <v>0</v>
      </c>
      <c r="BU698">
        <f t="shared" si="241"/>
        <v>0</v>
      </c>
      <c r="BV698">
        <f t="shared" si="242"/>
        <v>0</v>
      </c>
      <c r="BW698">
        <f t="shared" si="243"/>
        <v>0</v>
      </c>
      <c r="CA698" t="str">
        <f>IF(499&gt;ROWS(DGArchive[模组]),"",IF(INDEX(DGArchive[模组],499)="","",INDEX(DGArchive[模组],499)))</f>
        <v/>
      </c>
      <c r="CB698" t="str">
        <f>IF(499&gt;ROWS(DGArchive[阶段]),"",IF(INDEX(DGArchive[阶段],499)="","",INDEX(DGArchive[阶段],499)))</f>
        <v/>
      </c>
      <c r="CC698" t="str">
        <f>IF(499&gt;ROWS(DGArchive[游戏内日期]),"",IF(INDEX(DGArchive[游戏内日期],499)="","",INDEX(DGArchive[游戏内日期],499)))</f>
        <v/>
      </c>
      <c r="CD698" t="str">
        <f>IF(499&gt;ROWS(DGArchive[目标]),"",IF(INDEX(DGArchive[目标],499)="","",INDEX(DGArchive[目标],499)))</f>
        <v/>
      </c>
      <c r="CE698" t="str">
        <f>IF(499&gt;ROWS(DGArchive[变更前]),"",IF(INDEX(DGArchive[变更前],499)="","",INDEX(DGArchive[变更前],499)))</f>
        <v/>
      </c>
      <c r="CF698" t="str">
        <f>IF(499&gt;ROWS(DGArchive[增减]),"",IF(INDEX(DGArchive[增减],499)="","",INDEX(DGArchive[增减],499)))</f>
        <v/>
      </c>
      <c r="CG698" t="str">
        <f>IF(499&gt;ROWS(DGArchive[变更后]),"",IF(INDEX(DGArchive[变更后],499)="","",INDEX(DGArchive[变更后],499)))</f>
        <v/>
      </c>
      <c r="CH698" t="str">
        <f>IF(499&gt;ROWS(DGArchive[事件／活动]),"",IF(INDEX(DGArchive[事件／活动],499)="","",INDEX(DGArchive[事件／活动],499)))</f>
        <v/>
      </c>
      <c r="CI698" t="str">
        <f>IF(499&gt;ROWS(DGArchive[记录编号]),"",IF(INDEX(DGArchive[记录编号],499)="","",INDEX(DGArchive[记录编号],499)))</f>
        <v/>
      </c>
      <c r="CL698">
        <f t="shared" si="224"/>
        <v>0</v>
      </c>
      <c r="CM698">
        <f>IF(AND(A698=$AO$5,B698=$AQ$3,H698=1),COUNTIFS($A$200:A698,$AO$5,$B$200:B698,$AQ$3,$H$200:H698,1),0)</f>
        <v>0</v>
      </c>
      <c r="CN698">
        <f>IF(CA698="",499,1001)</f>
        <v>499</v>
      </c>
      <c r="GA698">
        <f t="shared" si="244"/>
        <v>0</v>
      </c>
      <c r="GB698">
        <f t="shared" si="245"/>
        <v>0</v>
      </c>
      <c r="GC698">
        <f>IF(AND(C698="事件记录",H698=1),COUNTIFS($C$200:C698,"事件记录",$H$200:H698,1),0)</f>
        <v>0</v>
      </c>
      <c r="GD698">
        <f t="shared" si="225"/>
        <v>0</v>
      </c>
      <c r="GH698">
        <f>IF(AND(H698=1,A698=$GA$10,B698=$GA$11),COUNTIFS($A$200:A698,$GA$10,$B$200:B698,$GA$11,$H$200:H698,1),0)</f>
        <v>0</v>
      </c>
    </row>
    <row r="699" spans="1:190">
      <c r="A699" t="str">
        <f t="shared" si="216"/>
        <v/>
      </c>
      <c r="B699" t="str">
        <f t="shared" si="217"/>
        <v/>
      </c>
      <c r="C699" t="str">
        <f t="shared" si="218"/>
        <v/>
      </c>
      <c r="D699" t="str">
        <f t="shared" si="219"/>
        <v/>
      </c>
      <c r="E699">
        <f t="shared" si="220"/>
        <v>0</v>
      </c>
      <c r="F699" t="str">
        <f t="shared" si="221"/>
        <v/>
      </c>
      <c r="G699">
        <f t="shared" si="222"/>
        <v>0</v>
      </c>
      <c r="H699">
        <f>IF(AND(G699=1,COUNTIFS($I$200:I699,I699,$G$200:G699,1)=1),1,0)</f>
        <v>0</v>
      </c>
      <c r="I699" t="str">
        <f t="shared" si="223"/>
        <v/>
      </c>
      <c r="BF699">
        <f t="shared" si="226"/>
        <v>0</v>
      </c>
      <c r="BG699">
        <f t="shared" si="227"/>
        <v>0</v>
      </c>
      <c r="BH699">
        <f t="shared" si="228"/>
        <v>0</v>
      </c>
      <c r="BI699">
        <f t="shared" si="229"/>
        <v>0</v>
      </c>
      <c r="BJ699">
        <f t="shared" si="230"/>
        <v>0</v>
      </c>
      <c r="BK699">
        <f t="shared" si="231"/>
        <v>0</v>
      </c>
      <c r="BL699">
        <f t="shared" si="232"/>
        <v>0</v>
      </c>
      <c r="BM699">
        <f t="shared" si="233"/>
        <v>0</v>
      </c>
      <c r="BN699">
        <f t="shared" si="234"/>
        <v>0</v>
      </c>
      <c r="BO699">
        <f t="shared" si="235"/>
        <v>0</v>
      </c>
      <c r="BP699">
        <f t="shared" si="236"/>
        <v>0</v>
      </c>
      <c r="BQ699">
        <f t="shared" si="237"/>
        <v>0</v>
      </c>
      <c r="BR699">
        <f t="shared" si="238"/>
        <v>0</v>
      </c>
      <c r="BS699">
        <f t="shared" si="239"/>
        <v>0</v>
      </c>
      <c r="BT699">
        <f t="shared" si="240"/>
        <v>0</v>
      </c>
      <c r="BU699">
        <f t="shared" si="241"/>
        <v>0</v>
      </c>
      <c r="BV699">
        <f t="shared" si="242"/>
        <v>0</v>
      </c>
      <c r="BW699">
        <f t="shared" si="243"/>
        <v>0</v>
      </c>
      <c r="CA699" t="str">
        <f>IF(500&gt;ROWS(DGArchive[模组]),"",IF(INDEX(DGArchive[模组],500)="","",INDEX(DGArchive[模组],500)))</f>
        <v/>
      </c>
      <c r="CB699" t="str">
        <f>IF(500&gt;ROWS(DGArchive[阶段]),"",IF(INDEX(DGArchive[阶段],500)="","",INDEX(DGArchive[阶段],500)))</f>
        <v/>
      </c>
      <c r="CC699" t="str">
        <f>IF(500&gt;ROWS(DGArchive[游戏内日期]),"",IF(INDEX(DGArchive[游戏内日期],500)="","",INDEX(DGArchive[游戏内日期],500)))</f>
        <v/>
      </c>
      <c r="CD699" t="str">
        <f>IF(500&gt;ROWS(DGArchive[目标]),"",IF(INDEX(DGArchive[目标],500)="","",INDEX(DGArchive[目标],500)))</f>
        <v/>
      </c>
      <c r="CE699" t="str">
        <f>IF(500&gt;ROWS(DGArchive[变更前]),"",IF(INDEX(DGArchive[变更前],500)="","",INDEX(DGArchive[变更前],500)))</f>
        <v/>
      </c>
      <c r="CF699" t="str">
        <f>IF(500&gt;ROWS(DGArchive[增减]),"",IF(INDEX(DGArchive[增减],500)="","",INDEX(DGArchive[增减],500)))</f>
        <v/>
      </c>
      <c r="CG699" t="str">
        <f>IF(500&gt;ROWS(DGArchive[变更后]),"",IF(INDEX(DGArchive[变更后],500)="","",INDEX(DGArchive[变更后],500)))</f>
        <v/>
      </c>
      <c r="CH699" t="str">
        <f>IF(500&gt;ROWS(DGArchive[事件／活动]),"",IF(INDEX(DGArchive[事件／活动],500)="","",INDEX(DGArchive[事件／活动],500)))</f>
        <v/>
      </c>
      <c r="CI699" t="str">
        <f>IF(500&gt;ROWS(DGArchive[记录编号]),"",IF(INDEX(DGArchive[记录编号],500)="","",INDEX(DGArchive[记录编号],500)))</f>
        <v/>
      </c>
      <c r="CL699">
        <f t="shared" si="224"/>
        <v>0</v>
      </c>
      <c r="CM699">
        <f>IF(AND(A699=$AO$5,B699=$AQ$3,H699=1),COUNTIFS($A$200:A699,$AO$5,$B$200:B699,$AQ$3,$H$200:H699,1),0)</f>
        <v>0</v>
      </c>
      <c r="CN699">
        <f>IF(CA699="",500,1001)</f>
        <v>500</v>
      </c>
      <c r="GA699">
        <f t="shared" si="244"/>
        <v>0</v>
      </c>
      <c r="GB699">
        <f t="shared" si="245"/>
        <v>0</v>
      </c>
      <c r="GC699">
        <f>IF(AND(C699="事件记录",H699=1),COUNTIFS($C$200:C699,"事件记录",$H$200:H699,1),0)</f>
        <v>0</v>
      </c>
      <c r="GD699">
        <f t="shared" si="225"/>
        <v>0</v>
      </c>
      <c r="GH699">
        <f>IF(AND(H699=1,A699=$GA$10,B699=$GA$11),COUNTIFS($A$200:A699,$GA$10,$B$200:B699,$GA$11,$H$200:H699,1),0)</f>
        <v>0</v>
      </c>
    </row>
    <row r="700" spans="1:190">
      <c r="A700" t="str">
        <f t="shared" si="216"/>
        <v/>
      </c>
      <c r="B700" t="str">
        <f t="shared" si="217"/>
        <v/>
      </c>
      <c r="C700" t="str">
        <f t="shared" si="218"/>
        <v/>
      </c>
      <c r="D700" t="str">
        <f t="shared" si="219"/>
        <v/>
      </c>
      <c r="E700">
        <f t="shared" si="220"/>
        <v>0</v>
      </c>
      <c r="F700" t="str">
        <f t="shared" si="221"/>
        <v/>
      </c>
      <c r="G700">
        <f t="shared" si="222"/>
        <v>0</v>
      </c>
      <c r="H700">
        <f>IF(AND(G700=1,COUNTIFS($I$200:I700,I700,$G$200:G700,1)=1),1,0)</f>
        <v>0</v>
      </c>
      <c r="I700" t="str">
        <f t="shared" si="223"/>
        <v/>
      </c>
      <c r="BF700">
        <f t="shared" si="226"/>
        <v>0</v>
      </c>
      <c r="BG700">
        <f t="shared" si="227"/>
        <v>0</v>
      </c>
      <c r="BH700">
        <f t="shared" si="228"/>
        <v>0</v>
      </c>
      <c r="BI700">
        <f t="shared" si="229"/>
        <v>0</v>
      </c>
      <c r="BJ700">
        <f t="shared" si="230"/>
        <v>0</v>
      </c>
      <c r="BK700">
        <f t="shared" si="231"/>
        <v>0</v>
      </c>
      <c r="BL700">
        <f t="shared" si="232"/>
        <v>0</v>
      </c>
      <c r="BM700">
        <f t="shared" si="233"/>
        <v>0</v>
      </c>
      <c r="BN700">
        <f t="shared" si="234"/>
        <v>0</v>
      </c>
      <c r="BO700">
        <f t="shared" si="235"/>
        <v>0</v>
      </c>
      <c r="BP700">
        <f t="shared" si="236"/>
        <v>0</v>
      </c>
      <c r="BQ700">
        <f t="shared" si="237"/>
        <v>0</v>
      </c>
      <c r="BR700">
        <f t="shared" si="238"/>
        <v>0</v>
      </c>
      <c r="BS700">
        <f t="shared" si="239"/>
        <v>0</v>
      </c>
      <c r="BT700">
        <f t="shared" si="240"/>
        <v>0</v>
      </c>
      <c r="BU700">
        <f t="shared" si="241"/>
        <v>0</v>
      </c>
      <c r="BV700">
        <f t="shared" si="242"/>
        <v>0</v>
      </c>
      <c r="BW700">
        <f t="shared" si="243"/>
        <v>0</v>
      </c>
      <c r="CA700" t="str">
        <f>IF(501&gt;ROWS(DGArchive[模组]),"",IF(INDEX(DGArchive[模组],501)="","",INDEX(DGArchive[模组],501)))</f>
        <v/>
      </c>
      <c r="CB700" t="str">
        <f>IF(501&gt;ROWS(DGArchive[阶段]),"",IF(INDEX(DGArchive[阶段],501)="","",INDEX(DGArchive[阶段],501)))</f>
        <v/>
      </c>
      <c r="CC700" t="str">
        <f>IF(501&gt;ROWS(DGArchive[游戏内日期]),"",IF(INDEX(DGArchive[游戏内日期],501)="","",INDEX(DGArchive[游戏内日期],501)))</f>
        <v/>
      </c>
      <c r="CD700" t="str">
        <f>IF(501&gt;ROWS(DGArchive[目标]),"",IF(INDEX(DGArchive[目标],501)="","",INDEX(DGArchive[目标],501)))</f>
        <v/>
      </c>
      <c r="CE700" t="str">
        <f>IF(501&gt;ROWS(DGArchive[变更前]),"",IF(INDEX(DGArchive[变更前],501)="","",INDEX(DGArchive[变更前],501)))</f>
        <v/>
      </c>
      <c r="CF700" t="str">
        <f>IF(501&gt;ROWS(DGArchive[增减]),"",IF(INDEX(DGArchive[增减],501)="","",INDEX(DGArchive[增减],501)))</f>
        <v/>
      </c>
      <c r="CG700" t="str">
        <f>IF(501&gt;ROWS(DGArchive[变更后]),"",IF(INDEX(DGArchive[变更后],501)="","",INDEX(DGArchive[变更后],501)))</f>
        <v/>
      </c>
      <c r="CH700" t="str">
        <f>IF(501&gt;ROWS(DGArchive[事件／活动]),"",IF(INDEX(DGArchive[事件／活动],501)="","",INDEX(DGArchive[事件／活动],501)))</f>
        <v/>
      </c>
      <c r="CI700" t="str">
        <f>IF(501&gt;ROWS(DGArchive[记录编号]),"",IF(INDEX(DGArchive[记录编号],501)="","",INDEX(DGArchive[记录编号],501)))</f>
        <v/>
      </c>
      <c r="CL700">
        <f t="shared" si="224"/>
        <v>0</v>
      </c>
      <c r="CM700">
        <f>IF(AND(A700=$AO$5,B700=$AQ$3,H700=1),COUNTIFS($A$200:A700,$AO$5,$B$200:B700,$AQ$3,$H$200:H700,1),0)</f>
        <v>0</v>
      </c>
      <c r="CN700">
        <f>IF(CA700="",501,1001)</f>
        <v>501</v>
      </c>
      <c r="GA700">
        <f t="shared" si="244"/>
        <v>0</v>
      </c>
      <c r="GB700">
        <f t="shared" si="245"/>
        <v>0</v>
      </c>
      <c r="GC700">
        <f>IF(AND(C700="事件记录",H700=1),COUNTIFS($C$200:C700,"事件记录",$H$200:H700,1),0)</f>
        <v>0</v>
      </c>
      <c r="GD700">
        <f t="shared" si="225"/>
        <v>0</v>
      </c>
      <c r="GH700">
        <f>IF(AND(H700=1,A700=$GA$10,B700=$GA$11),COUNTIFS($A$200:A700,$GA$10,$B$200:B700,$GA$11,$H$200:H700,1),0)</f>
        <v>0</v>
      </c>
    </row>
    <row r="701" spans="1:190">
      <c r="A701" t="str">
        <f t="shared" si="216"/>
        <v/>
      </c>
      <c r="B701" t="str">
        <f t="shared" si="217"/>
        <v/>
      </c>
      <c r="C701" t="str">
        <f t="shared" si="218"/>
        <v/>
      </c>
      <c r="D701" t="str">
        <f t="shared" si="219"/>
        <v/>
      </c>
      <c r="E701">
        <f t="shared" si="220"/>
        <v>0</v>
      </c>
      <c r="F701" t="str">
        <f t="shared" si="221"/>
        <v/>
      </c>
      <c r="G701">
        <f t="shared" si="222"/>
        <v>0</v>
      </c>
      <c r="H701">
        <f>IF(AND(G701=1,COUNTIFS($I$200:I701,I701,$G$200:G701,1)=1),1,0)</f>
        <v>0</v>
      </c>
      <c r="I701" t="str">
        <f t="shared" si="223"/>
        <v/>
      </c>
      <c r="BF701">
        <f t="shared" si="226"/>
        <v>0</v>
      </c>
      <c r="BG701">
        <f t="shared" si="227"/>
        <v>0</v>
      </c>
      <c r="BH701">
        <f t="shared" si="228"/>
        <v>0</v>
      </c>
      <c r="BI701">
        <f t="shared" si="229"/>
        <v>0</v>
      </c>
      <c r="BJ701">
        <f t="shared" si="230"/>
        <v>0</v>
      </c>
      <c r="BK701">
        <f t="shared" si="231"/>
        <v>0</v>
      </c>
      <c r="BL701">
        <f t="shared" si="232"/>
        <v>0</v>
      </c>
      <c r="BM701">
        <f t="shared" si="233"/>
        <v>0</v>
      </c>
      <c r="BN701">
        <f t="shared" si="234"/>
        <v>0</v>
      </c>
      <c r="BO701">
        <f t="shared" si="235"/>
        <v>0</v>
      </c>
      <c r="BP701">
        <f t="shared" si="236"/>
        <v>0</v>
      </c>
      <c r="BQ701">
        <f t="shared" si="237"/>
        <v>0</v>
      </c>
      <c r="BR701">
        <f t="shared" si="238"/>
        <v>0</v>
      </c>
      <c r="BS701">
        <f t="shared" si="239"/>
        <v>0</v>
      </c>
      <c r="BT701">
        <f t="shared" si="240"/>
        <v>0</v>
      </c>
      <c r="BU701">
        <f t="shared" si="241"/>
        <v>0</v>
      </c>
      <c r="BV701">
        <f t="shared" si="242"/>
        <v>0</v>
      </c>
      <c r="BW701">
        <f t="shared" si="243"/>
        <v>0</v>
      </c>
      <c r="CA701" t="str">
        <f>IF(502&gt;ROWS(DGArchive[模组]),"",IF(INDEX(DGArchive[模组],502)="","",INDEX(DGArchive[模组],502)))</f>
        <v/>
      </c>
      <c r="CB701" t="str">
        <f>IF(502&gt;ROWS(DGArchive[阶段]),"",IF(INDEX(DGArchive[阶段],502)="","",INDEX(DGArchive[阶段],502)))</f>
        <v/>
      </c>
      <c r="CC701" t="str">
        <f>IF(502&gt;ROWS(DGArchive[游戏内日期]),"",IF(INDEX(DGArchive[游戏内日期],502)="","",INDEX(DGArchive[游戏内日期],502)))</f>
        <v/>
      </c>
      <c r="CD701" t="str">
        <f>IF(502&gt;ROWS(DGArchive[目标]),"",IF(INDEX(DGArchive[目标],502)="","",INDEX(DGArchive[目标],502)))</f>
        <v/>
      </c>
      <c r="CE701" t="str">
        <f>IF(502&gt;ROWS(DGArchive[变更前]),"",IF(INDEX(DGArchive[变更前],502)="","",INDEX(DGArchive[变更前],502)))</f>
        <v/>
      </c>
      <c r="CF701" t="str">
        <f>IF(502&gt;ROWS(DGArchive[增减]),"",IF(INDEX(DGArchive[增减],502)="","",INDEX(DGArchive[增减],502)))</f>
        <v/>
      </c>
      <c r="CG701" t="str">
        <f>IF(502&gt;ROWS(DGArchive[变更后]),"",IF(INDEX(DGArchive[变更后],502)="","",INDEX(DGArchive[变更后],502)))</f>
        <v/>
      </c>
      <c r="CH701" t="str">
        <f>IF(502&gt;ROWS(DGArchive[事件／活动]),"",IF(INDEX(DGArchive[事件／活动],502)="","",INDEX(DGArchive[事件／活动],502)))</f>
        <v/>
      </c>
      <c r="CI701" t="str">
        <f>IF(502&gt;ROWS(DGArchive[记录编号]),"",IF(INDEX(DGArchive[记录编号],502)="","",INDEX(DGArchive[记录编号],502)))</f>
        <v/>
      </c>
      <c r="CL701">
        <f t="shared" si="224"/>
        <v>0</v>
      </c>
      <c r="CM701">
        <f>IF(AND(A701=$AO$5,B701=$AQ$3,H701=1),COUNTIFS($A$200:A701,$AO$5,$B$200:B701,$AQ$3,$H$200:H701,1),0)</f>
        <v>0</v>
      </c>
      <c r="CN701">
        <f>IF(CA701="",502,1001)</f>
        <v>502</v>
      </c>
      <c r="GA701">
        <f t="shared" si="244"/>
        <v>0</v>
      </c>
      <c r="GB701">
        <f t="shared" si="245"/>
        <v>0</v>
      </c>
      <c r="GC701">
        <f>IF(AND(C701="事件记录",H701=1),COUNTIFS($C$200:C701,"事件记录",$H$200:H701,1),0)</f>
        <v>0</v>
      </c>
      <c r="GD701">
        <f t="shared" si="225"/>
        <v>0</v>
      </c>
      <c r="GH701">
        <f>IF(AND(H701=1,A701=$GA$10,B701=$GA$11),COUNTIFS($A$200:A701,$GA$10,$B$200:B701,$GA$11,$H$200:H701,1),0)</f>
        <v>0</v>
      </c>
    </row>
    <row r="702" spans="1:190">
      <c r="A702" t="str">
        <f t="shared" si="216"/>
        <v/>
      </c>
      <c r="B702" t="str">
        <f t="shared" si="217"/>
        <v/>
      </c>
      <c r="C702" t="str">
        <f t="shared" si="218"/>
        <v/>
      </c>
      <c r="D702" t="str">
        <f t="shared" si="219"/>
        <v/>
      </c>
      <c r="E702">
        <f t="shared" si="220"/>
        <v>0</v>
      </c>
      <c r="F702" t="str">
        <f t="shared" si="221"/>
        <v/>
      </c>
      <c r="G702">
        <f t="shared" si="222"/>
        <v>0</v>
      </c>
      <c r="H702">
        <f>IF(AND(G702=1,COUNTIFS($I$200:I702,I702,$G$200:G702,1)=1),1,0)</f>
        <v>0</v>
      </c>
      <c r="I702" t="str">
        <f t="shared" si="223"/>
        <v/>
      </c>
      <c r="BF702">
        <f t="shared" si="226"/>
        <v>0</v>
      </c>
      <c r="BG702">
        <f t="shared" si="227"/>
        <v>0</v>
      </c>
      <c r="BH702">
        <f t="shared" si="228"/>
        <v>0</v>
      </c>
      <c r="BI702">
        <f t="shared" si="229"/>
        <v>0</v>
      </c>
      <c r="BJ702">
        <f t="shared" si="230"/>
        <v>0</v>
      </c>
      <c r="BK702">
        <f t="shared" si="231"/>
        <v>0</v>
      </c>
      <c r="BL702">
        <f t="shared" si="232"/>
        <v>0</v>
      </c>
      <c r="BM702">
        <f t="shared" si="233"/>
        <v>0</v>
      </c>
      <c r="BN702">
        <f t="shared" si="234"/>
        <v>0</v>
      </c>
      <c r="BO702">
        <f t="shared" si="235"/>
        <v>0</v>
      </c>
      <c r="BP702">
        <f t="shared" si="236"/>
        <v>0</v>
      </c>
      <c r="BQ702">
        <f t="shared" si="237"/>
        <v>0</v>
      </c>
      <c r="BR702">
        <f t="shared" si="238"/>
        <v>0</v>
      </c>
      <c r="BS702">
        <f t="shared" si="239"/>
        <v>0</v>
      </c>
      <c r="BT702">
        <f t="shared" si="240"/>
        <v>0</v>
      </c>
      <c r="BU702">
        <f t="shared" si="241"/>
        <v>0</v>
      </c>
      <c r="BV702">
        <f t="shared" si="242"/>
        <v>0</v>
      </c>
      <c r="BW702">
        <f t="shared" si="243"/>
        <v>0</v>
      </c>
      <c r="CA702" t="str">
        <f>IF(503&gt;ROWS(DGArchive[模组]),"",IF(INDEX(DGArchive[模组],503)="","",INDEX(DGArchive[模组],503)))</f>
        <v/>
      </c>
      <c r="CB702" t="str">
        <f>IF(503&gt;ROWS(DGArchive[阶段]),"",IF(INDEX(DGArchive[阶段],503)="","",INDEX(DGArchive[阶段],503)))</f>
        <v/>
      </c>
      <c r="CC702" t="str">
        <f>IF(503&gt;ROWS(DGArchive[游戏内日期]),"",IF(INDEX(DGArchive[游戏内日期],503)="","",INDEX(DGArchive[游戏内日期],503)))</f>
        <v/>
      </c>
      <c r="CD702" t="str">
        <f>IF(503&gt;ROWS(DGArchive[目标]),"",IF(INDEX(DGArchive[目标],503)="","",INDEX(DGArchive[目标],503)))</f>
        <v/>
      </c>
      <c r="CE702" t="str">
        <f>IF(503&gt;ROWS(DGArchive[变更前]),"",IF(INDEX(DGArchive[变更前],503)="","",INDEX(DGArchive[变更前],503)))</f>
        <v/>
      </c>
      <c r="CF702" t="str">
        <f>IF(503&gt;ROWS(DGArchive[增减]),"",IF(INDEX(DGArchive[增减],503)="","",INDEX(DGArchive[增减],503)))</f>
        <v/>
      </c>
      <c r="CG702" t="str">
        <f>IF(503&gt;ROWS(DGArchive[变更后]),"",IF(INDEX(DGArchive[变更后],503)="","",INDEX(DGArchive[变更后],503)))</f>
        <v/>
      </c>
      <c r="CH702" t="str">
        <f>IF(503&gt;ROWS(DGArchive[事件／活动]),"",IF(INDEX(DGArchive[事件／活动],503)="","",INDEX(DGArchive[事件／活动],503)))</f>
        <v/>
      </c>
      <c r="CI702" t="str">
        <f>IF(503&gt;ROWS(DGArchive[记录编号]),"",IF(INDEX(DGArchive[记录编号],503)="","",INDEX(DGArchive[记录编号],503)))</f>
        <v/>
      </c>
      <c r="CL702">
        <f t="shared" si="224"/>
        <v>0</v>
      </c>
      <c r="CM702">
        <f>IF(AND(A702=$AO$5,B702=$AQ$3,H702=1),COUNTIFS($A$200:A702,$AO$5,$B$200:B702,$AQ$3,$H$200:H702,1),0)</f>
        <v>0</v>
      </c>
      <c r="CN702">
        <f>IF(CA702="",503,1001)</f>
        <v>503</v>
      </c>
      <c r="GA702">
        <f t="shared" si="244"/>
        <v>0</v>
      </c>
      <c r="GB702">
        <f t="shared" si="245"/>
        <v>0</v>
      </c>
      <c r="GC702">
        <f>IF(AND(C702="事件记录",H702=1),COUNTIFS($C$200:C702,"事件记录",$H$200:H702,1),0)</f>
        <v>0</v>
      </c>
      <c r="GD702">
        <f t="shared" si="225"/>
        <v>0</v>
      </c>
      <c r="GH702">
        <f>IF(AND(H702=1,A702=$GA$10,B702=$GA$11),COUNTIFS($A$200:A702,$GA$10,$B$200:B702,$GA$11,$H$200:H702,1),0)</f>
        <v>0</v>
      </c>
    </row>
    <row r="703" spans="1:190">
      <c r="A703" t="str">
        <f t="shared" si="216"/>
        <v/>
      </c>
      <c r="B703" t="str">
        <f t="shared" si="217"/>
        <v/>
      </c>
      <c r="C703" t="str">
        <f t="shared" si="218"/>
        <v/>
      </c>
      <c r="D703" t="str">
        <f t="shared" si="219"/>
        <v/>
      </c>
      <c r="E703">
        <f t="shared" si="220"/>
        <v>0</v>
      </c>
      <c r="F703" t="str">
        <f t="shared" si="221"/>
        <v/>
      </c>
      <c r="G703">
        <f t="shared" si="222"/>
        <v>0</v>
      </c>
      <c r="H703">
        <f>IF(AND(G703=1,COUNTIFS($I$200:I703,I703,$G$200:G703,1)=1),1,0)</f>
        <v>0</v>
      </c>
      <c r="I703" t="str">
        <f t="shared" si="223"/>
        <v/>
      </c>
      <c r="BF703">
        <f t="shared" si="226"/>
        <v>0</v>
      </c>
      <c r="BG703">
        <f t="shared" si="227"/>
        <v>0</v>
      </c>
      <c r="BH703">
        <f t="shared" si="228"/>
        <v>0</v>
      </c>
      <c r="BI703">
        <f t="shared" si="229"/>
        <v>0</v>
      </c>
      <c r="BJ703">
        <f t="shared" si="230"/>
        <v>0</v>
      </c>
      <c r="BK703">
        <f t="shared" si="231"/>
        <v>0</v>
      </c>
      <c r="BL703">
        <f t="shared" si="232"/>
        <v>0</v>
      </c>
      <c r="BM703">
        <f t="shared" si="233"/>
        <v>0</v>
      </c>
      <c r="BN703">
        <f t="shared" si="234"/>
        <v>0</v>
      </c>
      <c r="BO703">
        <f t="shared" si="235"/>
        <v>0</v>
      </c>
      <c r="BP703">
        <f t="shared" si="236"/>
        <v>0</v>
      </c>
      <c r="BQ703">
        <f t="shared" si="237"/>
        <v>0</v>
      </c>
      <c r="BR703">
        <f t="shared" si="238"/>
        <v>0</v>
      </c>
      <c r="BS703">
        <f t="shared" si="239"/>
        <v>0</v>
      </c>
      <c r="BT703">
        <f t="shared" si="240"/>
        <v>0</v>
      </c>
      <c r="BU703">
        <f t="shared" si="241"/>
        <v>0</v>
      </c>
      <c r="BV703">
        <f t="shared" si="242"/>
        <v>0</v>
      </c>
      <c r="BW703">
        <f t="shared" si="243"/>
        <v>0</v>
      </c>
      <c r="CA703" t="str">
        <f>IF(504&gt;ROWS(DGArchive[模组]),"",IF(INDEX(DGArchive[模组],504)="","",INDEX(DGArchive[模组],504)))</f>
        <v/>
      </c>
      <c r="CB703" t="str">
        <f>IF(504&gt;ROWS(DGArchive[阶段]),"",IF(INDEX(DGArchive[阶段],504)="","",INDEX(DGArchive[阶段],504)))</f>
        <v/>
      </c>
      <c r="CC703" t="str">
        <f>IF(504&gt;ROWS(DGArchive[游戏内日期]),"",IF(INDEX(DGArchive[游戏内日期],504)="","",INDEX(DGArchive[游戏内日期],504)))</f>
        <v/>
      </c>
      <c r="CD703" t="str">
        <f>IF(504&gt;ROWS(DGArchive[目标]),"",IF(INDEX(DGArchive[目标],504)="","",INDEX(DGArchive[目标],504)))</f>
        <v/>
      </c>
      <c r="CE703" t="str">
        <f>IF(504&gt;ROWS(DGArchive[变更前]),"",IF(INDEX(DGArchive[变更前],504)="","",INDEX(DGArchive[变更前],504)))</f>
        <v/>
      </c>
      <c r="CF703" t="str">
        <f>IF(504&gt;ROWS(DGArchive[增减]),"",IF(INDEX(DGArchive[增减],504)="","",INDEX(DGArchive[增减],504)))</f>
        <v/>
      </c>
      <c r="CG703" t="str">
        <f>IF(504&gt;ROWS(DGArchive[变更后]),"",IF(INDEX(DGArchive[变更后],504)="","",INDEX(DGArchive[变更后],504)))</f>
        <v/>
      </c>
      <c r="CH703" t="str">
        <f>IF(504&gt;ROWS(DGArchive[事件／活动]),"",IF(INDEX(DGArchive[事件／活动],504)="","",INDEX(DGArchive[事件／活动],504)))</f>
        <v/>
      </c>
      <c r="CI703" t="str">
        <f>IF(504&gt;ROWS(DGArchive[记录编号]),"",IF(INDEX(DGArchive[记录编号],504)="","",INDEX(DGArchive[记录编号],504)))</f>
        <v/>
      </c>
      <c r="CL703">
        <f t="shared" si="224"/>
        <v>0</v>
      </c>
      <c r="CM703">
        <f>IF(AND(A703=$AO$5,B703=$AQ$3,H703=1),COUNTIFS($A$200:A703,$AO$5,$B$200:B703,$AQ$3,$H$200:H703,1),0)</f>
        <v>0</v>
      </c>
      <c r="CN703">
        <f>IF(CA703="",504,1001)</f>
        <v>504</v>
      </c>
      <c r="GA703">
        <f t="shared" si="244"/>
        <v>0</v>
      </c>
      <c r="GB703">
        <f t="shared" si="245"/>
        <v>0</v>
      </c>
      <c r="GC703">
        <f>IF(AND(C703="事件记录",H703=1),COUNTIFS($C$200:C703,"事件记录",$H$200:H703,1),0)</f>
        <v>0</v>
      </c>
      <c r="GD703">
        <f t="shared" si="225"/>
        <v>0</v>
      </c>
      <c r="GH703">
        <f>IF(AND(H703=1,A703=$GA$10,B703=$GA$11),COUNTIFS($A$200:A703,$GA$10,$B$200:B703,$GA$11,$H$200:H703,1),0)</f>
        <v>0</v>
      </c>
    </row>
    <row r="704" spans="1:190">
      <c r="A704" t="str">
        <f t="shared" si="216"/>
        <v/>
      </c>
      <c r="B704" t="str">
        <f t="shared" si="217"/>
        <v/>
      </c>
      <c r="C704" t="str">
        <f t="shared" si="218"/>
        <v/>
      </c>
      <c r="D704" t="str">
        <f t="shared" si="219"/>
        <v/>
      </c>
      <c r="E704">
        <f t="shared" si="220"/>
        <v>0</v>
      </c>
      <c r="F704" t="str">
        <f t="shared" si="221"/>
        <v/>
      </c>
      <c r="G704">
        <f t="shared" si="222"/>
        <v>0</v>
      </c>
      <c r="H704">
        <f>IF(AND(G704=1,COUNTIFS($I$200:I704,I704,$G$200:G704,1)=1),1,0)</f>
        <v>0</v>
      </c>
      <c r="I704" t="str">
        <f t="shared" si="223"/>
        <v/>
      </c>
      <c r="BF704">
        <f t="shared" si="226"/>
        <v>0</v>
      </c>
      <c r="BG704">
        <f t="shared" si="227"/>
        <v>0</v>
      </c>
      <c r="BH704">
        <f t="shared" si="228"/>
        <v>0</v>
      </c>
      <c r="BI704">
        <f t="shared" si="229"/>
        <v>0</v>
      </c>
      <c r="BJ704">
        <f t="shared" si="230"/>
        <v>0</v>
      </c>
      <c r="BK704">
        <f t="shared" si="231"/>
        <v>0</v>
      </c>
      <c r="BL704">
        <f t="shared" si="232"/>
        <v>0</v>
      </c>
      <c r="BM704">
        <f t="shared" si="233"/>
        <v>0</v>
      </c>
      <c r="BN704">
        <f t="shared" si="234"/>
        <v>0</v>
      </c>
      <c r="BO704">
        <f t="shared" si="235"/>
        <v>0</v>
      </c>
      <c r="BP704">
        <f t="shared" si="236"/>
        <v>0</v>
      </c>
      <c r="BQ704">
        <f t="shared" si="237"/>
        <v>0</v>
      </c>
      <c r="BR704">
        <f t="shared" si="238"/>
        <v>0</v>
      </c>
      <c r="BS704">
        <f t="shared" si="239"/>
        <v>0</v>
      </c>
      <c r="BT704">
        <f t="shared" si="240"/>
        <v>0</v>
      </c>
      <c r="BU704">
        <f t="shared" si="241"/>
        <v>0</v>
      </c>
      <c r="BV704">
        <f t="shared" si="242"/>
        <v>0</v>
      </c>
      <c r="BW704">
        <f t="shared" si="243"/>
        <v>0</v>
      </c>
      <c r="CA704" t="str">
        <f>IF(505&gt;ROWS(DGArchive[模组]),"",IF(INDEX(DGArchive[模组],505)="","",INDEX(DGArchive[模组],505)))</f>
        <v/>
      </c>
      <c r="CB704" t="str">
        <f>IF(505&gt;ROWS(DGArchive[阶段]),"",IF(INDEX(DGArchive[阶段],505)="","",INDEX(DGArchive[阶段],505)))</f>
        <v/>
      </c>
      <c r="CC704" t="str">
        <f>IF(505&gt;ROWS(DGArchive[游戏内日期]),"",IF(INDEX(DGArchive[游戏内日期],505)="","",INDEX(DGArchive[游戏内日期],505)))</f>
        <v/>
      </c>
      <c r="CD704" t="str">
        <f>IF(505&gt;ROWS(DGArchive[目标]),"",IF(INDEX(DGArchive[目标],505)="","",INDEX(DGArchive[目标],505)))</f>
        <v/>
      </c>
      <c r="CE704" t="str">
        <f>IF(505&gt;ROWS(DGArchive[变更前]),"",IF(INDEX(DGArchive[变更前],505)="","",INDEX(DGArchive[变更前],505)))</f>
        <v/>
      </c>
      <c r="CF704" t="str">
        <f>IF(505&gt;ROWS(DGArchive[增减]),"",IF(INDEX(DGArchive[增减],505)="","",INDEX(DGArchive[增减],505)))</f>
        <v/>
      </c>
      <c r="CG704" t="str">
        <f>IF(505&gt;ROWS(DGArchive[变更后]),"",IF(INDEX(DGArchive[变更后],505)="","",INDEX(DGArchive[变更后],505)))</f>
        <v/>
      </c>
      <c r="CH704" t="str">
        <f>IF(505&gt;ROWS(DGArchive[事件／活动]),"",IF(INDEX(DGArchive[事件／活动],505)="","",INDEX(DGArchive[事件／活动],505)))</f>
        <v/>
      </c>
      <c r="CI704" t="str">
        <f>IF(505&gt;ROWS(DGArchive[记录编号]),"",IF(INDEX(DGArchive[记录编号],505)="","",INDEX(DGArchive[记录编号],505)))</f>
        <v/>
      </c>
      <c r="CL704">
        <f t="shared" si="224"/>
        <v>0</v>
      </c>
      <c r="CM704">
        <f>IF(AND(A704=$AO$5,B704=$AQ$3,H704=1),COUNTIFS($A$200:A704,$AO$5,$B$200:B704,$AQ$3,$H$200:H704,1),0)</f>
        <v>0</v>
      </c>
      <c r="CN704">
        <f>IF(CA704="",505,1001)</f>
        <v>505</v>
      </c>
      <c r="GA704">
        <f t="shared" si="244"/>
        <v>0</v>
      </c>
      <c r="GB704">
        <f t="shared" si="245"/>
        <v>0</v>
      </c>
      <c r="GC704">
        <f>IF(AND(C704="事件记录",H704=1),COUNTIFS($C$200:C704,"事件记录",$H$200:H704,1),0)</f>
        <v>0</v>
      </c>
      <c r="GD704">
        <f t="shared" si="225"/>
        <v>0</v>
      </c>
      <c r="GH704">
        <f>IF(AND(H704=1,A704=$GA$10,B704=$GA$11),COUNTIFS($A$200:A704,$GA$10,$B$200:B704,$GA$11,$H$200:H704,1),0)</f>
        <v>0</v>
      </c>
    </row>
    <row r="705" spans="1:190">
      <c r="A705" t="str">
        <f t="shared" si="216"/>
        <v/>
      </c>
      <c r="B705" t="str">
        <f t="shared" si="217"/>
        <v/>
      </c>
      <c r="C705" t="str">
        <f t="shared" si="218"/>
        <v/>
      </c>
      <c r="D705" t="str">
        <f t="shared" si="219"/>
        <v/>
      </c>
      <c r="E705">
        <f t="shared" si="220"/>
        <v>0</v>
      </c>
      <c r="F705" t="str">
        <f t="shared" si="221"/>
        <v/>
      </c>
      <c r="G705">
        <f t="shared" si="222"/>
        <v>0</v>
      </c>
      <c r="H705">
        <f>IF(AND(G705=1,COUNTIFS($I$200:I705,I705,$G$200:G705,1)=1),1,0)</f>
        <v>0</v>
      </c>
      <c r="I705" t="str">
        <f t="shared" si="223"/>
        <v/>
      </c>
      <c r="BF705">
        <f t="shared" si="226"/>
        <v>0</v>
      </c>
      <c r="BG705">
        <f t="shared" si="227"/>
        <v>0</v>
      </c>
      <c r="BH705">
        <f t="shared" si="228"/>
        <v>0</v>
      </c>
      <c r="BI705">
        <f t="shared" si="229"/>
        <v>0</v>
      </c>
      <c r="BJ705">
        <f t="shared" si="230"/>
        <v>0</v>
      </c>
      <c r="BK705">
        <f t="shared" si="231"/>
        <v>0</v>
      </c>
      <c r="BL705">
        <f t="shared" si="232"/>
        <v>0</v>
      </c>
      <c r="BM705">
        <f t="shared" si="233"/>
        <v>0</v>
      </c>
      <c r="BN705">
        <f t="shared" si="234"/>
        <v>0</v>
      </c>
      <c r="BO705">
        <f t="shared" si="235"/>
        <v>0</v>
      </c>
      <c r="BP705">
        <f t="shared" si="236"/>
        <v>0</v>
      </c>
      <c r="BQ705">
        <f t="shared" si="237"/>
        <v>0</v>
      </c>
      <c r="BR705">
        <f t="shared" si="238"/>
        <v>0</v>
      </c>
      <c r="BS705">
        <f t="shared" si="239"/>
        <v>0</v>
      </c>
      <c r="BT705">
        <f t="shared" si="240"/>
        <v>0</v>
      </c>
      <c r="BU705">
        <f t="shared" si="241"/>
        <v>0</v>
      </c>
      <c r="BV705">
        <f t="shared" si="242"/>
        <v>0</v>
      </c>
      <c r="BW705">
        <f t="shared" si="243"/>
        <v>0</v>
      </c>
      <c r="CA705" t="str">
        <f>IF(506&gt;ROWS(DGArchive[模组]),"",IF(INDEX(DGArchive[模组],506)="","",INDEX(DGArchive[模组],506)))</f>
        <v/>
      </c>
      <c r="CB705" t="str">
        <f>IF(506&gt;ROWS(DGArchive[阶段]),"",IF(INDEX(DGArchive[阶段],506)="","",INDEX(DGArchive[阶段],506)))</f>
        <v/>
      </c>
      <c r="CC705" t="str">
        <f>IF(506&gt;ROWS(DGArchive[游戏内日期]),"",IF(INDEX(DGArchive[游戏内日期],506)="","",INDEX(DGArchive[游戏内日期],506)))</f>
        <v/>
      </c>
      <c r="CD705" t="str">
        <f>IF(506&gt;ROWS(DGArchive[目标]),"",IF(INDEX(DGArchive[目标],506)="","",INDEX(DGArchive[目标],506)))</f>
        <v/>
      </c>
      <c r="CE705" t="str">
        <f>IF(506&gt;ROWS(DGArchive[变更前]),"",IF(INDEX(DGArchive[变更前],506)="","",INDEX(DGArchive[变更前],506)))</f>
        <v/>
      </c>
      <c r="CF705" t="str">
        <f>IF(506&gt;ROWS(DGArchive[增减]),"",IF(INDEX(DGArchive[增减],506)="","",INDEX(DGArchive[增减],506)))</f>
        <v/>
      </c>
      <c r="CG705" t="str">
        <f>IF(506&gt;ROWS(DGArchive[变更后]),"",IF(INDEX(DGArchive[变更后],506)="","",INDEX(DGArchive[变更后],506)))</f>
        <v/>
      </c>
      <c r="CH705" t="str">
        <f>IF(506&gt;ROWS(DGArchive[事件／活动]),"",IF(INDEX(DGArchive[事件／活动],506)="","",INDEX(DGArchive[事件／活动],506)))</f>
        <v/>
      </c>
      <c r="CI705" t="str">
        <f>IF(506&gt;ROWS(DGArchive[记录编号]),"",IF(INDEX(DGArchive[记录编号],506)="","",INDEX(DGArchive[记录编号],506)))</f>
        <v/>
      </c>
      <c r="CL705">
        <f t="shared" si="224"/>
        <v>0</v>
      </c>
      <c r="CM705">
        <f>IF(AND(A705=$AO$5,B705=$AQ$3,H705=1),COUNTIFS($A$200:A705,$AO$5,$B$200:B705,$AQ$3,$H$200:H705,1),0)</f>
        <v>0</v>
      </c>
      <c r="CN705">
        <f>IF(CA705="",506,1001)</f>
        <v>506</v>
      </c>
      <c r="GA705">
        <f t="shared" si="244"/>
        <v>0</v>
      </c>
      <c r="GB705">
        <f t="shared" si="245"/>
        <v>0</v>
      </c>
      <c r="GC705">
        <f>IF(AND(C705="事件记录",H705=1),COUNTIFS($C$200:C705,"事件记录",$H$200:H705,1),0)</f>
        <v>0</v>
      </c>
      <c r="GD705">
        <f t="shared" si="225"/>
        <v>0</v>
      </c>
      <c r="GH705">
        <f>IF(AND(H705=1,A705=$GA$10,B705=$GA$11),COUNTIFS($A$200:A705,$GA$10,$B$200:B705,$GA$11,$H$200:H705,1),0)</f>
        <v>0</v>
      </c>
    </row>
    <row r="706" spans="1:190">
      <c r="A706" t="str">
        <f t="shared" si="216"/>
        <v/>
      </c>
      <c r="B706" t="str">
        <f t="shared" si="217"/>
        <v/>
      </c>
      <c r="C706" t="str">
        <f t="shared" si="218"/>
        <v/>
      </c>
      <c r="D706" t="str">
        <f t="shared" si="219"/>
        <v/>
      </c>
      <c r="E706">
        <f t="shared" si="220"/>
        <v>0</v>
      </c>
      <c r="F706" t="str">
        <f t="shared" si="221"/>
        <v/>
      </c>
      <c r="G706">
        <f t="shared" si="222"/>
        <v>0</v>
      </c>
      <c r="H706">
        <f>IF(AND(G706=1,COUNTIFS($I$200:I706,I706,$G$200:G706,1)=1),1,0)</f>
        <v>0</v>
      </c>
      <c r="I706" t="str">
        <f t="shared" si="223"/>
        <v/>
      </c>
      <c r="BF706">
        <f t="shared" si="226"/>
        <v>0</v>
      </c>
      <c r="BG706">
        <f t="shared" si="227"/>
        <v>0</v>
      </c>
      <c r="BH706">
        <f t="shared" si="228"/>
        <v>0</v>
      </c>
      <c r="BI706">
        <f t="shared" si="229"/>
        <v>0</v>
      </c>
      <c r="BJ706">
        <f t="shared" si="230"/>
        <v>0</v>
      </c>
      <c r="BK706">
        <f t="shared" si="231"/>
        <v>0</v>
      </c>
      <c r="BL706">
        <f t="shared" si="232"/>
        <v>0</v>
      </c>
      <c r="BM706">
        <f t="shared" si="233"/>
        <v>0</v>
      </c>
      <c r="BN706">
        <f t="shared" si="234"/>
        <v>0</v>
      </c>
      <c r="BO706">
        <f t="shared" si="235"/>
        <v>0</v>
      </c>
      <c r="BP706">
        <f t="shared" si="236"/>
        <v>0</v>
      </c>
      <c r="BQ706">
        <f t="shared" si="237"/>
        <v>0</v>
      </c>
      <c r="BR706">
        <f t="shared" si="238"/>
        <v>0</v>
      </c>
      <c r="BS706">
        <f t="shared" si="239"/>
        <v>0</v>
      </c>
      <c r="BT706">
        <f t="shared" si="240"/>
        <v>0</v>
      </c>
      <c r="BU706">
        <f t="shared" si="241"/>
        <v>0</v>
      </c>
      <c r="BV706">
        <f t="shared" si="242"/>
        <v>0</v>
      </c>
      <c r="BW706">
        <f t="shared" si="243"/>
        <v>0</v>
      </c>
      <c r="CA706" t="str">
        <f>IF(507&gt;ROWS(DGArchive[模组]),"",IF(INDEX(DGArchive[模组],507)="","",INDEX(DGArchive[模组],507)))</f>
        <v/>
      </c>
      <c r="CB706" t="str">
        <f>IF(507&gt;ROWS(DGArchive[阶段]),"",IF(INDEX(DGArchive[阶段],507)="","",INDEX(DGArchive[阶段],507)))</f>
        <v/>
      </c>
      <c r="CC706" t="str">
        <f>IF(507&gt;ROWS(DGArchive[游戏内日期]),"",IF(INDEX(DGArchive[游戏内日期],507)="","",INDEX(DGArchive[游戏内日期],507)))</f>
        <v/>
      </c>
      <c r="CD706" t="str">
        <f>IF(507&gt;ROWS(DGArchive[目标]),"",IF(INDEX(DGArchive[目标],507)="","",INDEX(DGArchive[目标],507)))</f>
        <v/>
      </c>
      <c r="CE706" t="str">
        <f>IF(507&gt;ROWS(DGArchive[变更前]),"",IF(INDEX(DGArchive[变更前],507)="","",INDEX(DGArchive[变更前],507)))</f>
        <v/>
      </c>
      <c r="CF706" t="str">
        <f>IF(507&gt;ROWS(DGArchive[增减]),"",IF(INDEX(DGArchive[增减],507)="","",INDEX(DGArchive[增减],507)))</f>
        <v/>
      </c>
      <c r="CG706" t="str">
        <f>IF(507&gt;ROWS(DGArchive[变更后]),"",IF(INDEX(DGArchive[变更后],507)="","",INDEX(DGArchive[变更后],507)))</f>
        <v/>
      </c>
      <c r="CH706" t="str">
        <f>IF(507&gt;ROWS(DGArchive[事件／活动]),"",IF(INDEX(DGArchive[事件／活动],507)="","",INDEX(DGArchive[事件／活动],507)))</f>
        <v/>
      </c>
      <c r="CI706" t="str">
        <f>IF(507&gt;ROWS(DGArchive[记录编号]),"",IF(INDEX(DGArchive[记录编号],507)="","",INDEX(DGArchive[记录编号],507)))</f>
        <v/>
      </c>
      <c r="CL706">
        <f t="shared" si="224"/>
        <v>0</v>
      </c>
      <c r="CM706">
        <f>IF(AND(A706=$AO$5,B706=$AQ$3,H706=1),COUNTIFS($A$200:A706,$AO$5,$B$200:B706,$AQ$3,$H$200:H706,1),0)</f>
        <v>0</v>
      </c>
      <c r="CN706">
        <f>IF(CA706="",507,1001)</f>
        <v>507</v>
      </c>
      <c r="GA706">
        <f t="shared" si="244"/>
        <v>0</v>
      </c>
      <c r="GB706">
        <f t="shared" si="245"/>
        <v>0</v>
      </c>
      <c r="GC706">
        <f>IF(AND(C706="事件记录",H706=1),COUNTIFS($C$200:C706,"事件记录",$H$200:H706,1),0)</f>
        <v>0</v>
      </c>
      <c r="GD706">
        <f t="shared" si="225"/>
        <v>0</v>
      </c>
      <c r="GH706">
        <f>IF(AND(H706=1,A706=$GA$10,B706=$GA$11),COUNTIFS($A$200:A706,$GA$10,$B$200:B706,$GA$11,$H$200:H706,1),0)</f>
        <v>0</v>
      </c>
    </row>
    <row r="707" spans="1:190">
      <c r="A707" t="str">
        <f t="shared" si="216"/>
        <v/>
      </c>
      <c r="B707" t="str">
        <f t="shared" si="217"/>
        <v/>
      </c>
      <c r="C707" t="str">
        <f t="shared" si="218"/>
        <v/>
      </c>
      <c r="D707" t="str">
        <f t="shared" si="219"/>
        <v/>
      </c>
      <c r="E707">
        <f t="shared" si="220"/>
        <v>0</v>
      </c>
      <c r="F707" t="str">
        <f t="shared" si="221"/>
        <v/>
      </c>
      <c r="G707">
        <f t="shared" si="222"/>
        <v>0</v>
      </c>
      <c r="H707">
        <f>IF(AND(G707=1,COUNTIFS($I$200:I707,I707,$G$200:G707,1)=1),1,0)</f>
        <v>0</v>
      </c>
      <c r="I707" t="str">
        <f t="shared" si="223"/>
        <v/>
      </c>
      <c r="BF707">
        <f t="shared" si="226"/>
        <v>0</v>
      </c>
      <c r="BG707">
        <f t="shared" si="227"/>
        <v>0</v>
      </c>
      <c r="BH707">
        <f t="shared" si="228"/>
        <v>0</v>
      </c>
      <c r="BI707">
        <f t="shared" si="229"/>
        <v>0</v>
      </c>
      <c r="BJ707">
        <f t="shared" si="230"/>
        <v>0</v>
      </c>
      <c r="BK707">
        <f t="shared" si="231"/>
        <v>0</v>
      </c>
      <c r="BL707">
        <f t="shared" si="232"/>
        <v>0</v>
      </c>
      <c r="BM707">
        <f t="shared" si="233"/>
        <v>0</v>
      </c>
      <c r="BN707">
        <f t="shared" si="234"/>
        <v>0</v>
      </c>
      <c r="BO707">
        <f t="shared" si="235"/>
        <v>0</v>
      </c>
      <c r="BP707">
        <f t="shared" si="236"/>
        <v>0</v>
      </c>
      <c r="BQ707">
        <f t="shared" si="237"/>
        <v>0</v>
      </c>
      <c r="BR707">
        <f t="shared" si="238"/>
        <v>0</v>
      </c>
      <c r="BS707">
        <f t="shared" si="239"/>
        <v>0</v>
      </c>
      <c r="BT707">
        <f t="shared" si="240"/>
        <v>0</v>
      </c>
      <c r="BU707">
        <f t="shared" si="241"/>
        <v>0</v>
      </c>
      <c r="BV707">
        <f t="shared" si="242"/>
        <v>0</v>
      </c>
      <c r="BW707">
        <f t="shared" si="243"/>
        <v>0</v>
      </c>
      <c r="CA707" t="str">
        <f>IF(508&gt;ROWS(DGArchive[模组]),"",IF(INDEX(DGArchive[模组],508)="","",INDEX(DGArchive[模组],508)))</f>
        <v/>
      </c>
      <c r="CB707" t="str">
        <f>IF(508&gt;ROWS(DGArchive[阶段]),"",IF(INDEX(DGArchive[阶段],508)="","",INDEX(DGArchive[阶段],508)))</f>
        <v/>
      </c>
      <c r="CC707" t="str">
        <f>IF(508&gt;ROWS(DGArchive[游戏内日期]),"",IF(INDEX(DGArchive[游戏内日期],508)="","",INDEX(DGArchive[游戏内日期],508)))</f>
        <v/>
      </c>
      <c r="CD707" t="str">
        <f>IF(508&gt;ROWS(DGArchive[目标]),"",IF(INDEX(DGArchive[目标],508)="","",INDEX(DGArchive[目标],508)))</f>
        <v/>
      </c>
      <c r="CE707" t="str">
        <f>IF(508&gt;ROWS(DGArchive[变更前]),"",IF(INDEX(DGArchive[变更前],508)="","",INDEX(DGArchive[变更前],508)))</f>
        <v/>
      </c>
      <c r="CF707" t="str">
        <f>IF(508&gt;ROWS(DGArchive[增减]),"",IF(INDEX(DGArchive[增减],508)="","",INDEX(DGArchive[增减],508)))</f>
        <v/>
      </c>
      <c r="CG707" t="str">
        <f>IF(508&gt;ROWS(DGArchive[变更后]),"",IF(INDEX(DGArchive[变更后],508)="","",INDEX(DGArchive[变更后],508)))</f>
        <v/>
      </c>
      <c r="CH707" t="str">
        <f>IF(508&gt;ROWS(DGArchive[事件／活动]),"",IF(INDEX(DGArchive[事件／活动],508)="","",INDEX(DGArchive[事件／活动],508)))</f>
        <v/>
      </c>
      <c r="CI707" t="str">
        <f>IF(508&gt;ROWS(DGArchive[记录编号]),"",IF(INDEX(DGArchive[记录编号],508)="","",INDEX(DGArchive[记录编号],508)))</f>
        <v/>
      </c>
      <c r="CL707">
        <f t="shared" si="224"/>
        <v>0</v>
      </c>
      <c r="CM707">
        <f>IF(AND(A707=$AO$5,B707=$AQ$3,H707=1),COUNTIFS($A$200:A707,$AO$5,$B$200:B707,$AQ$3,$H$200:H707,1),0)</f>
        <v>0</v>
      </c>
      <c r="CN707">
        <f>IF(CA707="",508,1001)</f>
        <v>508</v>
      </c>
      <c r="GA707">
        <f t="shared" si="244"/>
        <v>0</v>
      </c>
      <c r="GB707">
        <f t="shared" si="245"/>
        <v>0</v>
      </c>
      <c r="GC707">
        <f>IF(AND(C707="事件记录",H707=1),COUNTIFS($C$200:C707,"事件记录",$H$200:H707,1),0)</f>
        <v>0</v>
      </c>
      <c r="GD707">
        <f t="shared" si="225"/>
        <v>0</v>
      </c>
      <c r="GH707">
        <f>IF(AND(H707=1,A707=$GA$10,B707=$GA$11),COUNTIFS($A$200:A707,$GA$10,$B$200:B707,$GA$11,$H$200:H707,1),0)</f>
        <v>0</v>
      </c>
    </row>
    <row r="708" spans="1:190">
      <c r="A708" t="str">
        <f t="shared" si="216"/>
        <v/>
      </c>
      <c r="B708" t="str">
        <f t="shared" si="217"/>
        <v/>
      </c>
      <c r="C708" t="str">
        <f t="shared" si="218"/>
        <v/>
      </c>
      <c r="D708" t="str">
        <f t="shared" si="219"/>
        <v/>
      </c>
      <c r="E708">
        <f t="shared" si="220"/>
        <v>0</v>
      </c>
      <c r="F708" t="str">
        <f t="shared" si="221"/>
        <v/>
      </c>
      <c r="G708">
        <f t="shared" si="222"/>
        <v>0</v>
      </c>
      <c r="H708">
        <f>IF(AND(G708=1,COUNTIFS($I$200:I708,I708,$G$200:G708,1)=1),1,0)</f>
        <v>0</v>
      </c>
      <c r="I708" t="str">
        <f t="shared" si="223"/>
        <v/>
      </c>
      <c r="BF708">
        <f t="shared" si="226"/>
        <v>0</v>
      </c>
      <c r="BG708">
        <f t="shared" si="227"/>
        <v>0</v>
      </c>
      <c r="BH708">
        <f t="shared" si="228"/>
        <v>0</v>
      </c>
      <c r="BI708">
        <f t="shared" si="229"/>
        <v>0</v>
      </c>
      <c r="BJ708">
        <f t="shared" si="230"/>
        <v>0</v>
      </c>
      <c r="BK708">
        <f t="shared" si="231"/>
        <v>0</v>
      </c>
      <c r="BL708">
        <f t="shared" si="232"/>
        <v>0</v>
      </c>
      <c r="BM708">
        <f t="shared" si="233"/>
        <v>0</v>
      </c>
      <c r="BN708">
        <f t="shared" si="234"/>
        <v>0</v>
      </c>
      <c r="BO708">
        <f t="shared" si="235"/>
        <v>0</v>
      </c>
      <c r="BP708">
        <f t="shared" si="236"/>
        <v>0</v>
      </c>
      <c r="BQ708">
        <f t="shared" si="237"/>
        <v>0</v>
      </c>
      <c r="BR708">
        <f t="shared" si="238"/>
        <v>0</v>
      </c>
      <c r="BS708">
        <f t="shared" si="239"/>
        <v>0</v>
      </c>
      <c r="BT708">
        <f t="shared" si="240"/>
        <v>0</v>
      </c>
      <c r="BU708">
        <f t="shared" si="241"/>
        <v>0</v>
      </c>
      <c r="BV708">
        <f t="shared" si="242"/>
        <v>0</v>
      </c>
      <c r="BW708">
        <f t="shared" si="243"/>
        <v>0</v>
      </c>
      <c r="CA708" t="str">
        <f>IF(509&gt;ROWS(DGArchive[模组]),"",IF(INDEX(DGArchive[模组],509)="","",INDEX(DGArchive[模组],509)))</f>
        <v/>
      </c>
      <c r="CB708" t="str">
        <f>IF(509&gt;ROWS(DGArchive[阶段]),"",IF(INDEX(DGArchive[阶段],509)="","",INDEX(DGArchive[阶段],509)))</f>
        <v/>
      </c>
      <c r="CC708" t="str">
        <f>IF(509&gt;ROWS(DGArchive[游戏内日期]),"",IF(INDEX(DGArchive[游戏内日期],509)="","",INDEX(DGArchive[游戏内日期],509)))</f>
        <v/>
      </c>
      <c r="CD708" t="str">
        <f>IF(509&gt;ROWS(DGArchive[目标]),"",IF(INDEX(DGArchive[目标],509)="","",INDEX(DGArchive[目标],509)))</f>
        <v/>
      </c>
      <c r="CE708" t="str">
        <f>IF(509&gt;ROWS(DGArchive[变更前]),"",IF(INDEX(DGArchive[变更前],509)="","",INDEX(DGArchive[变更前],509)))</f>
        <v/>
      </c>
      <c r="CF708" t="str">
        <f>IF(509&gt;ROWS(DGArchive[增减]),"",IF(INDEX(DGArchive[增减],509)="","",INDEX(DGArchive[增减],509)))</f>
        <v/>
      </c>
      <c r="CG708" t="str">
        <f>IF(509&gt;ROWS(DGArchive[变更后]),"",IF(INDEX(DGArchive[变更后],509)="","",INDEX(DGArchive[变更后],509)))</f>
        <v/>
      </c>
      <c r="CH708" t="str">
        <f>IF(509&gt;ROWS(DGArchive[事件／活动]),"",IF(INDEX(DGArchive[事件／活动],509)="","",INDEX(DGArchive[事件／活动],509)))</f>
        <v/>
      </c>
      <c r="CI708" t="str">
        <f>IF(509&gt;ROWS(DGArchive[记录编号]),"",IF(INDEX(DGArchive[记录编号],509)="","",INDEX(DGArchive[记录编号],509)))</f>
        <v/>
      </c>
      <c r="CL708">
        <f t="shared" si="224"/>
        <v>0</v>
      </c>
      <c r="CM708">
        <f>IF(AND(A708=$AO$5,B708=$AQ$3,H708=1),COUNTIFS($A$200:A708,$AO$5,$B$200:B708,$AQ$3,$H$200:H708,1),0)</f>
        <v>0</v>
      </c>
      <c r="CN708">
        <f>IF(CA708="",509,1001)</f>
        <v>509</v>
      </c>
      <c r="GA708">
        <f t="shared" si="244"/>
        <v>0</v>
      </c>
      <c r="GB708">
        <f t="shared" si="245"/>
        <v>0</v>
      </c>
      <c r="GC708">
        <f>IF(AND(C708="事件记录",H708=1),COUNTIFS($C$200:C708,"事件记录",$H$200:H708,1),0)</f>
        <v>0</v>
      </c>
      <c r="GD708">
        <f t="shared" si="225"/>
        <v>0</v>
      </c>
      <c r="GH708">
        <f>IF(AND(H708=1,A708=$GA$10,B708=$GA$11),COUNTIFS($A$200:A708,$GA$10,$B$200:B708,$GA$11,$H$200:H708,1),0)</f>
        <v>0</v>
      </c>
    </row>
    <row r="709" spans="1:190">
      <c r="A709" t="str">
        <f t="shared" si="216"/>
        <v/>
      </c>
      <c r="B709" t="str">
        <f t="shared" si="217"/>
        <v/>
      </c>
      <c r="C709" t="str">
        <f t="shared" si="218"/>
        <v/>
      </c>
      <c r="D709" t="str">
        <f t="shared" si="219"/>
        <v/>
      </c>
      <c r="E709">
        <f t="shared" si="220"/>
        <v>0</v>
      </c>
      <c r="F709" t="str">
        <f t="shared" si="221"/>
        <v/>
      </c>
      <c r="G709">
        <f t="shared" si="222"/>
        <v>0</v>
      </c>
      <c r="H709">
        <f>IF(AND(G709=1,COUNTIFS($I$200:I709,I709,$G$200:G709,1)=1),1,0)</f>
        <v>0</v>
      </c>
      <c r="I709" t="str">
        <f t="shared" si="223"/>
        <v/>
      </c>
      <c r="BF709">
        <f t="shared" si="226"/>
        <v>0</v>
      </c>
      <c r="BG709">
        <f t="shared" si="227"/>
        <v>0</v>
      </c>
      <c r="BH709">
        <f t="shared" si="228"/>
        <v>0</v>
      </c>
      <c r="BI709">
        <f t="shared" si="229"/>
        <v>0</v>
      </c>
      <c r="BJ709">
        <f t="shared" si="230"/>
        <v>0</v>
      </c>
      <c r="BK709">
        <f t="shared" si="231"/>
        <v>0</v>
      </c>
      <c r="BL709">
        <f t="shared" si="232"/>
        <v>0</v>
      </c>
      <c r="BM709">
        <f t="shared" si="233"/>
        <v>0</v>
      </c>
      <c r="BN709">
        <f t="shared" si="234"/>
        <v>0</v>
      </c>
      <c r="BO709">
        <f t="shared" si="235"/>
        <v>0</v>
      </c>
      <c r="BP709">
        <f t="shared" si="236"/>
        <v>0</v>
      </c>
      <c r="BQ709">
        <f t="shared" si="237"/>
        <v>0</v>
      </c>
      <c r="BR709">
        <f t="shared" si="238"/>
        <v>0</v>
      </c>
      <c r="BS709">
        <f t="shared" si="239"/>
        <v>0</v>
      </c>
      <c r="BT709">
        <f t="shared" si="240"/>
        <v>0</v>
      </c>
      <c r="BU709">
        <f t="shared" si="241"/>
        <v>0</v>
      </c>
      <c r="BV709">
        <f t="shared" si="242"/>
        <v>0</v>
      </c>
      <c r="BW709">
        <f t="shared" si="243"/>
        <v>0</v>
      </c>
      <c r="CA709" t="str">
        <f>IF(510&gt;ROWS(DGArchive[模组]),"",IF(INDEX(DGArchive[模组],510)="","",INDEX(DGArchive[模组],510)))</f>
        <v/>
      </c>
      <c r="CB709" t="str">
        <f>IF(510&gt;ROWS(DGArchive[阶段]),"",IF(INDEX(DGArchive[阶段],510)="","",INDEX(DGArchive[阶段],510)))</f>
        <v/>
      </c>
      <c r="CC709" t="str">
        <f>IF(510&gt;ROWS(DGArchive[游戏内日期]),"",IF(INDEX(DGArchive[游戏内日期],510)="","",INDEX(DGArchive[游戏内日期],510)))</f>
        <v/>
      </c>
      <c r="CD709" t="str">
        <f>IF(510&gt;ROWS(DGArchive[目标]),"",IF(INDEX(DGArchive[目标],510)="","",INDEX(DGArchive[目标],510)))</f>
        <v/>
      </c>
      <c r="CE709" t="str">
        <f>IF(510&gt;ROWS(DGArchive[变更前]),"",IF(INDEX(DGArchive[变更前],510)="","",INDEX(DGArchive[变更前],510)))</f>
        <v/>
      </c>
      <c r="CF709" t="str">
        <f>IF(510&gt;ROWS(DGArchive[增减]),"",IF(INDEX(DGArchive[增减],510)="","",INDEX(DGArchive[增减],510)))</f>
        <v/>
      </c>
      <c r="CG709" t="str">
        <f>IF(510&gt;ROWS(DGArchive[变更后]),"",IF(INDEX(DGArchive[变更后],510)="","",INDEX(DGArchive[变更后],510)))</f>
        <v/>
      </c>
      <c r="CH709" t="str">
        <f>IF(510&gt;ROWS(DGArchive[事件／活动]),"",IF(INDEX(DGArchive[事件／活动],510)="","",INDEX(DGArchive[事件／活动],510)))</f>
        <v/>
      </c>
      <c r="CI709" t="str">
        <f>IF(510&gt;ROWS(DGArchive[记录编号]),"",IF(INDEX(DGArchive[记录编号],510)="","",INDEX(DGArchive[记录编号],510)))</f>
        <v/>
      </c>
      <c r="CL709">
        <f t="shared" si="224"/>
        <v>0</v>
      </c>
      <c r="CM709">
        <f>IF(AND(A709=$AO$5,B709=$AQ$3,H709=1),COUNTIFS($A$200:A709,$AO$5,$B$200:B709,$AQ$3,$H$200:H709,1),0)</f>
        <v>0</v>
      </c>
      <c r="CN709">
        <f>IF(CA709="",510,1001)</f>
        <v>510</v>
      </c>
      <c r="GA709">
        <f t="shared" si="244"/>
        <v>0</v>
      </c>
      <c r="GB709">
        <f t="shared" si="245"/>
        <v>0</v>
      </c>
      <c r="GC709">
        <f>IF(AND(C709="事件记录",H709=1),COUNTIFS($C$200:C709,"事件记录",$H$200:H709,1),0)</f>
        <v>0</v>
      </c>
      <c r="GD709">
        <f t="shared" si="225"/>
        <v>0</v>
      </c>
      <c r="GH709">
        <f>IF(AND(H709=1,A709=$GA$10,B709=$GA$11),COUNTIFS($A$200:A709,$GA$10,$B$200:B709,$GA$11,$H$200:H709,1),0)</f>
        <v>0</v>
      </c>
    </row>
    <row r="710" spans="1:190">
      <c r="A710" t="str">
        <f t="shared" si="216"/>
        <v/>
      </c>
      <c r="B710" t="str">
        <f t="shared" si="217"/>
        <v/>
      </c>
      <c r="C710" t="str">
        <f t="shared" si="218"/>
        <v/>
      </c>
      <c r="D710" t="str">
        <f t="shared" si="219"/>
        <v/>
      </c>
      <c r="E710">
        <f t="shared" si="220"/>
        <v>0</v>
      </c>
      <c r="F710" t="str">
        <f t="shared" si="221"/>
        <v/>
      </c>
      <c r="G710">
        <f t="shared" si="222"/>
        <v>0</v>
      </c>
      <c r="H710">
        <f>IF(AND(G710=1,COUNTIFS($I$200:I710,I710,$G$200:G710,1)=1),1,0)</f>
        <v>0</v>
      </c>
      <c r="I710" t="str">
        <f t="shared" si="223"/>
        <v/>
      </c>
      <c r="BF710">
        <f t="shared" si="226"/>
        <v>0</v>
      </c>
      <c r="BG710">
        <f t="shared" si="227"/>
        <v>0</v>
      </c>
      <c r="BH710">
        <f t="shared" si="228"/>
        <v>0</v>
      </c>
      <c r="BI710">
        <f t="shared" si="229"/>
        <v>0</v>
      </c>
      <c r="BJ710">
        <f t="shared" si="230"/>
        <v>0</v>
      </c>
      <c r="BK710">
        <f t="shared" si="231"/>
        <v>0</v>
      </c>
      <c r="BL710">
        <f t="shared" si="232"/>
        <v>0</v>
      </c>
      <c r="BM710">
        <f t="shared" si="233"/>
        <v>0</v>
      </c>
      <c r="BN710">
        <f t="shared" si="234"/>
        <v>0</v>
      </c>
      <c r="BO710">
        <f t="shared" si="235"/>
        <v>0</v>
      </c>
      <c r="BP710">
        <f t="shared" si="236"/>
        <v>0</v>
      </c>
      <c r="BQ710">
        <f t="shared" si="237"/>
        <v>0</v>
      </c>
      <c r="BR710">
        <f t="shared" si="238"/>
        <v>0</v>
      </c>
      <c r="BS710">
        <f t="shared" si="239"/>
        <v>0</v>
      </c>
      <c r="BT710">
        <f t="shared" si="240"/>
        <v>0</v>
      </c>
      <c r="BU710">
        <f t="shared" si="241"/>
        <v>0</v>
      </c>
      <c r="BV710">
        <f t="shared" si="242"/>
        <v>0</v>
      </c>
      <c r="BW710">
        <f t="shared" si="243"/>
        <v>0</v>
      </c>
      <c r="CA710" t="str">
        <f>IF(511&gt;ROWS(DGArchive[模组]),"",IF(INDEX(DGArchive[模组],511)="","",INDEX(DGArchive[模组],511)))</f>
        <v/>
      </c>
      <c r="CB710" t="str">
        <f>IF(511&gt;ROWS(DGArchive[阶段]),"",IF(INDEX(DGArchive[阶段],511)="","",INDEX(DGArchive[阶段],511)))</f>
        <v/>
      </c>
      <c r="CC710" t="str">
        <f>IF(511&gt;ROWS(DGArchive[游戏内日期]),"",IF(INDEX(DGArchive[游戏内日期],511)="","",INDEX(DGArchive[游戏内日期],511)))</f>
        <v/>
      </c>
      <c r="CD710" t="str">
        <f>IF(511&gt;ROWS(DGArchive[目标]),"",IF(INDEX(DGArchive[目标],511)="","",INDEX(DGArchive[目标],511)))</f>
        <v/>
      </c>
      <c r="CE710" t="str">
        <f>IF(511&gt;ROWS(DGArchive[变更前]),"",IF(INDEX(DGArchive[变更前],511)="","",INDEX(DGArchive[变更前],511)))</f>
        <v/>
      </c>
      <c r="CF710" t="str">
        <f>IF(511&gt;ROWS(DGArchive[增减]),"",IF(INDEX(DGArchive[增减],511)="","",INDEX(DGArchive[增减],511)))</f>
        <v/>
      </c>
      <c r="CG710" t="str">
        <f>IF(511&gt;ROWS(DGArchive[变更后]),"",IF(INDEX(DGArchive[变更后],511)="","",INDEX(DGArchive[变更后],511)))</f>
        <v/>
      </c>
      <c r="CH710" t="str">
        <f>IF(511&gt;ROWS(DGArchive[事件／活动]),"",IF(INDEX(DGArchive[事件／活动],511)="","",INDEX(DGArchive[事件／活动],511)))</f>
        <v/>
      </c>
      <c r="CI710" t="str">
        <f>IF(511&gt;ROWS(DGArchive[记录编号]),"",IF(INDEX(DGArchive[记录编号],511)="","",INDEX(DGArchive[记录编号],511)))</f>
        <v/>
      </c>
      <c r="CL710">
        <f t="shared" si="224"/>
        <v>0</v>
      </c>
      <c r="CM710">
        <f>IF(AND(A710=$AO$5,B710=$AQ$3,H710=1),COUNTIFS($A$200:A710,$AO$5,$B$200:B710,$AQ$3,$H$200:H710,1),0)</f>
        <v>0</v>
      </c>
      <c r="CN710">
        <f>IF(CA710="",511,1001)</f>
        <v>511</v>
      </c>
      <c r="GA710">
        <f t="shared" si="244"/>
        <v>0</v>
      </c>
      <c r="GB710">
        <f t="shared" si="245"/>
        <v>0</v>
      </c>
      <c r="GC710">
        <f>IF(AND(C710="事件记录",H710=1),COUNTIFS($C$200:C710,"事件记录",$H$200:H710,1),0)</f>
        <v>0</v>
      </c>
      <c r="GD710">
        <f t="shared" si="225"/>
        <v>0</v>
      </c>
      <c r="GH710">
        <f>IF(AND(H710=1,A710=$GA$10,B710=$GA$11),COUNTIFS($A$200:A710,$GA$10,$B$200:B710,$GA$11,$H$200:H710,1),0)</f>
        <v>0</v>
      </c>
    </row>
    <row r="711" spans="1:190">
      <c r="A711" t="str">
        <f t="shared" si="216"/>
        <v/>
      </c>
      <c r="B711" t="str">
        <f t="shared" si="217"/>
        <v/>
      </c>
      <c r="C711" t="str">
        <f t="shared" si="218"/>
        <v/>
      </c>
      <c r="D711" t="str">
        <f t="shared" si="219"/>
        <v/>
      </c>
      <c r="E711">
        <f t="shared" si="220"/>
        <v>0</v>
      </c>
      <c r="F711" t="str">
        <f t="shared" si="221"/>
        <v/>
      </c>
      <c r="G711">
        <f t="shared" si="222"/>
        <v>0</v>
      </c>
      <c r="H711">
        <f>IF(AND(G711=1,COUNTIFS($I$200:I711,I711,$G$200:G711,1)=1),1,0)</f>
        <v>0</v>
      </c>
      <c r="I711" t="str">
        <f t="shared" si="223"/>
        <v/>
      </c>
      <c r="BF711">
        <f t="shared" si="226"/>
        <v>0</v>
      </c>
      <c r="BG711">
        <f t="shared" si="227"/>
        <v>0</v>
      </c>
      <c r="BH711">
        <f t="shared" si="228"/>
        <v>0</v>
      </c>
      <c r="BI711">
        <f t="shared" si="229"/>
        <v>0</v>
      </c>
      <c r="BJ711">
        <f t="shared" si="230"/>
        <v>0</v>
      </c>
      <c r="BK711">
        <f t="shared" si="231"/>
        <v>0</v>
      </c>
      <c r="BL711">
        <f t="shared" si="232"/>
        <v>0</v>
      </c>
      <c r="BM711">
        <f t="shared" si="233"/>
        <v>0</v>
      </c>
      <c r="BN711">
        <f t="shared" si="234"/>
        <v>0</v>
      </c>
      <c r="BO711">
        <f t="shared" si="235"/>
        <v>0</v>
      </c>
      <c r="BP711">
        <f t="shared" si="236"/>
        <v>0</v>
      </c>
      <c r="BQ711">
        <f t="shared" si="237"/>
        <v>0</v>
      </c>
      <c r="BR711">
        <f t="shared" si="238"/>
        <v>0</v>
      </c>
      <c r="BS711">
        <f t="shared" si="239"/>
        <v>0</v>
      </c>
      <c r="BT711">
        <f t="shared" si="240"/>
        <v>0</v>
      </c>
      <c r="BU711">
        <f t="shared" si="241"/>
        <v>0</v>
      </c>
      <c r="BV711">
        <f t="shared" si="242"/>
        <v>0</v>
      </c>
      <c r="BW711">
        <f t="shared" si="243"/>
        <v>0</v>
      </c>
      <c r="CA711" t="str">
        <f>IF(512&gt;ROWS(DGArchive[模组]),"",IF(INDEX(DGArchive[模组],512)="","",INDEX(DGArchive[模组],512)))</f>
        <v/>
      </c>
      <c r="CB711" t="str">
        <f>IF(512&gt;ROWS(DGArchive[阶段]),"",IF(INDEX(DGArchive[阶段],512)="","",INDEX(DGArchive[阶段],512)))</f>
        <v/>
      </c>
      <c r="CC711" t="str">
        <f>IF(512&gt;ROWS(DGArchive[游戏内日期]),"",IF(INDEX(DGArchive[游戏内日期],512)="","",INDEX(DGArchive[游戏内日期],512)))</f>
        <v/>
      </c>
      <c r="CD711" t="str">
        <f>IF(512&gt;ROWS(DGArchive[目标]),"",IF(INDEX(DGArchive[目标],512)="","",INDEX(DGArchive[目标],512)))</f>
        <v/>
      </c>
      <c r="CE711" t="str">
        <f>IF(512&gt;ROWS(DGArchive[变更前]),"",IF(INDEX(DGArchive[变更前],512)="","",INDEX(DGArchive[变更前],512)))</f>
        <v/>
      </c>
      <c r="CF711" t="str">
        <f>IF(512&gt;ROWS(DGArchive[增减]),"",IF(INDEX(DGArchive[增减],512)="","",INDEX(DGArchive[增减],512)))</f>
        <v/>
      </c>
      <c r="CG711" t="str">
        <f>IF(512&gt;ROWS(DGArchive[变更后]),"",IF(INDEX(DGArchive[变更后],512)="","",INDEX(DGArchive[变更后],512)))</f>
        <v/>
      </c>
      <c r="CH711" t="str">
        <f>IF(512&gt;ROWS(DGArchive[事件／活动]),"",IF(INDEX(DGArchive[事件／活动],512)="","",INDEX(DGArchive[事件／活动],512)))</f>
        <v/>
      </c>
      <c r="CI711" t="str">
        <f>IF(512&gt;ROWS(DGArchive[记录编号]),"",IF(INDEX(DGArchive[记录编号],512)="","",INDEX(DGArchive[记录编号],512)))</f>
        <v/>
      </c>
      <c r="CL711">
        <f t="shared" si="224"/>
        <v>0</v>
      </c>
      <c r="CM711">
        <f>IF(AND(A711=$AO$5,B711=$AQ$3,H711=1),COUNTIFS($A$200:A711,$AO$5,$B$200:B711,$AQ$3,$H$200:H711,1),0)</f>
        <v>0</v>
      </c>
      <c r="CN711">
        <f>IF(CA711="",512,1001)</f>
        <v>512</v>
      </c>
      <c r="GA711">
        <f t="shared" si="244"/>
        <v>0</v>
      </c>
      <c r="GB711">
        <f t="shared" si="245"/>
        <v>0</v>
      </c>
      <c r="GC711">
        <f>IF(AND(C711="事件记录",H711=1),COUNTIFS($C$200:C711,"事件记录",$H$200:H711,1),0)</f>
        <v>0</v>
      </c>
      <c r="GD711">
        <f t="shared" si="225"/>
        <v>0</v>
      </c>
      <c r="GH711">
        <f>IF(AND(H711=1,A711=$GA$10,B711=$GA$11),COUNTIFS($A$200:A711,$GA$10,$B$200:B711,$GA$11,$H$200:H711,1),0)</f>
        <v>0</v>
      </c>
    </row>
    <row r="712" spans="1:190">
      <c r="A712" t="str">
        <f t="shared" ref="A712:A775" si="246">IFERROR(TEXT(VALUE(CA712),"00"),"")</f>
        <v/>
      </c>
      <c r="B712" t="str">
        <f t="shared" ref="B712:B775" si="247">CB712</f>
        <v/>
      </c>
      <c r="C712" t="str">
        <f t="shared" ref="C712:C775" si="248">CD712</f>
        <v/>
      </c>
      <c r="D712" t="str">
        <f t="shared" ref="D712:D775" si="249">CF712</f>
        <v/>
      </c>
      <c r="E712">
        <f t="shared" ref="E712:E775" si="250">IF(H712=1,MAX(-CE712,MIN(D712,IF(LEFT(C712,3)="技能：",99,IF(COUNTIF($L$2:$L$7,C712)&gt;0,18,999))-CE712)),0)</f>
        <v>0</v>
      </c>
      <c r="F712" t="str">
        <f t="shared" ref="F712:F775" si="251">IF(OR(C712=0,C712=""),"",IF(G712=0,"记录不完整",IF(H712=0,"重复未计","已计入")))</f>
        <v/>
      </c>
      <c r="G712">
        <f t="shared" ref="G712:G775" si="252">IF(AND(AND(CA712&lt;&gt;"",CB712&lt;&gt;"",CI712&lt;&gt;"",OR(LEFT(C712,3)="技能：",COUNTIF($L$2:$L$19,C712)&gt;0,C712="事件记录",C712="暴力进度",C712="无力进度"),ISNUMBER(CE712),ISNUMBER(CF712),ISNUMBER(CG712),CE712&gt;=0,CG712=SUM(CE712,CF712)),OR(B712&lt;&gt;"成长",AND(LEFT(C712,3)="技能：",C712&lt;&gt;"技能：非自然知识",CE712&gt;=1,CE712&lt;=99,CF712&gt;=0,CF712&lt;=4,CG712&lt;=99))),1,0)</f>
        <v>0</v>
      </c>
      <c r="H712">
        <f>IF(AND(G712=1,COUNTIFS($I$200:I712,I712,$G$200:G712,1)=1),1,0)</f>
        <v>0</v>
      </c>
      <c r="I712" t="str">
        <f t="shared" ref="I712:I775" si="253">IF(G712=1,IF(B712="成长",A712&amp;"-成长-"&amp;C712,CI712),"")</f>
        <v/>
      </c>
      <c r="BF712">
        <f t="shared" si="226"/>
        <v>0</v>
      </c>
      <c r="BG712">
        <f t="shared" si="227"/>
        <v>0</v>
      </c>
      <c r="BH712">
        <f t="shared" si="228"/>
        <v>0</v>
      </c>
      <c r="BI712">
        <f t="shared" si="229"/>
        <v>0</v>
      </c>
      <c r="BJ712">
        <f t="shared" si="230"/>
        <v>0</v>
      </c>
      <c r="BK712">
        <f t="shared" si="231"/>
        <v>0</v>
      </c>
      <c r="BL712">
        <f t="shared" si="232"/>
        <v>0</v>
      </c>
      <c r="BM712">
        <f t="shared" si="233"/>
        <v>0</v>
      </c>
      <c r="BN712">
        <f t="shared" si="234"/>
        <v>0</v>
      </c>
      <c r="BO712">
        <f t="shared" si="235"/>
        <v>0</v>
      </c>
      <c r="BP712">
        <f t="shared" si="236"/>
        <v>0</v>
      </c>
      <c r="BQ712">
        <f t="shared" si="237"/>
        <v>0</v>
      </c>
      <c r="BR712">
        <f t="shared" si="238"/>
        <v>0</v>
      </c>
      <c r="BS712">
        <f t="shared" si="239"/>
        <v>0</v>
      </c>
      <c r="BT712">
        <f t="shared" si="240"/>
        <v>0</v>
      </c>
      <c r="BU712">
        <f t="shared" si="241"/>
        <v>0</v>
      </c>
      <c r="BV712">
        <f t="shared" si="242"/>
        <v>0</v>
      </c>
      <c r="BW712">
        <f t="shared" si="243"/>
        <v>0</v>
      </c>
      <c r="CA712" t="str">
        <f>IF(513&gt;ROWS(DGArchive[模组]),"",IF(INDEX(DGArchive[模组],513)="","",INDEX(DGArchive[模组],513)))</f>
        <v/>
      </c>
      <c r="CB712" t="str">
        <f>IF(513&gt;ROWS(DGArchive[阶段]),"",IF(INDEX(DGArchive[阶段],513)="","",INDEX(DGArchive[阶段],513)))</f>
        <v/>
      </c>
      <c r="CC712" t="str">
        <f>IF(513&gt;ROWS(DGArchive[游戏内日期]),"",IF(INDEX(DGArchive[游戏内日期],513)="","",INDEX(DGArchive[游戏内日期],513)))</f>
        <v/>
      </c>
      <c r="CD712" t="str">
        <f>IF(513&gt;ROWS(DGArchive[目标]),"",IF(INDEX(DGArchive[目标],513)="","",INDEX(DGArchive[目标],513)))</f>
        <v/>
      </c>
      <c r="CE712" t="str">
        <f>IF(513&gt;ROWS(DGArchive[变更前]),"",IF(INDEX(DGArchive[变更前],513)="","",INDEX(DGArchive[变更前],513)))</f>
        <v/>
      </c>
      <c r="CF712" t="str">
        <f>IF(513&gt;ROWS(DGArchive[增减]),"",IF(INDEX(DGArchive[增减],513)="","",INDEX(DGArchive[增减],513)))</f>
        <v/>
      </c>
      <c r="CG712" t="str">
        <f>IF(513&gt;ROWS(DGArchive[变更后]),"",IF(INDEX(DGArchive[变更后],513)="","",INDEX(DGArchive[变更后],513)))</f>
        <v/>
      </c>
      <c r="CH712" t="str">
        <f>IF(513&gt;ROWS(DGArchive[事件／活动]),"",IF(INDEX(DGArchive[事件／活动],513)="","",INDEX(DGArchive[事件／活动],513)))</f>
        <v/>
      </c>
      <c r="CI712" t="str">
        <f>IF(513&gt;ROWS(DGArchive[记录编号]),"",IF(INDEX(DGArchive[记录编号],513)="","",INDEX(DGArchive[记录编号],513)))</f>
        <v/>
      </c>
      <c r="CL712">
        <f t="shared" ref="CL712:CL775" si="254">IF(AND(A712=$AO$5,H712=1,LEFT(B712,2)="幕间"),IFERROR(VALUE(MID(B712,3,20)),0),0)</f>
        <v>0</v>
      </c>
      <c r="CM712">
        <f>IF(AND(A712=$AO$5,B712=$AQ$3,H712=1),COUNTIFS($A$200:A712,$AO$5,$B$200:B712,$AQ$3,$H$200:H712,1),0)</f>
        <v>0</v>
      </c>
      <c r="CN712">
        <f>IF(CA712="",513,1001)</f>
        <v>513</v>
      </c>
      <c r="GA712">
        <f t="shared" si="244"/>
        <v>0</v>
      </c>
      <c r="GB712">
        <f t="shared" si="245"/>
        <v>0</v>
      </c>
      <c r="GC712">
        <f>IF(AND(C712="事件记录",H712=1),COUNTIFS($C$200:C712,"事件记录",$H$200:H712,1),0)</f>
        <v>0</v>
      </c>
      <c r="GD712">
        <f t="shared" ref="GD712:GD775" si="255">IF(AND(H712=1,A712=$GA$10,LEFT(B712,2)="事件"),IFERROR(VALUE(MID(B712,3,20)),0),0)</f>
        <v>0</v>
      </c>
      <c r="GH712">
        <f>IF(AND(H712=1,A712=$GA$10,B712=$GA$11),COUNTIFS($A$200:A712,$GA$10,$B$200:B712,$GA$11,$H$200:H712,1),0)</f>
        <v>0</v>
      </c>
    </row>
    <row r="713" spans="1:190">
      <c r="A713" t="str">
        <f t="shared" si="246"/>
        <v/>
      </c>
      <c r="B713" t="str">
        <f t="shared" si="247"/>
        <v/>
      </c>
      <c r="C713" t="str">
        <f t="shared" si="248"/>
        <v/>
      </c>
      <c r="D713" t="str">
        <f t="shared" si="249"/>
        <v/>
      </c>
      <c r="E713">
        <f t="shared" si="250"/>
        <v>0</v>
      </c>
      <c r="F713" t="str">
        <f t="shared" si="251"/>
        <v/>
      </c>
      <c r="G713">
        <f t="shared" si="252"/>
        <v>0</v>
      </c>
      <c r="H713">
        <f>IF(AND(G713=1,COUNTIFS($I$200:I713,I713,$G$200:G713,1)=1),1,0)</f>
        <v>0</v>
      </c>
      <c r="I713" t="str">
        <f t="shared" si="253"/>
        <v/>
      </c>
      <c r="BF713">
        <f t="shared" ref="BF713:BF776" si="256">MAX(0,MIN(18,BF712+IF(C713="力量",E713,0)))</f>
        <v>0</v>
      </c>
      <c r="BG713">
        <f t="shared" ref="BG713:BG776" si="257">MAX(0,MIN(18,BG712+IF(C713="体质",E713,0)))</f>
        <v>0</v>
      </c>
      <c r="BH713">
        <f t="shared" ref="BH713:BH776" si="258">MAX(0,MIN(18,BH712+IF(C713="敏捷",E713,0)))</f>
        <v>0</v>
      </c>
      <c r="BI713">
        <f t="shared" ref="BI713:BI776" si="259">MAX(0,MIN(18,BI712+IF(C713="智力",E713,0)))</f>
        <v>0</v>
      </c>
      <c r="BJ713">
        <f t="shared" ref="BJ713:BJ776" si="260">MAX(0,MIN(18,BJ712+IF(C713="意志",E713,0)))</f>
        <v>0</v>
      </c>
      <c r="BK713">
        <f t="shared" ref="BK713:BK776" si="261">MAX(0,MIN(18,BK712+IF(C713="魅力",E713,0)))</f>
        <v>0</v>
      </c>
      <c r="BL713">
        <f t="shared" ref="BL713:BL776" si="262">MAX(0,MIN(99,BL712+IF(C713="技能：非自然知识",E713,0)))</f>
        <v>0</v>
      </c>
      <c r="BM713">
        <f t="shared" ref="BM713:BM776" si="263">MAX(0,MIN(CEILING((BF713+BG713)/2,1),BM712+IF(C713="体力",E713,0)))</f>
        <v>0</v>
      </c>
      <c r="BN713">
        <f t="shared" ref="BN713:BN776" si="264">MAX(0,MIN(BJ713,BN712+IF(C713="毅力",E713,0)))</f>
        <v>0</v>
      </c>
      <c r="BO713">
        <f t="shared" ref="BO713:BO776" si="265">MAX(0,MIN(99-BL713,BO712+IF(C713="理智",E713,0)))</f>
        <v>0</v>
      </c>
      <c r="BP713">
        <f t="shared" ref="BP713:BP776" si="266">MAX(0,MIN(99,BP712+IF(C713="崩溃点",E713,0)))</f>
        <v>0</v>
      </c>
      <c r="BQ713">
        <f t="shared" ref="BQ713:BQ776" si="267">MAX(0,MIN(BK713,IF(AND(H713=1,C713="重要关系1",LEFT(CH713,8)="建立新的重要关系"),CE713+E713,IF(BQ712=0,0,BQ712+IF(C713="重要关系1",E713,0))+IF(AND(C713="魅力",E713&lt;0),E713,0))))</f>
        <v>0</v>
      </c>
      <c r="BR713">
        <f t="shared" ref="BR713:BR776" si="268">MAX(0,MIN(BK713,IF(AND(H713=1,C713="重要关系2",LEFT(CH713,8)="建立新的重要关系"),CE713+E713,IF(BR712=0,0,BR712+IF(C713="重要关系2",E713,0))+IF(AND(C713="魅力",E713&lt;0),E713,0))))</f>
        <v>0</v>
      </c>
      <c r="BS713">
        <f t="shared" ref="BS713:BS776" si="269">MAX(0,MIN(BK713,IF(AND(H713=1,C713="重要关系3",LEFT(CH713,8)="建立新的重要关系"),CE713+E713,IF(BS712=0,0,BS712+IF(C713="重要关系3",E713,0))+IF(AND(C713="魅力",E713&lt;0),E713,0))))</f>
        <v>0</v>
      </c>
      <c r="BT713">
        <f t="shared" ref="BT713:BT776" si="270">MAX(0,MIN(BK713,IF(AND(H713=1,C713="重要关系4",LEFT(CH713,8)="建立新的重要关系"),CE713+E713,IF(BT712=0,0,BT712+IF(C713="重要关系4",E713,0))+IF(AND(C713="魅力",E713&lt;0),E713,0))))</f>
        <v>0</v>
      </c>
      <c r="BU713">
        <f t="shared" ref="BU713:BU776" si="271">MAX(0,MIN(BK713,IF(AND(H713=1,C713="重要关系5",LEFT(CH713,8)="建立新的重要关系"),CE713+E713,IF(BU712=0,0,BU712+IF(C713="重要关系5",E713,0))+IF(AND(C713="魅力",E713&lt;0),E713,0))))</f>
        <v>0</v>
      </c>
      <c r="BV713">
        <f t="shared" ref="BV713:BV776" si="272">MAX(0,MIN(BK713,IF(AND(H713=1,C713="重要关系6",LEFT(CH713,8)="建立新的重要关系"),CE713+E713,IF(BV712=0,0,BV712+IF(C713="重要关系6",E713,0))+IF(AND(C713="魅力",E713&lt;0),E713,0))))</f>
        <v>0</v>
      </c>
      <c r="BW713">
        <f t="shared" ref="BW713:BW776" si="273">MAX(0,MIN(BK713,IF(AND(H713=1,C713="重要关系7",LEFT(CH713,8)="建立新的重要关系"),CE713+E713,IF(BW712=0,0,BW712+IF(C713="重要关系7",E713,0))+IF(AND(C713="魅力",E713&lt;0),E713,0))))</f>
        <v>0</v>
      </c>
      <c r="CA713" t="str">
        <f>IF(514&gt;ROWS(DGArchive[模组]),"",IF(INDEX(DGArchive[模组],514)="","",INDEX(DGArchive[模组],514)))</f>
        <v/>
      </c>
      <c r="CB713" t="str">
        <f>IF(514&gt;ROWS(DGArchive[阶段]),"",IF(INDEX(DGArchive[阶段],514)="","",INDEX(DGArchive[阶段],514)))</f>
        <v/>
      </c>
      <c r="CC713" t="str">
        <f>IF(514&gt;ROWS(DGArchive[游戏内日期]),"",IF(INDEX(DGArchive[游戏内日期],514)="","",INDEX(DGArchive[游戏内日期],514)))</f>
        <v/>
      </c>
      <c r="CD713" t="str">
        <f>IF(514&gt;ROWS(DGArchive[目标]),"",IF(INDEX(DGArchive[目标],514)="","",INDEX(DGArchive[目标],514)))</f>
        <v/>
      </c>
      <c r="CE713" t="str">
        <f>IF(514&gt;ROWS(DGArchive[变更前]),"",IF(INDEX(DGArchive[变更前],514)="","",INDEX(DGArchive[变更前],514)))</f>
        <v/>
      </c>
      <c r="CF713" t="str">
        <f>IF(514&gt;ROWS(DGArchive[增减]),"",IF(INDEX(DGArchive[增减],514)="","",INDEX(DGArchive[增减],514)))</f>
        <v/>
      </c>
      <c r="CG713" t="str">
        <f>IF(514&gt;ROWS(DGArchive[变更后]),"",IF(INDEX(DGArchive[变更后],514)="","",INDEX(DGArchive[变更后],514)))</f>
        <v/>
      </c>
      <c r="CH713" t="str">
        <f>IF(514&gt;ROWS(DGArchive[事件／活动]),"",IF(INDEX(DGArchive[事件／活动],514)="","",INDEX(DGArchive[事件／活动],514)))</f>
        <v/>
      </c>
      <c r="CI713" t="str">
        <f>IF(514&gt;ROWS(DGArchive[记录编号]),"",IF(INDEX(DGArchive[记录编号],514)="","",INDEX(DGArchive[记录编号],514)))</f>
        <v/>
      </c>
      <c r="CL713">
        <f t="shared" si="254"/>
        <v>0</v>
      </c>
      <c r="CM713">
        <f>IF(AND(A713=$AO$5,B713=$AQ$3,H713=1),COUNTIFS($A$200:A713,$AO$5,$B$200:B713,$AQ$3,$H$200:H713,1),0)</f>
        <v>0</v>
      </c>
      <c r="CN713">
        <f>IF(CA713="",514,1001)</f>
        <v>514</v>
      </c>
      <c r="GA713">
        <f t="shared" ref="GA713:GA776" si="274">MAX(0,MIN(3,GA712+IF(C713="暴力进度",E713,0)))</f>
        <v>0</v>
      </c>
      <c r="GB713">
        <f t="shared" ref="GB713:GB776" si="275">MAX(0,MIN(3,GB712+IF(C713="无力进度",E713,0)))</f>
        <v>0</v>
      </c>
      <c r="GC713">
        <f>IF(AND(C713="事件记录",H713=1),COUNTIFS($C$200:C713,"事件记录",$H$200:H713,1),0)</f>
        <v>0</v>
      </c>
      <c r="GD713">
        <f t="shared" si="255"/>
        <v>0</v>
      </c>
      <c r="GH713">
        <f>IF(AND(H713=1,A713=$GA$10,B713=$GA$11),COUNTIFS($A$200:A713,$GA$10,$B$200:B713,$GA$11,$H$200:H713,1),0)</f>
        <v>0</v>
      </c>
    </row>
    <row r="714" spans="1:190">
      <c r="A714" t="str">
        <f t="shared" si="246"/>
        <v/>
      </c>
      <c r="B714" t="str">
        <f t="shared" si="247"/>
        <v/>
      </c>
      <c r="C714" t="str">
        <f t="shared" si="248"/>
        <v/>
      </c>
      <c r="D714" t="str">
        <f t="shared" si="249"/>
        <v/>
      </c>
      <c r="E714">
        <f t="shared" si="250"/>
        <v>0</v>
      </c>
      <c r="F714" t="str">
        <f t="shared" si="251"/>
        <v/>
      </c>
      <c r="G714">
        <f t="shared" si="252"/>
        <v>0</v>
      </c>
      <c r="H714">
        <f>IF(AND(G714=1,COUNTIFS($I$200:I714,I714,$G$200:G714,1)=1),1,0)</f>
        <v>0</v>
      </c>
      <c r="I714" t="str">
        <f t="shared" si="253"/>
        <v/>
      </c>
      <c r="BF714">
        <f t="shared" si="256"/>
        <v>0</v>
      </c>
      <c r="BG714">
        <f t="shared" si="257"/>
        <v>0</v>
      </c>
      <c r="BH714">
        <f t="shared" si="258"/>
        <v>0</v>
      </c>
      <c r="BI714">
        <f t="shared" si="259"/>
        <v>0</v>
      </c>
      <c r="BJ714">
        <f t="shared" si="260"/>
        <v>0</v>
      </c>
      <c r="BK714">
        <f t="shared" si="261"/>
        <v>0</v>
      </c>
      <c r="BL714">
        <f t="shared" si="262"/>
        <v>0</v>
      </c>
      <c r="BM714">
        <f t="shared" si="263"/>
        <v>0</v>
      </c>
      <c r="BN714">
        <f t="shared" si="264"/>
        <v>0</v>
      </c>
      <c r="BO714">
        <f t="shared" si="265"/>
        <v>0</v>
      </c>
      <c r="BP714">
        <f t="shared" si="266"/>
        <v>0</v>
      </c>
      <c r="BQ714">
        <f t="shared" si="267"/>
        <v>0</v>
      </c>
      <c r="BR714">
        <f t="shared" si="268"/>
        <v>0</v>
      </c>
      <c r="BS714">
        <f t="shared" si="269"/>
        <v>0</v>
      </c>
      <c r="BT714">
        <f t="shared" si="270"/>
        <v>0</v>
      </c>
      <c r="BU714">
        <f t="shared" si="271"/>
        <v>0</v>
      </c>
      <c r="BV714">
        <f t="shared" si="272"/>
        <v>0</v>
      </c>
      <c r="BW714">
        <f t="shared" si="273"/>
        <v>0</v>
      </c>
      <c r="CA714" t="str">
        <f>IF(515&gt;ROWS(DGArchive[模组]),"",IF(INDEX(DGArchive[模组],515)="","",INDEX(DGArchive[模组],515)))</f>
        <v/>
      </c>
      <c r="CB714" t="str">
        <f>IF(515&gt;ROWS(DGArchive[阶段]),"",IF(INDEX(DGArchive[阶段],515)="","",INDEX(DGArchive[阶段],515)))</f>
        <v/>
      </c>
      <c r="CC714" t="str">
        <f>IF(515&gt;ROWS(DGArchive[游戏内日期]),"",IF(INDEX(DGArchive[游戏内日期],515)="","",INDEX(DGArchive[游戏内日期],515)))</f>
        <v/>
      </c>
      <c r="CD714" t="str">
        <f>IF(515&gt;ROWS(DGArchive[目标]),"",IF(INDEX(DGArchive[目标],515)="","",INDEX(DGArchive[目标],515)))</f>
        <v/>
      </c>
      <c r="CE714" t="str">
        <f>IF(515&gt;ROWS(DGArchive[变更前]),"",IF(INDEX(DGArchive[变更前],515)="","",INDEX(DGArchive[变更前],515)))</f>
        <v/>
      </c>
      <c r="CF714" t="str">
        <f>IF(515&gt;ROWS(DGArchive[增减]),"",IF(INDEX(DGArchive[增减],515)="","",INDEX(DGArchive[增减],515)))</f>
        <v/>
      </c>
      <c r="CG714" t="str">
        <f>IF(515&gt;ROWS(DGArchive[变更后]),"",IF(INDEX(DGArchive[变更后],515)="","",INDEX(DGArchive[变更后],515)))</f>
        <v/>
      </c>
      <c r="CH714" t="str">
        <f>IF(515&gt;ROWS(DGArchive[事件／活动]),"",IF(INDEX(DGArchive[事件／活动],515)="","",INDEX(DGArchive[事件／活动],515)))</f>
        <v/>
      </c>
      <c r="CI714" t="str">
        <f>IF(515&gt;ROWS(DGArchive[记录编号]),"",IF(INDEX(DGArchive[记录编号],515)="","",INDEX(DGArchive[记录编号],515)))</f>
        <v/>
      </c>
      <c r="CL714">
        <f t="shared" si="254"/>
        <v>0</v>
      </c>
      <c r="CM714">
        <f>IF(AND(A714=$AO$5,B714=$AQ$3,H714=1),COUNTIFS($A$200:A714,$AO$5,$B$200:B714,$AQ$3,$H$200:H714,1),0)</f>
        <v>0</v>
      </c>
      <c r="CN714">
        <f>IF(CA714="",515,1001)</f>
        <v>515</v>
      </c>
      <c r="GA714">
        <f t="shared" si="274"/>
        <v>0</v>
      </c>
      <c r="GB714">
        <f t="shared" si="275"/>
        <v>0</v>
      </c>
      <c r="GC714">
        <f>IF(AND(C714="事件记录",H714=1),COUNTIFS($C$200:C714,"事件记录",$H$200:H714,1),0)</f>
        <v>0</v>
      </c>
      <c r="GD714">
        <f t="shared" si="255"/>
        <v>0</v>
      </c>
      <c r="GH714">
        <f>IF(AND(H714=1,A714=$GA$10,B714=$GA$11),COUNTIFS($A$200:A714,$GA$10,$B$200:B714,$GA$11,$H$200:H714,1),0)</f>
        <v>0</v>
      </c>
    </row>
    <row r="715" spans="1:190">
      <c r="A715" t="str">
        <f t="shared" si="246"/>
        <v/>
      </c>
      <c r="B715" t="str">
        <f t="shared" si="247"/>
        <v/>
      </c>
      <c r="C715" t="str">
        <f t="shared" si="248"/>
        <v/>
      </c>
      <c r="D715" t="str">
        <f t="shared" si="249"/>
        <v/>
      </c>
      <c r="E715">
        <f t="shared" si="250"/>
        <v>0</v>
      </c>
      <c r="F715" t="str">
        <f t="shared" si="251"/>
        <v/>
      </c>
      <c r="G715">
        <f t="shared" si="252"/>
        <v>0</v>
      </c>
      <c r="H715">
        <f>IF(AND(G715=1,COUNTIFS($I$200:I715,I715,$G$200:G715,1)=1),1,0)</f>
        <v>0</v>
      </c>
      <c r="I715" t="str">
        <f t="shared" si="253"/>
        <v/>
      </c>
      <c r="BF715">
        <f t="shared" si="256"/>
        <v>0</v>
      </c>
      <c r="BG715">
        <f t="shared" si="257"/>
        <v>0</v>
      </c>
      <c r="BH715">
        <f t="shared" si="258"/>
        <v>0</v>
      </c>
      <c r="BI715">
        <f t="shared" si="259"/>
        <v>0</v>
      </c>
      <c r="BJ715">
        <f t="shared" si="260"/>
        <v>0</v>
      </c>
      <c r="BK715">
        <f t="shared" si="261"/>
        <v>0</v>
      </c>
      <c r="BL715">
        <f t="shared" si="262"/>
        <v>0</v>
      </c>
      <c r="BM715">
        <f t="shared" si="263"/>
        <v>0</v>
      </c>
      <c r="BN715">
        <f t="shared" si="264"/>
        <v>0</v>
      </c>
      <c r="BO715">
        <f t="shared" si="265"/>
        <v>0</v>
      </c>
      <c r="BP715">
        <f t="shared" si="266"/>
        <v>0</v>
      </c>
      <c r="BQ715">
        <f t="shared" si="267"/>
        <v>0</v>
      </c>
      <c r="BR715">
        <f t="shared" si="268"/>
        <v>0</v>
      </c>
      <c r="BS715">
        <f t="shared" si="269"/>
        <v>0</v>
      </c>
      <c r="BT715">
        <f t="shared" si="270"/>
        <v>0</v>
      </c>
      <c r="BU715">
        <f t="shared" si="271"/>
        <v>0</v>
      </c>
      <c r="BV715">
        <f t="shared" si="272"/>
        <v>0</v>
      </c>
      <c r="BW715">
        <f t="shared" si="273"/>
        <v>0</v>
      </c>
      <c r="CA715" t="str">
        <f>IF(516&gt;ROWS(DGArchive[模组]),"",IF(INDEX(DGArchive[模组],516)="","",INDEX(DGArchive[模组],516)))</f>
        <v/>
      </c>
      <c r="CB715" t="str">
        <f>IF(516&gt;ROWS(DGArchive[阶段]),"",IF(INDEX(DGArchive[阶段],516)="","",INDEX(DGArchive[阶段],516)))</f>
        <v/>
      </c>
      <c r="CC715" t="str">
        <f>IF(516&gt;ROWS(DGArchive[游戏内日期]),"",IF(INDEX(DGArchive[游戏内日期],516)="","",INDEX(DGArchive[游戏内日期],516)))</f>
        <v/>
      </c>
      <c r="CD715" t="str">
        <f>IF(516&gt;ROWS(DGArchive[目标]),"",IF(INDEX(DGArchive[目标],516)="","",INDEX(DGArchive[目标],516)))</f>
        <v/>
      </c>
      <c r="CE715" t="str">
        <f>IF(516&gt;ROWS(DGArchive[变更前]),"",IF(INDEX(DGArchive[变更前],516)="","",INDEX(DGArchive[变更前],516)))</f>
        <v/>
      </c>
      <c r="CF715" t="str">
        <f>IF(516&gt;ROWS(DGArchive[增减]),"",IF(INDEX(DGArchive[增减],516)="","",INDEX(DGArchive[增减],516)))</f>
        <v/>
      </c>
      <c r="CG715" t="str">
        <f>IF(516&gt;ROWS(DGArchive[变更后]),"",IF(INDEX(DGArchive[变更后],516)="","",INDEX(DGArchive[变更后],516)))</f>
        <v/>
      </c>
      <c r="CH715" t="str">
        <f>IF(516&gt;ROWS(DGArchive[事件／活动]),"",IF(INDEX(DGArchive[事件／活动],516)="","",INDEX(DGArchive[事件／活动],516)))</f>
        <v/>
      </c>
      <c r="CI715" t="str">
        <f>IF(516&gt;ROWS(DGArchive[记录编号]),"",IF(INDEX(DGArchive[记录编号],516)="","",INDEX(DGArchive[记录编号],516)))</f>
        <v/>
      </c>
      <c r="CL715">
        <f t="shared" si="254"/>
        <v>0</v>
      </c>
      <c r="CM715">
        <f>IF(AND(A715=$AO$5,B715=$AQ$3,H715=1),COUNTIFS($A$200:A715,$AO$5,$B$200:B715,$AQ$3,$H$200:H715,1),0)</f>
        <v>0</v>
      </c>
      <c r="CN715">
        <f>IF(CA715="",516,1001)</f>
        <v>516</v>
      </c>
      <c r="GA715">
        <f t="shared" si="274"/>
        <v>0</v>
      </c>
      <c r="GB715">
        <f t="shared" si="275"/>
        <v>0</v>
      </c>
      <c r="GC715">
        <f>IF(AND(C715="事件记录",H715=1),COUNTIFS($C$200:C715,"事件记录",$H$200:H715,1),0)</f>
        <v>0</v>
      </c>
      <c r="GD715">
        <f t="shared" si="255"/>
        <v>0</v>
      </c>
      <c r="GH715">
        <f>IF(AND(H715=1,A715=$GA$10,B715=$GA$11),COUNTIFS($A$200:A715,$GA$10,$B$200:B715,$GA$11,$H$200:H715,1),0)</f>
        <v>0</v>
      </c>
    </row>
    <row r="716" spans="1:190">
      <c r="A716" t="str">
        <f t="shared" si="246"/>
        <v/>
      </c>
      <c r="B716" t="str">
        <f t="shared" si="247"/>
        <v/>
      </c>
      <c r="C716" t="str">
        <f t="shared" si="248"/>
        <v/>
      </c>
      <c r="D716" t="str">
        <f t="shared" si="249"/>
        <v/>
      </c>
      <c r="E716">
        <f t="shared" si="250"/>
        <v>0</v>
      </c>
      <c r="F716" t="str">
        <f t="shared" si="251"/>
        <v/>
      </c>
      <c r="G716">
        <f t="shared" si="252"/>
        <v>0</v>
      </c>
      <c r="H716">
        <f>IF(AND(G716=1,COUNTIFS($I$200:I716,I716,$G$200:G716,1)=1),1,0)</f>
        <v>0</v>
      </c>
      <c r="I716" t="str">
        <f t="shared" si="253"/>
        <v/>
      </c>
      <c r="BF716">
        <f t="shared" si="256"/>
        <v>0</v>
      </c>
      <c r="BG716">
        <f t="shared" si="257"/>
        <v>0</v>
      </c>
      <c r="BH716">
        <f t="shared" si="258"/>
        <v>0</v>
      </c>
      <c r="BI716">
        <f t="shared" si="259"/>
        <v>0</v>
      </c>
      <c r="BJ716">
        <f t="shared" si="260"/>
        <v>0</v>
      </c>
      <c r="BK716">
        <f t="shared" si="261"/>
        <v>0</v>
      </c>
      <c r="BL716">
        <f t="shared" si="262"/>
        <v>0</v>
      </c>
      <c r="BM716">
        <f t="shared" si="263"/>
        <v>0</v>
      </c>
      <c r="BN716">
        <f t="shared" si="264"/>
        <v>0</v>
      </c>
      <c r="BO716">
        <f t="shared" si="265"/>
        <v>0</v>
      </c>
      <c r="BP716">
        <f t="shared" si="266"/>
        <v>0</v>
      </c>
      <c r="BQ716">
        <f t="shared" si="267"/>
        <v>0</v>
      </c>
      <c r="BR716">
        <f t="shared" si="268"/>
        <v>0</v>
      </c>
      <c r="BS716">
        <f t="shared" si="269"/>
        <v>0</v>
      </c>
      <c r="BT716">
        <f t="shared" si="270"/>
        <v>0</v>
      </c>
      <c r="BU716">
        <f t="shared" si="271"/>
        <v>0</v>
      </c>
      <c r="BV716">
        <f t="shared" si="272"/>
        <v>0</v>
      </c>
      <c r="BW716">
        <f t="shared" si="273"/>
        <v>0</v>
      </c>
      <c r="CA716" t="str">
        <f>IF(517&gt;ROWS(DGArchive[模组]),"",IF(INDEX(DGArchive[模组],517)="","",INDEX(DGArchive[模组],517)))</f>
        <v/>
      </c>
      <c r="CB716" t="str">
        <f>IF(517&gt;ROWS(DGArchive[阶段]),"",IF(INDEX(DGArchive[阶段],517)="","",INDEX(DGArchive[阶段],517)))</f>
        <v/>
      </c>
      <c r="CC716" t="str">
        <f>IF(517&gt;ROWS(DGArchive[游戏内日期]),"",IF(INDEX(DGArchive[游戏内日期],517)="","",INDEX(DGArchive[游戏内日期],517)))</f>
        <v/>
      </c>
      <c r="CD716" t="str">
        <f>IF(517&gt;ROWS(DGArchive[目标]),"",IF(INDEX(DGArchive[目标],517)="","",INDEX(DGArchive[目标],517)))</f>
        <v/>
      </c>
      <c r="CE716" t="str">
        <f>IF(517&gt;ROWS(DGArchive[变更前]),"",IF(INDEX(DGArchive[变更前],517)="","",INDEX(DGArchive[变更前],517)))</f>
        <v/>
      </c>
      <c r="CF716" t="str">
        <f>IF(517&gt;ROWS(DGArchive[增减]),"",IF(INDEX(DGArchive[增减],517)="","",INDEX(DGArchive[增减],517)))</f>
        <v/>
      </c>
      <c r="CG716" t="str">
        <f>IF(517&gt;ROWS(DGArchive[变更后]),"",IF(INDEX(DGArchive[变更后],517)="","",INDEX(DGArchive[变更后],517)))</f>
        <v/>
      </c>
      <c r="CH716" t="str">
        <f>IF(517&gt;ROWS(DGArchive[事件／活动]),"",IF(INDEX(DGArchive[事件／活动],517)="","",INDEX(DGArchive[事件／活动],517)))</f>
        <v/>
      </c>
      <c r="CI716" t="str">
        <f>IF(517&gt;ROWS(DGArchive[记录编号]),"",IF(INDEX(DGArchive[记录编号],517)="","",INDEX(DGArchive[记录编号],517)))</f>
        <v/>
      </c>
      <c r="CL716">
        <f t="shared" si="254"/>
        <v>0</v>
      </c>
      <c r="CM716">
        <f>IF(AND(A716=$AO$5,B716=$AQ$3,H716=1),COUNTIFS($A$200:A716,$AO$5,$B$200:B716,$AQ$3,$H$200:H716,1),0)</f>
        <v>0</v>
      </c>
      <c r="CN716">
        <f>IF(CA716="",517,1001)</f>
        <v>517</v>
      </c>
      <c r="GA716">
        <f t="shared" si="274"/>
        <v>0</v>
      </c>
      <c r="GB716">
        <f t="shared" si="275"/>
        <v>0</v>
      </c>
      <c r="GC716">
        <f>IF(AND(C716="事件记录",H716=1),COUNTIFS($C$200:C716,"事件记录",$H$200:H716,1),0)</f>
        <v>0</v>
      </c>
      <c r="GD716">
        <f t="shared" si="255"/>
        <v>0</v>
      </c>
      <c r="GH716">
        <f>IF(AND(H716=1,A716=$GA$10,B716=$GA$11),COUNTIFS($A$200:A716,$GA$10,$B$200:B716,$GA$11,$H$200:H716,1),0)</f>
        <v>0</v>
      </c>
    </row>
    <row r="717" spans="1:190">
      <c r="A717" t="str">
        <f t="shared" si="246"/>
        <v/>
      </c>
      <c r="B717" t="str">
        <f t="shared" si="247"/>
        <v/>
      </c>
      <c r="C717" t="str">
        <f t="shared" si="248"/>
        <v/>
      </c>
      <c r="D717" t="str">
        <f t="shared" si="249"/>
        <v/>
      </c>
      <c r="E717">
        <f t="shared" si="250"/>
        <v>0</v>
      </c>
      <c r="F717" t="str">
        <f t="shared" si="251"/>
        <v/>
      </c>
      <c r="G717">
        <f t="shared" si="252"/>
        <v>0</v>
      </c>
      <c r="H717">
        <f>IF(AND(G717=1,COUNTIFS($I$200:I717,I717,$G$200:G717,1)=1),1,0)</f>
        <v>0</v>
      </c>
      <c r="I717" t="str">
        <f t="shared" si="253"/>
        <v/>
      </c>
      <c r="BF717">
        <f t="shared" si="256"/>
        <v>0</v>
      </c>
      <c r="BG717">
        <f t="shared" si="257"/>
        <v>0</v>
      </c>
      <c r="BH717">
        <f t="shared" si="258"/>
        <v>0</v>
      </c>
      <c r="BI717">
        <f t="shared" si="259"/>
        <v>0</v>
      </c>
      <c r="BJ717">
        <f t="shared" si="260"/>
        <v>0</v>
      </c>
      <c r="BK717">
        <f t="shared" si="261"/>
        <v>0</v>
      </c>
      <c r="BL717">
        <f t="shared" si="262"/>
        <v>0</v>
      </c>
      <c r="BM717">
        <f t="shared" si="263"/>
        <v>0</v>
      </c>
      <c r="BN717">
        <f t="shared" si="264"/>
        <v>0</v>
      </c>
      <c r="BO717">
        <f t="shared" si="265"/>
        <v>0</v>
      </c>
      <c r="BP717">
        <f t="shared" si="266"/>
        <v>0</v>
      </c>
      <c r="BQ717">
        <f t="shared" si="267"/>
        <v>0</v>
      </c>
      <c r="BR717">
        <f t="shared" si="268"/>
        <v>0</v>
      </c>
      <c r="BS717">
        <f t="shared" si="269"/>
        <v>0</v>
      </c>
      <c r="BT717">
        <f t="shared" si="270"/>
        <v>0</v>
      </c>
      <c r="BU717">
        <f t="shared" si="271"/>
        <v>0</v>
      </c>
      <c r="BV717">
        <f t="shared" si="272"/>
        <v>0</v>
      </c>
      <c r="BW717">
        <f t="shared" si="273"/>
        <v>0</v>
      </c>
      <c r="CA717" t="str">
        <f>IF(518&gt;ROWS(DGArchive[模组]),"",IF(INDEX(DGArchive[模组],518)="","",INDEX(DGArchive[模组],518)))</f>
        <v/>
      </c>
      <c r="CB717" t="str">
        <f>IF(518&gt;ROWS(DGArchive[阶段]),"",IF(INDEX(DGArchive[阶段],518)="","",INDEX(DGArchive[阶段],518)))</f>
        <v/>
      </c>
      <c r="CC717" t="str">
        <f>IF(518&gt;ROWS(DGArchive[游戏内日期]),"",IF(INDEX(DGArchive[游戏内日期],518)="","",INDEX(DGArchive[游戏内日期],518)))</f>
        <v/>
      </c>
      <c r="CD717" t="str">
        <f>IF(518&gt;ROWS(DGArchive[目标]),"",IF(INDEX(DGArchive[目标],518)="","",INDEX(DGArchive[目标],518)))</f>
        <v/>
      </c>
      <c r="CE717" t="str">
        <f>IF(518&gt;ROWS(DGArchive[变更前]),"",IF(INDEX(DGArchive[变更前],518)="","",INDEX(DGArchive[变更前],518)))</f>
        <v/>
      </c>
      <c r="CF717" t="str">
        <f>IF(518&gt;ROWS(DGArchive[增减]),"",IF(INDEX(DGArchive[增减],518)="","",INDEX(DGArchive[增减],518)))</f>
        <v/>
      </c>
      <c r="CG717" t="str">
        <f>IF(518&gt;ROWS(DGArchive[变更后]),"",IF(INDEX(DGArchive[变更后],518)="","",INDEX(DGArchive[变更后],518)))</f>
        <v/>
      </c>
      <c r="CH717" t="str">
        <f>IF(518&gt;ROWS(DGArchive[事件／活动]),"",IF(INDEX(DGArchive[事件／活动],518)="","",INDEX(DGArchive[事件／活动],518)))</f>
        <v/>
      </c>
      <c r="CI717" t="str">
        <f>IF(518&gt;ROWS(DGArchive[记录编号]),"",IF(INDEX(DGArchive[记录编号],518)="","",INDEX(DGArchive[记录编号],518)))</f>
        <v/>
      </c>
      <c r="CL717">
        <f t="shared" si="254"/>
        <v>0</v>
      </c>
      <c r="CM717">
        <f>IF(AND(A717=$AO$5,B717=$AQ$3,H717=1),COUNTIFS($A$200:A717,$AO$5,$B$200:B717,$AQ$3,$H$200:H717,1),0)</f>
        <v>0</v>
      </c>
      <c r="CN717">
        <f>IF(CA717="",518,1001)</f>
        <v>518</v>
      </c>
      <c r="GA717">
        <f t="shared" si="274"/>
        <v>0</v>
      </c>
      <c r="GB717">
        <f t="shared" si="275"/>
        <v>0</v>
      </c>
      <c r="GC717">
        <f>IF(AND(C717="事件记录",H717=1),COUNTIFS($C$200:C717,"事件记录",$H$200:H717,1),0)</f>
        <v>0</v>
      </c>
      <c r="GD717">
        <f t="shared" si="255"/>
        <v>0</v>
      </c>
      <c r="GH717">
        <f>IF(AND(H717=1,A717=$GA$10,B717=$GA$11),COUNTIFS($A$200:A717,$GA$10,$B$200:B717,$GA$11,$H$200:H717,1),0)</f>
        <v>0</v>
      </c>
    </row>
    <row r="718" spans="1:190">
      <c r="A718" t="str">
        <f t="shared" si="246"/>
        <v/>
      </c>
      <c r="B718" t="str">
        <f t="shared" si="247"/>
        <v/>
      </c>
      <c r="C718" t="str">
        <f t="shared" si="248"/>
        <v/>
      </c>
      <c r="D718" t="str">
        <f t="shared" si="249"/>
        <v/>
      </c>
      <c r="E718">
        <f t="shared" si="250"/>
        <v>0</v>
      </c>
      <c r="F718" t="str">
        <f t="shared" si="251"/>
        <v/>
      </c>
      <c r="G718">
        <f t="shared" si="252"/>
        <v>0</v>
      </c>
      <c r="H718">
        <f>IF(AND(G718=1,COUNTIFS($I$200:I718,I718,$G$200:G718,1)=1),1,0)</f>
        <v>0</v>
      </c>
      <c r="I718" t="str">
        <f t="shared" si="253"/>
        <v/>
      </c>
      <c r="BF718">
        <f t="shared" si="256"/>
        <v>0</v>
      </c>
      <c r="BG718">
        <f t="shared" si="257"/>
        <v>0</v>
      </c>
      <c r="BH718">
        <f t="shared" si="258"/>
        <v>0</v>
      </c>
      <c r="BI718">
        <f t="shared" si="259"/>
        <v>0</v>
      </c>
      <c r="BJ718">
        <f t="shared" si="260"/>
        <v>0</v>
      </c>
      <c r="BK718">
        <f t="shared" si="261"/>
        <v>0</v>
      </c>
      <c r="BL718">
        <f t="shared" si="262"/>
        <v>0</v>
      </c>
      <c r="BM718">
        <f t="shared" si="263"/>
        <v>0</v>
      </c>
      <c r="BN718">
        <f t="shared" si="264"/>
        <v>0</v>
      </c>
      <c r="BO718">
        <f t="shared" si="265"/>
        <v>0</v>
      </c>
      <c r="BP718">
        <f t="shared" si="266"/>
        <v>0</v>
      </c>
      <c r="BQ718">
        <f t="shared" si="267"/>
        <v>0</v>
      </c>
      <c r="BR718">
        <f t="shared" si="268"/>
        <v>0</v>
      </c>
      <c r="BS718">
        <f t="shared" si="269"/>
        <v>0</v>
      </c>
      <c r="BT718">
        <f t="shared" si="270"/>
        <v>0</v>
      </c>
      <c r="BU718">
        <f t="shared" si="271"/>
        <v>0</v>
      </c>
      <c r="BV718">
        <f t="shared" si="272"/>
        <v>0</v>
      </c>
      <c r="BW718">
        <f t="shared" si="273"/>
        <v>0</v>
      </c>
      <c r="CA718" t="str">
        <f>IF(519&gt;ROWS(DGArchive[模组]),"",IF(INDEX(DGArchive[模组],519)="","",INDEX(DGArchive[模组],519)))</f>
        <v/>
      </c>
      <c r="CB718" t="str">
        <f>IF(519&gt;ROWS(DGArchive[阶段]),"",IF(INDEX(DGArchive[阶段],519)="","",INDEX(DGArchive[阶段],519)))</f>
        <v/>
      </c>
      <c r="CC718" t="str">
        <f>IF(519&gt;ROWS(DGArchive[游戏内日期]),"",IF(INDEX(DGArchive[游戏内日期],519)="","",INDEX(DGArchive[游戏内日期],519)))</f>
        <v/>
      </c>
      <c r="CD718" t="str">
        <f>IF(519&gt;ROWS(DGArchive[目标]),"",IF(INDEX(DGArchive[目标],519)="","",INDEX(DGArchive[目标],519)))</f>
        <v/>
      </c>
      <c r="CE718" t="str">
        <f>IF(519&gt;ROWS(DGArchive[变更前]),"",IF(INDEX(DGArchive[变更前],519)="","",INDEX(DGArchive[变更前],519)))</f>
        <v/>
      </c>
      <c r="CF718" t="str">
        <f>IF(519&gt;ROWS(DGArchive[增减]),"",IF(INDEX(DGArchive[增减],519)="","",INDEX(DGArchive[增减],519)))</f>
        <v/>
      </c>
      <c r="CG718" t="str">
        <f>IF(519&gt;ROWS(DGArchive[变更后]),"",IF(INDEX(DGArchive[变更后],519)="","",INDEX(DGArchive[变更后],519)))</f>
        <v/>
      </c>
      <c r="CH718" t="str">
        <f>IF(519&gt;ROWS(DGArchive[事件／活动]),"",IF(INDEX(DGArchive[事件／活动],519)="","",INDEX(DGArchive[事件／活动],519)))</f>
        <v/>
      </c>
      <c r="CI718" t="str">
        <f>IF(519&gt;ROWS(DGArchive[记录编号]),"",IF(INDEX(DGArchive[记录编号],519)="","",INDEX(DGArchive[记录编号],519)))</f>
        <v/>
      </c>
      <c r="CL718">
        <f t="shared" si="254"/>
        <v>0</v>
      </c>
      <c r="CM718">
        <f>IF(AND(A718=$AO$5,B718=$AQ$3,H718=1),COUNTIFS($A$200:A718,$AO$5,$B$200:B718,$AQ$3,$H$200:H718,1),0)</f>
        <v>0</v>
      </c>
      <c r="CN718">
        <f>IF(CA718="",519,1001)</f>
        <v>519</v>
      </c>
      <c r="GA718">
        <f t="shared" si="274"/>
        <v>0</v>
      </c>
      <c r="GB718">
        <f t="shared" si="275"/>
        <v>0</v>
      </c>
      <c r="GC718">
        <f>IF(AND(C718="事件记录",H718=1),COUNTIFS($C$200:C718,"事件记录",$H$200:H718,1),0)</f>
        <v>0</v>
      </c>
      <c r="GD718">
        <f t="shared" si="255"/>
        <v>0</v>
      </c>
      <c r="GH718">
        <f>IF(AND(H718=1,A718=$GA$10,B718=$GA$11),COUNTIFS($A$200:A718,$GA$10,$B$200:B718,$GA$11,$H$200:H718,1),0)</f>
        <v>0</v>
      </c>
    </row>
    <row r="719" spans="1:190">
      <c r="A719" t="str">
        <f t="shared" si="246"/>
        <v/>
      </c>
      <c r="B719" t="str">
        <f t="shared" si="247"/>
        <v/>
      </c>
      <c r="C719" t="str">
        <f t="shared" si="248"/>
        <v/>
      </c>
      <c r="D719" t="str">
        <f t="shared" si="249"/>
        <v/>
      </c>
      <c r="E719">
        <f t="shared" si="250"/>
        <v>0</v>
      </c>
      <c r="F719" t="str">
        <f t="shared" si="251"/>
        <v/>
      </c>
      <c r="G719">
        <f t="shared" si="252"/>
        <v>0</v>
      </c>
      <c r="H719">
        <f>IF(AND(G719=1,COUNTIFS($I$200:I719,I719,$G$200:G719,1)=1),1,0)</f>
        <v>0</v>
      </c>
      <c r="I719" t="str">
        <f t="shared" si="253"/>
        <v/>
      </c>
      <c r="BF719">
        <f t="shared" si="256"/>
        <v>0</v>
      </c>
      <c r="BG719">
        <f t="shared" si="257"/>
        <v>0</v>
      </c>
      <c r="BH719">
        <f t="shared" si="258"/>
        <v>0</v>
      </c>
      <c r="BI719">
        <f t="shared" si="259"/>
        <v>0</v>
      </c>
      <c r="BJ719">
        <f t="shared" si="260"/>
        <v>0</v>
      </c>
      <c r="BK719">
        <f t="shared" si="261"/>
        <v>0</v>
      </c>
      <c r="BL719">
        <f t="shared" si="262"/>
        <v>0</v>
      </c>
      <c r="BM719">
        <f t="shared" si="263"/>
        <v>0</v>
      </c>
      <c r="BN719">
        <f t="shared" si="264"/>
        <v>0</v>
      </c>
      <c r="BO719">
        <f t="shared" si="265"/>
        <v>0</v>
      </c>
      <c r="BP719">
        <f t="shared" si="266"/>
        <v>0</v>
      </c>
      <c r="BQ719">
        <f t="shared" si="267"/>
        <v>0</v>
      </c>
      <c r="BR719">
        <f t="shared" si="268"/>
        <v>0</v>
      </c>
      <c r="BS719">
        <f t="shared" si="269"/>
        <v>0</v>
      </c>
      <c r="BT719">
        <f t="shared" si="270"/>
        <v>0</v>
      </c>
      <c r="BU719">
        <f t="shared" si="271"/>
        <v>0</v>
      </c>
      <c r="BV719">
        <f t="shared" si="272"/>
        <v>0</v>
      </c>
      <c r="BW719">
        <f t="shared" si="273"/>
        <v>0</v>
      </c>
      <c r="CA719" t="str">
        <f>IF(520&gt;ROWS(DGArchive[模组]),"",IF(INDEX(DGArchive[模组],520)="","",INDEX(DGArchive[模组],520)))</f>
        <v/>
      </c>
      <c r="CB719" t="str">
        <f>IF(520&gt;ROWS(DGArchive[阶段]),"",IF(INDEX(DGArchive[阶段],520)="","",INDEX(DGArchive[阶段],520)))</f>
        <v/>
      </c>
      <c r="CC719" t="str">
        <f>IF(520&gt;ROWS(DGArchive[游戏内日期]),"",IF(INDEX(DGArchive[游戏内日期],520)="","",INDEX(DGArchive[游戏内日期],520)))</f>
        <v/>
      </c>
      <c r="CD719" t="str">
        <f>IF(520&gt;ROWS(DGArchive[目标]),"",IF(INDEX(DGArchive[目标],520)="","",INDEX(DGArchive[目标],520)))</f>
        <v/>
      </c>
      <c r="CE719" t="str">
        <f>IF(520&gt;ROWS(DGArchive[变更前]),"",IF(INDEX(DGArchive[变更前],520)="","",INDEX(DGArchive[变更前],520)))</f>
        <v/>
      </c>
      <c r="CF719" t="str">
        <f>IF(520&gt;ROWS(DGArchive[增减]),"",IF(INDEX(DGArchive[增减],520)="","",INDEX(DGArchive[增减],520)))</f>
        <v/>
      </c>
      <c r="CG719" t="str">
        <f>IF(520&gt;ROWS(DGArchive[变更后]),"",IF(INDEX(DGArchive[变更后],520)="","",INDEX(DGArchive[变更后],520)))</f>
        <v/>
      </c>
      <c r="CH719" t="str">
        <f>IF(520&gt;ROWS(DGArchive[事件／活动]),"",IF(INDEX(DGArchive[事件／活动],520)="","",INDEX(DGArchive[事件／活动],520)))</f>
        <v/>
      </c>
      <c r="CI719" t="str">
        <f>IF(520&gt;ROWS(DGArchive[记录编号]),"",IF(INDEX(DGArchive[记录编号],520)="","",INDEX(DGArchive[记录编号],520)))</f>
        <v/>
      </c>
      <c r="CL719">
        <f t="shared" si="254"/>
        <v>0</v>
      </c>
      <c r="CM719">
        <f>IF(AND(A719=$AO$5,B719=$AQ$3,H719=1),COUNTIFS($A$200:A719,$AO$5,$B$200:B719,$AQ$3,$H$200:H719,1),0)</f>
        <v>0</v>
      </c>
      <c r="CN719">
        <f>IF(CA719="",520,1001)</f>
        <v>520</v>
      </c>
      <c r="GA719">
        <f t="shared" si="274"/>
        <v>0</v>
      </c>
      <c r="GB719">
        <f t="shared" si="275"/>
        <v>0</v>
      </c>
      <c r="GC719">
        <f>IF(AND(C719="事件记录",H719=1),COUNTIFS($C$200:C719,"事件记录",$H$200:H719,1),0)</f>
        <v>0</v>
      </c>
      <c r="GD719">
        <f t="shared" si="255"/>
        <v>0</v>
      </c>
      <c r="GH719">
        <f>IF(AND(H719=1,A719=$GA$10,B719=$GA$11),COUNTIFS($A$200:A719,$GA$10,$B$200:B719,$GA$11,$H$200:H719,1),0)</f>
        <v>0</v>
      </c>
    </row>
    <row r="720" spans="1:190">
      <c r="A720" t="str">
        <f t="shared" si="246"/>
        <v/>
      </c>
      <c r="B720" t="str">
        <f t="shared" si="247"/>
        <v/>
      </c>
      <c r="C720" t="str">
        <f t="shared" si="248"/>
        <v/>
      </c>
      <c r="D720" t="str">
        <f t="shared" si="249"/>
        <v/>
      </c>
      <c r="E720">
        <f t="shared" si="250"/>
        <v>0</v>
      </c>
      <c r="F720" t="str">
        <f t="shared" si="251"/>
        <v/>
      </c>
      <c r="G720">
        <f t="shared" si="252"/>
        <v>0</v>
      </c>
      <c r="H720">
        <f>IF(AND(G720=1,COUNTIFS($I$200:I720,I720,$G$200:G720,1)=1),1,0)</f>
        <v>0</v>
      </c>
      <c r="I720" t="str">
        <f t="shared" si="253"/>
        <v/>
      </c>
      <c r="BF720">
        <f t="shared" si="256"/>
        <v>0</v>
      </c>
      <c r="BG720">
        <f t="shared" si="257"/>
        <v>0</v>
      </c>
      <c r="BH720">
        <f t="shared" si="258"/>
        <v>0</v>
      </c>
      <c r="BI720">
        <f t="shared" si="259"/>
        <v>0</v>
      </c>
      <c r="BJ720">
        <f t="shared" si="260"/>
        <v>0</v>
      </c>
      <c r="BK720">
        <f t="shared" si="261"/>
        <v>0</v>
      </c>
      <c r="BL720">
        <f t="shared" si="262"/>
        <v>0</v>
      </c>
      <c r="BM720">
        <f t="shared" si="263"/>
        <v>0</v>
      </c>
      <c r="BN720">
        <f t="shared" si="264"/>
        <v>0</v>
      </c>
      <c r="BO720">
        <f t="shared" si="265"/>
        <v>0</v>
      </c>
      <c r="BP720">
        <f t="shared" si="266"/>
        <v>0</v>
      </c>
      <c r="BQ720">
        <f t="shared" si="267"/>
        <v>0</v>
      </c>
      <c r="BR720">
        <f t="shared" si="268"/>
        <v>0</v>
      </c>
      <c r="BS720">
        <f t="shared" si="269"/>
        <v>0</v>
      </c>
      <c r="BT720">
        <f t="shared" si="270"/>
        <v>0</v>
      </c>
      <c r="BU720">
        <f t="shared" si="271"/>
        <v>0</v>
      </c>
      <c r="BV720">
        <f t="shared" si="272"/>
        <v>0</v>
      </c>
      <c r="BW720">
        <f t="shared" si="273"/>
        <v>0</v>
      </c>
      <c r="CA720" t="str">
        <f>IF(521&gt;ROWS(DGArchive[模组]),"",IF(INDEX(DGArchive[模组],521)="","",INDEX(DGArchive[模组],521)))</f>
        <v/>
      </c>
      <c r="CB720" t="str">
        <f>IF(521&gt;ROWS(DGArchive[阶段]),"",IF(INDEX(DGArchive[阶段],521)="","",INDEX(DGArchive[阶段],521)))</f>
        <v/>
      </c>
      <c r="CC720" t="str">
        <f>IF(521&gt;ROWS(DGArchive[游戏内日期]),"",IF(INDEX(DGArchive[游戏内日期],521)="","",INDEX(DGArchive[游戏内日期],521)))</f>
        <v/>
      </c>
      <c r="CD720" t="str">
        <f>IF(521&gt;ROWS(DGArchive[目标]),"",IF(INDEX(DGArchive[目标],521)="","",INDEX(DGArchive[目标],521)))</f>
        <v/>
      </c>
      <c r="CE720" t="str">
        <f>IF(521&gt;ROWS(DGArchive[变更前]),"",IF(INDEX(DGArchive[变更前],521)="","",INDEX(DGArchive[变更前],521)))</f>
        <v/>
      </c>
      <c r="CF720" t="str">
        <f>IF(521&gt;ROWS(DGArchive[增减]),"",IF(INDEX(DGArchive[增减],521)="","",INDEX(DGArchive[增减],521)))</f>
        <v/>
      </c>
      <c r="CG720" t="str">
        <f>IF(521&gt;ROWS(DGArchive[变更后]),"",IF(INDEX(DGArchive[变更后],521)="","",INDEX(DGArchive[变更后],521)))</f>
        <v/>
      </c>
      <c r="CH720" t="str">
        <f>IF(521&gt;ROWS(DGArchive[事件／活动]),"",IF(INDEX(DGArchive[事件／活动],521)="","",INDEX(DGArchive[事件／活动],521)))</f>
        <v/>
      </c>
      <c r="CI720" t="str">
        <f>IF(521&gt;ROWS(DGArchive[记录编号]),"",IF(INDEX(DGArchive[记录编号],521)="","",INDEX(DGArchive[记录编号],521)))</f>
        <v/>
      </c>
      <c r="CL720">
        <f t="shared" si="254"/>
        <v>0</v>
      </c>
      <c r="CM720">
        <f>IF(AND(A720=$AO$5,B720=$AQ$3,H720=1),COUNTIFS($A$200:A720,$AO$5,$B$200:B720,$AQ$3,$H$200:H720,1),0)</f>
        <v>0</v>
      </c>
      <c r="CN720">
        <f>IF(CA720="",521,1001)</f>
        <v>521</v>
      </c>
      <c r="GA720">
        <f t="shared" si="274"/>
        <v>0</v>
      </c>
      <c r="GB720">
        <f t="shared" si="275"/>
        <v>0</v>
      </c>
      <c r="GC720">
        <f>IF(AND(C720="事件记录",H720=1),COUNTIFS($C$200:C720,"事件记录",$H$200:H720,1),0)</f>
        <v>0</v>
      </c>
      <c r="GD720">
        <f t="shared" si="255"/>
        <v>0</v>
      </c>
      <c r="GH720">
        <f>IF(AND(H720=1,A720=$GA$10,B720=$GA$11),COUNTIFS($A$200:A720,$GA$10,$B$200:B720,$GA$11,$H$200:H720,1),0)</f>
        <v>0</v>
      </c>
    </row>
    <row r="721" spans="1:190">
      <c r="A721" t="str">
        <f t="shared" si="246"/>
        <v/>
      </c>
      <c r="B721" t="str">
        <f t="shared" si="247"/>
        <v/>
      </c>
      <c r="C721" t="str">
        <f t="shared" si="248"/>
        <v/>
      </c>
      <c r="D721" t="str">
        <f t="shared" si="249"/>
        <v/>
      </c>
      <c r="E721">
        <f t="shared" si="250"/>
        <v>0</v>
      </c>
      <c r="F721" t="str">
        <f t="shared" si="251"/>
        <v/>
      </c>
      <c r="G721">
        <f t="shared" si="252"/>
        <v>0</v>
      </c>
      <c r="H721">
        <f>IF(AND(G721=1,COUNTIFS($I$200:I721,I721,$G$200:G721,1)=1),1,0)</f>
        <v>0</v>
      </c>
      <c r="I721" t="str">
        <f t="shared" si="253"/>
        <v/>
      </c>
      <c r="BF721">
        <f t="shared" si="256"/>
        <v>0</v>
      </c>
      <c r="BG721">
        <f t="shared" si="257"/>
        <v>0</v>
      </c>
      <c r="BH721">
        <f t="shared" si="258"/>
        <v>0</v>
      </c>
      <c r="BI721">
        <f t="shared" si="259"/>
        <v>0</v>
      </c>
      <c r="BJ721">
        <f t="shared" si="260"/>
        <v>0</v>
      </c>
      <c r="BK721">
        <f t="shared" si="261"/>
        <v>0</v>
      </c>
      <c r="BL721">
        <f t="shared" si="262"/>
        <v>0</v>
      </c>
      <c r="BM721">
        <f t="shared" si="263"/>
        <v>0</v>
      </c>
      <c r="BN721">
        <f t="shared" si="264"/>
        <v>0</v>
      </c>
      <c r="BO721">
        <f t="shared" si="265"/>
        <v>0</v>
      </c>
      <c r="BP721">
        <f t="shared" si="266"/>
        <v>0</v>
      </c>
      <c r="BQ721">
        <f t="shared" si="267"/>
        <v>0</v>
      </c>
      <c r="BR721">
        <f t="shared" si="268"/>
        <v>0</v>
      </c>
      <c r="BS721">
        <f t="shared" si="269"/>
        <v>0</v>
      </c>
      <c r="BT721">
        <f t="shared" si="270"/>
        <v>0</v>
      </c>
      <c r="BU721">
        <f t="shared" si="271"/>
        <v>0</v>
      </c>
      <c r="BV721">
        <f t="shared" si="272"/>
        <v>0</v>
      </c>
      <c r="BW721">
        <f t="shared" si="273"/>
        <v>0</v>
      </c>
      <c r="CA721" t="str">
        <f>IF(522&gt;ROWS(DGArchive[模组]),"",IF(INDEX(DGArchive[模组],522)="","",INDEX(DGArchive[模组],522)))</f>
        <v/>
      </c>
      <c r="CB721" t="str">
        <f>IF(522&gt;ROWS(DGArchive[阶段]),"",IF(INDEX(DGArchive[阶段],522)="","",INDEX(DGArchive[阶段],522)))</f>
        <v/>
      </c>
      <c r="CC721" t="str">
        <f>IF(522&gt;ROWS(DGArchive[游戏内日期]),"",IF(INDEX(DGArchive[游戏内日期],522)="","",INDEX(DGArchive[游戏内日期],522)))</f>
        <v/>
      </c>
      <c r="CD721" t="str">
        <f>IF(522&gt;ROWS(DGArchive[目标]),"",IF(INDEX(DGArchive[目标],522)="","",INDEX(DGArchive[目标],522)))</f>
        <v/>
      </c>
      <c r="CE721" t="str">
        <f>IF(522&gt;ROWS(DGArchive[变更前]),"",IF(INDEX(DGArchive[变更前],522)="","",INDEX(DGArchive[变更前],522)))</f>
        <v/>
      </c>
      <c r="CF721" t="str">
        <f>IF(522&gt;ROWS(DGArchive[增减]),"",IF(INDEX(DGArchive[增减],522)="","",INDEX(DGArchive[增减],522)))</f>
        <v/>
      </c>
      <c r="CG721" t="str">
        <f>IF(522&gt;ROWS(DGArchive[变更后]),"",IF(INDEX(DGArchive[变更后],522)="","",INDEX(DGArchive[变更后],522)))</f>
        <v/>
      </c>
      <c r="CH721" t="str">
        <f>IF(522&gt;ROWS(DGArchive[事件／活动]),"",IF(INDEX(DGArchive[事件／活动],522)="","",INDEX(DGArchive[事件／活动],522)))</f>
        <v/>
      </c>
      <c r="CI721" t="str">
        <f>IF(522&gt;ROWS(DGArchive[记录编号]),"",IF(INDEX(DGArchive[记录编号],522)="","",INDEX(DGArchive[记录编号],522)))</f>
        <v/>
      </c>
      <c r="CL721">
        <f t="shared" si="254"/>
        <v>0</v>
      </c>
      <c r="CM721">
        <f>IF(AND(A721=$AO$5,B721=$AQ$3,H721=1),COUNTIFS($A$200:A721,$AO$5,$B$200:B721,$AQ$3,$H$200:H721,1),0)</f>
        <v>0</v>
      </c>
      <c r="CN721">
        <f>IF(CA721="",522,1001)</f>
        <v>522</v>
      </c>
      <c r="GA721">
        <f t="shared" si="274"/>
        <v>0</v>
      </c>
      <c r="GB721">
        <f t="shared" si="275"/>
        <v>0</v>
      </c>
      <c r="GC721">
        <f>IF(AND(C721="事件记录",H721=1),COUNTIFS($C$200:C721,"事件记录",$H$200:H721,1),0)</f>
        <v>0</v>
      </c>
      <c r="GD721">
        <f t="shared" si="255"/>
        <v>0</v>
      </c>
      <c r="GH721">
        <f>IF(AND(H721=1,A721=$GA$10,B721=$GA$11),COUNTIFS($A$200:A721,$GA$10,$B$200:B721,$GA$11,$H$200:H721,1),0)</f>
        <v>0</v>
      </c>
    </row>
    <row r="722" spans="1:190">
      <c r="A722" t="str">
        <f t="shared" si="246"/>
        <v/>
      </c>
      <c r="B722" t="str">
        <f t="shared" si="247"/>
        <v/>
      </c>
      <c r="C722" t="str">
        <f t="shared" si="248"/>
        <v/>
      </c>
      <c r="D722" t="str">
        <f t="shared" si="249"/>
        <v/>
      </c>
      <c r="E722">
        <f t="shared" si="250"/>
        <v>0</v>
      </c>
      <c r="F722" t="str">
        <f t="shared" si="251"/>
        <v/>
      </c>
      <c r="G722">
        <f t="shared" si="252"/>
        <v>0</v>
      </c>
      <c r="H722">
        <f>IF(AND(G722=1,COUNTIFS($I$200:I722,I722,$G$200:G722,1)=1),1,0)</f>
        <v>0</v>
      </c>
      <c r="I722" t="str">
        <f t="shared" si="253"/>
        <v/>
      </c>
      <c r="BF722">
        <f t="shared" si="256"/>
        <v>0</v>
      </c>
      <c r="BG722">
        <f t="shared" si="257"/>
        <v>0</v>
      </c>
      <c r="BH722">
        <f t="shared" si="258"/>
        <v>0</v>
      </c>
      <c r="BI722">
        <f t="shared" si="259"/>
        <v>0</v>
      </c>
      <c r="BJ722">
        <f t="shared" si="260"/>
        <v>0</v>
      </c>
      <c r="BK722">
        <f t="shared" si="261"/>
        <v>0</v>
      </c>
      <c r="BL722">
        <f t="shared" si="262"/>
        <v>0</v>
      </c>
      <c r="BM722">
        <f t="shared" si="263"/>
        <v>0</v>
      </c>
      <c r="BN722">
        <f t="shared" si="264"/>
        <v>0</v>
      </c>
      <c r="BO722">
        <f t="shared" si="265"/>
        <v>0</v>
      </c>
      <c r="BP722">
        <f t="shared" si="266"/>
        <v>0</v>
      </c>
      <c r="BQ722">
        <f t="shared" si="267"/>
        <v>0</v>
      </c>
      <c r="BR722">
        <f t="shared" si="268"/>
        <v>0</v>
      </c>
      <c r="BS722">
        <f t="shared" si="269"/>
        <v>0</v>
      </c>
      <c r="BT722">
        <f t="shared" si="270"/>
        <v>0</v>
      </c>
      <c r="BU722">
        <f t="shared" si="271"/>
        <v>0</v>
      </c>
      <c r="BV722">
        <f t="shared" si="272"/>
        <v>0</v>
      </c>
      <c r="BW722">
        <f t="shared" si="273"/>
        <v>0</v>
      </c>
      <c r="CA722" t="str">
        <f>IF(523&gt;ROWS(DGArchive[模组]),"",IF(INDEX(DGArchive[模组],523)="","",INDEX(DGArchive[模组],523)))</f>
        <v/>
      </c>
      <c r="CB722" t="str">
        <f>IF(523&gt;ROWS(DGArchive[阶段]),"",IF(INDEX(DGArchive[阶段],523)="","",INDEX(DGArchive[阶段],523)))</f>
        <v/>
      </c>
      <c r="CC722" t="str">
        <f>IF(523&gt;ROWS(DGArchive[游戏内日期]),"",IF(INDEX(DGArchive[游戏内日期],523)="","",INDEX(DGArchive[游戏内日期],523)))</f>
        <v/>
      </c>
      <c r="CD722" t="str">
        <f>IF(523&gt;ROWS(DGArchive[目标]),"",IF(INDEX(DGArchive[目标],523)="","",INDEX(DGArchive[目标],523)))</f>
        <v/>
      </c>
      <c r="CE722" t="str">
        <f>IF(523&gt;ROWS(DGArchive[变更前]),"",IF(INDEX(DGArchive[变更前],523)="","",INDEX(DGArchive[变更前],523)))</f>
        <v/>
      </c>
      <c r="CF722" t="str">
        <f>IF(523&gt;ROWS(DGArchive[增减]),"",IF(INDEX(DGArchive[增减],523)="","",INDEX(DGArchive[增减],523)))</f>
        <v/>
      </c>
      <c r="CG722" t="str">
        <f>IF(523&gt;ROWS(DGArchive[变更后]),"",IF(INDEX(DGArchive[变更后],523)="","",INDEX(DGArchive[变更后],523)))</f>
        <v/>
      </c>
      <c r="CH722" t="str">
        <f>IF(523&gt;ROWS(DGArchive[事件／活动]),"",IF(INDEX(DGArchive[事件／活动],523)="","",INDEX(DGArchive[事件／活动],523)))</f>
        <v/>
      </c>
      <c r="CI722" t="str">
        <f>IF(523&gt;ROWS(DGArchive[记录编号]),"",IF(INDEX(DGArchive[记录编号],523)="","",INDEX(DGArchive[记录编号],523)))</f>
        <v/>
      </c>
      <c r="CL722">
        <f t="shared" si="254"/>
        <v>0</v>
      </c>
      <c r="CM722">
        <f>IF(AND(A722=$AO$5,B722=$AQ$3,H722=1),COUNTIFS($A$200:A722,$AO$5,$B$200:B722,$AQ$3,$H$200:H722,1),0)</f>
        <v>0</v>
      </c>
      <c r="CN722">
        <f>IF(CA722="",523,1001)</f>
        <v>523</v>
      </c>
      <c r="GA722">
        <f t="shared" si="274"/>
        <v>0</v>
      </c>
      <c r="GB722">
        <f t="shared" si="275"/>
        <v>0</v>
      </c>
      <c r="GC722">
        <f>IF(AND(C722="事件记录",H722=1),COUNTIFS($C$200:C722,"事件记录",$H$200:H722,1),0)</f>
        <v>0</v>
      </c>
      <c r="GD722">
        <f t="shared" si="255"/>
        <v>0</v>
      </c>
      <c r="GH722">
        <f>IF(AND(H722=1,A722=$GA$10,B722=$GA$11),COUNTIFS($A$200:A722,$GA$10,$B$200:B722,$GA$11,$H$200:H722,1),0)</f>
        <v>0</v>
      </c>
    </row>
    <row r="723" spans="1:190">
      <c r="A723" t="str">
        <f t="shared" si="246"/>
        <v/>
      </c>
      <c r="B723" t="str">
        <f t="shared" si="247"/>
        <v/>
      </c>
      <c r="C723" t="str">
        <f t="shared" si="248"/>
        <v/>
      </c>
      <c r="D723" t="str">
        <f t="shared" si="249"/>
        <v/>
      </c>
      <c r="E723">
        <f t="shared" si="250"/>
        <v>0</v>
      </c>
      <c r="F723" t="str">
        <f t="shared" si="251"/>
        <v/>
      </c>
      <c r="G723">
        <f t="shared" si="252"/>
        <v>0</v>
      </c>
      <c r="H723">
        <f>IF(AND(G723=1,COUNTIFS($I$200:I723,I723,$G$200:G723,1)=1),1,0)</f>
        <v>0</v>
      </c>
      <c r="I723" t="str">
        <f t="shared" si="253"/>
        <v/>
      </c>
      <c r="BF723">
        <f t="shared" si="256"/>
        <v>0</v>
      </c>
      <c r="BG723">
        <f t="shared" si="257"/>
        <v>0</v>
      </c>
      <c r="BH723">
        <f t="shared" si="258"/>
        <v>0</v>
      </c>
      <c r="BI723">
        <f t="shared" si="259"/>
        <v>0</v>
      </c>
      <c r="BJ723">
        <f t="shared" si="260"/>
        <v>0</v>
      </c>
      <c r="BK723">
        <f t="shared" si="261"/>
        <v>0</v>
      </c>
      <c r="BL723">
        <f t="shared" si="262"/>
        <v>0</v>
      </c>
      <c r="BM723">
        <f t="shared" si="263"/>
        <v>0</v>
      </c>
      <c r="BN723">
        <f t="shared" si="264"/>
        <v>0</v>
      </c>
      <c r="BO723">
        <f t="shared" si="265"/>
        <v>0</v>
      </c>
      <c r="BP723">
        <f t="shared" si="266"/>
        <v>0</v>
      </c>
      <c r="BQ723">
        <f t="shared" si="267"/>
        <v>0</v>
      </c>
      <c r="BR723">
        <f t="shared" si="268"/>
        <v>0</v>
      </c>
      <c r="BS723">
        <f t="shared" si="269"/>
        <v>0</v>
      </c>
      <c r="BT723">
        <f t="shared" si="270"/>
        <v>0</v>
      </c>
      <c r="BU723">
        <f t="shared" si="271"/>
        <v>0</v>
      </c>
      <c r="BV723">
        <f t="shared" si="272"/>
        <v>0</v>
      </c>
      <c r="BW723">
        <f t="shared" si="273"/>
        <v>0</v>
      </c>
      <c r="CA723" t="str">
        <f>IF(524&gt;ROWS(DGArchive[模组]),"",IF(INDEX(DGArchive[模组],524)="","",INDEX(DGArchive[模组],524)))</f>
        <v/>
      </c>
      <c r="CB723" t="str">
        <f>IF(524&gt;ROWS(DGArchive[阶段]),"",IF(INDEX(DGArchive[阶段],524)="","",INDEX(DGArchive[阶段],524)))</f>
        <v/>
      </c>
      <c r="CC723" t="str">
        <f>IF(524&gt;ROWS(DGArchive[游戏内日期]),"",IF(INDEX(DGArchive[游戏内日期],524)="","",INDEX(DGArchive[游戏内日期],524)))</f>
        <v/>
      </c>
      <c r="CD723" t="str">
        <f>IF(524&gt;ROWS(DGArchive[目标]),"",IF(INDEX(DGArchive[目标],524)="","",INDEX(DGArchive[目标],524)))</f>
        <v/>
      </c>
      <c r="CE723" t="str">
        <f>IF(524&gt;ROWS(DGArchive[变更前]),"",IF(INDEX(DGArchive[变更前],524)="","",INDEX(DGArchive[变更前],524)))</f>
        <v/>
      </c>
      <c r="CF723" t="str">
        <f>IF(524&gt;ROWS(DGArchive[增减]),"",IF(INDEX(DGArchive[增减],524)="","",INDEX(DGArchive[增减],524)))</f>
        <v/>
      </c>
      <c r="CG723" t="str">
        <f>IF(524&gt;ROWS(DGArchive[变更后]),"",IF(INDEX(DGArchive[变更后],524)="","",INDEX(DGArchive[变更后],524)))</f>
        <v/>
      </c>
      <c r="CH723" t="str">
        <f>IF(524&gt;ROWS(DGArchive[事件／活动]),"",IF(INDEX(DGArchive[事件／活动],524)="","",INDEX(DGArchive[事件／活动],524)))</f>
        <v/>
      </c>
      <c r="CI723" t="str">
        <f>IF(524&gt;ROWS(DGArchive[记录编号]),"",IF(INDEX(DGArchive[记录编号],524)="","",INDEX(DGArchive[记录编号],524)))</f>
        <v/>
      </c>
      <c r="CL723">
        <f t="shared" si="254"/>
        <v>0</v>
      </c>
      <c r="CM723">
        <f>IF(AND(A723=$AO$5,B723=$AQ$3,H723=1),COUNTIFS($A$200:A723,$AO$5,$B$200:B723,$AQ$3,$H$200:H723,1),0)</f>
        <v>0</v>
      </c>
      <c r="CN723">
        <f>IF(CA723="",524,1001)</f>
        <v>524</v>
      </c>
      <c r="GA723">
        <f t="shared" si="274"/>
        <v>0</v>
      </c>
      <c r="GB723">
        <f t="shared" si="275"/>
        <v>0</v>
      </c>
      <c r="GC723">
        <f>IF(AND(C723="事件记录",H723=1),COUNTIFS($C$200:C723,"事件记录",$H$200:H723,1),0)</f>
        <v>0</v>
      </c>
      <c r="GD723">
        <f t="shared" si="255"/>
        <v>0</v>
      </c>
      <c r="GH723">
        <f>IF(AND(H723=1,A723=$GA$10,B723=$GA$11),COUNTIFS($A$200:A723,$GA$10,$B$200:B723,$GA$11,$H$200:H723,1),0)</f>
        <v>0</v>
      </c>
    </row>
    <row r="724" spans="1:190">
      <c r="A724" t="str">
        <f t="shared" si="246"/>
        <v/>
      </c>
      <c r="B724" t="str">
        <f t="shared" si="247"/>
        <v/>
      </c>
      <c r="C724" t="str">
        <f t="shared" si="248"/>
        <v/>
      </c>
      <c r="D724" t="str">
        <f t="shared" si="249"/>
        <v/>
      </c>
      <c r="E724">
        <f t="shared" si="250"/>
        <v>0</v>
      </c>
      <c r="F724" t="str">
        <f t="shared" si="251"/>
        <v/>
      </c>
      <c r="G724">
        <f t="shared" si="252"/>
        <v>0</v>
      </c>
      <c r="H724">
        <f>IF(AND(G724=1,COUNTIFS($I$200:I724,I724,$G$200:G724,1)=1),1,0)</f>
        <v>0</v>
      </c>
      <c r="I724" t="str">
        <f t="shared" si="253"/>
        <v/>
      </c>
      <c r="BF724">
        <f t="shared" si="256"/>
        <v>0</v>
      </c>
      <c r="BG724">
        <f t="shared" si="257"/>
        <v>0</v>
      </c>
      <c r="BH724">
        <f t="shared" si="258"/>
        <v>0</v>
      </c>
      <c r="BI724">
        <f t="shared" si="259"/>
        <v>0</v>
      </c>
      <c r="BJ724">
        <f t="shared" si="260"/>
        <v>0</v>
      </c>
      <c r="BK724">
        <f t="shared" si="261"/>
        <v>0</v>
      </c>
      <c r="BL724">
        <f t="shared" si="262"/>
        <v>0</v>
      </c>
      <c r="BM724">
        <f t="shared" si="263"/>
        <v>0</v>
      </c>
      <c r="BN724">
        <f t="shared" si="264"/>
        <v>0</v>
      </c>
      <c r="BO724">
        <f t="shared" si="265"/>
        <v>0</v>
      </c>
      <c r="BP724">
        <f t="shared" si="266"/>
        <v>0</v>
      </c>
      <c r="BQ724">
        <f t="shared" si="267"/>
        <v>0</v>
      </c>
      <c r="BR724">
        <f t="shared" si="268"/>
        <v>0</v>
      </c>
      <c r="BS724">
        <f t="shared" si="269"/>
        <v>0</v>
      </c>
      <c r="BT724">
        <f t="shared" si="270"/>
        <v>0</v>
      </c>
      <c r="BU724">
        <f t="shared" si="271"/>
        <v>0</v>
      </c>
      <c r="BV724">
        <f t="shared" si="272"/>
        <v>0</v>
      </c>
      <c r="BW724">
        <f t="shared" si="273"/>
        <v>0</v>
      </c>
      <c r="CA724" t="str">
        <f>IF(525&gt;ROWS(DGArchive[模组]),"",IF(INDEX(DGArchive[模组],525)="","",INDEX(DGArchive[模组],525)))</f>
        <v/>
      </c>
      <c r="CB724" t="str">
        <f>IF(525&gt;ROWS(DGArchive[阶段]),"",IF(INDEX(DGArchive[阶段],525)="","",INDEX(DGArchive[阶段],525)))</f>
        <v/>
      </c>
      <c r="CC724" t="str">
        <f>IF(525&gt;ROWS(DGArchive[游戏内日期]),"",IF(INDEX(DGArchive[游戏内日期],525)="","",INDEX(DGArchive[游戏内日期],525)))</f>
        <v/>
      </c>
      <c r="CD724" t="str">
        <f>IF(525&gt;ROWS(DGArchive[目标]),"",IF(INDEX(DGArchive[目标],525)="","",INDEX(DGArchive[目标],525)))</f>
        <v/>
      </c>
      <c r="CE724" t="str">
        <f>IF(525&gt;ROWS(DGArchive[变更前]),"",IF(INDEX(DGArchive[变更前],525)="","",INDEX(DGArchive[变更前],525)))</f>
        <v/>
      </c>
      <c r="CF724" t="str">
        <f>IF(525&gt;ROWS(DGArchive[增减]),"",IF(INDEX(DGArchive[增减],525)="","",INDEX(DGArchive[增减],525)))</f>
        <v/>
      </c>
      <c r="CG724" t="str">
        <f>IF(525&gt;ROWS(DGArchive[变更后]),"",IF(INDEX(DGArchive[变更后],525)="","",INDEX(DGArchive[变更后],525)))</f>
        <v/>
      </c>
      <c r="CH724" t="str">
        <f>IF(525&gt;ROWS(DGArchive[事件／活动]),"",IF(INDEX(DGArchive[事件／活动],525)="","",INDEX(DGArchive[事件／活动],525)))</f>
        <v/>
      </c>
      <c r="CI724" t="str">
        <f>IF(525&gt;ROWS(DGArchive[记录编号]),"",IF(INDEX(DGArchive[记录编号],525)="","",INDEX(DGArchive[记录编号],525)))</f>
        <v/>
      </c>
      <c r="CL724">
        <f t="shared" si="254"/>
        <v>0</v>
      </c>
      <c r="CM724">
        <f>IF(AND(A724=$AO$5,B724=$AQ$3,H724=1),COUNTIFS($A$200:A724,$AO$5,$B$200:B724,$AQ$3,$H$200:H724,1),0)</f>
        <v>0</v>
      </c>
      <c r="CN724">
        <f>IF(CA724="",525,1001)</f>
        <v>525</v>
      </c>
      <c r="GA724">
        <f t="shared" si="274"/>
        <v>0</v>
      </c>
      <c r="GB724">
        <f t="shared" si="275"/>
        <v>0</v>
      </c>
      <c r="GC724">
        <f>IF(AND(C724="事件记录",H724=1),COUNTIFS($C$200:C724,"事件记录",$H$200:H724,1),0)</f>
        <v>0</v>
      </c>
      <c r="GD724">
        <f t="shared" si="255"/>
        <v>0</v>
      </c>
      <c r="GH724">
        <f>IF(AND(H724=1,A724=$GA$10,B724=$GA$11),COUNTIFS($A$200:A724,$GA$10,$B$200:B724,$GA$11,$H$200:H724,1),0)</f>
        <v>0</v>
      </c>
    </row>
    <row r="725" spans="1:190">
      <c r="A725" t="str">
        <f t="shared" si="246"/>
        <v/>
      </c>
      <c r="B725" t="str">
        <f t="shared" si="247"/>
        <v/>
      </c>
      <c r="C725" t="str">
        <f t="shared" si="248"/>
        <v/>
      </c>
      <c r="D725" t="str">
        <f t="shared" si="249"/>
        <v/>
      </c>
      <c r="E725">
        <f t="shared" si="250"/>
        <v>0</v>
      </c>
      <c r="F725" t="str">
        <f t="shared" si="251"/>
        <v/>
      </c>
      <c r="G725">
        <f t="shared" si="252"/>
        <v>0</v>
      </c>
      <c r="H725">
        <f>IF(AND(G725=1,COUNTIFS($I$200:I725,I725,$G$200:G725,1)=1),1,0)</f>
        <v>0</v>
      </c>
      <c r="I725" t="str">
        <f t="shared" si="253"/>
        <v/>
      </c>
      <c r="BF725">
        <f t="shared" si="256"/>
        <v>0</v>
      </c>
      <c r="BG725">
        <f t="shared" si="257"/>
        <v>0</v>
      </c>
      <c r="BH725">
        <f t="shared" si="258"/>
        <v>0</v>
      </c>
      <c r="BI725">
        <f t="shared" si="259"/>
        <v>0</v>
      </c>
      <c r="BJ725">
        <f t="shared" si="260"/>
        <v>0</v>
      </c>
      <c r="BK725">
        <f t="shared" si="261"/>
        <v>0</v>
      </c>
      <c r="BL725">
        <f t="shared" si="262"/>
        <v>0</v>
      </c>
      <c r="BM725">
        <f t="shared" si="263"/>
        <v>0</v>
      </c>
      <c r="BN725">
        <f t="shared" si="264"/>
        <v>0</v>
      </c>
      <c r="BO725">
        <f t="shared" si="265"/>
        <v>0</v>
      </c>
      <c r="BP725">
        <f t="shared" si="266"/>
        <v>0</v>
      </c>
      <c r="BQ725">
        <f t="shared" si="267"/>
        <v>0</v>
      </c>
      <c r="BR725">
        <f t="shared" si="268"/>
        <v>0</v>
      </c>
      <c r="BS725">
        <f t="shared" si="269"/>
        <v>0</v>
      </c>
      <c r="BT725">
        <f t="shared" si="270"/>
        <v>0</v>
      </c>
      <c r="BU725">
        <f t="shared" si="271"/>
        <v>0</v>
      </c>
      <c r="BV725">
        <f t="shared" si="272"/>
        <v>0</v>
      </c>
      <c r="BW725">
        <f t="shared" si="273"/>
        <v>0</v>
      </c>
      <c r="CA725" t="str">
        <f>IF(526&gt;ROWS(DGArchive[模组]),"",IF(INDEX(DGArchive[模组],526)="","",INDEX(DGArchive[模组],526)))</f>
        <v/>
      </c>
      <c r="CB725" t="str">
        <f>IF(526&gt;ROWS(DGArchive[阶段]),"",IF(INDEX(DGArchive[阶段],526)="","",INDEX(DGArchive[阶段],526)))</f>
        <v/>
      </c>
      <c r="CC725" t="str">
        <f>IF(526&gt;ROWS(DGArchive[游戏内日期]),"",IF(INDEX(DGArchive[游戏内日期],526)="","",INDEX(DGArchive[游戏内日期],526)))</f>
        <v/>
      </c>
      <c r="CD725" t="str">
        <f>IF(526&gt;ROWS(DGArchive[目标]),"",IF(INDEX(DGArchive[目标],526)="","",INDEX(DGArchive[目标],526)))</f>
        <v/>
      </c>
      <c r="CE725" t="str">
        <f>IF(526&gt;ROWS(DGArchive[变更前]),"",IF(INDEX(DGArchive[变更前],526)="","",INDEX(DGArchive[变更前],526)))</f>
        <v/>
      </c>
      <c r="CF725" t="str">
        <f>IF(526&gt;ROWS(DGArchive[增减]),"",IF(INDEX(DGArchive[增减],526)="","",INDEX(DGArchive[增减],526)))</f>
        <v/>
      </c>
      <c r="CG725" t="str">
        <f>IF(526&gt;ROWS(DGArchive[变更后]),"",IF(INDEX(DGArchive[变更后],526)="","",INDEX(DGArchive[变更后],526)))</f>
        <v/>
      </c>
      <c r="CH725" t="str">
        <f>IF(526&gt;ROWS(DGArchive[事件／活动]),"",IF(INDEX(DGArchive[事件／活动],526)="","",INDEX(DGArchive[事件／活动],526)))</f>
        <v/>
      </c>
      <c r="CI725" t="str">
        <f>IF(526&gt;ROWS(DGArchive[记录编号]),"",IF(INDEX(DGArchive[记录编号],526)="","",INDEX(DGArchive[记录编号],526)))</f>
        <v/>
      </c>
      <c r="CL725">
        <f t="shared" si="254"/>
        <v>0</v>
      </c>
      <c r="CM725">
        <f>IF(AND(A725=$AO$5,B725=$AQ$3,H725=1),COUNTIFS($A$200:A725,$AO$5,$B$200:B725,$AQ$3,$H$200:H725,1),0)</f>
        <v>0</v>
      </c>
      <c r="CN725">
        <f>IF(CA725="",526,1001)</f>
        <v>526</v>
      </c>
      <c r="GA725">
        <f t="shared" si="274"/>
        <v>0</v>
      </c>
      <c r="GB725">
        <f t="shared" si="275"/>
        <v>0</v>
      </c>
      <c r="GC725">
        <f>IF(AND(C725="事件记录",H725=1),COUNTIFS($C$200:C725,"事件记录",$H$200:H725,1),0)</f>
        <v>0</v>
      </c>
      <c r="GD725">
        <f t="shared" si="255"/>
        <v>0</v>
      </c>
      <c r="GH725">
        <f>IF(AND(H725=1,A725=$GA$10,B725=$GA$11),COUNTIFS($A$200:A725,$GA$10,$B$200:B725,$GA$11,$H$200:H725,1),0)</f>
        <v>0</v>
      </c>
    </row>
    <row r="726" spans="1:190">
      <c r="A726" t="str">
        <f t="shared" si="246"/>
        <v/>
      </c>
      <c r="B726" t="str">
        <f t="shared" si="247"/>
        <v/>
      </c>
      <c r="C726" t="str">
        <f t="shared" si="248"/>
        <v/>
      </c>
      <c r="D726" t="str">
        <f t="shared" si="249"/>
        <v/>
      </c>
      <c r="E726">
        <f t="shared" si="250"/>
        <v>0</v>
      </c>
      <c r="F726" t="str">
        <f t="shared" si="251"/>
        <v/>
      </c>
      <c r="G726">
        <f t="shared" si="252"/>
        <v>0</v>
      </c>
      <c r="H726">
        <f>IF(AND(G726=1,COUNTIFS($I$200:I726,I726,$G$200:G726,1)=1),1,0)</f>
        <v>0</v>
      </c>
      <c r="I726" t="str">
        <f t="shared" si="253"/>
        <v/>
      </c>
      <c r="BF726">
        <f t="shared" si="256"/>
        <v>0</v>
      </c>
      <c r="BG726">
        <f t="shared" si="257"/>
        <v>0</v>
      </c>
      <c r="BH726">
        <f t="shared" si="258"/>
        <v>0</v>
      </c>
      <c r="BI726">
        <f t="shared" si="259"/>
        <v>0</v>
      </c>
      <c r="BJ726">
        <f t="shared" si="260"/>
        <v>0</v>
      </c>
      <c r="BK726">
        <f t="shared" si="261"/>
        <v>0</v>
      </c>
      <c r="BL726">
        <f t="shared" si="262"/>
        <v>0</v>
      </c>
      <c r="BM726">
        <f t="shared" si="263"/>
        <v>0</v>
      </c>
      <c r="BN726">
        <f t="shared" si="264"/>
        <v>0</v>
      </c>
      <c r="BO726">
        <f t="shared" si="265"/>
        <v>0</v>
      </c>
      <c r="BP726">
        <f t="shared" si="266"/>
        <v>0</v>
      </c>
      <c r="BQ726">
        <f t="shared" si="267"/>
        <v>0</v>
      </c>
      <c r="BR726">
        <f t="shared" si="268"/>
        <v>0</v>
      </c>
      <c r="BS726">
        <f t="shared" si="269"/>
        <v>0</v>
      </c>
      <c r="BT726">
        <f t="shared" si="270"/>
        <v>0</v>
      </c>
      <c r="BU726">
        <f t="shared" si="271"/>
        <v>0</v>
      </c>
      <c r="BV726">
        <f t="shared" si="272"/>
        <v>0</v>
      </c>
      <c r="BW726">
        <f t="shared" si="273"/>
        <v>0</v>
      </c>
      <c r="CA726" t="str">
        <f>IF(527&gt;ROWS(DGArchive[模组]),"",IF(INDEX(DGArchive[模组],527)="","",INDEX(DGArchive[模组],527)))</f>
        <v/>
      </c>
      <c r="CB726" t="str">
        <f>IF(527&gt;ROWS(DGArchive[阶段]),"",IF(INDEX(DGArchive[阶段],527)="","",INDEX(DGArchive[阶段],527)))</f>
        <v/>
      </c>
      <c r="CC726" t="str">
        <f>IF(527&gt;ROWS(DGArchive[游戏内日期]),"",IF(INDEX(DGArchive[游戏内日期],527)="","",INDEX(DGArchive[游戏内日期],527)))</f>
        <v/>
      </c>
      <c r="CD726" t="str">
        <f>IF(527&gt;ROWS(DGArchive[目标]),"",IF(INDEX(DGArchive[目标],527)="","",INDEX(DGArchive[目标],527)))</f>
        <v/>
      </c>
      <c r="CE726" t="str">
        <f>IF(527&gt;ROWS(DGArchive[变更前]),"",IF(INDEX(DGArchive[变更前],527)="","",INDEX(DGArchive[变更前],527)))</f>
        <v/>
      </c>
      <c r="CF726" t="str">
        <f>IF(527&gt;ROWS(DGArchive[增减]),"",IF(INDEX(DGArchive[增减],527)="","",INDEX(DGArchive[增减],527)))</f>
        <v/>
      </c>
      <c r="CG726" t="str">
        <f>IF(527&gt;ROWS(DGArchive[变更后]),"",IF(INDEX(DGArchive[变更后],527)="","",INDEX(DGArchive[变更后],527)))</f>
        <v/>
      </c>
      <c r="CH726" t="str">
        <f>IF(527&gt;ROWS(DGArchive[事件／活动]),"",IF(INDEX(DGArchive[事件／活动],527)="","",INDEX(DGArchive[事件／活动],527)))</f>
        <v/>
      </c>
      <c r="CI726" t="str">
        <f>IF(527&gt;ROWS(DGArchive[记录编号]),"",IF(INDEX(DGArchive[记录编号],527)="","",INDEX(DGArchive[记录编号],527)))</f>
        <v/>
      </c>
      <c r="CL726">
        <f t="shared" si="254"/>
        <v>0</v>
      </c>
      <c r="CM726">
        <f>IF(AND(A726=$AO$5,B726=$AQ$3,H726=1),COUNTIFS($A$200:A726,$AO$5,$B$200:B726,$AQ$3,$H$200:H726,1),0)</f>
        <v>0</v>
      </c>
      <c r="CN726">
        <f>IF(CA726="",527,1001)</f>
        <v>527</v>
      </c>
      <c r="GA726">
        <f t="shared" si="274"/>
        <v>0</v>
      </c>
      <c r="GB726">
        <f t="shared" si="275"/>
        <v>0</v>
      </c>
      <c r="GC726">
        <f>IF(AND(C726="事件记录",H726=1),COUNTIFS($C$200:C726,"事件记录",$H$200:H726,1),0)</f>
        <v>0</v>
      </c>
      <c r="GD726">
        <f t="shared" si="255"/>
        <v>0</v>
      </c>
      <c r="GH726">
        <f>IF(AND(H726=1,A726=$GA$10,B726=$GA$11),COUNTIFS($A$200:A726,$GA$10,$B$200:B726,$GA$11,$H$200:H726,1),0)</f>
        <v>0</v>
      </c>
    </row>
    <row r="727" spans="1:190">
      <c r="A727" t="str">
        <f t="shared" si="246"/>
        <v/>
      </c>
      <c r="B727" t="str">
        <f t="shared" si="247"/>
        <v/>
      </c>
      <c r="C727" t="str">
        <f t="shared" si="248"/>
        <v/>
      </c>
      <c r="D727" t="str">
        <f t="shared" si="249"/>
        <v/>
      </c>
      <c r="E727">
        <f t="shared" si="250"/>
        <v>0</v>
      </c>
      <c r="F727" t="str">
        <f t="shared" si="251"/>
        <v/>
      </c>
      <c r="G727">
        <f t="shared" si="252"/>
        <v>0</v>
      </c>
      <c r="H727">
        <f>IF(AND(G727=1,COUNTIFS($I$200:I727,I727,$G$200:G727,1)=1),1,0)</f>
        <v>0</v>
      </c>
      <c r="I727" t="str">
        <f t="shared" si="253"/>
        <v/>
      </c>
      <c r="BF727">
        <f t="shared" si="256"/>
        <v>0</v>
      </c>
      <c r="BG727">
        <f t="shared" si="257"/>
        <v>0</v>
      </c>
      <c r="BH727">
        <f t="shared" si="258"/>
        <v>0</v>
      </c>
      <c r="BI727">
        <f t="shared" si="259"/>
        <v>0</v>
      </c>
      <c r="BJ727">
        <f t="shared" si="260"/>
        <v>0</v>
      </c>
      <c r="BK727">
        <f t="shared" si="261"/>
        <v>0</v>
      </c>
      <c r="BL727">
        <f t="shared" si="262"/>
        <v>0</v>
      </c>
      <c r="BM727">
        <f t="shared" si="263"/>
        <v>0</v>
      </c>
      <c r="BN727">
        <f t="shared" si="264"/>
        <v>0</v>
      </c>
      <c r="BO727">
        <f t="shared" si="265"/>
        <v>0</v>
      </c>
      <c r="BP727">
        <f t="shared" si="266"/>
        <v>0</v>
      </c>
      <c r="BQ727">
        <f t="shared" si="267"/>
        <v>0</v>
      </c>
      <c r="BR727">
        <f t="shared" si="268"/>
        <v>0</v>
      </c>
      <c r="BS727">
        <f t="shared" si="269"/>
        <v>0</v>
      </c>
      <c r="BT727">
        <f t="shared" si="270"/>
        <v>0</v>
      </c>
      <c r="BU727">
        <f t="shared" si="271"/>
        <v>0</v>
      </c>
      <c r="BV727">
        <f t="shared" si="272"/>
        <v>0</v>
      </c>
      <c r="BW727">
        <f t="shared" si="273"/>
        <v>0</v>
      </c>
      <c r="CA727" t="str">
        <f>IF(528&gt;ROWS(DGArchive[模组]),"",IF(INDEX(DGArchive[模组],528)="","",INDEX(DGArchive[模组],528)))</f>
        <v/>
      </c>
      <c r="CB727" t="str">
        <f>IF(528&gt;ROWS(DGArchive[阶段]),"",IF(INDEX(DGArchive[阶段],528)="","",INDEX(DGArchive[阶段],528)))</f>
        <v/>
      </c>
      <c r="CC727" t="str">
        <f>IF(528&gt;ROWS(DGArchive[游戏内日期]),"",IF(INDEX(DGArchive[游戏内日期],528)="","",INDEX(DGArchive[游戏内日期],528)))</f>
        <v/>
      </c>
      <c r="CD727" t="str">
        <f>IF(528&gt;ROWS(DGArchive[目标]),"",IF(INDEX(DGArchive[目标],528)="","",INDEX(DGArchive[目标],528)))</f>
        <v/>
      </c>
      <c r="CE727" t="str">
        <f>IF(528&gt;ROWS(DGArchive[变更前]),"",IF(INDEX(DGArchive[变更前],528)="","",INDEX(DGArchive[变更前],528)))</f>
        <v/>
      </c>
      <c r="CF727" t="str">
        <f>IF(528&gt;ROWS(DGArchive[增减]),"",IF(INDEX(DGArchive[增减],528)="","",INDEX(DGArchive[增减],528)))</f>
        <v/>
      </c>
      <c r="CG727" t="str">
        <f>IF(528&gt;ROWS(DGArchive[变更后]),"",IF(INDEX(DGArchive[变更后],528)="","",INDEX(DGArchive[变更后],528)))</f>
        <v/>
      </c>
      <c r="CH727" t="str">
        <f>IF(528&gt;ROWS(DGArchive[事件／活动]),"",IF(INDEX(DGArchive[事件／活动],528)="","",INDEX(DGArchive[事件／活动],528)))</f>
        <v/>
      </c>
      <c r="CI727" t="str">
        <f>IF(528&gt;ROWS(DGArchive[记录编号]),"",IF(INDEX(DGArchive[记录编号],528)="","",INDEX(DGArchive[记录编号],528)))</f>
        <v/>
      </c>
      <c r="CL727">
        <f t="shared" si="254"/>
        <v>0</v>
      </c>
      <c r="CM727">
        <f>IF(AND(A727=$AO$5,B727=$AQ$3,H727=1),COUNTIFS($A$200:A727,$AO$5,$B$200:B727,$AQ$3,$H$200:H727,1),0)</f>
        <v>0</v>
      </c>
      <c r="CN727">
        <f>IF(CA727="",528,1001)</f>
        <v>528</v>
      </c>
      <c r="GA727">
        <f t="shared" si="274"/>
        <v>0</v>
      </c>
      <c r="GB727">
        <f t="shared" si="275"/>
        <v>0</v>
      </c>
      <c r="GC727">
        <f>IF(AND(C727="事件记录",H727=1),COUNTIFS($C$200:C727,"事件记录",$H$200:H727,1),0)</f>
        <v>0</v>
      </c>
      <c r="GD727">
        <f t="shared" si="255"/>
        <v>0</v>
      </c>
      <c r="GH727">
        <f>IF(AND(H727=1,A727=$GA$10,B727=$GA$11),COUNTIFS($A$200:A727,$GA$10,$B$200:B727,$GA$11,$H$200:H727,1),0)</f>
        <v>0</v>
      </c>
    </row>
    <row r="728" spans="1:190">
      <c r="A728" t="str">
        <f t="shared" si="246"/>
        <v/>
      </c>
      <c r="B728" t="str">
        <f t="shared" si="247"/>
        <v/>
      </c>
      <c r="C728" t="str">
        <f t="shared" si="248"/>
        <v/>
      </c>
      <c r="D728" t="str">
        <f t="shared" si="249"/>
        <v/>
      </c>
      <c r="E728">
        <f t="shared" si="250"/>
        <v>0</v>
      </c>
      <c r="F728" t="str">
        <f t="shared" si="251"/>
        <v/>
      </c>
      <c r="G728">
        <f t="shared" si="252"/>
        <v>0</v>
      </c>
      <c r="H728">
        <f>IF(AND(G728=1,COUNTIFS($I$200:I728,I728,$G$200:G728,1)=1),1,0)</f>
        <v>0</v>
      </c>
      <c r="I728" t="str">
        <f t="shared" si="253"/>
        <v/>
      </c>
      <c r="BF728">
        <f t="shared" si="256"/>
        <v>0</v>
      </c>
      <c r="BG728">
        <f t="shared" si="257"/>
        <v>0</v>
      </c>
      <c r="BH728">
        <f t="shared" si="258"/>
        <v>0</v>
      </c>
      <c r="BI728">
        <f t="shared" si="259"/>
        <v>0</v>
      </c>
      <c r="BJ728">
        <f t="shared" si="260"/>
        <v>0</v>
      </c>
      <c r="BK728">
        <f t="shared" si="261"/>
        <v>0</v>
      </c>
      <c r="BL728">
        <f t="shared" si="262"/>
        <v>0</v>
      </c>
      <c r="BM728">
        <f t="shared" si="263"/>
        <v>0</v>
      </c>
      <c r="BN728">
        <f t="shared" si="264"/>
        <v>0</v>
      </c>
      <c r="BO728">
        <f t="shared" si="265"/>
        <v>0</v>
      </c>
      <c r="BP728">
        <f t="shared" si="266"/>
        <v>0</v>
      </c>
      <c r="BQ728">
        <f t="shared" si="267"/>
        <v>0</v>
      </c>
      <c r="BR728">
        <f t="shared" si="268"/>
        <v>0</v>
      </c>
      <c r="BS728">
        <f t="shared" si="269"/>
        <v>0</v>
      </c>
      <c r="BT728">
        <f t="shared" si="270"/>
        <v>0</v>
      </c>
      <c r="BU728">
        <f t="shared" si="271"/>
        <v>0</v>
      </c>
      <c r="BV728">
        <f t="shared" si="272"/>
        <v>0</v>
      </c>
      <c r="BW728">
        <f t="shared" si="273"/>
        <v>0</v>
      </c>
      <c r="CA728" t="str">
        <f>IF(529&gt;ROWS(DGArchive[模组]),"",IF(INDEX(DGArchive[模组],529)="","",INDEX(DGArchive[模组],529)))</f>
        <v/>
      </c>
      <c r="CB728" t="str">
        <f>IF(529&gt;ROWS(DGArchive[阶段]),"",IF(INDEX(DGArchive[阶段],529)="","",INDEX(DGArchive[阶段],529)))</f>
        <v/>
      </c>
      <c r="CC728" t="str">
        <f>IF(529&gt;ROWS(DGArchive[游戏内日期]),"",IF(INDEX(DGArchive[游戏内日期],529)="","",INDEX(DGArchive[游戏内日期],529)))</f>
        <v/>
      </c>
      <c r="CD728" t="str">
        <f>IF(529&gt;ROWS(DGArchive[目标]),"",IF(INDEX(DGArchive[目标],529)="","",INDEX(DGArchive[目标],529)))</f>
        <v/>
      </c>
      <c r="CE728" t="str">
        <f>IF(529&gt;ROWS(DGArchive[变更前]),"",IF(INDEX(DGArchive[变更前],529)="","",INDEX(DGArchive[变更前],529)))</f>
        <v/>
      </c>
      <c r="CF728" t="str">
        <f>IF(529&gt;ROWS(DGArchive[增减]),"",IF(INDEX(DGArchive[增减],529)="","",INDEX(DGArchive[增减],529)))</f>
        <v/>
      </c>
      <c r="CG728" t="str">
        <f>IF(529&gt;ROWS(DGArchive[变更后]),"",IF(INDEX(DGArchive[变更后],529)="","",INDEX(DGArchive[变更后],529)))</f>
        <v/>
      </c>
      <c r="CH728" t="str">
        <f>IF(529&gt;ROWS(DGArchive[事件／活动]),"",IF(INDEX(DGArchive[事件／活动],529)="","",INDEX(DGArchive[事件／活动],529)))</f>
        <v/>
      </c>
      <c r="CI728" t="str">
        <f>IF(529&gt;ROWS(DGArchive[记录编号]),"",IF(INDEX(DGArchive[记录编号],529)="","",INDEX(DGArchive[记录编号],529)))</f>
        <v/>
      </c>
      <c r="CL728">
        <f t="shared" si="254"/>
        <v>0</v>
      </c>
      <c r="CM728">
        <f>IF(AND(A728=$AO$5,B728=$AQ$3,H728=1),COUNTIFS($A$200:A728,$AO$5,$B$200:B728,$AQ$3,$H$200:H728,1),0)</f>
        <v>0</v>
      </c>
      <c r="CN728">
        <f>IF(CA728="",529,1001)</f>
        <v>529</v>
      </c>
      <c r="GA728">
        <f t="shared" si="274"/>
        <v>0</v>
      </c>
      <c r="GB728">
        <f t="shared" si="275"/>
        <v>0</v>
      </c>
      <c r="GC728">
        <f>IF(AND(C728="事件记录",H728=1),COUNTIFS($C$200:C728,"事件记录",$H$200:H728,1),0)</f>
        <v>0</v>
      </c>
      <c r="GD728">
        <f t="shared" si="255"/>
        <v>0</v>
      </c>
      <c r="GH728">
        <f>IF(AND(H728=1,A728=$GA$10,B728=$GA$11),COUNTIFS($A$200:A728,$GA$10,$B$200:B728,$GA$11,$H$200:H728,1),0)</f>
        <v>0</v>
      </c>
    </row>
    <row r="729" spans="1:190">
      <c r="A729" t="str">
        <f t="shared" si="246"/>
        <v/>
      </c>
      <c r="B729" t="str">
        <f t="shared" si="247"/>
        <v/>
      </c>
      <c r="C729" t="str">
        <f t="shared" si="248"/>
        <v/>
      </c>
      <c r="D729" t="str">
        <f t="shared" si="249"/>
        <v/>
      </c>
      <c r="E729">
        <f t="shared" si="250"/>
        <v>0</v>
      </c>
      <c r="F729" t="str">
        <f t="shared" si="251"/>
        <v/>
      </c>
      <c r="G729">
        <f t="shared" si="252"/>
        <v>0</v>
      </c>
      <c r="H729">
        <f>IF(AND(G729=1,COUNTIFS($I$200:I729,I729,$G$200:G729,1)=1),1,0)</f>
        <v>0</v>
      </c>
      <c r="I729" t="str">
        <f t="shared" si="253"/>
        <v/>
      </c>
      <c r="BF729">
        <f t="shared" si="256"/>
        <v>0</v>
      </c>
      <c r="BG729">
        <f t="shared" si="257"/>
        <v>0</v>
      </c>
      <c r="BH729">
        <f t="shared" si="258"/>
        <v>0</v>
      </c>
      <c r="BI729">
        <f t="shared" si="259"/>
        <v>0</v>
      </c>
      <c r="BJ729">
        <f t="shared" si="260"/>
        <v>0</v>
      </c>
      <c r="BK729">
        <f t="shared" si="261"/>
        <v>0</v>
      </c>
      <c r="BL729">
        <f t="shared" si="262"/>
        <v>0</v>
      </c>
      <c r="BM729">
        <f t="shared" si="263"/>
        <v>0</v>
      </c>
      <c r="BN729">
        <f t="shared" si="264"/>
        <v>0</v>
      </c>
      <c r="BO729">
        <f t="shared" si="265"/>
        <v>0</v>
      </c>
      <c r="BP729">
        <f t="shared" si="266"/>
        <v>0</v>
      </c>
      <c r="BQ729">
        <f t="shared" si="267"/>
        <v>0</v>
      </c>
      <c r="BR729">
        <f t="shared" si="268"/>
        <v>0</v>
      </c>
      <c r="BS729">
        <f t="shared" si="269"/>
        <v>0</v>
      </c>
      <c r="BT729">
        <f t="shared" si="270"/>
        <v>0</v>
      </c>
      <c r="BU729">
        <f t="shared" si="271"/>
        <v>0</v>
      </c>
      <c r="BV729">
        <f t="shared" si="272"/>
        <v>0</v>
      </c>
      <c r="BW729">
        <f t="shared" si="273"/>
        <v>0</v>
      </c>
      <c r="CA729" t="str">
        <f>IF(530&gt;ROWS(DGArchive[模组]),"",IF(INDEX(DGArchive[模组],530)="","",INDEX(DGArchive[模组],530)))</f>
        <v/>
      </c>
      <c r="CB729" t="str">
        <f>IF(530&gt;ROWS(DGArchive[阶段]),"",IF(INDEX(DGArchive[阶段],530)="","",INDEX(DGArchive[阶段],530)))</f>
        <v/>
      </c>
      <c r="CC729" t="str">
        <f>IF(530&gt;ROWS(DGArchive[游戏内日期]),"",IF(INDEX(DGArchive[游戏内日期],530)="","",INDEX(DGArchive[游戏内日期],530)))</f>
        <v/>
      </c>
      <c r="CD729" t="str">
        <f>IF(530&gt;ROWS(DGArchive[目标]),"",IF(INDEX(DGArchive[目标],530)="","",INDEX(DGArchive[目标],530)))</f>
        <v/>
      </c>
      <c r="CE729" t="str">
        <f>IF(530&gt;ROWS(DGArchive[变更前]),"",IF(INDEX(DGArchive[变更前],530)="","",INDEX(DGArchive[变更前],530)))</f>
        <v/>
      </c>
      <c r="CF729" t="str">
        <f>IF(530&gt;ROWS(DGArchive[增减]),"",IF(INDEX(DGArchive[增减],530)="","",INDEX(DGArchive[增减],530)))</f>
        <v/>
      </c>
      <c r="CG729" t="str">
        <f>IF(530&gt;ROWS(DGArchive[变更后]),"",IF(INDEX(DGArchive[变更后],530)="","",INDEX(DGArchive[变更后],530)))</f>
        <v/>
      </c>
      <c r="CH729" t="str">
        <f>IF(530&gt;ROWS(DGArchive[事件／活动]),"",IF(INDEX(DGArchive[事件／活动],530)="","",INDEX(DGArchive[事件／活动],530)))</f>
        <v/>
      </c>
      <c r="CI729" t="str">
        <f>IF(530&gt;ROWS(DGArchive[记录编号]),"",IF(INDEX(DGArchive[记录编号],530)="","",INDEX(DGArchive[记录编号],530)))</f>
        <v/>
      </c>
      <c r="CL729">
        <f t="shared" si="254"/>
        <v>0</v>
      </c>
      <c r="CM729">
        <f>IF(AND(A729=$AO$5,B729=$AQ$3,H729=1),COUNTIFS($A$200:A729,$AO$5,$B$200:B729,$AQ$3,$H$200:H729,1),0)</f>
        <v>0</v>
      </c>
      <c r="CN729">
        <f>IF(CA729="",530,1001)</f>
        <v>530</v>
      </c>
      <c r="GA729">
        <f t="shared" si="274"/>
        <v>0</v>
      </c>
      <c r="GB729">
        <f t="shared" si="275"/>
        <v>0</v>
      </c>
      <c r="GC729">
        <f>IF(AND(C729="事件记录",H729=1),COUNTIFS($C$200:C729,"事件记录",$H$200:H729,1),0)</f>
        <v>0</v>
      </c>
      <c r="GD729">
        <f t="shared" si="255"/>
        <v>0</v>
      </c>
      <c r="GH729">
        <f>IF(AND(H729=1,A729=$GA$10,B729=$GA$11),COUNTIFS($A$200:A729,$GA$10,$B$200:B729,$GA$11,$H$200:H729,1),0)</f>
        <v>0</v>
      </c>
    </row>
    <row r="730" spans="1:190">
      <c r="A730" t="str">
        <f t="shared" si="246"/>
        <v/>
      </c>
      <c r="B730" t="str">
        <f t="shared" si="247"/>
        <v/>
      </c>
      <c r="C730" t="str">
        <f t="shared" si="248"/>
        <v/>
      </c>
      <c r="D730" t="str">
        <f t="shared" si="249"/>
        <v/>
      </c>
      <c r="E730">
        <f t="shared" si="250"/>
        <v>0</v>
      </c>
      <c r="F730" t="str">
        <f t="shared" si="251"/>
        <v/>
      </c>
      <c r="G730">
        <f t="shared" si="252"/>
        <v>0</v>
      </c>
      <c r="H730">
        <f>IF(AND(G730=1,COUNTIFS($I$200:I730,I730,$G$200:G730,1)=1),1,0)</f>
        <v>0</v>
      </c>
      <c r="I730" t="str">
        <f t="shared" si="253"/>
        <v/>
      </c>
      <c r="BF730">
        <f t="shared" si="256"/>
        <v>0</v>
      </c>
      <c r="BG730">
        <f t="shared" si="257"/>
        <v>0</v>
      </c>
      <c r="BH730">
        <f t="shared" si="258"/>
        <v>0</v>
      </c>
      <c r="BI730">
        <f t="shared" si="259"/>
        <v>0</v>
      </c>
      <c r="BJ730">
        <f t="shared" si="260"/>
        <v>0</v>
      </c>
      <c r="BK730">
        <f t="shared" si="261"/>
        <v>0</v>
      </c>
      <c r="BL730">
        <f t="shared" si="262"/>
        <v>0</v>
      </c>
      <c r="BM730">
        <f t="shared" si="263"/>
        <v>0</v>
      </c>
      <c r="BN730">
        <f t="shared" si="264"/>
        <v>0</v>
      </c>
      <c r="BO730">
        <f t="shared" si="265"/>
        <v>0</v>
      </c>
      <c r="BP730">
        <f t="shared" si="266"/>
        <v>0</v>
      </c>
      <c r="BQ730">
        <f t="shared" si="267"/>
        <v>0</v>
      </c>
      <c r="BR730">
        <f t="shared" si="268"/>
        <v>0</v>
      </c>
      <c r="BS730">
        <f t="shared" si="269"/>
        <v>0</v>
      </c>
      <c r="BT730">
        <f t="shared" si="270"/>
        <v>0</v>
      </c>
      <c r="BU730">
        <f t="shared" si="271"/>
        <v>0</v>
      </c>
      <c r="BV730">
        <f t="shared" si="272"/>
        <v>0</v>
      </c>
      <c r="BW730">
        <f t="shared" si="273"/>
        <v>0</v>
      </c>
      <c r="CA730" t="str">
        <f>IF(531&gt;ROWS(DGArchive[模组]),"",IF(INDEX(DGArchive[模组],531)="","",INDEX(DGArchive[模组],531)))</f>
        <v/>
      </c>
      <c r="CB730" t="str">
        <f>IF(531&gt;ROWS(DGArchive[阶段]),"",IF(INDEX(DGArchive[阶段],531)="","",INDEX(DGArchive[阶段],531)))</f>
        <v/>
      </c>
      <c r="CC730" t="str">
        <f>IF(531&gt;ROWS(DGArchive[游戏内日期]),"",IF(INDEX(DGArchive[游戏内日期],531)="","",INDEX(DGArchive[游戏内日期],531)))</f>
        <v/>
      </c>
      <c r="CD730" t="str">
        <f>IF(531&gt;ROWS(DGArchive[目标]),"",IF(INDEX(DGArchive[目标],531)="","",INDEX(DGArchive[目标],531)))</f>
        <v/>
      </c>
      <c r="CE730" t="str">
        <f>IF(531&gt;ROWS(DGArchive[变更前]),"",IF(INDEX(DGArchive[变更前],531)="","",INDEX(DGArchive[变更前],531)))</f>
        <v/>
      </c>
      <c r="CF730" t="str">
        <f>IF(531&gt;ROWS(DGArchive[增减]),"",IF(INDEX(DGArchive[增减],531)="","",INDEX(DGArchive[增减],531)))</f>
        <v/>
      </c>
      <c r="CG730" t="str">
        <f>IF(531&gt;ROWS(DGArchive[变更后]),"",IF(INDEX(DGArchive[变更后],531)="","",INDEX(DGArchive[变更后],531)))</f>
        <v/>
      </c>
      <c r="CH730" t="str">
        <f>IF(531&gt;ROWS(DGArchive[事件／活动]),"",IF(INDEX(DGArchive[事件／活动],531)="","",INDEX(DGArchive[事件／活动],531)))</f>
        <v/>
      </c>
      <c r="CI730" t="str">
        <f>IF(531&gt;ROWS(DGArchive[记录编号]),"",IF(INDEX(DGArchive[记录编号],531)="","",INDEX(DGArchive[记录编号],531)))</f>
        <v/>
      </c>
      <c r="CL730">
        <f t="shared" si="254"/>
        <v>0</v>
      </c>
      <c r="CM730">
        <f>IF(AND(A730=$AO$5,B730=$AQ$3,H730=1),COUNTIFS($A$200:A730,$AO$5,$B$200:B730,$AQ$3,$H$200:H730,1),0)</f>
        <v>0</v>
      </c>
      <c r="CN730">
        <f>IF(CA730="",531,1001)</f>
        <v>531</v>
      </c>
      <c r="GA730">
        <f t="shared" si="274"/>
        <v>0</v>
      </c>
      <c r="GB730">
        <f t="shared" si="275"/>
        <v>0</v>
      </c>
      <c r="GC730">
        <f>IF(AND(C730="事件记录",H730=1),COUNTIFS($C$200:C730,"事件记录",$H$200:H730,1),0)</f>
        <v>0</v>
      </c>
      <c r="GD730">
        <f t="shared" si="255"/>
        <v>0</v>
      </c>
      <c r="GH730">
        <f>IF(AND(H730=1,A730=$GA$10,B730=$GA$11),COUNTIFS($A$200:A730,$GA$10,$B$200:B730,$GA$11,$H$200:H730,1),0)</f>
        <v>0</v>
      </c>
    </row>
    <row r="731" spans="1:190">
      <c r="A731" t="str">
        <f t="shared" si="246"/>
        <v/>
      </c>
      <c r="B731" t="str">
        <f t="shared" si="247"/>
        <v/>
      </c>
      <c r="C731" t="str">
        <f t="shared" si="248"/>
        <v/>
      </c>
      <c r="D731" t="str">
        <f t="shared" si="249"/>
        <v/>
      </c>
      <c r="E731">
        <f t="shared" si="250"/>
        <v>0</v>
      </c>
      <c r="F731" t="str">
        <f t="shared" si="251"/>
        <v/>
      </c>
      <c r="G731">
        <f t="shared" si="252"/>
        <v>0</v>
      </c>
      <c r="H731">
        <f>IF(AND(G731=1,COUNTIFS($I$200:I731,I731,$G$200:G731,1)=1),1,0)</f>
        <v>0</v>
      </c>
      <c r="I731" t="str">
        <f t="shared" si="253"/>
        <v/>
      </c>
      <c r="BF731">
        <f t="shared" si="256"/>
        <v>0</v>
      </c>
      <c r="BG731">
        <f t="shared" si="257"/>
        <v>0</v>
      </c>
      <c r="BH731">
        <f t="shared" si="258"/>
        <v>0</v>
      </c>
      <c r="BI731">
        <f t="shared" si="259"/>
        <v>0</v>
      </c>
      <c r="BJ731">
        <f t="shared" si="260"/>
        <v>0</v>
      </c>
      <c r="BK731">
        <f t="shared" si="261"/>
        <v>0</v>
      </c>
      <c r="BL731">
        <f t="shared" si="262"/>
        <v>0</v>
      </c>
      <c r="BM731">
        <f t="shared" si="263"/>
        <v>0</v>
      </c>
      <c r="BN731">
        <f t="shared" si="264"/>
        <v>0</v>
      </c>
      <c r="BO731">
        <f t="shared" si="265"/>
        <v>0</v>
      </c>
      <c r="BP731">
        <f t="shared" si="266"/>
        <v>0</v>
      </c>
      <c r="BQ731">
        <f t="shared" si="267"/>
        <v>0</v>
      </c>
      <c r="BR731">
        <f t="shared" si="268"/>
        <v>0</v>
      </c>
      <c r="BS731">
        <f t="shared" si="269"/>
        <v>0</v>
      </c>
      <c r="BT731">
        <f t="shared" si="270"/>
        <v>0</v>
      </c>
      <c r="BU731">
        <f t="shared" si="271"/>
        <v>0</v>
      </c>
      <c r="BV731">
        <f t="shared" si="272"/>
        <v>0</v>
      </c>
      <c r="BW731">
        <f t="shared" si="273"/>
        <v>0</v>
      </c>
      <c r="CA731" t="str">
        <f>IF(532&gt;ROWS(DGArchive[模组]),"",IF(INDEX(DGArchive[模组],532)="","",INDEX(DGArchive[模组],532)))</f>
        <v/>
      </c>
      <c r="CB731" t="str">
        <f>IF(532&gt;ROWS(DGArchive[阶段]),"",IF(INDEX(DGArchive[阶段],532)="","",INDEX(DGArchive[阶段],532)))</f>
        <v/>
      </c>
      <c r="CC731" t="str">
        <f>IF(532&gt;ROWS(DGArchive[游戏内日期]),"",IF(INDEX(DGArchive[游戏内日期],532)="","",INDEX(DGArchive[游戏内日期],532)))</f>
        <v/>
      </c>
      <c r="CD731" t="str">
        <f>IF(532&gt;ROWS(DGArchive[目标]),"",IF(INDEX(DGArchive[目标],532)="","",INDEX(DGArchive[目标],532)))</f>
        <v/>
      </c>
      <c r="CE731" t="str">
        <f>IF(532&gt;ROWS(DGArchive[变更前]),"",IF(INDEX(DGArchive[变更前],532)="","",INDEX(DGArchive[变更前],532)))</f>
        <v/>
      </c>
      <c r="CF731" t="str">
        <f>IF(532&gt;ROWS(DGArchive[增减]),"",IF(INDEX(DGArchive[增减],532)="","",INDEX(DGArchive[增减],532)))</f>
        <v/>
      </c>
      <c r="CG731" t="str">
        <f>IF(532&gt;ROWS(DGArchive[变更后]),"",IF(INDEX(DGArchive[变更后],532)="","",INDEX(DGArchive[变更后],532)))</f>
        <v/>
      </c>
      <c r="CH731" t="str">
        <f>IF(532&gt;ROWS(DGArchive[事件／活动]),"",IF(INDEX(DGArchive[事件／活动],532)="","",INDEX(DGArchive[事件／活动],532)))</f>
        <v/>
      </c>
      <c r="CI731" t="str">
        <f>IF(532&gt;ROWS(DGArchive[记录编号]),"",IF(INDEX(DGArchive[记录编号],532)="","",INDEX(DGArchive[记录编号],532)))</f>
        <v/>
      </c>
      <c r="CL731">
        <f t="shared" si="254"/>
        <v>0</v>
      </c>
      <c r="CM731">
        <f>IF(AND(A731=$AO$5,B731=$AQ$3,H731=1),COUNTIFS($A$200:A731,$AO$5,$B$200:B731,$AQ$3,$H$200:H731,1),0)</f>
        <v>0</v>
      </c>
      <c r="CN731">
        <f>IF(CA731="",532,1001)</f>
        <v>532</v>
      </c>
      <c r="GA731">
        <f t="shared" si="274"/>
        <v>0</v>
      </c>
      <c r="GB731">
        <f t="shared" si="275"/>
        <v>0</v>
      </c>
      <c r="GC731">
        <f>IF(AND(C731="事件记录",H731=1),COUNTIFS($C$200:C731,"事件记录",$H$200:H731,1),0)</f>
        <v>0</v>
      </c>
      <c r="GD731">
        <f t="shared" si="255"/>
        <v>0</v>
      </c>
      <c r="GH731">
        <f>IF(AND(H731=1,A731=$GA$10,B731=$GA$11),COUNTIFS($A$200:A731,$GA$10,$B$200:B731,$GA$11,$H$200:H731,1),0)</f>
        <v>0</v>
      </c>
    </row>
    <row r="732" spans="1:190">
      <c r="A732" t="str">
        <f t="shared" si="246"/>
        <v/>
      </c>
      <c r="B732" t="str">
        <f t="shared" si="247"/>
        <v/>
      </c>
      <c r="C732" t="str">
        <f t="shared" si="248"/>
        <v/>
      </c>
      <c r="D732" t="str">
        <f t="shared" si="249"/>
        <v/>
      </c>
      <c r="E732">
        <f t="shared" si="250"/>
        <v>0</v>
      </c>
      <c r="F732" t="str">
        <f t="shared" si="251"/>
        <v/>
      </c>
      <c r="G732">
        <f t="shared" si="252"/>
        <v>0</v>
      </c>
      <c r="H732">
        <f>IF(AND(G732=1,COUNTIFS($I$200:I732,I732,$G$200:G732,1)=1),1,0)</f>
        <v>0</v>
      </c>
      <c r="I732" t="str">
        <f t="shared" si="253"/>
        <v/>
      </c>
      <c r="BF732">
        <f t="shared" si="256"/>
        <v>0</v>
      </c>
      <c r="BG732">
        <f t="shared" si="257"/>
        <v>0</v>
      </c>
      <c r="BH732">
        <f t="shared" si="258"/>
        <v>0</v>
      </c>
      <c r="BI732">
        <f t="shared" si="259"/>
        <v>0</v>
      </c>
      <c r="BJ732">
        <f t="shared" si="260"/>
        <v>0</v>
      </c>
      <c r="BK732">
        <f t="shared" si="261"/>
        <v>0</v>
      </c>
      <c r="BL732">
        <f t="shared" si="262"/>
        <v>0</v>
      </c>
      <c r="BM732">
        <f t="shared" si="263"/>
        <v>0</v>
      </c>
      <c r="BN732">
        <f t="shared" si="264"/>
        <v>0</v>
      </c>
      <c r="BO732">
        <f t="shared" si="265"/>
        <v>0</v>
      </c>
      <c r="BP732">
        <f t="shared" si="266"/>
        <v>0</v>
      </c>
      <c r="BQ732">
        <f t="shared" si="267"/>
        <v>0</v>
      </c>
      <c r="BR732">
        <f t="shared" si="268"/>
        <v>0</v>
      </c>
      <c r="BS732">
        <f t="shared" si="269"/>
        <v>0</v>
      </c>
      <c r="BT732">
        <f t="shared" si="270"/>
        <v>0</v>
      </c>
      <c r="BU732">
        <f t="shared" si="271"/>
        <v>0</v>
      </c>
      <c r="BV732">
        <f t="shared" si="272"/>
        <v>0</v>
      </c>
      <c r="BW732">
        <f t="shared" si="273"/>
        <v>0</v>
      </c>
      <c r="CA732" t="str">
        <f>IF(533&gt;ROWS(DGArchive[模组]),"",IF(INDEX(DGArchive[模组],533)="","",INDEX(DGArchive[模组],533)))</f>
        <v/>
      </c>
      <c r="CB732" t="str">
        <f>IF(533&gt;ROWS(DGArchive[阶段]),"",IF(INDEX(DGArchive[阶段],533)="","",INDEX(DGArchive[阶段],533)))</f>
        <v/>
      </c>
      <c r="CC732" t="str">
        <f>IF(533&gt;ROWS(DGArchive[游戏内日期]),"",IF(INDEX(DGArchive[游戏内日期],533)="","",INDEX(DGArchive[游戏内日期],533)))</f>
        <v/>
      </c>
      <c r="CD732" t="str">
        <f>IF(533&gt;ROWS(DGArchive[目标]),"",IF(INDEX(DGArchive[目标],533)="","",INDEX(DGArchive[目标],533)))</f>
        <v/>
      </c>
      <c r="CE732" t="str">
        <f>IF(533&gt;ROWS(DGArchive[变更前]),"",IF(INDEX(DGArchive[变更前],533)="","",INDEX(DGArchive[变更前],533)))</f>
        <v/>
      </c>
      <c r="CF732" t="str">
        <f>IF(533&gt;ROWS(DGArchive[增减]),"",IF(INDEX(DGArchive[增减],533)="","",INDEX(DGArchive[增减],533)))</f>
        <v/>
      </c>
      <c r="CG732" t="str">
        <f>IF(533&gt;ROWS(DGArchive[变更后]),"",IF(INDEX(DGArchive[变更后],533)="","",INDEX(DGArchive[变更后],533)))</f>
        <v/>
      </c>
      <c r="CH732" t="str">
        <f>IF(533&gt;ROWS(DGArchive[事件／活动]),"",IF(INDEX(DGArchive[事件／活动],533)="","",INDEX(DGArchive[事件／活动],533)))</f>
        <v/>
      </c>
      <c r="CI732" t="str">
        <f>IF(533&gt;ROWS(DGArchive[记录编号]),"",IF(INDEX(DGArchive[记录编号],533)="","",INDEX(DGArchive[记录编号],533)))</f>
        <v/>
      </c>
      <c r="CL732">
        <f t="shared" si="254"/>
        <v>0</v>
      </c>
      <c r="CM732">
        <f>IF(AND(A732=$AO$5,B732=$AQ$3,H732=1),COUNTIFS($A$200:A732,$AO$5,$B$200:B732,$AQ$3,$H$200:H732,1),0)</f>
        <v>0</v>
      </c>
      <c r="CN732">
        <f>IF(CA732="",533,1001)</f>
        <v>533</v>
      </c>
      <c r="GA732">
        <f t="shared" si="274"/>
        <v>0</v>
      </c>
      <c r="GB732">
        <f t="shared" si="275"/>
        <v>0</v>
      </c>
      <c r="GC732">
        <f>IF(AND(C732="事件记录",H732=1),COUNTIFS($C$200:C732,"事件记录",$H$200:H732,1),0)</f>
        <v>0</v>
      </c>
      <c r="GD732">
        <f t="shared" si="255"/>
        <v>0</v>
      </c>
      <c r="GH732">
        <f>IF(AND(H732=1,A732=$GA$10,B732=$GA$11),COUNTIFS($A$200:A732,$GA$10,$B$200:B732,$GA$11,$H$200:H732,1),0)</f>
        <v>0</v>
      </c>
    </row>
    <row r="733" spans="1:190">
      <c r="A733" t="str">
        <f t="shared" si="246"/>
        <v/>
      </c>
      <c r="B733" t="str">
        <f t="shared" si="247"/>
        <v/>
      </c>
      <c r="C733" t="str">
        <f t="shared" si="248"/>
        <v/>
      </c>
      <c r="D733" t="str">
        <f t="shared" si="249"/>
        <v/>
      </c>
      <c r="E733">
        <f t="shared" si="250"/>
        <v>0</v>
      </c>
      <c r="F733" t="str">
        <f t="shared" si="251"/>
        <v/>
      </c>
      <c r="G733">
        <f t="shared" si="252"/>
        <v>0</v>
      </c>
      <c r="H733">
        <f>IF(AND(G733=1,COUNTIFS($I$200:I733,I733,$G$200:G733,1)=1),1,0)</f>
        <v>0</v>
      </c>
      <c r="I733" t="str">
        <f t="shared" si="253"/>
        <v/>
      </c>
      <c r="BF733">
        <f t="shared" si="256"/>
        <v>0</v>
      </c>
      <c r="BG733">
        <f t="shared" si="257"/>
        <v>0</v>
      </c>
      <c r="BH733">
        <f t="shared" si="258"/>
        <v>0</v>
      </c>
      <c r="BI733">
        <f t="shared" si="259"/>
        <v>0</v>
      </c>
      <c r="BJ733">
        <f t="shared" si="260"/>
        <v>0</v>
      </c>
      <c r="BK733">
        <f t="shared" si="261"/>
        <v>0</v>
      </c>
      <c r="BL733">
        <f t="shared" si="262"/>
        <v>0</v>
      </c>
      <c r="BM733">
        <f t="shared" si="263"/>
        <v>0</v>
      </c>
      <c r="BN733">
        <f t="shared" si="264"/>
        <v>0</v>
      </c>
      <c r="BO733">
        <f t="shared" si="265"/>
        <v>0</v>
      </c>
      <c r="BP733">
        <f t="shared" si="266"/>
        <v>0</v>
      </c>
      <c r="BQ733">
        <f t="shared" si="267"/>
        <v>0</v>
      </c>
      <c r="BR733">
        <f t="shared" si="268"/>
        <v>0</v>
      </c>
      <c r="BS733">
        <f t="shared" si="269"/>
        <v>0</v>
      </c>
      <c r="BT733">
        <f t="shared" si="270"/>
        <v>0</v>
      </c>
      <c r="BU733">
        <f t="shared" si="271"/>
        <v>0</v>
      </c>
      <c r="BV733">
        <f t="shared" si="272"/>
        <v>0</v>
      </c>
      <c r="BW733">
        <f t="shared" si="273"/>
        <v>0</v>
      </c>
      <c r="CA733" t="str">
        <f>IF(534&gt;ROWS(DGArchive[模组]),"",IF(INDEX(DGArchive[模组],534)="","",INDEX(DGArchive[模组],534)))</f>
        <v/>
      </c>
      <c r="CB733" t="str">
        <f>IF(534&gt;ROWS(DGArchive[阶段]),"",IF(INDEX(DGArchive[阶段],534)="","",INDEX(DGArchive[阶段],534)))</f>
        <v/>
      </c>
      <c r="CC733" t="str">
        <f>IF(534&gt;ROWS(DGArchive[游戏内日期]),"",IF(INDEX(DGArchive[游戏内日期],534)="","",INDEX(DGArchive[游戏内日期],534)))</f>
        <v/>
      </c>
      <c r="CD733" t="str">
        <f>IF(534&gt;ROWS(DGArchive[目标]),"",IF(INDEX(DGArchive[目标],534)="","",INDEX(DGArchive[目标],534)))</f>
        <v/>
      </c>
      <c r="CE733" t="str">
        <f>IF(534&gt;ROWS(DGArchive[变更前]),"",IF(INDEX(DGArchive[变更前],534)="","",INDEX(DGArchive[变更前],534)))</f>
        <v/>
      </c>
      <c r="CF733" t="str">
        <f>IF(534&gt;ROWS(DGArchive[增减]),"",IF(INDEX(DGArchive[增减],534)="","",INDEX(DGArchive[增减],534)))</f>
        <v/>
      </c>
      <c r="CG733" t="str">
        <f>IF(534&gt;ROWS(DGArchive[变更后]),"",IF(INDEX(DGArchive[变更后],534)="","",INDEX(DGArchive[变更后],534)))</f>
        <v/>
      </c>
      <c r="CH733" t="str">
        <f>IF(534&gt;ROWS(DGArchive[事件／活动]),"",IF(INDEX(DGArchive[事件／活动],534)="","",INDEX(DGArchive[事件／活动],534)))</f>
        <v/>
      </c>
      <c r="CI733" t="str">
        <f>IF(534&gt;ROWS(DGArchive[记录编号]),"",IF(INDEX(DGArchive[记录编号],534)="","",INDEX(DGArchive[记录编号],534)))</f>
        <v/>
      </c>
      <c r="CL733">
        <f t="shared" si="254"/>
        <v>0</v>
      </c>
      <c r="CM733">
        <f>IF(AND(A733=$AO$5,B733=$AQ$3,H733=1),COUNTIFS($A$200:A733,$AO$5,$B$200:B733,$AQ$3,$H$200:H733,1),0)</f>
        <v>0</v>
      </c>
      <c r="CN733">
        <f>IF(CA733="",534,1001)</f>
        <v>534</v>
      </c>
      <c r="GA733">
        <f t="shared" si="274"/>
        <v>0</v>
      </c>
      <c r="GB733">
        <f t="shared" si="275"/>
        <v>0</v>
      </c>
      <c r="GC733">
        <f>IF(AND(C733="事件记录",H733=1),COUNTIFS($C$200:C733,"事件记录",$H$200:H733,1),0)</f>
        <v>0</v>
      </c>
      <c r="GD733">
        <f t="shared" si="255"/>
        <v>0</v>
      </c>
      <c r="GH733">
        <f>IF(AND(H733=1,A733=$GA$10,B733=$GA$11),COUNTIFS($A$200:A733,$GA$10,$B$200:B733,$GA$11,$H$200:H733,1),0)</f>
        <v>0</v>
      </c>
    </row>
    <row r="734" spans="1:190">
      <c r="A734" t="str">
        <f t="shared" si="246"/>
        <v/>
      </c>
      <c r="B734" t="str">
        <f t="shared" si="247"/>
        <v/>
      </c>
      <c r="C734" t="str">
        <f t="shared" si="248"/>
        <v/>
      </c>
      <c r="D734" t="str">
        <f t="shared" si="249"/>
        <v/>
      </c>
      <c r="E734">
        <f t="shared" si="250"/>
        <v>0</v>
      </c>
      <c r="F734" t="str">
        <f t="shared" si="251"/>
        <v/>
      </c>
      <c r="G734">
        <f t="shared" si="252"/>
        <v>0</v>
      </c>
      <c r="H734">
        <f>IF(AND(G734=1,COUNTIFS($I$200:I734,I734,$G$200:G734,1)=1),1,0)</f>
        <v>0</v>
      </c>
      <c r="I734" t="str">
        <f t="shared" si="253"/>
        <v/>
      </c>
      <c r="BF734">
        <f t="shared" si="256"/>
        <v>0</v>
      </c>
      <c r="BG734">
        <f t="shared" si="257"/>
        <v>0</v>
      </c>
      <c r="BH734">
        <f t="shared" si="258"/>
        <v>0</v>
      </c>
      <c r="BI734">
        <f t="shared" si="259"/>
        <v>0</v>
      </c>
      <c r="BJ734">
        <f t="shared" si="260"/>
        <v>0</v>
      </c>
      <c r="BK734">
        <f t="shared" si="261"/>
        <v>0</v>
      </c>
      <c r="BL734">
        <f t="shared" si="262"/>
        <v>0</v>
      </c>
      <c r="BM734">
        <f t="shared" si="263"/>
        <v>0</v>
      </c>
      <c r="BN734">
        <f t="shared" si="264"/>
        <v>0</v>
      </c>
      <c r="BO734">
        <f t="shared" si="265"/>
        <v>0</v>
      </c>
      <c r="BP734">
        <f t="shared" si="266"/>
        <v>0</v>
      </c>
      <c r="BQ734">
        <f t="shared" si="267"/>
        <v>0</v>
      </c>
      <c r="BR734">
        <f t="shared" si="268"/>
        <v>0</v>
      </c>
      <c r="BS734">
        <f t="shared" si="269"/>
        <v>0</v>
      </c>
      <c r="BT734">
        <f t="shared" si="270"/>
        <v>0</v>
      </c>
      <c r="BU734">
        <f t="shared" si="271"/>
        <v>0</v>
      </c>
      <c r="BV734">
        <f t="shared" si="272"/>
        <v>0</v>
      </c>
      <c r="BW734">
        <f t="shared" si="273"/>
        <v>0</v>
      </c>
      <c r="CA734" t="str">
        <f>IF(535&gt;ROWS(DGArchive[模组]),"",IF(INDEX(DGArchive[模组],535)="","",INDEX(DGArchive[模组],535)))</f>
        <v/>
      </c>
      <c r="CB734" t="str">
        <f>IF(535&gt;ROWS(DGArchive[阶段]),"",IF(INDEX(DGArchive[阶段],535)="","",INDEX(DGArchive[阶段],535)))</f>
        <v/>
      </c>
      <c r="CC734" t="str">
        <f>IF(535&gt;ROWS(DGArchive[游戏内日期]),"",IF(INDEX(DGArchive[游戏内日期],535)="","",INDEX(DGArchive[游戏内日期],535)))</f>
        <v/>
      </c>
      <c r="CD734" t="str">
        <f>IF(535&gt;ROWS(DGArchive[目标]),"",IF(INDEX(DGArchive[目标],535)="","",INDEX(DGArchive[目标],535)))</f>
        <v/>
      </c>
      <c r="CE734" t="str">
        <f>IF(535&gt;ROWS(DGArchive[变更前]),"",IF(INDEX(DGArchive[变更前],535)="","",INDEX(DGArchive[变更前],535)))</f>
        <v/>
      </c>
      <c r="CF734" t="str">
        <f>IF(535&gt;ROWS(DGArchive[增减]),"",IF(INDEX(DGArchive[增减],535)="","",INDEX(DGArchive[增减],535)))</f>
        <v/>
      </c>
      <c r="CG734" t="str">
        <f>IF(535&gt;ROWS(DGArchive[变更后]),"",IF(INDEX(DGArchive[变更后],535)="","",INDEX(DGArchive[变更后],535)))</f>
        <v/>
      </c>
      <c r="CH734" t="str">
        <f>IF(535&gt;ROWS(DGArchive[事件／活动]),"",IF(INDEX(DGArchive[事件／活动],535)="","",INDEX(DGArchive[事件／活动],535)))</f>
        <v/>
      </c>
      <c r="CI734" t="str">
        <f>IF(535&gt;ROWS(DGArchive[记录编号]),"",IF(INDEX(DGArchive[记录编号],535)="","",INDEX(DGArchive[记录编号],535)))</f>
        <v/>
      </c>
      <c r="CL734">
        <f t="shared" si="254"/>
        <v>0</v>
      </c>
      <c r="CM734">
        <f>IF(AND(A734=$AO$5,B734=$AQ$3,H734=1),COUNTIFS($A$200:A734,$AO$5,$B$200:B734,$AQ$3,$H$200:H734,1),0)</f>
        <v>0</v>
      </c>
      <c r="CN734">
        <f>IF(CA734="",535,1001)</f>
        <v>535</v>
      </c>
      <c r="GA734">
        <f t="shared" si="274"/>
        <v>0</v>
      </c>
      <c r="GB734">
        <f t="shared" si="275"/>
        <v>0</v>
      </c>
      <c r="GC734">
        <f>IF(AND(C734="事件记录",H734=1),COUNTIFS($C$200:C734,"事件记录",$H$200:H734,1),0)</f>
        <v>0</v>
      </c>
      <c r="GD734">
        <f t="shared" si="255"/>
        <v>0</v>
      </c>
      <c r="GH734">
        <f>IF(AND(H734=1,A734=$GA$10,B734=$GA$11),COUNTIFS($A$200:A734,$GA$10,$B$200:B734,$GA$11,$H$200:H734,1),0)</f>
        <v>0</v>
      </c>
    </row>
    <row r="735" spans="1:190">
      <c r="A735" t="str">
        <f t="shared" si="246"/>
        <v/>
      </c>
      <c r="B735" t="str">
        <f t="shared" si="247"/>
        <v/>
      </c>
      <c r="C735" t="str">
        <f t="shared" si="248"/>
        <v/>
      </c>
      <c r="D735" t="str">
        <f t="shared" si="249"/>
        <v/>
      </c>
      <c r="E735">
        <f t="shared" si="250"/>
        <v>0</v>
      </c>
      <c r="F735" t="str">
        <f t="shared" si="251"/>
        <v/>
      </c>
      <c r="G735">
        <f t="shared" si="252"/>
        <v>0</v>
      </c>
      <c r="H735">
        <f>IF(AND(G735=1,COUNTIFS($I$200:I735,I735,$G$200:G735,1)=1),1,0)</f>
        <v>0</v>
      </c>
      <c r="I735" t="str">
        <f t="shared" si="253"/>
        <v/>
      </c>
      <c r="BF735">
        <f t="shared" si="256"/>
        <v>0</v>
      </c>
      <c r="BG735">
        <f t="shared" si="257"/>
        <v>0</v>
      </c>
      <c r="BH735">
        <f t="shared" si="258"/>
        <v>0</v>
      </c>
      <c r="BI735">
        <f t="shared" si="259"/>
        <v>0</v>
      </c>
      <c r="BJ735">
        <f t="shared" si="260"/>
        <v>0</v>
      </c>
      <c r="BK735">
        <f t="shared" si="261"/>
        <v>0</v>
      </c>
      <c r="BL735">
        <f t="shared" si="262"/>
        <v>0</v>
      </c>
      <c r="BM735">
        <f t="shared" si="263"/>
        <v>0</v>
      </c>
      <c r="BN735">
        <f t="shared" si="264"/>
        <v>0</v>
      </c>
      <c r="BO735">
        <f t="shared" si="265"/>
        <v>0</v>
      </c>
      <c r="BP735">
        <f t="shared" si="266"/>
        <v>0</v>
      </c>
      <c r="BQ735">
        <f t="shared" si="267"/>
        <v>0</v>
      </c>
      <c r="BR735">
        <f t="shared" si="268"/>
        <v>0</v>
      </c>
      <c r="BS735">
        <f t="shared" si="269"/>
        <v>0</v>
      </c>
      <c r="BT735">
        <f t="shared" si="270"/>
        <v>0</v>
      </c>
      <c r="BU735">
        <f t="shared" si="271"/>
        <v>0</v>
      </c>
      <c r="BV735">
        <f t="shared" si="272"/>
        <v>0</v>
      </c>
      <c r="BW735">
        <f t="shared" si="273"/>
        <v>0</v>
      </c>
      <c r="CA735" t="str">
        <f>IF(536&gt;ROWS(DGArchive[模组]),"",IF(INDEX(DGArchive[模组],536)="","",INDEX(DGArchive[模组],536)))</f>
        <v/>
      </c>
      <c r="CB735" t="str">
        <f>IF(536&gt;ROWS(DGArchive[阶段]),"",IF(INDEX(DGArchive[阶段],536)="","",INDEX(DGArchive[阶段],536)))</f>
        <v/>
      </c>
      <c r="CC735" t="str">
        <f>IF(536&gt;ROWS(DGArchive[游戏内日期]),"",IF(INDEX(DGArchive[游戏内日期],536)="","",INDEX(DGArchive[游戏内日期],536)))</f>
        <v/>
      </c>
      <c r="CD735" t="str">
        <f>IF(536&gt;ROWS(DGArchive[目标]),"",IF(INDEX(DGArchive[目标],536)="","",INDEX(DGArchive[目标],536)))</f>
        <v/>
      </c>
      <c r="CE735" t="str">
        <f>IF(536&gt;ROWS(DGArchive[变更前]),"",IF(INDEX(DGArchive[变更前],536)="","",INDEX(DGArchive[变更前],536)))</f>
        <v/>
      </c>
      <c r="CF735" t="str">
        <f>IF(536&gt;ROWS(DGArchive[增减]),"",IF(INDEX(DGArchive[增减],536)="","",INDEX(DGArchive[增减],536)))</f>
        <v/>
      </c>
      <c r="CG735" t="str">
        <f>IF(536&gt;ROWS(DGArchive[变更后]),"",IF(INDEX(DGArchive[变更后],536)="","",INDEX(DGArchive[变更后],536)))</f>
        <v/>
      </c>
      <c r="CH735" t="str">
        <f>IF(536&gt;ROWS(DGArchive[事件／活动]),"",IF(INDEX(DGArchive[事件／活动],536)="","",INDEX(DGArchive[事件／活动],536)))</f>
        <v/>
      </c>
      <c r="CI735" t="str">
        <f>IF(536&gt;ROWS(DGArchive[记录编号]),"",IF(INDEX(DGArchive[记录编号],536)="","",INDEX(DGArchive[记录编号],536)))</f>
        <v/>
      </c>
      <c r="CL735">
        <f t="shared" si="254"/>
        <v>0</v>
      </c>
      <c r="CM735">
        <f>IF(AND(A735=$AO$5,B735=$AQ$3,H735=1),COUNTIFS($A$200:A735,$AO$5,$B$200:B735,$AQ$3,$H$200:H735,1),0)</f>
        <v>0</v>
      </c>
      <c r="CN735">
        <f>IF(CA735="",536,1001)</f>
        <v>536</v>
      </c>
      <c r="GA735">
        <f t="shared" si="274"/>
        <v>0</v>
      </c>
      <c r="GB735">
        <f t="shared" si="275"/>
        <v>0</v>
      </c>
      <c r="GC735">
        <f>IF(AND(C735="事件记录",H735=1),COUNTIFS($C$200:C735,"事件记录",$H$200:H735,1),0)</f>
        <v>0</v>
      </c>
      <c r="GD735">
        <f t="shared" si="255"/>
        <v>0</v>
      </c>
      <c r="GH735">
        <f>IF(AND(H735=1,A735=$GA$10,B735=$GA$11),COUNTIFS($A$200:A735,$GA$10,$B$200:B735,$GA$11,$H$200:H735,1),0)</f>
        <v>0</v>
      </c>
    </row>
    <row r="736" spans="1:190">
      <c r="A736" t="str">
        <f t="shared" si="246"/>
        <v/>
      </c>
      <c r="B736" t="str">
        <f t="shared" si="247"/>
        <v/>
      </c>
      <c r="C736" t="str">
        <f t="shared" si="248"/>
        <v/>
      </c>
      <c r="D736" t="str">
        <f t="shared" si="249"/>
        <v/>
      </c>
      <c r="E736">
        <f t="shared" si="250"/>
        <v>0</v>
      </c>
      <c r="F736" t="str">
        <f t="shared" si="251"/>
        <v/>
      </c>
      <c r="G736">
        <f t="shared" si="252"/>
        <v>0</v>
      </c>
      <c r="H736">
        <f>IF(AND(G736=1,COUNTIFS($I$200:I736,I736,$G$200:G736,1)=1),1,0)</f>
        <v>0</v>
      </c>
      <c r="I736" t="str">
        <f t="shared" si="253"/>
        <v/>
      </c>
      <c r="BF736">
        <f t="shared" si="256"/>
        <v>0</v>
      </c>
      <c r="BG736">
        <f t="shared" si="257"/>
        <v>0</v>
      </c>
      <c r="BH736">
        <f t="shared" si="258"/>
        <v>0</v>
      </c>
      <c r="BI736">
        <f t="shared" si="259"/>
        <v>0</v>
      </c>
      <c r="BJ736">
        <f t="shared" si="260"/>
        <v>0</v>
      </c>
      <c r="BK736">
        <f t="shared" si="261"/>
        <v>0</v>
      </c>
      <c r="BL736">
        <f t="shared" si="262"/>
        <v>0</v>
      </c>
      <c r="BM736">
        <f t="shared" si="263"/>
        <v>0</v>
      </c>
      <c r="BN736">
        <f t="shared" si="264"/>
        <v>0</v>
      </c>
      <c r="BO736">
        <f t="shared" si="265"/>
        <v>0</v>
      </c>
      <c r="BP736">
        <f t="shared" si="266"/>
        <v>0</v>
      </c>
      <c r="BQ736">
        <f t="shared" si="267"/>
        <v>0</v>
      </c>
      <c r="BR736">
        <f t="shared" si="268"/>
        <v>0</v>
      </c>
      <c r="BS736">
        <f t="shared" si="269"/>
        <v>0</v>
      </c>
      <c r="BT736">
        <f t="shared" si="270"/>
        <v>0</v>
      </c>
      <c r="BU736">
        <f t="shared" si="271"/>
        <v>0</v>
      </c>
      <c r="BV736">
        <f t="shared" si="272"/>
        <v>0</v>
      </c>
      <c r="BW736">
        <f t="shared" si="273"/>
        <v>0</v>
      </c>
      <c r="CA736" t="str">
        <f>IF(537&gt;ROWS(DGArchive[模组]),"",IF(INDEX(DGArchive[模组],537)="","",INDEX(DGArchive[模组],537)))</f>
        <v/>
      </c>
      <c r="CB736" t="str">
        <f>IF(537&gt;ROWS(DGArchive[阶段]),"",IF(INDEX(DGArchive[阶段],537)="","",INDEX(DGArchive[阶段],537)))</f>
        <v/>
      </c>
      <c r="CC736" t="str">
        <f>IF(537&gt;ROWS(DGArchive[游戏内日期]),"",IF(INDEX(DGArchive[游戏内日期],537)="","",INDEX(DGArchive[游戏内日期],537)))</f>
        <v/>
      </c>
      <c r="CD736" t="str">
        <f>IF(537&gt;ROWS(DGArchive[目标]),"",IF(INDEX(DGArchive[目标],537)="","",INDEX(DGArchive[目标],537)))</f>
        <v/>
      </c>
      <c r="CE736" t="str">
        <f>IF(537&gt;ROWS(DGArchive[变更前]),"",IF(INDEX(DGArchive[变更前],537)="","",INDEX(DGArchive[变更前],537)))</f>
        <v/>
      </c>
      <c r="CF736" t="str">
        <f>IF(537&gt;ROWS(DGArchive[增减]),"",IF(INDEX(DGArchive[增减],537)="","",INDEX(DGArchive[增减],537)))</f>
        <v/>
      </c>
      <c r="CG736" t="str">
        <f>IF(537&gt;ROWS(DGArchive[变更后]),"",IF(INDEX(DGArchive[变更后],537)="","",INDEX(DGArchive[变更后],537)))</f>
        <v/>
      </c>
      <c r="CH736" t="str">
        <f>IF(537&gt;ROWS(DGArchive[事件／活动]),"",IF(INDEX(DGArchive[事件／活动],537)="","",INDEX(DGArchive[事件／活动],537)))</f>
        <v/>
      </c>
      <c r="CI736" t="str">
        <f>IF(537&gt;ROWS(DGArchive[记录编号]),"",IF(INDEX(DGArchive[记录编号],537)="","",INDEX(DGArchive[记录编号],537)))</f>
        <v/>
      </c>
      <c r="CL736">
        <f t="shared" si="254"/>
        <v>0</v>
      </c>
      <c r="CM736">
        <f>IF(AND(A736=$AO$5,B736=$AQ$3,H736=1),COUNTIFS($A$200:A736,$AO$5,$B$200:B736,$AQ$3,$H$200:H736,1),0)</f>
        <v>0</v>
      </c>
      <c r="CN736">
        <f>IF(CA736="",537,1001)</f>
        <v>537</v>
      </c>
      <c r="GA736">
        <f t="shared" si="274"/>
        <v>0</v>
      </c>
      <c r="GB736">
        <f t="shared" si="275"/>
        <v>0</v>
      </c>
      <c r="GC736">
        <f>IF(AND(C736="事件记录",H736=1),COUNTIFS($C$200:C736,"事件记录",$H$200:H736,1),0)</f>
        <v>0</v>
      </c>
      <c r="GD736">
        <f t="shared" si="255"/>
        <v>0</v>
      </c>
      <c r="GH736">
        <f>IF(AND(H736=1,A736=$GA$10,B736=$GA$11),COUNTIFS($A$200:A736,$GA$10,$B$200:B736,$GA$11,$H$200:H736,1),0)</f>
        <v>0</v>
      </c>
    </row>
    <row r="737" spans="1:190">
      <c r="A737" t="str">
        <f t="shared" si="246"/>
        <v/>
      </c>
      <c r="B737" t="str">
        <f t="shared" si="247"/>
        <v/>
      </c>
      <c r="C737" t="str">
        <f t="shared" si="248"/>
        <v/>
      </c>
      <c r="D737" t="str">
        <f t="shared" si="249"/>
        <v/>
      </c>
      <c r="E737">
        <f t="shared" si="250"/>
        <v>0</v>
      </c>
      <c r="F737" t="str">
        <f t="shared" si="251"/>
        <v/>
      </c>
      <c r="G737">
        <f t="shared" si="252"/>
        <v>0</v>
      </c>
      <c r="H737">
        <f>IF(AND(G737=1,COUNTIFS($I$200:I737,I737,$G$200:G737,1)=1),1,0)</f>
        <v>0</v>
      </c>
      <c r="I737" t="str">
        <f t="shared" si="253"/>
        <v/>
      </c>
      <c r="BF737">
        <f t="shared" si="256"/>
        <v>0</v>
      </c>
      <c r="BG737">
        <f t="shared" si="257"/>
        <v>0</v>
      </c>
      <c r="BH737">
        <f t="shared" si="258"/>
        <v>0</v>
      </c>
      <c r="BI737">
        <f t="shared" si="259"/>
        <v>0</v>
      </c>
      <c r="BJ737">
        <f t="shared" si="260"/>
        <v>0</v>
      </c>
      <c r="BK737">
        <f t="shared" si="261"/>
        <v>0</v>
      </c>
      <c r="BL737">
        <f t="shared" si="262"/>
        <v>0</v>
      </c>
      <c r="BM737">
        <f t="shared" si="263"/>
        <v>0</v>
      </c>
      <c r="BN737">
        <f t="shared" si="264"/>
        <v>0</v>
      </c>
      <c r="BO737">
        <f t="shared" si="265"/>
        <v>0</v>
      </c>
      <c r="BP737">
        <f t="shared" si="266"/>
        <v>0</v>
      </c>
      <c r="BQ737">
        <f t="shared" si="267"/>
        <v>0</v>
      </c>
      <c r="BR737">
        <f t="shared" si="268"/>
        <v>0</v>
      </c>
      <c r="BS737">
        <f t="shared" si="269"/>
        <v>0</v>
      </c>
      <c r="BT737">
        <f t="shared" si="270"/>
        <v>0</v>
      </c>
      <c r="BU737">
        <f t="shared" si="271"/>
        <v>0</v>
      </c>
      <c r="BV737">
        <f t="shared" si="272"/>
        <v>0</v>
      </c>
      <c r="BW737">
        <f t="shared" si="273"/>
        <v>0</v>
      </c>
      <c r="CA737" t="str">
        <f>IF(538&gt;ROWS(DGArchive[模组]),"",IF(INDEX(DGArchive[模组],538)="","",INDEX(DGArchive[模组],538)))</f>
        <v/>
      </c>
      <c r="CB737" t="str">
        <f>IF(538&gt;ROWS(DGArchive[阶段]),"",IF(INDEX(DGArchive[阶段],538)="","",INDEX(DGArchive[阶段],538)))</f>
        <v/>
      </c>
      <c r="CC737" t="str">
        <f>IF(538&gt;ROWS(DGArchive[游戏内日期]),"",IF(INDEX(DGArchive[游戏内日期],538)="","",INDEX(DGArchive[游戏内日期],538)))</f>
        <v/>
      </c>
      <c r="CD737" t="str">
        <f>IF(538&gt;ROWS(DGArchive[目标]),"",IF(INDEX(DGArchive[目标],538)="","",INDEX(DGArchive[目标],538)))</f>
        <v/>
      </c>
      <c r="CE737" t="str">
        <f>IF(538&gt;ROWS(DGArchive[变更前]),"",IF(INDEX(DGArchive[变更前],538)="","",INDEX(DGArchive[变更前],538)))</f>
        <v/>
      </c>
      <c r="CF737" t="str">
        <f>IF(538&gt;ROWS(DGArchive[增减]),"",IF(INDEX(DGArchive[增减],538)="","",INDEX(DGArchive[增减],538)))</f>
        <v/>
      </c>
      <c r="CG737" t="str">
        <f>IF(538&gt;ROWS(DGArchive[变更后]),"",IF(INDEX(DGArchive[变更后],538)="","",INDEX(DGArchive[变更后],538)))</f>
        <v/>
      </c>
      <c r="CH737" t="str">
        <f>IF(538&gt;ROWS(DGArchive[事件／活动]),"",IF(INDEX(DGArchive[事件／活动],538)="","",INDEX(DGArchive[事件／活动],538)))</f>
        <v/>
      </c>
      <c r="CI737" t="str">
        <f>IF(538&gt;ROWS(DGArchive[记录编号]),"",IF(INDEX(DGArchive[记录编号],538)="","",INDEX(DGArchive[记录编号],538)))</f>
        <v/>
      </c>
      <c r="CL737">
        <f t="shared" si="254"/>
        <v>0</v>
      </c>
      <c r="CM737">
        <f>IF(AND(A737=$AO$5,B737=$AQ$3,H737=1),COUNTIFS($A$200:A737,$AO$5,$B$200:B737,$AQ$3,$H$200:H737,1),0)</f>
        <v>0</v>
      </c>
      <c r="CN737">
        <f>IF(CA737="",538,1001)</f>
        <v>538</v>
      </c>
      <c r="GA737">
        <f t="shared" si="274"/>
        <v>0</v>
      </c>
      <c r="GB737">
        <f t="shared" si="275"/>
        <v>0</v>
      </c>
      <c r="GC737">
        <f>IF(AND(C737="事件记录",H737=1),COUNTIFS($C$200:C737,"事件记录",$H$200:H737,1),0)</f>
        <v>0</v>
      </c>
      <c r="GD737">
        <f t="shared" si="255"/>
        <v>0</v>
      </c>
      <c r="GH737">
        <f>IF(AND(H737=1,A737=$GA$10,B737=$GA$11),COUNTIFS($A$200:A737,$GA$10,$B$200:B737,$GA$11,$H$200:H737,1),0)</f>
        <v>0</v>
      </c>
    </row>
    <row r="738" spans="1:190">
      <c r="A738" t="str">
        <f t="shared" si="246"/>
        <v/>
      </c>
      <c r="B738" t="str">
        <f t="shared" si="247"/>
        <v/>
      </c>
      <c r="C738" t="str">
        <f t="shared" si="248"/>
        <v/>
      </c>
      <c r="D738" t="str">
        <f t="shared" si="249"/>
        <v/>
      </c>
      <c r="E738">
        <f t="shared" si="250"/>
        <v>0</v>
      </c>
      <c r="F738" t="str">
        <f t="shared" si="251"/>
        <v/>
      </c>
      <c r="G738">
        <f t="shared" si="252"/>
        <v>0</v>
      </c>
      <c r="H738">
        <f>IF(AND(G738=1,COUNTIFS($I$200:I738,I738,$G$200:G738,1)=1),1,0)</f>
        <v>0</v>
      </c>
      <c r="I738" t="str">
        <f t="shared" si="253"/>
        <v/>
      </c>
      <c r="BF738">
        <f t="shared" si="256"/>
        <v>0</v>
      </c>
      <c r="BG738">
        <f t="shared" si="257"/>
        <v>0</v>
      </c>
      <c r="BH738">
        <f t="shared" si="258"/>
        <v>0</v>
      </c>
      <c r="BI738">
        <f t="shared" si="259"/>
        <v>0</v>
      </c>
      <c r="BJ738">
        <f t="shared" si="260"/>
        <v>0</v>
      </c>
      <c r="BK738">
        <f t="shared" si="261"/>
        <v>0</v>
      </c>
      <c r="BL738">
        <f t="shared" si="262"/>
        <v>0</v>
      </c>
      <c r="BM738">
        <f t="shared" si="263"/>
        <v>0</v>
      </c>
      <c r="BN738">
        <f t="shared" si="264"/>
        <v>0</v>
      </c>
      <c r="BO738">
        <f t="shared" si="265"/>
        <v>0</v>
      </c>
      <c r="BP738">
        <f t="shared" si="266"/>
        <v>0</v>
      </c>
      <c r="BQ738">
        <f t="shared" si="267"/>
        <v>0</v>
      </c>
      <c r="BR738">
        <f t="shared" si="268"/>
        <v>0</v>
      </c>
      <c r="BS738">
        <f t="shared" si="269"/>
        <v>0</v>
      </c>
      <c r="BT738">
        <f t="shared" si="270"/>
        <v>0</v>
      </c>
      <c r="BU738">
        <f t="shared" si="271"/>
        <v>0</v>
      </c>
      <c r="BV738">
        <f t="shared" si="272"/>
        <v>0</v>
      </c>
      <c r="BW738">
        <f t="shared" si="273"/>
        <v>0</v>
      </c>
      <c r="CA738" t="str">
        <f>IF(539&gt;ROWS(DGArchive[模组]),"",IF(INDEX(DGArchive[模组],539)="","",INDEX(DGArchive[模组],539)))</f>
        <v/>
      </c>
      <c r="CB738" t="str">
        <f>IF(539&gt;ROWS(DGArchive[阶段]),"",IF(INDEX(DGArchive[阶段],539)="","",INDEX(DGArchive[阶段],539)))</f>
        <v/>
      </c>
      <c r="CC738" t="str">
        <f>IF(539&gt;ROWS(DGArchive[游戏内日期]),"",IF(INDEX(DGArchive[游戏内日期],539)="","",INDEX(DGArchive[游戏内日期],539)))</f>
        <v/>
      </c>
      <c r="CD738" t="str">
        <f>IF(539&gt;ROWS(DGArchive[目标]),"",IF(INDEX(DGArchive[目标],539)="","",INDEX(DGArchive[目标],539)))</f>
        <v/>
      </c>
      <c r="CE738" t="str">
        <f>IF(539&gt;ROWS(DGArchive[变更前]),"",IF(INDEX(DGArchive[变更前],539)="","",INDEX(DGArchive[变更前],539)))</f>
        <v/>
      </c>
      <c r="CF738" t="str">
        <f>IF(539&gt;ROWS(DGArchive[增减]),"",IF(INDEX(DGArchive[增减],539)="","",INDEX(DGArchive[增减],539)))</f>
        <v/>
      </c>
      <c r="CG738" t="str">
        <f>IF(539&gt;ROWS(DGArchive[变更后]),"",IF(INDEX(DGArchive[变更后],539)="","",INDEX(DGArchive[变更后],539)))</f>
        <v/>
      </c>
      <c r="CH738" t="str">
        <f>IF(539&gt;ROWS(DGArchive[事件／活动]),"",IF(INDEX(DGArchive[事件／活动],539)="","",INDEX(DGArchive[事件／活动],539)))</f>
        <v/>
      </c>
      <c r="CI738" t="str">
        <f>IF(539&gt;ROWS(DGArchive[记录编号]),"",IF(INDEX(DGArchive[记录编号],539)="","",INDEX(DGArchive[记录编号],539)))</f>
        <v/>
      </c>
      <c r="CL738">
        <f t="shared" si="254"/>
        <v>0</v>
      </c>
      <c r="CM738">
        <f>IF(AND(A738=$AO$5,B738=$AQ$3,H738=1),COUNTIFS($A$200:A738,$AO$5,$B$200:B738,$AQ$3,$H$200:H738,1),0)</f>
        <v>0</v>
      </c>
      <c r="CN738">
        <f>IF(CA738="",539,1001)</f>
        <v>539</v>
      </c>
      <c r="GA738">
        <f t="shared" si="274"/>
        <v>0</v>
      </c>
      <c r="GB738">
        <f t="shared" si="275"/>
        <v>0</v>
      </c>
      <c r="GC738">
        <f>IF(AND(C738="事件记录",H738=1),COUNTIFS($C$200:C738,"事件记录",$H$200:H738,1),0)</f>
        <v>0</v>
      </c>
      <c r="GD738">
        <f t="shared" si="255"/>
        <v>0</v>
      </c>
      <c r="GH738">
        <f>IF(AND(H738=1,A738=$GA$10,B738=$GA$11),COUNTIFS($A$200:A738,$GA$10,$B$200:B738,$GA$11,$H$200:H738,1),0)</f>
        <v>0</v>
      </c>
    </row>
    <row r="739" spans="1:190">
      <c r="A739" t="str">
        <f t="shared" si="246"/>
        <v/>
      </c>
      <c r="B739" t="str">
        <f t="shared" si="247"/>
        <v/>
      </c>
      <c r="C739" t="str">
        <f t="shared" si="248"/>
        <v/>
      </c>
      <c r="D739" t="str">
        <f t="shared" si="249"/>
        <v/>
      </c>
      <c r="E739">
        <f t="shared" si="250"/>
        <v>0</v>
      </c>
      <c r="F739" t="str">
        <f t="shared" si="251"/>
        <v/>
      </c>
      <c r="G739">
        <f t="shared" si="252"/>
        <v>0</v>
      </c>
      <c r="H739">
        <f>IF(AND(G739=1,COUNTIFS($I$200:I739,I739,$G$200:G739,1)=1),1,0)</f>
        <v>0</v>
      </c>
      <c r="I739" t="str">
        <f t="shared" si="253"/>
        <v/>
      </c>
      <c r="BF739">
        <f t="shared" si="256"/>
        <v>0</v>
      </c>
      <c r="BG739">
        <f t="shared" si="257"/>
        <v>0</v>
      </c>
      <c r="BH739">
        <f t="shared" si="258"/>
        <v>0</v>
      </c>
      <c r="BI739">
        <f t="shared" si="259"/>
        <v>0</v>
      </c>
      <c r="BJ739">
        <f t="shared" si="260"/>
        <v>0</v>
      </c>
      <c r="BK739">
        <f t="shared" si="261"/>
        <v>0</v>
      </c>
      <c r="BL739">
        <f t="shared" si="262"/>
        <v>0</v>
      </c>
      <c r="BM739">
        <f t="shared" si="263"/>
        <v>0</v>
      </c>
      <c r="BN739">
        <f t="shared" si="264"/>
        <v>0</v>
      </c>
      <c r="BO739">
        <f t="shared" si="265"/>
        <v>0</v>
      </c>
      <c r="BP739">
        <f t="shared" si="266"/>
        <v>0</v>
      </c>
      <c r="BQ739">
        <f t="shared" si="267"/>
        <v>0</v>
      </c>
      <c r="BR739">
        <f t="shared" si="268"/>
        <v>0</v>
      </c>
      <c r="BS739">
        <f t="shared" si="269"/>
        <v>0</v>
      </c>
      <c r="BT739">
        <f t="shared" si="270"/>
        <v>0</v>
      </c>
      <c r="BU739">
        <f t="shared" si="271"/>
        <v>0</v>
      </c>
      <c r="BV739">
        <f t="shared" si="272"/>
        <v>0</v>
      </c>
      <c r="BW739">
        <f t="shared" si="273"/>
        <v>0</v>
      </c>
      <c r="CA739" t="str">
        <f>IF(540&gt;ROWS(DGArchive[模组]),"",IF(INDEX(DGArchive[模组],540)="","",INDEX(DGArchive[模组],540)))</f>
        <v/>
      </c>
      <c r="CB739" t="str">
        <f>IF(540&gt;ROWS(DGArchive[阶段]),"",IF(INDEX(DGArchive[阶段],540)="","",INDEX(DGArchive[阶段],540)))</f>
        <v/>
      </c>
      <c r="CC739" t="str">
        <f>IF(540&gt;ROWS(DGArchive[游戏内日期]),"",IF(INDEX(DGArchive[游戏内日期],540)="","",INDEX(DGArchive[游戏内日期],540)))</f>
        <v/>
      </c>
      <c r="CD739" t="str">
        <f>IF(540&gt;ROWS(DGArchive[目标]),"",IF(INDEX(DGArchive[目标],540)="","",INDEX(DGArchive[目标],540)))</f>
        <v/>
      </c>
      <c r="CE739" t="str">
        <f>IF(540&gt;ROWS(DGArchive[变更前]),"",IF(INDEX(DGArchive[变更前],540)="","",INDEX(DGArchive[变更前],540)))</f>
        <v/>
      </c>
      <c r="CF739" t="str">
        <f>IF(540&gt;ROWS(DGArchive[增减]),"",IF(INDEX(DGArchive[增减],540)="","",INDEX(DGArchive[增减],540)))</f>
        <v/>
      </c>
      <c r="CG739" t="str">
        <f>IF(540&gt;ROWS(DGArchive[变更后]),"",IF(INDEX(DGArchive[变更后],540)="","",INDEX(DGArchive[变更后],540)))</f>
        <v/>
      </c>
      <c r="CH739" t="str">
        <f>IF(540&gt;ROWS(DGArchive[事件／活动]),"",IF(INDEX(DGArchive[事件／活动],540)="","",INDEX(DGArchive[事件／活动],540)))</f>
        <v/>
      </c>
      <c r="CI739" t="str">
        <f>IF(540&gt;ROWS(DGArchive[记录编号]),"",IF(INDEX(DGArchive[记录编号],540)="","",INDEX(DGArchive[记录编号],540)))</f>
        <v/>
      </c>
      <c r="CL739">
        <f t="shared" si="254"/>
        <v>0</v>
      </c>
      <c r="CM739">
        <f>IF(AND(A739=$AO$5,B739=$AQ$3,H739=1),COUNTIFS($A$200:A739,$AO$5,$B$200:B739,$AQ$3,$H$200:H739,1),0)</f>
        <v>0</v>
      </c>
      <c r="CN739">
        <f>IF(CA739="",540,1001)</f>
        <v>540</v>
      </c>
      <c r="GA739">
        <f t="shared" si="274"/>
        <v>0</v>
      </c>
      <c r="GB739">
        <f t="shared" si="275"/>
        <v>0</v>
      </c>
      <c r="GC739">
        <f>IF(AND(C739="事件记录",H739=1),COUNTIFS($C$200:C739,"事件记录",$H$200:H739,1),0)</f>
        <v>0</v>
      </c>
      <c r="GD739">
        <f t="shared" si="255"/>
        <v>0</v>
      </c>
      <c r="GH739">
        <f>IF(AND(H739=1,A739=$GA$10,B739=$GA$11),COUNTIFS($A$200:A739,$GA$10,$B$200:B739,$GA$11,$H$200:H739,1),0)</f>
        <v>0</v>
      </c>
    </row>
    <row r="740" spans="1:190">
      <c r="A740" t="str">
        <f t="shared" si="246"/>
        <v/>
      </c>
      <c r="B740" t="str">
        <f t="shared" si="247"/>
        <v/>
      </c>
      <c r="C740" t="str">
        <f t="shared" si="248"/>
        <v/>
      </c>
      <c r="D740" t="str">
        <f t="shared" si="249"/>
        <v/>
      </c>
      <c r="E740">
        <f t="shared" si="250"/>
        <v>0</v>
      </c>
      <c r="F740" t="str">
        <f t="shared" si="251"/>
        <v/>
      </c>
      <c r="G740">
        <f t="shared" si="252"/>
        <v>0</v>
      </c>
      <c r="H740">
        <f>IF(AND(G740=1,COUNTIFS($I$200:I740,I740,$G$200:G740,1)=1),1,0)</f>
        <v>0</v>
      </c>
      <c r="I740" t="str">
        <f t="shared" si="253"/>
        <v/>
      </c>
      <c r="BF740">
        <f t="shared" si="256"/>
        <v>0</v>
      </c>
      <c r="BG740">
        <f t="shared" si="257"/>
        <v>0</v>
      </c>
      <c r="BH740">
        <f t="shared" si="258"/>
        <v>0</v>
      </c>
      <c r="BI740">
        <f t="shared" si="259"/>
        <v>0</v>
      </c>
      <c r="BJ740">
        <f t="shared" si="260"/>
        <v>0</v>
      </c>
      <c r="BK740">
        <f t="shared" si="261"/>
        <v>0</v>
      </c>
      <c r="BL740">
        <f t="shared" si="262"/>
        <v>0</v>
      </c>
      <c r="BM740">
        <f t="shared" si="263"/>
        <v>0</v>
      </c>
      <c r="BN740">
        <f t="shared" si="264"/>
        <v>0</v>
      </c>
      <c r="BO740">
        <f t="shared" si="265"/>
        <v>0</v>
      </c>
      <c r="BP740">
        <f t="shared" si="266"/>
        <v>0</v>
      </c>
      <c r="BQ740">
        <f t="shared" si="267"/>
        <v>0</v>
      </c>
      <c r="BR740">
        <f t="shared" si="268"/>
        <v>0</v>
      </c>
      <c r="BS740">
        <f t="shared" si="269"/>
        <v>0</v>
      </c>
      <c r="BT740">
        <f t="shared" si="270"/>
        <v>0</v>
      </c>
      <c r="BU740">
        <f t="shared" si="271"/>
        <v>0</v>
      </c>
      <c r="BV740">
        <f t="shared" si="272"/>
        <v>0</v>
      </c>
      <c r="BW740">
        <f t="shared" si="273"/>
        <v>0</v>
      </c>
      <c r="CA740" t="str">
        <f>IF(541&gt;ROWS(DGArchive[模组]),"",IF(INDEX(DGArchive[模组],541)="","",INDEX(DGArchive[模组],541)))</f>
        <v/>
      </c>
      <c r="CB740" t="str">
        <f>IF(541&gt;ROWS(DGArchive[阶段]),"",IF(INDEX(DGArchive[阶段],541)="","",INDEX(DGArchive[阶段],541)))</f>
        <v/>
      </c>
      <c r="CC740" t="str">
        <f>IF(541&gt;ROWS(DGArchive[游戏内日期]),"",IF(INDEX(DGArchive[游戏内日期],541)="","",INDEX(DGArchive[游戏内日期],541)))</f>
        <v/>
      </c>
      <c r="CD740" t="str">
        <f>IF(541&gt;ROWS(DGArchive[目标]),"",IF(INDEX(DGArchive[目标],541)="","",INDEX(DGArchive[目标],541)))</f>
        <v/>
      </c>
      <c r="CE740" t="str">
        <f>IF(541&gt;ROWS(DGArchive[变更前]),"",IF(INDEX(DGArchive[变更前],541)="","",INDEX(DGArchive[变更前],541)))</f>
        <v/>
      </c>
      <c r="CF740" t="str">
        <f>IF(541&gt;ROWS(DGArchive[增减]),"",IF(INDEX(DGArchive[增减],541)="","",INDEX(DGArchive[增减],541)))</f>
        <v/>
      </c>
      <c r="CG740" t="str">
        <f>IF(541&gt;ROWS(DGArchive[变更后]),"",IF(INDEX(DGArchive[变更后],541)="","",INDEX(DGArchive[变更后],541)))</f>
        <v/>
      </c>
      <c r="CH740" t="str">
        <f>IF(541&gt;ROWS(DGArchive[事件／活动]),"",IF(INDEX(DGArchive[事件／活动],541)="","",INDEX(DGArchive[事件／活动],541)))</f>
        <v/>
      </c>
      <c r="CI740" t="str">
        <f>IF(541&gt;ROWS(DGArchive[记录编号]),"",IF(INDEX(DGArchive[记录编号],541)="","",INDEX(DGArchive[记录编号],541)))</f>
        <v/>
      </c>
      <c r="CL740">
        <f t="shared" si="254"/>
        <v>0</v>
      </c>
      <c r="CM740">
        <f>IF(AND(A740=$AO$5,B740=$AQ$3,H740=1),COUNTIFS($A$200:A740,$AO$5,$B$200:B740,$AQ$3,$H$200:H740,1),0)</f>
        <v>0</v>
      </c>
      <c r="CN740">
        <f>IF(CA740="",541,1001)</f>
        <v>541</v>
      </c>
      <c r="GA740">
        <f t="shared" si="274"/>
        <v>0</v>
      </c>
      <c r="GB740">
        <f t="shared" si="275"/>
        <v>0</v>
      </c>
      <c r="GC740">
        <f>IF(AND(C740="事件记录",H740=1),COUNTIFS($C$200:C740,"事件记录",$H$200:H740,1),0)</f>
        <v>0</v>
      </c>
      <c r="GD740">
        <f t="shared" si="255"/>
        <v>0</v>
      </c>
      <c r="GH740">
        <f>IF(AND(H740=1,A740=$GA$10,B740=$GA$11),COUNTIFS($A$200:A740,$GA$10,$B$200:B740,$GA$11,$H$200:H740,1),0)</f>
        <v>0</v>
      </c>
    </row>
    <row r="741" spans="1:190">
      <c r="A741" t="str">
        <f t="shared" si="246"/>
        <v/>
      </c>
      <c r="B741" t="str">
        <f t="shared" si="247"/>
        <v/>
      </c>
      <c r="C741" t="str">
        <f t="shared" si="248"/>
        <v/>
      </c>
      <c r="D741" t="str">
        <f t="shared" si="249"/>
        <v/>
      </c>
      <c r="E741">
        <f t="shared" si="250"/>
        <v>0</v>
      </c>
      <c r="F741" t="str">
        <f t="shared" si="251"/>
        <v/>
      </c>
      <c r="G741">
        <f t="shared" si="252"/>
        <v>0</v>
      </c>
      <c r="H741">
        <f>IF(AND(G741=1,COUNTIFS($I$200:I741,I741,$G$200:G741,1)=1),1,0)</f>
        <v>0</v>
      </c>
      <c r="I741" t="str">
        <f t="shared" si="253"/>
        <v/>
      </c>
      <c r="BF741">
        <f t="shared" si="256"/>
        <v>0</v>
      </c>
      <c r="BG741">
        <f t="shared" si="257"/>
        <v>0</v>
      </c>
      <c r="BH741">
        <f t="shared" si="258"/>
        <v>0</v>
      </c>
      <c r="BI741">
        <f t="shared" si="259"/>
        <v>0</v>
      </c>
      <c r="BJ741">
        <f t="shared" si="260"/>
        <v>0</v>
      </c>
      <c r="BK741">
        <f t="shared" si="261"/>
        <v>0</v>
      </c>
      <c r="BL741">
        <f t="shared" si="262"/>
        <v>0</v>
      </c>
      <c r="BM741">
        <f t="shared" si="263"/>
        <v>0</v>
      </c>
      <c r="BN741">
        <f t="shared" si="264"/>
        <v>0</v>
      </c>
      <c r="BO741">
        <f t="shared" si="265"/>
        <v>0</v>
      </c>
      <c r="BP741">
        <f t="shared" si="266"/>
        <v>0</v>
      </c>
      <c r="BQ741">
        <f t="shared" si="267"/>
        <v>0</v>
      </c>
      <c r="BR741">
        <f t="shared" si="268"/>
        <v>0</v>
      </c>
      <c r="BS741">
        <f t="shared" si="269"/>
        <v>0</v>
      </c>
      <c r="BT741">
        <f t="shared" si="270"/>
        <v>0</v>
      </c>
      <c r="BU741">
        <f t="shared" si="271"/>
        <v>0</v>
      </c>
      <c r="BV741">
        <f t="shared" si="272"/>
        <v>0</v>
      </c>
      <c r="BW741">
        <f t="shared" si="273"/>
        <v>0</v>
      </c>
      <c r="CA741" t="str">
        <f>IF(542&gt;ROWS(DGArchive[模组]),"",IF(INDEX(DGArchive[模组],542)="","",INDEX(DGArchive[模组],542)))</f>
        <v/>
      </c>
      <c r="CB741" t="str">
        <f>IF(542&gt;ROWS(DGArchive[阶段]),"",IF(INDEX(DGArchive[阶段],542)="","",INDEX(DGArchive[阶段],542)))</f>
        <v/>
      </c>
      <c r="CC741" t="str">
        <f>IF(542&gt;ROWS(DGArchive[游戏内日期]),"",IF(INDEX(DGArchive[游戏内日期],542)="","",INDEX(DGArchive[游戏内日期],542)))</f>
        <v/>
      </c>
      <c r="CD741" t="str">
        <f>IF(542&gt;ROWS(DGArchive[目标]),"",IF(INDEX(DGArchive[目标],542)="","",INDEX(DGArchive[目标],542)))</f>
        <v/>
      </c>
      <c r="CE741" t="str">
        <f>IF(542&gt;ROWS(DGArchive[变更前]),"",IF(INDEX(DGArchive[变更前],542)="","",INDEX(DGArchive[变更前],542)))</f>
        <v/>
      </c>
      <c r="CF741" t="str">
        <f>IF(542&gt;ROWS(DGArchive[增减]),"",IF(INDEX(DGArchive[增减],542)="","",INDEX(DGArchive[增减],542)))</f>
        <v/>
      </c>
      <c r="CG741" t="str">
        <f>IF(542&gt;ROWS(DGArchive[变更后]),"",IF(INDEX(DGArchive[变更后],542)="","",INDEX(DGArchive[变更后],542)))</f>
        <v/>
      </c>
      <c r="CH741" t="str">
        <f>IF(542&gt;ROWS(DGArchive[事件／活动]),"",IF(INDEX(DGArchive[事件／活动],542)="","",INDEX(DGArchive[事件／活动],542)))</f>
        <v/>
      </c>
      <c r="CI741" t="str">
        <f>IF(542&gt;ROWS(DGArchive[记录编号]),"",IF(INDEX(DGArchive[记录编号],542)="","",INDEX(DGArchive[记录编号],542)))</f>
        <v/>
      </c>
      <c r="CL741">
        <f t="shared" si="254"/>
        <v>0</v>
      </c>
      <c r="CM741">
        <f>IF(AND(A741=$AO$5,B741=$AQ$3,H741=1),COUNTIFS($A$200:A741,$AO$5,$B$200:B741,$AQ$3,$H$200:H741,1),0)</f>
        <v>0</v>
      </c>
      <c r="CN741">
        <f>IF(CA741="",542,1001)</f>
        <v>542</v>
      </c>
      <c r="GA741">
        <f t="shared" si="274"/>
        <v>0</v>
      </c>
      <c r="GB741">
        <f t="shared" si="275"/>
        <v>0</v>
      </c>
      <c r="GC741">
        <f>IF(AND(C741="事件记录",H741=1),COUNTIFS($C$200:C741,"事件记录",$H$200:H741,1),0)</f>
        <v>0</v>
      </c>
      <c r="GD741">
        <f t="shared" si="255"/>
        <v>0</v>
      </c>
      <c r="GH741">
        <f>IF(AND(H741=1,A741=$GA$10,B741=$GA$11),COUNTIFS($A$200:A741,$GA$10,$B$200:B741,$GA$11,$H$200:H741,1),0)</f>
        <v>0</v>
      </c>
    </row>
    <row r="742" spans="1:190">
      <c r="A742" t="str">
        <f t="shared" si="246"/>
        <v/>
      </c>
      <c r="B742" t="str">
        <f t="shared" si="247"/>
        <v/>
      </c>
      <c r="C742" t="str">
        <f t="shared" si="248"/>
        <v/>
      </c>
      <c r="D742" t="str">
        <f t="shared" si="249"/>
        <v/>
      </c>
      <c r="E742">
        <f t="shared" si="250"/>
        <v>0</v>
      </c>
      <c r="F742" t="str">
        <f t="shared" si="251"/>
        <v/>
      </c>
      <c r="G742">
        <f t="shared" si="252"/>
        <v>0</v>
      </c>
      <c r="H742">
        <f>IF(AND(G742=1,COUNTIFS($I$200:I742,I742,$G$200:G742,1)=1),1,0)</f>
        <v>0</v>
      </c>
      <c r="I742" t="str">
        <f t="shared" si="253"/>
        <v/>
      </c>
      <c r="BF742">
        <f t="shared" si="256"/>
        <v>0</v>
      </c>
      <c r="BG742">
        <f t="shared" si="257"/>
        <v>0</v>
      </c>
      <c r="BH742">
        <f t="shared" si="258"/>
        <v>0</v>
      </c>
      <c r="BI742">
        <f t="shared" si="259"/>
        <v>0</v>
      </c>
      <c r="BJ742">
        <f t="shared" si="260"/>
        <v>0</v>
      </c>
      <c r="BK742">
        <f t="shared" si="261"/>
        <v>0</v>
      </c>
      <c r="BL742">
        <f t="shared" si="262"/>
        <v>0</v>
      </c>
      <c r="BM742">
        <f t="shared" si="263"/>
        <v>0</v>
      </c>
      <c r="BN742">
        <f t="shared" si="264"/>
        <v>0</v>
      </c>
      <c r="BO742">
        <f t="shared" si="265"/>
        <v>0</v>
      </c>
      <c r="BP742">
        <f t="shared" si="266"/>
        <v>0</v>
      </c>
      <c r="BQ742">
        <f t="shared" si="267"/>
        <v>0</v>
      </c>
      <c r="BR742">
        <f t="shared" si="268"/>
        <v>0</v>
      </c>
      <c r="BS742">
        <f t="shared" si="269"/>
        <v>0</v>
      </c>
      <c r="BT742">
        <f t="shared" si="270"/>
        <v>0</v>
      </c>
      <c r="BU742">
        <f t="shared" si="271"/>
        <v>0</v>
      </c>
      <c r="BV742">
        <f t="shared" si="272"/>
        <v>0</v>
      </c>
      <c r="BW742">
        <f t="shared" si="273"/>
        <v>0</v>
      </c>
      <c r="CA742" t="str">
        <f>IF(543&gt;ROWS(DGArchive[模组]),"",IF(INDEX(DGArchive[模组],543)="","",INDEX(DGArchive[模组],543)))</f>
        <v/>
      </c>
      <c r="CB742" t="str">
        <f>IF(543&gt;ROWS(DGArchive[阶段]),"",IF(INDEX(DGArchive[阶段],543)="","",INDEX(DGArchive[阶段],543)))</f>
        <v/>
      </c>
      <c r="CC742" t="str">
        <f>IF(543&gt;ROWS(DGArchive[游戏内日期]),"",IF(INDEX(DGArchive[游戏内日期],543)="","",INDEX(DGArchive[游戏内日期],543)))</f>
        <v/>
      </c>
      <c r="CD742" t="str">
        <f>IF(543&gt;ROWS(DGArchive[目标]),"",IF(INDEX(DGArchive[目标],543)="","",INDEX(DGArchive[目标],543)))</f>
        <v/>
      </c>
      <c r="CE742" t="str">
        <f>IF(543&gt;ROWS(DGArchive[变更前]),"",IF(INDEX(DGArchive[变更前],543)="","",INDEX(DGArchive[变更前],543)))</f>
        <v/>
      </c>
      <c r="CF742" t="str">
        <f>IF(543&gt;ROWS(DGArchive[增减]),"",IF(INDEX(DGArchive[增减],543)="","",INDEX(DGArchive[增减],543)))</f>
        <v/>
      </c>
      <c r="CG742" t="str">
        <f>IF(543&gt;ROWS(DGArchive[变更后]),"",IF(INDEX(DGArchive[变更后],543)="","",INDEX(DGArchive[变更后],543)))</f>
        <v/>
      </c>
      <c r="CH742" t="str">
        <f>IF(543&gt;ROWS(DGArchive[事件／活动]),"",IF(INDEX(DGArchive[事件／活动],543)="","",INDEX(DGArchive[事件／活动],543)))</f>
        <v/>
      </c>
      <c r="CI742" t="str">
        <f>IF(543&gt;ROWS(DGArchive[记录编号]),"",IF(INDEX(DGArchive[记录编号],543)="","",INDEX(DGArchive[记录编号],543)))</f>
        <v/>
      </c>
      <c r="CL742">
        <f t="shared" si="254"/>
        <v>0</v>
      </c>
      <c r="CM742">
        <f>IF(AND(A742=$AO$5,B742=$AQ$3,H742=1),COUNTIFS($A$200:A742,$AO$5,$B$200:B742,$AQ$3,$H$200:H742,1),0)</f>
        <v>0</v>
      </c>
      <c r="CN742">
        <f>IF(CA742="",543,1001)</f>
        <v>543</v>
      </c>
      <c r="GA742">
        <f t="shared" si="274"/>
        <v>0</v>
      </c>
      <c r="GB742">
        <f t="shared" si="275"/>
        <v>0</v>
      </c>
      <c r="GC742">
        <f>IF(AND(C742="事件记录",H742=1),COUNTIFS($C$200:C742,"事件记录",$H$200:H742,1),0)</f>
        <v>0</v>
      </c>
      <c r="GD742">
        <f t="shared" si="255"/>
        <v>0</v>
      </c>
      <c r="GH742">
        <f>IF(AND(H742=1,A742=$GA$10,B742=$GA$11),COUNTIFS($A$200:A742,$GA$10,$B$200:B742,$GA$11,$H$200:H742,1),0)</f>
        <v>0</v>
      </c>
    </row>
    <row r="743" spans="1:190">
      <c r="A743" t="str">
        <f t="shared" si="246"/>
        <v/>
      </c>
      <c r="B743" t="str">
        <f t="shared" si="247"/>
        <v/>
      </c>
      <c r="C743" t="str">
        <f t="shared" si="248"/>
        <v/>
      </c>
      <c r="D743" t="str">
        <f t="shared" si="249"/>
        <v/>
      </c>
      <c r="E743">
        <f t="shared" si="250"/>
        <v>0</v>
      </c>
      <c r="F743" t="str">
        <f t="shared" si="251"/>
        <v/>
      </c>
      <c r="G743">
        <f t="shared" si="252"/>
        <v>0</v>
      </c>
      <c r="H743">
        <f>IF(AND(G743=1,COUNTIFS($I$200:I743,I743,$G$200:G743,1)=1),1,0)</f>
        <v>0</v>
      </c>
      <c r="I743" t="str">
        <f t="shared" si="253"/>
        <v/>
      </c>
      <c r="BF743">
        <f t="shared" si="256"/>
        <v>0</v>
      </c>
      <c r="BG743">
        <f t="shared" si="257"/>
        <v>0</v>
      </c>
      <c r="BH743">
        <f t="shared" si="258"/>
        <v>0</v>
      </c>
      <c r="BI743">
        <f t="shared" si="259"/>
        <v>0</v>
      </c>
      <c r="BJ743">
        <f t="shared" si="260"/>
        <v>0</v>
      </c>
      <c r="BK743">
        <f t="shared" si="261"/>
        <v>0</v>
      </c>
      <c r="BL743">
        <f t="shared" si="262"/>
        <v>0</v>
      </c>
      <c r="BM743">
        <f t="shared" si="263"/>
        <v>0</v>
      </c>
      <c r="BN743">
        <f t="shared" si="264"/>
        <v>0</v>
      </c>
      <c r="BO743">
        <f t="shared" si="265"/>
        <v>0</v>
      </c>
      <c r="BP743">
        <f t="shared" si="266"/>
        <v>0</v>
      </c>
      <c r="BQ743">
        <f t="shared" si="267"/>
        <v>0</v>
      </c>
      <c r="BR743">
        <f t="shared" si="268"/>
        <v>0</v>
      </c>
      <c r="BS743">
        <f t="shared" si="269"/>
        <v>0</v>
      </c>
      <c r="BT743">
        <f t="shared" si="270"/>
        <v>0</v>
      </c>
      <c r="BU743">
        <f t="shared" si="271"/>
        <v>0</v>
      </c>
      <c r="BV743">
        <f t="shared" si="272"/>
        <v>0</v>
      </c>
      <c r="BW743">
        <f t="shared" si="273"/>
        <v>0</v>
      </c>
      <c r="CA743" t="str">
        <f>IF(544&gt;ROWS(DGArchive[模组]),"",IF(INDEX(DGArchive[模组],544)="","",INDEX(DGArchive[模组],544)))</f>
        <v/>
      </c>
      <c r="CB743" t="str">
        <f>IF(544&gt;ROWS(DGArchive[阶段]),"",IF(INDEX(DGArchive[阶段],544)="","",INDEX(DGArchive[阶段],544)))</f>
        <v/>
      </c>
      <c r="CC743" t="str">
        <f>IF(544&gt;ROWS(DGArchive[游戏内日期]),"",IF(INDEX(DGArchive[游戏内日期],544)="","",INDEX(DGArchive[游戏内日期],544)))</f>
        <v/>
      </c>
      <c r="CD743" t="str">
        <f>IF(544&gt;ROWS(DGArchive[目标]),"",IF(INDEX(DGArchive[目标],544)="","",INDEX(DGArchive[目标],544)))</f>
        <v/>
      </c>
      <c r="CE743" t="str">
        <f>IF(544&gt;ROWS(DGArchive[变更前]),"",IF(INDEX(DGArchive[变更前],544)="","",INDEX(DGArchive[变更前],544)))</f>
        <v/>
      </c>
      <c r="CF743" t="str">
        <f>IF(544&gt;ROWS(DGArchive[增减]),"",IF(INDEX(DGArchive[增减],544)="","",INDEX(DGArchive[增减],544)))</f>
        <v/>
      </c>
      <c r="CG743" t="str">
        <f>IF(544&gt;ROWS(DGArchive[变更后]),"",IF(INDEX(DGArchive[变更后],544)="","",INDEX(DGArchive[变更后],544)))</f>
        <v/>
      </c>
      <c r="CH743" t="str">
        <f>IF(544&gt;ROWS(DGArchive[事件／活动]),"",IF(INDEX(DGArchive[事件／活动],544)="","",INDEX(DGArchive[事件／活动],544)))</f>
        <v/>
      </c>
      <c r="CI743" t="str">
        <f>IF(544&gt;ROWS(DGArchive[记录编号]),"",IF(INDEX(DGArchive[记录编号],544)="","",INDEX(DGArchive[记录编号],544)))</f>
        <v/>
      </c>
      <c r="CL743">
        <f t="shared" si="254"/>
        <v>0</v>
      </c>
      <c r="CM743">
        <f>IF(AND(A743=$AO$5,B743=$AQ$3,H743=1),COUNTIFS($A$200:A743,$AO$5,$B$200:B743,$AQ$3,$H$200:H743,1),0)</f>
        <v>0</v>
      </c>
      <c r="CN743">
        <f>IF(CA743="",544,1001)</f>
        <v>544</v>
      </c>
      <c r="GA743">
        <f t="shared" si="274"/>
        <v>0</v>
      </c>
      <c r="GB743">
        <f t="shared" si="275"/>
        <v>0</v>
      </c>
      <c r="GC743">
        <f>IF(AND(C743="事件记录",H743=1),COUNTIFS($C$200:C743,"事件记录",$H$200:H743,1),0)</f>
        <v>0</v>
      </c>
      <c r="GD743">
        <f t="shared" si="255"/>
        <v>0</v>
      </c>
      <c r="GH743">
        <f>IF(AND(H743=1,A743=$GA$10,B743=$GA$11),COUNTIFS($A$200:A743,$GA$10,$B$200:B743,$GA$11,$H$200:H743,1),0)</f>
        <v>0</v>
      </c>
    </row>
    <row r="744" spans="1:190">
      <c r="A744" t="str">
        <f t="shared" si="246"/>
        <v/>
      </c>
      <c r="B744" t="str">
        <f t="shared" si="247"/>
        <v/>
      </c>
      <c r="C744" t="str">
        <f t="shared" si="248"/>
        <v/>
      </c>
      <c r="D744" t="str">
        <f t="shared" si="249"/>
        <v/>
      </c>
      <c r="E744">
        <f t="shared" si="250"/>
        <v>0</v>
      </c>
      <c r="F744" t="str">
        <f t="shared" si="251"/>
        <v/>
      </c>
      <c r="G744">
        <f t="shared" si="252"/>
        <v>0</v>
      </c>
      <c r="H744">
        <f>IF(AND(G744=1,COUNTIFS($I$200:I744,I744,$G$200:G744,1)=1),1,0)</f>
        <v>0</v>
      </c>
      <c r="I744" t="str">
        <f t="shared" si="253"/>
        <v/>
      </c>
      <c r="BF744">
        <f t="shared" si="256"/>
        <v>0</v>
      </c>
      <c r="BG744">
        <f t="shared" si="257"/>
        <v>0</v>
      </c>
      <c r="BH744">
        <f t="shared" si="258"/>
        <v>0</v>
      </c>
      <c r="BI744">
        <f t="shared" si="259"/>
        <v>0</v>
      </c>
      <c r="BJ744">
        <f t="shared" si="260"/>
        <v>0</v>
      </c>
      <c r="BK744">
        <f t="shared" si="261"/>
        <v>0</v>
      </c>
      <c r="BL744">
        <f t="shared" si="262"/>
        <v>0</v>
      </c>
      <c r="BM744">
        <f t="shared" si="263"/>
        <v>0</v>
      </c>
      <c r="BN744">
        <f t="shared" si="264"/>
        <v>0</v>
      </c>
      <c r="BO744">
        <f t="shared" si="265"/>
        <v>0</v>
      </c>
      <c r="BP744">
        <f t="shared" si="266"/>
        <v>0</v>
      </c>
      <c r="BQ744">
        <f t="shared" si="267"/>
        <v>0</v>
      </c>
      <c r="BR744">
        <f t="shared" si="268"/>
        <v>0</v>
      </c>
      <c r="BS744">
        <f t="shared" si="269"/>
        <v>0</v>
      </c>
      <c r="BT744">
        <f t="shared" si="270"/>
        <v>0</v>
      </c>
      <c r="BU744">
        <f t="shared" si="271"/>
        <v>0</v>
      </c>
      <c r="BV744">
        <f t="shared" si="272"/>
        <v>0</v>
      </c>
      <c r="BW744">
        <f t="shared" si="273"/>
        <v>0</v>
      </c>
      <c r="CA744" t="str">
        <f>IF(545&gt;ROWS(DGArchive[模组]),"",IF(INDEX(DGArchive[模组],545)="","",INDEX(DGArchive[模组],545)))</f>
        <v/>
      </c>
      <c r="CB744" t="str">
        <f>IF(545&gt;ROWS(DGArchive[阶段]),"",IF(INDEX(DGArchive[阶段],545)="","",INDEX(DGArchive[阶段],545)))</f>
        <v/>
      </c>
      <c r="CC744" t="str">
        <f>IF(545&gt;ROWS(DGArchive[游戏内日期]),"",IF(INDEX(DGArchive[游戏内日期],545)="","",INDEX(DGArchive[游戏内日期],545)))</f>
        <v/>
      </c>
      <c r="CD744" t="str">
        <f>IF(545&gt;ROWS(DGArchive[目标]),"",IF(INDEX(DGArchive[目标],545)="","",INDEX(DGArchive[目标],545)))</f>
        <v/>
      </c>
      <c r="CE744" t="str">
        <f>IF(545&gt;ROWS(DGArchive[变更前]),"",IF(INDEX(DGArchive[变更前],545)="","",INDEX(DGArchive[变更前],545)))</f>
        <v/>
      </c>
      <c r="CF744" t="str">
        <f>IF(545&gt;ROWS(DGArchive[增减]),"",IF(INDEX(DGArchive[增减],545)="","",INDEX(DGArchive[增减],545)))</f>
        <v/>
      </c>
      <c r="CG744" t="str">
        <f>IF(545&gt;ROWS(DGArchive[变更后]),"",IF(INDEX(DGArchive[变更后],545)="","",INDEX(DGArchive[变更后],545)))</f>
        <v/>
      </c>
      <c r="CH744" t="str">
        <f>IF(545&gt;ROWS(DGArchive[事件／活动]),"",IF(INDEX(DGArchive[事件／活动],545)="","",INDEX(DGArchive[事件／活动],545)))</f>
        <v/>
      </c>
      <c r="CI744" t="str">
        <f>IF(545&gt;ROWS(DGArchive[记录编号]),"",IF(INDEX(DGArchive[记录编号],545)="","",INDEX(DGArchive[记录编号],545)))</f>
        <v/>
      </c>
      <c r="CL744">
        <f t="shared" si="254"/>
        <v>0</v>
      </c>
      <c r="CM744">
        <f>IF(AND(A744=$AO$5,B744=$AQ$3,H744=1),COUNTIFS($A$200:A744,$AO$5,$B$200:B744,$AQ$3,$H$200:H744,1),0)</f>
        <v>0</v>
      </c>
      <c r="CN744">
        <f>IF(CA744="",545,1001)</f>
        <v>545</v>
      </c>
      <c r="GA744">
        <f t="shared" si="274"/>
        <v>0</v>
      </c>
      <c r="GB744">
        <f t="shared" si="275"/>
        <v>0</v>
      </c>
      <c r="GC744">
        <f>IF(AND(C744="事件记录",H744=1),COUNTIFS($C$200:C744,"事件记录",$H$200:H744,1),0)</f>
        <v>0</v>
      </c>
      <c r="GD744">
        <f t="shared" si="255"/>
        <v>0</v>
      </c>
      <c r="GH744">
        <f>IF(AND(H744=1,A744=$GA$10,B744=$GA$11),COUNTIFS($A$200:A744,$GA$10,$B$200:B744,$GA$11,$H$200:H744,1),0)</f>
        <v>0</v>
      </c>
    </row>
    <row r="745" spans="1:190">
      <c r="A745" t="str">
        <f t="shared" si="246"/>
        <v/>
      </c>
      <c r="B745" t="str">
        <f t="shared" si="247"/>
        <v/>
      </c>
      <c r="C745" t="str">
        <f t="shared" si="248"/>
        <v/>
      </c>
      <c r="D745" t="str">
        <f t="shared" si="249"/>
        <v/>
      </c>
      <c r="E745">
        <f t="shared" si="250"/>
        <v>0</v>
      </c>
      <c r="F745" t="str">
        <f t="shared" si="251"/>
        <v/>
      </c>
      <c r="G745">
        <f t="shared" si="252"/>
        <v>0</v>
      </c>
      <c r="H745">
        <f>IF(AND(G745=1,COUNTIFS($I$200:I745,I745,$G$200:G745,1)=1),1,0)</f>
        <v>0</v>
      </c>
      <c r="I745" t="str">
        <f t="shared" si="253"/>
        <v/>
      </c>
      <c r="BF745">
        <f t="shared" si="256"/>
        <v>0</v>
      </c>
      <c r="BG745">
        <f t="shared" si="257"/>
        <v>0</v>
      </c>
      <c r="BH745">
        <f t="shared" si="258"/>
        <v>0</v>
      </c>
      <c r="BI745">
        <f t="shared" si="259"/>
        <v>0</v>
      </c>
      <c r="BJ745">
        <f t="shared" si="260"/>
        <v>0</v>
      </c>
      <c r="BK745">
        <f t="shared" si="261"/>
        <v>0</v>
      </c>
      <c r="BL745">
        <f t="shared" si="262"/>
        <v>0</v>
      </c>
      <c r="BM745">
        <f t="shared" si="263"/>
        <v>0</v>
      </c>
      <c r="BN745">
        <f t="shared" si="264"/>
        <v>0</v>
      </c>
      <c r="BO745">
        <f t="shared" si="265"/>
        <v>0</v>
      </c>
      <c r="BP745">
        <f t="shared" si="266"/>
        <v>0</v>
      </c>
      <c r="BQ745">
        <f t="shared" si="267"/>
        <v>0</v>
      </c>
      <c r="BR745">
        <f t="shared" si="268"/>
        <v>0</v>
      </c>
      <c r="BS745">
        <f t="shared" si="269"/>
        <v>0</v>
      </c>
      <c r="BT745">
        <f t="shared" si="270"/>
        <v>0</v>
      </c>
      <c r="BU745">
        <f t="shared" si="271"/>
        <v>0</v>
      </c>
      <c r="BV745">
        <f t="shared" si="272"/>
        <v>0</v>
      </c>
      <c r="BW745">
        <f t="shared" si="273"/>
        <v>0</v>
      </c>
      <c r="CA745" t="str">
        <f>IF(546&gt;ROWS(DGArchive[模组]),"",IF(INDEX(DGArchive[模组],546)="","",INDEX(DGArchive[模组],546)))</f>
        <v/>
      </c>
      <c r="CB745" t="str">
        <f>IF(546&gt;ROWS(DGArchive[阶段]),"",IF(INDEX(DGArchive[阶段],546)="","",INDEX(DGArchive[阶段],546)))</f>
        <v/>
      </c>
      <c r="CC745" t="str">
        <f>IF(546&gt;ROWS(DGArchive[游戏内日期]),"",IF(INDEX(DGArchive[游戏内日期],546)="","",INDEX(DGArchive[游戏内日期],546)))</f>
        <v/>
      </c>
      <c r="CD745" t="str">
        <f>IF(546&gt;ROWS(DGArchive[目标]),"",IF(INDEX(DGArchive[目标],546)="","",INDEX(DGArchive[目标],546)))</f>
        <v/>
      </c>
      <c r="CE745" t="str">
        <f>IF(546&gt;ROWS(DGArchive[变更前]),"",IF(INDEX(DGArchive[变更前],546)="","",INDEX(DGArchive[变更前],546)))</f>
        <v/>
      </c>
      <c r="CF745" t="str">
        <f>IF(546&gt;ROWS(DGArchive[增减]),"",IF(INDEX(DGArchive[增减],546)="","",INDEX(DGArchive[增减],546)))</f>
        <v/>
      </c>
      <c r="CG745" t="str">
        <f>IF(546&gt;ROWS(DGArchive[变更后]),"",IF(INDEX(DGArchive[变更后],546)="","",INDEX(DGArchive[变更后],546)))</f>
        <v/>
      </c>
      <c r="CH745" t="str">
        <f>IF(546&gt;ROWS(DGArchive[事件／活动]),"",IF(INDEX(DGArchive[事件／活动],546)="","",INDEX(DGArchive[事件／活动],546)))</f>
        <v/>
      </c>
      <c r="CI745" t="str">
        <f>IF(546&gt;ROWS(DGArchive[记录编号]),"",IF(INDEX(DGArchive[记录编号],546)="","",INDEX(DGArchive[记录编号],546)))</f>
        <v/>
      </c>
      <c r="CL745">
        <f t="shared" si="254"/>
        <v>0</v>
      </c>
      <c r="CM745">
        <f>IF(AND(A745=$AO$5,B745=$AQ$3,H745=1),COUNTIFS($A$200:A745,$AO$5,$B$200:B745,$AQ$3,$H$200:H745,1),0)</f>
        <v>0</v>
      </c>
      <c r="CN745">
        <f>IF(CA745="",546,1001)</f>
        <v>546</v>
      </c>
      <c r="GA745">
        <f t="shared" si="274"/>
        <v>0</v>
      </c>
      <c r="GB745">
        <f t="shared" si="275"/>
        <v>0</v>
      </c>
      <c r="GC745">
        <f>IF(AND(C745="事件记录",H745=1),COUNTIFS($C$200:C745,"事件记录",$H$200:H745,1),0)</f>
        <v>0</v>
      </c>
      <c r="GD745">
        <f t="shared" si="255"/>
        <v>0</v>
      </c>
      <c r="GH745">
        <f>IF(AND(H745=1,A745=$GA$10,B745=$GA$11),COUNTIFS($A$200:A745,$GA$10,$B$200:B745,$GA$11,$H$200:H745,1),0)</f>
        <v>0</v>
      </c>
    </row>
    <row r="746" spans="1:190">
      <c r="A746" t="str">
        <f t="shared" si="246"/>
        <v/>
      </c>
      <c r="B746" t="str">
        <f t="shared" si="247"/>
        <v/>
      </c>
      <c r="C746" t="str">
        <f t="shared" si="248"/>
        <v/>
      </c>
      <c r="D746" t="str">
        <f t="shared" si="249"/>
        <v/>
      </c>
      <c r="E746">
        <f t="shared" si="250"/>
        <v>0</v>
      </c>
      <c r="F746" t="str">
        <f t="shared" si="251"/>
        <v/>
      </c>
      <c r="G746">
        <f t="shared" si="252"/>
        <v>0</v>
      </c>
      <c r="H746">
        <f>IF(AND(G746=1,COUNTIFS($I$200:I746,I746,$G$200:G746,1)=1),1,0)</f>
        <v>0</v>
      </c>
      <c r="I746" t="str">
        <f t="shared" si="253"/>
        <v/>
      </c>
      <c r="BF746">
        <f t="shared" si="256"/>
        <v>0</v>
      </c>
      <c r="BG746">
        <f t="shared" si="257"/>
        <v>0</v>
      </c>
      <c r="BH746">
        <f t="shared" si="258"/>
        <v>0</v>
      </c>
      <c r="BI746">
        <f t="shared" si="259"/>
        <v>0</v>
      </c>
      <c r="BJ746">
        <f t="shared" si="260"/>
        <v>0</v>
      </c>
      <c r="BK746">
        <f t="shared" si="261"/>
        <v>0</v>
      </c>
      <c r="BL746">
        <f t="shared" si="262"/>
        <v>0</v>
      </c>
      <c r="BM746">
        <f t="shared" si="263"/>
        <v>0</v>
      </c>
      <c r="BN746">
        <f t="shared" si="264"/>
        <v>0</v>
      </c>
      <c r="BO746">
        <f t="shared" si="265"/>
        <v>0</v>
      </c>
      <c r="BP746">
        <f t="shared" si="266"/>
        <v>0</v>
      </c>
      <c r="BQ746">
        <f t="shared" si="267"/>
        <v>0</v>
      </c>
      <c r="BR746">
        <f t="shared" si="268"/>
        <v>0</v>
      </c>
      <c r="BS746">
        <f t="shared" si="269"/>
        <v>0</v>
      </c>
      <c r="BT746">
        <f t="shared" si="270"/>
        <v>0</v>
      </c>
      <c r="BU746">
        <f t="shared" si="271"/>
        <v>0</v>
      </c>
      <c r="BV746">
        <f t="shared" si="272"/>
        <v>0</v>
      </c>
      <c r="BW746">
        <f t="shared" si="273"/>
        <v>0</v>
      </c>
      <c r="CA746" t="str">
        <f>IF(547&gt;ROWS(DGArchive[模组]),"",IF(INDEX(DGArchive[模组],547)="","",INDEX(DGArchive[模组],547)))</f>
        <v/>
      </c>
      <c r="CB746" t="str">
        <f>IF(547&gt;ROWS(DGArchive[阶段]),"",IF(INDEX(DGArchive[阶段],547)="","",INDEX(DGArchive[阶段],547)))</f>
        <v/>
      </c>
      <c r="CC746" t="str">
        <f>IF(547&gt;ROWS(DGArchive[游戏内日期]),"",IF(INDEX(DGArchive[游戏内日期],547)="","",INDEX(DGArchive[游戏内日期],547)))</f>
        <v/>
      </c>
      <c r="CD746" t="str">
        <f>IF(547&gt;ROWS(DGArchive[目标]),"",IF(INDEX(DGArchive[目标],547)="","",INDEX(DGArchive[目标],547)))</f>
        <v/>
      </c>
      <c r="CE746" t="str">
        <f>IF(547&gt;ROWS(DGArchive[变更前]),"",IF(INDEX(DGArchive[变更前],547)="","",INDEX(DGArchive[变更前],547)))</f>
        <v/>
      </c>
      <c r="CF746" t="str">
        <f>IF(547&gt;ROWS(DGArchive[增减]),"",IF(INDEX(DGArchive[增减],547)="","",INDEX(DGArchive[增减],547)))</f>
        <v/>
      </c>
      <c r="CG746" t="str">
        <f>IF(547&gt;ROWS(DGArchive[变更后]),"",IF(INDEX(DGArchive[变更后],547)="","",INDEX(DGArchive[变更后],547)))</f>
        <v/>
      </c>
      <c r="CH746" t="str">
        <f>IF(547&gt;ROWS(DGArchive[事件／活动]),"",IF(INDEX(DGArchive[事件／活动],547)="","",INDEX(DGArchive[事件／活动],547)))</f>
        <v/>
      </c>
      <c r="CI746" t="str">
        <f>IF(547&gt;ROWS(DGArchive[记录编号]),"",IF(INDEX(DGArchive[记录编号],547)="","",INDEX(DGArchive[记录编号],547)))</f>
        <v/>
      </c>
      <c r="CL746">
        <f t="shared" si="254"/>
        <v>0</v>
      </c>
      <c r="CM746">
        <f>IF(AND(A746=$AO$5,B746=$AQ$3,H746=1),COUNTIFS($A$200:A746,$AO$5,$B$200:B746,$AQ$3,$H$200:H746,1),0)</f>
        <v>0</v>
      </c>
      <c r="CN746">
        <f>IF(CA746="",547,1001)</f>
        <v>547</v>
      </c>
      <c r="GA746">
        <f t="shared" si="274"/>
        <v>0</v>
      </c>
      <c r="GB746">
        <f t="shared" si="275"/>
        <v>0</v>
      </c>
      <c r="GC746">
        <f>IF(AND(C746="事件记录",H746=1),COUNTIFS($C$200:C746,"事件记录",$H$200:H746,1),0)</f>
        <v>0</v>
      </c>
      <c r="GD746">
        <f t="shared" si="255"/>
        <v>0</v>
      </c>
      <c r="GH746">
        <f>IF(AND(H746=1,A746=$GA$10,B746=$GA$11),COUNTIFS($A$200:A746,$GA$10,$B$200:B746,$GA$11,$H$200:H746,1),0)</f>
        <v>0</v>
      </c>
    </row>
    <row r="747" spans="1:190">
      <c r="A747" t="str">
        <f t="shared" si="246"/>
        <v/>
      </c>
      <c r="B747" t="str">
        <f t="shared" si="247"/>
        <v/>
      </c>
      <c r="C747" t="str">
        <f t="shared" si="248"/>
        <v/>
      </c>
      <c r="D747" t="str">
        <f t="shared" si="249"/>
        <v/>
      </c>
      <c r="E747">
        <f t="shared" si="250"/>
        <v>0</v>
      </c>
      <c r="F747" t="str">
        <f t="shared" si="251"/>
        <v/>
      </c>
      <c r="G747">
        <f t="shared" si="252"/>
        <v>0</v>
      </c>
      <c r="H747">
        <f>IF(AND(G747=1,COUNTIFS($I$200:I747,I747,$G$200:G747,1)=1),1,0)</f>
        <v>0</v>
      </c>
      <c r="I747" t="str">
        <f t="shared" si="253"/>
        <v/>
      </c>
      <c r="BF747">
        <f t="shared" si="256"/>
        <v>0</v>
      </c>
      <c r="BG747">
        <f t="shared" si="257"/>
        <v>0</v>
      </c>
      <c r="BH747">
        <f t="shared" si="258"/>
        <v>0</v>
      </c>
      <c r="BI747">
        <f t="shared" si="259"/>
        <v>0</v>
      </c>
      <c r="BJ747">
        <f t="shared" si="260"/>
        <v>0</v>
      </c>
      <c r="BK747">
        <f t="shared" si="261"/>
        <v>0</v>
      </c>
      <c r="BL747">
        <f t="shared" si="262"/>
        <v>0</v>
      </c>
      <c r="BM747">
        <f t="shared" si="263"/>
        <v>0</v>
      </c>
      <c r="BN747">
        <f t="shared" si="264"/>
        <v>0</v>
      </c>
      <c r="BO747">
        <f t="shared" si="265"/>
        <v>0</v>
      </c>
      <c r="BP747">
        <f t="shared" si="266"/>
        <v>0</v>
      </c>
      <c r="BQ747">
        <f t="shared" si="267"/>
        <v>0</v>
      </c>
      <c r="BR747">
        <f t="shared" si="268"/>
        <v>0</v>
      </c>
      <c r="BS747">
        <f t="shared" si="269"/>
        <v>0</v>
      </c>
      <c r="BT747">
        <f t="shared" si="270"/>
        <v>0</v>
      </c>
      <c r="BU747">
        <f t="shared" si="271"/>
        <v>0</v>
      </c>
      <c r="BV747">
        <f t="shared" si="272"/>
        <v>0</v>
      </c>
      <c r="BW747">
        <f t="shared" si="273"/>
        <v>0</v>
      </c>
      <c r="CA747" t="str">
        <f>IF(548&gt;ROWS(DGArchive[模组]),"",IF(INDEX(DGArchive[模组],548)="","",INDEX(DGArchive[模组],548)))</f>
        <v/>
      </c>
      <c r="CB747" t="str">
        <f>IF(548&gt;ROWS(DGArchive[阶段]),"",IF(INDEX(DGArchive[阶段],548)="","",INDEX(DGArchive[阶段],548)))</f>
        <v/>
      </c>
      <c r="CC747" t="str">
        <f>IF(548&gt;ROWS(DGArchive[游戏内日期]),"",IF(INDEX(DGArchive[游戏内日期],548)="","",INDEX(DGArchive[游戏内日期],548)))</f>
        <v/>
      </c>
      <c r="CD747" t="str">
        <f>IF(548&gt;ROWS(DGArchive[目标]),"",IF(INDEX(DGArchive[目标],548)="","",INDEX(DGArchive[目标],548)))</f>
        <v/>
      </c>
      <c r="CE747" t="str">
        <f>IF(548&gt;ROWS(DGArchive[变更前]),"",IF(INDEX(DGArchive[变更前],548)="","",INDEX(DGArchive[变更前],548)))</f>
        <v/>
      </c>
      <c r="CF747" t="str">
        <f>IF(548&gt;ROWS(DGArchive[增减]),"",IF(INDEX(DGArchive[增减],548)="","",INDEX(DGArchive[增减],548)))</f>
        <v/>
      </c>
      <c r="CG747" t="str">
        <f>IF(548&gt;ROWS(DGArchive[变更后]),"",IF(INDEX(DGArchive[变更后],548)="","",INDEX(DGArchive[变更后],548)))</f>
        <v/>
      </c>
      <c r="CH747" t="str">
        <f>IF(548&gt;ROWS(DGArchive[事件／活动]),"",IF(INDEX(DGArchive[事件／活动],548)="","",INDEX(DGArchive[事件／活动],548)))</f>
        <v/>
      </c>
      <c r="CI747" t="str">
        <f>IF(548&gt;ROWS(DGArchive[记录编号]),"",IF(INDEX(DGArchive[记录编号],548)="","",INDEX(DGArchive[记录编号],548)))</f>
        <v/>
      </c>
      <c r="CL747">
        <f t="shared" si="254"/>
        <v>0</v>
      </c>
      <c r="CM747">
        <f>IF(AND(A747=$AO$5,B747=$AQ$3,H747=1),COUNTIFS($A$200:A747,$AO$5,$B$200:B747,$AQ$3,$H$200:H747,1),0)</f>
        <v>0</v>
      </c>
      <c r="CN747">
        <f>IF(CA747="",548,1001)</f>
        <v>548</v>
      </c>
      <c r="GA747">
        <f t="shared" si="274"/>
        <v>0</v>
      </c>
      <c r="GB747">
        <f t="shared" si="275"/>
        <v>0</v>
      </c>
      <c r="GC747">
        <f>IF(AND(C747="事件记录",H747=1),COUNTIFS($C$200:C747,"事件记录",$H$200:H747,1),0)</f>
        <v>0</v>
      </c>
      <c r="GD747">
        <f t="shared" si="255"/>
        <v>0</v>
      </c>
      <c r="GH747">
        <f>IF(AND(H747=1,A747=$GA$10,B747=$GA$11),COUNTIFS($A$200:A747,$GA$10,$B$200:B747,$GA$11,$H$200:H747,1),0)</f>
        <v>0</v>
      </c>
    </row>
    <row r="748" spans="1:190">
      <c r="A748" t="str">
        <f t="shared" si="246"/>
        <v/>
      </c>
      <c r="B748" t="str">
        <f t="shared" si="247"/>
        <v/>
      </c>
      <c r="C748" t="str">
        <f t="shared" si="248"/>
        <v/>
      </c>
      <c r="D748" t="str">
        <f t="shared" si="249"/>
        <v/>
      </c>
      <c r="E748">
        <f t="shared" si="250"/>
        <v>0</v>
      </c>
      <c r="F748" t="str">
        <f t="shared" si="251"/>
        <v/>
      </c>
      <c r="G748">
        <f t="shared" si="252"/>
        <v>0</v>
      </c>
      <c r="H748">
        <f>IF(AND(G748=1,COUNTIFS($I$200:I748,I748,$G$200:G748,1)=1),1,0)</f>
        <v>0</v>
      </c>
      <c r="I748" t="str">
        <f t="shared" si="253"/>
        <v/>
      </c>
      <c r="BF748">
        <f t="shared" si="256"/>
        <v>0</v>
      </c>
      <c r="BG748">
        <f t="shared" si="257"/>
        <v>0</v>
      </c>
      <c r="BH748">
        <f t="shared" si="258"/>
        <v>0</v>
      </c>
      <c r="BI748">
        <f t="shared" si="259"/>
        <v>0</v>
      </c>
      <c r="BJ748">
        <f t="shared" si="260"/>
        <v>0</v>
      </c>
      <c r="BK748">
        <f t="shared" si="261"/>
        <v>0</v>
      </c>
      <c r="BL748">
        <f t="shared" si="262"/>
        <v>0</v>
      </c>
      <c r="BM748">
        <f t="shared" si="263"/>
        <v>0</v>
      </c>
      <c r="BN748">
        <f t="shared" si="264"/>
        <v>0</v>
      </c>
      <c r="BO748">
        <f t="shared" si="265"/>
        <v>0</v>
      </c>
      <c r="BP748">
        <f t="shared" si="266"/>
        <v>0</v>
      </c>
      <c r="BQ748">
        <f t="shared" si="267"/>
        <v>0</v>
      </c>
      <c r="BR748">
        <f t="shared" si="268"/>
        <v>0</v>
      </c>
      <c r="BS748">
        <f t="shared" si="269"/>
        <v>0</v>
      </c>
      <c r="BT748">
        <f t="shared" si="270"/>
        <v>0</v>
      </c>
      <c r="BU748">
        <f t="shared" si="271"/>
        <v>0</v>
      </c>
      <c r="BV748">
        <f t="shared" si="272"/>
        <v>0</v>
      </c>
      <c r="BW748">
        <f t="shared" si="273"/>
        <v>0</v>
      </c>
      <c r="CA748" t="str">
        <f>IF(549&gt;ROWS(DGArchive[模组]),"",IF(INDEX(DGArchive[模组],549)="","",INDEX(DGArchive[模组],549)))</f>
        <v/>
      </c>
      <c r="CB748" t="str">
        <f>IF(549&gt;ROWS(DGArchive[阶段]),"",IF(INDEX(DGArchive[阶段],549)="","",INDEX(DGArchive[阶段],549)))</f>
        <v/>
      </c>
      <c r="CC748" t="str">
        <f>IF(549&gt;ROWS(DGArchive[游戏内日期]),"",IF(INDEX(DGArchive[游戏内日期],549)="","",INDEX(DGArchive[游戏内日期],549)))</f>
        <v/>
      </c>
      <c r="CD748" t="str">
        <f>IF(549&gt;ROWS(DGArchive[目标]),"",IF(INDEX(DGArchive[目标],549)="","",INDEX(DGArchive[目标],549)))</f>
        <v/>
      </c>
      <c r="CE748" t="str">
        <f>IF(549&gt;ROWS(DGArchive[变更前]),"",IF(INDEX(DGArchive[变更前],549)="","",INDEX(DGArchive[变更前],549)))</f>
        <v/>
      </c>
      <c r="CF748" t="str">
        <f>IF(549&gt;ROWS(DGArchive[增减]),"",IF(INDEX(DGArchive[增减],549)="","",INDEX(DGArchive[增减],549)))</f>
        <v/>
      </c>
      <c r="CG748" t="str">
        <f>IF(549&gt;ROWS(DGArchive[变更后]),"",IF(INDEX(DGArchive[变更后],549)="","",INDEX(DGArchive[变更后],549)))</f>
        <v/>
      </c>
      <c r="CH748" t="str">
        <f>IF(549&gt;ROWS(DGArchive[事件／活动]),"",IF(INDEX(DGArchive[事件／活动],549)="","",INDEX(DGArchive[事件／活动],549)))</f>
        <v/>
      </c>
      <c r="CI748" t="str">
        <f>IF(549&gt;ROWS(DGArchive[记录编号]),"",IF(INDEX(DGArchive[记录编号],549)="","",INDEX(DGArchive[记录编号],549)))</f>
        <v/>
      </c>
      <c r="CL748">
        <f t="shared" si="254"/>
        <v>0</v>
      </c>
      <c r="CM748">
        <f>IF(AND(A748=$AO$5,B748=$AQ$3,H748=1),COUNTIFS($A$200:A748,$AO$5,$B$200:B748,$AQ$3,$H$200:H748,1),0)</f>
        <v>0</v>
      </c>
      <c r="CN748">
        <f>IF(CA748="",549,1001)</f>
        <v>549</v>
      </c>
      <c r="GA748">
        <f t="shared" si="274"/>
        <v>0</v>
      </c>
      <c r="GB748">
        <f t="shared" si="275"/>
        <v>0</v>
      </c>
      <c r="GC748">
        <f>IF(AND(C748="事件记录",H748=1),COUNTIFS($C$200:C748,"事件记录",$H$200:H748,1),0)</f>
        <v>0</v>
      </c>
      <c r="GD748">
        <f t="shared" si="255"/>
        <v>0</v>
      </c>
      <c r="GH748">
        <f>IF(AND(H748=1,A748=$GA$10,B748=$GA$11),COUNTIFS($A$200:A748,$GA$10,$B$200:B748,$GA$11,$H$200:H748,1),0)</f>
        <v>0</v>
      </c>
    </row>
    <row r="749" spans="1:190">
      <c r="A749" t="str">
        <f t="shared" si="246"/>
        <v/>
      </c>
      <c r="B749" t="str">
        <f t="shared" si="247"/>
        <v/>
      </c>
      <c r="C749" t="str">
        <f t="shared" si="248"/>
        <v/>
      </c>
      <c r="D749" t="str">
        <f t="shared" si="249"/>
        <v/>
      </c>
      <c r="E749">
        <f t="shared" si="250"/>
        <v>0</v>
      </c>
      <c r="F749" t="str">
        <f t="shared" si="251"/>
        <v/>
      </c>
      <c r="G749">
        <f t="shared" si="252"/>
        <v>0</v>
      </c>
      <c r="H749">
        <f>IF(AND(G749=1,COUNTIFS($I$200:I749,I749,$G$200:G749,1)=1),1,0)</f>
        <v>0</v>
      </c>
      <c r="I749" t="str">
        <f t="shared" si="253"/>
        <v/>
      </c>
      <c r="BF749">
        <f t="shared" si="256"/>
        <v>0</v>
      </c>
      <c r="BG749">
        <f t="shared" si="257"/>
        <v>0</v>
      </c>
      <c r="BH749">
        <f t="shared" si="258"/>
        <v>0</v>
      </c>
      <c r="BI749">
        <f t="shared" si="259"/>
        <v>0</v>
      </c>
      <c r="BJ749">
        <f t="shared" si="260"/>
        <v>0</v>
      </c>
      <c r="BK749">
        <f t="shared" si="261"/>
        <v>0</v>
      </c>
      <c r="BL749">
        <f t="shared" si="262"/>
        <v>0</v>
      </c>
      <c r="BM749">
        <f t="shared" si="263"/>
        <v>0</v>
      </c>
      <c r="BN749">
        <f t="shared" si="264"/>
        <v>0</v>
      </c>
      <c r="BO749">
        <f t="shared" si="265"/>
        <v>0</v>
      </c>
      <c r="BP749">
        <f t="shared" si="266"/>
        <v>0</v>
      </c>
      <c r="BQ749">
        <f t="shared" si="267"/>
        <v>0</v>
      </c>
      <c r="BR749">
        <f t="shared" si="268"/>
        <v>0</v>
      </c>
      <c r="BS749">
        <f t="shared" si="269"/>
        <v>0</v>
      </c>
      <c r="BT749">
        <f t="shared" si="270"/>
        <v>0</v>
      </c>
      <c r="BU749">
        <f t="shared" si="271"/>
        <v>0</v>
      </c>
      <c r="BV749">
        <f t="shared" si="272"/>
        <v>0</v>
      </c>
      <c r="BW749">
        <f t="shared" si="273"/>
        <v>0</v>
      </c>
      <c r="CA749" t="str">
        <f>IF(550&gt;ROWS(DGArchive[模组]),"",IF(INDEX(DGArchive[模组],550)="","",INDEX(DGArchive[模组],550)))</f>
        <v/>
      </c>
      <c r="CB749" t="str">
        <f>IF(550&gt;ROWS(DGArchive[阶段]),"",IF(INDEX(DGArchive[阶段],550)="","",INDEX(DGArchive[阶段],550)))</f>
        <v/>
      </c>
      <c r="CC749" t="str">
        <f>IF(550&gt;ROWS(DGArchive[游戏内日期]),"",IF(INDEX(DGArchive[游戏内日期],550)="","",INDEX(DGArchive[游戏内日期],550)))</f>
        <v/>
      </c>
      <c r="CD749" t="str">
        <f>IF(550&gt;ROWS(DGArchive[目标]),"",IF(INDEX(DGArchive[目标],550)="","",INDEX(DGArchive[目标],550)))</f>
        <v/>
      </c>
      <c r="CE749" t="str">
        <f>IF(550&gt;ROWS(DGArchive[变更前]),"",IF(INDEX(DGArchive[变更前],550)="","",INDEX(DGArchive[变更前],550)))</f>
        <v/>
      </c>
      <c r="CF749" t="str">
        <f>IF(550&gt;ROWS(DGArchive[增减]),"",IF(INDEX(DGArchive[增减],550)="","",INDEX(DGArchive[增减],550)))</f>
        <v/>
      </c>
      <c r="CG749" t="str">
        <f>IF(550&gt;ROWS(DGArchive[变更后]),"",IF(INDEX(DGArchive[变更后],550)="","",INDEX(DGArchive[变更后],550)))</f>
        <v/>
      </c>
      <c r="CH749" t="str">
        <f>IF(550&gt;ROWS(DGArchive[事件／活动]),"",IF(INDEX(DGArchive[事件／活动],550)="","",INDEX(DGArchive[事件／活动],550)))</f>
        <v/>
      </c>
      <c r="CI749" t="str">
        <f>IF(550&gt;ROWS(DGArchive[记录编号]),"",IF(INDEX(DGArchive[记录编号],550)="","",INDEX(DGArchive[记录编号],550)))</f>
        <v/>
      </c>
      <c r="CL749">
        <f t="shared" si="254"/>
        <v>0</v>
      </c>
      <c r="CM749">
        <f>IF(AND(A749=$AO$5,B749=$AQ$3,H749=1),COUNTIFS($A$200:A749,$AO$5,$B$200:B749,$AQ$3,$H$200:H749,1),0)</f>
        <v>0</v>
      </c>
      <c r="CN749">
        <f>IF(CA749="",550,1001)</f>
        <v>550</v>
      </c>
      <c r="GA749">
        <f t="shared" si="274"/>
        <v>0</v>
      </c>
      <c r="GB749">
        <f t="shared" si="275"/>
        <v>0</v>
      </c>
      <c r="GC749">
        <f>IF(AND(C749="事件记录",H749=1),COUNTIFS($C$200:C749,"事件记录",$H$200:H749,1),0)</f>
        <v>0</v>
      </c>
      <c r="GD749">
        <f t="shared" si="255"/>
        <v>0</v>
      </c>
      <c r="GH749">
        <f>IF(AND(H749=1,A749=$GA$10,B749=$GA$11),COUNTIFS($A$200:A749,$GA$10,$B$200:B749,$GA$11,$H$200:H749,1),0)</f>
        <v>0</v>
      </c>
    </row>
    <row r="750" spans="1:190">
      <c r="A750" t="str">
        <f t="shared" si="246"/>
        <v/>
      </c>
      <c r="B750" t="str">
        <f t="shared" si="247"/>
        <v/>
      </c>
      <c r="C750" t="str">
        <f t="shared" si="248"/>
        <v/>
      </c>
      <c r="D750" t="str">
        <f t="shared" si="249"/>
        <v/>
      </c>
      <c r="E750">
        <f t="shared" si="250"/>
        <v>0</v>
      </c>
      <c r="F750" t="str">
        <f t="shared" si="251"/>
        <v/>
      </c>
      <c r="G750">
        <f t="shared" si="252"/>
        <v>0</v>
      </c>
      <c r="H750">
        <f>IF(AND(G750=1,COUNTIFS($I$200:I750,I750,$G$200:G750,1)=1),1,0)</f>
        <v>0</v>
      </c>
      <c r="I750" t="str">
        <f t="shared" si="253"/>
        <v/>
      </c>
      <c r="BF750">
        <f t="shared" si="256"/>
        <v>0</v>
      </c>
      <c r="BG750">
        <f t="shared" si="257"/>
        <v>0</v>
      </c>
      <c r="BH750">
        <f t="shared" si="258"/>
        <v>0</v>
      </c>
      <c r="BI750">
        <f t="shared" si="259"/>
        <v>0</v>
      </c>
      <c r="BJ750">
        <f t="shared" si="260"/>
        <v>0</v>
      </c>
      <c r="BK750">
        <f t="shared" si="261"/>
        <v>0</v>
      </c>
      <c r="BL750">
        <f t="shared" si="262"/>
        <v>0</v>
      </c>
      <c r="BM750">
        <f t="shared" si="263"/>
        <v>0</v>
      </c>
      <c r="BN750">
        <f t="shared" si="264"/>
        <v>0</v>
      </c>
      <c r="BO750">
        <f t="shared" si="265"/>
        <v>0</v>
      </c>
      <c r="BP750">
        <f t="shared" si="266"/>
        <v>0</v>
      </c>
      <c r="BQ750">
        <f t="shared" si="267"/>
        <v>0</v>
      </c>
      <c r="BR750">
        <f t="shared" si="268"/>
        <v>0</v>
      </c>
      <c r="BS750">
        <f t="shared" si="269"/>
        <v>0</v>
      </c>
      <c r="BT750">
        <f t="shared" si="270"/>
        <v>0</v>
      </c>
      <c r="BU750">
        <f t="shared" si="271"/>
        <v>0</v>
      </c>
      <c r="BV750">
        <f t="shared" si="272"/>
        <v>0</v>
      </c>
      <c r="BW750">
        <f t="shared" si="273"/>
        <v>0</v>
      </c>
      <c r="CA750" t="str">
        <f>IF(551&gt;ROWS(DGArchive[模组]),"",IF(INDEX(DGArchive[模组],551)="","",INDEX(DGArchive[模组],551)))</f>
        <v/>
      </c>
      <c r="CB750" t="str">
        <f>IF(551&gt;ROWS(DGArchive[阶段]),"",IF(INDEX(DGArchive[阶段],551)="","",INDEX(DGArchive[阶段],551)))</f>
        <v/>
      </c>
      <c r="CC750" t="str">
        <f>IF(551&gt;ROWS(DGArchive[游戏内日期]),"",IF(INDEX(DGArchive[游戏内日期],551)="","",INDEX(DGArchive[游戏内日期],551)))</f>
        <v/>
      </c>
      <c r="CD750" t="str">
        <f>IF(551&gt;ROWS(DGArchive[目标]),"",IF(INDEX(DGArchive[目标],551)="","",INDEX(DGArchive[目标],551)))</f>
        <v/>
      </c>
      <c r="CE750" t="str">
        <f>IF(551&gt;ROWS(DGArchive[变更前]),"",IF(INDEX(DGArchive[变更前],551)="","",INDEX(DGArchive[变更前],551)))</f>
        <v/>
      </c>
      <c r="CF750" t="str">
        <f>IF(551&gt;ROWS(DGArchive[增减]),"",IF(INDEX(DGArchive[增减],551)="","",INDEX(DGArchive[增减],551)))</f>
        <v/>
      </c>
      <c r="CG750" t="str">
        <f>IF(551&gt;ROWS(DGArchive[变更后]),"",IF(INDEX(DGArchive[变更后],551)="","",INDEX(DGArchive[变更后],551)))</f>
        <v/>
      </c>
      <c r="CH750" t="str">
        <f>IF(551&gt;ROWS(DGArchive[事件／活动]),"",IF(INDEX(DGArchive[事件／活动],551)="","",INDEX(DGArchive[事件／活动],551)))</f>
        <v/>
      </c>
      <c r="CI750" t="str">
        <f>IF(551&gt;ROWS(DGArchive[记录编号]),"",IF(INDEX(DGArchive[记录编号],551)="","",INDEX(DGArchive[记录编号],551)))</f>
        <v/>
      </c>
      <c r="CL750">
        <f t="shared" si="254"/>
        <v>0</v>
      </c>
      <c r="CM750">
        <f>IF(AND(A750=$AO$5,B750=$AQ$3,H750=1),COUNTIFS($A$200:A750,$AO$5,$B$200:B750,$AQ$3,$H$200:H750,1),0)</f>
        <v>0</v>
      </c>
      <c r="CN750">
        <f>IF(CA750="",551,1001)</f>
        <v>551</v>
      </c>
      <c r="GA750">
        <f t="shared" si="274"/>
        <v>0</v>
      </c>
      <c r="GB750">
        <f t="shared" si="275"/>
        <v>0</v>
      </c>
      <c r="GC750">
        <f>IF(AND(C750="事件记录",H750=1),COUNTIFS($C$200:C750,"事件记录",$H$200:H750,1),0)</f>
        <v>0</v>
      </c>
      <c r="GD750">
        <f t="shared" si="255"/>
        <v>0</v>
      </c>
      <c r="GH750">
        <f>IF(AND(H750=1,A750=$GA$10,B750=$GA$11),COUNTIFS($A$200:A750,$GA$10,$B$200:B750,$GA$11,$H$200:H750,1),0)</f>
        <v>0</v>
      </c>
    </row>
    <row r="751" spans="1:190">
      <c r="A751" t="str">
        <f t="shared" si="246"/>
        <v/>
      </c>
      <c r="B751" t="str">
        <f t="shared" si="247"/>
        <v/>
      </c>
      <c r="C751" t="str">
        <f t="shared" si="248"/>
        <v/>
      </c>
      <c r="D751" t="str">
        <f t="shared" si="249"/>
        <v/>
      </c>
      <c r="E751">
        <f t="shared" si="250"/>
        <v>0</v>
      </c>
      <c r="F751" t="str">
        <f t="shared" si="251"/>
        <v/>
      </c>
      <c r="G751">
        <f t="shared" si="252"/>
        <v>0</v>
      </c>
      <c r="H751">
        <f>IF(AND(G751=1,COUNTIFS($I$200:I751,I751,$G$200:G751,1)=1),1,0)</f>
        <v>0</v>
      </c>
      <c r="I751" t="str">
        <f t="shared" si="253"/>
        <v/>
      </c>
      <c r="BF751">
        <f t="shared" si="256"/>
        <v>0</v>
      </c>
      <c r="BG751">
        <f t="shared" si="257"/>
        <v>0</v>
      </c>
      <c r="BH751">
        <f t="shared" si="258"/>
        <v>0</v>
      </c>
      <c r="BI751">
        <f t="shared" si="259"/>
        <v>0</v>
      </c>
      <c r="BJ751">
        <f t="shared" si="260"/>
        <v>0</v>
      </c>
      <c r="BK751">
        <f t="shared" si="261"/>
        <v>0</v>
      </c>
      <c r="BL751">
        <f t="shared" si="262"/>
        <v>0</v>
      </c>
      <c r="BM751">
        <f t="shared" si="263"/>
        <v>0</v>
      </c>
      <c r="BN751">
        <f t="shared" si="264"/>
        <v>0</v>
      </c>
      <c r="BO751">
        <f t="shared" si="265"/>
        <v>0</v>
      </c>
      <c r="BP751">
        <f t="shared" si="266"/>
        <v>0</v>
      </c>
      <c r="BQ751">
        <f t="shared" si="267"/>
        <v>0</v>
      </c>
      <c r="BR751">
        <f t="shared" si="268"/>
        <v>0</v>
      </c>
      <c r="BS751">
        <f t="shared" si="269"/>
        <v>0</v>
      </c>
      <c r="BT751">
        <f t="shared" si="270"/>
        <v>0</v>
      </c>
      <c r="BU751">
        <f t="shared" si="271"/>
        <v>0</v>
      </c>
      <c r="BV751">
        <f t="shared" si="272"/>
        <v>0</v>
      </c>
      <c r="BW751">
        <f t="shared" si="273"/>
        <v>0</v>
      </c>
      <c r="CA751" t="str">
        <f>IF(552&gt;ROWS(DGArchive[模组]),"",IF(INDEX(DGArchive[模组],552)="","",INDEX(DGArchive[模组],552)))</f>
        <v/>
      </c>
      <c r="CB751" t="str">
        <f>IF(552&gt;ROWS(DGArchive[阶段]),"",IF(INDEX(DGArchive[阶段],552)="","",INDEX(DGArchive[阶段],552)))</f>
        <v/>
      </c>
      <c r="CC751" t="str">
        <f>IF(552&gt;ROWS(DGArchive[游戏内日期]),"",IF(INDEX(DGArchive[游戏内日期],552)="","",INDEX(DGArchive[游戏内日期],552)))</f>
        <v/>
      </c>
      <c r="CD751" t="str">
        <f>IF(552&gt;ROWS(DGArchive[目标]),"",IF(INDEX(DGArchive[目标],552)="","",INDEX(DGArchive[目标],552)))</f>
        <v/>
      </c>
      <c r="CE751" t="str">
        <f>IF(552&gt;ROWS(DGArchive[变更前]),"",IF(INDEX(DGArchive[变更前],552)="","",INDEX(DGArchive[变更前],552)))</f>
        <v/>
      </c>
      <c r="CF751" t="str">
        <f>IF(552&gt;ROWS(DGArchive[增减]),"",IF(INDEX(DGArchive[增减],552)="","",INDEX(DGArchive[增减],552)))</f>
        <v/>
      </c>
      <c r="CG751" t="str">
        <f>IF(552&gt;ROWS(DGArchive[变更后]),"",IF(INDEX(DGArchive[变更后],552)="","",INDEX(DGArchive[变更后],552)))</f>
        <v/>
      </c>
      <c r="CH751" t="str">
        <f>IF(552&gt;ROWS(DGArchive[事件／活动]),"",IF(INDEX(DGArchive[事件／活动],552)="","",INDEX(DGArchive[事件／活动],552)))</f>
        <v/>
      </c>
      <c r="CI751" t="str">
        <f>IF(552&gt;ROWS(DGArchive[记录编号]),"",IF(INDEX(DGArchive[记录编号],552)="","",INDEX(DGArchive[记录编号],552)))</f>
        <v/>
      </c>
      <c r="CL751">
        <f t="shared" si="254"/>
        <v>0</v>
      </c>
      <c r="CM751">
        <f>IF(AND(A751=$AO$5,B751=$AQ$3,H751=1),COUNTIFS($A$200:A751,$AO$5,$B$200:B751,$AQ$3,$H$200:H751,1),0)</f>
        <v>0</v>
      </c>
      <c r="CN751">
        <f>IF(CA751="",552,1001)</f>
        <v>552</v>
      </c>
      <c r="GA751">
        <f t="shared" si="274"/>
        <v>0</v>
      </c>
      <c r="GB751">
        <f t="shared" si="275"/>
        <v>0</v>
      </c>
      <c r="GC751">
        <f>IF(AND(C751="事件记录",H751=1),COUNTIFS($C$200:C751,"事件记录",$H$200:H751,1),0)</f>
        <v>0</v>
      </c>
      <c r="GD751">
        <f t="shared" si="255"/>
        <v>0</v>
      </c>
      <c r="GH751">
        <f>IF(AND(H751=1,A751=$GA$10,B751=$GA$11),COUNTIFS($A$200:A751,$GA$10,$B$200:B751,$GA$11,$H$200:H751,1),0)</f>
        <v>0</v>
      </c>
    </row>
    <row r="752" spans="1:190">
      <c r="A752" t="str">
        <f t="shared" si="246"/>
        <v/>
      </c>
      <c r="B752" t="str">
        <f t="shared" si="247"/>
        <v/>
      </c>
      <c r="C752" t="str">
        <f t="shared" si="248"/>
        <v/>
      </c>
      <c r="D752" t="str">
        <f t="shared" si="249"/>
        <v/>
      </c>
      <c r="E752">
        <f t="shared" si="250"/>
        <v>0</v>
      </c>
      <c r="F752" t="str">
        <f t="shared" si="251"/>
        <v/>
      </c>
      <c r="G752">
        <f t="shared" si="252"/>
        <v>0</v>
      </c>
      <c r="H752">
        <f>IF(AND(G752=1,COUNTIFS($I$200:I752,I752,$G$200:G752,1)=1),1,0)</f>
        <v>0</v>
      </c>
      <c r="I752" t="str">
        <f t="shared" si="253"/>
        <v/>
      </c>
      <c r="BF752">
        <f t="shared" si="256"/>
        <v>0</v>
      </c>
      <c r="BG752">
        <f t="shared" si="257"/>
        <v>0</v>
      </c>
      <c r="BH752">
        <f t="shared" si="258"/>
        <v>0</v>
      </c>
      <c r="BI752">
        <f t="shared" si="259"/>
        <v>0</v>
      </c>
      <c r="BJ752">
        <f t="shared" si="260"/>
        <v>0</v>
      </c>
      <c r="BK752">
        <f t="shared" si="261"/>
        <v>0</v>
      </c>
      <c r="BL752">
        <f t="shared" si="262"/>
        <v>0</v>
      </c>
      <c r="BM752">
        <f t="shared" si="263"/>
        <v>0</v>
      </c>
      <c r="BN752">
        <f t="shared" si="264"/>
        <v>0</v>
      </c>
      <c r="BO752">
        <f t="shared" si="265"/>
        <v>0</v>
      </c>
      <c r="BP752">
        <f t="shared" si="266"/>
        <v>0</v>
      </c>
      <c r="BQ752">
        <f t="shared" si="267"/>
        <v>0</v>
      </c>
      <c r="BR752">
        <f t="shared" si="268"/>
        <v>0</v>
      </c>
      <c r="BS752">
        <f t="shared" si="269"/>
        <v>0</v>
      </c>
      <c r="BT752">
        <f t="shared" si="270"/>
        <v>0</v>
      </c>
      <c r="BU752">
        <f t="shared" si="271"/>
        <v>0</v>
      </c>
      <c r="BV752">
        <f t="shared" si="272"/>
        <v>0</v>
      </c>
      <c r="BW752">
        <f t="shared" si="273"/>
        <v>0</v>
      </c>
      <c r="CA752" t="str">
        <f>IF(553&gt;ROWS(DGArchive[模组]),"",IF(INDEX(DGArchive[模组],553)="","",INDEX(DGArchive[模组],553)))</f>
        <v/>
      </c>
      <c r="CB752" t="str">
        <f>IF(553&gt;ROWS(DGArchive[阶段]),"",IF(INDEX(DGArchive[阶段],553)="","",INDEX(DGArchive[阶段],553)))</f>
        <v/>
      </c>
      <c r="CC752" t="str">
        <f>IF(553&gt;ROWS(DGArchive[游戏内日期]),"",IF(INDEX(DGArchive[游戏内日期],553)="","",INDEX(DGArchive[游戏内日期],553)))</f>
        <v/>
      </c>
      <c r="CD752" t="str">
        <f>IF(553&gt;ROWS(DGArchive[目标]),"",IF(INDEX(DGArchive[目标],553)="","",INDEX(DGArchive[目标],553)))</f>
        <v/>
      </c>
      <c r="CE752" t="str">
        <f>IF(553&gt;ROWS(DGArchive[变更前]),"",IF(INDEX(DGArchive[变更前],553)="","",INDEX(DGArchive[变更前],553)))</f>
        <v/>
      </c>
      <c r="CF752" t="str">
        <f>IF(553&gt;ROWS(DGArchive[增减]),"",IF(INDEX(DGArchive[增减],553)="","",INDEX(DGArchive[增减],553)))</f>
        <v/>
      </c>
      <c r="CG752" t="str">
        <f>IF(553&gt;ROWS(DGArchive[变更后]),"",IF(INDEX(DGArchive[变更后],553)="","",INDEX(DGArchive[变更后],553)))</f>
        <v/>
      </c>
      <c r="CH752" t="str">
        <f>IF(553&gt;ROWS(DGArchive[事件／活动]),"",IF(INDEX(DGArchive[事件／活动],553)="","",INDEX(DGArchive[事件／活动],553)))</f>
        <v/>
      </c>
      <c r="CI752" t="str">
        <f>IF(553&gt;ROWS(DGArchive[记录编号]),"",IF(INDEX(DGArchive[记录编号],553)="","",INDEX(DGArchive[记录编号],553)))</f>
        <v/>
      </c>
      <c r="CL752">
        <f t="shared" si="254"/>
        <v>0</v>
      </c>
      <c r="CM752">
        <f>IF(AND(A752=$AO$5,B752=$AQ$3,H752=1),COUNTIFS($A$200:A752,$AO$5,$B$200:B752,$AQ$3,$H$200:H752,1),0)</f>
        <v>0</v>
      </c>
      <c r="CN752">
        <f>IF(CA752="",553,1001)</f>
        <v>553</v>
      </c>
      <c r="GA752">
        <f t="shared" si="274"/>
        <v>0</v>
      </c>
      <c r="GB752">
        <f t="shared" si="275"/>
        <v>0</v>
      </c>
      <c r="GC752">
        <f>IF(AND(C752="事件记录",H752=1),COUNTIFS($C$200:C752,"事件记录",$H$200:H752,1),0)</f>
        <v>0</v>
      </c>
      <c r="GD752">
        <f t="shared" si="255"/>
        <v>0</v>
      </c>
      <c r="GH752">
        <f>IF(AND(H752=1,A752=$GA$10,B752=$GA$11),COUNTIFS($A$200:A752,$GA$10,$B$200:B752,$GA$11,$H$200:H752,1),0)</f>
        <v>0</v>
      </c>
    </row>
    <row r="753" spans="1:190">
      <c r="A753" t="str">
        <f t="shared" si="246"/>
        <v/>
      </c>
      <c r="B753" t="str">
        <f t="shared" si="247"/>
        <v/>
      </c>
      <c r="C753" t="str">
        <f t="shared" si="248"/>
        <v/>
      </c>
      <c r="D753" t="str">
        <f t="shared" si="249"/>
        <v/>
      </c>
      <c r="E753">
        <f t="shared" si="250"/>
        <v>0</v>
      </c>
      <c r="F753" t="str">
        <f t="shared" si="251"/>
        <v/>
      </c>
      <c r="G753">
        <f t="shared" si="252"/>
        <v>0</v>
      </c>
      <c r="H753">
        <f>IF(AND(G753=1,COUNTIFS($I$200:I753,I753,$G$200:G753,1)=1),1,0)</f>
        <v>0</v>
      </c>
      <c r="I753" t="str">
        <f t="shared" si="253"/>
        <v/>
      </c>
      <c r="BF753">
        <f t="shared" si="256"/>
        <v>0</v>
      </c>
      <c r="BG753">
        <f t="shared" si="257"/>
        <v>0</v>
      </c>
      <c r="BH753">
        <f t="shared" si="258"/>
        <v>0</v>
      </c>
      <c r="BI753">
        <f t="shared" si="259"/>
        <v>0</v>
      </c>
      <c r="BJ753">
        <f t="shared" si="260"/>
        <v>0</v>
      </c>
      <c r="BK753">
        <f t="shared" si="261"/>
        <v>0</v>
      </c>
      <c r="BL753">
        <f t="shared" si="262"/>
        <v>0</v>
      </c>
      <c r="BM753">
        <f t="shared" si="263"/>
        <v>0</v>
      </c>
      <c r="BN753">
        <f t="shared" si="264"/>
        <v>0</v>
      </c>
      <c r="BO753">
        <f t="shared" si="265"/>
        <v>0</v>
      </c>
      <c r="BP753">
        <f t="shared" si="266"/>
        <v>0</v>
      </c>
      <c r="BQ753">
        <f t="shared" si="267"/>
        <v>0</v>
      </c>
      <c r="BR753">
        <f t="shared" si="268"/>
        <v>0</v>
      </c>
      <c r="BS753">
        <f t="shared" si="269"/>
        <v>0</v>
      </c>
      <c r="BT753">
        <f t="shared" si="270"/>
        <v>0</v>
      </c>
      <c r="BU753">
        <f t="shared" si="271"/>
        <v>0</v>
      </c>
      <c r="BV753">
        <f t="shared" si="272"/>
        <v>0</v>
      </c>
      <c r="BW753">
        <f t="shared" si="273"/>
        <v>0</v>
      </c>
      <c r="CA753" t="str">
        <f>IF(554&gt;ROWS(DGArchive[模组]),"",IF(INDEX(DGArchive[模组],554)="","",INDEX(DGArchive[模组],554)))</f>
        <v/>
      </c>
      <c r="CB753" t="str">
        <f>IF(554&gt;ROWS(DGArchive[阶段]),"",IF(INDEX(DGArchive[阶段],554)="","",INDEX(DGArchive[阶段],554)))</f>
        <v/>
      </c>
      <c r="CC753" t="str">
        <f>IF(554&gt;ROWS(DGArchive[游戏内日期]),"",IF(INDEX(DGArchive[游戏内日期],554)="","",INDEX(DGArchive[游戏内日期],554)))</f>
        <v/>
      </c>
      <c r="CD753" t="str">
        <f>IF(554&gt;ROWS(DGArchive[目标]),"",IF(INDEX(DGArchive[目标],554)="","",INDEX(DGArchive[目标],554)))</f>
        <v/>
      </c>
      <c r="CE753" t="str">
        <f>IF(554&gt;ROWS(DGArchive[变更前]),"",IF(INDEX(DGArchive[变更前],554)="","",INDEX(DGArchive[变更前],554)))</f>
        <v/>
      </c>
      <c r="CF753" t="str">
        <f>IF(554&gt;ROWS(DGArchive[增减]),"",IF(INDEX(DGArchive[增减],554)="","",INDEX(DGArchive[增减],554)))</f>
        <v/>
      </c>
      <c r="CG753" t="str">
        <f>IF(554&gt;ROWS(DGArchive[变更后]),"",IF(INDEX(DGArchive[变更后],554)="","",INDEX(DGArchive[变更后],554)))</f>
        <v/>
      </c>
      <c r="CH753" t="str">
        <f>IF(554&gt;ROWS(DGArchive[事件／活动]),"",IF(INDEX(DGArchive[事件／活动],554)="","",INDEX(DGArchive[事件／活动],554)))</f>
        <v/>
      </c>
      <c r="CI753" t="str">
        <f>IF(554&gt;ROWS(DGArchive[记录编号]),"",IF(INDEX(DGArchive[记录编号],554)="","",INDEX(DGArchive[记录编号],554)))</f>
        <v/>
      </c>
      <c r="CL753">
        <f t="shared" si="254"/>
        <v>0</v>
      </c>
      <c r="CM753">
        <f>IF(AND(A753=$AO$5,B753=$AQ$3,H753=1),COUNTIFS($A$200:A753,$AO$5,$B$200:B753,$AQ$3,$H$200:H753,1),0)</f>
        <v>0</v>
      </c>
      <c r="CN753">
        <f>IF(CA753="",554,1001)</f>
        <v>554</v>
      </c>
      <c r="GA753">
        <f t="shared" si="274"/>
        <v>0</v>
      </c>
      <c r="GB753">
        <f t="shared" si="275"/>
        <v>0</v>
      </c>
      <c r="GC753">
        <f>IF(AND(C753="事件记录",H753=1),COUNTIFS($C$200:C753,"事件记录",$H$200:H753,1),0)</f>
        <v>0</v>
      </c>
      <c r="GD753">
        <f t="shared" si="255"/>
        <v>0</v>
      </c>
      <c r="GH753">
        <f>IF(AND(H753=1,A753=$GA$10,B753=$GA$11),COUNTIFS($A$200:A753,$GA$10,$B$200:B753,$GA$11,$H$200:H753,1),0)</f>
        <v>0</v>
      </c>
    </row>
    <row r="754" spans="1:190">
      <c r="A754" t="str">
        <f t="shared" si="246"/>
        <v/>
      </c>
      <c r="B754" t="str">
        <f t="shared" si="247"/>
        <v/>
      </c>
      <c r="C754" t="str">
        <f t="shared" si="248"/>
        <v/>
      </c>
      <c r="D754" t="str">
        <f t="shared" si="249"/>
        <v/>
      </c>
      <c r="E754">
        <f t="shared" si="250"/>
        <v>0</v>
      </c>
      <c r="F754" t="str">
        <f t="shared" si="251"/>
        <v/>
      </c>
      <c r="G754">
        <f t="shared" si="252"/>
        <v>0</v>
      </c>
      <c r="H754">
        <f>IF(AND(G754=1,COUNTIFS($I$200:I754,I754,$G$200:G754,1)=1),1,0)</f>
        <v>0</v>
      </c>
      <c r="I754" t="str">
        <f t="shared" si="253"/>
        <v/>
      </c>
      <c r="BF754">
        <f t="shared" si="256"/>
        <v>0</v>
      </c>
      <c r="BG754">
        <f t="shared" si="257"/>
        <v>0</v>
      </c>
      <c r="BH754">
        <f t="shared" si="258"/>
        <v>0</v>
      </c>
      <c r="BI754">
        <f t="shared" si="259"/>
        <v>0</v>
      </c>
      <c r="BJ754">
        <f t="shared" si="260"/>
        <v>0</v>
      </c>
      <c r="BK754">
        <f t="shared" si="261"/>
        <v>0</v>
      </c>
      <c r="BL754">
        <f t="shared" si="262"/>
        <v>0</v>
      </c>
      <c r="BM754">
        <f t="shared" si="263"/>
        <v>0</v>
      </c>
      <c r="BN754">
        <f t="shared" si="264"/>
        <v>0</v>
      </c>
      <c r="BO754">
        <f t="shared" si="265"/>
        <v>0</v>
      </c>
      <c r="BP754">
        <f t="shared" si="266"/>
        <v>0</v>
      </c>
      <c r="BQ754">
        <f t="shared" si="267"/>
        <v>0</v>
      </c>
      <c r="BR754">
        <f t="shared" si="268"/>
        <v>0</v>
      </c>
      <c r="BS754">
        <f t="shared" si="269"/>
        <v>0</v>
      </c>
      <c r="BT754">
        <f t="shared" si="270"/>
        <v>0</v>
      </c>
      <c r="BU754">
        <f t="shared" si="271"/>
        <v>0</v>
      </c>
      <c r="BV754">
        <f t="shared" si="272"/>
        <v>0</v>
      </c>
      <c r="BW754">
        <f t="shared" si="273"/>
        <v>0</v>
      </c>
      <c r="CA754" t="str">
        <f>IF(555&gt;ROWS(DGArchive[模组]),"",IF(INDEX(DGArchive[模组],555)="","",INDEX(DGArchive[模组],555)))</f>
        <v/>
      </c>
      <c r="CB754" t="str">
        <f>IF(555&gt;ROWS(DGArchive[阶段]),"",IF(INDEX(DGArchive[阶段],555)="","",INDEX(DGArchive[阶段],555)))</f>
        <v/>
      </c>
      <c r="CC754" t="str">
        <f>IF(555&gt;ROWS(DGArchive[游戏内日期]),"",IF(INDEX(DGArchive[游戏内日期],555)="","",INDEX(DGArchive[游戏内日期],555)))</f>
        <v/>
      </c>
      <c r="CD754" t="str">
        <f>IF(555&gt;ROWS(DGArchive[目标]),"",IF(INDEX(DGArchive[目标],555)="","",INDEX(DGArchive[目标],555)))</f>
        <v/>
      </c>
      <c r="CE754" t="str">
        <f>IF(555&gt;ROWS(DGArchive[变更前]),"",IF(INDEX(DGArchive[变更前],555)="","",INDEX(DGArchive[变更前],555)))</f>
        <v/>
      </c>
      <c r="CF754" t="str">
        <f>IF(555&gt;ROWS(DGArchive[增减]),"",IF(INDEX(DGArchive[增减],555)="","",INDEX(DGArchive[增减],555)))</f>
        <v/>
      </c>
      <c r="CG754" t="str">
        <f>IF(555&gt;ROWS(DGArchive[变更后]),"",IF(INDEX(DGArchive[变更后],555)="","",INDEX(DGArchive[变更后],555)))</f>
        <v/>
      </c>
      <c r="CH754" t="str">
        <f>IF(555&gt;ROWS(DGArchive[事件／活动]),"",IF(INDEX(DGArchive[事件／活动],555)="","",INDEX(DGArchive[事件／活动],555)))</f>
        <v/>
      </c>
      <c r="CI754" t="str">
        <f>IF(555&gt;ROWS(DGArchive[记录编号]),"",IF(INDEX(DGArchive[记录编号],555)="","",INDEX(DGArchive[记录编号],555)))</f>
        <v/>
      </c>
      <c r="CL754">
        <f t="shared" si="254"/>
        <v>0</v>
      </c>
      <c r="CM754">
        <f>IF(AND(A754=$AO$5,B754=$AQ$3,H754=1),COUNTIFS($A$200:A754,$AO$5,$B$200:B754,$AQ$3,$H$200:H754,1),0)</f>
        <v>0</v>
      </c>
      <c r="CN754">
        <f>IF(CA754="",555,1001)</f>
        <v>555</v>
      </c>
      <c r="GA754">
        <f t="shared" si="274"/>
        <v>0</v>
      </c>
      <c r="GB754">
        <f t="shared" si="275"/>
        <v>0</v>
      </c>
      <c r="GC754">
        <f>IF(AND(C754="事件记录",H754=1),COUNTIFS($C$200:C754,"事件记录",$H$200:H754,1),0)</f>
        <v>0</v>
      </c>
      <c r="GD754">
        <f t="shared" si="255"/>
        <v>0</v>
      </c>
      <c r="GH754">
        <f>IF(AND(H754=1,A754=$GA$10,B754=$GA$11),COUNTIFS($A$200:A754,$GA$10,$B$200:B754,$GA$11,$H$200:H754,1),0)</f>
        <v>0</v>
      </c>
    </row>
    <row r="755" spans="1:190">
      <c r="A755" t="str">
        <f t="shared" si="246"/>
        <v/>
      </c>
      <c r="B755" t="str">
        <f t="shared" si="247"/>
        <v/>
      </c>
      <c r="C755" t="str">
        <f t="shared" si="248"/>
        <v/>
      </c>
      <c r="D755" t="str">
        <f t="shared" si="249"/>
        <v/>
      </c>
      <c r="E755">
        <f t="shared" si="250"/>
        <v>0</v>
      </c>
      <c r="F755" t="str">
        <f t="shared" si="251"/>
        <v/>
      </c>
      <c r="G755">
        <f t="shared" si="252"/>
        <v>0</v>
      </c>
      <c r="H755">
        <f>IF(AND(G755=1,COUNTIFS($I$200:I755,I755,$G$200:G755,1)=1),1,0)</f>
        <v>0</v>
      </c>
      <c r="I755" t="str">
        <f t="shared" si="253"/>
        <v/>
      </c>
      <c r="BF755">
        <f t="shared" si="256"/>
        <v>0</v>
      </c>
      <c r="BG755">
        <f t="shared" si="257"/>
        <v>0</v>
      </c>
      <c r="BH755">
        <f t="shared" si="258"/>
        <v>0</v>
      </c>
      <c r="BI755">
        <f t="shared" si="259"/>
        <v>0</v>
      </c>
      <c r="BJ755">
        <f t="shared" si="260"/>
        <v>0</v>
      </c>
      <c r="BK755">
        <f t="shared" si="261"/>
        <v>0</v>
      </c>
      <c r="BL755">
        <f t="shared" si="262"/>
        <v>0</v>
      </c>
      <c r="BM755">
        <f t="shared" si="263"/>
        <v>0</v>
      </c>
      <c r="BN755">
        <f t="shared" si="264"/>
        <v>0</v>
      </c>
      <c r="BO755">
        <f t="shared" si="265"/>
        <v>0</v>
      </c>
      <c r="BP755">
        <f t="shared" si="266"/>
        <v>0</v>
      </c>
      <c r="BQ755">
        <f t="shared" si="267"/>
        <v>0</v>
      </c>
      <c r="BR755">
        <f t="shared" si="268"/>
        <v>0</v>
      </c>
      <c r="BS755">
        <f t="shared" si="269"/>
        <v>0</v>
      </c>
      <c r="BT755">
        <f t="shared" si="270"/>
        <v>0</v>
      </c>
      <c r="BU755">
        <f t="shared" si="271"/>
        <v>0</v>
      </c>
      <c r="BV755">
        <f t="shared" si="272"/>
        <v>0</v>
      </c>
      <c r="BW755">
        <f t="shared" si="273"/>
        <v>0</v>
      </c>
      <c r="CA755" t="str">
        <f>IF(556&gt;ROWS(DGArchive[模组]),"",IF(INDEX(DGArchive[模组],556)="","",INDEX(DGArchive[模组],556)))</f>
        <v/>
      </c>
      <c r="CB755" t="str">
        <f>IF(556&gt;ROWS(DGArchive[阶段]),"",IF(INDEX(DGArchive[阶段],556)="","",INDEX(DGArchive[阶段],556)))</f>
        <v/>
      </c>
      <c r="CC755" t="str">
        <f>IF(556&gt;ROWS(DGArchive[游戏内日期]),"",IF(INDEX(DGArchive[游戏内日期],556)="","",INDEX(DGArchive[游戏内日期],556)))</f>
        <v/>
      </c>
      <c r="CD755" t="str">
        <f>IF(556&gt;ROWS(DGArchive[目标]),"",IF(INDEX(DGArchive[目标],556)="","",INDEX(DGArchive[目标],556)))</f>
        <v/>
      </c>
      <c r="CE755" t="str">
        <f>IF(556&gt;ROWS(DGArchive[变更前]),"",IF(INDEX(DGArchive[变更前],556)="","",INDEX(DGArchive[变更前],556)))</f>
        <v/>
      </c>
      <c r="CF755" t="str">
        <f>IF(556&gt;ROWS(DGArchive[增减]),"",IF(INDEX(DGArchive[增减],556)="","",INDEX(DGArchive[增减],556)))</f>
        <v/>
      </c>
      <c r="CG755" t="str">
        <f>IF(556&gt;ROWS(DGArchive[变更后]),"",IF(INDEX(DGArchive[变更后],556)="","",INDEX(DGArchive[变更后],556)))</f>
        <v/>
      </c>
      <c r="CH755" t="str">
        <f>IF(556&gt;ROWS(DGArchive[事件／活动]),"",IF(INDEX(DGArchive[事件／活动],556)="","",INDEX(DGArchive[事件／活动],556)))</f>
        <v/>
      </c>
      <c r="CI755" t="str">
        <f>IF(556&gt;ROWS(DGArchive[记录编号]),"",IF(INDEX(DGArchive[记录编号],556)="","",INDEX(DGArchive[记录编号],556)))</f>
        <v/>
      </c>
      <c r="CL755">
        <f t="shared" si="254"/>
        <v>0</v>
      </c>
      <c r="CM755">
        <f>IF(AND(A755=$AO$5,B755=$AQ$3,H755=1),COUNTIFS($A$200:A755,$AO$5,$B$200:B755,$AQ$3,$H$200:H755,1),0)</f>
        <v>0</v>
      </c>
      <c r="CN755">
        <f>IF(CA755="",556,1001)</f>
        <v>556</v>
      </c>
      <c r="GA755">
        <f t="shared" si="274"/>
        <v>0</v>
      </c>
      <c r="GB755">
        <f t="shared" si="275"/>
        <v>0</v>
      </c>
      <c r="GC755">
        <f>IF(AND(C755="事件记录",H755=1),COUNTIFS($C$200:C755,"事件记录",$H$200:H755,1),0)</f>
        <v>0</v>
      </c>
      <c r="GD755">
        <f t="shared" si="255"/>
        <v>0</v>
      </c>
      <c r="GH755">
        <f>IF(AND(H755=1,A755=$GA$10,B755=$GA$11),COUNTIFS($A$200:A755,$GA$10,$B$200:B755,$GA$11,$H$200:H755,1),0)</f>
        <v>0</v>
      </c>
    </row>
    <row r="756" spans="1:190">
      <c r="A756" t="str">
        <f t="shared" si="246"/>
        <v/>
      </c>
      <c r="B756" t="str">
        <f t="shared" si="247"/>
        <v/>
      </c>
      <c r="C756" t="str">
        <f t="shared" si="248"/>
        <v/>
      </c>
      <c r="D756" t="str">
        <f t="shared" si="249"/>
        <v/>
      </c>
      <c r="E756">
        <f t="shared" si="250"/>
        <v>0</v>
      </c>
      <c r="F756" t="str">
        <f t="shared" si="251"/>
        <v/>
      </c>
      <c r="G756">
        <f t="shared" si="252"/>
        <v>0</v>
      </c>
      <c r="H756">
        <f>IF(AND(G756=1,COUNTIFS($I$200:I756,I756,$G$200:G756,1)=1),1,0)</f>
        <v>0</v>
      </c>
      <c r="I756" t="str">
        <f t="shared" si="253"/>
        <v/>
      </c>
      <c r="BF756">
        <f t="shared" si="256"/>
        <v>0</v>
      </c>
      <c r="BG756">
        <f t="shared" si="257"/>
        <v>0</v>
      </c>
      <c r="BH756">
        <f t="shared" si="258"/>
        <v>0</v>
      </c>
      <c r="BI756">
        <f t="shared" si="259"/>
        <v>0</v>
      </c>
      <c r="BJ756">
        <f t="shared" si="260"/>
        <v>0</v>
      </c>
      <c r="BK756">
        <f t="shared" si="261"/>
        <v>0</v>
      </c>
      <c r="BL756">
        <f t="shared" si="262"/>
        <v>0</v>
      </c>
      <c r="BM756">
        <f t="shared" si="263"/>
        <v>0</v>
      </c>
      <c r="BN756">
        <f t="shared" si="264"/>
        <v>0</v>
      </c>
      <c r="BO756">
        <f t="shared" si="265"/>
        <v>0</v>
      </c>
      <c r="BP756">
        <f t="shared" si="266"/>
        <v>0</v>
      </c>
      <c r="BQ756">
        <f t="shared" si="267"/>
        <v>0</v>
      </c>
      <c r="BR756">
        <f t="shared" si="268"/>
        <v>0</v>
      </c>
      <c r="BS756">
        <f t="shared" si="269"/>
        <v>0</v>
      </c>
      <c r="BT756">
        <f t="shared" si="270"/>
        <v>0</v>
      </c>
      <c r="BU756">
        <f t="shared" si="271"/>
        <v>0</v>
      </c>
      <c r="BV756">
        <f t="shared" si="272"/>
        <v>0</v>
      </c>
      <c r="BW756">
        <f t="shared" si="273"/>
        <v>0</v>
      </c>
      <c r="CA756" t="str">
        <f>IF(557&gt;ROWS(DGArchive[模组]),"",IF(INDEX(DGArchive[模组],557)="","",INDEX(DGArchive[模组],557)))</f>
        <v/>
      </c>
      <c r="CB756" t="str">
        <f>IF(557&gt;ROWS(DGArchive[阶段]),"",IF(INDEX(DGArchive[阶段],557)="","",INDEX(DGArchive[阶段],557)))</f>
        <v/>
      </c>
      <c r="CC756" t="str">
        <f>IF(557&gt;ROWS(DGArchive[游戏内日期]),"",IF(INDEX(DGArchive[游戏内日期],557)="","",INDEX(DGArchive[游戏内日期],557)))</f>
        <v/>
      </c>
      <c r="CD756" t="str">
        <f>IF(557&gt;ROWS(DGArchive[目标]),"",IF(INDEX(DGArchive[目标],557)="","",INDEX(DGArchive[目标],557)))</f>
        <v/>
      </c>
      <c r="CE756" t="str">
        <f>IF(557&gt;ROWS(DGArchive[变更前]),"",IF(INDEX(DGArchive[变更前],557)="","",INDEX(DGArchive[变更前],557)))</f>
        <v/>
      </c>
      <c r="CF756" t="str">
        <f>IF(557&gt;ROWS(DGArchive[增减]),"",IF(INDEX(DGArchive[增减],557)="","",INDEX(DGArchive[增减],557)))</f>
        <v/>
      </c>
      <c r="CG756" t="str">
        <f>IF(557&gt;ROWS(DGArchive[变更后]),"",IF(INDEX(DGArchive[变更后],557)="","",INDEX(DGArchive[变更后],557)))</f>
        <v/>
      </c>
      <c r="CH756" t="str">
        <f>IF(557&gt;ROWS(DGArchive[事件／活动]),"",IF(INDEX(DGArchive[事件／活动],557)="","",INDEX(DGArchive[事件／活动],557)))</f>
        <v/>
      </c>
      <c r="CI756" t="str">
        <f>IF(557&gt;ROWS(DGArchive[记录编号]),"",IF(INDEX(DGArchive[记录编号],557)="","",INDEX(DGArchive[记录编号],557)))</f>
        <v/>
      </c>
      <c r="CL756">
        <f t="shared" si="254"/>
        <v>0</v>
      </c>
      <c r="CM756">
        <f>IF(AND(A756=$AO$5,B756=$AQ$3,H756=1),COUNTIFS($A$200:A756,$AO$5,$B$200:B756,$AQ$3,$H$200:H756,1),0)</f>
        <v>0</v>
      </c>
      <c r="CN756">
        <f>IF(CA756="",557,1001)</f>
        <v>557</v>
      </c>
      <c r="GA756">
        <f t="shared" si="274"/>
        <v>0</v>
      </c>
      <c r="GB756">
        <f t="shared" si="275"/>
        <v>0</v>
      </c>
      <c r="GC756">
        <f>IF(AND(C756="事件记录",H756=1),COUNTIFS($C$200:C756,"事件记录",$H$200:H756,1),0)</f>
        <v>0</v>
      </c>
      <c r="GD756">
        <f t="shared" si="255"/>
        <v>0</v>
      </c>
      <c r="GH756">
        <f>IF(AND(H756=1,A756=$GA$10,B756=$GA$11),COUNTIFS($A$200:A756,$GA$10,$B$200:B756,$GA$11,$H$200:H756,1),0)</f>
        <v>0</v>
      </c>
    </row>
    <row r="757" spans="1:190">
      <c r="A757" t="str">
        <f t="shared" si="246"/>
        <v/>
      </c>
      <c r="B757" t="str">
        <f t="shared" si="247"/>
        <v/>
      </c>
      <c r="C757" t="str">
        <f t="shared" si="248"/>
        <v/>
      </c>
      <c r="D757" t="str">
        <f t="shared" si="249"/>
        <v/>
      </c>
      <c r="E757">
        <f t="shared" si="250"/>
        <v>0</v>
      </c>
      <c r="F757" t="str">
        <f t="shared" si="251"/>
        <v/>
      </c>
      <c r="G757">
        <f t="shared" si="252"/>
        <v>0</v>
      </c>
      <c r="H757">
        <f>IF(AND(G757=1,COUNTIFS($I$200:I757,I757,$G$200:G757,1)=1),1,0)</f>
        <v>0</v>
      </c>
      <c r="I757" t="str">
        <f t="shared" si="253"/>
        <v/>
      </c>
      <c r="BF757">
        <f t="shared" si="256"/>
        <v>0</v>
      </c>
      <c r="BG757">
        <f t="shared" si="257"/>
        <v>0</v>
      </c>
      <c r="BH757">
        <f t="shared" si="258"/>
        <v>0</v>
      </c>
      <c r="BI757">
        <f t="shared" si="259"/>
        <v>0</v>
      </c>
      <c r="BJ757">
        <f t="shared" si="260"/>
        <v>0</v>
      </c>
      <c r="BK757">
        <f t="shared" si="261"/>
        <v>0</v>
      </c>
      <c r="BL757">
        <f t="shared" si="262"/>
        <v>0</v>
      </c>
      <c r="BM757">
        <f t="shared" si="263"/>
        <v>0</v>
      </c>
      <c r="BN757">
        <f t="shared" si="264"/>
        <v>0</v>
      </c>
      <c r="BO757">
        <f t="shared" si="265"/>
        <v>0</v>
      </c>
      <c r="BP757">
        <f t="shared" si="266"/>
        <v>0</v>
      </c>
      <c r="BQ757">
        <f t="shared" si="267"/>
        <v>0</v>
      </c>
      <c r="BR757">
        <f t="shared" si="268"/>
        <v>0</v>
      </c>
      <c r="BS757">
        <f t="shared" si="269"/>
        <v>0</v>
      </c>
      <c r="BT757">
        <f t="shared" si="270"/>
        <v>0</v>
      </c>
      <c r="BU757">
        <f t="shared" si="271"/>
        <v>0</v>
      </c>
      <c r="BV757">
        <f t="shared" si="272"/>
        <v>0</v>
      </c>
      <c r="BW757">
        <f t="shared" si="273"/>
        <v>0</v>
      </c>
      <c r="CA757" t="str">
        <f>IF(558&gt;ROWS(DGArchive[模组]),"",IF(INDEX(DGArchive[模组],558)="","",INDEX(DGArchive[模组],558)))</f>
        <v/>
      </c>
      <c r="CB757" t="str">
        <f>IF(558&gt;ROWS(DGArchive[阶段]),"",IF(INDEX(DGArchive[阶段],558)="","",INDEX(DGArchive[阶段],558)))</f>
        <v/>
      </c>
      <c r="CC757" t="str">
        <f>IF(558&gt;ROWS(DGArchive[游戏内日期]),"",IF(INDEX(DGArchive[游戏内日期],558)="","",INDEX(DGArchive[游戏内日期],558)))</f>
        <v/>
      </c>
      <c r="CD757" t="str">
        <f>IF(558&gt;ROWS(DGArchive[目标]),"",IF(INDEX(DGArchive[目标],558)="","",INDEX(DGArchive[目标],558)))</f>
        <v/>
      </c>
      <c r="CE757" t="str">
        <f>IF(558&gt;ROWS(DGArchive[变更前]),"",IF(INDEX(DGArchive[变更前],558)="","",INDEX(DGArchive[变更前],558)))</f>
        <v/>
      </c>
      <c r="CF757" t="str">
        <f>IF(558&gt;ROWS(DGArchive[增减]),"",IF(INDEX(DGArchive[增减],558)="","",INDEX(DGArchive[增减],558)))</f>
        <v/>
      </c>
      <c r="CG757" t="str">
        <f>IF(558&gt;ROWS(DGArchive[变更后]),"",IF(INDEX(DGArchive[变更后],558)="","",INDEX(DGArchive[变更后],558)))</f>
        <v/>
      </c>
      <c r="CH757" t="str">
        <f>IF(558&gt;ROWS(DGArchive[事件／活动]),"",IF(INDEX(DGArchive[事件／活动],558)="","",INDEX(DGArchive[事件／活动],558)))</f>
        <v/>
      </c>
      <c r="CI757" t="str">
        <f>IF(558&gt;ROWS(DGArchive[记录编号]),"",IF(INDEX(DGArchive[记录编号],558)="","",INDEX(DGArchive[记录编号],558)))</f>
        <v/>
      </c>
      <c r="CL757">
        <f t="shared" si="254"/>
        <v>0</v>
      </c>
      <c r="CM757">
        <f>IF(AND(A757=$AO$5,B757=$AQ$3,H757=1),COUNTIFS($A$200:A757,$AO$5,$B$200:B757,$AQ$3,$H$200:H757,1),0)</f>
        <v>0</v>
      </c>
      <c r="CN757">
        <f>IF(CA757="",558,1001)</f>
        <v>558</v>
      </c>
      <c r="GA757">
        <f t="shared" si="274"/>
        <v>0</v>
      </c>
      <c r="GB757">
        <f t="shared" si="275"/>
        <v>0</v>
      </c>
      <c r="GC757">
        <f>IF(AND(C757="事件记录",H757=1),COUNTIFS($C$200:C757,"事件记录",$H$200:H757,1),0)</f>
        <v>0</v>
      </c>
      <c r="GD757">
        <f t="shared" si="255"/>
        <v>0</v>
      </c>
      <c r="GH757">
        <f>IF(AND(H757=1,A757=$GA$10,B757=$GA$11),COUNTIFS($A$200:A757,$GA$10,$B$200:B757,$GA$11,$H$200:H757,1),0)</f>
        <v>0</v>
      </c>
    </row>
    <row r="758" spans="1:190">
      <c r="A758" t="str">
        <f t="shared" si="246"/>
        <v/>
      </c>
      <c r="B758" t="str">
        <f t="shared" si="247"/>
        <v/>
      </c>
      <c r="C758" t="str">
        <f t="shared" si="248"/>
        <v/>
      </c>
      <c r="D758" t="str">
        <f t="shared" si="249"/>
        <v/>
      </c>
      <c r="E758">
        <f t="shared" si="250"/>
        <v>0</v>
      </c>
      <c r="F758" t="str">
        <f t="shared" si="251"/>
        <v/>
      </c>
      <c r="G758">
        <f t="shared" si="252"/>
        <v>0</v>
      </c>
      <c r="H758">
        <f>IF(AND(G758=1,COUNTIFS($I$200:I758,I758,$G$200:G758,1)=1),1,0)</f>
        <v>0</v>
      </c>
      <c r="I758" t="str">
        <f t="shared" si="253"/>
        <v/>
      </c>
      <c r="BF758">
        <f t="shared" si="256"/>
        <v>0</v>
      </c>
      <c r="BG758">
        <f t="shared" si="257"/>
        <v>0</v>
      </c>
      <c r="BH758">
        <f t="shared" si="258"/>
        <v>0</v>
      </c>
      <c r="BI758">
        <f t="shared" si="259"/>
        <v>0</v>
      </c>
      <c r="BJ758">
        <f t="shared" si="260"/>
        <v>0</v>
      </c>
      <c r="BK758">
        <f t="shared" si="261"/>
        <v>0</v>
      </c>
      <c r="BL758">
        <f t="shared" si="262"/>
        <v>0</v>
      </c>
      <c r="BM758">
        <f t="shared" si="263"/>
        <v>0</v>
      </c>
      <c r="BN758">
        <f t="shared" si="264"/>
        <v>0</v>
      </c>
      <c r="BO758">
        <f t="shared" si="265"/>
        <v>0</v>
      </c>
      <c r="BP758">
        <f t="shared" si="266"/>
        <v>0</v>
      </c>
      <c r="BQ758">
        <f t="shared" si="267"/>
        <v>0</v>
      </c>
      <c r="BR758">
        <f t="shared" si="268"/>
        <v>0</v>
      </c>
      <c r="BS758">
        <f t="shared" si="269"/>
        <v>0</v>
      </c>
      <c r="BT758">
        <f t="shared" si="270"/>
        <v>0</v>
      </c>
      <c r="BU758">
        <f t="shared" si="271"/>
        <v>0</v>
      </c>
      <c r="BV758">
        <f t="shared" si="272"/>
        <v>0</v>
      </c>
      <c r="BW758">
        <f t="shared" si="273"/>
        <v>0</v>
      </c>
      <c r="CA758" t="str">
        <f>IF(559&gt;ROWS(DGArchive[模组]),"",IF(INDEX(DGArchive[模组],559)="","",INDEX(DGArchive[模组],559)))</f>
        <v/>
      </c>
      <c r="CB758" t="str">
        <f>IF(559&gt;ROWS(DGArchive[阶段]),"",IF(INDEX(DGArchive[阶段],559)="","",INDEX(DGArchive[阶段],559)))</f>
        <v/>
      </c>
      <c r="CC758" t="str">
        <f>IF(559&gt;ROWS(DGArchive[游戏内日期]),"",IF(INDEX(DGArchive[游戏内日期],559)="","",INDEX(DGArchive[游戏内日期],559)))</f>
        <v/>
      </c>
      <c r="CD758" t="str">
        <f>IF(559&gt;ROWS(DGArchive[目标]),"",IF(INDEX(DGArchive[目标],559)="","",INDEX(DGArchive[目标],559)))</f>
        <v/>
      </c>
      <c r="CE758" t="str">
        <f>IF(559&gt;ROWS(DGArchive[变更前]),"",IF(INDEX(DGArchive[变更前],559)="","",INDEX(DGArchive[变更前],559)))</f>
        <v/>
      </c>
      <c r="CF758" t="str">
        <f>IF(559&gt;ROWS(DGArchive[增减]),"",IF(INDEX(DGArchive[增减],559)="","",INDEX(DGArchive[增减],559)))</f>
        <v/>
      </c>
      <c r="CG758" t="str">
        <f>IF(559&gt;ROWS(DGArchive[变更后]),"",IF(INDEX(DGArchive[变更后],559)="","",INDEX(DGArchive[变更后],559)))</f>
        <v/>
      </c>
      <c r="CH758" t="str">
        <f>IF(559&gt;ROWS(DGArchive[事件／活动]),"",IF(INDEX(DGArchive[事件／活动],559)="","",INDEX(DGArchive[事件／活动],559)))</f>
        <v/>
      </c>
      <c r="CI758" t="str">
        <f>IF(559&gt;ROWS(DGArchive[记录编号]),"",IF(INDEX(DGArchive[记录编号],559)="","",INDEX(DGArchive[记录编号],559)))</f>
        <v/>
      </c>
      <c r="CL758">
        <f t="shared" si="254"/>
        <v>0</v>
      </c>
      <c r="CM758">
        <f>IF(AND(A758=$AO$5,B758=$AQ$3,H758=1),COUNTIFS($A$200:A758,$AO$5,$B$200:B758,$AQ$3,$H$200:H758,1),0)</f>
        <v>0</v>
      </c>
      <c r="CN758">
        <f>IF(CA758="",559,1001)</f>
        <v>559</v>
      </c>
      <c r="GA758">
        <f t="shared" si="274"/>
        <v>0</v>
      </c>
      <c r="GB758">
        <f t="shared" si="275"/>
        <v>0</v>
      </c>
      <c r="GC758">
        <f>IF(AND(C758="事件记录",H758=1),COUNTIFS($C$200:C758,"事件记录",$H$200:H758,1),0)</f>
        <v>0</v>
      </c>
      <c r="GD758">
        <f t="shared" si="255"/>
        <v>0</v>
      </c>
      <c r="GH758">
        <f>IF(AND(H758=1,A758=$GA$10,B758=$GA$11),COUNTIFS($A$200:A758,$GA$10,$B$200:B758,$GA$11,$H$200:H758,1),0)</f>
        <v>0</v>
      </c>
    </row>
    <row r="759" spans="1:190">
      <c r="A759" t="str">
        <f t="shared" si="246"/>
        <v/>
      </c>
      <c r="B759" t="str">
        <f t="shared" si="247"/>
        <v/>
      </c>
      <c r="C759" t="str">
        <f t="shared" si="248"/>
        <v/>
      </c>
      <c r="D759" t="str">
        <f t="shared" si="249"/>
        <v/>
      </c>
      <c r="E759">
        <f t="shared" si="250"/>
        <v>0</v>
      </c>
      <c r="F759" t="str">
        <f t="shared" si="251"/>
        <v/>
      </c>
      <c r="G759">
        <f t="shared" si="252"/>
        <v>0</v>
      </c>
      <c r="H759">
        <f>IF(AND(G759=1,COUNTIFS($I$200:I759,I759,$G$200:G759,1)=1),1,0)</f>
        <v>0</v>
      </c>
      <c r="I759" t="str">
        <f t="shared" si="253"/>
        <v/>
      </c>
      <c r="BF759">
        <f t="shared" si="256"/>
        <v>0</v>
      </c>
      <c r="BG759">
        <f t="shared" si="257"/>
        <v>0</v>
      </c>
      <c r="BH759">
        <f t="shared" si="258"/>
        <v>0</v>
      </c>
      <c r="BI759">
        <f t="shared" si="259"/>
        <v>0</v>
      </c>
      <c r="BJ759">
        <f t="shared" si="260"/>
        <v>0</v>
      </c>
      <c r="BK759">
        <f t="shared" si="261"/>
        <v>0</v>
      </c>
      <c r="BL759">
        <f t="shared" si="262"/>
        <v>0</v>
      </c>
      <c r="BM759">
        <f t="shared" si="263"/>
        <v>0</v>
      </c>
      <c r="BN759">
        <f t="shared" si="264"/>
        <v>0</v>
      </c>
      <c r="BO759">
        <f t="shared" si="265"/>
        <v>0</v>
      </c>
      <c r="BP759">
        <f t="shared" si="266"/>
        <v>0</v>
      </c>
      <c r="BQ759">
        <f t="shared" si="267"/>
        <v>0</v>
      </c>
      <c r="BR759">
        <f t="shared" si="268"/>
        <v>0</v>
      </c>
      <c r="BS759">
        <f t="shared" si="269"/>
        <v>0</v>
      </c>
      <c r="BT759">
        <f t="shared" si="270"/>
        <v>0</v>
      </c>
      <c r="BU759">
        <f t="shared" si="271"/>
        <v>0</v>
      </c>
      <c r="BV759">
        <f t="shared" si="272"/>
        <v>0</v>
      </c>
      <c r="BW759">
        <f t="shared" si="273"/>
        <v>0</v>
      </c>
      <c r="CA759" t="str">
        <f>IF(560&gt;ROWS(DGArchive[模组]),"",IF(INDEX(DGArchive[模组],560)="","",INDEX(DGArchive[模组],560)))</f>
        <v/>
      </c>
      <c r="CB759" t="str">
        <f>IF(560&gt;ROWS(DGArchive[阶段]),"",IF(INDEX(DGArchive[阶段],560)="","",INDEX(DGArchive[阶段],560)))</f>
        <v/>
      </c>
      <c r="CC759" t="str">
        <f>IF(560&gt;ROWS(DGArchive[游戏内日期]),"",IF(INDEX(DGArchive[游戏内日期],560)="","",INDEX(DGArchive[游戏内日期],560)))</f>
        <v/>
      </c>
      <c r="CD759" t="str">
        <f>IF(560&gt;ROWS(DGArchive[目标]),"",IF(INDEX(DGArchive[目标],560)="","",INDEX(DGArchive[目标],560)))</f>
        <v/>
      </c>
      <c r="CE759" t="str">
        <f>IF(560&gt;ROWS(DGArchive[变更前]),"",IF(INDEX(DGArchive[变更前],560)="","",INDEX(DGArchive[变更前],560)))</f>
        <v/>
      </c>
      <c r="CF759" t="str">
        <f>IF(560&gt;ROWS(DGArchive[增减]),"",IF(INDEX(DGArchive[增减],560)="","",INDEX(DGArchive[增减],560)))</f>
        <v/>
      </c>
      <c r="CG759" t="str">
        <f>IF(560&gt;ROWS(DGArchive[变更后]),"",IF(INDEX(DGArchive[变更后],560)="","",INDEX(DGArchive[变更后],560)))</f>
        <v/>
      </c>
      <c r="CH759" t="str">
        <f>IF(560&gt;ROWS(DGArchive[事件／活动]),"",IF(INDEX(DGArchive[事件／活动],560)="","",INDEX(DGArchive[事件／活动],560)))</f>
        <v/>
      </c>
      <c r="CI759" t="str">
        <f>IF(560&gt;ROWS(DGArchive[记录编号]),"",IF(INDEX(DGArchive[记录编号],560)="","",INDEX(DGArchive[记录编号],560)))</f>
        <v/>
      </c>
      <c r="CL759">
        <f t="shared" si="254"/>
        <v>0</v>
      </c>
      <c r="CM759">
        <f>IF(AND(A759=$AO$5,B759=$AQ$3,H759=1),COUNTIFS($A$200:A759,$AO$5,$B$200:B759,$AQ$3,$H$200:H759,1),0)</f>
        <v>0</v>
      </c>
      <c r="CN759">
        <f>IF(CA759="",560,1001)</f>
        <v>560</v>
      </c>
      <c r="GA759">
        <f t="shared" si="274"/>
        <v>0</v>
      </c>
      <c r="GB759">
        <f t="shared" si="275"/>
        <v>0</v>
      </c>
      <c r="GC759">
        <f>IF(AND(C759="事件记录",H759=1),COUNTIFS($C$200:C759,"事件记录",$H$200:H759,1),0)</f>
        <v>0</v>
      </c>
      <c r="GD759">
        <f t="shared" si="255"/>
        <v>0</v>
      </c>
      <c r="GH759">
        <f>IF(AND(H759=1,A759=$GA$10,B759=$GA$11),COUNTIFS($A$200:A759,$GA$10,$B$200:B759,$GA$11,$H$200:H759,1),0)</f>
        <v>0</v>
      </c>
    </row>
    <row r="760" spans="1:190">
      <c r="A760" t="str">
        <f t="shared" si="246"/>
        <v/>
      </c>
      <c r="B760" t="str">
        <f t="shared" si="247"/>
        <v/>
      </c>
      <c r="C760" t="str">
        <f t="shared" si="248"/>
        <v/>
      </c>
      <c r="D760" t="str">
        <f t="shared" si="249"/>
        <v/>
      </c>
      <c r="E760">
        <f t="shared" si="250"/>
        <v>0</v>
      </c>
      <c r="F760" t="str">
        <f t="shared" si="251"/>
        <v/>
      </c>
      <c r="G760">
        <f t="shared" si="252"/>
        <v>0</v>
      </c>
      <c r="H760">
        <f>IF(AND(G760=1,COUNTIFS($I$200:I760,I760,$G$200:G760,1)=1),1,0)</f>
        <v>0</v>
      </c>
      <c r="I760" t="str">
        <f t="shared" si="253"/>
        <v/>
      </c>
      <c r="BF760">
        <f t="shared" si="256"/>
        <v>0</v>
      </c>
      <c r="BG760">
        <f t="shared" si="257"/>
        <v>0</v>
      </c>
      <c r="BH760">
        <f t="shared" si="258"/>
        <v>0</v>
      </c>
      <c r="BI760">
        <f t="shared" si="259"/>
        <v>0</v>
      </c>
      <c r="BJ760">
        <f t="shared" si="260"/>
        <v>0</v>
      </c>
      <c r="BK760">
        <f t="shared" si="261"/>
        <v>0</v>
      </c>
      <c r="BL760">
        <f t="shared" si="262"/>
        <v>0</v>
      </c>
      <c r="BM760">
        <f t="shared" si="263"/>
        <v>0</v>
      </c>
      <c r="BN760">
        <f t="shared" si="264"/>
        <v>0</v>
      </c>
      <c r="BO760">
        <f t="shared" si="265"/>
        <v>0</v>
      </c>
      <c r="BP760">
        <f t="shared" si="266"/>
        <v>0</v>
      </c>
      <c r="BQ760">
        <f t="shared" si="267"/>
        <v>0</v>
      </c>
      <c r="BR760">
        <f t="shared" si="268"/>
        <v>0</v>
      </c>
      <c r="BS760">
        <f t="shared" si="269"/>
        <v>0</v>
      </c>
      <c r="BT760">
        <f t="shared" si="270"/>
        <v>0</v>
      </c>
      <c r="BU760">
        <f t="shared" si="271"/>
        <v>0</v>
      </c>
      <c r="BV760">
        <f t="shared" si="272"/>
        <v>0</v>
      </c>
      <c r="BW760">
        <f t="shared" si="273"/>
        <v>0</v>
      </c>
      <c r="CA760" t="str">
        <f>IF(561&gt;ROWS(DGArchive[模组]),"",IF(INDEX(DGArchive[模组],561)="","",INDEX(DGArchive[模组],561)))</f>
        <v/>
      </c>
      <c r="CB760" t="str">
        <f>IF(561&gt;ROWS(DGArchive[阶段]),"",IF(INDEX(DGArchive[阶段],561)="","",INDEX(DGArchive[阶段],561)))</f>
        <v/>
      </c>
      <c r="CC760" t="str">
        <f>IF(561&gt;ROWS(DGArchive[游戏内日期]),"",IF(INDEX(DGArchive[游戏内日期],561)="","",INDEX(DGArchive[游戏内日期],561)))</f>
        <v/>
      </c>
      <c r="CD760" t="str">
        <f>IF(561&gt;ROWS(DGArchive[目标]),"",IF(INDEX(DGArchive[目标],561)="","",INDEX(DGArchive[目标],561)))</f>
        <v/>
      </c>
      <c r="CE760" t="str">
        <f>IF(561&gt;ROWS(DGArchive[变更前]),"",IF(INDEX(DGArchive[变更前],561)="","",INDEX(DGArchive[变更前],561)))</f>
        <v/>
      </c>
      <c r="CF760" t="str">
        <f>IF(561&gt;ROWS(DGArchive[增减]),"",IF(INDEX(DGArchive[增减],561)="","",INDEX(DGArchive[增减],561)))</f>
        <v/>
      </c>
      <c r="CG760" t="str">
        <f>IF(561&gt;ROWS(DGArchive[变更后]),"",IF(INDEX(DGArchive[变更后],561)="","",INDEX(DGArchive[变更后],561)))</f>
        <v/>
      </c>
      <c r="CH760" t="str">
        <f>IF(561&gt;ROWS(DGArchive[事件／活动]),"",IF(INDEX(DGArchive[事件／活动],561)="","",INDEX(DGArchive[事件／活动],561)))</f>
        <v/>
      </c>
      <c r="CI760" t="str">
        <f>IF(561&gt;ROWS(DGArchive[记录编号]),"",IF(INDEX(DGArchive[记录编号],561)="","",INDEX(DGArchive[记录编号],561)))</f>
        <v/>
      </c>
      <c r="CL760">
        <f t="shared" si="254"/>
        <v>0</v>
      </c>
      <c r="CM760">
        <f>IF(AND(A760=$AO$5,B760=$AQ$3,H760=1),COUNTIFS($A$200:A760,$AO$5,$B$200:B760,$AQ$3,$H$200:H760,1),0)</f>
        <v>0</v>
      </c>
      <c r="CN760">
        <f>IF(CA760="",561,1001)</f>
        <v>561</v>
      </c>
      <c r="GA760">
        <f t="shared" si="274"/>
        <v>0</v>
      </c>
      <c r="GB760">
        <f t="shared" si="275"/>
        <v>0</v>
      </c>
      <c r="GC760">
        <f>IF(AND(C760="事件记录",H760=1),COUNTIFS($C$200:C760,"事件记录",$H$200:H760,1),0)</f>
        <v>0</v>
      </c>
      <c r="GD760">
        <f t="shared" si="255"/>
        <v>0</v>
      </c>
      <c r="GH760">
        <f>IF(AND(H760=1,A760=$GA$10,B760=$GA$11),COUNTIFS($A$200:A760,$GA$10,$B$200:B760,$GA$11,$H$200:H760,1),0)</f>
        <v>0</v>
      </c>
    </row>
    <row r="761" spans="1:190">
      <c r="A761" t="str">
        <f t="shared" si="246"/>
        <v/>
      </c>
      <c r="B761" t="str">
        <f t="shared" si="247"/>
        <v/>
      </c>
      <c r="C761" t="str">
        <f t="shared" si="248"/>
        <v/>
      </c>
      <c r="D761" t="str">
        <f t="shared" si="249"/>
        <v/>
      </c>
      <c r="E761">
        <f t="shared" si="250"/>
        <v>0</v>
      </c>
      <c r="F761" t="str">
        <f t="shared" si="251"/>
        <v/>
      </c>
      <c r="G761">
        <f t="shared" si="252"/>
        <v>0</v>
      </c>
      <c r="H761">
        <f>IF(AND(G761=1,COUNTIFS($I$200:I761,I761,$G$200:G761,1)=1),1,0)</f>
        <v>0</v>
      </c>
      <c r="I761" t="str">
        <f t="shared" si="253"/>
        <v/>
      </c>
      <c r="BF761">
        <f t="shared" si="256"/>
        <v>0</v>
      </c>
      <c r="BG761">
        <f t="shared" si="257"/>
        <v>0</v>
      </c>
      <c r="BH761">
        <f t="shared" si="258"/>
        <v>0</v>
      </c>
      <c r="BI761">
        <f t="shared" si="259"/>
        <v>0</v>
      </c>
      <c r="BJ761">
        <f t="shared" si="260"/>
        <v>0</v>
      </c>
      <c r="BK761">
        <f t="shared" si="261"/>
        <v>0</v>
      </c>
      <c r="BL761">
        <f t="shared" si="262"/>
        <v>0</v>
      </c>
      <c r="BM761">
        <f t="shared" si="263"/>
        <v>0</v>
      </c>
      <c r="BN761">
        <f t="shared" si="264"/>
        <v>0</v>
      </c>
      <c r="BO761">
        <f t="shared" si="265"/>
        <v>0</v>
      </c>
      <c r="BP761">
        <f t="shared" si="266"/>
        <v>0</v>
      </c>
      <c r="BQ761">
        <f t="shared" si="267"/>
        <v>0</v>
      </c>
      <c r="BR761">
        <f t="shared" si="268"/>
        <v>0</v>
      </c>
      <c r="BS761">
        <f t="shared" si="269"/>
        <v>0</v>
      </c>
      <c r="BT761">
        <f t="shared" si="270"/>
        <v>0</v>
      </c>
      <c r="BU761">
        <f t="shared" si="271"/>
        <v>0</v>
      </c>
      <c r="BV761">
        <f t="shared" si="272"/>
        <v>0</v>
      </c>
      <c r="BW761">
        <f t="shared" si="273"/>
        <v>0</v>
      </c>
      <c r="CA761" t="str">
        <f>IF(562&gt;ROWS(DGArchive[模组]),"",IF(INDEX(DGArchive[模组],562)="","",INDEX(DGArchive[模组],562)))</f>
        <v/>
      </c>
      <c r="CB761" t="str">
        <f>IF(562&gt;ROWS(DGArchive[阶段]),"",IF(INDEX(DGArchive[阶段],562)="","",INDEX(DGArchive[阶段],562)))</f>
        <v/>
      </c>
      <c r="CC761" t="str">
        <f>IF(562&gt;ROWS(DGArchive[游戏内日期]),"",IF(INDEX(DGArchive[游戏内日期],562)="","",INDEX(DGArchive[游戏内日期],562)))</f>
        <v/>
      </c>
      <c r="CD761" t="str">
        <f>IF(562&gt;ROWS(DGArchive[目标]),"",IF(INDEX(DGArchive[目标],562)="","",INDEX(DGArchive[目标],562)))</f>
        <v/>
      </c>
      <c r="CE761" t="str">
        <f>IF(562&gt;ROWS(DGArchive[变更前]),"",IF(INDEX(DGArchive[变更前],562)="","",INDEX(DGArchive[变更前],562)))</f>
        <v/>
      </c>
      <c r="CF761" t="str">
        <f>IF(562&gt;ROWS(DGArchive[增减]),"",IF(INDEX(DGArchive[增减],562)="","",INDEX(DGArchive[增减],562)))</f>
        <v/>
      </c>
      <c r="CG761" t="str">
        <f>IF(562&gt;ROWS(DGArchive[变更后]),"",IF(INDEX(DGArchive[变更后],562)="","",INDEX(DGArchive[变更后],562)))</f>
        <v/>
      </c>
      <c r="CH761" t="str">
        <f>IF(562&gt;ROWS(DGArchive[事件／活动]),"",IF(INDEX(DGArchive[事件／活动],562)="","",INDEX(DGArchive[事件／活动],562)))</f>
        <v/>
      </c>
      <c r="CI761" t="str">
        <f>IF(562&gt;ROWS(DGArchive[记录编号]),"",IF(INDEX(DGArchive[记录编号],562)="","",INDEX(DGArchive[记录编号],562)))</f>
        <v/>
      </c>
      <c r="CL761">
        <f t="shared" si="254"/>
        <v>0</v>
      </c>
      <c r="CM761">
        <f>IF(AND(A761=$AO$5,B761=$AQ$3,H761=1),COUNTIFS($A$200:A761,$AO$5,$B$200:B761,$AQ$3,$H$200:H761,1),0)</f>
        <v>0</v>
      </c>
      <c r="CN761">
        <f>IF(CA761="",562,1001)</f>
        <v>562</v>
      </c>
      <c r="GA761">
        <f t="shared" si="274"/>
        <v>0</v>
      </c>
      <c r="GB761">
        <f t="shared" si="275"/>
        <v>0</v>
      </c>
      <c r="GC761">
        <f>IF(AND(C761="事件记录",H761=1),COUNTIFS($C$200:C761,"事件记录",$H$200:H761,1),0)</f>
        <v>0</v>
      </c>
      <c r="GD761">
        <f t="shared" si="255"/>
        <v>0</v>
      </c>
      <c r="GH761">
        <f>IF(AND(H761=1,A761=$GA$10,B761=$GA$11),COUNTIFS($A$200:A761,$GA$10,$B$200:B761,$GA$11,$H$200:H761,1),0)</f>
        <v>0</v>
      </c>
    </row>
    <row r="762" spans="1:190">
      <c r="A762" t="str">
        <f t="shared" si="246"/>
        <v/>
      </c>
      <c r="B762" t="str">
        <f t="shared" si="247"/>
        <v/>
      </c>
      <c r="C762" t="str">
        <f t="shared" si="248"/>
        <v/>
      </c>
      <c r="D762" t="str">
        <f t="shared" si="249"/>
        <v/>
      </c>
      <c r="E762">
        <f t="shared" si="250"/>
        <v>0</v>
      </c>
      <c r="F762" t="str">
        <f t="shared" si="251"/>
        <v/>
      </c>
      <c r="G762">
        <f t="shared" si="252"/>
        <v>0</v>
      </c>
      <c r="H762">
        <f>IF(AND(G762=1,COUNTIFS($I$200:I762,I762,$G$200:G762,1)=1),1,0)</f>
        <v>0</v>
      </c>
      <c r="I762" t="str">
        <f t="shared" si="253"/>
        <v/>
      </c>
      <c r="BF762">
        <f t="shared" si="256"/>
        <v>0</v>
      </c>
      <c r="BG762">
        <f t="shared" si="257"/>
        <v>0</v>
      </c>
      <c r="BH762">
        <f t="shared" si="258"/>
        <v>0</v>
      </c>
      <c r="BI762">
        <f t="shared" si="259"/>
        <v>0</v>
      </c>
      <c r="BJ762">
        <f t="shared" si="260"/>
        <v>0</v>
      </c>
      <c r="BK762">
        <f t="shared" si="261"/>
        <v>0</v>
      </c>
      <c r="BL762">
        <f t="shared" si="262"/>
        <v>0</v>
      </c>
      <c r="BM762">
        <f t="shared" si="263"/>
        <v>0</v>
      </c>
      <c r="BN762">
        <f t="shared" si="264"/>
        <v>0</v>
      </c>
      <c r="BO762">
        <f t="shared" si="265"/>
        <v>0</v>
      </c>
      <c r="BP762">
        <f t="shared" si="266"/>
        <v>0</v>
      </c>
      <c r="BQ762">
        <f t="shared" si="267"/>
        <v>0</v>
      </c>
      <c r="BR762">
        <f t="shared" si="268"/>
        <v>0</v>
      </c>
      <c r="BS762">
        <f t="shared" si="269"/>
        <v>0</v>
      </c>
      <c r="BT762">
        <f t="shared" si="270"/>
        <v>0</v>
      </c>
      <c r="BU762">
        <f t="shared" si="271"/>
        <v>0</v>
      </c>
      <c r="BV762">
        <f t="shared" si="272"/>
        <v>0</v>
      </c>
      <c r="BW762">
        <f t="shared" si="273"/>
        <v>0</v>
      </c>
      <c r="CA762" t="str">
        <f>IF(563&gt;ROWS(DGArchive[模组]),"",IF(INDEX(DGArchive[模组],563)="","",INDEX(DGArchive[模组],563)))</f>
        <v/>
      </c>
      <c r="CB762" t="str">
        <f>IF(563&gt;ROWS(DGArchive[阶段]),"",IF(INDEX(DGArchive[阶段],563)="","",INDEX(DGArchive[阶段],563)))</f>
        <v/>
      </c>
      <c r="CC762" t="str">
        <f>IF(563&gt;ROWS(DGArchive[游戏内日期]),"",IF(INDEX(DGArchive[游戏内日期],563)="","",INDEX(DGArchive[游戏内日期],563)))</f>
        <v/>
      </c>
      <c r="CD762" t="str">
        <f>IF(563&gt;ROWS(DGArchive[目标]),"",IF(INDEX(DGArchive[目标],563)="","",INDEX(DGArchive[目标],563)))</f>
        <v/>
      </c>
      <c r="CE762" t="str">
        <f>IF(563&gt;ROWS(DGArchive[变更前]),"",IF(INDEX(DGArchive[变更前],563)="","",INDEX(DGArchive[变更前],563)))</f>
        <v/>
      </c>
      <c r="CF762" t="str">
        <f>IF(563&gt;ROWS(DGArchive[增减]),"",IF(INDEX(DGArchive[增减],563)="","",INDEX(DGArchive[增减],563)))</f>
        <v/>
      </c>
      <c r="CG762" t="str">
        <f>IF(563&gt;ROWS(DGArchive[变更后]),"",IF(INDEX(DGArchive[变更后],563)="","",INDEX(DGArchive[变更后],563)))</f>
        <v/>
      </c>
      <c r="CH762" t="str">
        <f>IF(563&gt;ROWS(DGArchive[事件／活动]),"",IF(INDEX(DGArchive[事件／活动],563)="","",INDEX(DGArchive[事件／活动],563)))</f>
        <v/>
      </c>
      <c r="CI762" t="str">
        <f>IF(563&gt;ROWS(DGArchive[记录编号]),"",IF(INDEX(DGArchive[记录编号],563)="","",INDEX(DGArchive[记录编号],563)))</f>
        <v/>
      </c>
      <c r="CL762">
        <f t="shared" si="254"/>
        <v>0</v>
      </c>
      <c r="CM762">
        <f>IF(AND(A762=$AO$5,B762=$AQ$3,H762=1),COUNTIFS($A$200:A762,$AO$5,$B$200:B762,$AQ$3,$H$200:H762,1),0)</f>
        <v>0</v>
      </c>
      <c r="CN762">
        <f>IF(CA762="",563,1001)</f>
        <v>563</v>
      </c>
      <c r="GA762">
        <f t="shared" si="274"/>
        <v>0</v>
      </c>
      <c r="GB762">
        <f t="shared" si="275"/>
        <v>0</v>
      </c>
      <c r="GC762">
        <f>IF(AND(C762="事件记录",H762=1),COUNTIFS($C$200:C762,"事件记录",$H$200:H762,1),0)</f>
        <v>0</v>
      </c>
      <c r="GD762">
        <f t="shared" si="255"/>
        <v>0</v>
      </c>
      <c r="GH762">
        <f>IF(AND(H762=1,A762=$GA$10,B762=$GA$11),COUNTIFS($A$200:A762,$GA$10,$B$200:B762,$GA$11,$H$200:H762,1),0)</f>
        <v>0</v>
      </c>
    </row>
    <row r="763" spans="1:190">
      <c r="A763" t="str">
        <f t="shared" si="246"/>
        <v/>
      </c>
      <c r="B763" t="str">
        <f t="shared" si="247"/>
        <v/>
      </c>
      <c r="C763" t="str">
        <f t="shared" si="248"/>
        <v/>
      </c>
      <c r="D763" t="str">
        <f t="shared" si="249"/>
        <v/>
      </c>
      <c r="E763">
        <f t="shared" si="250"/>
        <v>0</v>
      </c>
      <c r="F763" t="str">
        <f t="shared" si="251"/>
        <v/>
      </c>
      <c r="G763">
        <f t="shared" si="252"/>
        <v>0</v>
      </c>
      <c r="H763">
        <f>IF(AND(G763=1,COUNTIFS($I$200:I763,I763,$G$200:G763,1)=1),1,0)</f>
        <v>0</v>
      </c>
      <c r="I763" t="str">
        <f t="shared" si="253"/>
        <v/>
      </c>
      <c r="BF763">
        <f t="shared" si="256"/>
        <v>0</v>
      </c>
      <c r="BG763">
        <f t="shared" si="257"/>
        <v>0</v>
      </c>
      <c r="BH763">
        <f t="shared" si="258"/>
        <v>0</v>
      </c>
      <c r="BI763">
        <f t="shared" si="259"/>
        <v>0</v>
      </c>
      <c r="BJ763">
        <f t="shared" si="260"/>
        <v>0</v>
      </c>
      <c r="BK763">
        <f t="shared" si="261"/>
        <v>0</v>
      </c>
      <c r="BL763">
        <f t="shared" si="262"/>
        <v>0</v>
      </c>
      <c r="BM763">
        <f t="shared" si="263"/>
        <v>0</v>
      </c>
      <c r="BN763">
        <f t="shared" si="264"/>
        <v>0</v>
      </c>
      <c r="BO763">
        <f t="shared" si="265"/>
        <v>0</v>
      </c>
      <c r="BP763">
        <f t="shared" si="266"/>
        <v>0</v>
      </c>
      <c r="BQ763">
        <f t="shared" si="267"/>
        <v>0</v>
      </c>
      <c r="BR763">
        <f t="shared" si="268"/>
        <v>0</v>
      </c>
      <c r="BS763">
        <f t="shared" si="269"/>
        <v>0</v>
      </c>
      <c r="BT763">
        <f t="shared" si="270"/>
        <v>0</v>
      </c>
      <c r="BU763">
        <f t="shared" si="271"/>
        <v>0</v>
      </c>
      <c r="BV763">
        <f t="shared" si="272"/>
        <v>0</v>
      </c>
      <c r="BW763">
        <f t="shared" si="273"/>
        <v>0</v>
      </c>
      <c r="CA763" t="str">
        <f>IF(564&gt;ROWS(DGArchive[模组]),"",IF(INDEX(DGArchive[模组],564)="","",INDEX(DGArchive[模组],564)))</f>
        <v/>
      </c>
      <c r="CB763" t="str">
        <f>IF(564&gt;ROWS(DGArchive[阶段]),"",IF(INDEX(DGArchive[阶段],564)="","",INDEX(DGArchive[阶段],564)))</f>
        <v/>
      </c>
      <c r="CC763" t="str">
        <f>IF(564&gt;ROWS(DGArchive[游戏内日期]),"",IF(INDEX(DGArchive[游戏内日期],564)="","",INDEX(DGArchive[游戏内日期],564)))</f>
        <v/>
      </c>
      <c r="CD763" t="str">
        <f>IF(564&gt;ROWS(DGArchive[目标]),"",IF(INDEX(DGArchive[目标],564)="","",INDEX(DGArchive[目标],564)))</f>
        <v/>
      </c>
      <c r="CE763" t="str">
        <f>IF(564&gt;ROWS(DGArchive[变更前]),"",IF(INDEX(DGArchive[变更前],564)="","",INDEX(DGArchive[变更前],564)))</f>
        <v/>
      </c>
      <c r="CF763" t="str">
        <f>IF(564&gt;ROWS(DGArchive[增减]),"",IF(INDEX(DGArchive[增减],564)="","",INDEX(DGArchive[增减],564)))</f>
        <v/>
      </c>
      <c r="CG763" t="str">
        <f>IF(564&gt;ROWS(DGArchive[变更后]),"",IF(INDEX(DGArchive[变更后],564)="","",INDEX(DGArchive[变更后],564)))</f>
        <v/>
      </c>
      <c r="CH763" t="str">
        <f>IF(564&gt;ROWS(DGArchive[事件／活动]),"",IF(INDEX(DGArchive[事件／活动],564)="","",INDEX(DGArchive[事件／活动],564)))</f>
        <v/>
      </c>
      <c r="CI763" t="str">
        <f>IF(564&gt;ROWS(DGArchive[记录编号]),"",IF(INDEX(DGArchive[记录编号],564)="","",INDEX(DGArchive[记录编号],564)))</f>
        <v/>
      </c>
      <c r="CL763">
        <f t="shared" si="254"/>
        <v>0</v>
      </c>
      <c r="CM763">
        <f>IF(AND(A763=$AO$5,B763=$AQ$3,H763=1),COUNTIFS($A$200:A763,$AO$5,$B$200:B763,$AQ$3,$H$200:H763,1),0)</f>
        <v>0</v>
      </c>
      <c r="CN763">
        <f>IF(CA763="",564,1001)</f>
        <v>564</v>
      </c>
      <c r="GA763">
        <f t="shared" si="274"/>
        <v>0</v>
      </c>
      <c r="GB763">
        <f t="shared" si="275"/>
        <v>0</v>
      </c>
      <c r="GC763">
        <f>IF(AND(C763="事件记录",H763=1),COUNTIFS($C$200:C763,"事件记录",$H$200:H763,1),0)</f>
        <v>0</v>
      </c>
      <c r="GD763">
        <f t="shared" si="255"/>
        <v>0</v>
      </c>
      <c r="GH763">
        <f>IF(AND(H763=1,A763=$GA$10,B763=$GA$11),COUNTIFS($A$200:A763,$GA$10,$B$200:B763,$GA$11,$H$200:H763,1),0)</f>
        <v>0</v>
      </c>
    </row>
    <row r="764" spans="1:190">
      <c r="A764" t="str">
        <f t="shared" si="246"/>
        <v/>
      </c>
      <c r="B764" t="str">
        <f t="shared" si="247"/>
        <v/>
      </c>
      <c r="C764" t="str">
        <f t="shared" si="248"/>
        <v/>
      </c>
      <c r="D764" t="str">
        <f t="shared" si="249"/>
        <v/>
      </c>
      <c r="E764">
        <f t="shared" si="250"/>
        <v>0</v>
      </c>
      <c r="F764" t="str">
        <f t="shared" si="251"/>
        <v/>
      </c>
      <c r="G764">
        <f t="shared" si="252"/>
        <v>0</v>
      </c>
      <c r="H764">
        <f>IF(AND(G764=1,COUNTIFS($I$200:I764,I764,$G$200:G764,1)=1),1,0)</f>
        <v>0</v>
      </c>
      <c r="I764" t="str">
        <f t="shared" si="253"/>
        <v/>
      </c>
      <c r="BF764">
        <f t="shared" si="256"/>
        <v>0</v>
      </c>
      <c r="BG764">
        <f t="shared" si="257"/>
        <v>0</v>
      </c>
      <c r="BH764">
        <f t="shared" si="258"/>
        <v>0</v>
      </c>
      <c r="BI764">
        <f t="shared" si="259"/>
        <v>0</v>
      </c>
      <c r="BJ764">
        <f t="shared" si="260"/>
        <v>0</v>
      </c>
      <c r="BK764">
        <f t="shared" si="261"/>
        <v>0</v>
      </c>
      <c r="BL764">
        <f t="shared" si="262"/>
        <v>0</v>
      </c>
      <c r="BM764">
        <f t="shared" si="263"/>
        <v>0</v>
      </c>
      <c r="BN764">
        <f t="shared" si="264"/>
        <v>0</v>
      </c>
      <c r="BO764">
        <f t="shared" si="265"/>
        <v>0</v>
      </c>
      <c r="BP764">
        <f t="shared" si="266"/>
        <v>0</v>
      </c>
      <c r="BQ764">
        <f t="shared" si="267"/>
        <v>0</v>
      </c>
      <c r="BR764">
        <f t="shared" si="268"/>
        <v>0</v>
      </c>
      <c r="BS764">
        <f t="shared" si="269"/>
        <v>0</v>
      </c>
      <c r="BT764">
        <f t="shared" si="270"/>
        <v>0</v>
      </c>
      <c r="BU764">
        <f t="shared" si="271"/>
        <v>0</v>
      </c>
      <c r="BV764">
        <f t="shared" si="272"/>
        <v>0</v>
      </c>
      <c r="BW764">
        <f t="shared" si="273"/>
        <v>0</v>
      </c>
      <c r="CA764" t="str">
        <f>IF(565&gt;ROWS(DGArchive[模组]),"",IF(INDEX(DGArchive[模组],565)="","",INDEX(DGArchive[模组],565)))</f>
        <v/>
      </c>
      <c r="CB764" t="str">
        <f>IF(565&gt;ROWS(DGArchive[阶段]),"",IF(INDEX(DGArchive[阶段],565)="","",INDEX(DGArchive[阶段],565)))</f>
        <v/>
      </c>
      <c r="CC764" t="str">
        <f>IF(565&gt;ROWS(DGArchive[游戏内日期]),"",IF(INDEX(DGArchive[游戏内日期],565)="","",INDEX(DGArchive[游戏内日期],565)))</f>
        <v/>
      </c>
      <c r="CD764" t="str">
        <f>IF(565&gt;ROWS(DGArchive[目标]),"",IF(INDEX(DGArchive[目标],565)="","",INDEX(DGArchive[目标],565)))</f>
        <v/>
      </c>
      <c r="CE764" t="str">
        <f>IF(565&gt;ROWS(DGArchive[变更前]),"",IF(INDEX(DGArchive[变更前],565)="","",INDEX(DGArchive[变更前],565)))</f>
        <v/>
      </c>
      <c r="CF764" t="str">
        <f>IF(565&gt;ROWS(DGArchive[增减]),"",IF(INDEX(DGArchive[增减],565)="","",INDEX(DGArchive[增减],565)))</f>
        <v/>
      </c>
      <c r="CG764" t="str">
        <f>IF(565&gt;ROWS(DGArchive[变更后]),"",IF(INDEX(DGArchive[变更后],565)="","",INDEX(DGArchive[变更后],565)))</f>
        <v/>
      </c>
      <c r="CH764" t="str">
        <f>IF(565&gt;ROWS(DGArchive[事件／活动]),"",IF(INDEX(DGArchive[事件／活动],565)="","",INDEX(DGArchive[事件／活动],565)))</f>
        <v/>
      </c>
      <c r="CI764" t="str">
        <f>IF(565&gt;ROWS(DGArchive[记录编号]),"",IF(INDEX(DGArchive[记录编号],565)="","",INDEX(DGArchive[记录编号],565)))</f>
        <v/>
      </c>
      <c r="CL764">
        <f t="shared" si="254"/>
        <v>0</v>
      </c>
      <c r="CM764">
        <f>IF(AND(A764=$AO$5,B764=$AQ$3,H764=1),COUNTIFS($A$200:A764,$AO$5,$B$200:B764,$AQ$3,$H$200:H764,1),0)</f>
        <v>0</v>
      </c>
      <c r="CN764">
        <f>IF(CA764="",565,1001)</f>
        <v>565</v>
      </c>
      <c r="GA764">
        <f t="shared" si="274"/>
        <v>0</v>
      </c>
      <c r="GB764">
        <f t="shared" si="275"/>
        <v>0</v>
      </c>
      <c r="GC764">
        <f>IF(AND(C764="事件记录",H764=1),COUNTIFS($C$200:C764,"事件记录",$H$200:H764,1),0)</f>
        <v>0</v>
      </c>
      <c r="GD764">
        <f t="shared" si="255"/>
        <v>0</v>
      </c>
      <c r="GH764">
        <f>IF(AND(H764=1,A764=$GA$10,B764=$GA$11),COUNTIFS($A$200:A764,$GA$10,$B$200:B764,$GA$11,$H$200:H764,1),0)</f>
        <v>0</v>
      </c>
    </row>
    <row r="765" spans="1:190">
      <c r="A765" t="str">
        <f t="shared" si="246"/>
        <v/>
      </c>
      <c r="B765" t="str">
        <f t="shared" si="247"/>
        <v/>
      </c>
      <c r="C765" t="str">
        <f t="shared" si="248"/>
        <v/>
      </c>
      <c r="D765" t="str">
        <f t="shared" si="249"/>
        <v/>
      </c>
      <c r="E765">
        <f t="shared" si="250"/>
        <v>0</v>
      </c>
      <c r="F765" t="str">
        <f t="shared" si="251"/>
        <v/>
      </c>
      <c r="G765">
        <f t="shared" si="252"/>
        <v>0</v>
      </c>
      <c r="H765">
        <f>IF(AND(G765=1,COUNTIFS($I$200:I765,I765,$G$200:G765,1)=1),1,0)</f>
        <v>0</v>
      </c>
      <c r="I765" t="str">
        <f t="shared" si="253"/>
        <v/>
      </c>
      <c r="BF765">
        <f t="shared" si="256"/>
        <v>0</v>
      </c>
      <c r="BG765">
        <f t="shared" si="257"/>
        <v>0</v>
      </c>
      <c r="BH765">
        <f t="shared" si="258"/>
        <v>0</v>
      </c>
      <c r="BI765">
        <f t="shared" si="259"/>
        <v>0</v>
      </c>
      <c r="BJ765">
        <f t="shared" si="260"/>
        <v>0</v>
      </c>
      <c r="BK765">
        <f t="shared" si="261"/>
        <v>0</v>
      </c>
      <c r="BL765">
        <f t="shared" si="262"/>
        <v>0</v>
      </c>
      <c r="BM765">
        <f t="shared" si="263"/>
        <v>0</v>
      </c>
      <c r="BN765">
        <f t="shared" si="264"/>
        <v>0</v>
      </c>
      <c r="BO765">
        <f t="shared" si="265"/>
        <v>0</v>
      </c>
      <c r="BP765">
        <f t="shared" si="266"/>
        <v>0</v>
      </c>
      <c r="BQ765">
        <f t="shared" si="267"/>
        <v>0</v>
      </c>
      <c r="BR765">
        <f t="shared" si="268"/>
        <v>0</v>
      </c>
      <c r="BS765">
        <f t="shared" si="269"/>
        <v>0</v>
      </c>
      <c r="BT765">
        <f t="shared" si="270"/>
        <v>0</v>
      </c>
      <c r="BU765">
        <f t="shared" si="271"/>
        <v>0</v>
      </c>
      <c r="BV765">
        <f t="shared" si="272"/>
        <v>0</v>
      </c>
      <c r="BW765">
        <f t="shared" si="273"/>
        <v>0</v>
      </c>
      <c r="CA765" t="str">
        <f>IF(566&gt;ROWS(DGArchive[模组]),"",IF(INDEX(DGArchive[模组],566)="","",INDEX(DGArchive[模组],566)))</f>
        <v/>
      </c>
      <c r="CB765" t="str">
        <f>IF(566&gt;ROWS(DGArchive[阶段]),"",IF(INDEX(DGArchive[阶段],566)="","",INDEX(DGArchive[阶段],566)))</f>
        <v/>
      </c>
      <c r="CC765" t="str">
        <f>IF(566&gt;ROWS(DGArchive[游戏内日期]),"",IF(INDEX(DGArchive[游戏内日期],566)="","",INDEX(DGArchive[游戏内日期],566)))</f>
        <v/>
      </c>
      <c r="CD765" t="str">
        <f>IF(566&gt;ROWS(DGArchive[目标]),"",IF(INDEX(DGArchive[目标],566)="","",INDEX(DGArchive[目标],566)))</f>
        <v/>
      </c>
      <c r="CE765" t="str">
        <f>IF(566&gt;ROWS(DGArchive[变更前]),"",IF(INDEX(DGArchive[变更前],566)="","",INDEX(DGArchive[变更前],566)))</f>
        <v/>
      </c>
      <c r="CF765" t="str">
        <f>IF(566&gt;ROWS(DGArchive[增减]),"",IF(INDEX(DGArchive[增减],566)="","",INDEX(DGArchive[增减],566)))</f>
        <v/>
      </c>
      <c r="CG765" t="str">
        <f>IF(566&gt;ROWS(DGArchive[变更后]),"",IF(INDEX(DGArchive[变更后],566)="","",INDEX(DGArchive[变更后],566)))</f>
        <v/>
      </c>
      <c r="CH765" t="str">
        <f>IF(566&gt;ROWS(DGArchive[事件／活动]),"",IF(INDEX(DGArchive[事件／活动],566)="","",INDEX(DGArchive[事件／活动],566)))</f>
        <v/>
      </c>
      <c r="CI765" t="str">
        <f>IF(566&gt;ROWS(DGArchive[记录编号]),"",IF(INDEX(DGArchive[记录编号],566)="","",INDEX(DGArchive[记录编号],566)))</f>
        <v/>
      </c>
      <c r="CL765">
        <f t="shared" si="254"/>
        <v>0</v>
      </c>
      <c r="CM765">
        <f>IF(AND(A765=$AO$5,B765=$AQ$3,H765=1),COUNTIFS($A$200:A765,$AO$5,$B$200:B765,$AQ$3,$H$200:H765,1),0)</f>
        <v>0</v>
      </c>
      <c r="CN765">
        <f>IF(CA765="",566,1001)</f>
        <v>566</v>
      </c>
      <c r="GA765">
        <f t="shared" si="274"/>
        <v>0</v>
      </c>
      <c r="GB765">
        <f t="shared" si="275"/>
        <v>0</v>
      </c>
      <c r="GC765">
        <f>IF(AND(C765="事件记录",H765=1),COUNTIFS($C$200:C765,"事件记录",$H$200:H765,1),0)</f>
        <v>0</v>
      </c>
      <c r="GD765">
        <f t="shared" si="255"/>
        <v>0</v>
      </c>
      <c r="GH765">
        <f>IF(AND(H765=1,A765=$GA$10,B765=$GA$11),COUNTIFS($A$200:A765,$GA$10,$B$200:B765,$GA$11,$H$200:H765,1),0)</f>
        <v>0</v>
      </c>
    </row>
    <row r="766" spans="1:190">
      <c r="A766" t="str">
        <f t="shared" si="246"/>
        <v/>
      </c>
      <c r="B766" t="str">
        <f t="shared" si="247"/>
        <v/>
      </c>
      <c r="C766" t="str">
        <f t="shared" si="248"/>
        <v/>
      </c>
      <c r="D766" t="str">
        <f t="shared" si="249"/>
        <v/>
      </c>
      <c r="E766">
        <f t="shared" si="250"/>
        <v>0</v>
      </c>
      <c r="F766" t="str">
        <f t="shared" si="251"/>
        <v/>
      </c>
      <c r="G766">
        <f t="shared" si="252"/>
        <v>0</v>
      </c>
      <c r="H766">
        <f>IF(AND(G766=1,COUNTIFS($I$200:I766,I766,$G$200:G766,1)=1),1,0)</f>
        <v>0</v>
      </c>
      <c r="I766" t="str">
        <f t="shared" si="253"/>
        <v/>
      </c>
      <c r="BF766">
        <f t="shared" si="256"/>
        <v>0</v>
      </c>
      <c r="BG766">
        <f t="shared" si="257"/>
        <v>0</v>
      </c>
      <c r="BH766">
        <f t="shared" si="258"/>
        <v>0</v>
      </c>
      <c r="BI766">
        <f t="shared" si="259"/>
        <v>0</v>
      </c>
      <c r="BJ766">
        <f t="shared" si="260"/>
        <v>0</v>
      </c>
      <c r="BK766">
        <f t="shared" si="261"/>
        <v>0</v>
      </c>
      <c r="BL766">
        <f t="shared" si="262"/>
        <v>0</v>
      </c>
      <c r="BM766">
        <f t="shared" si="263"/>
        <v>0</v>
      </c>
      <c r="BN766">
        <f t="shared" si="264"/>
        <v>0</v>
      </c>
      <c r="BO766">
        <f t="shared" si="265"/>
        <v>0</v>
      </c>
      <c r="BP766">
        <f t="shared" si="266"/>
        <v>0</v>
      </c>
      <c r="BQ766">
        <f t="shared" si="267"/>
        <v>0</v>
      </c>
      <c r="BR766">
        <f t="shared" si="268"/>
        <v>0</v>
      </c>
      <c r="BS766">
        <f t="shared" si="269"/>
        <v>0</v>
      </c>
      <c r="BT766">
        <f t="shared" si="270"/>
        <v>0</v>
      </c>
      <c r="BU766">
        <f t="shared" si="271"/>
        <v>0</v>
      </c>
      <c r="BV766">
        <f t="shared" si="272"/>
        <v>0</v>
      </c>
      <c r="BW766">
        <f t="shared" si="273"/>
        <v>0</v>
      </c>
      <c r="CA766" t="str">
        <f>IF(567&gt;ROWS(DGArchive[模组]),"",IF(INDEX(DGArchive[模组],567)="","",INDEX(DGArchive[模组],567)))</f>
        <v/>
      </c>
      <c r="CB766" t="str">
        <f>IF(567&gt;ROWS(DGArchive[阶段]),"",IF(INDEX(DGArchive[阶段],567)="","",INDEX(DGArchive[阶段],567)))</f>
        <v/>
      </c>
      <c r="CC766" t="str">
        <f>IF(567&gt;ROWS(DGArchive[游戏内日期]),"",IF(INDEX(DGArchive[游戏内日期],567)="","",INDEX(DGArchive[游戏内日期],567)))</f>
        <v/>
      </c>
      <c r="CD766" t="str">
        <f>IF(567&gt;ROWS(DGArchive[目标]),"",IF(INDEX(DGArchive[目标],567)="","",INDEX(DGArchive[目标],567)))</f>
        <v/>
      </c>
      <c r="CE766" t="str">
        <f>IF(567&gt;ROWS(DGArchive[变更前]),"",IF(INDEX(DGArchive[变更前],567)="","",INDEX(DGArchive[变更前],567)))</f>
        <v/>
      </c>
      <c r="CF766" t="str">
        <f>IF(567&gt;ROWS(DGArchive[增减]),"",IF(INDEX(DGArchive[增减],567)="","",INDEX(DGArchive[增减],567)))</f>
        <v/>
      </c>
      <c r="CG766" t="str">
        <f>IF(567&gt;ROWS(DGArchive[变更后]),"",IF(INDEX(DGArchive[变更后],567)="","",INDEX(DGArchive[变更后],567)))</f>
        <v/>
      </c>
      <c r="CH766" t="str">
        <f>IF(567&gt;ROWS(DGArchive[事件／活动]),"",IF(INDEX(DGArchive[事件／活动],567)="","",INDEX(DGArchive[事件／活动],567)))</f>
        <v/>
      </c>
      <c r="CI766" t="str">
        <f>IF(567&gt;ROWS(DGArchive[记录编号]),"",IF(INDEX(DGArchive[记录编号],567)="","",INDEX(DGArchive[记录编号],567)))</f>
        <v/>
      </c>
      <c r="CL766">
        <f t="shared" si="254"/>
        <v>0</v>
      </c>
      <c r="CM766">
        <f>IF(AND(A766=$AO$5,B766=$AQ$3,H766=1),COUNTIFS($A$200:A766,$AO$5,$B$200:B766,$AQ$3,$H$200:H766,1),0)</f>
        <v>0</v>
      </c>
      <c r="CN766">
        <f>IF(CA766="",567,1001)</f>
        <v>567</v>
      </c>
      <c r="GA766">
        <f t="shared" si="274"/>
        <v>0</v>
      </c>
      <c r="GB766">
        <f t="shared" si="275"/>
        <v>0</v>
      </c>
      <c r="GC766">
        <f>IF(AND(C766="事件记录",H766=1),COUNTIFS($C$200:C766,"事件记录",$H$200:H766,1),0)</f>
        <v>0</v>
      </c>
      <c r="GD766">
        <f t="shared" si="255"/>
        <v>0</v>
      </c>
      <c r="GH766">
        <f>IF(AND(H766=1,A766=$GA$10,B766=$GA$11),COUNTIFS($A$200:A766,$GA$10,$B$200:B766,$GA$11,$H$200:H766,1),0)</f>
        <v>0</v>
      </c>
    </row>
    <row r="767" spans="1:190">
      <c r="A767" t="str">
        <f t="shared" si="246"/>
        <v/>
      </c>
      <c r="B767" t="str">
        <f t="shared" si="247"/>
        <v/>
      </c>
      <c r="C767" t="str">
        <f t="shared" si="248"/>
        <v/>
      </c>
      <c r="D767" t="str">
        <f t="shared" si="249"/>
        <v/>
      </c>
      <c r="E767">
        <f t="shared" si="250"/>
        <v>0</v>
      </c>
      <c r="F767" t="str">
        <f t="shared" si="251"/>
        <v/>
      </c>
      <c r="G767">
        <f t="shared" si="252"/>
        <v>0</v>
      </c>
      <c r="H767">
        <f>IF(AND(G767=1,COUNTIFS($I$200:I767,I767,$G$200:G767,1)=1),1,0)</f>
        <v>0</v>
      </c>
      <c r="I767" t="str">
        <f t="shared" si="253"/>
        <v/>
      </c>
      <c r="BF767">
        <f t="shared" si="256"/>
        <v>0</v>
      </c>
      <c r="BG767">
        <f t="shared" si="257"/>
        <v>0</v>
      </c>
      <c r="BH767">
        <f t="shared" si="258"/>
        <v>0</v>
      </c>
      <c r="BI767">
        <f t="shared" si="259"/>
        <v>0</v>
      </c>
      <c r="BJ767">
        <f t="shared" si="260"/>
        <v>0</v>
      </c>
      <c r="BK767">
        <f t="shared" si="261"/>
        <v>0</v>
      </c>
      <c r="BL767">
        <f t="shared" si="262"/>
        <v>0</v>
      </c>
      <c r="BM767">
        <f t="shared" si="263"/>
        <v>0</v>
      </c>
      <c r="BN767">
        <f t="shared" si="264"/>
        <v>0</v>
      </c>
      <c r="BO767">
        <f t="shared" si="265"/>
        <v>0</v>
      </c>
      <c r="BP767">
        <f t="shared" si="266"/>
        <v>0</v>
      </c>
      <c r="BQ767">
        <f t="shared" si="267"/>
        <v>0</v>
      </c>
      <c r="BR767">
        <f t="shared" si="268"/>
        <v>0</v>
      </c>
      <c r="BS767">
        <f t="shared" si="269"/>
        <v>0</v>
      </c>
      <c r="BT767">
        <f t="shared" si="270"/>
        <v>0</v>
      </c>
      <c r="BU767">
        <f t="shared" si="271"/>
        <v>0</v>
      </c>
      <c r="BV767">
        <f t="shared" si="272"/>
        <v>0</v>
      </c>
      <c r="BW767">
        <f t="shared" si="273"/>
        <v>0</v>
      </c>
      <c r="CA767" t="str">
        <f>IF(568&gt;ROWS(DGArchive[模组]),"",IF(INDEX(DGArchive[模组],568)="","",INDEX(DGArchive[模组],568)))</f>
        <v/>
      </c>
      <c r="CB767" t="str">
        <f>IF(568&gt;ROWS(DGArchive[阶段]),"",IF(INDEX(DGArchive[阶段],568)="","",INDEX(DGArchive[阶段],568)))</f>
        <v/>
      </c>
      <c r="CC767" t="str">
        <f>IF(568&gt;ROWS(DGArchive[游戏内日期]),"",IF(INDEX(DGArchive[游戏内日期],568)="","",INDEX(DGArchive[游戏内日期],568)))</f>
        <v/>
      </c>
      <c r="CD767" t="str">
        <f>IF(568&gt;ROWS(DGArchive[目标]),"",IF(INDEX(DGArchive[目标],568)="","",INDEX(DGArchive[目标],568)))</f>
        <v/>
      </c>
      <c r="CE767" t="str">
        <f>IF(568&gt;ROWS(DGArchive[变更前]),"",IF(INDEX(DGArchive[变更前],568)="","",INDEX(DGArchive[变更前],568)))</f>
        <v/>
      </c>
      <c r="CF767" t="str">
        <f>IF(568&gt;ROWS(DGArchive[增减]),"",IF(INDEX(DGArchive[增减],568)="","",INDEX(DGArchive[增减],568)))</f>
        <v/>
      </c>
      <c r="CG767" t="str">
        <f>IF(568&gt;ROWS(DGArchive[变更后]),"",IF(INDEX(DGArchive[变更后],568)="","",INDEX(DGArchive[变更后],568)))</f>
        <v/>
      </c>
      <c r="CH767" t="str">
        <f>IF(568&gt;ROWS(DGArchive[事件／活动]),"",IF(INDEX(DGArchive[事件／活动],568)="","",INDEX(DGArchive[事件／活动],568)))</f>
        <v/>
      </c>
      <c r="CI767" t="str">
        <f>IF(568&gt;ROWS(DGArchive[记录编号]),"",IF(INDEX(DGArchive[记录编号],568)="","",INDEX(DGArchive[记录编号],568)))</f>
        <v/>
      </c>
      <c r="CL767">
        <f t="shared" si="254"/>
        <v>0</v>
      </c>
      <c r="CM767">
        <f>IF(AND(A767=$AO$5,B767=$AQ$3,H767=1),COUNTIFS($A$200:A767,$AO$5,$B$200:B767,$AQ$3,$H$200:H767,1),0)</f>
        <v>0</v>
      </c>
      <c r="CN767">
        <f>IF(CA767="",568,1001)</f>
        <v>568</v>
      </c>
      <c r="GA767">
        <f t="shared" si="274"/>
        <v>0</v>
      </c>
      <c r="GB767">
        <f t="shared" si="275"/>
        <v>0</v>
      </c>
      <c r="GC767">
        <f>IF(AND(C767="事件记录",H767=1),COUNTIFS($C$200:C767,"事件记录",$H$200:H767,1),0)</f>
        <v>0</v>
      </c>
      <c r="GD767">
        <f t="shared" si="255"/>
        <v>0</v>
      </c>
      <c r="GH767">
        <f>IF(AND(H767=1,A767=$GA$10,B767=$GA$11),COUNTIFS($A$200:A767,$GA$10,$B$200:B767,$GA$11,$H$200:H767,1),0)</f>
        <v>0</v>
      </c>
    </row>
    <row r="768" spans="1:190">
      <c r="A768" t="str">
        <f t="shared" si="246"/>
        <v/>
      </c>
      <c r="B768" t="str">
        <f t="shared" si="247"/>
        <v/>
      </c>
      <c r="C768" t="str">
        <f t="shared" si="248"/>
        <v/>
      </c>
      <c r="D768" t="str">
        <f t="shared" si="249"/>
        <v/>
      </c>
      <c r="E768">
        <f t="shared" si="250"/>
        <v>0</v>
      </c>
      <c r="F768" t="str">
        <f t="shared" si="251"/>
        <v/>
      </c>
      <c r="G768">
        <f t="shared" si="252"/>
        <v>0</v>
      </c>
      <c r="H768">
        <f>IF(AND(G768=1,COUNTIFS($I$200:I768,I768,$G$200:G768,1)=1),1,0)</f>
        <v>0</v>
      </c>
      <c r="I768" t="str">
        <f t="shared" si="253"/>
        <v/>
      </c>
      <c r="BF768">
        <f t="shared" si="256"/>
        <v>0</v>
      </c>
      <c r="BG768">
        <f t="shared" si="257"/>
        <v>0</v>
      </c>
      <c r="BH768">
        <f t="shared" si="258"/>
        <v>0</v>
      </c>
      <c r="BI768">
        <f t="shared" si="259"/>
        <v>0</v>
      </c>
      <c r="BJ768">
        <f t="shared" si="260"/>
        <v>0</v>
      </c>
      <c r="BK768">
        <f t="shared" si="261"/>
        <v>0</v>
      </c>
      <c r="BL768">
        <f t="shared" si="262"/>
        <v>0</v>
      </c>
      <c r="BM768">
        <f t="shared" si="263"/>
        <v>0</v>
      </c>
      <c r="BN768">
        <f t="shared" si="264"/>
        <v>0</v>
      </c>
      <c r="BO768">
        <f t="shared" si="265"/>
        <v>0</v>
      </c>
      <c r="BP768">
        <f t="shared" si="266"/>
        <v>0</v>
      </c>
      <c r="BQ768">
        <f t="shared" si="267"/>
        <v>0</v>
      </c>
      <c r="BR768">
        <f t="shared" si="268"/>
        <v>0</v>
      </c>
      <c r="BS768">
        <f t="shared" si="269"/>
        <v>0</v>
      </c>
      <c r="BT768">
        <f t="shared" si="270"/>
        <v>0</v>
      </c>
      <c r="BU768">
        <f t="shared" si="271"/>
        <v>0</v>
      </c>
      <c r="BV768">
        <f t="shared" si="272"/>
        <v>0</v>
      </c>
      <c r="BW768">
        <f t="shared" si="273"/>
        <v>0</v>
      </c>
      <c r="CA768" t="str">
        <f>IF(569&gt;ROWS(DGArchive[模组]),"",IF(INDEX(DGArchive[模组],569)="","",INDEX(DGArchive[模组],569)))</f>
        <v/>
      </c>
      <c r="CB768" t="str">
        <f>IF(569&gt;ROWS(DGArchive[阶段]),"",IF(INDEX(DGArchive[阶段],569)="","",INDEX(DGArchive[阶段],569)))</f>
        <v/>
      </c>
      <c r="CC768" t="str">
        <f>IF(569&gt;ROWS(DGArchive[游戏内日期]),"",IF(INDEX(DGArchive[游戏内日期],569)="","",INDEX(DGArchive[游戏内日期],569)))</f>
        <v/>
      </c>
      <c r="CD768" t="str">
        <f>IF(569&gt;ROWS(DGArchive[目标]),"",IF(INDEX(DGArchive[目标],569)="","",INDEX(DGArchive[目标],569)))</f>
        <v/>
      </c>
      <c r="CE768" t="str">
        <f>IF(569&gt;ROWS(DGArchive[变更前]),"",IF(INDEX(DGArchive[变更前],569)="","",INDEX(DGArchive[变更前],569)))</f>
        <v/>
      </c>
      <c r="CF768" t="str">
        <f>IF(569&gt;ROWS(DGArchive[增减]),"",IF(INDEX(DGArchive[增减],569)="","",INDEX(DGArchive[增减],569)))</f>
        <v/>
      </c>
      <c r="CG768" t="str">
        <f>IF(569&gt;ROWS(DGArchive[变更后]),"",IF(INDEX(DGArchive[变更后],569)="","",INDEX(DGArchive[变更后],569)))</f>
        <v/>
      </c>
      <c r="CH768" t="str">
        <f>IF(569&gt;ROWS(DGArchive[事件／活动]),"",IF(INDEX(DGArchive[事件／活动],569)="","",INDEX(DGArchive[事件／活动],569)))</f>
        <v/>
      </c>
      <c r="CI768" t="str">
        <f>IF(569&gt;ROWS(DGArchive[记录编号]),"",IF(INDEX(DGArchive[记录编号],569)="","",INDEX(DGArchive[记录编号],569)))</f>
        <v/>
      </c>
      <c r="CL768">
        <f t="shared" si="254"/>
        <v>0</v>
      </c>
      <c r="CM768">
        <f>IF(AND(A768=$AO$5,B768=$AQ$3,H768=1),COUNTIFS($A$200:A768,$AO$5,$B$200:B768,$AQ$3,$H$200:H768,1),0)</f>
        <v>0</v>
      </c>
      <c r="CN768">
        <f>IF(CA768="",569,1001)</f>
        <v>569</v>
      </c>
      <c r="GA768">
        <f t="shared" si="274"/>
        <v>0</v>
      </c>
      <c r="GB768">
        <f t="shared" si="275"/>
        <v>0</v>
      </c>
      <c r="GC768">
        <f>IF(AND(C768="事件记录",H768=1),COUNTIFS($C$200:C768,"事件记录",$H$200:H768,1),0)</f>
        <v>0</v>
      </c>
      <c r="GD768">
        <f t="shared" si="255"/>
        <v>0</v>
      </c>
      <c r="GH768">
        <f>IF(AND(H768=1,A768=$GA$10,B768=$GA$11),COUNTIFS($A$200:A768,$GA$10,$B$200:B768,$GA$11,$H$200:H768,1),0)</f>
        <v>0</v>
      </c>
    </row>
    <row r="769" spans="1:190">
      <c r="A769" t="str">
        <f t="shared" si="246"/>
        <v/>
      </c>
      <c r="B769" t="str">
        <f t="shared" si="247"/>
        <v/>
      </c>
      <c r="C769" t="str">
        <f t="shared" si="248"/>
        <v/>
      </c>
      <c r="D769" t="str">
        <f t="shared" si="249"/>
        <v/>
      </c>
      <c r="E769">
        <f t="shared" si="250"/>
        <v>0</v>
      </c>
      <c r="F769" t="str">
        <f t="shared" si="251"/>
        <v/>
      </c>
      <c r="G769">
        <f t="shared" si="252"/>
        <v>0</v>
      </c>
      <c r="H769">
        <f>IF(AND(G769=1,COUNTIFS($I$200:I769,I769,$G$200:G769,1)=1),1,0)</f>
        <v>0</v>
      </c>
      <c r="I769" t="str">
        <f t="shared" si="253"/>
        <v/>
      </c>
      <c r="BF769">
        <f t="shared" si="256"/>
        <v>0</v>
      </c>
      <c r="BG769">
        <f t="shared" si="257"/>
        <v>0</v>
      </c>
      <c r="BH769">
        <f t="shared" si="258"/>
        <v>0</v>
      </c>
      <c r="BI769">
        <f t="shared" si="259"/>
        <v>0</v>
      </c>
      <c r="BJ769">
        <f t="shared" si="260"/>
        <v>0</v>
      </c>
      <c r="BK769">
        <f t="shared" si="261"/>
        <v>0</v>
      </c>
      <c r="BL769">
        <f t="shared" si="262"/>
        <v>0</v>
      </c>
      <c r="BM769">
        <f t="shared" si="263"/>
        <v>0</v>
      </c>
      <c r="BN769">
        <f t="shared" si="264"/>
        <v>0</v>
      </c>
      <c r="BO769">
        <f t="shared" si="265"/>
        <v>0</v>
      </c>
      <c r="BP769">
        <f t="shared" si="266"/>
        <v>0</v>
      </c>
      <c r="BQ769">
        <f t="shared" si="267"/>
        <v>0</v>
      </c>
      <c r="BR769">
        <f t="shared" si="268"/>
        <v>0</v>
      </c>
      <c r="BS769">
        <f t="shared" si="269"/>
        <v>0</v>
      </c>
      <c r="BT769">
        <f t="shared" si="270"/>
        <v>0</v>
      </c>
      <c r="BU769">
        <f t="shared" si="271"/>
        <v>0</v>
      </c>
      <c r="BV769">
        <f t="shared" si="272"/>
        <v>0</v>
      </c>
      <c r="BW769">
        <f t="shared" si="273"/>
        <v>0</v>
      </c>
      <c r="CA769" t="str">
        <f>IF(570&gt;ROWS(DGArchive[模组]),"",IF(INDEX(DGArchive[模组],570)="","",INDEX(DGArchive[模组],570)))</f>
        <v/>
      </c>
      <c r="CB769" t="str">
        <f>IF(570&gt;ROWS(DGArchive[阶段]),"",IF(INDEX(DGArchive[阶段],570)="","",INDEX(DGArchive[阶段],570)))</f>
        <v/>
      </c>
      <c r="CC769" t="str">
        <f>IF(570&gt;ROWS(DGArchive[游戏内日期]),"",IF(INDEX(DGArchive[游戏内日期],570)="","",INDEX(DGArchive[游戏内日期],570)))</f>
        <v/>
      </c>
      <c r="CD769" t="str">
        <f>IF(570&gt;ROWS(DGArchive[目标]),"",IF(INDEX(DGArchive[目标],570)="","",INDEX(DGArchive[目标],570)))</f>
        <v/>
      </c>
      <c r="CE769" t="str">
        <f>IF(570&gt;ROWS(DGArchive[变更前]),"",IF(INDEX(DGArchive[变更前],570)="","",INDEX(DGArchive[变更前],570)))</f>
        <v/>
      </c>
      <c r="CF769" t="str">
        <f>IF(570&gt;ROWS(DGArchive[增减]),"",IF(INDEX(DGArchive[增减],570)="","",INDEX(DGArchive[增减],570)))</f>
        <v/>
      </c>
      <c r="CG769" t="str">
        <f>IF(570&gt;ROWS(DGArchive[变更后]),"",IF(INDEX(DGArchive[变更后],570)="","",INDEX(DGArchive[变更后],570)))</f>
        <v/>
      </c>
      <c r="CH769" t="str">
        <f>IF(570&gt;ROWS(DGArchive[事件／活动]),"",IF(INDEX(DGArchive[事件／活动],570)="","",INDEX(DGArchive[事件／活动],570)))</f>
        <v/>
      </c>
      <c r="CI769" t="str">
        <f>IF(570&gt;ROWS(DGArchive[记录编号]),"",IF(INDEX(DGArchive[记录编号],570)="","",INDEX(DGArchive[记录编号],570)))</f>
        <v/>
      </c>
      <c r="CL769">
        <f t="shared" si="254"/>
        <v>0</v>
      </c>
      <c r="CM769">
        <f>IF(AND(A769=$AO$5,B769=$AQ$3,H769=1),COUNTIFS($A$200:A769,$AO$5,$B$200:B769,$AQ$3,$H$200:H769,1),0)</f>
        <v>0</v>
      </c>
      <c r="CN769">
        <f>IF(CA769="",570,1001)</f>
        <v>570</v>
      </c>
      <c r="GA769">
        <f t="shared" si="274"/>
        <v>0</v>
      </c>
      <c r="GB769">
        <f t="shared" si="275"/>
        <v>0</v>
      </c>
      <c r="GC769">
        <f>IF(AND(C769="事件记录",H769=1),COUNTIFS($C$200:C769,"事件记录",$H$200:H769,1),0)</f>
        <v>0</v>
      </c>
      <c r="GD769">
        <f t="shared" si="255"/>
        <v>0</v>
      </c>
      <c r="GH769">
        <f>IF(AND(H769=1,A769=$GA$10,B769=$GA$11),COUNTIFS($A$200:A769,$GA$10,$B$200:B769,$GA$11,$H$200:H769,1),0)</f>
        <v>0</v>
      </c>
    </row>
    <row r="770" spans="1:190">
      <c r="A770" t="str">
        <f t="shared" si="246"/>
        <v/>
      </c>
      <c r="B770" t="str">
        <f t="shared" si="247"/>
        <v/>
      </c>
      <c r="C770" t="str">
        <f t="shared" si="248"/>
        <v/>
      </c>
      <c r="D770" t="str">
        <f t="shared" si="249"/>
        <v/>
      </c>
      <c r="E770">
        <f t="shared" si="250"/>
        <v>0</v>
      </c>
      <c r="F770" t="str">
        <f t="shared" si="251"/>
        <v/>
      </c>
      <c r="G770">
        <f t="shared" si="252"/>
        <v>0</v>
      </c>
      <c r="H770">
        <f>IF(AND(G770=1,COUNTIFS($I$200:I770,I770,$G$200:G770,1)=1),1,0)</f>
        <v>0</v>
      </c>
      <c r="I770" t="str">
        <f t="shared" si="253"/>
        <v/>
      </c>
      <c r="BF770">
        <f t="shared" si="256"/>
        <v>0</v>
      </c>
      <c r="BG770">
        <f t="shared" si="257"/>
        <v>0</v>
      </c>
      <c r="BH770">
        <f t="shared" si="258"/>
        <v>0</v>
      </c>
      <c r="BI770">
        <f t="shared" si="259"/>
        <v>0</v>
      </c>
      <c r="BJ770">
        <f t="shared" si="260"/>
        <v>0</v>
      </c>
      <c r="BK770">
        <f t="shared" si="261"/>
        <v>0</v>
      </c>
      <c r="BL770">
        <f t="shared" si="262"/>
        <v>0</v>
      </c>
      <c r="BM770">
        <f t="shared" si="263"/>
        <v>0</v>
      </c>
      <c r="BN770">
        <f t="shared" si="264"/>
        <v>0</v>
      </c>
      <c r="BO770">
        <f t="shared" si="265"/>
        <v>0</v>
      </c>
      <c r="BP770">
        <f t="shared" si="266"/>
        <v>0</v>
      </c>
      <c r="BQ770">
        <f t="shared" si="267"/>
        <v>0</v>
      </c>
      <c r="BR770">
        <f t="shared" si="268"/>
        <v>0</v>
      </c>
      <c r="BS770">
        <f t="shared" si="269"/>
        <v>0</v>
      </c>
      <c r="BT770">
        <f t="shared" si="270"/>
        <v>0</v>
      </c>
      <c r="BU770">
        <f t="shared" si="271"/>
        <v>0</v>
      </c>
      <c r="BV770">
        <f t="shared" si="272"/>
        <v>0</v>
      </c>
      <c r="BW770">
        <f t="shared" si="273"/>
        <v>0</v>
      </c>
      <c r="CA770" t="str">
        <f>IF(571&gt;ROWS(DGArchive[模组]),"",IF(INDEX(DGArchive[模组],571)="","",INDEX(DGArchive[模组],571)))</f>
        <v/>
      </c>
      <c r="CB770" t="str">
        <f>IF(571&gt;ROWS(DGArchive[阶段]),"",IF(INDEX(DGArchive[阶段],571)="","",INDEX(DGArchive[阶段],571)))</f>
        <v/>
      </c>
      <c r="CC770" t="str">
        <f>IF(571&gt;ROWS(DGArchive[游戏内日期]),"",IF(INDEX(DGArchive[游戏内日期],571)="","",INDEX(DGArchive[游戏内日期],571)))</f>
        <v/>
      </c>
      <c r="CD770" t="str">
        <f>IF(571&gt;ROWS(DGArchive[目标]),"",IF(INDEX(DGArchive[目标],571)="","",INDEX(DGArchive[目标],571)))</f>
        <v/>
      </c>
      <c r="CE770" t="str">
        <f>IF(571&gt;ROWS(DGArchive[变更前]),"",IF(INDEX(DGArchive[变更前],571)="","",INDEX(DGArchive[变更前],571)))</f>
        <v/>
      </c>
      <c r="CF770" t="str">
        <f>IF(571&gt;ROWS(DGArchive[增减]),"",IF(INDEX(DGArchive[增减],571)="","",INDEX(DGArchive[增减],571)))</f>
        <v/>
      </c>
      <c r="CG770" t="str">
        <f>IF(571&gt;ROWS(DGArchive[变更后]),"",IF(INDEX(DGArchive[变更后],571)="","",INDEX(DGArchive[变更后],571)))</f>
        <v/>
      </c>
      <c r="CH770" t="str">
        <f>IF(571&gt;ROWS(DGArchive[事件／活动]),"",IF(INDEX(DGArchive[事件／活动],571)="","",INDEX(DGArchive[事件／活动],571)))</f>
        <v/>
      </c>
      <c r="CI770" t="str">
        <f>IF(571&gt;ROWS(DGArchive[记录编号]),"",IF(INDEX(DGArchive[记录编号],571)="","",INDEX(DGArchive[记录编号],571)))</f>
        <v/>
      </c>
      <c r="CL770">
        <f t="shared" si="254"/>
        <v>0</v>
      </c>
      <c r="CM770">
        <f>IF(AND(A770=$AO$5,B770=$AQ$3,H770=1),COUNTIFS($A$200:A770,$AO$5,$B$200:B770,$AQ$3,$H$200:H770,1),0)</f>
        <v>0</v>
      </c>
      <c r="CN770">
        <f>IF(CA770="",571,1001)</f>
        <v>571</v>
      </c>
      <c r="GA770">
        <f t="shared" si="274"/>
        <v>0</v>
      </c>
      <c r="GB770">
        <f t="shared" si="275"/>
        <v>0</v>
      </c>
      <c r="GC770">
        <f>IF(AND(C770="事件记录",H770=1),COUNTIFS($C$200:C770,"事件记录",$H$200:H770,1),0)</f>
        <v>0</v>
      </c>
      <c r="GD770">
        <f t="shared" si="255"/>
        <v>0</v>
      </c>
      <c r="GH770">
        <f>IF(AND(H770=1,A770=$GA$10,B770=$GA$11),COUNTIFS($A$200:A770,$GA$10,$B$200:B770,$GA$11,$H$200:H770,1),0)</f>
        <v>0</v>
      </c>
    </row>
    <row r="771" spans="1:190">
      <c r="A771" t="str">
        <f t="shared" si="246"/>
        <v/>
      </c>
      <c r="B771" t="str">
        <f t="shared" si="247"/>
        <v/>
      </c>
      <c r="C771" t="str">
        <f t="shared" si="248"/>
        <v/>
      </c>
      <c r="D771" t="str">
        <f t="shared" si="249"/>
        <v/>
      </c>
      <c r="E771">
        <f t="shared" si="250"/>
        <v>0</v>
      </c>
      <c r="F771" t="str">
        <f t="shared" si="251"/>
        <v/>
      </c>
      <c r="G771">
        <f t="shared" si="252"/>
        <v>0</v>
      </c>
      <c r="H771">
        <f>IF(AND(G771=1,COUNTIFS($I$200:I771,I771,$G$200:G771,1)=1),1,0)</f>
        <v>0</v>
      </c>
      <c r="I771" t="str">
        <f t="shared" si="253"/>
        <v/>
      </c>
      <c r="BF771">
        <f t="shared" si="256"/>
        <v>0</v>
      </c>
      <c r="BG771">
        <f t="shared" si="257"/>
        <v>0</v>
      </c>
      <c r="BH771">
        <f t="shared" si="258"/>
        <v>0</v>
      </c>
      <c r="BI771">
        <f t="shared" si="259"/>
        <v>0</v>
      </c>
      <c r="BJ771">
        <f t="shared" si="260"/>
        <v>0</v>
      </c>
      <c r="BK771">
        <f t="shared" si="261"/>
        <v>0</v>
      </c>
      <c r="BL771">
        <f t="shared" si="262"/>
        <v>0</v>
      </c>
      <c r="BM771">
        <f t="shared" si="263"/>
        <v>0</v>
      </c>
      <c r="BN771">
        <f t="shared" si="264"/>
        <v>0</v>
      </c>
      <c r="BO771">
        <f t="shared" si="265"/>
        <v>0</v>
      </c>
      <c r="BP771">
        <f t="shared" si="266"/>
        <v>0</v>
      </c>
      <c r="BQ771">
        <f t="shared" si="267"/>
        <v>0</v>
      </c>
      <c r="BR771">
        <f t="shared" si="268"/>
        <v>0</v>
      </c>
      <c r="BS771">
        <f t="shared" si="269"/>
        <v>0</v>
      </c>
      <c r="BT771">
        <f t="shared" si="270"/>
        <v>0</v>
      </c>
      <c r="BU771">
        <f t="shared" si="271"/>
        <v>0</v>
      </c>
      <c r="BV771">
        <f t="shared" si="272"/>
        <v>0</v>
      </c>
      <c r="BW771">
        <f t="shared" si="273"/>
        <v>0</v>
      </c>
      <c r="CA771" t="str">
        <f>IF(572&gt;ROWS(DGArchive[模组]),"",IF(INDEX(DGArchive[模组],572)="","",INDEX(DGArchive[模组],572)))</f>
        <v/>
      </c>
      <c r="CB771" t="str">
        <f>IF(572&gt;ROWS(DGArchive[阶段]),"",IF(INDEX(DGArchive[阶段],572)="","",INDEX(DGArchive[阶段],572)))</f>
        <v/>
      </c>
      <c r="CC771" t="str">
        <f>IF(572&gt;ROWS(DGArchive[游戏内日期]),"",IF(INDEX(DGArchive[游戏内日期],572)="","",INDEX(DGArchive[游戏内日期],572)))</f>
        <v/>
      </c>
      <c r="CD771" t="str">
        <f>IF(572&gt;ROWS(DGArchive[目标]),"",IF(INDEX(DGArchive[目标],572)="","",INDEX(DGArchive[目标],572)))</f>
        <v/>
      </c>
      <c r="CE771" t="str">
        <f>IF(572&gt;ROWS(DGArchive[变更前]),"",IF(INDEX(DGArchive[变更前],572)="","",INDEX(DGArchive[变更前],572)))</f>
        <v/>
      </c>
      <c r="CF771" t="str">
        <f>IF(572&gt;ROWS(DGArchive[增减]),"",IF(INDEX(DGArchive[增减],572)="","",INDEX(DGArchive[增减],572)))</f>
        <v/>
      </c>
      <c r="CG771" t="str">
        <f>IF(572&gt;ROWS(DGArchive[变更后]),"",IF(INDEX(DGArchive[变更后],572)="","",INDEX(DGArchive[变更后],572)))</f>
        <v/>
      </c>
      <c r="CH771" t="str">
        <f>IF(572&gt;ROWS(DGArchive[事件／活动]),"",IF(INDEX(DGArchive[事件／活动],572)="","",INDEX(DGArchive[事件／活动],572)))</f>
        <v/>
      </c>
      <c r="CI771" t="str">
        <f>IF(572&gt;ROWS(DGArchive[记录编号]),"",IF(INDEX(DGArchive[记录编号],572)="","",INDEX(DGArchive[记录编号],572)))</f>
        <v/>
      </c>
      <c r="CL771">
        <f t="shared" si="254"/>
        <v>0</v>
      </c>
      <c r="CM771">
        <f>IF(AND(A771=$AO$5,B771=$AQ$3,H771=1),COUNTIFS($A$200:A771,$AO$5,$B$200:B771,$AQ$3,$H$200:H771,1),0)</f>
        <v>0</v>
      </c>
      <c r="CN771">
        <f>IF(CA771="",572,1001)</f>
        <v>572</v>
      </c>
      <c r="GA771">
        <f t="shared" si="274"/>
        <v>0</v>
      </c>
      <c r="GB771">
        <f t="shared" si="275"/>
        <v>0</v>
      </c>
      <c r="GC771">
        <f>IF(AND(C771="事件记录",H771=1),COUNTIFS($C$200:C771,"事件记录",$H$200:H771,1),0)</f>
        <v>0</v>
      </c>
      <c r="GD771">
        <f t="shared" si="255"/>
        <v>0</v>
      </c>
      <c r="GH771">
        <f>IF(AND(H771=1,A771=$GA$10,B771=$GA$11),COUNTIFS($A$200:A771,$GA$10,$B$200:B771,$GA$11,$H$200:H771,1),0)</f>
        <v>0</v>
      </c>
    </row>
    <row r="772" spans="1:190">
      <c r="A772" t="str">
        <f t="shared" si="246"/>
        <v/>
      </c>
      <c r="B772" t="str">
        <f t="shared" si="247"/>
        <v/>
      </c>
      <c r="C772" t="str">
        <f t="shared" si="248"/>
        <v/>
      </c>
      <c r="D772" t="str">
        <f t="shared" si="249"/>
        <v/>
      </c>
      <c r="E772">
        <f t="shared" si="250"/>
        <v>0</v>
      </c>
      <c r="F772" t="str">
        <f t="shared" si="251"/>
        <v/>
      </c>
      <c r="G772">
        <f t="shared" si="252"/>
        <v>0</v>
      </c>
      <c r="H772">
        <f>IF(AND(G772=1,COUNTIFS($I$200:I772,I772,$G$200:G772,1)=1),1,0)</f>
        <v>0</v>
      </c>
      <c r="I772" t="str">
        <f t="shared" si="253"/>
        <v/>
      </c>
      <c r="BF772">
        <f t="shared" si="256"/>
        <v>0</v>
      </c>
      <c r="BG772">
        <f t="shared" si="257"/>
        <v>0</v>
      </c>
      <c r="BH772">
        <f t="shared" si="258"/>
        <v>0</v>
      </c>
      <c r="BI772">
        <f t="shared" si="259"/>
        <v>0</v>
      </c>
      <c r="BJ772">
        <f t="shared" si="260"/>
        <v>0</v>
      </c>
      <c r="BK772">
        <f t="shared" si="261"/>
        <v>0</v>
      </c>
      <c r="BL772">
        <f t="shared" si="262"/>
        <v>0</v>
      </c>
      <c r="BM772">
        <f t="shared" si="263"/>
        <v>0</v>
      </c>
      <c r="BN772">
        <f t="shared" si="264"/>
        <v>0</v>
      </c>
      <c r="BO772">
        <f t="shared" si="265"/>
        <v>0</v>
      </c>
      <c r="BP772">
        <f t="shared" si="266"/>
        <v>0</v>
      </c>
      <c r="BQ772">
        <f t="shared" si="267"/>
        <v>0</v>
      </c>
      <c r="BR772">
        <f t="shared" si="268"/>
        <v>0</v>
      </c>
      <c r="BS772">
        <f t="shared" si="269"/>
        <v>0</v>
      </c>
      <c r="BT772">
        <f t="shared" si="270"/>
        <v>0</v>
      </c>
      <c r="BU772">
        <f t="shared" si="271"/>
        <v>0</v>
      </c>
      <c r="BV772">
        <f t="shared" si="272"/>
        <v>0</v>
      </c>
      <c r="BW772">
        <f t="shared" si="273"/>
        <v>0</v>
      </c>
      <c r="CA772" t="str">
        <f>IF(573&gt;ROWS(DGArchive[模组]),"",IF(INDEX(DGArchive[模组],573)="","",INDEX(DGArchive[模组],573)))</f>
        <v/>
      </c>
      <c r="CB772" t="str">
        <f>IF(573&gt;ROWS(DGArchive[阶段]),"",IF(INDEX(DGArchive[阶段],573)="","",INDEX(DGArchive[阶段],573)))</f>
        <v/>
      </c>
      <c r="CC772" t="str">
        <f>IF(573&gt;ROWS(DGArchive[游戏内日期]),"",IF(INDEX(DGArchive[游戏内日期],573)="","",INDEX(DGArchive[游戏内日期],573)))</f>
        <v/>
      </c>
      <c r="CD772" t="str">
        <f>IF(573&gt;ROWS(DGArchive[目标]),"",IF(INDEX(DGArchive[目标],573)="","",INDEX(DGArchive[目标],573)))</f>
        <v/>
      </c>
      <c r="CE772" t="str">
        <f>IF(573&gt;ROWS(DGArchive[变更前]),"",IF(INDEX(DGArchive[变更前],573)="","",INDEX(DGArchive[变更前],573)))</f>
        <v/>
      </c>
      <c r="CF772" t="str">
        <f>IF(573&gt;ROWS(DGArchive[增减]),"",IF(INDEX(DGArchive[增减],573)="","",INDEX(DGArchive[增减],573)))</f>
        <v/>
      </c>
      <c r="CG772" t="str">
        <f>IF(573&gt;ROWS(DGArchive[变更后]),"",IF(INDEX(DGArchive[变更后],573)="","",INDEX(DGArchive[变更后],573)))</f>
        <v/>
      </c>
      <c r="CH772" t="str">
        <f>IF(573&gt;ROWS(DGArchive[事件／活动]),"",IF(INDEX(DGArchive[事件／活动],573)="","",INDEX(DGArchive[事件／活动],573)))</f>
        <v/>
      </c>
      <c r="CI772" t="str">
        <f>IF(573&gt;ROWS(DGArchive[记录编号]),"",IF(INDEX(DGArchive[记录编号],573)="","",INDEX(DGArchive[记录编号],573)))</f>
        <v/>
      </c>
      <c r="CL772">
        <f t="shared" si="254"/>
        <v>0</v>
      </c>
      <c r="CM772">
        <f>IF(AND(A772=$AO$5,B772=$AQ$3,H772=1),COUNTIFS($A$200:A772,$AO$5,$B$200:B772,$AQ$3,$H$200:H772,1),0)</f>
        <v>0</v>
      </c>
      <c r="CN772">
        <f>IF(CA772="",573,1001)</f>
        <v>573</v>
      </c>
      <c r="GA772">
        <f t="shared" si="274"/>
        <v>0</v>
      </c>
      <c r="GB772">
        <f t="shared" si="275"/>
        <v>0</v>
      </c>
      <c r="GC772">
        <f>IF(AND(C772="事件记录",H772=1),COUNTIFS($C$200:C772,"事件记录",$H$200:H772,1),0)</f>
        <v>0</v>
      </c>
      <c r="GD772">
        <f t="shared" si="255"/>
        <v>0</v>
      </c>
      <c r="GH772">
        <f>IF(AND(H772=1,A772=$GA$10,B772=$GA$11),COUNTIFS($A$200:A772,$GA$10,$B$200:B772,$GA$11,$H$200:H772,1),0)</f>
        <v>0</v>
      </c>
    </row>
    <row r="773" spans="1:190">
      <c r="A773" t="str">
        <f t="shared" si="246"/>
        <v/>
      </c>
      <c r="B773" t="str">
        <f t="shared" si="247"/>
        <v/>
      </c>
      <c r="C773" t="str">
        <f t="shared" si="248"/>
        <v/>
      </c>
      <c r="D773" t="str">
        <f t="shared" si="249"/>
        <v/>
      </c>
      <c r="E773">
        <f t="shared" si="250"/>
        <v>0</v>
      </c>
      <c r="F773" t="str">
        <f t="shared" si="251"/>
        <v/>
      </c>
      <c r="G773">
        <f t="shared" si="252"/>
        <v>0</v>
      </c>
      <c r="H773">
        <f>IF(AND(G773=1,COUNTIFS($I$200:I773,I773,$G$200:G773,1)=1),1,0)</f>
        <v>0</v>
      </c>
      <c r="I773" t="str">
        <f t="shared" si="253"/>
        <v/>
      </c>
      <c r="BF773">
        <f t="shared" si="256"/>
        <v>0</v>
      </c>
      <c r="BG773">
        <f t="shared" si="257"/>
        <v>0</v>
      </c>
      <c r="BH773">
        <f t="shared" si="258"/>
        <v>0</v>
      </c>
      <c r="BI773">
        <f t="shared" si="259"/>
        <v>0</v>
      </c>
      <c r="BJ773">
        <f t="shared" si="260"/>
        <v>0</v>
      </c>
      <c r="BK773">
        <f t="shared" si="261"/>
        <v>0</v>
      </c>
      <c r="BL773">
        <f t="shared" si="262"/>
        <v>0</v>
      </c>
      <c r="BM773">
        <f t="shared" si="263"/>
        <v>0</v>
      </c>
      <c r="BN773">
        <f t="shared" si="264"/>
        <v>0</v>
      </c>
      <c r="BO773">
        <f t="shared" si="265"/>
        <v>0</v>
      </c>
      <c r="BP773">
        <f t="shared" si="266"/>
        <v>0</v>
      </c>
      <c r="BQ773">
        <f t="shared" si="267"/>
        <v>0</v>
      </c>
      <c r="BR773">
        <f t="shared" si="268"/>
        <v>0</v>
      </c>
      <c r="BS773">
        <f t="shared" si="269"/>
        <v>0</v>
      </c>
      <c r="BT773">
        <f t="shared" si="270"/>
        <v>0</v>
      </c>
      <c r="BU773">
        <f t="shared" si="271"/>
        <v>0</v>
      </c>
      <c r="BV773">
        <f t="shared" si="272"/>
        <v>0</v>
      </c>
      <c r="BW773">
        <f t="shared" si="273"/>
        <v>0</v>
      </c>
      <c r="CA773" t="str">
        <f>IF(574&gt;ROWS(DGArchive[模组]),"",IF(INDEX(DGArchive[模组],574)="","",INDEX(DGArchive[模组],574)))</f>
        <v/>
      </c>
      <c r="CB773" t="str">
        <f>IF(574&gt;ROWS(DGArchive[阶段]),"",IF(INDEX(DGArchive[阶段],574)="","",INDEX(DGArchive[阶段],574)))</f>
        <v/>
      </c>
      <c r="CC773" t="str">
        <f>IF(574&gt;ROWS(DGArchive[游戏内日期]),"",IF(INDEX(DGArchive[游戏内日期],574)="","",INDEX(DGArchive[游戏内日期],574)))</f>
        <v/>
      </c>
      <c r="CD773" t="str">
        <f>IF(574&gt;ROWS(DGArchive[目标]),"",IF(INDEX(DGArchive[目标],574)="","",INDEX(DGArchive[目标],574)))</f>
        <v/>
      </c>
      <c r="CE773" t="str">
        <f>IF(574&gt;ROWS(DGArchive[变更前]),"",IF(INDEX(DGArchive[变更前],574)="","",INDEX(DGArchive[变更前],574)))</f>
        <v/>
      </c>
      <c r="CF773" t="str">
        <f>IF(574&gt;ROWS(DGArchive[增减]),"",IF(INDEX(DGArchive[增减],574)="","",INDEX(DGArchive[增减],574)))</f>
        <v/>
      </c>
      <c r="CG773" t="str">
        <f>IF(574&gt;ROWS(DGArchive[变更后]),"",IF(INDEX(DGArchive[变更后],574)="","",INDEX(DGArchive[变更后],574)))</f>
        <v/>
      </c>
      <c r="CH773" t="str">
        <f>IF(574&gt;ROWS(DGArchive[事件／活动]),"",IF(INDEX(DGArchive[事件／活动],574)="","",INDEX(DGArchive[事件／活动],574)))</f>
        <v/>
      </c>
      <c r="CI773" t="str">
        <f>IF(574&gt;ROWS(DGArchive[记录编号]),"",IF(INDEX(DGArchive[记录编号],574)="","",INDEX(DGArchive[记录编号],574)))</f>
        <v/>
      </c>
      <c r="CL773">
        <f t="shared" si="254"/>
        <v>0</v>
      </c>
      <c r="CM773">
        <f>IF(AND(A773=$AO$5,B773=$AQ$3,H773=1),COUNTIFS($A$200:A773,$AO$5,$B$200:B773,$AQ$3,$H$200:H773,1),0)</f>
        <v>0</v>
      </c>
      <c r="CN773">
        <f>IF(CA773="",574,1001)</f>
        <v>574</v>
      </c>
      <c r="GA773">
        <f t="shared" si="274"/>
        <v>0</v>
      </c>
      <c r="GB773">
        <f t="shared" si="275"/>
        <v>0</v>
      </c>
      <c r="GC773">
        <f>IF(AND(C773="事件记录",H773=1),COUNTIFS($C$200:C773,"事件记录",$H$200:H773,1),0)</f>
        <v>0</v>
      </c>
      <c r="GD773">
        <f t="shared" si="255"/>
        <v>0</v>
      </c>
      <c r="GH773">
        <f>IF(AND(H773=1,A773=$GA$10,B773=$GA$11),COUNTIFS($A$200:A773,$GA$10,$B$200:B773,$GA$11,$H$200:H773,1),0)</f>
        <v>0</v>
      </c>
    </row>
    <row r="774" spans="1:190">
      <c r="A774" t="str">
        <f t="shared" si="246"/>
        <v/>
      </c>
      <c r="B774" t="str">
        <f t="shared" si="247"/>
        <v/>
      </c>
      <c r="C774" t="str">
        <f t="shared" si="248"/>
        <v/>
      </c>
      <c r="D774" t="str">
        <f t="shared" si="249"/>
        <v/>
      </c>
      <c r="E774">
        <f t="shared" si="250"/>
        <v>0</v>
      </c>
      <c r="F774" t="str">
        <f t="shared" si="251"/>
        <v/>
      </c>
      <c r="G774">
        <f t="shared" si="252"/>
        <v>0</v>
      </c>
      <c r="H774">
        <f>IF(AND(G774=1,COUNTIFS($I$200:I774,I774,$G$200:G774,1)=1),1,0)</f>
        <v>0</v>
      </c>
      <c r="I774" t="str">
        <f t="shared" si="253"/>
        <v/>
      </c>
      <c r="BF774">
        <f t="shared" si="256"/>
        <v>0</v>
      </c>
      <c r="BG774">
        <f t="shared" si="257"/>
        <v>0</v>
      </c>
      <c r="BH774">
        <f t="shared" si="258"/>
        <v>0</v>
      </c>
      <c r="BI774">
        <f t="shared" si="259"/>
        <v>0</v>
      </c>
      <c r="BJ774">
        <f t="shared" si="260"/>
        <v>0</v>
      </c>
      <c r="BK774">
        <f t="shared" si="261"/>
        <v>0</v>
      </c>
      <c r="BL774">
        <f t="shared" si="262"/>
        <v>0</v>
      </c>
      <c r="BM774">
        <f t="shared" si="263"/>
        <v>0</v>
      </c>
      <c r="BN774">
        <f t="shared" si="264"/>
        <v>0</v>
      </c>
      <c r="BO774">
        <f t="shared" si="265"/>
        <v>0</v>
      </c>
      <c r="BP774">
        <f t="shared" si="266"/>
        <v>0</v>
      </c>
      <c r="BQ774">
        <f t="shared" si="267"/>
        <v>0</v>
      </c>
      <c r="BR774">
        <f t="shared" si="268"/>
        <v>0</v>
      </c>
      <c r="BS774">
        <f t="shared" si="269"/>
        <v>0</v>
      </c>
      <c r="BT774">
        <f t="shared" si="270"/>
        <v>0</v>
      </c>
      <c r="BU774">
        <f t="shared" si="271"/>
        <v>0</v>
      </c>
      <c r="BV774">
        <f t="shared" si="272"/>
        <v>0</v>
      </c>
      <c r="BW774">
        <f t="shared" si="273"/>
        <v>0</v>
      </c>
      <c r="CA774" t="str">
        <f>IF(575&gt;ROWS(DGArchive[模组]),"",IF(INDEX(DGArchive[模组],575)="","",INDEX(DGArchive[模组],575)))</f>
        <v/>
      </c>
      <c r="CB774" t="str">
        <f>IF(575&gt;ROWS(DGArchive[阶段]),"",IF(INDEX(DGArchive[阶段],575)="","",INDEX(DGArchive[阶段],575)))</f>
        <v/>
      </c>
      <c r="CC774" t="str">
        <f>IF(575&gt;ROWS(DGArchive[游戏内日期]),"",IF(INDEX(DGArchive[游戏内日期],575)="","",INDEX(DGArchive[游戏内日期],575)))</f>
        <v/>
      </c>
      <c r="CD774" t="str">
        <f>IF(575&gt;ROWS(DGArchive[目标]),"",IF(INDEX(DGArchive[目标],575)="","",INDEX(DGArchive[目标],575)))</f>
        <v/>
      </c>
      <c r="CE774" t="str">
        <f>IF(575&gt;ROWS(DGArchive[变更前]),"",IF(INDEX(DGArchive[变更前],575)="","",INDEX(DGArchive[变更前],575)))</f>
        <v/>
      </c>
      <c r="CF774" t="str">
        <f>IF(575&gt;ROWS(DGArchive[增减]),"",IF(INDEX(DGArchive[增减],575)="","",INDEX(DGArchive[增减],575)))</f>
        <v/>
      </c>
      <c r="CG774" t="str">
        <f>IF(575&gt;ROWS(DGArchive[变更后]),"",IF(INDEX(DGArchive[变更后],575)="","",INDEX(DGArchive[变更后],575)))</f>
        <v/>
      </c>
      <c r="CH774" t="str">
        <f>IF(575&gt;ROWS(DGArchive[事件／活动]),"",IF(INDEX(DGArchive[事件／活动],575)="","",INDEX(DGArchive[事件／活动],575)))</f>
        <v/>
      </c>
      <c r="CI774" t="str">
        <f>IF(575&gt;ROWS(DGArchive[记录编号]),"",IF(INDEX(DGArchive[记录编号],575)="","",INDEX(DGArchive[记录编号],575)))</f>
        <v/>
      </c>
      <c r="CL774">
        <f t="shared" si="254"/>
        <v>0</v>
      </c>
      <c r="CM774">
        <f>IF(AND(A774=$AO$5,B774=$AQ$3,H774=1),COUNTIFS($A$200:A774,$AO$5,$B$200:B774,$AQ$3,$H$200:H774,1),0)</f>
        <v>0</v>
      </c>
      <c r="CN774">
        <f>IF(CA774="",575,1001)</f>
        <v>575</v>
      </c>
      <c r="GA774">
        <f t="shared" si="274"/>
        <v>0</v>
      </c>
      <c r="GB774">
        <f t="shared" si="275"/>
        <v>0</v>
      </c>
      <c r="GC774">
        <f>IF(AND(C774="事件记录",H774=1),COUNTIFS($C$200:C774,"事件记录",$H$200:H774,1),0)</f>
        <v>0</v>
      </c>
      <c r="GD774">
        <f t="shared" si="255"/>
        <v>0</v>
      </c>
      <c r="GH774">
        <f>IF(AND(H774=1,A774=$GA$10,B774=$GA$11),COUNTIFS($A$200:A774,$GA$10,$B$200:B774,$GA$11,$H$200:H774,1),0)</f>
        <v>0</v>
      </c>
    </row>
    <row r="775" spans="1:190">
      <c r="A775" t="str">
        <f t="shared" si="246"/>
        <v/>
      </c>
      <c r="B775" t="str">
        <f t="shared" si="247"/>
        <v/>
      </c>
      <c r="C775" t="str">
        <f t="shared" si="248"/>
        <v/>
      </c>
      <c r="D775" t="str">
        <f t="shared" si="249"/>
        <v/>
      </c>
      <c r="E775">
        <f t="shared" si="250"/>
        <v>0</v>
      </c>
      <c r="F775" t="str">
        <f t="shared" si="251"/>
        <v/>
      </c>
      <c r="G775">
        <f t="shared" si="252"/>
        <v>0</v>
      </c>
      <c r="H775">
        <f>IF(AND(G775=1,COUNTIFS($I$200:I775,I775,$G$200:G775,1)=1),1,0)</f>
        <v>0</v>
      </c>
      <c r="I775" t="str">
        <f t="shared" si="253"/>
        <v/>
      </c>
      <c r="BF775">
        <f t="shared" si="256"/>
        <v>0</v>
      </c>
      <c r="BG775">
        <f t="shared" si="257"/>
        <v>0</v>
      </c>
      <c r="BH775">
        <f t="shared" si="258"/>
        <v>0</v>
      </c>
      <c r="BI775">
        <f t="shared" si="259"/>
        <v>0</v>
      </c>
      <c r="BJ775">
        <f t="shared" si="260"/>
        <v>0</v>
      </c>
      <c r="BK775">
        <f t="shared" si="261"/>
        <v>0</v>
      </c>
      <c r="BL775">
        <f t="shared" si="262"/>
        <v>0</v>
      </c>
      <c r="BM775">
        <f t="shared" si="263"/>
        <v>0</v>
      </c>
      <c r="BN775">
        <f t="shared" si="264"/>
        <v>0</v>
      </c>
      <c r="BO775">
        <f t="shared" si="265"/>
        <v>0</v>
      </c>
      <c r="BP775">
        <f t="shared" si="266"/>
        <v>0</v>
      </c>
      <c r="BQ775">
        <f t="shared" si="267"/>
        <v>0</v>
      </c>
      <c r="BR775">
        <f t="shared" si="268"/>
        <v>0</v>
      </c>
      <c r="BS775">
        <f t="shared" si="269"/>
        <v>0</v>
      </c>
      <c r="BT775">
        <f t="shared" si="270"/>
        <v>0</v>
      </c>
      <c r="BU775">
        <f t="shared" si="271"/>
        <v>0</v>
      </c>
      <c r="BV775">
        <f t="shared" si="272"/>
        <v>0</v>
      </c>
      <c r="BW775">
        <f t="shared" si="273"/>
        <v>0</v>
      </c>
      <c r="CA775" t="str">
        <f>IF(576&gt;ROWS(DGArchive[模组]),"",IF(INDEX(DGArchive[模组],576)="","",INDEX(DGArchive[模组],576)))</f>
        <v/>
      </c>
      <c r="CB775" t="str">
        <f>IF(576&gt;ROWS(DGArchive[阶段]),"",IF(INDEX(DGArchive[阶段],576)="","",INDEX(DGArchive[阶段],576)))</f>
        <v/>
      </c>
      <c r="CC775" t="str">
        <f>IF(576&gt;ROWS(DGArchive[游戏内日期]),"",IF(INDEX(DGArchive[游戏内日期],576)="","",INDEX(DGArchive[游戏内日期],576)))</f>
        <v/>
      </c>
      <c r="CD775" t="str">
        <f>IF(576&gt;ROWS(DGArchive[目标]),"",IF(INDEX(DGArchive[目标],576)="","",INDEX(DGArchive[目标],576)))</f>
        <v/>
      </c>
      <c r="CE775" t="str">
        <f>IF(576&gt;ROWS(DGArchive[变更前]),"",IF(INDEX(DGArchive[变更前],576)="","",INDEX(DGArchive[变更前],576)))</f>
        <v/>
      </c>
      <c r="CF775" t="str">
        <f>IF(576&gt;ROWS(DGArchive[增减]),"",IF(INDEX(DGArchive[增减],576)="","",INDEX(DGArchive[增减],576)))</f>
        <v/>
      </c>
      <c r="CG775" t="str">
        <f>IF(576&gt;ROWS(DGArchive[变更后]),"",IF(INDEX(DGArchive[变更后],576)="","",INDEX(DGArchive[变更后],576)))</f>
        <v/>
      </c>
      <c r="CH775" t="str">
        <f>IF(576&gt;ROWS(DGArchive[事件／活动]),"",IF(INDEX(DGArchive[事件／活动],576)="","",INDEX(DGArchive[事件／活动],576)))</f>
        <v/>
      </c>
      <c r="CI775" t="str">
        <f>IF(576&gt;ROWS(DGArchive[记录编号]),"",IF(INDEX(DGArchive[记录编号],576)="","",INDEX(DGArchive[记录编号],576)))</f>
        <v/>
      </c>
      <c r="CL775">
        <f t="shared" si="254"/>
        <v>0</v>
      </c>
      <c r="CM775">
        <f>IF(AND(A775=$AO$5,B775=$AQ$3,H775=1),COUNTIFS($A$200:A775,$AO$5,$B$200:B775,$AQ$3,$H$200:H775,1),0)</f>
        <v>0</v>
      </c>
      <c r="CN775">
        <f>IF(CA775="",576,1001)</f>
        <v>576</v>
      </c>
      <c r="GA775">
        <f t="shared" si="274"/>
        <v>0</v>
      </c>
      <c r="GB775">
        <f t="shared" si="275"/>
        <v>0</v>
      </c>
      <c r="GC775">
        <f>IF(AND(C775="事件记录",H775=1),COUNTIFS($C$200:C775,"事件记录",$H$200:H775,1),0)</f>
        <v>0</v>
      </c>
      <c r="GD775">
        <f t="shared" si="255"/>
        <v>0</v>
      </c>
      <c r="GH775">
        <f>IF(AND(H775=1,A775=$GA$10,B775=$GA$11),COUNTIFS($A$200:A775,$GA$10,$B$200:B775,$GA$11,$H$200:H775,1),0)</f>
        <v>0</v>
      </c>
    </row>
    <row r="776" spans="1:190">
      <c r="A776" t="str">
        <f t="shared" ref="A776:A839" si="276">IFERROR(TEXT(VALUE(CA776),"00"),"")</f>
        <v/>
      </c>
      <c r="B776" t="str">
        <f t="shared" ref="B776:B839" si="277">CB776</f>
        <v/>
      </c>
      <c r="C776" t="str">
        <f t="shared" ref="C776:C839" si="278">CD776</f>
        <v/>
      </c>
      <c r="D776" t="str">
        <f t="shared" ref="D776:D839" si="279">CF776</f>
        <v/>
      </c>
      <c r="E776">
        <f t="shared" ref="E776:E839" si="280">IF(H776=1,MAX(-CE776,MIN(D776,IF(LEFT(C776,3)="技能：",99,IF(COUNTIF($L$2:$L$7,C776)&gt;0,18,999))-CE776)),0)</f>
        <v>0</v>
      </c>
      <c r="F776" t="str">
        <f t="shared" ref="F776:F839" si="281">IF(OR(C776=0,C776=""),"",IF(G776=0,"记录不完整",IF(H776=0,"重复未计","已计入")))</f>
        <v/>
      </c>
      <c r="G776">
        <f t="shared" ref="G776:G839" si="282">IF(AND(AND(CA776&lt;&gt;"",CB776&lt;&gt;"",CI776&lt;&gt;"",OR(LEFT(C776,3)="技能：",COUNTIF($L$2:$L$19,C776)&gt;0,C776="事件记录",C776="暴力进度",C776="无力进度"),ISNUMBER(CE776),ISNUMBER(CF776),ISNUMBER(CG776),CE776&gt;=0,CG776=SUM(CE776,CF776)),OR(B776&lt;&gt;"成长",AND(LEFT(C776,3)="技能：",C776&lt;&gt;"技能：非自然知识",CE776&gt;=1,CE776&lt;=99,CF776&gt;=0,CF776&lt;=4,CG776&lt;=99))),1,0)</f>
        <v>0</v>
      </c>
      <c r="H776">
        <f>IF(AND(G776=1,COUNTIFS($I$200:I776,I776,$G$200:G776,1)=1),1,0)</f>
        <v>0</v>
      </c>
      <c r="I776" t="str">
        <f t="shared" ref="I776:I839" si="283">IF(G776=1,IF(B776="成长",A776&amp;"-成长-"&amp;C776,CI776),"")</f>
        <v/>
      </c>
      <c r="BF776">
        <f t="shared" si="256"/>
        <v>0</v>
      </c>
      <c r="BG776">
        <f t="shared" si="257"/>
        <v>0</v>
      </c>
      <c r="BH776">
        <f t="shared" si="258"/>
        <v>0</v>
      </c>
      <c r="BI776">
        <f t="shared" si="259"/>
        <v>0</v>
      </c>
      <c r="BJ776">
        <f t="shared" si="260"/>
        <v>0</v>
      </c>
      <c r="BK776">
        <f t="shared" si="261"/>
        <v>0</v>
      </c>
      <c r="BL776">
        <f t="shared" si="262"/>
        <v>0</v>
      </c>
      <c r="BM776">
        <f t="shared" si="263"/>
        <v>0</v>
      </c>
      <c r="BN776">
        <f t="shared" si="264"/>
        <v>0</v>
      </c>
      <c r="BO776">
        <f t="shared" si="265"/>
        <v>0</v>
      </c>
      <c r="BP776">
        <f t="shared" si="266"/>
        <v>0</v>
      </c>
      <c r="BQ776">
        <f t="shared" si="267"/>
        <v>0</v>
      </c>
      <c r="BR776">
        <f t="shared" si="268"/>
        <v>0</v>
      </c>
      <c r="BS776">
        <f t="shared" si="269"/>
        <v>0</v>
      </c>
      <c r="BT776">
        <f t="shared" si="270"/>
        <v>0</v>
      </c>
      <c r="BU776">
        <f t="shared" si="271"/>
        <v>0</v>
      </c>
      <c r="BV776">
        <f t="shared" si="272"/>
        <v>0</v>
      </c>
      <c r="BW776">
        <f t="shared" si="273"/>
        <v>0</v>
      </c>
      <c r="CA776" t="str">
        <f>IF(577&gt;ROWS(DGArchive[模组]),"",IF(INDEX(DGArchive[模组],577)="","",INDEX(DGArchive[模组],577)))</f>
        <v/>
      </c>
      <c r="CB776" t="str">
        <f>IF(577&gt;ROWS(DGArchive[阶段]),"",IF(INDEX(DGArchive[阶段],577)="","",INDEX(DGArchive[阶段],577)))</f>
        <v/>
      </c>
      <c r="CC776" t="str">
        <f>IF(577&gt;ROWS(DGArchive[游戏内日期]),"",IF(INDEX(DGArchive[游戏内日期],577)="","",INDEX(DGArchive[游戏内日期],577)))</f>
        <v/>
      </c>
      <c r="CD776" t="str">
        <f>IF(577&gt;ROWS(DGArchive[目标]),"",IF(INDEX(DGArchive[目标],577)="","",INDEX(DGArchive[目标],577)))</f>
        <v/>
      </c>
      <c r="CE776" t="str">
        <f>IF(577&gt;ROWS(DGArchive[变更前]),"",IF(INDEX(DGArchive[变更前],577)="","",INDEX(DGArchive[变更前],577)))</f>
        <v/>
      </c>
      <c r="CF776" t="str">
        <f>IF(577&gt;ROWS(DGArchive[增减]),"",IF(INDEX(DGArchive[增减],577)="","",INDEX(DGArchive[增减],577)))</f>
        <v/>
      </c>
      <c r="CG776" t="str">
        <f>IF(577&gt;ROWS(DGArchive[变更后]),"",IF(INDEX(DGArchive[变更后],577)="","",INDEX(DGArchive[变更后],577)))</f>
        <v/>
      </c>
      <c r="CH776" t="str">
        <f>IF(577&gt;ROWS(DGArchive[事件／活动]),"",IF(INDEX(DGArchive[事件／活动],577)="","",INDEX(DGArchive[事件／活动],577)))</f>
        <v/>
      </c>
      <c r="CI776" t="str">
        <f>IF(577&gt;ROWS(DGArchive[记录编号]),"",IF(INDEX(DGArchive[记录编号],577)="","",INDEX(DGArchive[记录编号],577)))</f>
        <v/>
      </c>
      <c r="CL776">
        <f t="shared" ref="CL776:CL839" si="284">IF(AND(A776=$AO$5,H776=1,LEFT(B776,2)="幕间"),IFERROR(VALUE(MID(B776,3,20)),0),0)</f>
        <v>0</v>
      </c>
      <c r="CM776">
        <f>IF(AND(A776=$AO$5,B776=$AQ$3,H776=1),COUNTIFS($A$200:A776,$AO$5,$B$200:B776,$AQ$3,$H$200:H776,1),0)</f>
        <v>0</v>
      </c>
      <c r="CN776">
        <f>IF(CA776="",577,1001)</f>
        <v>577</v>
      </c>
      <c r="GA776">
        <f t="shared" si="274"/>
        <v>0</v>
      </c>
      <c r="GB776">
        <f t="shared" si="275"/>
        <v>0</v>
      </c>
      <c r="GC776">
        <f>IF(AND(C776="事件记录",H776=1),COUNTIFS($C$200:C776,"事件记录",$H$200:H776,1),0)</f>
        <v>0</v>
      </c>
      <c r="GD776">
        <f t="shared" ref="GD776:GD839" si="285">IF(AND(H776=1,A776=$GA$10,LEFT(B776,2)="事件"),IFERROR(VALUE(MID(B776,3,20)),0),0)</f>
        <v>0</v>
      </c>
      <c r="GH776">
        <f>IF(AND(H776=1,A776=$GA$10,B776=$GA$11),COUNTIFS($A$200:A776,$GA$10,$B$200:B776,$GA$11,$H$200:H776,1),0)</f>
        <v>0</v>
      </c>
    </row>
    <row r="777" spans="1:190">
      <c r="A777" t="str">
        <f t="shared" si="276"/>
        <v/>
      </c>
      <c r="B777" t="str">
        <f t="shared" si="277"/>
        <v/>
      </c>
      <c r="C777" t="str">
        <f t="shared" si="278"/>
        <v/>
      </c>
      <c r="D777" t="str">
        <f t="shared" si="279"/>
        <v/>
      </c>
      <c r="E777">
        <f t="shared" si="280"/>
        <v>0</v>
      </c>
      <c r="F777" t="str">
        <f t="shared" si="281"/>
        <v/>
      </c>
      <c r="G777">
        <f t="shared" si="282"/>
        <v>0</v>
      </c>
      <c r="H777">
        <f>IF(AND(G777=1,COUNTIFS($I$200:I777,I777,$G$200:G777,1)=1),1,0)</f>
        <v>0</v>
      </c>
      <c r="I777" t="str">
        <f t="shared" si="283"/>
        <v/>
      </c>
      <c r="BF777">
        <f t="shared" ref="BF777:BF840" si="286">MAX(0,MIN(18,BF776+IF(C777="力量",E777,0)))</f>
        <v>0</v>
      </c>
      <c r="BG777">
        <f t="shared" ref="BG777:BG840" si="287">MAX(0,MIN(18,BG776+IF(C777="体质",E777,0)))</f>
        <v>0</v>
      </c>
      <c r="BH777">
        <f t="shared" ref="BH777:BH840" si="288">MAX(0,MIN(18,BH776+IF(C777="敏捷",E777,0)))</f>
        <v>0</v>
      </c>
      <c r="BI777">
        <f t="shared" ref="BI777:BI840" si="289">MAX(0,MIN(18,BI776+IF(C777="智力",E777,0)))</f>
        <v>0</v>
      </c>
      <c r="BJ777">
        <f t="shared" ref="BJ777:BJ840" si="290">MAX(0,MIN(18,BJ776+IF(C777="意志",E777,0)))</f>
        <v>0</v>
      </c>
      <c r="BK777">
        <f t="shared" ref="BK777:BK840" si="291">MAX(0,MIN(18,BK776+IF(C777="魅力",E777,0)))</f>
        <v>0</v>
      </c>
      <c r="BL777">
        <f t="shared" ref="BL777:BL840" si="292">MAX(0,MIN(99,BL776+IF(C777="技能：非自然知识",E777,0)))</f>
        <v>0</v>
      </c>
      <c r="BM777">
        <f t="shared" ref="BM777:BM840" si="293">MAX(0,MIN(CEILING((BF777+BG777)/2,1),BM776+IF(C777="体力",E777,0)))</f>
        <v>0</v>
      </c>
      <c r="BN777">
        <f t="shared" ref="BN777:BN840" si="294">MAX(0,MIN(BJ777,BN776+IF(C777="毅力",E777,0)))</f>
        <v>0</v>
      </c>
      <c r="BO777">
        <f t="shared" ref="BO777:BO840" si="295">MAX(0,MIN(99-BL777,BO776+IF(C777="理智",E777,0)))</f>
        <v>0</v>
      </c>
      <c r="BP777">
        <f t="shared" ref="BP777:BP840" si="296">MAX(0,MIN(99,BP776+IF(C777="崩溃点",E777,0)))</f>
        <v>0</v>
      </c>
      <c r="BQ777">
        <f t="shared" ref="BQ777:BQ840" si="297">MAX(0,MIN(BK777,IF(AND(H777=1,C777="重要关系1",LEFT(CH777,8)="建立新的重要关系"),CE777+E777,IF(BQ776=0,0,BQ776+IF(C777="重要关系1",E777,0))+IF(AND(C777="魅力",E777&lt;0),E777,0))))</f>
        <v>0</v>
      </c>
      <c r="BR777">
        <f t="shared" ref="BR777:BR840" si="298">MAX(0,MIN(BK777,IF(AND(H777=1,C777="重要关系2",LEFT(CH777,8)="建立新的重要关系"),CE777+E777,IF(BR776=0,0,BR776+IF(C777="重要关系2",E777,0))+IF(AND(C777="魅力",E777&lt;0),E777,0))))</f>
        <v>0</v>
      </c>
      <c r="BS777">
        <f t="shared" ref="BS777:BS840" si="299">MAX(0,MIN(BK777,IF(AND(H777=1,C777="重要关系3",LEFT(CH777,8)="建立新的重要关系"),CE777+E777,IF(BS776=0,0,BS776+IF(C777="重要关系3",E777,0))+IF(AND(C777="魅力",E777&lt;0),E777,0))))</f>
        <v>0</v>
      </c>
      <c r="BT777">
        <f t="shared" ref="BT777:BT840" si="300">MAX(0,MIN(BK777,IF(AND(H777=1,C777="重要关系4",LEFT(CH777,8)="建立新的重要关系"),CE777+E777,IF(BT776=0,0,BT776+IF(C777="重要关系4",E777,0))+IF(AND(C777="魅力",E777&lt;0),E777,0))))</f>
        <v>0</v>
      </c>
      <c r="BU777">
        <f t="shared" ref="BU777:BU840" si="301">MAX(0,MIN(BK777,IF(AND(H777=1,C777="重要关系5",LEFT(CH777,8)="建立新的重要关系"),CE777+E777,IF(BU776=0,0,BU776+IF(C777="重要关系5",E777,0))+IF(AND(C777="魅力",E777&lt;0),E777,0))))</f>
        <v>0</v>
      </c>
      <c r="BV777">
        <f t="shared" ref="BV777:BV840" si="302">MAX(0,MIN(BK777,IF(AND(H777=1,C777="重要关系6",LEFT(CH777,8)="建立新的重要关系"),CE777+E777,IF(BV776=0,0,BV776+IF(C777="重要关系6",E777,0))+IF(AND(C777="魅力",E777&lt;0),E777,0))))</f>
        <v>0</v>
      </c>
      <c r="BW777">
        <f t="shared" ref="BW777:BW840" si="303">MAX(0,MIN(BK777,IF(AND(H777=1,C777="重要关系7",LEFT(CH777,8)="建立新的重要关系"),CE777+E777,IF(BW776=0,0,BW776+IF(C777="重要关系7",E777,0))+IF(AND(C777="魅力",E777&lt;0),E777,0))))</f>
        <v>0</v>
      </c>
      <c r="CA777" t="str">
        <f>IF(578&gt;ROWS(DGArchive[模组]),"",IF(INDEX(DGArchive[模组],578)="","",INDEX(DGArchive[模组],578)))</f>
        <v/>
      </c>
      <c r="CB777" t="str">
        <f>IF(578&gt;ROWS(DGArchive[阶段]),"",IF(INDEX(DGArchive[阶段],578)="","",INDEX(DGArchive[阶段],578)))</f>
        <v/>
      </c>
      <c r="CC777" t="str">
        <f>IF(578&gt;ROWS(DGArchive[游戏内日期]),"",IF(INDEX(DGArchive[游戏内日期],578)="","",INDEX(DGArchive[游戏内日期],578)))</f>
        <v/>
      </c>
      <c r="CD777" t="str">
        <f>IF(578&gt;ROWS(DGArchive[目标]),"",IF(INDEX(DGArchive[目标],578)="","",INDEX(DGArchive[目标],578)))</f>
        <v/>
      </c>
      <c r="CE777" t="str">
        <f>IF(578&gt;ROWS(DGArchive[变更前]),"",IF(INDEX(DGArchive[变更前],578)="","",INDEX(DGArchive[变更前],578)))</f>
        <v/>
      </c>
      <c r="CF777" t="str">
        <f>IF(578&gt;ROWS(DGArchive[增减]),"",IF(INDEX(DGArchive[增减],578)="","",INDEX(DGArchive[增减],578)))</f>
        <v/>
      </c>
      <c r="CG777" t="str">
        <f>IF(578&gt;ROWS(DGArchive[变更后]),"",IF(INDEX(DGArchive[变更后],578)="","",INDEX(DGArchive[变更后],578)))</f>
        <v/>
      </c>
      <c r="CH777" t="str">
        <f>IF(578&gt;ROWS(DGArchive[事件／活动]),"",IF(INDEX(DGArchive[事件／活动],578)="","",INDEX(DGArchive[事件／活动],578)))</f>
        <v/>
      </c>
      <c r="CI777" t="str">
        <f>IF(578&gt;ROWS(DGArchive[记录编号]),"",IF(INDEX(DGArchive[记录编号],578)="","",INDEX(DGArchive[记录编号],578)))</f>
        <v/>
      </c>
      <c r="CL777">
        <f t="shared" si="284"/>
        <v>0</v>
      </c>
      <c r="CM777">
        <f>IF(AND(A777=$AO$5,B777=$AQ$3,H777=1),COUNTIFS($A$200:A777,$AO$5,$B$200:B777,$AQ$3,$H$200:H777,1),0)</f>
        <v>0</v>
      </c>
      <c r="CN777">
        <f>IF(CA777="",578,1001)</f>
        <v>578</v>
      </c>
      <c r="GA777">
        <f t="shared" ref="GA777:GA840" si="304">MAX(0,MIN(3,GA776+IF(C777="暴力进度",E777,0)))</f>
        <v>0</v>
      </c>
      <c r="GB777">
        <f t="shared" ref="GB777:GB840" si="305">MAX(0,MIN(3,GB776+IF(C777="无力进度",E777,0)))</f>
        <v>0</v>
      </c>
      <c r="GC777">
        <f>IF(AND(C777="事件记录",H777=1),COUNTIFS($C$200:C777,"事件记录",$H$200:H777,1),0)</f>
        <v>0</v>
      </c>
      <c r="GD777">
        <f t="shared" si="285"/>
        <v>0</v>
      </c>
      <c r="GH777">
        <f>IF(AND(H777=1,A777=$GA$10,B777=$GA$11),COUNTIFS($A$200:A777,$GA$10,$B$200:B777,$GA$11,$H$200:H777,1),0)</f>
        <v>0</v>
      </c>
    </row>
    <row r="778" spans="1:190">
      <c r="A778" t="str">
        <f t="shared" si="276"/>
        <v/>
      </c>
      <c r="B778" t="str">
        <f t="shared" si="277"/>
        <v/>
      </c>
      <c r="C778" t="str">
        <f t="shared" si="278"/>
        <v/>
      </c>
      <c r="D778" t="str">
        <f t="shared" si="279"/>
        <v/>
      </c>
      <c r="E778">
        <f t="shared" si="280"/>
        <v>0</v>
      </c>
      <c r="F778" t="str">
        <f t="shared" si="281"/>
        <v/>
      </c>
      <c r="G778">
        <f t="shared" si="282"/>
        <v>0</v>
      </c>
      <c r="H778">
        <f>IF(AND(G778=1,COUNTIFS($I$200:I778,I778,$G$200:G778,1)=1),1,0)</f>
        <v>0</v>
      </c>
      <c r="I778" t="str">
        <f t="shared" si="283"/>
        <v/>
      </c>
      <c r="BF778">
        <f t="shared" si="286"/>
        <v>0</v>
      </c>
      <c r="BG778">
        <f t="shared" si="287"/>
        <v>0</v>
      </c>
      <c r="BH778">
        <f t="shared" si="288"/>
        <v>0</v>
      </c>
      <c r="BI778">
        <f t="shared" si="289"/>
        <v>0</v>
      </c>
      <c r="BJ778">
        <f t="shared" si="290"/>
        <v>0</v>
      </c>
      <c r="BK778">
        <f t="shared" si="291"/>
        <v>0</v>
      </c>
      <c r="BL778">
        <f t="shared" si="292"/>
        <v>0</v>
      </c>
      <c r="BM778">
        <f t="shared" si="293"/>
        <v>0</v>
      </c>
      <c r="BN778">
        <f t="shared" si="294"/>
        <v>0</v>
      </c>
      <c r="BO778">
        <f t="shared" si="295"/>
        <v>0</v>
      </c>
      <c r="BP778">
        <f t="shared" si="296"/>
        <v>0</v>
      </c>
      <c r="BQ778">
        <f t="shared" si="297"/>
        <v>0</v>
      </c>
      <c r="BR778">
        <f t="shared" si="298"/>
        <v>0</v>
      </c>
      <c r="BS778">
        <f t="shared" si="299"/>
        <v>0</v>
      </c>
      <c r="BT778">
        <f t="shared" si="300"/>
        <v>0</v>
      </c>
      <c r="BU778">
        <f t="shared" si="301"/>
        <v>0</v>
      </c>
      <c r="BV778">
        <f t="shared" si="302"/>
        <v>0</v>
      </c>
      <c r="BW778">
        <f t="shared" si="303"/>
        <v>0</v>
      </c>
      <c r="CA778" t="str">
        <f>IF(579&gt;ROWS(DGArchive[模组]),"",IF(INDEX(DGArchive[模组],579)="","",INDEX(DGArchive[模组],579)))</f>
        <v/>
      </c>
      <c r="CB778" t="str">
        <f>IF(579&gt;ROWS(DGArchive[阶段]),"",IF(INDEX(DGArchive[阶段],579)="","",INDEX(DGArchive[阶段],579)))</f>
        <v/>
      </c>
      <c r="CC778" t="str">
        <f>IF(579&gt;ROWS(DGArchive[游戏内日期]),"",IF(INDEX(DGArchive[游戏内日期],579)="","",INDEX(DGArchive[游戏内日期],579)))</f>
        <v/>
      </c>
      <c r="CD778" t="str">
        <f>IF(579&gt;ROWS(DGArchive[目标]),"",IF(INDEX(DGArchive[目标],579)="","",INDEX(DGArchive[目标],579)))</f>
        <v/>
      </c>
      <c r="CE778" t="str">
        <f>IF(579&gt;ROWS(DGArchive[变更前]),"",IF(INDEX(DGArchive[变更前],579)="","",INDEX(DGArchive[变更前],579)))</f>
        <v/>
      </c>
      <c r="CF778" t="str">
        <f>IF(579&gt;ROWS(DGArchive[增减]),"",IF(INDEX(DGArchive[增减],579)="","",INDEX(DGArchive[增减],579)))</f>
        <v/>
      </c>
      <c r="CG778" t="str">
        <f>IF(579&gt;ROWS(DGArchive[变更后]),"",IF(INDEX(DGArchive[变更后],579)="","",INDEX(DGArchive[变更后],579)))</f>
        <v/>
      </c>
      <c r="CH778" t="str">
        <f>IF(579&gt;ROWS(DGArchive[事件／活动]),"",IF(INDEX(DGArchive[事件／活动],579)="","",INDEX(DGArchive[事件／活动],579)))</f>
        <v/>
      </c>
      <c r="CI778" t="str">
        <f>IF(579&gt;ROWS(DGArchive[记录编号]),"",IF(INDEX(DGArchive[记录编号],579)="","",INDEX(DGArchive[记录编号],579)))</f>
        <v/>
      </c>
      <c r="CL778">
        <f t="shared" si="284"/>
        <v>0</v>
      </c>
      <c r="CM778">
        <f>IF(AND(A778=$AO$5,B778=$AQ$3,H778=1),COUNTIFS($A$200:A778,$AO$5,$B$200:B778,$AQ$3,$H$200:H778,1),0)</f>
        <v>0</v>
      </c>
      <c r="CN778">
        <f>IF(CA778="",579,1001)</f>
        <v>579</v>
      </c>
      <c r="GA778">
        <f t="shared" si="304"/>
        <v>0</v>
      </c>
      <c r="GB778">
        <f t="shared" si="305"/>
        <v>0</v>
      </c>
      <c r="GC778">
        <f>IF(AND(C778="事件记录",H778=1),COUNTIFS($C$200:C778,"事件记录",$H$200:H778,1),0)</f>
        <v>0</v>
      </c>
      <c r="GD778">
        <f t="shared" si="285"/>
        <v>0</v>
      </c>
      <c r="GH778">
        <f>IF(AND(H778=1,A778=$GA$10,B778=$GA$11),COUNTIFS($A$200:A778,$GA$10,$B$200:B778,$GA$11,$H$200:H778,1),0)</f>
        <v>0</v>
      </c>
    </row>
    <row r="779" spans="1:190">
      <c r="A779" t="str">
        <f t="shared" si="276"/>
        <v/>
      </c>
      <c r="B779" t="str">
        <f t="shared" si="277"/>
        <v/>
      </c>
      <c r="C779" t="str">
        <f t="shared" si="278"/>
        <v/>
      </c>
      <c r="D779" t="str">
        <f t="shared" si="279"/>
        <v/>
      </c>
      <c r="E779">
        <f t="shared" si="280"/>
        <v>0</v>
      </c>
      <c r="F779" t="str">
        <f t="shared" si="281"/>
        <v/>
      </c>
      <c r="G779">
        <f t="shared" si="282"/>
        <v>0</v>
      </c>
      <c r="H779">
        <f>IF(AND(G779=1,COUNTIFS($I$200:I779,I779,$G$200:G779,1)=1),1,0)</f>
        <v>0</v>
      </c>
      <c r="I779" t="str">
        <f t="shared" si="283"/>
        <v/>
      </c>
      <c r="BF779">
        <f t="shared" si="286"/>
        <v>0</v>
      </c>
      <c r="BG779">
        <f t="shared" si="287"/>
        <v>0</v>
      </c>
      <c r="BH779">
        <f t="shared" si="288"/>
        <v>0</v>
      </c>
      <c r="BI779">
        <f t="shared" si="289"/>
        <v>0</v>
      </c>
      <c r="BJ779">
        <f t="shared" si="290"/>
        <v>0</v>
      </c>
      <c r="BK779">
        <f t="shared" si="291"/>
        <v>0</v>
      </c>
      <c r="BL779">
        <f t="shared" si="292"/>
        <v>0</v>
      </c>
      <c r="BM779">
        <f t="shared" si="293"/>
        <v>0</v>
      </c>
      <c r="BN779">
        <f t="shared" si="294"/>
        <v>0</v>
      </c>
      <c r="BO779">
        <f t="shared" si="295"/>
        <v>0</v>
      </c>
      <c r="BP779">
        <f t="shared" si="296"/>
        <v>0</v>
      </c>
      <c r="BQ779">
        <f t="shared" si="297"/>
        <v>0</v>
      </c>
      <c r="BR779">
        <f t="shared" si="298"/>
        <v>0</v>
      </c>
      <c r="BS779">
        <f t="shared" si="299"/>
        <v>0</v>
      </c>
      <c r="BT779">
        <f t="shared" si="300"/>
        <v>0</v>
      </c>
      <c r="BU779">
        <f t="shared" si="301"/>
        <v>0</v>
      </c>
      <c r="BV779">
        <f t="shared" si="302"/>
        <v>0</v>
      </c>
      <c r="BW779">
        <f t="shared" si="303"/>
        <v>0</v>
      </c>
      <c r="CA779" t="str">
        <f>IF(580&gt;ROWS(DGArchive[模组]),"",IF(INDEX(DGArchive[模组],580)="","",INDEX(DGArchive[模组],580)))</f>
        <v/>
      </c>
      <c r="CB779" t="str">
        <f>IF(580&gt;ROWS(DGArchive[阶段]),"",IF(INDEX(DGArchive[阶段],580)="","",INDEX(DGArchive[阶段],580)))</f>
        <v/>
      </c>
      <c r="CC779" t="str">
        <f>IF(580&gt;ROWS(DGArchive[游戏内日期]),"",IF(INDEX(DGArchive[游戏内日期],580)="","",INDEX(DGArchive[游戏内日期],580)))</f>
        <v/>
      </c>
      <c r="CD779" t="str">
        <f>IF(580&gt;ROWS(DGArchive[目标]),"",IF(INDEX(DGArchive[目标],580)="","",INDEX(DGArchive[目标],580)))</f>
        <v/>
      </c>
      <c r="CE779" t="str">
        <f>IF(580&gt;ROWS(DGArchive[变更前]),"",IF(INDEX(DGArchive[变更前],580)="","",INDEX(DGArchive[变更前],580)))</f>
        <v/>
      </c>
      <c r="CF779" t="str">
        <f>IF(580&gt;ROWS(DGArchive[增减]),"",IF(INDEX(DGArchive[增减],580)="","",INDEX(DGArchive[增减],580)))</f>
        <v/>
      </c>
      <c r="CG779" t="str">
        <f>IF(580&gt;ROWS(DGArchive[变更后]),"",IF(INDEX(DGArchive[变更后],580)="","",INDEX(DGArchive[变更后],580)))</f>
        <v/>
      </c>
      <c r="CH779" t="str">
        <f>IF(580&gt;ROWS(DGArchive[事件／活动]),"",IF(INDEX(DGArchive[事件／活动],580)="","",INDEX(DGArchive[事件／活动],580)))</f>
        <v/>
      </c>
      <c r="CI779" t="str">
        <f>IF(580&gt;ROWS(DGArchive[记录编号]),"",IF(INDEX(DGArchive[记录编号],580)="","",INDEX(DGArchive[记录编号],580)))</f>
        <v/>
      </c>
      <c r="CL779">
        <f t="shared" si="284"/>
        <v>0</v>
      </c>
      <c r="CM779">
        <f>IF(AND(A779=$AO$5,B779=$AQ$3,H779=1),COUNTIFS($A$200:A779,$AO$5,$B$200:B779,$AQ$3,$H$200:H779,1),0)</f>
        <v>0</v>
      </c>
      <c r="CN779">
        <f>IF(CA779="",580,1001)</f>
        <v>580</v>
      </c>
      <c r="GA779">
        <f t="shared" si="304"/>
        <v>0</v>
      </c>
      <c r="GB779">
        <f t="shared" si="305"/>
        <v>0</v>
      </c>
      <c r="GC779">
        <f>IF(AND(C779="事件记录",H779=1),COUNTIFS($C$200:C779,"事件记录",$H$200:H779,1),0)</f>
        <v>0</v>
      </c>
      <c r="GD779">
        <f t="shared" si="285"/>
        <v>0</v>
      </c>
      <c r="GH779">
        <f>IF(AND(H779=1,A779=$GA$10,B779=$GA$11),COUNTIFS($A$200:A779,$GA$10,$B$200:B779,$GA$11,$H$200:H779,1),0)</f>
        <v>0</v>
      </c>
    </row>
    <row r="780" spans="1:190">
      <c r="A780" t="str">
        <f t="shared" si="276"/>
        <v/>
      </c>
      <c r="B780" t="str">
        <f t="shared" si="277"/>
        <v/>
      </c>
      <c r="C780" t="str">
        <f t="shared" si="278"/>
        <v/>
      </c>
      <c r="D780" t="str">
        <f t="shared" si="279"/>
        <v/>
      </c>
      <c r="E780">
        <f t="shared" si="280"/>
        <v>0</v>
      </c>
      <c r="F780" t="str">
        <f t="shared" si="281"/>
        <v/>
      </c>
      <c r="G780">
        <f t="shared" si="282"/>
        <v>0</v>
      </c>
      <c r="H780">
        <f>IF(AND(G780=1,COUNTIFS($I$200:I780,I780,$G$200:G780,1)=1),1,0)</f>
        <v>0</v>
      </c>
      <c r="I780" t="str">
        <f t="shared" si="283"/>
        <v/>
      </c>
      <c r="BF780">
        <f t="shared" si="286"/>
        <v>0</v>
      </c>
      <c r="BG780">
        <f t="shared" si="287"/>
        <v>0</v>
      </c>
      <c r="BH780">
        <f t="shared" si="288"/>
        <v>0</v>
      </c>
      <c r="BI780">
        <f t="shared" si="289"/>
        <v>0</v>
      </c>
      <c r="BJ780">
        <f t="shared" si="290"/>
        <v>0</v>
      </c>
      <c r="BK780">
        <f t="shared" si="291"/>
        <v>0</v>
      </c>
      <c r="BL780">
        <f t="shared" si="292"/>
        <v>0</v>
      </c>
      <c r="BM780">
        <f t="shared" si="293"/>
        <v>0</v>
      </c>
      <c r="BN780">
        <f t="shared" si="294"/>
        <v>0</v>
      </c>
      <c r="BO780">
        <f t="shared" si="295"/>
        <v>0</v>
      </c>
      <c r="BP780">
        <f t="shared" si="296"/>
        <v>0</v>
      </c>
      <c r="BQ780">
        <f t="shared" si="297"/>
        <v>0</v>
      </c>
      <c r="BR780">
        <f t="shared" si="298"/>
        <v>0</v>
      </c>
      <c r="BS780">
        <f t="shared" si="299"/>
        <v>0</v>
      </c>
      <c r="BT780">
        <f t="shared" si="300"/>
        <v>0</v>
      </c>
      <c r="BU780">
        <f t="shared" si="301"/>
        <v>0</v>
      </c>
      <c r="BV780">
        <f t="shared" si="302"/>
        <v>0</v>
      </c>
      <c r="BW780">
        <f t="shared" si="303"/>
        <v>0</v>
      </c>
      <c r="CA780" t="str">
        <f>IF(581&gt;ROWS(DGArchive[模组]),"",IF(INDEX(DGArchive[模组],581)="","",INDEX(DGArchive[模组],581)))</f>
        <v/>
      </c>
      <c r="CB780" t="str">
        <f>IF(581&gt;ROWS(DGArchive[阶段]),"",IF(INDEX(DGArchive[阶段],581)="","",INDEX(DGArchive[阶段],581)))</f>
        <v/>
      </c>
      <c r="CC780" t="str">
        <f>IF(581&gt;ROWS(DGArchive[游戏内日期]),"",IF(INDEX(DGArchive[游戏内日期],581)="","",INDEX(DGArchive[游戏内日期],581)))</f>
        <v/>
      </c>
      <c r="CD780" t="str">
        <f>IF(581&gt;ROWS(DGArchive[目标]),"",IF(INDEX(DGArchive[目标],581)="","",INDEX(DGArchive[目标],581)))</f>
        <v/>
      </c>
      <c r="CE780" t="str">
        <f>IF(581&gt;ROWS(DGArchive[变更前]),"",IF(INDEX(DGArchive[变更前],581)="","",INDEX(DGArchive[变更前],581)))</f>
        <v/>
      </c>
      <c r="CF780" t="str">
        <f>IF(581&gt;ROWS(DGArchive[增减]),"",IF(INDEX(DGArchive[增减],581)="","",INDEX(DGArchive[增减],581)))</f>
        <v/>
      </c>
      <c r="CG780" t="str">
        <f>IF(581&gt;ROWS(DGArchive[变更后]),"",IF(INDEX(DGArchive[变更后],581)="","",INDEX(DGArchive[变更后],581)))</f>
        <v/>
      </c>
      <c r="CH780" t="str">
        <f>IF(581&gt;ROWS(DGArchive[事件／活动]),"",IF(INDEX(DGArchive[事件／活动],581)="","",INDEX(DGArchive[事件／活动],581)))</f>
        <v/>
      </c>
      <c r="CI780" t="str">
        <f>IF(581&gt;ROWS(DGArchive[记录编号]),"",IF(INDEX(DGArchive[记录编号],581)="","",INDEX(DGArchive[记录编号],581)))</f>
        <v/>
      </c>
      <c r="CL780">
        <f t="shared" si="284"/>
        <v>0</v>
      </c>
      <c r="CM780">
        <f>IF(AND(A780=$AO$5,B780=$AQ$3,H780=1),COUNTIFS($A$200:A780,$AO$5,$B$200:B780,$AQ$3,$H$200:H780,1),0)</f>
        <v>0</v>
      </c>
      <c r="CN780">
        <f>IF(CA780="",581,1001)</f>
        <v>581</v>
      </c>
      <c r="GA780">
        <f t="shared" si="304"/>
        <v>0</v>
      </c>
      <c r="GB780">
        <f t="shared" si="305"/>
        <v>0</v>
      </c>
      <c r="GC780">
        <f>IF(AND(C780="事件记录",H780=1),COUNTIFS($C$200:C780,"事件记录",$H$200:H780,1),0)</f>
        <v>0</v>
      </c>
      <c r="GD780">
        <f t="shared" si="285"/>
        <v>0</v>
      </c>
      <c r="GH780">
        <f>IF(AND(H780=1,A780=$GA$10,B780=$GA$11),COUNTIFS($A$200:A780,$GA$10,$B$200:B780,$GA$11,$H$200:H780,1),0)</f>
        <v>0</v>
      </c>
    </row>
    <row r="781" spans="1:190">
      <c r="A781" t="str">
        <f t="shared" si="276"/>
        <v/>
      </c>
      <c r="B781" t="str">
        <f t="shared" si="277"/>
        <v/>
      </c>
      <c r="C781" t="str">
        <f t="shared" si="278"/>
        <v/>
      </c>
      <c r="D781" t="str">
        <f t="shared" si="279"/>
        <v/>
      </c>
      <c r="E781">
        <f t="shared" si="280"/>
        <v>0</v>
      </c>
      <c r="F781" t="str">
        <f t="shared" si="281"/>
        <v/>
      </c>
      <c r="G781">
        <f t="shared" si="282"/>
        <v>0</v>
      </c>
      <c r="H781">
        <f>IF(AND(G781=1,COUNTIFS($I$200:I781,I781,$G$200:G781,1)=1),1,0)</f>
        <v>0</v>
      </c>
      <c r="I781" t="str">
        <f t="shared" si="283"/>
        <v/>
      </c>
      <c r="BF781">
        <f t="shared" si="286"/>
        <v>0</v>
      </c>
      <c r="BG781">
        <f t="shared" si="287"/>
        <v>0</v>
      </c>
      <c r="BH781">
        <f t="shared" si="288"/>
        <v>0</v>
      </c>
      <c r="BI781">
        <f t="shared" si="289"/>
        <v>0</v>
      </c>
      <c r="BJ781">
        <f t="shared" si="290"/>
        <v>0</v>
      </c>
      <c r="BK781">
        <f t="shared" si="291"/>
        <v>0</v>
      </c>
      <c r="BL781">
        <f t="shared" si="292"/>
        <v>0</v>
      </c>
      <c r="BM781">
        <f t="shared" si="293"/>
        <v>0</v>
      </c>
      <c r="BN781">
        <f t="shared" si="294"/>
        <v>0</v>
      </c>
      <c r="BO781">
        <f t="shared" si="295"/>
        <v>0</v>
      </c>
      <c r="BP781">
        <f t="shared" si="296"/>
        <v>0</v>
      </c>
      <c r="BQ781">
        <f t="shared" si="297"/>
        <v>0</v>
      </c>
      <c r="BR781">
        <f t="shared" si="298"/>
        <v>0</v>
      </c>
      <c r="BS781">
        <f t="shared" si="299"/>
        <v>0</v>
      </c>
      <c r="BT781">
        <f t="shared" si="300"/>
        <v>0</v>
      </c>
      <c r="BU781">
        <f t="shared" si="301"/>
        <v>0</v>
      </c>
      <c r="BV781">
        <f t="shared" si="302"/>
        <v>0</v>
      </c>
      <c r="BW781">
        <f t="shared" si="303"/>
        <v>0</v>
      </c>
      <c r="CA781" t="str">
        <f>IF(582&gt;ROWS(DGArchive[模组]),"",IF(INDEX(DGArchive[模组],582)="","",INDEX(DGArchive[模组],582)))</f>
        <v/>
      </c>
      <c r="CB781" t="str">
        <f>IF(582&gt;ROWS(DGArchive[阶段]),"",IF(INDEX(DGArchive[阶段],582)="","",INDEX(DGArchive[阶段],582)))</f>
        <v/>
      </c>
      <c r="CC781" t="str">
        <f>IF(582&gt;ROWS(DGArchive[游戏内日期]),"",IF(INDEX(DGArchive[游戏内日期],582)="","",INDEX(DGArchive[游戏内日期],582)))</f>
        <v/>
      </c>
      <c r="CD781" t="str">
        <f>IF(582&gt;ROWS(DGArchive[目标]),"",IF(INDEX(DGArchive[目标],582)="","",INDEX(DGArchive[目标],582)))</f>
        <v/>
      </c>
      <c r="CE781" t="str">
        <f>IF(582&gt;ROWS(DGArchive[变更前]),"",IF(INDEX(DGArchive[变更前],582)="","",INDEX(DGArchive[变更前],582)))</f>
        <v/>
      </c>
      <c r="CF781" t="str">
        <f>IF(582&gt;ROWS(DGArchive[增减]),"",IF(INDEX(DGArchive[增减],582)="","",INDEX(DGArchive[增减],582)))</f>
        <v/>
      </c>
      <c r="CG781" t="str">
        <f>IF(582&gt;ROWS(DGArchive[变更后]),"",IF(INDEX(DGArchive[变更后],582)="","",INDEX(DGArchive[变更后],582)))</f>
        <v/>
      </c>
      <c r="CH781" t="str">
        <f>IF(582&gt;ROWS(DGArchive[事件／活动]),"",IF(INDEX(DGArchive[事件／活动],582)="","",INDEX(DGArchive[事件／活动],582)))</f>
        <v/>
      </c>
      <c r="CI781" t="str">
        <f>IF(582&gt;ROWS(DGArchive[记录编号]),"",IF(INDEX(DGArchive[记录编号],582)="","",INDEX(DGArchive[记录编号],582)))</f>
        <v/>
      </c>
      <c r="CL781">
        <f t="shared" si="284"/>
        <v>0</v>
      </c>
      <c r="CM781">
        <f>IF(AND(A781=$AO$5,B781=$AQ$3,H781=1),COUNTIFS($A$200:A781,$AO$5,$B$200:B781,$AQ$3,$H$200:H781,1),0)</f>
        <v>0</v>
      </c>
      <c r="CN781">
        <f>IF(CA781="",582,1001)</f>
        <v>582</v>
      </c>
      <c r="GA781">
        <f t="shared" si="304"/>
        <v>0</v>
      </c>
      <c r="GB781">
        <f t="shared" si="305"/>
        <v>0</v>
      </c>
      <c r="GC781">
        <f>IF(AND(C781="事件记录",H781=1),COUNTIFS($C$200:C781,"事件记录",$H$200:H781,1),0)</f>
        <v>0</v>
      </c>
      <c r="GD781">
        <f t="shared" si="285"/>
        <v>0</v>
      </c>
      <c r="GH781">
        <f>IF(AND(H781=1,A781=$GA$10,B781=$GA$11),COUNTIFS($A$200:A781,$GA$10,$B$200:B781,$GA$11,$H$200:H781,1),0)</f>
        <v>0</v>
      </c>
    </row>
    <row r="782" spans="1:190">
      <c r="A782" t="str">
        <f t="shared" si="276"/>
        <v/>
      </c>
      <c r="B782" t="str">
        <f t="shared" si="277"/>
        <v/>
      </c>
      <c r="C782" t="str">
        <f t="shared" si="278"/>
        <v/>
      </c>
      <c r="D782" t="str">
        <f t="shared" si="279"/>
        <v/>
      </c>
      <c r="E782">
        <f t="shared" si="280"/>
        <v>0</v>
      </c>
      <c r="F782" t="str">
        <f t="shared" si="281"/>
        <v/>
      </c>
      <c r="G782">
        <f t="shared" si="282"/>
        <v>0</v>
      </c>
      <c r="H782">
        <f>IF(AND(G782=1,COUNTIFS($I$200:I782,I782,$G$200:G782,1)=1),1,0)</f>
        <v>0</v>
      </c>
      <c r="I782" t="str">
        <f t="shared" si="283"/>
        <v/>
      </c>
      <c r="BF782">
        <f t="shared" si="286"/>
        <v>0</v>
      </c>
      <c r="BG782">
        <f t="shared" si="287"/>
        <v>0</v>
      </c>
      <c r="BH782">
        <f t="shared" si="288"/>
        <v>0</v>
      </c>
      <c r="BI782">
        <f t="shared" si="289"/>
        <v>0</v>
      </c>
      <c r="BJ782">
        <f t="shared" si="290"/>
        <v>0</v>
      </c>
      <c r="BK782">
        <f t="shared" si="291"/>
        <v>0</v>
      </c>
      <c r="BL782">
        <f t="shared" si="292"/>
        <v>0</v>
      </c>
      <c r="BM782">
        <f t="shared" si="293"/>
        <v>0</v>
      </c>
      <c r="BN782">
        <f t="shared" si="294"/>
        <v>0</v>
      </c>
      <c r="BO782">
        <f t="shared" si="295"/>
        <v>0</v>
      </c>
      <c r="BP782">
        <f t="shared" si="296"/>
        <v>0</v>
      </c>
      <c r="BQ782">
        <f t="shared" si="297"/>
        <v>0</v>
      </c>
      <c r="BR782">
        <f t="shared" si="298"/>
        <v>0</v>
      </c>
      <c r="BS782">
        <f t="shared" si="299"/>
        <v>0</v>
      </c>
      <c r="BT782">
        <f t="shared" si="300"/>
        <v>0</v>
      </c>
      <c r="BU782">
        <f t="shared" si="301"/>
        <v>0</v>
      </c>
      <c r="BV782">
        <f t="shared" si="302"/>
        <v>0</v>
      </c>
      <c r="BW782">
        <f t="shared" si="303"/>
        <v>0</v>
      </c>
      <c r="CA782" t="str">
        <f>IF(583&gt;ROWS(DGArchive[模组]),"",IF(INDEX(DGArchive[模组],583)="","",INDEX(DGArchive[模组],583)))</f>
        <v/>
      </c>
      <c r="CB782" t="str">
        <f>IF(583&gt;ROWS(DGArchive[阶段]),"",IF(INDEX(DGArchive[阶段],583)="","",INDEX(DGArchive[阶段],583)))</f>
        <v/>
      </c>
      <c r="CC782" t="str">
        <f>IF(583&gt;ROWS(DGArchive[游戏内日期]),"",IF(INDEX(DGArchive[游戏内日期],583)="","",INDEX(DGArchive[游戏内日期],583)))</f>
        <v/>
      </c>
      <c r="CD782" t="str">
        <f>IF(583&gt;ROWS(DGArchive[目标]),"",IF(INDEX(DGArchive[目标],583)="","",INDEX(DGArchive[目标],583)))</f>
        <v/>
      </c>
      <c r="CE782" t="str">
        <f>IF(583&gt;ROWS(DGArchive[变更前]),"",IF(INDEX(DGArchive[变更前],583)="","",INDEX(DGArchive[变更前],583)))</f>
        <v/>
      </c>
      <c r="CF782" t="str">
        <f>IF(583&gt;ROWS(DGArchive[增减]),"",IF(INDEX(DGArchive[增减],583)="","",INDEX(DGArchive[增减],583)))</f>
        <v/>
      </c>
      <c r="CG782" t="str">
        <f>IF(583&gt;ROWS(DGArchive[变更后]),"",IF(INDEX(DGArchive[变更后],583)="","",INDEX(DGArchive[变更后],583)))</f>
        <v/>
      </c>
      <c r="CH782" t="str">
        <f>IF(583&gt;ROWS(DGArchive[事件／活动]),"",IF(INDEX(DGArchive[事件／活动],583)="","",INDEX(DGArchive[事件／活动],583)))</f>
        <v/>
      </c>
      <c r="CI782" t="str">
        <f>IF(583&gt;ROWS(DGArchive[记录编号]),"",IF(INDEX(DGArchive[记录编号],583)="","",INDEX(DGArchive[记录编号],583)))</f>
        <v/>
      </c>
      <c r="CL782">
        <f t="shared" si="284"/>
        <v>0</v>
      </c>
      <c r="CM782">
        <f>IF(AND(A782=$AO$5,B782=$AQ$3,H782=1),COUNTIFS($A$200:A782,$AO$5,$B$200:B782,$AQ$3,$H$200:H782,1),0)</f>
        <v>0</v>
      </c>
      <c r="CN782">
        <f>IF(CA782="",583,1001)</f>
        <v>583</v>
      </c>
      <c r="GA782">
        <f t="shared" si="304"/>
        <v>0</v>
      </c>
      <c r="GB782">
        <f t="shared" si="305"/>
        <v>0</v>
      </c>
      <c r="GC782">
        <f>IF(AND(C782="事件记录",H782=1),COUNTIFS($C$200:C782,"事件记录",$H$200:H782,1),0)</f>
        <v>0</v>
      </c>
      <c r="GD782">
        <f t="shared" si="285"/>
        <v>0</v>
      </c>
      <c r="GH782">
        <f>IF(AND(H782=1,A782=$GA$10,B782=$GA$11),COUNTIFS($A$200:A782,$GA$10,$B$200:B782,$GA$11,$H$200:H782,1),0)</f>
        <v>0</v>
      </c>
    </row>
    <row r="783" spans="1:190">
      <c r="A783" t="str">
        <f t="shared" si="276"/>
        <v/>
      </c>
      <c r="B783" t="str">
        <f t="shared" si="277"/>
        <v/>
      </c>
      <c r="C783" t="str">
        <f t="shared" si="278"/>
        <v/>
      </c>
      <c r="D783" t="str">
        <f t="shared" si="279"/>
        <v/>
      </c>
      <c r="E783">
        <f t="shared" si="280"/>
        <v>0</v>
      </c>
      <c r="F783" t="str">
        <f t="shared" si="281"/>
        <v/>
      </c>
      <c r="G783">
        <f t="shared" si="282"/>
        <v>0</v>
      </c>
      <c r="H783">
        <f>IF(AND(G783=1,COUNTIFS($I$200:I783,I783,$G$200:G783,1)=1),1,0)</f>
        <v>0</v>
      </c>
      <c r="I783" t="str">
        <f t="shared" si="283"/>
        <v/>
      </c>
      <c r="BF783">
        <f t="shared" si="286"/>
        <v>0</v>
      </c>
      <c r="BG783">
        <f t="shared" si="287"/>
        <v>0</v>
      </c>
      <c r="BH783">
        <f t="shared" si="288"/>
        <v>0</v>
      </c>
      <c r="BI783">
        <f t="shared" si="289"/>
        <v>0</v>
      </c>
      <c r="BJ783">
        <f t="shared" si="290"/>
        <v>0</v>
      </c>
      <c r="BK783">
        <f t="shared" si="291"/>
        <v>0</v>
      </c>
      <c r="BL783">
        <f t="shared" si="292"/>
        <v>0</v>
      </c>
      <c r="BM783">
        <f t="shared" si="293"/>
        <v>0</v>
      </c>
      <c r="BN783">
        <f t="shared" si="294"/>
        <v>0</v>
      </c>
      <c r="BO783">
        <f t="shared" si="295"/>
        <v>0</v>
      </c>
      <c r="BP783">
        <f t="shared" si="296"/>
        <v>0</v>
      </c>
      <c r="BQ783">
        <f t="shared" si="297"/>
        <v>0</v>
      </c>
      <c r="BR783">
        <f t="shared" si="298"/>
        <v>0</v>
      </c>
      <c r="BS783">
        <f t="shared" si="299"/>
        <v>0</v>
      </c>
      <c r="BT783">
        <f t="shared" si="300"/>
        <v>0</v>
      </c>
      <c r="BU783">
        <f t="shared" si="301"/>
        <v>0</v>
      </c>
      <c r="BV783">
        <f t="shared" si="302"/>
        <v>0</v>
      </c>
      <c r="BW783">
        <f t="shared" si="303"/>
        <v>0</v>
      </c>
      <c r="CA783" t="str">
        <f>IF(584&gt;ROWS(DGArchive[模组]),"",IF(INDEX(DGArchive[模组],584)="","",INDEX(DGArchive[模组],584)))</f>
        <v/>
      </c>
      <c r="CB783" t="str">
        <f>IF(584&gt;ROWS(DGArchive[阶段]),"",IF(INDEX(DGArchive[阶段],584)="","",INDEX(DGArchive[阶段],584)))</f>
        <v/>
      </c>
      <c r="CC783" t="str">
        <f>IF(584&gt;ROWS(DGArchive[游戏内日期]),"",IF(INDEX(DGArchive[游戏内日期],584)="","",INDEX(DGArchive[游戏内日期],584)))</f>
        <v/>
      </c>
      <c r="CD783" t="str">
        <f>IF(584&gt;ROWS(DGArchive[目标]),"",IF(INDEX(DGArchive[目标],584)="","",INDEX(DGArchive[目标],584)))</f>
        <v/>
      </c>
      <c r="CE783" t="str">
        <f>IF(584&gt;ROWS(DGArchive[变更前]),"",IF(INDEX(DGArchive[变更前],584)="","",INDEX(DGArchive[变更前],584)))</f>
        <v/>
      </c>
      <c r="CF783" t="str">
        <f>IF(584&gt;ROWS(DGArchive[增减]),"",IF(INDEX(DGArchive[增减],584)="","",INDEX(DGArchive[增减],584)))</f>
        <v/>
      </c>
      <c r="CG783" t="str">
        <f>IF(584&gt;ROWS(DGArchive[变更后]),"",IF(INDEX(DGArchive[变更后],584)="","",INDEX(DGArchive[变更后],584)))</f>
        <v/>
      </c>
      <c r="CH783" t="str">
        <f>IF(584&gt;ROWS(DGArchive[事件／活动]),"",IF(INDEX(DGArchive[事件／活动],584)="","",INDEX(DGArchive[事件／活动],584)))</f>
        <v/>
      </c>
      <c r="CI783" t="str">
        <f>IF(584&gt;ROWS(DGArchive[记录编号]),"",IF(INDEX(DGArchive[记录编号],584)="","",INDEX(DGArchive[记录编号],584)))</f>
        <v/>
      </c>
      <c r="CL783">
        <f t="shared" si="284"/>
        <v>0</v>
      </c>
      <c r="CM783">
        <f>IF(AND(A783=$AO$5,B783=$AQ$3,H783=1),COUNTIFS($A$200:A783,$AO$5,$B$200:B783,$AQ$3,$H$200:H783,1),0)</f>
        <v>0</v>
      </c>
      <c r="CN783">
        <f>IF(CA783="",584,1001)</f>
        <v>584</v>
      </c>
      <c r="GA783">
        <f t="shared" si="304"/>
        <v>0</v>
      </c>
      <c r="GB783">
        <f t="shared" si="305"/>
        <v>0</v>
      </c>
      <c r="GC783">
        <f>IF(AND(C783="事件记录",H783=1),COUNTIFS($C$200:C783,"事件记录",$H$200:H783,1),0)</f>
        <v>0</v>
      </c>
      <c r="GD783">
        <f t="shared" si="285"/>
        <v>0</v>
      </c>
      <c r="GH783">
        <f>IF(AND(H783=1,A783=$GA$10,B783=$GA$11),COUNTIFS($A$200:A783,$GA$10,$B$200:B783,$GA$11,$H$200:H783,1),0)</f>
        <v>0</v>
      </c>
    </row>
    <row r="784" spans="1:190">
      <c r="A784" t="str">
        <f t="shared" si="276"/>
        <v/>
      </c>
      <c r="B784" t="str">
        <f t="shared" si="277"/>
        <v/>
      </c>
      <c r="C784" t="str">
        <f t="shared" si="278"/>
        <v/>
      </c>
      <c r="D784" t="str">
        <f t="shared" si="279"/>
        <v/>
      </c>
      <c r="E784">
        <f t="shared" si="280"/>
        <v>0</v>
      </c>
      <c r="F784" t="str">
        <f t="shared" si="281"/>
        <v/>
      </c>
      <c r="G784">
        <f t="shared" si="282"/>
        <v>0</v>
      </c>
      <c r="H784">
        <f>IF(AND(G784=1,COUNTIFS($I$200:I784,I784,$G$200:G784,1)=1),1,0)</f>
        <v>0</v>
      </c>
      <c r="I784" t="str">
        <f t="shared" si="283"/>
        <v/>
      </c>
      <c r="BF784">
        <f t="shared" si="286"/>
        <v>0</v>
      </c>
      <c r="BG784">
        <f t="shared" si="287"/>
        <v>0</v>
      </c>
      <c r="BH784">
        <f t="shared" si="288"/>
        <v>0</v>
      </c>
      <c r="BI784">
        <f t="shared" si="289"/>
        <v>0</v>
      </c>
      <c r="BJ784">
        <f t="shared" si="290"/>
        <v>0</v>
      </c>
      <c r="BK784">
        <f t="shared" si="291"/>
        <v>0</v>
      </c>
      <c r="BL784">
        <f t="shared" si="292"/>
        <v>0</v>
      </c>
      <c r="BM784">
        <f t="shared" si="293"/>
        <v>0</v>
      </c>
      <c r="BN784">
        <f t="shared" si="294"/>
        <v>0</v>
      </c>
      <c r="BO784">
        <f t="shared" si="295"/>
        <v>0</v>
      </c>
      <c r="BP784">
        <f t="shared" si="296"/>
        <v>0</v>
      </c>
      <c r="BQ784">
        <f t="shared" si="297"/>
        <v>0</v>
      </c>
      <c r="BR784">
        <f t="shared" si="298"/>
        <v>0</v>
      </c>
      <c r="BS784">
        <f t="shared" si="299"/>
        <v>0</v>
      </c>
      <c r="BT784">
        <f t="shared" si="300"/>
        <v>0</v>
      </c>
      <c r="BU784">
        <f t="shared" si="301"/>
        <v>0</v>
      </c>
      <c r="BV784">
        <f t="shared" si="302"/>
        <v>0</v>
      </c>
      <c r="BW784">
        <f t="shared" si="303"/>
        <v>0</v>
      </c>
      <c r="CA784" t="str">
        <f>IF(585&gt;ROWS(DGArchive[模组]),"",IF(INDEX(DGArchive[模组],585)="","",INDEX(DGArchive[模组],585)))</f>
        <v/>
      </c>
      <c r="CB784" t="str">
        <f>IF(585&gt;ROWS(DGArchive[阶段]),"",IF(INDEX(DGArchive[阶段],585)="","",INDEX(DGArchive[阶段],585)))</f>
        <v/>
      </c>
      <c r="CC784" t="str">
        <f>IF(585&gt;ROWS(DGArchive[游戏内日期]),"",IF(INDEX(DGArchive[游戏内日期],585)="","",INDEX(DGArchive[游戏内日期],585)))</f>
        <v/>
      </c>
      <c r="CD784" t="str">
        <f>IF(585&gt;ROWS(DGArchive[目标]),"",IF(INDEX(DGArchive[目标],585)="","",INDEX(DGArchive[目标],585)))</f>
        <v/>
      </c>
      <c r="CE784" t="str">
        <f>IF(585&gt;ROWS(DGArchive[变更前]),"",IF(INDEX(DGArchive[变更前],585)="","",INDEX(DGArchive[变更前],585)))</f>
        <v/>
      </c>
      <c r="CF784" t="str">
        <f>IF(585&gt;ROWS(DGArchive[增减]),"",IF(INDEX(DGArchive[增减],585)="","",INDEX(DGArchive[增减],585)))</f>
        <v/>
      </c>
      <c r="CG784" t="str">
        <f>IF(585&gt;ROWS(DGArchive[变更后]),"",IF(INDEX(DGArchive[变更后],585)="","",INDEX(DGArchive[变更后],585)))</f>
        <v/>
      </c>
      <c r="CH784" t="str">
        <f>IF(585&gt;ROWS(DGArchive[事件／活动]),"",IF(INDEX(DGArchive[事件／活动],585)="","",INDEX(DGArchive[事件／活动],585)))</f>
        <v/>
      </c>
      <c r="CI784" t="str">
        <f>IF(585&gt;ROWS(DGArchive[记录编号]),"",IF(INDEX(DGArchive[记录编号],585)="","",INDEX(DGArchive[记录编号],585)))</f>
        <v/>
      </c>
      <c r="CL784">
        <f t="shared" si="284"/>
        <v>0</v>
      </c>
      <c r="CM784">
        <f>IF(AND(A784=$AO$5,B784=$AQ$3,H784=1),COUNTIFS($A$200:A784,$AO$5,$B$200:B784,$AQ$3,$H$200:H784,1),0)</f>
        <v>0</v>
      </c>
      <c r="CN784">
        <f>IF(CA784="",585,1001)</f>
        <v>585</v>
      </c>
      <c r="GA784">
        <f t="shared" si="304"/>
        <v>0</v>
      </c>
      <c r="GB784">
        <f t="shared" si="305"/>
        <v>0</v>
      </c>
      <c r="GC784">
        <f>IF(AND(C784="事件记录",H784=1),COUNTIFS($C$200:C784,"事件记录",$H$200:H784,1),0)</f>
        <v>0</v>
      </c>
      <c r="GD784">
        <f t="shared" si="285"/>
        <v>0</v>
      </c>
      <c r="GH784">
        <f>IF(AND(H784=1,A784=$GA$10,B784=$GA$11),COUNTIFS($A$200:A784,$GA$10,$B$200:B784,$GA$11,$H$200:H784,1),0)</f>
        <v>0</v>
      </c>
    </row>
    <row r="785" spans="1:190">
      <c r="A785" t="str">
        <f t="shared" si="276"/>
        <v/>
      </c>
      <c r="B785" t="str">
        <f t="shared" si="277"/>
        <v/>
      </c>
      <c r="C785" t="str">
        <f t="shared" si="278"/>
        <v/>
      </c>
      <c r="D785" t="str">
        <f t="shared" si="279"/>
        <v/>
      </c>
      <c r="E785">
        <f t="shared" si="280"/>
        <v>0</v>
      </c>
      <c r="F785" t="str">
        <f t="shared" si="281"/>
        <v/>
      </c>
      <c r="G785">
        <f t="shared" si="282"/>
        <v>0</v>
      </c>
      <c r="H785">
        <f>IF(AND(G785=1,COUNTIFS($I$200:I785,I785,$G$200:G785,1)=1),1,0)</f>
        <v>0</v>
      </c>
      <c r="I785" t="str">
        <f t="shared" si="283"/>
        <v/>
      </c>
      <c r="BF785">
        <f t="shared" si="286"/>
        <v>0</v>
      </c>
      <c r="BG785">
        <f t="shared" si="287"/>
        <v>0</v>
      </c>
      <c r="BH785">
        <f t="shared" si="288"/>
        <v>0</v>
      </c>
      <c r="BI785">
        <f t="shared" si="289"/>
        <v>0</v>
      </c>
      <c r="BJ785">
        <f t="shared" si="290"/>
        <v>0</v>
      </c>
      <c r="BK785">
        <f t="shared" si="291"/>
        <v>0</v>
      </c>
      <c r="BL785">
        <f t="shared" si="292"/>
        <v>0</v>
      </c>
      <c r="BM785">
        <f t="shared" si="293"/>
        <v>0</v>
      </c>
      <c r="BN785">
        <f t="shared" si="294"/>
        <v>0</v>
      </c>
      <c r="BO785">
        <f t="shared" si="295"/>
        <v>0</v>
      </c>
      <c r="BP785">
        <f t="shared" si="296"/>
        <v>0</v>
      </c>
      <c r="BQ785">
        <f t="shared" si="297"/>
        <v>0</v>
      </c>
      <c r="BR785">
        <f t="shared" si="298"/>
        <v>0</v>
      </c>
      <c r="BS785">
        <f t="shared" si="299"/>
        <v>0</v>
      </c>
      <c r="BT785">
        <f t="shared" si="300"/>
        <v>0</v>
      </c>
      <c r="BU785">
        <f t="shared" si="301"/>
        <v>0</v>
      </c>
      <c r="BV785">
        <f t="shared" si="302"/>
        <v>0</v>
      </c>
      <c r="BW785">
        <f t="shared" si="303"/>
        <v>0</v>
      </c>
      <c r="CA785" t="str">
        <f>IF(586&gt;ROWS(DGArchive[模组]),"",IF(INDEX(DGArchive[模组],586)="","",INDEX(DGArchive[模组],586)))</f>
        <v/>
      </c>
      <c r="CB785" t="str">
        <f>IF(586&gt;ROWS(DGArchive[阶段]),"",IF(INDEX(DGArchive[阶段],586)="","",INDEX(DGArchive[阶段],586)))</f>
        <v/>
      </c>
      <c r="CC785" t="str">
        <f>IF(586&gt;ROWS(DGArchive[游戏内日期]),"",IF(INDEX(DGArchive[游戏内日期],586)="","",INDEX(DGArchive[游戏内日期],586)))</f>
        <v/>
      </c>
      <c r="CD785" t="str">
        <f>IF(586&gt;ROWS(DGArchive[目标]),"",IF(INDEX(DGArchive[目标],586)="","",INDEX(DGArchive[目标],586)))</f>
        <v/>
      </c>
      <c r="CE785" t="str">
        <f>IF(586&gt;ROWS(DGArchive[变更前]),"",IF(INDEX(DGArchive[变更前],586)="","",INDEX(DGArchive[变更前],586)))</f>
        <v/>
      </c>
      <c r="CF785" t="str">
        <f>IF(586&gt;ROWS(DGArchive[增减]),"",IF(INDEX(DGArchive[增减],586)="","",INDEX(DGArchive[增减],586)))</f>
        <v/>
      </c>
      <c r="CG785" t="str">
        <f>IF(586&gt;ROWS(DGArchive[变更后]),"",IF(INDEX(DGArchive[变更后],586)="","",INDEX(DGArchive[变更后],586)))</f>
        <v/>
      </c>
      <c r="CH785" t="str">
        <f>IF(586&gt;ROWS(DGArchive[事件／活动]),"",IF(INDEX(DGArchive[事件／活动],586)="","",INDEX(DGArchive[事件／活动],586)))</f>
        <v/>
      </c>
      <c r="CI785" t="str">
        <f>IF(586&gt;ROWS(DGArchive[记录编号]),"",IF(INDEX(DGArchive[记录编号],586)="","",INDEX(DGArchive[记录编号],586)))</f>
        <v/>
      </c>
      <c r="CL785">
        <f t="shared" si="284"/>
        <v>0</v>
      </c>
      <c r="CM785">
        <f>IF(AND(A785=$AO$5,B785=$AQ$3,H785=1),COUNTIFS($A$200:A785,$AO$5,$B$200:B785,$AQ$3,$H$200:H785,1),0)</f>
        <v>0</v>
      </c>
      <c r="CN785">
        <f>IF(CA785="",586,1001)</f>
        <v>586</v>
      </c>
      <c r="GA785">
        <f t="shared" si="304"/>
        <v>0</v>
      </c>
      <c r="GB785">
        <f t="shared" si="305"/>
        <v>0</v>
      </c>
      <c r="GC785">
        <f>IF(AND(C785="事件记录",H785=1),COUNTIFS($C$200:C785,"事件记录",$H$200:H785,1),0)</f>
        <v>0</v>
      </c>
      <c r="GD785">
        <f t="shared" si="285"/>
        <v>0</v>
      </c>
      <c r="GH785">
        <f>IF(AND(H785=1,A785=$GA$10,B785=$GA$11),COUNTIFS($A$200:A785,$GA$10,$B$200:B785,$GA$11,$H$200:H785,1),0)</f>
        <v>0</v>
      </c>
    </row>
    <row r="786" spans="1:190">
      <c r="A786" t="str">
        <f t="shared" si="276"/>
        <v/>
      </c>
      <c r="B786" t="str">
        <f t="shared" si="277"/>
        <v/>
      </c>
      <c r="C786" t="str">
        <f t="shared" si="278"/>
        <v/>
      </c>
      <c r="D786" t="str">
        <f t="shared" si="279"/>
        <v/>
      </c>
      <c r="E786">
        <f t="shared" si="280"/>
        <v>0</v>
      </c>
      <c r="F786" t="str">
        <f t="shared" si="281"/>
        <v/>
      </c>
      <c r="G786">
        <f t="shared" si="282"/>
        <v>0</v>
      </c>
      <c r="H786">
        <f>IF(AND(G786=1,COUNTIFS($I$200:I786,I786,$G$200:G786,1)=1),1,0)</f>
        <v>0</v>
      </c>
      <c r="I786" t="str">
        <f t="shared" si="283"/>
        <v/>
      </c>
      <c r="BF786">
        <f t="shared" si="286"/>
        <v>0</v>
      </c>
      <c r="BG786">
        <f t="shared" si="287"/>
        <v>0</v>
      </c>
      <c r="BH786">
        <f t="shared" si="288"/>
        <v>0</v>
      </c>
      <c r="BI786">
        <f t="shared" si="289"/>
        <v>0</v>
      </c>
      <c r="BJ786">
        <f t="shared" si="290"/>
        <v>0</v>
      </c>
      <c r="BK786">
        <f t="shared" si="291"/>
        <v>0</v>
      </c>
      <c r="BL786">
        <f t="shared" si="292"/>
        <v>0</v>
      </c>
      <c r="BM786">
        <f t="shared" si="293"/>
        <v>0</v>
      </c>
      <c r="BN786">
        <f t="shared" si="294"/>
        <v>0</v>
      </c>
      <c r="BO786">
        <f t="shared" si="295"/>
        <v>0</v>
      </c>
      <c r="BP786">
        <f t="shared" si="296"/>
        <v>0</v>
      </c>
      <c r="BQ786">
        <f t="shared" si="297"/>
        <v>0</v>
      </c>
      <c r="BR786">
        <f t="shared" si="298"/>
        <v>0</v>
      </c>
      <c r="BS786">
        <f t="shared" si="299"/>
        <v>0</v>
      </c>
      <c r="BT786">
        <f t="shared" si="300"/>
        <v>0</v>
      </c>
      <c r="BU786">
        <f t="shared" si="301"/>
        <v>0</v>
      </c>
      <c r="BV786">
        <f t="shared" si="302"/>
        <v>0</v>
      </c>
      <c r="BW786">
        <f t="shared" si="303"/>
        <v>0</v>
      </c>
      <c r="CA786" t="str">
        <f>IF(587&gt;ROWS(DGArchive[模组]),"",IF(INDEX(DGArchive[模组],587)="","",INDEX(DGArchive[模组],587)))</f>
        <v/>
      </c>
      <c r="CB786" t="str">
        <f>IF(587&gt;ROWS(DGArchive[阶段]),"",IF(INDEX(DGArchive[阶段],587)="","",INDEX(DGArchive[阶段],587)))</f>
        <v/>
      </c>
      <c r="CC786" t="str">
        <f>IF(587&gt;ROWS(DGArchive[游戏内日期]),"",IF(INDEX(DGArchive[游戏内日期],587)="","",INDEX(DGArchive[游戏内日期],587)))</f>
        <v/>
      </c>
      <c r="CD786" t="str">
        <f>IF(587&gt;ROWS(DGArchive[目标]),"",IF(INDEX(DGArchive[目标],587)="","",INDEX(DGArchive[目标],587)))</f>
        <v/>
      </c>
      <c r="CE786" t="str">
        <f>IF(587&gt;ROWS(DGArchive[变更前]),"",IF(INDEX(DGArchive[变更前],587)="","",INDEX(DGArchive[变更前],587)))</f>
        <v/>
      </c>
      <c r="CF786" t="str">
        <f>IF(587&gt;ROWS(DGArchive[增减]),"",IF(INDEX(DGArchive[增减],587)="","",INDEX(DGArchive[增减],587)))</f>
        <v/>
      </c>
      <c r="CG786" t="str">
        <f>IF(587&gt;ROWS(DGArchive[变更后]),"",IF(INDEX(DGArchive[变更后],587)="","",INDEX(DGArchive[变更后],587)))</f>
        <v/>
      </c>
      <c r="CH786" t="str">
        <f>IF(587&gt;ROWS(DGArchive[事件／活动]),"",IF(INDEX(DGArchive[事件／活动],587)="","",INDEX(DGArchive[事件／活动],587)))</f>
        <v/>
      </c>
      <c r="CI786" t="str">
        <f>IF(587&gt;ROWS(DGArchive[记录编号]),"",IF(INDEX(DGArchive[记录编号],587)="","",INDEX(DGArchive[记录编号],587)))</f>
        <v/>
      </c>
      <c r="CL786">
        <f t="shared" si="284"/>
        <v>0</v>
      </c>
      <c r="CM786">
        <f>IF(AND(A786=$AO$5,B786=$AQ$3,H786=1),COUNTIFS($A$200:A786,$AO$5,$B$200:B786,$AQ$3,$H$200:H786,1),0)</f>
        <v>0</v>
      </c>
      <c r="CN786">
        <f>IF(CA786="",587,1001)</f>
        <v>587</v>
      </c>
      <c r="GA786">
        <f t="shared" si="304"/>
        <v>0</v>
      </c>
      <c r="GB786">
        <f t="shared" si="305"/>
        <v>0</v>
      </c>
      <c r="GC786">
        <f>IF(AND(C786="事件记录",H786=1),COUNTIFS($C$200:C786,"事件记录",$H$200:H786,1),0)</f>
        <v>0</v>
      </c>
      <c r="GD786">
        <f t="shared" si="285"/>
        <v>0</v>
      </c>
      <c r="GH786">
        <f>IF(AND(H786=1,A786=$GA$10,B786=$GA$11),COUNTIFS($A$200:A786,$GA$10,$B$200:B786,$GA$11,$H$200:H786,1),0)</f>
        <v>0</v>
      </c>
    </row>
    <row r="787" spans="1:190">
      <c r="A787" t="str">
        <f t="shared" si="276"/>
        <v/>
      </c>
      <c r="B787" t="str">
        <f t="shared" si="277"/>
        <v/>
      </c>
      <c r="C787" t="str">
        <f t="shared" si="278"/>
        <v/>
      </c>
      <c r="D787" t="str">
        <f t="shared" si="279"/>
        <v/>
      </c>
      <c r="E787">
        <f t="shared" si="280"/>
        <v>0</v>
      </c>
      <c r="F787" t="str">
        <f t="shared" si="281"/>
        <v/>
      </c>
      <c r="G787">
        <f t="shared" si="282"/>
        <v>0</v>
      </c>
      <c r="H787">
        <f>IF(AND(G787=1,COUNTIFS($I$200:I787,I787,$G$200:G787,1)=1),1,0)</f>
        <v>0</v>
      </c>
      <c r="I787" t="str">
        <f t="shared" si="283"/>
        <v/>
      </c>
      <c r="BF787">
        <f t="shared" si="286"/>
        <v>0</v>
      </c>
      <c r="BG787">
        <f t="shared" si="287"/>
        <v>0</v>
      </c>
      <c r="BH787">
        <f t="shared" si="288"/>
        <v>0</v>
      </c>
      <c r="BI787">
        <f t="shared" si="289"/>
        <v>0</v>
      </c>
      <c r="BJ787">
        <f t="shared" si="290"/>
        <v>0</v>
      </c>
      <c r="BK787">
        <f t="shared" si="291"/>
        <v>0</v>
      </c>
      <c r="BL787">
        <f t="shared" si="292"/>
        <v>0</v>
      </c>
      <c r="BM787">
        <f t="shared" si="293"/>
        <v>0</v>
      </c>
      <c r="BN787">
        <f t="shared" si="294"/>
        <v>0</v>
      </c>
      <c r="BO787">
        <f t="shared" si="295"/>
        <v>0</v>
      </c>
      <c r="BP787">
        <f t="shared" si="296"/>
        <v>0</v>
      </c>
      <c r="BQ787">
        <f t="shared" si="297"/>
        <v>0</v>
      </c>
      <c r="BR787">
        <f t="shared" si="298"/>
        <v>0</v>
      </c>
      <c r="BS787">
        <f t="shared" si="299"/>
        <v>0</v>
      </c>
      <c r="BT787">
        <f t="shared" si="300"/>
        <v>0</v>
      </c>
      <c r="BU787">
        <f t="shared" si="301"/>
        <v>0</v>
      </c>
      <c r="BV787">
        <f t="shared" si="302"/>
        <v>0</v>
      </c>
      <c r="BW787">
        <f t="shared" si="303"/>
        <v>0</v>
      </c>
      <c r="CA787" t="str">
        <f>IF(588&gt;ROWS(DGArchive[模组]),"",IF(INDEX(DGArchive[模组],588)="","",INDEX(DGArchive[模组],588)))</f>
        <v/>
      </c>
      <c r="CB787" t="str">
        <f>IF(588&gt;ROWS(DGArchive[阶段]),"",IF(INDEX(DGArchive[阶段],588)="","",INDEX(DGArchive[阶段],588)))</f>
        <v/>
      </c>
      <c r="CC787" t="str">
        <f>IF(588&gt;ROWS(DGArchive[游戏内日期]),"",IF(INDEX(DGArchive[游戏内日期],588)="","",INDEX(DGArchive[游戏内日期],588)))</f>
        <v/>
      </c>
      <c r="CD787" t="str">
        <f>IF(588&gt;ROWS(DGArchive[目标]),"",IF(INDEX(DGArchive[目标],588)="","",INDEX(DGArchive[目标],588)))</f>
        <v/>
      </c>
      <c r="CE787" t="str">
        <f>IF(588&gt;ROWS(DGArchive[变更前]),"",IF(INDEX(DGArchive[变更前],588)="","",INDEX(DGArchive[变更前],588)))</f>
        <v/>
      </c>
      <c r="CF787" t="str">
        <f>IF(588&gt;ROWS(DGArchive[增减]),"",IF(INDEX(DGArchive[增减],588)="","",INDEX(DGArchive[增减],588)))</f>
        <v/>
      </c>
      <c r="CG787" t="str">
        <f>IF(588&gt;ROWS(DGArchive[变更后]),"",IF(INDEX(DGArchive[变更后],588)="","",INDEX(DGArchive[变更后],588)))</f>
        <v/>
      </c>
      <c r="CH787" t="str">
        <f>IF(588&gt;ROWS(DGArchive[事件／活动]),"",IF(INDEX(DGArchive[事件／活动],588)="","",INDEX(DGArchive[事件／活动],588)))</f>
        <v/>
      </c>
      <c r="CI787" t="str">
        <f>IF(588&gt;ROWS(DGArchive[记录编号]),"",IF(INDEX(DGArchive[记录编号],588)="","",INDEX(DGArchive[记录编号],588)))</f>
        <v/>
      </c>
      <c r="CL787">
        <f t="shared" si="284"/>
        <v>0</v>
      </c>
      <c r="CM787">
        <f>IF(AND(A787=$AO$5,B787=$AQ$3,H787=1),COUNTIFS($A$200:A787,$AO$5,$B$200:B787,$AQ$3,$H$200:H787,1),0)</f>
        <v>0</v>
      </c>
      <c r="CN787">
        <f>IF(CA787="",588,1001)</f>
        <v>588</v>
      </c>
      <c r="GA787">
        <f t="shared" si="304"/>
        <v>0</v>
      </c>
      <c r="GB787">
        <f t="shared" si="305"/>
        <v>0</v>
      </c>
      <c r="GC787">
        <f>IF(AND(C787="事件记录",H787=1),COUNTIFS($C$200:C787,"事件记录",$H$200:H787,1),0)</f>
        <v>0</v>
      </c>
      <c r="GD787">
        <f t="shared" si="285"/>
        <v>0</v>
      </c>
      <c r="GH787">
        <f>IF(AND(H787=1,A787=$GA$10,B787=$GA$11),COUNTIFS($A$200:A787,$GA$10,$B$200:B787,$GA$11,$H$200:H787,1),0)</f>
        <v>0</v>
      </c>
    </row>
    <row r="788" spans="1:190">
      <c r="A788" t="str">
        <f t="shared" si="276"/>
        <v/>
      </c>
      <c r="B788" t="str">
        <f t="shared" si="277"/>
        <v/>
      </c>
      <c r="C788" t="str">
        <f t="shared" si="278"/>
        <v/>
      </c>
      <c r="D788" t="str">
        <f t="shared" si="279"/>
        <v/>
      </c>
      <c r="E788">
        <f t="shared" si="280"/>
        <v>0</v>
      </c>
      <c r="F788" t="str">
        <f t="shared" si="281"/>
        <v/>
      </c>
      <c r="G788">
        <f t="shared" si="282"/>
        <v>0</v>
      </c>
      <c r="H788">
        <f>IF(AND(G788=1,COUNTIFS($I$200:I788,I788,$G$200:G788,1)=1),1,0)</f>
        <v>0</v>
      </c>
      <c r="I788" t="str">
        <f t="shared" si="283"/>
        <v/>
      </c>
      <c r="BF788">
        <f t="shared" si="286"/>
        <v>0</v>
      </c>
      <c r="BG788">
        <f t="shared" si="287"/>
        <v>0</v>
      </c>
      <c r="BH788">
        <f t="shared" si="288"/>
        <v>0</v>
      </c>
      <c r="BI788">
        <f t="shared" si="289"/>
        <v>0</v>
      </c>
      <c r="BJ788">
        <f t="shared" si="290"/>
        <v>0</v>
      </c>
      <c r="BK788">
        <f t="shared" si="291"/>
        <v>0</v>
      </c>
      <c r="BL788">
        <f t="shared" si="292"/>
        <v>0</v>
      </c>
      <c r="BM788">
        <f t="shared" si="293"/>
        <v>0</v>
      </c>
      <c r="BN788">
        <f t="shared" si="294"/>
        <v>0</v>
      </c>
      <c r="BO788">
        <f t="shared" si="295"/>
        <v>0</v>
      </c>
      <c r="BP788">
        <f t="shared" si="296"/>
        <v>0</v>
      </c>
      <c r="BQ788">
        <f t="shared" si="297"/>
        <v>0</v>
      </c>
      <c r="BR788">
        <f t="shared" si="298"/>
        <v>0</v>
      </c>
      <c r="BS788">
        <f t="shared" si="299"/>
        <v>0</v>
      </c>
      <c r="BT788">
        <f t="shared" si="300"/>
        <v>0</v>
      </c>
      <c r="BU788">
        <f t="shared" si="301"/>
        <v>0</v>
      </c>
      <c r="BV788">
        <f t="shared" si="302"/>
        <v>0</v>
      </c>
      <c r="BW788">
        <f t="shared" si="303"/>
        <v>0</v>
      </c>
      <c r="CA788" t="str">
        <f>IF(589&gt;ROWS(DGArchive[模组]),"",IF(INDEX(DGArchive[模组],589)="","",INDEX(DGArchive[模组],589)))</f>
        <v/>
      </c>
      <c r="CB788" t="str">
        <f>IF(589&gt;ROWS(DGArchive[阶段]),"",IF(INDEX(DGArchive[阶段],589)="","",INDEX(DGArchive[阶段],589)))</f>
        <v/>
      </c>
      <c r="CC788" t="str">
        <f>IF(589&gt;ROWS(DGArchive[游戏内日期]),"",IF(INDEX(DGArchive[游戏内日期],589)="","",INDEX(DGArchive[游戏内日期],589)))</f>
        <v/>
      </c>
      <c r="CD788" t="str">
        <f>IF(589&gt;ROWS(DGArchive[目标]),"",IF(INDEX(DGArchive[目标],589)="","",INDEX(DGArchive[目标],589)))</f>
        <v/>
      </c>
      <c r="CE788" t="str">
        <f>IF(589&gt;ROWS(DGArchive[变更前]),"",IF(INDEX(DGArchive[变更前],589)="","",INDEX(DGArchive[变更前],589)))</f>
        <v/>
      </c>
      <c r="CF788" t="str">
        <f>IF(589&gt;ROWS(DGArchive[增减]),"",IF(INDEX(DGArchive[增减],589)="","",INDEX(DGArchive[增减],589)))</f>
        <v/>
      </c>
      <c r="CG788" t="str">
        <f>IF(589&gt;ROWS(DGArchive[变更后]),"",IF(INDEX(DGArchive[变更后],589)="","",INDEX(DGArchive[变更后],589)))</f>
        <v/>
      </c>
      <c r="CH788" t="str">
        <f>IF(589&gt;ROWS(DGArchive[事件／活动]),"",IF(INDEX(DGArchive[事件／活动],589)="","",INDEX(DGArchive[事件／活动],589)))</f>
        <v/>
      </c>
      <c r="CI788" t="str">
        <f>IF(589&gt;ROWS(DGArchive[记录编号]),"",IF(INDEX(DGArchive[记录编号],589)="","",INDEX(DGArchive[记录编号],589)))</f>
        <v/>
      </c>
      <c r="CL788">
        <f t="shared" si="284"/>
        <v>0</v>
      </c>
      <c r="CM788">
        <f>IF(AND(A788=$AO$5,B788=$AQ$3,H788=1),COUNTIFS($A$200:A788,$AO$5,$B$200:B788,$AQ$3,$H$200:H788,1),0)</f>
        <v>0</v>
      </c>
      <c r="CN788">
        <f>IF(CA788="",589,1001)</f>
        <v>589</v>
      </c>
      <c r="GA788">
        <f t="shared" si="304"/>
        <v>0</v>
      </c>
      <c r="GB788">
        <f t="shared" si="305"/>
        <v>0</v>
      </c>
      <c r="GC788">
        <f>IF(AND(C788="事件记录",H788=1),COUNTIFS($C$200:C788,"事件记录",$H$200:H788,1),0)</f>
        <v>0</v>
      </c>
      <c r="GD788">
        <f t="shared" si="285"/>
        <v>0</v>
      </c>
      <c r="GH788">
        <f>IF(AND(H788=1,A788=$GA$10,B788=$GA$11),COUNTIFS($A$200:A788,$GA$10,$B$200:B788,$GA$11,$H$200:H788,1),0)</f>
        <v>0</v>
      </c>
    </row>
    <row r="789" spans="1:190">
      <c r="A789" t="str">
        <f t="shared" si="276"/>
        <v/>
      </c>
      <c r="B789" t="str">
        <f t="shared" si="277"/>
        <v/>
      </c>
      <c r="C789" t="str">
        <f t="shared" si="278"/>
        <v/>
      </c>
      <c r="D789" t="str">
        <f t="shared" si="279"/>
        <v/>
      </c>
      <c r="E789">
        <f t="shared" si="280"/>
        <v>0</v>
      </c>
      <c r="F789" t="str">
        <f t="shared" si="281"/>
        <v/>
      </c>
      <c r="G789">
        <f t="shared" si="282"/>
        <v>0</v>
      </c>
      <c r="H789">
        <f>IF(AND(G789=1,COUNTIFS($I$200:I789,I789,$G$200:G789,1)=1),1,0)</f>
        <v>0</v>
      </c>
      <c r="I789" t="str">
        <f t="shared" si="283"/>
        <v/>
      </c>
      <c r="BF789">
        <f t="shared" si="286"/>
        <v>0</v>
      </c>
      <c r="BG789">
        <f t="shared" si="287"/>
        <v>0</v>
      </c>
      <c r="BH789">
        <f t="shared" si="288"/>
        <v>0</v>
      </c>
      <c r="BI789">
        <f t="shared" si="289"/>
        <v>0</v>
      </c>
      <c r="BJ789">
        <f t="shared" si="290"/>
        <v>0</v>
      </c>
      <c r="BK789">
        <f t="shared" si="291"/>
        <v>0</v>
      </c>
      <c r="BL789">
        <f t="shared" si="292"/>
        <v>0</v>
      </c>
      <c r="BM789">
        <f t="shared" si="293"/>
        <v>0</v>
      </c>
      <c r="BN789">
        <f t="shared" si="294"/>
        <v>0</v>
      </c>
      <c r="BO789">
        <f t="shared" si="295"/>
        <v>0</v>
      </c>
      <c r="BP789">
        <f t="shared" si="296"/>
        <v>0</v>
      </c>
      <c r="BQ789">
        <f t="shared" si="297"/>
        <v>0</v>
      </c>
      <c r="BR789">
        <f t="shared" si="298"/>
        <v>0</v>
      </c>
      <c r="BS789">
        <f t="shared" si="299"/>
        <v>0</v>
      </c>
      <c r="BT789">
        <f t="shared" si="300"/>
        <v>0</v>
      </c>
      <c r="BU789">
        <f t="shared" si="301"/>
        <v>0</v>
      </c>
      <c r="BV789">
        <f t="shared" si="302"/>
        <v>0</v>
      </c>
      <c r="BW789">
        <f t="shared" si="303"/>
        <v>0</v>
      </c>
      <c r="CA789" t="str">
        <f>IF(590&gt;ROWS(DGArchive[模组]),"",IF(INDEX(DGArchive[模组],590)="","",INDEX(DGArchive[模组],590)))</f>
        <v/>
      </c>
      <c r="CB789" t="str">
        <f>IF(590&gt;ROWS(DGArchive[阶段]),"",IF(INDEX(DGArchive[阶段],590)="","",INDEX(DGArchive[阶段],590)))</f>
        <v/>
      </c>
      <c r="CC789" t="str">
        <f>IF(590&gt;ROWS(DGArchive[游戏内日期]),"",IF(INDEX(DGArchive[游戏内日期],590)="","",INDEX(DGArchive[游戏内日期],590)))</f>
        <v/>
      </c>
      <c r="CD789" t="str">
        <f>IF(590&gt;ROWS(DGArchive[目标]),"",IF(INDEX(DGArchive[目标],590)="","",INDEX(DGArchive[目标],590)))</f>
        <v/>
      </c>
      <c r="CE789" t="str">
        <f>IF(590&gt;ROWS(DGArchive[变更前]),"",IF(INDEX(DGArchive[变更前],590)="","",INDEX(DGArchive[变更前],590)))</f>
        <v/>
      </c>
      <c r="CF789" t="str">
        <f>IF(590&gt;ROWS(DGArchive[增减]),"",IF(INDEX(DGArchive[增减],590)="","",INDEX(DGArchive[增减],590)))</f>
        <v/>
      </c>
      <c r="CG789" t="str">
        <f>IF(590&gt;ROWS(DGArchive[变更后]),"",IF(INDEX(DGArchive[变更后],590)="","",INDEX(DGArchive[变更后],590)))</f>
        <v/>
      </c>
      <c r="CH789" t="str">
        <f>IF(590&gt;ROWS(DGArchive[事件／活动]),"",IF(INDEX(DGArchive[事件／活动],590)="","",INDEX(DGArchive[事件／活动],590)))</f>
        <v/>
      </c>
      <c r="CI789" t="str">
        <f>IF(590&gt;ROWS(DGArchive[记录编号]),"",IF(INDEX(DGArchive[记录编号],590)="","",INDEX(DGArchive[记录编号],590)))</f>
        <v/>
      </c>
      <c r="CL789">
        <f t="shared" si="284"/>
        <v>0</v>
      </c>
      <c r="CM789">
        <f>IF(AND(A789=$AO$5,B789=$AQ$3,H789=1),COUNTIFS($A$200:A789,$AO$5,$B$200:B789,$AQ$3,$H$200:H789,1),0)</f>
        <v>0</v>
      </c>
      <c r="CN789">
        <f>IF(CA789="",590,1001)</f>
        <v>590</v>
      </c>
      <c r="GA789">
        <f t="shared" si="304"/>
        <v>0</v>
      </c>
      <c r="GB789">
        <f t="shared" si="305"/>
        <v>0</v>
      </c>
      <c r="GC789">
        <f>IF(AND(C789="事件记录",H789=1),COUNTIFS($C$200:C789,"事件记录",$H$200:H789,1),0)</f>
        <v>0</v>
      </c>
      <c r="GD789">
        <f t="shared" si="285"/>
        <v>0</v>
      </c>
      <c r="GH789">
        <f>IF(AND(H789=1,A789=$GA$10,B789=$GA$11),COUNTIFS($A$200:A789,$GA$10,$B$200:B789,$GA$11,$H$200:H789,1),0)</f>
        <v>0</v>
      </c>
    </row>
    <row r="790" spans="1:190">
      <c r="A790" t="str">
        <f t="shared" si="276"/>
        <v/>
      </c>
      <c r="B790" t="str">
        <f t="shared" si="277"/>
        <v/>
      </c>
      <c r="C790" t="str">
        <f t="shared" si="278"/>
        <v/>
      </c>
      <c r="D790" t="str">
        <f t="shared" si="279"/>
        <v/>
      </c>
      <c r="E790">
        <f t="shared" si="280"/>
        <v>0</v>
      </c>
      <c r="F790" t="str">
        <f t="shared" si="281"/>
        <v/>
      </c>
      <c r="G790">
        <f t="shared" si="282"/>
        <v>0</v>
      </c>
      <c r="H790">
        <f>IF(AND(G790=1,COUNTIFS($I$200:I790,I790,$G$200:G790,1)=1),1,0)</f>
        <v>0</v>
      </c>
      <c r="I790" t="str">
        <f t="shared" si="283"/>
        <v/>
      </c>
      <c r="BF790">
        <f t="shared" si="286"/>
        <v>0</v>
      </c>
      <c r="BG790">
        <f t="shared" si="287"/>
        <v>0</v>
      </c>
      <c r="BH790">
        <f t="shared" si="288"/>
        <v>0</v>
      </c>
      <c r="BI790">
        <f t="shared" si="289"/>
        <v>0</v>
      </c>
      <c r="BJ790">
        <f t="shared" si="290"/>
        <v>0</v>
      </c>
      <c r="BK790">
        <f t="shared" si="291"/>
        <v>0</v>
      </c>
      <c r="BL790">
        <f t="shared" si="292"/>
        <v>0</v>
      </c>
      <c r="BM790">
        <f t="shared" si="293"/>
        <v>0</v>
      </c>
      <c r="BN790">
        <f t="shared" si="294"/>
        <v>0</v>
      </c>
      <c r="BO790">
        <f t="shared" si="295"/>
        <v>0</v>
      </c>
      <c r="BP790">
        <f t="shared" si="296"/>
        <v>0</v>
      </c>
      <c r="BQ790">
        <f t="shared" si="297"/>
        <v>0</v>
      </c>
      <c r="BR790">
        <f t="shared" si="298"/>
        <v>0</v>
      </c>
      <c r="BS790">
        <f t="shared" si="299"/>
        <v>0</v>
      </c>
      <c r="BT790">
        <f t="shared" si="300"/>
        <v>0</v>
      </c>
      <c r="BU790">
        <f t="shared" si="301"/>
        <v>0</v>
      </c>
      <c r="BV790">
        <f t="shared" si="302"/>
        <v>0</v>
      </c>
      <c r="BW790">
        <f t="shared" si="303"/>
        <v>0</v>
      </c>
      <c r="CA790" t="str">
        <f>IF(591&gt;ROWS(DGArchive[模组]),"",IF(INDEX(DGArchive[模组],591)="","",INDEX(DGArchive[模组],591)))</f>
        <v/>
      </c>
      <c r="CB790" t="str">
        <f>IF(591&gt;ROWS(DGArchive[阶段]),"",IF(INDEX(DGArchive[阶段],591)="","",INDEX(DGArchive[阶段],591)))</f>
        <v/>
      </c>
      <c r="CC790" t="str">
        <f>IF(591&gt;ROWS(DGArchive[游戏内日期]),"",IF(INDEX(DGArchive[游戏内日期],591)="","",INDEX(DGArchive[游戏内日期],591)))</f>
        <v/>
      </c>
      <c r="CD790" t="str">
        <f>IF(591&gt;ROWS(DGArchive[目标]),"",IF(INDEX(DGArchive[目标],591)="","",INDEX(DGArchive[目标],591)))</f>
        <v/>
      </c>
      <c r="CE790" t="str">
        <f>IF(591&gt;ROWS(DGArchive[变更前]),"",IF(INDEX(DGArchive[变更前],591)="","",INDEX(DGArchive[变更前],591)))</f>
        <v/>
      </c>
      <c r="CF790" t="str">
        <f>IF(591&gt;ROWS(DGArchive[增减]),"",IF(INDEX(DGArchive[增减],591)="","",INDEX(DGArchive[增减],591)))</f>
        <v/>
      </c>
      <c r="CG790" t="str">
        <f>IF(591&gt;ROWS(DGArchive[变更后]),"",IF(INDEX(DGArchive[变更后],591)="","",INDEX(DGArchive[变更后],591)))</f>
        <v/>
      </c>
      <c r="CH790" t="str">
        <f>IF(591&gt;ROWS(DGArchive[事件／活动]),"",IF(INDEX(DGArchive[事件／活动],591)="","",INDEX(DGArchive[事件／活动],591)))</f>
        <v/>
      </c>
      <c r="CI790" t="str">
        <f>IF(591&gt;ROWS(DGArchive[记录编号]),"",IF(INDEX(DGArchive[记录编号],591)="","",INDEX(DGArchive[记录编号],591)))</f>
        <v/>
      </c>
      <c r="CL790">
        <f t="shared" si="284"/>
        <v>0</v>
      </c>
      <c r="CM790">
        <f>IF(AND(A790=$AO$5,B790=$AQ$3,H790=1),COUNTIFS($A$200:A790,$AO$5,$B$200:B790,$AQ$3,$H$200:H790,1),0)</f>
        <v>0</v>
      </c>
      <c r="CN790">
        <f>IF(CA790="",591,1001)</f>
        <v>591</v>
      </c>
      <c r="GA790">
        <f t="shared" si="304"/>
        <v>0</v>
      </c>
      <c r="GB790">
        <f t="shared" si="305"/>
        <v>0</v>
      </c>
      <c r="GC790">
        <f>IF(AND(C790="事件记录",H790=1),COUNTIFS($C$200:C790,"事件记录",$H$200:H790,1),0)</f>
        <v>0</v>
      </c>
      <c r="GD790">
        <f t="shared" si="285"/>
        <v>0</v>
      </c>
      <c r="GH790">
        <f>IF(AND(H790=1,A790=$GA$10,B790=$GA$11),COUNTIFS($A$200:A790,$GA$10,$B$200:B790,$GA$11,$H$200:H790,1),0)</f>
        <v>0</v>
      </c>
    </row>
    <row r="791" spans="1:190">
      <c r="A791" t="str">
        <f t="shared" si="276"/>
        <v/>
      </c>
      <c r="B791" t="str">
        <f t="shared" si="277"/>
        <v/>
      </c>
      <c r="C791" t="str">
        <f t="shared" si="278"/>
        <v/>
      </c>
      <c r="D791" t="str">
        <f t="shared" si="279"/>
        <v/>
      </c>
      <c r="E791">
        <f t="shared" si="280"/>
        <v>0</v>
      </c>
      <c r="F791" t="str">
        <f t="shared" si="281"/>
        <v/>
      </c>
      <c r="G791">
        <f t="shared" si="282"/>
        <v>0</v>
      </c>
      <c r="H791">
        <f>IF(AND(G791=1,COUNTIFS($I$200:I791,I791,$G$200:G791,1)=1),1,0)</f>
        <v>0</v>
      </c>
      <c r="I791" t="str">
        <f t="shared" si="283"/>
        <v/>
      </c>
      <c r="BF791">
        <f t="shared" si="286"/>
        <v>0</v>
      </c>
      <c r="BG791">
        <f t="shared" si="287"/>
        <v>0</v>
      </c>
      <c r="BH791">
        <f t="shared" si="288"/>
        <v>0</v>
      </c>
      <c r="BI791">
        <f t="shared" si="289"/>
        <v>0</v>
      </c>
      <c r="BJ791">
        <f t="shared" si="290"/>
        <v>0</v>
      </c>
      <c r="BK791">
        <f t="shared" si="291"/>
        <v>0</v>
      </c>
      <c r="BL791">
        <f t="shared" si="292"/>
        <v>0</v>
      </c>
      <c r="BM791">
        <f t="shared" si="293"/>
        <v>0</v>
      </c>
      <c r="BN791">
        <f t="shared" si="294"/>
        <v>0</v>
      </c>
      <c r="BO791">
        <f t="shared" si="295"/>
        <v>0</v>
      </c>
      <c r="BP791">
        <f t="shared" si="296"/>
        <v>0</v>
      </c>
      <c r="BQ791">
        <f t="shared" si="297"/>
        <v>0</v>
      </c>
      <c r="BR791">
        <f t="shared" si="298"/>
        <v>0</v>
      </c>
      <c r="BS791">
        <f t="shared" si="299"/>
        <v>0</v>
      </c>
      <c r="BT791">
        <f t="shared" si="300"/>
        <v>0</v>
      </c>
      <c r="BU791">
        <f t="shared" si="301"/>
        <v>0</v>
      </c>
      <c r="BV791">
        <f t="shared" si="302"/>
        <v>0</v>
      </c>
      <c r="BW791">
        <f t="shared" si="303"/>
        <v>0</v>
      </c>
      <c r="CA791" t="str">
        <f>IF(592&gt;ROWS(DGArchive[模组]),"",IF(INDEX(DGArchive[模组],592)="","",INDEX(DGArchive[模组],592)))</f>
        <v/>
      </c>
      <c r="CB791" t="str">
        <f>IF(592&gt;ROWS(DGArchive[阶段]),"",IF(INDEX(DGArchive[阶段],592)="","",INDEX(DGArchive[阶段],592)))</f>
        <v/>
      </c>
      <c r="CC791" t="str">
        <f>IF(592&gt;ROWS(DGArchive[游戏内日期]),"",IF(INDEX(DGArchive[游戏内日期],592)="","",INDEX(DGArchive[游戏内日期],592)))</f>
        <v/>
      </c>
      <c r="CD791" t="str">
        <f>IF(592&gt;ROWS(DGArchive[目标]),"",IF(INDEX(DGArchive[目标],592)="","",INDEX(DGArchive[目标],592)))</f>
        <v/>
      </c>
      <c r="CE791" t="str">
        <f>IF(592&gt;ROWS(DGArchive[变更前]),"",IF(INDEX(DGArchive[变更前],592)="","",INDEX(DGArchive[变更前],592)))</f>
        <v/>
      </c>
      <c r="CF791" t="str">
        <f>IF(592&gt;ROWS(DGArchive[增减]),"",IF(INDEX(DGArchive[增减],592)="","",INDEX(DGArchive[增减],592)))</f>
        <v/>
      </c>
      <c r="CG791" t="str">
        <f>IF(592&gt;ROWS(DGArchive[变更后]),"",IF(INDEX(DGArchive[变更后],592)="","",INDEX(DGArchive[变更后],592)))</f>
        <v/>
      </c>
      <c r="CH791" t="str">
        <f>IF(592&gt;ROWS(DGArchive[事件／活动]),"",IF(INDEX(DGArchive[事件／活动],592)="","",INDEX(DGArchive[事件／活动],592)))</f>
        <v/>
      </c>
      <c r="CI791" t="str">
        <f>IF(592&gt;ROWS(DGArchive[记录编号]),"",IF(INDEX(DGArchive[记录编号],592)="","",INDEX(DGArchive[记录编号],592)))</f>
        <v/>
      </c>
      <c r="CL791">
        <f t="shared" si="284"/>
        <v>0</v>
      </c>
      <c r="CM791">
        <f>IF(AND(A791=$AO$5,B791=$AQ$3,H791=1),COUNTIFS($A$200:A791,$AO$5,$B$200:B791,$AQ$3,$H$200:H791,1),0)</f>
        <v>0</v>
      </c>
      <c r="CN791">
        <f>IF(CA791="",592,1001)</f>
        <v>592</v>
      </c>
      <c r="GA791">
        <f t="shared" si="304"/>
        <v>0</v>
      </c>
      <c r="GB791">
        <f t="shared" si="305"/>
        <v>0</v>
      </c>
      <c r="GC791">
        <f>IF(AND(C791="事件记录",H791=1),COUNTIFS($C$200:C791,"事件记录",$H$200:H791,1),0)</f>
        <v>0</v>
      </c>
      <c r="GD791">
        <f t="shared" si="285"/>
        <v>0</v>
      </c>
      <c r="GH791">
        <f>IF(AND(H791=1,A791=$GA$10,B791=$GA$11),COUNTIFS($A$200:A791,$GA$10,$B$200:B791,$GA$11,$H$200:H791,1),0)</f>
        <v>0</v>
      </c>
    </row>
    <row r="792" spans="1:190">
      <c r="A792" t="str">
        <f t="shared" si="276"/>
        <v/>
      </c>
      <c r="B792" t="str">
        <f t="shared" si="277"/>
        <v/>
      </c>
      <c r="C792" t="str">
        <f t="shared" si="278"/>
        <v/>
      </c>
      <c r="D792" t="str">
        <f t="shared" si="279"/>
        <v/>
      </c>
      <c r="E792">
        <f t="shared" si="280"/>
        <v>0</v>
      </c>
      <c r="F792" t="str">
        <f t="shared" si="281"/>
        <v/>
      </c>
      <c r="G792">
        <f t="shared" si="282"/>
        <v>0</v>
      </c>
      <c r="H792">
        <f>IF(AND(G792=1,COUNTIFS($I$200:I792,I792,$G$200:G792,1)=1),1,0)</f>
        <v>0</v>
      </c>
      <c r="I792" t="str">
        <f t="shared" si="283"/>
        <v/>
      </c>
      <c r="BF792">
        <f t="shared" si="286"/>
        <v>0</v>
      </c>
      <c r="BG792">
        <f t="shared" si="287"/>
        <v>0</v>
      </c>
      <c r="BH792">
        <f t="shared" si="288"/>
        <v>0</v>
      </c>
      <c r="BI792">
        <f t="shared" si="289"/>
        <v>0</v>
      </c>
      <c r="BJ792">
        <f t="shared" si="290"/>
        <v>0</v>
      </c>
      <c r="BK792">
        <f t="shared" si="291"/>
        <v>0</v>
      </c>
      <c r="BL792">
        <f t="shared" si="292"/>
        <v>0</v>
      </c>
      <c r="BM792">
        <f t="shared" si="293"/>
        <v>0</v>
      </c>
      <c r="BN792">
        <f t="shared" si="294"/>
        <v>0</v>
      </c>
      <c r="BO792">
        <f t="shared" si="295"/>
        <v>0</v>
      </c>
      <c r="BP792">
        <f t="shared" si="296"/>
        <v>0</v>
      </c>
      <c r="BQ792">
        <f t="shared" si="297"/>
        <v>0</v>
      </c>
      <c r="BR792">
        <f t="shared" si="298"/>
        <v>0</v>
      </c>
      <c r="BS792">
        <f t="shared" si="299"/>
        <v>0</v>
      </c>
      <c r="BT792">
        <f t="shared" si="300"/>
        <v>0</v>
      </c>
      <c r="BU792">
        <f t="shared" si="301"/>
        <v>0</v>
      </c>
      <c r="BV792">
        <f t="shared" si="302"/>
        <v>0</v>
      </c>
      <c r="BW792">
        <f t="shared" si="303"/>
        <v>0</v>
      </c>
      <c r="CA792" t="str">
        <f>IF(593&gt;ROWS(DGArchive[模组]),"",IF(INDEX(DGArchive[模组],593)="","",INDEX(DGArchive[模组],593)))</f>
        <v/>
      </c>
      <c r="CB792" t="str">
        <f>IF(593&gt;ROWS(DGArchive[阶段]),"",IF(INDEX(DGArchive[阶段],593)="","",INDEX(DGArchive[阶段],593)))</f>
        <v/>
      </c>
      <c r="CC792" t="str">
        <f>IF(593&gt;ROWS(DGArchive[游戏内日期]),"",IF(INDEX(DGArchive[游戏内日期],593)="","",INDEX(DGArchive[游戏内日期],593)))</f>
        <v/>
      </c>
      <c r="CD792" t="str">
        <f>IF(593&gt;ROWS(DGArchive[目标]),"",IF(INDEX(DGArchive[目标],593)="","",INDEX(DGArchive[目标],593)))</f>
        <v/>
      </c>
      <c r="CE792" t="str">
        <f>IF(593&gt;ROWS(DGArchive[变更前]),"",IF(INDEX(DGArchive[变更前],593)="","",INDEX(DGArchive[变更前],593)))</f>
        <v/>
      </c>
      <c r="CF792" t="str">
        <f>IF(593&gt;ROWS(DGArchive[增减]),"",IF(INDEX(DGArchive[增减],593)="","",INDEX(DGArchive[增减],593)))</f>
        <v/>
      </c>
      <c r="CG792" t="str">
        <f>IF(593&gt;ROWS(DGArchive[变更后]),"",IF(INDEX(DGArchive[变更后],593)="","",INDEX(DGArchive[变更后],593)))</f>
        <v/>
      </c>
      <c r="CH792" t="str">
        <f>IF(593&gt;ROWS(DGArchive[事件／活动]),"",IF(INDEX(DGArchive[事件／活动],593)="","",INDEX(DGArchive[事件／活动],593)))</f>
        <v/>
      </c>
      <c r="CI792" t="str">
        <f>IF(593&gt;ROWS(DGArchive[记录编号]),"",IF(INDEX(DGArchive[记录编号],593)="","",INDEX(DGArchive[记录编号],593)))</f>
        <v/>
      </c>
      <c r="CL792">
        <f t="shared" si="284"/>
        <v>0</v>
      </c>
      <c r="CM792">
        <f>IF(AND(A792=$AO$5,B792=$AQ$3,H792=1),COUNTIFS($A$200:A792,$AO$5,$B$200:B792,$AQ$3,$H$200:H792,1),0)</f>
        <v>0</v>
      </c>
      <c r="CN792">
        <f>IF(CA792="",593,1001)</f>
        <v>593</v>
      </c>
      <c r="GA792">
        <f t="shared" si="304"/>
        <v>0</v>
      </c>
      <c r="GB792">
        <f t="shared" si="305"/>
        <v>0</v>
      </c>
      <c r="GC792">
        <f>IF(AND(C792="事件记录",H792=1),COUNTIFS($C$200:C792,"事件记录",$H$200:H792,1),0)</f>
        <v>0</v>
      </c>
      <c r="GD792">
        <f t="shared" si="285"/>
        <v>0</v>
      </c>
      <c r="GH792">
        <f>IF(AND(H792=1,A792=$GA$10,B792=$GA$11),COUNTIFS($A$200:A792,$GA$10,$B$200:B792,$GA$11,$H$200:H792,1),0)</f>
        <v>0</v>
      </c>
    </row>
    <row r="793" spans="1:190">
      <c r="A793" t="str">
        <f t="shared" si="276"/>
        <v/>
      </c>
      <c r="B793" t="str">
        <f t="shared" si="277"/>
        <v/>
      </c>
      <c r="C793" t="str">
        <f t="shared" si="278"/>
        <v/>
      </c>
      <c r="D793" t="str">
        <f t="shared" si="279"/>
        <v/>
      </c>
      <c r="E793">
        <f t="shared" si="280"/>
        <v>0</v>
      </c>
      <c r="F793" t="str">
        <f t="shared" si="281"/>
        <v/>
      </c>
      <c r="G793">
        <f t="shared" si="282"/>
        <v>0</v>
      </c>
      <c r="H793">
        <f>IF(AND(G793=1,COUNTIFS($I$200:I793,I793,$G$200:G793,1)=1),1,0)</f>
        <v>0</v>
      </c>
      <c r="I793" t="str">
        <f t="shared" si="283"/>
        <v/>
      </c>
      <c r="BF793">
        <f t="shared" si="286"/>
        <v>0</v>
      </c>
      <c r="BG793">
        <f t="shared" si="287"/>
        <v>0</v>
      </c>
      <c r="BH793">
        <f t="shared" si="288"/>
        <v>0</v>
      </c>
      <c r="BI793">
        <f t="shared" si="289"/>
        <v>0</v>
      </c>
      <c r="BJ793">
        <f t="shared" si="290"/>
        <v>0</v>
      </c>
      <c r="BK793">
        <f t="shared" si="291"/>
        <v>0</v>
      </c>
      <c r="BL793">
        <f t="shared" si="292"/>
        <v>0</v>
      </c>
      <c r="BM793">
        <f t="shared" si="293"/>
        <v>0</v>
      </c>
      <c r="BN793">
        <f t="shared" si="294"/>
        <v>0</v>
      </c>
      <c r="BO793">
        <f t="shared" si="295"/>
        <v>0</v>
      </c>
      <c r="BP793">
        <f t="shared" si="296"/>
        <v>0</v>
      </c>
      <c r="BQ793">
        <f t="shared" si="297"/>
        <v>0</v>
      </c>
      <c r="BR793">
        <f t="shared" si="298"/>
        <v>0</v>
      </c>
      <c r="BS793">
        <f t="shared" si="299"/>
        <v>0</v>
      </c>
      <c r="BT793">
        <f t="shared" si="300"/>
        <v>0</v>
      </c>
      <c r="BU793">
        <f t="shared" si="301"/>
        <v>0</v>
      </c>
      <c r="BV793">
        <f t="shared" si="302"/>
        <v>0</v>
      </c>
      <c r="BW793">
        <f t="shared" si="303"/>
        <v>0</v>
      </c>
      <c r="CA793" t="str">
        <f>IF(594&gt;ROWS(DGArchive[模组]),"",IF(INDEX(DGArchive[模组],594)="","",INDEX(DGArchive[模组],594)))</f>
        <v/>
      </c>
      <c r="CB793" t="str">
        <f>IF(594&gt;ROWS(DGArchive[阶段]),"",IF(INDEX(DGArchive[阶段],594)="","",INDEX(DGArchive[阶段],594)))</f>
        <v/>
      </c>
      <c r="CC793" t="str">
        <f>IF(594&gt;ROWS(DGArchive[游戏内日期]),"",IF(INDEX(DGArchive[游戏内日期],594)="","",INDEX(DGArchive[游戏内日期],594)))</f>
        <v/>
      </c>
      <c r="CD793" t="str">
        <f>IF(594&gt;ROWS(DGArchive[目标]),"",IF(INDEX(DGArchive[目标],594)="","",INDEX(DGArchive[目标],594)))</f>
        <v/>
      </c>
      <c r="CE793" t="str">
        <f>IF(594&gt;ROWS(DGArchive[变更前]),"",IF(INDEX(DGArchive[变更前],594)="","",INDEX(DGArchive[变更前],594)))</f>
        <v/>
      </c>
      <c r="CF793" t="str">
        <f>IF(594&gt;ROWS(DGArchive[增减]),"",IF(INDEX(DGArchive[增减],594)="","",INDEX(DGArchive[增减],594)))</f>
        <v/>
      </c>
      <c r="CG793" t="str">
        <f>IF(594&gt;ROWS(DGArchive[变更后]),"",IF(INDEX(DGArchive[变更后],594)="","",INDEX(DGArchive[变更后],594)))</f>
        <v/>
      </c>
      <c r="CH793" t="str">
        <f>IF(594&gt;ROWS(DGArchive[事件／活动]),"",IF(INDEX(DGArchive[事件／活动],594)="","",INDEX(DGArchive[事件／活动],594)))</f>
        <v/>
      </c>
      <c r="CI793" t="str">
        <f>IF(594&gt;ROWS(DGArchive[记录编号]),"",IF(INDEX(DGArchive[记录编号],594)="","",INDEX(DGArchive[记录编号],594)))</f>
        <v/>
      </c>
      <c r="CL793">
        <f t="shared" si="284"/>
        <v>0</v>
      </c>
      <c r="CM793">
        <f>IF(AND(A793=$AO$5,B793=$AQ$3,H793=1),COUNTIFS($A$200:A793,$AO$5,$B$200:B793,$AQ$3,$H$200:H793,1),0)</f>
        <v>0</v>
      </c>
      <c r="CN793">
        <f>IF(CA793="",594,1001)</f>
        <v>594</v>
      </c>
      <c r="GA793">
        <f t="shared" si="304"/>
        <v>0</v>
      </c>
      <c r="GB793">
        <f t="shared" si="305"/>
        <v>0</v>
      </c>
      <c r="GC793">
        <f>IF(AND(C793="事件记录",H793=1),COUNTIFS($C$200:C793,"事件记录",$H$200:H793,1),0)</f>
        <v>0</v>
      </c>
      <c r="GD793">
        <f t="shared" si="285"/>
        <v>0</v>
      </c>
      <c r="GH793">
        <f>IF(AND(H793=1,A793=$GA$10,B793=$GA$11),COUNTIFS($A$200:A793,$GA$10,$B$200:B793,$GA$11,$H$200:H793,1),0)</f>
        <v>0</v>
      </c>
    </row>
    <row r="794" spans="1:190">
      <c r="A794" t="str">
        <f t="shared" si="276"/>
        <v/>
      </c>
      <c r="B794" t="str">
        <f t="shared" si="277"/>
        <v/>
      </c>
      <c r="C794" t="str">
        <f t="shared" si="278"/>
        <v/>
      </c>
      <c r="D794" t="str">
        <f t="shared" si="279"/>
        <v/>
      </c>
      <c r="E794">
        <f t="shared" si="280"/>
        <v>0</v>
      </c>
      <c r="F794" t="str">
        <f t="shared" si="281"/>
        <v/>
      </c>
      <c r="G794">
        <f t="shared" si="282"/>
        <v>0</v>
      </c>
      <c r="H794">
        <f>IF(AND(G794=1,COUNTIFS($I$200:I794,I794,$G$200:G794,1)=1),1,0)</f>
        <v>0</v>
      </c>
      <c r="I794" t="str">
        <f t="shared" si="283"/>
        <v/>
      </c>
      <c r="BF794">
        <f t="shared" si="286"/>
        <v>0</v>
      </c>
      <c r="BG794">
        <f t="shared" si="287"/>
        <v>0</v>
      </c>
      <c r="BH794">
        <f t="shared" si="288"/>
        <v>0</v>
      </c>
      <c r="BI794">
        <f t="shared" si="289"/>
        <v>0</v>
      </c>
      <c r="BJ794">
        <f t="shared" si="290"/>
        <v>0</v>
      </c>
      <c r="BK794">
        <f t="shared" si="291"/>
        <v>0</v>
      </c>
      <c r="BL794">
        <f t="shared" si="292"/>
        <v>0</v>
      </c>
      <c r="BM794">
        <f t="shared" si="293"/>
        <v>0</v>
      </c>
      <c r="BN794">
        <f t="shared" si="294"/>
        <v>0</v>
      </c>
      <c r="BO794">
        <f t="shared" si="295"/>
        <v>0</v>
      </c>
      <c r="BP794">
        <f t="shared" si="296"/>
        <v>0</v>
      </c>
      <c r="BQ794">
        <f t="shared" si="297"/>
        <v>0</v>
      </c>
      <c r="BR794">
        <f t="shared" si="298"/>
        <v>0</v>
      </c>
      <c r="BS794">
        <f t="shared" si="299"/>
        <v>0</v>
      </c>
      <c r="BT794">
        <f t="shared" si="300"/>
        <v>0</v>
      </c>
      <c r="BU794">
        <f t="shared" si="301"/>
        <v>0</v>
      </c>
      <c r="BV794">
        <f t="shared" si="302"/>
        <v>0</v>
      </c>
      <c r="BW794">
        <f t="shared" si="303"/>
        <v>0</v>
      </c>
      <c r="CA794" t="str">
        <f>IF(595&gt;ROWS(DGArchive[模组]),"",IF(INDEX(DGArchive[模组],595)="","",INDEX(DGArchive[模组],595)))</f>
        <v/>
      </c>
      <c r="CB794" t="str">
        <f>IF(595&gt;ROWS(DGArchive[阶段]),"",IF(INDEX(DGArchive[阶段],595)="","",INDEX(DGArchive[阶段],595)))</f>
        <v/>
      </c>
      <c r="CC794" t="str">
        <f>IF(595&gt;ROWS(DGArchive[游戏内日期]),"",IF(INDEX(DGArchive[游戏内日期],595)="","",INDEX(DGArchive[游戏内日期],595)))</f>
        <v/>
      </c>
      <c r="CD794" t="str">
        <f>IF(595&gt;ROWS(DGArchive[目标]),"",IF(INDEX(DGArchive[目标],595)="","",INDEX(DGArchive[目标],595)))</f>
        <v/>
      </c>
      <c r="CE794" t="str">
        <f>IF(595&gt;ROWS(DGArchive[变更前]),"",IF(INDEX(DGArchive[变更前],595)="","",INDEX(DGArchive[变更前],595)))</f>
        <v/>
      </c>
      <c r="CF794" t="str">
        <f>IF(595&gt;ROWS(DGArchive[增减]),"",IF(INDEX(DGArchive[增减],595)="","",INDEX(DGArchive[增减],595)))</f>
        <v/>
      </c>
      <c r="CG794" t="str">
        <f>IF(595&gt;ROWS(DGArchive[变更后]),"",IF(INDEX(DGArchive[变更后],595)="","",INDEX(DGArchive[变更后],595)))</f>
        <v/>
      </c>
      <c r="CH794" t="str">
        <f>IF(595&gt;ROWS(DGArchive[事件／活动]),"",IF(INDEX(DGArchive[事件／活动],595)="","",INDEX(DGArchive[事件／活动],595)))</f>
        <v/>
      </c>
      <c r="CI794" t="str">
        <f>IF(595&gt;ROWS(DGArchive[记录编号]),"",IF(INDEX(DGArchive[记录编号],595)="","",INDEX(DGArchive[记录编号],595)))</f>
        <v/>
      </c>
      <c r="CL794">
        <f t="shared" si="284"/>
        <v>0</v>
      </c>
      <c r="CM794">
        <f>IF(AND(A794=$AO$5,B794=$AQ$3,H794=1),COUNTIFS($A$200:A794,$AO$5,$B$200:B794,$AQ$3,$H$200:H794,1),0)</f>
        <v>0</v>
      </c>
      <c r="CN794">
        <f>IF(CA794="",595,1001)</f>
        <v>595</v>
      </c>
      <c r="GA794">
        <f t="shared" si="304"/>
        <v>0</v>
      </c>
      <c r="GB794">
        <f t="shared" si="305"/>
        <v>0</v>
      </c>
      <c r="GC794">
        <f>IF(AND(C794="事件记录",H794=1),COUNTIFS($C$200:C794,"事件记录",$H$200:H794,1),0)</f>
        <v>0</v>
      </c>
      <c r="GD794">
        <f t="shared" si="285"/>
        <v>0</v>
      </c>
      <c r="GH794">
        <f>IF(AND(H794=1,A794=$GA$10,B794=$GA$11),COUNTIFS($A$200:A794,$GA$10,$B$200:B794,$GA$11,$H$200:H794,1),0)</f>
        <v>0</v>
      </c>
    </row>
    <row r="795" spans="1:190">
      <c r="A795" t="str">
        <f t="shared" si="276"/>
        <v/>
      </c>
      <c r="B795" t="str">
        <f t="shared" si="277"/>
        <v/>
      </c>
      <c r="C795" t="str">
        <f t="shared" si="278"/>
        <v/>
      </c>
      <c r="D795" t="str">
        <f t="shared" si="279"/>
        <v/>
      </c>
      <c r="E795">
        <f t="shared" si="280"/>
        <v>0</v>
      </c>
      <c r="F795" t="str">
        <f t="shared" si="281"/>
        <v/>
      </c>
      <c r="G795">
        <f t="shared" si="282"/>
        <v>0</v>
      </c>
      <c r="H795">
        <f>IF(AND(G795=1,COUNTIFS($I$200:I795,I795,$G$200:G795,1)=1),1,0)</f>
        <v>0</v>
      </c>
      <c r="I795" t="str">
        <f t="shared" si="283"/>
        <v/>
      </c>
      <c r="BF795">
        <f t="shared" si="286"/>
        <v>0</v>
      </c>
      <c r="BG795">
        <f t="shared" si="287"/>
        <v>0</v>
      </c>
      <c r="BH795">
        <f t="shared" si="288"/>
        <v>0</v>
      </c>
      <c r="BI795">
        <f t="shared" si="289"/>
        <v>0</v>
      </c>
      <c r="BJ795">
        <f t="shared" si="290"/>
        <v>0</v>
      </c>
      <c r="BK795">
        <f t="shared" si="291"/>
        <v>0</v>
      </c>
      <c r="BL795">
        <f t="shared" si="292"/>
        <v>0</v>
      </c>
      <c r="BM795">
        <f t="shared" si="293"/>
        <v>0</v>
      </c>
      <c r="BN795">
        <f t="shared" si="294"/>
        <v>0</v>
      </c>
      <c r="BO795">
        <f t="shared" si="295"/>
        <v>0</v>
      </c>
      <c r="BP795">
        <f t="shared" si="296"/>
        <v>0</v>
      </c>
      <c r="BQ795">
        <f t="shared" si="297"/>
        <v>0</v>
      </c>
      <c r="BR795">
        <f t="shared" si="298"/>
        <v>0</v>
      </c>
      <c r="BS795">
        <f t="shared" si="299"/>
        <v>0</v>
      </c>
      <c r="BT795">
        <f t="shared" si="300"/>
        <v>0</v>
      </c>
      <c r="BU795">
        <f t="shared" si="301"/>
        <v>0</v>
      </c>
      <c r="BV795">
        <f t="shared" si="302"/>
        <v>0</v>
      </c>
      <c r="BW795">
        <f t="shared" si="303"/>
        <v>0</v>
      </c>
      <c r="CA795" t="str">
        <f>IF(596&gt;ROWS(DGArchive[模组]),"",IF(INDEX(DGArchive[模组],596)="","",INDEX(DGArchive[模组],596)))</f>
        <v/>
      </c>
      <c r="CB795" t="str">
        <f>IF(596&gt;ROWS(DGArchive[阶段]),"",IF(INDEX(DGArchive[阶段],596)="","",INDEX(DGArchive[阶段],596)))</f>
        <v/>
      </c>
      <c r="CC795" t="str">
        <f>IF(596&gt;ROWS(DGArchive[游戏内日期]),"",IF(INDEX(DGArchive[游戏内日期],596)="","",INDEX(DGArchive[游戏内日期],596)))</f>
        <v/>
      </c>
      <c r="CD795" t="str">
        <f>IF(596&gt;ROWS(DGArchive[目标]),"",IF(INDEX(DGArchive[目标],596)="","",INDEX(DGArchive[目标],596)))</f>
        <v/>
      </c>
      <c r="CE795" t="str">
        <f>IF(596&gt;ROWS(DGArchive[变更前]),"",IF(INDEX(DGArchive[变更前],596)="","",INDEX(DGArchive[变更前],596)))</f>
        <v/>
      </c>
      <c r="CF795" t="str">
        <f>IF(596&gt;ROWS(DGArchive[增减]),"",IF(INDEX(DGArchive[增减],596)="","",INDEX(DGArchive[增减],596)))</f>
        <v/>
      </c>
      <c r="CG795" t="str">
        <f>IF(596&gt;ROWS(DGArchive[变更后]),"",IF(INDEX(DGArchive[变更后],596)="","",INDEX(DGArchive[变更后],596)))</f>
        <v/>
      </c>
      <c r="CH795" t="str">
        <f>IF(596&gt;ROWS(DGArchive[事件／活动]),"",IF(INDEX(DGArchive[事件／活动],596)="","",INDEX(DGArchive[事件／活动],596)))</f>
        <v/>
      </c>
      <c r="CI795" t="str">
        <f>IF(596&gt;ROWS(DGArchive[记录编号]),"",IF(INDEX(DGArchive[记录编号],596)="","",INDEX(DGArchive[记录编号],596)))</f>
        <v/>
      </c>
      <c r="CL795">
        <f t="shared" si="284"/>
        <v>0</v>
      </c>
      <c r="CM795">
        <f>IF(AND(A795=$AO$5,B795=$AQ$3,H795=1),COUNTIFS($A$200:A795,$AO$5,$B$200:B795,$AQ$3,$H$200:H795,1),0)</f>
        <v>0</v>
      </c>
      <c r="CN795">
        <f>IF(CA795="",596,1001)</f>
        <v>596</v>
      </c>
      <c r="GA795">
        <f t="shared" si="304"/>
        <v>0</v>
      </c>
      <c r="GB795">
        <f t="shared" si="305"/>
        <v>0</v>
      </c>
      <c r="GC795">
        <f>IF(AND(C795="事件记录",H795=1),COUNTIFS($C$200:C795,"事件记录",$H$200:H795,1),0)</f>
        <v>0</v>
      </c>
      <c r="GD795">
        <f t="shared" si="285"/>
        <v>0</v>
      </c>
      <c r="GH795">
        <f>IF(AND(H795=1,A795=$GA$10,B795=$GA$11),COUNTIFS($A$200:A795,$GA$10,$B$200:B795,$GA$11,$H$200:H795,1),0)</f>
        <v>0</v>
      </c>
    </row>
    <row r="796" spans="1:190">
      <c r="A796" t="str">
        <f t="shared" si="276"/>
        <v/>
      </c>
      <c r="B796" t="str">
        <f t="shared" si="277"/>
        <v/>
      </c>
      <c r="C796" t="str">
        <f t="shared" si="278"/>
        <v/>
      </c>
      <c r="D796" t="str">
        <f t="shared" si="279"/>
        <v/>
      </c>
      <c r="E796">
        <f t="shared" si="280"/>
        <v>0</v>
      </c>
      <c r="F796" t="str">
        <f t="shared" si="281"/>
        <v/>
      </c>
      <c r="G796">
        <f t="shared" si="282"/>
        <v>0</v>
      </c>
      <c r="H796">
        <f>IF(AND(G796=1,COUNTIFS($I$200:I796,I796,$G$200:G796,1)=1),1,0)</f>
        <v>0</v>
      </c>
      <c r="I796" t="str">
        <f t="shared" si="283"/>
        <v/>
      </c>
      <c r="BF796">
        <f t="shared" si="286"/>
        <v>0</v>
      </c>
      <c r="BG796">
        <f t="shared" si="287"/>
        <v>0</v>
      </c>
      <c r="BH796">
        <f t="shared" si="288"/>
        <v>0</v>
      </c>
      <c r="BI796">
        <f t="shared" si="289"/>
        <v>0</v>
      </c>
      <c r="BJ796">
        <f t="shared" si="290"/>
        <v>0</v>
      </c>
      <c r="BK796">
        <f t="shared" si="291"/>
        <v>0</v>
      </c>
      <c r="BL796">
        <f t="shared" si="292"/>
        <v>0</v>
      </c>
      <c r="BM796">
        <f t="shared" si="293"/>
        <v>0</v>
      </c>
      <c r="BN796">
        <f t="shared" si="294"/>
        <v>0</v>
      </c>
      <c r="BO796">
        <f t="shared" si="295"/>
        <v>0</v>
      </c>
      <c r="BP796">
        <f t="shared" si="296"/>
        <v>0</v>
      </c>
      <c r="BQ796">
        <f t="shared" si="297"/>
        <v>0</v>
      </c>
      <c r="BR796">
        <f t="shared" si="298"/>
        <v>0</v>
      </c>
      <c r="BS796">
        <f t="shared" si="299"/>
        <v>0</v>
      </c>
      <c r="BT796">
        <f t="shared" si="300"/>
        <v>0</v>
      </c>
      <c r="BU796">
        <f t="shared" si="301"/>
        <v>0</v>
      </c>
      <c r="BV796">
        <f t="shared" si="302"/>
        <v>0</v>
      </c>
      <c r="BW796">
        <f t="shared" si="303"/>
        <v>0</v>
      </c>
      <c r="CA796" t="str">
        <f>IF(597&gt;ROWS(DGArchive[模组]),"",IF(INDEX(DGArchive[模组],597)="","",INDEX(DGArchive[模组],597)))</f>
        <v/>
      </c>
      <c r="CB796" t="str">
        <f>IF(597&gt;ROWS(DGArchive[阶段]),"",IF(INDEX(DGArchive[阶段],597)="","",INDEX(DGArchive[阶段],597)))</f>
        <v/>
      </c>
      <c r="CC796" t="str">
        <f>IF(597&gt;ROWS(DGArchive[游戏内日期]),"",IF(INDEX(DGArchive[游戏内日期],597)="","",INDEX(DGArchive[游戏内日期],597)))</f>
        <v/>
      </c>
      <c r="CD796" t="str">
        <f>IF(597&gt;ROWS(DGArchive[目标]),"",IF(INDEX(DGArchive[目标],597)="","",INDEX(DGArchive[目标],597)))</f>
        <v/>
      </c>
      <c r="CE796" t="str">
        <f>IF(597&gt;ROWS(DGArchive[变更前]),"",IF(INDEX(DGArchive[变更前],597)="","",INDEX(DGArchive[变更前],597)))</f>
        <v/>
      </c>
      <c r="CF796" t="str">
        <f>IF(597&gt;ROWS(DGArchive[增减]),"",IF(INDEX(DGArchive[增减],597)="","",INDEX(DGArchive[增减],597)))</f>
        <v/>
      </c>
      <c r="CG796" t="str">
        <f>IF(597&gt;ROWS(DGArchive[变更后]),"",IF(INDEX(DGArchive[变更后],597)="","",INDEX(DGArchive[变更后],597)))</f>
        <v/>
      </c>
      <c r="CH796" t="str">
        <f>IF(597&gt;ROWS(DGArchive[事件／活动]),"",IF(INDEX(DGArchive[事件／活动],597)="","",INDEX(DGArchive[事件／活动],597)))</f>
        <v/>
      </c>
      <c r="CI796" t="str">
        <f>IF(597&gt;ROWS(DGArchive[记录编号]),"",IF(INDEX(DGArchive[记录编号],597)="","",INDEX(DGArchive[记录编号],597)))</f>
        <v/>
      </c>
      <c r="CL796">
        <f t="shared" si="284"/>
        <v>0</v>
      </c>
      <c r="CM796">
        <f>IF(AND(A796=$AO$5,B796=$AQ$3,H796=1),COUNTIFS($A$200:A796,$AO$5,$B$200:B796,$AQ$3,$H$200:H796,1),0)</f>
        <v>0</v>
      </c>
      <c r="CN796">
        <f>IF(CA796="",597,1001)</f>
        <v>597</v>
      </c>
      <c r="GA796">
        <f t="shared" si="304"/>
        <v>0</v>
      </c>
      <c r="GB796">
        <f t="shared" si="305"/>
        <v>0</v>
      </c>
      <c r="GC796">
        <f>IF(AND(C796="事件记录",H796=1),COUNTIFS($C$200:C796,"事件记录",$H$200:H796,1),0)</f>
        <v>0</v>
      </c>
      <c r="GD796">
        <f t="shared" si="285"/>
        <v>0</v>
      </c>
      <c r="GH796">
        <f>IF(AND(H796=1,A796=$GA$10,B796=$GA$11),COUNTIFS($A$200:A796,$GA$10,$B$200:B796,$GA$11,$H$200:H796,1),0)</f>
        <v>0</v>
      </c>
    </row>
    <row r="797" spans="1:190">
      <c r="A797" t="str">
        <f t="shared" si="276"/>
        <v/>
      </c>
      <c r="B797" t="str">
        <f t="shared" si="277"/>
        <v/>
      </c>
      <c r="C797" t="str">
        <f t="shared" si="278"/>
        <v/>
      </c>
      <c r="D797" t="str">
        <f t="shared" si="279"/>
        <v/>
      </c>
      <c r="E797">
        <f t="shared" si="280"/>
        <v>0</v>
      </c>
      <c r="F797" t="str">
        <f t="shared" si="281"/>
        <v/>
      </c>
      <c r="G797">
        <f t="shared" si="282"/>
        <v>0</v>
      </c>
      <c r="H797">
        <f>IF(AND(G797=1,COUNTIFS($I$200:I797,I797,$G$200:G797,1)=1),1,0)</f>
        <v>0</v>
      </c>
      <c r="I797" t="str">
        <f t="shared" si="283"/>
        <v/>
      </c>
      <c r="BF797">
        <f t="shared" si="286"/>
        <v>0</v>
      </c>
      <c r="BG797">
        <f t="shared" si="287"/>
        <v>0</v>
      </c>
      <c r="BH797">
        <f t="shared" si="288"/>
        <v>0</v>
      </c>
      <c r="BI797">
        <f t="shared" si="289"/>
        <v>0</v>
      </c>
      <c r="BJ797">
        <f t="shared" si="290"/>
        <v>0</v>
      </c>
      <c r="BK797">
        <f t="shared" si="291"/>
        <v>0</v>
      </c>
      <c r="BL797">
        <f t="shared" si="292"/>
        <v>0</v>
      </c>
      <c r="BM797">
        <f t="shared" si="293"/>
        <v>0</v>
      </c>
      <c r="BN797">
        <f t="shared" si="294"/>
        <v>0</v>
      </c>
      <c r="BO797">
        <f t="shared" si="295"/>
        <v>0</v>
      </c>
      <c r="BP797">
        <f t="shared" si="296"/>
        <v>0</v>
      </c>
      <c r="BQ797">
        <f t="shared" si="297"/>
        <v>0</v>
      </c>
      <c r="BR797">
        <f t="shared" si="298"/>
        <v>0</v>
      </c>
      <c r="BS797">
        <f t="shared" si="299"/>
        <v>0</v>
      </c>
      <c r="BT797">
        <f t="shared" si="300"/>
        <v>0</v>
      </c>
      <c r="BU797">
        <f t="shared" si="301"/>
        <v>0</v>
      </c>
      <c r="BV797">
        <f t="shared" si="302"/>
        <v>0</v>
      </c>
      <c r="BW797">
        <f t="shared" si="303"/>
        <v>0</v>
      </c>
      <c r="CA797" t="str">
        <f>IF(598&gt;ROWS(DGArchive[模组]),"",IF(INDEX(DGArchive[模组],598)="","",INDEX(DGArchive[模组],598)))</f>
        <v/>
      </c>
      <c r="CB797" t="str">
        <f>IF(598&gt;ROWS(DGArchive[阶段]),"",IF(INDEX(DGArchive[阶段],598)="","",INDEX(DGArchive[阶段],598)))</f>
        <v/>
      </c>
      <c r="CC797" t="str">
        <f>IF(598&gt;ROWS(DGArchive[游戏内日期]),"",IF(INDEX(DGArchive[游戏内日期],598)="","",INDEX(DGArchive[游戏内日期],598)))</f>
        <v/>
      </c>
      <c r="CD797" t="str">
        <f>IF(598&gt;ROWS(DGArchive[目标]),"",IF(INDEX(DGArchive[目标],598)="","",INDEX(DGArchive[目标],598)))</f>
        <v/>
      </c>
      <c r="CE797" t="str">
        <f>IF(598&gt;ROWS(DGArchive[变更前]),"",IF(INDEX(DGArchive[变更前],598)="","",INDEX(DGArchive[变更前],598)))</f>
        <v/>
      </c>
      <c r="CF797" t="str">
        <f>IF(598&gt;ROWS(DGArchive[增减]),"",IF(INDEX(DGArchive[增减],598)="","",INDEX(DGArchive[增减],598)))</f>
        <v/>
      </c>
      <c r="CG797" t="str">
        <f>IF(598&gt;ROWS(DGArchive[变更后]),"",IF(INDEX(DGArchive[变更后],598)="","",INDEX(DGArchive[变更后],598)))</f>
        <v/>
      </c>
      <c r="CH797" t="str">
        <f>IF(598&gt;ROWS(DGArchive[事件／活动]),"",IF(INDEX(DGArchive[事件／活动],598)="","",INDEX(DGArchive[事件／活动],598)))</f>
        <v/>
      </c>
      <c r="CI797" t="str">
        <f>IF(598&gt;ROWS(DGArchive[记录编号]),"",IF(INDEX(DGArchive[记录编号],598)="","",INDEX(DGArchive[记录编号],598)))</f>
        <v/>
      </c>
      <c r="CL797">
        <f t="shared" si="284"/>
        <v>0</v>
      </c>
      <c r="CM797">
        <f>IF(AND(A797=$AO$5,B797=$AQ$3,H797=1),COUNTIFS($A$200:A797,$AO$5,$B$200:B797,$AQ$3,$H$200:H797,1),0)</f>
        <v>0</v>
      </c>
      <c r="CN797">
        <f>IF(CA797="",598,1001)</f>
        <v>598</v>
      </c>
      <c r="GA797">
        <f t="shared" si="304"/>
        <v>0</v>
      </c>
      <c r="GB797">
        <f t="shared" si="305"/>
        <v>0</v>
      </c>
      <c r="GC797">
        <f>IF(AND(C797="事件记录",H797=1),COUNTIFS($C$200:C797,"事件记录",$H$200:H797,1),0)</f>
        <v>0</v>
      </c>
      <c r="GD797">
        <f t="shared" si="285"/>
        <v>0</v>
      </c>
      <c r="GH797">
        <f>IF(AND(H797=1,A797=$GA$10,B797=$GA$11),COUNTIFS($A$200:A797,$GA$10,$B$200:B797,$GA$11,$H$200:H797,1),0)</f>
        <v>0</v>
      </c>
    </row>
    <row r="798" spans="1:190">
      <c r="A798" t="str">
        <f t="shared" si="276"/>
        <v/>
      </c>
      <c r="B798" t="str">
        <f t="shared" si="277"/>
        <v/>
      </c>
      <c r="C798" t="str">
        <f t="shared" si="278"/>
        <v/>
      </c>
      <c r="D798" t="str">
        <f t="shared" si="279"/>
        <v/>
      </c>
      <c r="E798">
        <f t="shared" si="280"/>
        <v>0</v>
      </c>
      <c r="F798" t="str">
        <f t="shared" si="281"/>
        <v/>
      </c>
      <c r="G798">
        <f t="shared" si="282"/>
        <v>0</v>
      </c>
      <c r="H798">
        <f>IF(AND(G798=1,COUNTIFS($I$200:I798,I798,$G$200:G798,1)=1),1,0)</f>
        <v>0</v>
      </c>
      <c r="I798" t="str">
        <f t="shared" si="283"/>
        <v/>
      </c>
      <c r="BF798">
        <f t="shared" si="286"/>
        <v>0</v>
      </c>
      <c r="BG798">
        <f t="shared" si="287"/>
        <v>0</v>
      </c>
      <c r="BH798">
        <f t="shared" si="288"/>
        <v>0</v>
      </c>
      <c r="BI798">
        <f t="shared" si="289"/>
        <v>0</v>
      </c>
      <c r="BJ798">
        <f t="shared" si="290"/>
        <v>0</v>
      </c>
      <c r="BK798">
        <f t="shared" si="291"/>
        <v>0</v>
      </c>
      <c r="BL798">
        <f t="shared" si="292"/>
        <v>0</v>
      </c>
      <c r="BM798">
        <f t="shared" si="293"/>
        <v>0</v>
      </c>
      <c r="BN798">
        <f t="shared" si="294"/>
        <v>0</v>
      </c>
      <c r="BO798">
        <f t="shared" si="295"/>
        <v>0</v>
      </c>
      <c r="BP798">
        <f t="shared" si="296"/>
        <v>0</v>
      </c>
      <c r="BQ798">
        <f t="shared" si="297"/>
        <v>0</v>
      </c>
      <c r="BR798">
        <f t="shared" si="298"/>
        <v>0</v>
      </c>
      <c r="BS798">
        <f t="shared" si="299"/>
        <v>0</v>
      </c>
      <c r="BT798">
        <f t="shared" si="300"/>
        <v>0</v>
      </c>
      <c r="BU798">
        <f t="shared" si="301"/>
        <v>0</v>
      </c>
      <c r="BV798">
        <f t="shared" si="302"/>
        <v>0</v>
      </c>
      <c r="BW798">
        <f t="shared" si="303"/>
        <v>0</v>
      </c>
      <c r="CA798" t="str">
        <f>IF(599&gt;ROWS(DGArchive[模组]),"",IF(INDEX(DGArchive[模组],599)="","",INDEX(DGArchive[模组],599)))</f>
        <v/>
      </c>
      <c r="CB798" t="str">
        <f>IF(599&gt;ROWS(DGArchive[阶段]),"",IF(INDEX(DGArchive[阶段],599)="","",INDEX(DGArchive[阶段],599)))</f>
        <v/>
      </c>
      <c r="CC798" t="str">
        <f>IF(599&gt;ROWS(DGArchive[游戏内日期]),"",IF(INDEX(DGArchive[游戏内日期],599)="","",INDEX(DGArchive[游戏内日期],599)))</f>
        <v/>
      </c>
      <c r="CD798" t="str">
        <f>IF(599&gt;ROWS(DGArchive[目标]),"",IF(INDEX(DGArchive[目标],599)="","",INDEX(DGArchive[目标],599)))</f>
        <v/>
      </c>
      <c r="CE798" t="str">
        <f>IF(599&gt;ROWS(DGArchive[变更前]),"",IF(INDEX(DGArchive[变更前],599)="","",INDEX(DGArchive[变更前],599)))</f>
        <v/>
      </c>
      <c r="CF798" t="str">
        <f>IF(599&gt;ROWS(DGArchive[增减]),"",IF(INDEX(DGArchive[增减],599)="","",INDEX(DGArchive[增减],599)))</f>
        <v/>
      </c>
      <c r="CG798" t="str">
        <f>IF(599&gt;ROWS(DGArchive[变更后]),"",IF(INDEX(DGArchive[变更后],599)="","",INDEX(DGArchive[变更后],599)))</f>
        <v/>
      </c>
      <c r="CH798" t="str">
        <f>IF(599&gt;ROWS(DGArchive[事件／活动]),"",IF(INDEX(DGArchive[事件／活动],599)="","",INDEX(DGArchive[事件／活动],599)))</f>
        <v/>
      </c>
      <c r="CI798" t="str">
        <f>IF(599&gt;ROWS(DGArchive[记录编号]),"",IF(INDEX(DGArchive[记录编号],599)="","",INDEX(DGArchive[记录编号],599)))</f>
        <v/>
      </c>
      <c r="CL798">
        <f t="shared" si="284"/>
        <v>0</v>
      </c>
      <c r="CM798">
        <f>IF(AND(A798=$AO$5,B798=$AQ$3,H798=1),COUNTIFS($A$200:A798,$AO$5,$B$200:B798,$AQ$3,$H$200:H798,1),0)</f>
        <v>0</v>
      </c>
      <c r="CN798">
        <f>IF(CA798="",599,1001)</f>
        <v>599</v>
      </c>
      <c r="GA798">
        <f t="shared" si="304"/>
        <v>0</v>
      </c>
      <c r="GB798">
        <f t="shared" si="305"/>
        <v>0</v>
      </c>
      <c r="GC798">
        <f>IF(AND(C798="事件记录",H798=1),COUNTIFS($C$200:C798,"事件记录",$H$200:H798,1),0)</f>
        <v>0</v>
      </c>
      <c r="GD798">
        <f t="shared" si="285"/>
        <v>0</v>
      </c>
      <c r="GH798">
        <f>IF(AND(H798=1,A798=$GA$10,B798=$GA$11),COUNTIFS($A$200:A798,$GA$10,$B$200:B798,$GA$11,$H$200:H798,1),0)</f>
        <v>0</v>
      </c>
    </row>
    <row r="799" spans="1:190">
      <c r="A799" t="str">
        <f t="shared" si="276"/>
        <v/>
      </c>
      <c r="B799" t="str">
        <f t="shared" si="277"/>
        <v/>
      </c>
      <c r="C799" t="str">
        <f t="shared" si="278"/>
        <v/>
      </c>
      <c r="D799" t="str">
        <f t="shared" si="279"/>
        <v/>
      </c>
      <c r="E799">
        <f t="shared" si="280"/>
        <v>0</v>
      </c>
      <c r="F799" t="str">
        <f t="shared" si="281"/>
        <v/>
      </c>
      <c r="G799">
        <f t="shared" si="282"/>
        <v>0</v>
      </c>
      <c r="H799">
        <f>IF(AND(G799=1,COUNTIFS($I$200:I799,I799,$G$200:G799,1)=1),1,0)</f>
        <v>0</v>
      </c>
      <c r="I799" t="str">
        <f t="shared" si="283"/>
        <v/>
      </c>
      <c r="BF799">
        <f t="shared" si="286"/>
        <v>0</v>
      </c>
      <c r="BG799">
        <f t="shared" si="287"/>
        <v>0</v>
      </c>
      <c r="BH799">
        <f t="shared" si="288"/>
        <v>0</v>
      </c>
      <c r="BI799">
        <f t="shared" si="289"/>
        <v>0</v>
      </c>
      <c r="BJ799">
        <f t="shared" si="290"/>
        <v>0</v>
      </c>
      <c r="BK799">
        <f t="shared" si="291"/>
        <v>0</v>
      </c>
      <c r="BL799">
        <f t="shared" si="292"/>
        <v>0</v>
      </c>
      <c r="BM799">
        <f t="shared" si="293"/>
        <v>0</v>
      </c>
      <c r="BN799">
        <f t="shared" si="294"/>
        <v>0</v>
      </c>
      <c r="BO799">
        <f t="shared" si="295"/>
        <v>0</v>
      </c>
      <c r="BP799">
        <f t="shared" si="296"/>
        <v>0</v>
      </c>
      <c r="BQ799">
        <f t="shared" si="297"/>
        <v>0</v>
      </c>
      <c r="BR799">
        <f t="shared" si="298"/>
        <v>0</v>
      </c>
      <c r="BS799">
        <f t="shared" si="299"/>
        <v>0</v>
      </c>
      <c r="BT799">
        <f t="shared" si="300"/>
        <v>0</v>
      </c>
      <c r="BU799">
        <f t="shared" si="301"/>
        <v>0</v>
      </c>
      <c r="BV799">
        <f t="shared" si="302"/>
        <v>0</v>
      </c>
      <c r="BW799">
        <f t="shared" si="303"/>
        <v>0</v>
      </c>
      <c r="CA799" t="str">
        <f>IF(600&gt;ROWS(DGArchive[模组]),"",IF(INDEX(DGArchive[模组],600)="","",INDEX(DGArchive[模组],600)))</f>
        <v/>
      </c>
      <c r="CB799" t="str">
        <f>IF(600&gt;ROWS(DGArchive[阶段]),"",IF(INDEX(DGArchive[阶段],600)="","",INDEX(DGArchive[阶段],600)))</f>
        <v/>
      </c>
      <c r="CC799" t="str">
        <f>IF(600&gt;ROWS(DGArchive[游戏内日期]),"",IF(INDEX(DGArchive[游戏内日期],600)="","",INDEX(DGArchive[游戏内日期],600)))</f>
        <v/>
      </c>
      <c r="CD799" t="str">
        <f>IF(600&gt;ROWS(DGArchive[目标]),"",IF(INDEX(DGArchive[目标],600)="","",INDEX(DGArchive[目标],600)))</f>
        <v/>
      </c>
      <c r="CE799" t="str">
        <f>IF(600&gt;ROWS(DGArchive[变更前]),"",IF(INDEX(DGArchive[变更前],600)="","",INDEX(DGArchive[变更前],600)))</f>
        <v/>
      </c>
      <c r="CF799" t="str">
        <f>IF(600&gt;ROWS(DGArchive[增减]),"",IF(INDEX(DGArchive[增减],600)="","",INDEX(DGArchive[增减],600)))</f>
        <v/>
      </c>
      <c r="CG799" t="str">
        <f>IF(600&gt;ROWS(DGArchive[变更后]),"",IF(INDEX(DGArchive[变更后],600)="","",INDEX(DGArchive[变更后],600)))</f>
        <v/>
      </c>
      <c r="CH799" t="str">
        <f>IF(600&gt;ROWS(DGArchive[事件／活动]),"",IF(INDEX(DGArchive[事件／活动],600)="","",INDEX(DGArchive[事件／活动],600)))</f>
        <v/>
      </c>
      <c r="CI799" t="str">
        <f>IF(600&gt;ROWS(DGArchive[记录编号]),"",IF(INDEX(DGArchive[记录编号],600)="","",INDEX(DGArchive[记录编号],600)))</f>
        <v/>
      </c>
      <c r="CL799">
        <f t="shared" si="284"/>
        <v>0</v>
      </c>
      <c r="CM799">
        <f>IF(AND(A799=$AO$5,B799=$AQ$3,H799=1),COUNTIFS($A$200:A799,$AO$5,$B$200:B799,$AQ$3,$H$200:H799,1),0)</f>
        <v>0</v>
      </c>
      <c r="CN799">
        <f>IF(CA799="",600,1001)</f>
        <v>600</v>
      </c>
      <c r="GA799">
        <f t="shared" si="304"/>
        <v>0</v>
      </c>
      <c r="GB799">
        <f t="shared" si="305"/>
        <v>0</v>
      </c>
      <c r="GC799">
        <f>IF(AND(C799="事件记录",H799=1),COUNTIFS($C$200:C799,"事件记录",$H$200:H799,1),0)</f>
        <v>0</v>
      </c>
      <c r="GD799">
        <f t="shared" si="285"/>
        <v>0</v>
      </c>
      <c r="GH799">
        <f>IF(AND(H799=1,A799=$GA$10,B799=$GA$11),COUNTIFS($A$200:A799,$GA$10,$B$200:B799,$GA$11,$H$200:H799,1),0)</f>
        <v>0</v>
      </c>
    </row>
    <row r="800" spans="1:190">
      <c r="A800" t="str">
        <f t="shared" si="276"/>
        <v/>
      </c>
      <c r="B800" t="str">
        <f t="shared" si="277"/>
        <v/>
      </c>
      <c r="C800" t="str">
        <f t="shared" si="278"/>
        <v/>
      </c>
      <c r="D800" t="str">
        <f t="shared" si="279"/>
        <v/>
      </c>
      <c r="E800">
        <f t="shared" si="280"/>
        <v>0</v>
      </c>
      <c r="F800" t="str">
        <f t="shared" si="281"/>
        <v/>
      </c>
      <c r="G800">
        <f t="shared" si="282"/>
        <v>0</v>
      </c>
      <c r="H800">
        <f>IF(AND(G800=1,COUNTIFS($I$200:I800,I800,$G$200:G800,1)=1),1,0)</f>
        <v>0</v>
      </c>
      <c r="I800" t="str">
        <f t="shared" si="283"/>
        <v/>
      </c>
      <c r="BF800">
        <f t="shared" si="286"/>
        <v>0</v>
      </c>
      <c r="BG800">
        <f t="shared" si="287"/>
        <v>0</v>
      </c>
      <c r="BH800">
        <f t="shared" si="288"/>
        <v>0</v>
      </c>
      <c r="BI800">
        <f t="shared" si="289"/>
        <v>0</v>
      </c>
      <c r="BJ800">
        <f t="shared" si="290"/>
        <v>0</v>
      </c>
      <c r="BK800">
        <f t="shared" si="291"/>
        <v>0</v>
      </c>
      <c r="BL800">
        <f t="shared" si="292"/>
        <v>0</v>
      </c>
      <c r="BM800">
        <f t="shared" si="293"/>
        <v>0</v>
      </c>
      <c r="BN800">
        <f t="shared" si="294"/>
        <v>0</v>
      </c>
      <c r="BO800">
        <f t="shared" si="295"/>
        <v>0</v>
      </c>
      <c r="BP800">
        <f t="shared" si="296"/>
        <v>0</v>
      </c>
      <c r="BQ800">
        <f t="shared" si="297"/>
        <v>0</v>
      </c>
      <c r="BR800">
        <f t="shared" si="298"/>
        <v>0</v>
      </c>
      <c r="BS800">
        <f t="shared" si="299"/>
        <v>0</v>
      </c>
      <c r="BT800">
        <f t="shared" si="300"/>
        <v>0</v>
      </c>
      <c r="BU800">
        <f t="shared" si="301"/>
        <v>0</v>
      </c>
      <c r="BV800">
        <f t="shared" si="302"/>
        <v>0</v>
      </c>
      <c r="BW800">
        <f t="shared" si="303"/>
        <v>0</v>
      </c>
      <c r="CA800" t="str">
        <f>IF(601&gt;ROWS(DGArchive[模组]),"",IF(INDEX(DGArchive[模组],601)="","",INDEX(DGArchive[模组],601)))</f>
        <v/>
      </c>
      <c r="CB800" t="str">
        <f>IF(601&gt;ROWS(DGArchive[阶段]),"",IF(INDEX(DGArchive[阶段],601)="","",INDEX(DGArchive[阶段],601)))</f>
        <v/>
      </c>
      <c r="CC800" t="str">
        <f>IF(601&gt;ROWS(DGArchive[游戏内日期]),"",IF(INDEX(DGArchive[游戏内日期],601)="","",INDEX(DGArchive[游戏内日期],601)))</f>
        <v/>
      </c>
      <c r="CD800" t="str">
        <f>IF(601&gt;ROWS(DGArchive[目标]),"",IF(INDEX(DGArchive[目标],601)="","",INDEX(DGArchive[目标],601)))</f>
        <v/>
      </c>
      <c r="CE800" t="str">
        <f>IF(601&gt;ROWS(DGArchive[变更前]),"",IF(INDEX(DGArchive[变更前],601)="","",INDEX(DGArchive[变更前],601)))</f>
        <v/>
      </c>
      <c r="CF800" t="str">
        <f>IF(601&gt;ROWS(DGArchive[增减]),"",IF(INDEX(DGArchive[增减],601)="","",INDEX(DGArchive[增减],601)))</f>
        <v/>
      </c>
      <c r="CG800" t="str">
        <f>IF(601&gt;ROWS(DGArchive[变更后]),"",IF(INDEX(DGArchive[变更后],601)="","",INDEX(DGArchive[变更后],601)))</f>
        <v/>
      </c>
      <c r="CH800" t="str">
        <f>IF(601&gt;ROWS(DGArchive[事件／活动]),"",IF(INDEX(DGArchive[事件／活动],601)="","",INDEX(DGArchive[事件／活动],601)))</f>
        <v/>
      </c>
      <c r="CI800" t="str">
        <f>IF(601&gt;ROWS(DGArchive[记录编号]),"",IF(INDEX(DGArchive[记录编号],601)="","",INDEX(DGArchive[记录编号],601)))</f>
        <v/>
      </c>
      <c r="CL800">
        <f t="shared" si="284"/>
        <v>0</v>
      </c>
      <c r="CM800">
        <f>IF(AND(A800=$AO$5,B800=$AQ$3,H800=1),COUNTIFS($A$200:A800,$AO$5,$B$200:B800,$AQ$3,$H$200:H800,1),0)</f>
        <v>0</v>
      </c>
      <c r="CN800">
        <f>IF(CA800="",601,1001)</f>
        <v>601</v>
      </c>
      <c r="GA800">
        <f t="shared" si="304"/>
        <v>0</v>
      </c>
      <c r="GB800">
        <f t="shared" si="305"/>
        <v>0</v>
      </c>
      <c r="GC800">
        <f>IF(AND(C800="事件记录",H800=1),COUNTIFS($C$200:C800,"事件记录",$H$200:H800,1),0)</f>
        <v>0</v>
      </c>
      <c r="GD800">
        <f t="shared" si="285"/>
        <v>0</v>
      </c>
      <c r="GH800">
        <f>IF(AND(H800=1,A800=$GA$10,B800=$GA$11),COUNTIFS($A$200:A800,$GA$10,$B$200:B800,$GA$11,$H$200:H800,1),0)</f>
        <v>0</v>
      </c>
    </row>
    <row r="801" spans="1:190">
      <c r="A801" t="str">
        <f t="shared" si="276"/>
        <v/>
      </c>
      <c r="B801" t="str">
        <f t="shared" si="277"/>
        <v/>
      </c>
      <c r="C801" t="str">
        <f t="shared" si="278"/>
        <v/>
      </c>
      <c r="D801" t="str">
        <f t="shared" si="279"/>
        <v/>
      </c>
      <c r="E801">
        <f t="shared" si="280"/>
        <v>0</v>
      </c>
      <c r="F801" t="str">
        <f t="shared" si="281"/>
        <v/>
      </c>
      <c r="G801">
        <f t="shared" si="282"/>
        <v>0</v>
      </c>
      <c r="H801">
        <f>IF(AND(G801=1,COUNTIFS($I$200:I801,I801,$G$200:G801,1)=1),1,0)</f>
        <v>0</v>
      </c>
      <c r="I801" t="str">
        <f t="shared" si="283"/>
        <v/>
      </c>
      <c r="BF801">
        <f t="shared" si="286"/>
        <v>0</v>
      </c>
      <c r="BG801">
        <f t="shared" si="287"/>
        <v>0</v>
      </c>
      <c r="BH801">
        <f t="shared" si="288"/>
        <v>0</v>
      </c>
      <c r="BI801">
        <f t="shared" si="289"/>
        <v>0</v>
      </c>
      <c r="BJ801">
        <f t="shared" si="290"/>
        <v>0</v>
      </c>
      <c r="BK801">
        <f t="shared" si="291"/>
        <v>0</v>
      </c>
      <c r="BL801">
        <f t="shared" si="292"/>
        <v>0</v>
      </c>
      <c r="BM801">
        <f t="shared" si="293"/>
        <v>0</v>
      </c>
      <c r="BN801">
        <f t="shared" si="294"/>
        <v>0</v>
      </c>
      <c r="BO801">
        <f t="shared" si="295"/>
        <v>0</v>
      </c>
      <c r="BP801">
        <f t="shared" si="296"/>
        <v>0</v>
      </c>
      <c r="BQ801">
        <f t="shared" si="297"/>
        <v>0</v>
      </c>
      <c r="BR801">
        <f t="shared" si="298"/>
        <v>0</v>
      </c>
      <c r="BS801">
        <f t="shared" si="299"/>
        <v>0</v>
      </c>
      <c r="BT801">
        <f t="shared" si="300"/>
        <v>0</v>
      </c>
      <c r="BU801">
        <f t="shared" si="301"/>
        <v>0</v>
      </c>
      <c r="BV801">
        <f t="shared" si="302"/>
        <v>0</v>
      </c>
      <c r="BW801">
        <f t="shared" si="303"/>
        <v>0</v>
      </c>
      <c r="CA801" t="str">
        <f>IF(602&gt;ROWS(DGArchive[模组]),"",IF(INDEX(DGArchive[模组],602)="","",INDEX(DGArchive[模组],602)))</f>
        <v/>
      </c>
      <c r="CB801" t="str">
        <f>IF(602&gt;ROWS(DGArchive[阶段]),"",IF(INDEX(DGArchive[阶段],602)="","",INDEX(DGArchive[阶段],602)))</f>
        <v/>
      </c>
      <c r="CC801" t="str">
        <f>IF(602&gt;ROWS(DGArchive[游戏内日期]),"",IF(INDEX(DGArchive[游戏内日期],602)="","",INDEX(DGArchive[游戏内日期],602)))</f>
        <v/>
      </c>
      <c r="CD801" t="str">
        <f>IF(602&gt;ROWS(DGArchive[目标]),"",IF(INDEX(DGArchive[目标],602)="","",INDEX(DGArchive[目标],602)))</f>
        <v/>
      </c>
      <c r="CE801" t="str">
        <f>IF(602&gt;ROWS(DGArchive[变更前]),"",IF(INDEX(DGArchive[变更前],602)="","",INDEX(DGArchive[变更前],602)))</f>
        <v/>
      </c>
      <c r="CF801" t="str">
        <f>IF(602&gt;ROWS(DGArchive[增减]),"",IF(INDEX(DGArchive[增减],602)="","",INDEX(DGArchive[增减],602)))</f>
        <v/>
      </c>
      <c r="CG801" t="str">
        <f>IF(602&gt;ROWS(DGArchive[变更后]),"",IF(INDEX(DGArchive[变更后],602)="","",INDEX(DGArchive[变更后],602)))</f>
        <v/>
      </c>
      <c r="CH801" t="str">
        <f>IF(602&gt;ROWS(DGArchive[事件／活动]),"",IF(INDEX(DGArchive[事件／活动],602)="","",INDEX(DGArchive[事件／活动],602)))</f>
        <v/>
      </c>
      <c r="CI801" t="str">
        <f>IF(602&gt;ROWS(DGArchive[记录编号]),"",IF(INDEX(DGArchive[记录编号],602)="","",INDEX(DGArchive[记录编号],602)))</f>
        <v/>
      </c>
      <c r="CL801">
        <f t="shared" si="284"/>
        <v>0</v>
      </c>
      <c r="CM801">
        <f>IF(AND(A801=$AO$5,B801=$AQ$3,H801=1),COUNTIFS($A$200:A801,$AO$5,$B$200:B801,$AQ$3,$H$200:H801,1),0)</f>
        <v>0</v>
      </c>
      <c r="CN801">
        <f>IF(CA801="",602,1001)</f>
        <v>602</v>
      </c>
      <c r="GA801">
        <f t="shared" si="304"/>
        <v>0</v>
      </c>
      <c r="GB801">
        <f t="shared" si="305"/>
        <v>0</v>
      </c>
      <c r="GC801">
        <f>IF(AND(C801="事件记录",H801=1),COUNTIFS($C$200:C801,"事件记录",$H$200:H801,1),0)</f>
        <v>0</v>
      </c>
      <c r="GD801">
        <f t="shared" si="285"/>
        <v>0</v>
      </c>
      <c r="GH801">
        <f>IF(AND(H801=1,A801=$GA$10,B801=$GA$11),COUNTIFS($A$200:A801,$GA$10,$B$200:B801,$GA$11,$H$200:H801,1),0)</f>
        <v>0</v>
      </c>
    </row>
    <row r="802" spans="1:190">
      <c r="A802" t="str">
        <f t="shared" si="276"/>
        <v/>
      </c>
      <c r="B802" t="str">
        <f t="shared" si="277"/>
        <v/>
      </c>
      <c r="C802" t="str">
        <f t="shared" si="278"/>
        <v/>
      </c>
      <c r="D802" t="str">
        <f t="shared" si="279"/>
        <v/>
      </c>
      <c r="E802">
        <f t="shared" si="280"/>
        <v>0</v>
      </c>
      <c r="F802" t="str">
        <f t="shared" si="281"/>
        <v/>
      </c>
      <c r="G802">
        <f t="shared" si="282"/>
        <v>0</v>
      </c>
      <c r="H802">
        <f>IF(AND(G802=1,COUNTIFS($I$200:I802,I802,$G$200:G802,1)=1),1,0)</f>
        <v>0</v>
      </c>
      <c r="I802" t="str">
        <f t="shared" si="283"/>
        <v/>
      </c>
      <c r="BF802">
        <f t="shared" si="286"/>
        <v>0</v>
      </c>
      <c r="BG802">
        <f t="shared" si="287"/>
        <v>0</v>
      </c>
      <c r="BH802">
        <f t="shared" si="288"/>
        <v>0</v>
      </c>
      <c r="BI802">
        <f t="shared" si="289"/>
        <v>0</v>
      </c>
      <c r="BJ802">
        <f t="shared" si="290"/>
        <v>0</v>
      </c>
      <c r="BK802">
        <f t="shared" si="291"/>
        <v>0</v>
      </c>
      <c r="BL802">
        <f t="shared" si="292"/>
        <v>0</v>
      </c>
      <c r="BM802">
        <f t="shared" si="293"/>
        <v>0</v>
      </c>
      <c r="BN802">
        <f t="shared" si="294"/>
        <v>0</v>
      </c>
      <c r="BO802">
        <f t="shared" si="295"/>
        <v>0</v>
      </c>
      <c r="BP802">
        <f t="shared" si="296"/>
        <v>0</v>
      </c>
      <c r="BQ802">
        <f t="shared" si="297"/>
        <v>0</v>
      </c>
      <c r="BR802">
        <f t="shared" si="298"/>
        <v>0</v>
      </c>
      <c r="BS802">
        <f t="shared" si="299"/>
        <v>0</v>
      </c>
      <c r="BT802">
        <f t="shared" si="300"/>
        <v>0</v>
      </c>
      <c r="BU802">
        <f t="shared" si="301"/>
        <v>0</v>
      </c>
      <c r="BV802">
        <f t="shared" si="302"/>
        <v>0</v>
      </c>
      <c r="BW802">
        <f t="shared" si="303"/>
        <v>0</v>
      </c>
      <c r="CA802" t="str">
        <f>IF(603&gt;ROWS(DGArchive[模组]),"",IF(INDEX(DGArchive[模组],603)="","",INDEX(DGArchive[模组],603)))</f>
        <v/>
      </c>
      <c r="CB802" t="str">
        <f>IF(603&gt;ROWS(DGArchive[阶段]),"",IF(INDEX(DGArchive[阶段],603)="","",INDEX(DGArchive[阶段],603)))</f>
        <v/>
      </c>
      <c r="CC802" t="str">
        <f>IF(603&gt;ROWS(DGArchive[游戏内日期]),"",IF(INDEX(DGArchive[游戏内日期],603)="","",INDEX(DGArchive[游戏内日期],603)))</f>
        <v/>
      </c>
      <c r="CD802" t="str">
        <f>IF(603&gt;ROWS(DGArchive[目标]),"",IF(INDEX(DGArchive[目标],603)="","",INDEX(DGArchive[目标],603)))</f>
        <v/>
      </c>
      <c r="CE802" t="str">
        <f>IF(603&gt;ROWS(DGArchive[变更前]),"",IF(INDEX(DGArchive[变更前],603)="","",INDEX(DGArchive[变更前],603)))</f>
        <v/>
      </c>
      <c r="CF802" t="str">
        <f>IF(603&gt;ROWS(DGArchive[增减]),"",IF(INDEX(DGArchive[增减],603)="","",INDEX(DGArchive[增减],603)))</f>
        <v/>
      </c>
      <c r="CG802" t="str">
        <f>IF(603&gt;ROWS(DGArchive[变更后]),"",IF(INDEX(DGArchive[变更后],603)="","",INDEX(DGArchive[变更后],603)))</f>
        <v/>
      </c>
      <c r="CH802" t="str">
        <f>IF(603&gt;ROWS(DGArchive[事件／活动]),"",IF(INDEX(DGArchive[事件／活动],603)="","",INDEX(DGArchive[事件／活动],603)))</f>
        <v/>
      </c>
      <c r="CI802" t="str">
        <f>IF(603&gt;ROWS(DGArchive[记录编号]),"",IF(INDEX(DGArchive[记录编号],603)="","",INDEX(DGArchive[记录编号],603)))</f>
        <v/>
      </c>
      <c r="CL802">
        <f t="shared" si="284"/>
        <v>0</v>
      </c>
      <c r="CM802">
        <f>IF(AND(A802=$AO$5,B802=$AQ$3,H802=1),COUNTIFS($A$200:A802,$AO$5,$B$200:B802,$AQ$3,$H$200:H802,1),0)</f>
        <v>0</v>
      </c>
      <c r="CN802">
        <f>IF(CA802="",603,1001)</f>
        <v>603</v>
      </c>
      <c r="GA802">
        <f t="shared" si="304"/>
        <v>0</v>
      </c>
      <c r="GB802">
        <f t="shared" si="305"/>
        <v>0</v>
      </c>
      <c r="GC802">
        <f>IF(AND(C802="事件记录",H802=1),COUNTIFS($C$200:C802,"事件记录",$H$200:H802,1),0)</f>
        <v>0</v>
      </c>
      <c r="GD802">
        <f t="shared" si="285"/>
        <v>0</v>
      </c>
      <c r="GH802">
        <f>IF(AND(H802=1,A802=$GA$10,B802=$GA$11),COUNTIFS($A$200:A802,$GA$10,$B$200:B802,$GA$11,$H$200:H802,1),0)</f>
        <v>0</v>
      </c>
    </row>
    <row r="803" spans="1:190">
      <c r="A803" t="str">
        <f t="shared" si="276"/>
        <v/>
      </c>
      <c r="B803" t="str">
        <f t="shared" si="277"/>
        <v/>
      </c>
      <c r="C803" t="str">
        <f t="shared" si="278"/>
        <v/>
      </c>
      <c r="D803" t="str">
        <f t="shared" si="279"/>
        <v/>
      </c>
      <c r="E803">
        <f t="shared" si="280"/>
        <v>0</v>
      </c>
      <c r="F803" t="str">
        <f t="shared" si="281"/>
        <v/>
      </c>
      <c r="G803">
        <f t="shared" si="282"/>
        <v>0</v>
      </c>
      <c r="H803">
        <f>IF(AND(G803=1,COUNTIFS($I$200:I803,I803,$G$200:G803,1)=1),1,0)</f>
        <v>0</v>
      </c>
      <c r="I803" t="str">
        <f t="shared" si="283"/>
        <v/>
      </c>
      <c r="BF803">
        <f t="shared" si="286"/>
        <v>0</v>
      </c>
      <c r="BG803">
        <f t="shared" si="287"/>
        <v>0</v>
      </c>
      <c r="BH803">
        <f t="shared" si="288"/>
        <v>0</v>
      </c>
      <c r="BI803">
        <f t="shared" si="289"/>
        <v>0</v>
      </c>
      <c r="BJ803">
        <f t="shared" si="290"/>
        <v>0</v>
      </c>
      <c r="BK803">
        <f t="shared" si="291"/>
        <v>0</v>
      </c>
      <c r="BL803">
        <f t="shared" si="292"/>
        <v>0</v>
      </c>
      <c r="BM803">
        <f t="shared" si="293"/>
        <v>0</v>
      </c>
      <c r="BN803">
        <f t="shared" si="294"/>
        <v>0</v>
      </c>
      <c r="BO803">
        <f t="shared" si="295"/>
        <v>0</v>
      </c>
      <c r="BP803">
        <f t="shared" si="296"/>
        <v>0</v>
      </c>
      <c r="BQ803">
        <f t="shared" si="297"/>
        <v>0</v>
      </c>
      <c r="BR803">
        <f t="shared" si="298"/>
        <v>0</v>
      </c>
      <c r="BS803">
        <f t="shared" si="299"/>
        <v>0</v>
      </c>
      <c r="BT803">
        <f t="shared" si="300"/>
        <v>0</v>
      </c>
      <c r="BU803">
        <f t="shared" si="301"/>
        <v>0</v>
      </c>
      <c r="BV803">
        <f t="shared" si="302"/>
        <v>0</v>
      </c>
      <c r="BW803">
        <f t="shared" si="303"/>
        <v>0</v>
      </c>
      <c r="CA803" t="str">
        <f>IF(604&gt;ROWS(DGArchive[模组]),"",IF(INDEX(DGArchive[模组],604)="","",INDEX(DGArchive[模组],604)))</f>
        <v/>
      </c>
      <c r="CB803" t="str">
        <f>IF(604&gt;ROWS(DGArchive[阶段]),"",IF(INDEX(DGArchive[阶段],604)="","",INDEX(DGArchive[阶段],604)))</f>
        <v/>
      </c>
      <c r="CC803" t="str">
        <f>IF(604&gt;ROWS(DGArchive[游戏内日期]),"",IF(INDEX(DGArchive[游戏内日期],604)="","",INDEX(DGArchive[游戏内日期],604)))</f>
        <v/>
      </c>
      <c r="CD803" t="str">
        <f>IF(604&gt;ROWS(DGArchive[目标]),"",IF(INDEX(DGArchive[目标],604)="","",INDEX(DGArchive[目标],604)))</f>
        <v/>
      </c>
      <c r="CE803" t="str">
        <f>IF(604&gt;ROWS(DGArchive[变更前]),"",IF(INDEX(DGArchive[变更前],604)="","",INDEX(DGArchive[变更前],604)))</f>
        <v/>
      </c>
      <c r="CF803" t="str">
        <f>IF(604&gt;ROWS(DGArchive[增减]),"",IF(INDEX(DGArchive[增减],604)="","",INDEX(DGArchive[增减],604)))</f>
        <v/>
      </c>
      <c r="CG803" t="str">
        <f>IF(604&gt;ROWS(DGArchive[变更后]),"",IF(INDEX(DGArchive[变更后],604)="","",INDEX(DGArchive[变更后],604)))</f>
        <v/>
      </c>
      <c r="CH803" t="str">
        <f>IF(604&gt;ROWS(DGArchive[事件／活动]),"",IF(INDEX(DGArchive[事件／活动],604)="","",INDEX(DGArchive[事件／活动],604)))</f>
        <v/>
      </c>
      <c r="CI803" t="str">
        <f>IF(604&gt;ROWS(DGArchive[记录编号]),"",IF(INDEX(DGArchive[记录编号],604)="","",INDEX(DGArchive[记录编号],604)))</f>
        <v/>
      </c>
      <c r="CL803">
        <f t="shared" si="284"/>
        <v>0</v>
      </c>
      <c r="CM803">
        <f>IF(AND(A803=$AO$5,B803=$AQ$3,H803=1),COUNTIFS($A$200:A803,$AO$5,$B$200:B803,$AQ$3,$H$200:H803,1),0)</f>
        <v>0</v>
      </c>
      <c r="CN803">
        <f>IF(CA803="",604,1001)</f>
        <v>604</v>
      </c>
      <c r="GA803">
        <f t="shared" si="304"/>
        <v>0</v>
      </c>
      <c r="GB803">
        <f t="shared" si="305"/>
        <v>0</v>
      </c>
      <c r="GC803">
        <f>IF(AND(C803="事件记录",H803=1),COUNTIFS($C$200:C803,"事件记录",$H$200:H803,1),0)</f>
        <v>0</v>
      </c>
      <c r="GD803">
        <f t="shared" si="285"/>
        <v>0</v>
      </c>
      <c r="GH803">
        <f>IF(AND(H803=1,A803=$GA$10,B803=$GA$11),COUNTIFS($A$200:A803,$GA$10,$B$200:B803,$GA$11,$H$200:H803,1),0)</f>
        <v>0</v>
      </c>
    </row>
    <row r="804" spans="1:190">
      <c r="A804" t="str">
        <f t="shared" si="276"/>
        <v/>
      </c>
      <c r="B804" t="str">
        <f t="shared" si="277"/>
        <v/>
      </c>
      <c r="C804" t="str">
        <f t="shared" si="278"/>
        <v/>
      </c>
      <c r="D804" t="str">
        <f t="shared" si="279"/>
        <v/>
      </c>
      <c r="E804">
        <f t="shared" si="280"/>
        <v>0</v>
      </c>
      <c r="F804" t="str">
        <f t="shared" si="281"/>
        <v/>
      </c>
      <c r="G804">
        <f t="shared" si="282"/>
        <v>0</v>
      </c>
      <c r="H804">
        <f>IF(AND(G804=1,COUNTIFS($I$200:I804,I804,$G$200:G804,1)=1),1,0)</f>
        <v>0</v>
      </c>
      <c r="I804" t="str">
        <f t="shared" si="283"/>
        <v/>
      </c>
      <c r="BF804">
        <f t="shared" si="286"/>
        <v>0</v>
      </c>
      <c r="BG804">
        <f t="shared" si="287"/>
        <v>0</v>
      </c>
      <c r="BH804">
        <f t="shared" si="288"/>
        <v>0</v>
      </c>
      <c r="BI804">
        <f t="shared" si="289"/>
        <v>0</v>
      </c>
      <c r="BJ804">
        <f t="shared" si="290"/>
        <v>0</v>
      </c>
      <c r="BK804">
        <f t="shared" si="291"/>
        <v>0</v>
      </c>
      <c r="BL804">
        <f t="shared" si="292"/>
        <v>0</v>
      </c>
      <c r="BM804">
        <f t="shared" si="293"/>
        <v>0</v>
      </c>
      <c r="BN804">
        <f t="shared" si="294"/>
        <v>0</v>
      </c>
      <c r="BO804">
        <f t="shared" si="295"/>
        <v>0</v>
      </c>
      <c r="BP804">
        <f t="shared" si="296"/>
        <v>0</v>
      </c>
      <c r="BQ804">
        <f t="shared" si="297"/>
        <v>0</v>
      </c>
      <c r="BR804">
        <f t="shared" si="298"/>
        <v>0</v>
      </c>
      <c r="BS804">
        <f t="shared" si="299"/>
        <v>0</v>
      </c>
      <c r="BT804">
        <f t="shared" si="300"/>
        <v>0</v>
      </c>
      <c r="BU804">
        <f t="shared" si="301"/>
        <v>0</v>
      </c>
      <c r="BV804">
        <f t="shared" si="302"/>
        <v>0</v>
      </c>
      <c r="BW804">
        <f t="shared" si="303"/>
        <v>0</v>
      </c>
      <c r="CA804" t="str">
        <f>IF(605&gt;ROWS(DGArchive[模组]),"",IF(INDEX(DGArchive[模组],605)="","",INDEX(DGArchive[模组],605)))</f>
        <v/>
      </c>
      <c r="CB804" t="str">
        <f>IF(605&gt;ROWS(DGArchive[阶段]),"",IF(INDEX(DGArchive[阶段],605)="","",INDEX(DGArchive[阶段],605)))</f>
        <v/>
      </c>
      <c r="CC804" t="str">
        <f>IF(605&gt;ROWS(DGArchive[游戏内日期]),"",IF(INDEX(DGArchive[游戏内日期],605)="","",INDEX(DGArchive[游戏内日期],605)))</f>
        <v/>
      </c>
      <c r="CD804" t="str">
        <f>IF(605&gt;ROWS(DGArchive[目标]),"",IF(INDEX(DGArchive[目标],605)="","",INDEX(DGArchive[目标],605)))</f>
        <v/>
      </c>
      <c r="CE804" t="str">
        <f>IF(605&gt;ROWS(DGArchive[变更前]),"",IF(INDEX(DGArchive[变更前],605)="","",INDEX(DGArchive[变更前],605)))</f>
        <v/>
      </c>
      <c r="CF804" t="str">
        <f>IF(605&gt;ROWS(DGArchive[增减]),"",IF(INDEX(DGArchive[增减],605)="","",INDEX(DGArchive[增减],605)))</f>
        <v/>
      </c>
      <c r="CG804" t="str">
        <f>IF(605&gt;ROWS(DGArchive[变更后]),"",IF(INDEX(DGArchive[变更后],605)="","",INDEX(DGArchive[变更后],605)))</f>
        <v/>
      </c>
      <c r="CH804" t="str">
        <f>IF(605&gt;ROWS(DGArchive[事件／活动]),"",IF(INDEX(DGArchive[事件／活动],605)="","",INDEX(DGArchive[事件／活动],605)))</f>
        <v/>
      </c>
      <c r="CI804" t="str">
        <f>IF(605&gt;ROWS(DGArchive[记录编号]),"",IF(INDEX(DGArchive[记录编号],605)="","",INDEX(DGArchive[记录编号],605)))</f>
        <v/>
      </c>
      <c r="CL804">
        <f t="shared" si="284"/>
        <v>0</v>
      </c>
      <c r="CM804">
        <f>IF(AND(A804=$AO$5,B804=$AQ$3,H804=1),COUNTIFS($A$200:A804,$AO$5,$B$200:B804,$AQ$3,$H$200:H804,1),0)</f>
        <v>0</v>
      </c>
      <c r="CN804">
        <f>IF(CA804="",605,1001)</f>
        <v>605</v>
      </c>
      <c r="GA804">
        <f t="shared" si="304"/>
        <v>0</v>
      </c>
      <c r="GB804">
        <f t="shared" si="305"/>
        <v>0</v>
      </c>
      <c r="GC804">
        <f>IF(AND(C804="事件记录",H804=1),COUNTIFS($C$200:C804,"事件记录",$H$200:H804,1),0)</f>
        <v>0</v>
      </c>
      <c r="GD804">
        <f t="shared" si="285"/>
        <v>0</v>
      </c>
      <c r="GH804">
        <f>IF(AND(H804=1,A804=$GA$10,B804=$GA$11),COUNTIFS($A$200:A804,$GA$10,$B$200:B804,$GA$11,$H$200:H804,1),0)</f>
        <v>0</v>
      </c>
    </row>
    <row r="805" spans="1:190">
      <c r="A805" t="str">
        <f t="shared" si="276"/>
        <v/>
      </c>
      <c r="B805" t="str">
        <f t="shared" si="277"/>
        <v/>
      </c>
      <c r="C805" t="str">
        <f t="shared" si="278"/>
        <v/>
      </c>
      <c r="D805" t="str">
        <f t="shared" si="279"/>
        <v/>
      </c>
      <c r="E805">
        <f t="shared" si="280"/>
        <v>0</v>
      </c>
      <c r="F805" t="str">
        <f t="shared" si="281"/>
        <v/>
      </c>
      <c r="G805">
        <f t="shared" si="282"/>
        <v>0</v>
      </c>
      <c r="H805">
        <f>IF(AND(G805=1,COUNTIFS($I$200:I805,I805,$G$200:G805,1)=1),1,0)</f>
        <v>0</v>
      </c>
      <c r="I805" t="str">
        <f t="shared" si="283"/>
        <v/>
      </c>
      <c r="BF805">
        <f t="shared" si="286"/>
        <v>0</v>
      </c>
      <c r="BG805">
        <f t="shared" si="287"/>
        <v>0</v>
      </c>
      <c r="BH805">
        <f t="shared" si="288"/>
        <v>0</v>
      </c>
      <c r="BI805">
        <f t="shared" si="289"/>
        <v>0</v>
      </c>
      <c r="BJ805">
        <f t="shared" si="290"/>
        <v>0</v>
      </c>
      <c r="BK805">
        <f t="shared" si="291"/>
        <v>0</v>
      </c>
      <c r="BL805">
        <f t="shared" si="292"/>
        <v>0</v>
      </c>
      <c r="BM805">
        <f t="shared" si="293"/>
        <v>0</v>
      </c>
      <c r="BN805">
        <f t="shared" si="294"/>
        <v>0</v>
      </c>
      <c r="BO805">
        <f t="shared" si="295"/>
        <v>0</v>
      </c>
      <c r="BP805">
        <f t="shared" si="296"/>
        <v>0</v>
      </c>
      <c r="BQ805">
        <f t="shared" si="297"/>
        <v>0</v>
      </c>
      <c r="BR805">
        <f t="shared" si="298"/>
        <v>0</v>
      </c>
      <c r="BS805">
        <f t="shared" si="299"/>
        <v>0</v>
      </c>
      <c r="BT805">
        <f t="shared" si="300"/>
        <v>0</v>
      </c>
      <c r="BU805">
        <f t="shared" si="301"/>
        <v>0</v>
      </c>
      <c r="BV805">
        <f t="shared" si="302"/>
        <v>0</v>
      </c>
      <c r="BW805">
        <f t="shared" si="303"/>
        <v>0</v>
      </c>
      <c r="CA805" t="str">
        <f>IF(606&gt;ROWS(DGArchive[模组]),"",IF(INDEX(DGArchive[模组],606)="","",INDEX(DGArchive[模组],606)))</f>
        <v/>
      </c>
      <c r="CB805" t="str">
        <f>IF(606&gt;ROWS(DGArchive[阶段]),"",IF(INDEX(DGArchive[阶段],606)="","",INDEX(DGArchive[阶段],606)))</f>
        <v/>
      </c>
      <c r="CC805" t="str">
        <f>IF(606&gt;ROWS(DGArchive[游戏内日期]),"",IF(INDEX(DGArchive[游戏内日期],606)="","",INDEX(DGArchive[游戏内日期],606)))</f>
        <v/>
      </c>
      <c r="CD805" t="str">
        <f>IF(606&gt;ROWS(DGArchive[目标]),"",IF(INDEX(DGArchive[目标],606)="","",INDEX(DGArchive[目标],606)))</f>
        <v/>
      </c>
      <c r="CE805" t="str">
        <f>IF(606&gt;ROWS(DGArchive[变更前]),"",IF(INDEX(DGArchive[变更前],606)="","",INDEX(DGArchive[变更前],606)))</f>
        <v/>
      </c>
      <c r="CF805" t="str">
        <f>IF(606&gt;ROWS(DGArchive[增减]),"",IF(INDEX(DGArchive[增减],606)="","",INDEX(DGArchive[增减],606)))</f>
        <v/>
      </c>
      <c r="CG805" t="str">
        <f>IF(606&gt;ROWS(DGArchive[变更后]),"",IF(INDEX(DGArchive[变更后],606)="","",INDEX(DGArchive[变更后],606)))</f>
        <v/>
      </c>
      <c r="CH805" t="str">
        <f>IF(606&gt;ROWS(DGArchive[事件／活动]),"",IF(INDEX(DGArchive[事件／活动],606)="","",INDEX(DGArchive[事件／活动],606)))</f>
        <v/>
      </c>
      <c r="CI805" t="str">
        <f>IF(606&gt;ROWS(DGArchive[记录编号]),"",IF(INDEX(DGArchive[记录编号],606)="","",INDEX(DGArchive[记录编号],606)))</f>
        <v/>
      </c>
      <c r="CL805">
        <f t="shared" si="284"/>
        <v>0</v>
      </c>
      <c r="CM805">
        <f>IF(AND(A805=$AO$5,B805=$AQ$3,H805=1),COUNTIFS($A$200:A805,$AO$5,$B$200:B805,$AQ$3,$H$200:H805,1),0)</f>
        <v>0</v>
      </c>
      <c r="CN805">
        <f>IF(CA805="",606,1001)</f>
        <v>606</v>
      </c>
      <c r="GA805">
        <f t="shared" si="304"/>
        <v>0</v>
      </c>
      <c r="GB805">
        <f t="shared" si="305"/>
        <v>0</v>
      </c>
      <c r="GC805">
        <f>IF(AND(C805="事件记录",H805=1),COUNTIFS($C$200:C805,"事件记录",$H$200:H805,1),0)</f>
        <v>0</v>
      </c>
      <c r="GD805">
        <f t="shared" si="285"/>
        <v>0</v>
      </c>
      <c r="GH805">
        <f>IF(AND(H805=1,A805=$GA$10,B805=$GA$11),COUNTIFS($A$200:A805,$GA$10,$B$200:B805,$GA$11,$H$200:H805,1),0)</f>
        <v>0</v>
      </c>
    </row>
    <row r="806" spans="1:190">
      <c r="A806" t="str">
        <f t="shared" si="276"/>
        <v/>
      </c>
      <c r="B806" t="str">
        <f t="shared" si="277"/>
        <v/>
      </c>
      <c r="C806" t="str">
        <f t="shared" si="278"/>
        <v/>
      </c>
      <c r="D806" t="str">
        <f t="shared" si="279"/>
        <v/>
      </c>
      <c r="E806">
        <f t="shared" si="280"/>
        <v>0</v>
      </c>
      <c r="F806" t="str">
        <f t="shared" si="281"/>
        <v/>
      </c>
      <c r="G806">
        <f t="shared" si="282"/>
        <v>0</v>
      </c>
      <c r="H806">
        <f>IF(AND(G806=1,COUNTIFS($I$200:I806,I806,$G$200:G806,1)=1),1,0)</f>
        <v>0</v>
      </c>
      <c r="I806" t="str">
        <f t="shared" si="283"/>
        <v/>
      </c>
      <c r="BF806">
        <f t="shared" si="286"/>
        <v>0</v>
      </c>
      <c r="BG806">
        <f t="shared" si="287"/>
        <v>0</v>
      </c>
      <c r="BH806">
        <f t="shared" si="288"/>
        <v>0</v>
      </c>
      <c r="BI806">
        <f t="shared" si="289"/>
        <v>0</v>
      </c>
      <c r="BJ806">
        <f t="shared" si="290"/>
        <v>0</v>
      </c>
      <c r="BK806">
        <f t="shared" si="291"/>
        <v>0</v>
      </c>
      <c r="BL806">
        <f t="shared" si="292"/>
        <v>0</v>
      </c>
      <c r="BM806">
        <f t="shared" si="293"/>
        <v>0</v>
      </c>
      <c r="BN806">
        <f t="shared" si="294"/>
        <v>0</v>
      </c>
      <c r="BO806">
        <f t="shared" si="295"/>
        <v>0</v>
      </c>
      <c r="BP806">
        <f t="shared" si="296"/>
        <v>0</v>
      </c>
      <c r="BQ806">
        <f t="shared" si="297"/>
        <v>0</v>
      </c>
      <c r="BR806">
        <f t="shared" si="298"/>
        <v>0</v>
      </c>
      <c r="BS806">
        <f t="shared" si="299"/>
        <v>0</v>
      </c>
      <c r="BT806">
        <f t="shared" si="300"/>
        <v>0</v>
      </c>
      <c r="BU806">
        <f t="shared" si="301"/>
        <v>0</v>
      </c>
      <c r="BV806">
        <f t="shared" si="302"/>
        <v>0</v>
      </c>
      <c r="BW806">
        <f t="shared" si="303"/>
        <v>0</v>
      </c>
      <c r="CA806" t="str">
        <f>IF(607&gt;ROWS(DGArchive[模组]),"",IF(INDEX(DGArchive[模组],607)="","",INDEX(DGArchive[模组],607)))</f>
        <v/>
      </c>
      <c r="CB806" t="str">
        <f>IF(607&gt;ROWS(DGArchive[阶段]),"",IF(INDEX(DGArchive[阶段],607)="","",INDEX(DGArchive[阶段],607)))</f>
        <v/>
      </c>
      <c r="CC806" t="str">
        <f>IF(607&gt;ROWS(DGArchive[游戏内日期]),"",IF(INDEX(DGArchive[游戏内日期],607)="","",INDEX(DGArchive[游戏内日期],607)))</f>
        <v/>
      </c>
      <c r="CD806" t="str">
        <f>IF(607&gt;ROWS(DGArchive[目标]),"",IF(INDEX(DGArchive[目标],607)="","",INDEX(DGArchive[目标],607)))</f>
        <v/>
      </c>
      <c r="CE806" t="str">
        <f>IF(607&gt;ROWS(DGArchive[变更前]),"",IF(INDEX(DGArchive[变更前],607)="","",INDEX(DGArchive[变更前],607)))</f>
        <v/>
      </c>
      <c r="CF806" t="str">
        <f>IF(607&gt;ROWS(DGArchive[增减]),"",IF(INDEX(DGArchive[增减],607)="","",INDEX(DGArchive[增减],607)))</f>
        <v/>
      </c>
      <c r="CG806" t="str">
        <f>IF(607&gt;ROWS(DGArchive[变更后]),"",IF(INDEX(DGArchive[变更后],607)="","",INDEX(DGArchive[变更后],607)))</f>
        <v/>
      </c>
      <c r="CH806" t="str">
        <f>IF(607&gt;ROWS(DGArchive[事件／活动]),"",IF(INDEX(DGArchive[事件／活动],607)="","",INDEX(DGArchive[事件／活动],607)))</f>
        <v/>
      </c>
      <c r="CI806" t="str">
        <f>IF(607&gt;ROWS(DGArchive[记录编号]),"",IF(INDEX(DGArchive[记录编号],607)="","",INDEX(DGArchive[记录编号],607)))</f>
        <v/>
      </c>
      <c r="CL806">
        <f t="shared" si="284"/>
        <v>0</v>
      </c>
      <c r="CM806">
        <f>IF(AND(A806=$AO$5,B806=$AQ$3,H806=1),COUNTIFS($A$200:A806,$AO$5,$B$200:B806,$AQ$3,$H$200:H806,1),0)</f>
        <v>0</v>
      </c>
      <c r="CN806">
        <f>IF(CA806="",607,1001)</f>
        <v>607</v>
      </c>
      <c r="GA806">
        <f t="shared" si="304"/>
        <v>0</v>
      </c>
      <c r="GB806">
        <f t="shared" si="305"/>
        <v>0</v>
      </c>
      <c r="GC806">
        <f>IF(AND(C806="事件记录",H806=1),COUNTIFS($C$200:C806,"事件记录",$H$200:H806,1),0)</f>
        <v>0</v>
      </c>
      <c r="GD806">
        <f t="shared" si="285"/>
        <v>0</v>
      </c>
      <c r="GH806">
        <f>IF(AND(H806=1,A806=$GA$10,B806=$GA$11),COUNTIFS($A$200:A806,$GA$10,$B$200:B806,$GA$11,$H$200:H806,1),0)</f>
        <v>0</v>
      </c>
    </row>
    <row r="807" spans="1:190">
      <c r="A807" t="str">
        <f t="shared" si="276"/>
        <v/>
      </c>
      <c r="B807" t="str">
        <f t="shared" si="277"/>
        <v/>
      </c>
      <c r="C807" t="str">
        <f t="shared" si="278"/>
        <v/>
      </c>
      <c r="D807" t="str">
        <f t="shared" si="279"/>
        <v/>
      </c>
      <c r="E807">
        <f t="shared" si="280"/>
        <v>0</v>
      </c>
      <c r="F807" t="str">
        <f t="shared" si="281"/>
        <v/>
      </c>
      <c r="G807">
        <f t="shared" si="282"/>
        <v>0</v>
      </c>
      <c r="H807">
        <f>IF(AND(G807=1,COUNTIFS($I$200:I807,I807,$G$200:G807,1)=1),1,0)</f>
        <v>0</v>
      </c>
      <c r="I807" t="str">
        <f t="shared" si="283"/>
        <v/>
      </c>
      <c r="BF807">
        <f t="shared" si="286"/>
        <v>0</v>
      </c>
      <c r="BG807">
        <f t="shared" si="287"/>
        <v>0</v>
      </c>
      <c r="BH807">
        <f t="shared" si="288"/>
        <v>0</v>
      </c>
      <c r="BI807">
        <f t="shared" si="289"/>
        <v>0</v>
      </c>
      <c r="BJ807">
        <f t="shared" si="290"/>
        <v>0</v>
      </c>
      <c r="BK807">
        <f t="shared" si="291"/>
        <v>0</v>
      </c>
      <c r="BL807">
        <f t="shared" si="292"/>
        <v>0</v>
      </c>
      <c r="BM807">
        <f t="shared" si="293"/>
        <v>0</v>
      </c>
      <c r="BN807">
        <f t="shared" si="294"/>
        <v>0</v>
      </c>
      <c r="BO807">
        <f t="shared" si="295"/>
        <v>0</v>
      </c>
      <c r="BP807">
        <f t="shared" si="296"/>
        <v>0</v>
      </c>
      <c r="BQ807">
        <f t="shared" si="297"/>
        <v>0</v>
      </c>
      <c r="BR807">
        <f t="shared" si="298"/>
        <v>0</v>
      </c>
      <c r="BS807">
        <f t="shared" si="299"/>
        <v>0</v>
      </c>
      <c r="BT807">
        <f t="shared" si="300"/>
        <v>0</v>
      </c>
      <c r="BU807">
        <f t="shared" si="301"/>
        <v>0</v>
      </c>
      <c r="BV807">
        <f t="shared" si="302"/>
        <v>0</v>
      </c>
      <c r="BW807">
        <f t="shared" si="303"/>
        <v>0</v>
      </c>
      <c r="CA807" t="str">
        <f>IF(608&gt;ROWS(DGArchive[模组]),"",IF(INDEX(DGArchive[模组],608)="","",INDEX(DGArchive[模组],608)))</f>
        <v/>
      </c>
      <c r="CB807" t="str">
        <f>IF(608&gt;ROWS(DGArchive[阶段]),"",IF(INDEX(DGArchive[阶段],608)="","",INDEX(DGArchive[阶段],608)))</f>
        <v/>
      </c>
      <c r="CC807" t="str">
        <f>IF(608&gt;ROWS(DGArchive[游戏内日期]),"",IF(INDEX(DGArchive[游戏内日期],608)="","",INDEX(DGArchive[游戏内日期],608)))</f>
        <v/>
      </c>
      <c r="CD807" t="str">
        <f>IF(608&gt;ROWS(DGArchive[目标]),"",IF(INDEX(DGArchive[目标],608)="","",INDEX(DGArchive[目标],608)))</f>
        <v/>
      </c>
      <c r="CE807" t="str">
        <f>IF(608&gt;ROWS(DGArchive[变更前]),"",IF(INDEX(DGArchive[变更前],608)="","",INDEX(DGArchive[变更前],608)))</f>
        <v/>
      </c>
      <c r="CF807" t="str">
        <f>IF(608&gt;ROWS(DGArchive[增减]),"",IF(INDEX(DGArchive[增减],608)="","",INDEX(DGArchive[增减],608)))</f>
        <v/>
      </c>
      <c r="CG807" t="str">
        <f>IF(608&gt;ROWS(DGArchive[变更后]),"",IF(INDEX(DGArchive[变更后],608)="","",INDEX(DGArchive[变更后],608)))</f>
        <v/>
      </c>
      <c r="CH807" t="str">
        <f>IF(608&gt;ROWS(DGArchive[事件／活动]),"",IF(INDEX(DGArchive[事件／活动],608)="","",INDEX(DGArchive[事件／活动],608)))</f>
        <v/>
      </c>
      <c r="CI807" t="str">
        <f>IF(608&gt;ROWS(DGArchive[记录编号]),"",IF(INDEX(DGArchive[记录编号],608)="","",INDEX(DGArchive[记录编号],608)))</f>
        <v/>
      </c>
      <c r="CL807">
        <f t="shared" si="284"/>
        <v>0</v>
      </c>
      <c r="CM807">
        <f>IF(AND(A807=$AO$5,B807=$AQ$3,H807=1),COUNTIFS($A$200:A807,$AO$5,$B$200:B807,$AQ$3,$H$200:H807,1),0)</f>
        <v>0</v>
      </c>
      <c r="CN807">
        <f>IF(CA807="",608,1001)</f>
        <v>608</v>
      </c>
      <c r="GA807">
        <f t="shared" si="304"/>
        <v>0</v>
      </c>
      <c r="GB807">
        <f t="shared" si="305"/>
        <v>0</v>
      </c>
      <c r="GC807">
        <f>IF(AND(C807="事件记录",H807=1),COUNTIFS($C$200:C807,"事件记录",$H$200:H807,1),0)</f>
        <v>0</v>
      </c>
      <c r="GD807">
        <f t="shared" si="285"/>
        <v>0</v>
      </c>
      <c r="GH807">
        <f>IF(AND(H807=1,A807=$GA$10,B807=$GA$11),COUNTIFS($A$200:A807,$GA$10,$B$200:B807,$GA$11,$H$200:H807,1),0)</f>
        <v>0</v>
      </c>
    </row>
    <row r="808" spans="1:190">
      <c r="A808" t="str">
        <f t="shared" si="276"/>
        <v/>
      </c>
      <c r="B808" t="str">
        <f t="shared" si="277"/>
        <v/>
      </c>
      <c r="C808" t="str">
        <f t="shared" si="278"/>
        <v/>
      </c>
      <c r="D808" t="str">
        <f t="shared" si="279"/>
        <v/>
      </c>
      <c r="E808">
        <f t="shared" si="280"/>
        <v>0</v>
      </c>
      <c r="F808" t="str">
        <f t="shared" si="281"/>
        <v/>
      </c>
      <c r="G808">
        <f t="shared" si="282"/>
        <v>0</v>
      </c>
      <c r="H808">
        <f>IF(AND(G808=1,COUNTIFS($I$200:I808,I808,$G$200:G808,1)=1),1,0)</f>
        <v>0</v>
      </c>
      <c r="I808" t="str">
        <f t="shared" si="283"/>
        <v/>
      </c>
      <c r="BF808">
        <f t="shared" si="286"/>
        <v>0</v>
      </c>
      <c r="BG808">
        <f t="shared" si="287"/>
        <v>0</v>
      </c>
      <c r="BH808">
        <f t="shared" si="288"/>
        <v>0</v>
      </c>
      <c r="BI808">
        <f t="shared" si="289"/>
        <v>0</v>
      </c>
      <c r="BJ808">
        <f t="shared" si="290"/>
        <v>0</v>
      </c>
      <c r="BK808">
        <f t="shared" si="291"/>
        <v>0</v>
      </c>
      <c r="BL808">
        <f t="shared" si="292"/>
        <v>0</v>
      </c>
      <c r="BM808">
        <f t="shared" si="293"/>
        <v>0</v>
      </c>
      <c r="BN808">
        <f t="shared" si="294"/>
        <v>0</v>
      </c>
      <c r="BO808">
        <f t="shared" si="295"/>
        <v>0</v>
      </c>
      <c r="BP808">
        <f t="shared" si="296"/>
        <v>0</v>
      </c>
      <c r="BQ808">
        <f t="shared" si="297"/>
        <v>0</v>
      </c>
      <c r="BR808">
        <f t="shared" si="298"/>
        <v>0</v>
      </c>
      <c r="BS808">
        <f t="shared" si="299"/>
        <v>0</v>
      </c>
      <c r="BT808">
        <f t="shared" si="300"/>
        <v>0</v>
      </c>
      <c r="BU808">
        <f t="shared" si="301"/>
        <v>0</v>
      </c>
      <c r="BV808">
        <f t="shared" si="302"/>
        <v>0</v>
      </c>
      <c r="BW808">
        <f t="shared" si="303"/>
        <v>0</v>
      </c>
      <c r="CA808" t="str">
        <f>IF(609&gt;ROWS(DGArchive[模组]),"",IF(INDEX(DGArchive[模组],609)="","",INDEX(DGArchive[模组],609)))</f>
        <v/>
      </c>
      <c r="CB808" t="str">
        <f>IF(609&gt;ROWS(DGArchive[阶段]),"",IF(INDEX(DGArchive[阶段],609)="","",INDEX(DGArchive[阶段],609)))</f>
        <v/>
      </c>
      <c r="CC808" t="str">
        <f>IF(609&gt;ROWS(DGArchive[游戏内日期]),"",IF(INDEX(DGArchive[游戏内日期],609)="","",INDEX(DGArchive[游戏内日期],609)))</f>
        <v/>
      </c>
      <c r="CD808" t="str">
        <f>IF(609&gt;ROWS(DGArchive[目标]),"",IF(INDEX(DGArchive[目标],609)="","",INDEX(DGArchive[目标],609)))</f>
        <v/>
      </c>
      <c r="CE808" t="str">
        <f>IF(609&gt;ROWS(DGArchive[变更前]),"",IF(INDEX(DGArchive[变更前],609)="","",INDEX(DGArchive[变更前],609)))</f>
        <v/>
      </c>
      <c r="CF808" t="str">
        <f>IF(609&gt;ROWS(DGArchive[增减]),"",IF(INDEX(DGArchive[增减],609)="","",INDEX(DGArchive[增减],609)))</f>
        <v/>
      </c>
      <c r="CG808" t="str">
        <f>IF(609&gt;ROWS(DGArchive[变更后]),"",IF(INDEX(DGArchive[变更后],609)="","",INDEX(DGArchive[变更后],609)))</f>
        <v/>
      </c>
      <c r="CH808" t="str">
        <f>IF(609&gt;ROWS(DGArchive[事件／活动]),"",IF(INDEX(DGArchive[事件／活动],609)="","",INDEX(DGArchive[事件／活动],609)))</f>
        <v/>
      </c>
      <c r="CI808" t="str">
        <f>IF(609&gt;ROWS(DGArchive[记录编号]),"",IF(INDEX(DGArchive[记录编号],609)="","",INDEX(DGArchive[记录编号],609)))</f>
        <v/>
      </c>
      <c r="CL808">
        <f t="shared" si="284"/>
        <v>0</v>
      </c>
      <c r="CM808">
        <f>IF(AND(A808=$AO$5,B808=$AQ$3,H808=1),COUNTIFS($A$200:A808,$AO$5,$B$200:B808,$AQ$3,$H$200:H808,1),0)</f>
        <v>0</v>
      </c>
      <c r="CN808">
        <f>IF(CA808="",609,1001)</f>
        <v>609</v>
      </c>
      <c r="GA808">
        <f t="shared" si="304"/>
        <v>0</v>
      </c>
      <c r="GB808">
        <f t="shared" si="305"/>
        <v>0</v>
      </c>
      <c r="GC808">
        <f>IF(AND(C808="事件记录",H808=1),COUNTIFS($C$200:C808,"事件记录",$H$200:H808,1),0)</f>
        <v>0</v>
      </c>
      <c r="GD808">
        <f t="shared" si="285"/>
        <v>0</v>
      </c>
      <c r="GH808">
        <f>IF(AND(H808=1,A808=$GA$10,B808=$GA$11),COUNTIFS($A$200:A808,$GA$10,$B$200:B808,$GA$11,$H$200:H808,1),0)</f>
        <v>0</v>
      </c>
    </row>
    <row r="809" spans="1:190">
      <c r="A809" t="str">
        <f t="shared" si="276"/>
        <v/>
      </c>
      <c r="B809" t="str">
        <f t="shared" si="277"/>
        <v/>
      </c>
      <c r="C809" t="str">
        <f t="shared" si="278"/>
        <v/>
      </c>
      <c r="D809" t="str">
        <f t="shared" si="279"/>
        <v/>
      </c>
      <c r="E809">
        <f t="shared" si="280"/>
        <v>0</v>
      </c>
      <c r="F809" t="str">
        <f t="shared" si="281"/>
        <v/>
      </c>
      <c r="G809">
        <f t="shared" si="282"/>
        <v>0</v>
      </c>
      <c r="H809">
        <f>IF(AND(G809=1,COUNTIFS($I$200:I809,I809,$G$200:G809,1)=1),1,0)</f>
        <v>0</v>
      </c>
      <c r="I809" t="str">
        <f t="shared" si="283"/>
        <v/>
      </c>
      <c r="BF809">
        <f t="shared" si="286"/>
        <v>0</v>
      </c>
      <c r="BG809">
        <f t="shared" si="287"/>
        <v>0</v>
      </c>
      <c r="BH809">
        <f t="shared" si="288"/>
        <v>0</v>
      </c>
      <c r="BI809">
        <f t="shared" si="289"/>
        <v>0</v>
      </c>
      <c r="BJ809">
        <f t="shared" si="290"/>
        <v>0</v>
      </c>
      <c r="BK809">
        <f t="shared" si="291"/>
        <v>0</v>
      </c>
      <c r="BL809">
        <f t="shared" si="292"/>
        <v>0</v>
      </c>
      <c r="BM809">
        <f t="shared" si="293"/>
        <v>0</v>
      </c>
      <c r="BN809">
        <f t="shared" si="294"/>
        <v>0</v>
      </c>
      <c r="BO809">
        <f t="shared" si="295"/>
        <v>0</v>
      </c>
      <c r="BP809">
        <f t="shared" si="296"/>
        <v>0</v>
      </c>
      <c r="BQ809">
        <f t="shared" si="297"/>
        <v>0</v>
      </c>
      <c r="BR809">
        <f t="shared" si="298"/>
        <v>0</v>
      </c>
      <c r="BS809">
        <f t="shared" si="299"/>
        <v>0</v>
      </c>
      <c r="BT809">
        <f t="shared" si="300"/>
        <v>0</v>
      </c>
      <c r="BU809">
        <f t="shared" si="301"/>
        <v>0</v>
      </c>
      <c r="BV809">
        <f t="shared" si="302"/>
        <v>0</v>
      </c>
      <c r="BW809">
        <f t="shared" si="303"/>
        <v>0</v>
      </c>
      <c r="CA809" t="str">
        <f>IF(610&gt;ROWS(DGArchive[模组]),"",IF(INDEX(DGArchive[模组],610)="","",INDEX(DGArchive[模组],610)))</f>
        <v/>
      </c>
      <c r="CB809" t="str">
        <f>IF(610&gt;ROWS(DGArchive[阶段]),"",IF(INDEX(DGArchive[阶段],610)="","",INDEX(DGArchive[阶段],610)))</f>
        <v/>
      </c>
      <c r="CC809" t="str">
        <f>IF(610&gt;ROWS(DGArchive[游戏内日期]),"",IF(INDEX(DGArchive[游戏内日期],610)="","",INDEX(DGArchive[游戏内日期],610)))</f>
        <v/>
      </c>
      <c r="CD809" t="str">
        <f>IF(610&gt;ROWS(DGArchive[目标]),"",IF(INDEX(DGArchive[目标],610)="","",INDEX(DGArchive[目标],610)))</f>
        <v/>
      </c>
      <c r="CE809" t="str">
        <f>IF(610&gt;ROWS(DGArchive[变更前]),"",IF(INDEX(DGArchive[变更前],610)="","",INDEX(DGArchive[变更前],610)))</f>
        <v/>
      </c>
      <c r="CF809" t="str">
        <f>IF(610&gt;ROWS(DGArchive[增减]),"",IF(INDEX(DGArchive[增减],610)="","",INDEX(DGArchive[增减],610)))</f>
        <v/>
      </c>
      <c r="CG809" t="str">
        <f>IF(610&gt;ROWS(DGArchive[变更后]),"",IF(INDEX(DGArchive[变更后],610)="","",INDEX(DGArchive[变更后],610)))</f>
        <v/>
      </c>
      <c r="CH809" t="str">
        <f>IF(610&gt;ROWS(DGArchive[事件／活动]),"",IF(INDEX(DGArchive[事件／活动],610)="","",INDEX(DGArchive[事件／活动],610)))</f>
        <v/>
      </c>
      <c r="CI809" t="str">
        <f>IF(610&gt;ROWS(DGArchive[记录编号]),"",IF(INDEX(DGArchive[记录编号],610)="","",INDEX(DGArchive[记录编号],610)))</f>
        <v/>
      </c>
      <c r="CL809">
        <f t="shared" si="284"/>
        <v>0</v>
      </c>
      <c r="CM809">
        <f>IF(AND(A809=$AO$5,B809=$AQ$3,H809=1),COUNTIFS($A$200:A809,$AO$5,$B$200:B809,$AQ$3,$H$200:H809,1),0)</f>
        <v>0</v>
      </c>
      <c r="CN809">
        <f>IF(CA809="",610,1001)</f>
        <v>610</v>
      </c>
      <c r="GA809">
        <f t="shared" si="304"/>
        <v>0</v>
      </c>
      <c r="GB809">
        <f t="shared" si="305"/>
        <v>0</v>
      </c>
      <c r="GC809">
        <f>IF(AND(C809="事件记录",H809=1),COUNTIFS($C$200:C809,"事件记录",$H$200:H809,1),0)</f>
        <v>0</v>
      </c>
      <c r="GD809">
        <f t="shared" si="285"/>
        <v>0</v>
      </c>
      <c r="GH809">
        <f>IF(AND(H809=1,A809=$GA$10,B809=$GA$11),COUNTIFS($A$200:A809,$GA$10,$B$200:B809,$GA$11,$H$200:H809,1),0)</f>
        <v>0</v>
      </c>
    </row>
    <row r="810" spans="1:190">
      <c r="A810" t="str">
        <f t="shared" si="276"/>
        <v/>
      </c>
      <c r="B810" t="str">
        <f t="shared" si="277"/>
        <v/>
      </c>
      <c r="C810" t="str">
        <f t="shared" si="278"/>
        <v/>
      </c>
      <c r="D810" t="str">
        <f t="shared" si="279"/>
        <v/>
      </c>
      <c r="E810">
        <f t="shared" si="280"/>
        <v>0</v>
      </c>
      <c r="F810" t="str">
        <f t="shared" si="281"/>
        <v/>
      </c>
      <c r="G810">
        <f t="shared" si="282"/>
        <v>0</v>
      </c>
      <c r="H810">
        <f>IF(AND(G810=1,COUNTIFS($I$200:I810,I810,$G$200:G810,1)=1),1,0)</f>
        <v>0</v>
      </c>
      <c r="I810" t="str">
        <f t="shared" si="283"/>
        <v/>
      </c>
      <c r="BF810">
        <f t="shared" si="286"/>
        <v>0</v>
      </c>
      <c r="BG810">
        <f t="shared" si="287"/>
        <v>0</v>
      </c>
      <c r="BH810">
        <f t="shared" si="288"/>
        <v>0</v>
      </c>
      <c r="BI810">
        <f t="shared" si="289"/>
        <v>0</v>
      </c>
      <c r="BJ810">
        <f t="shared" si="290"/>
        <v>0</v>
      </c>
      <c r="BK810">
        <f t="shared" si="291"/>
        <v>0</v>
      </c>
      <c r="BL810">
        <f t="shared" si="292"/>
        <v>0</v>
      </c>
      <c r="BM810">
        <f t="shared" si="293"/>
        <v>0</v>
      </c>
      <c r="BN810">
        <f t="shared" si="294"/>
        <v>0</v>
      </c>
      <c r="BO810">
        <f t="shared" si="295"/>
        <v>0</v>
      </c>
      <c r="BP810">
        <f t="shared" si="296"/>
        <v>0</v>
      </c>
      <c r="BQ810">
        <f t="shared" si="297"/>
        <v>0</v>
      </c>
      <c r="BR810">
        <f t="shared" si="298"/>
        <v>0</v>
      </c>
      <c r="BS810">
        <f t="shared" si="299"/>
        <v>0</v>
      </c>
      <c r="BT810">
        <f t="shared" si="300"/>
        <v>0</v>
      </c>
      <c r="BU810">
        <f t="shared" si="301"/>
        <v>0</v>
      </c>
      <c r="BV810">
        <f t="shared" si="302"/>
        <v>0</v>
      </c>
      <c r="BW810">
        <f t="shared" si="303"/>
        <v>0</v>
      </c>
      <c r="CA810" t="str">
        <f>IF(611&gt;ROWS(DGArchive[模组]),"",IF(INDEX(DGArchive[模组],611)="","",INDEX(DGArchive[模组],611)))</f>
        <v/>
      </c>
      <c r="CB810" t="str">
        <f>IF(611&gt;ROWS(DGArchive[阶段]),"",IF(INDEX(DGArchive[阶段],611)="","",INDEX(DGArchive[阶段],611)))</f>
        <v/>
      </c>
      <c r="CC810" t="str">
        <f>IF(611&gt;ROWS(DGArchive[游戏内日期]),"",IF(INDEX(DGArchive[游戏内日期],611)="","",INDEX(DGArchive[游戏内日期],611)))</f>
        <v/>
      </c>
      <c r="CD810" t="str">
        <f>IF(611&gt;ROWS(DGArchive[目标]),"",IF(INDEX(DGArchive[目标],611)="","",INDEX(DGArchive[目标],611)))</f>
        <v/>
      </c>
      <c r="CE810" t="str">
        <f>IF(611&gt;ROWS(DGArchive[变更前]),"",IF(INDEX(DGArchive[变更前],611)="","",INDEX(DGArchive[变更前],611)))</f>
        <v/>
      </c>
      <c r="CF810" t="str">
        <f>IF(611&gt;ROWS(DGArchive[增减]),"",IF(INDEX(DGArchive[增减],611)="","",INDEX(DGArchive[增减],611)))</f>
        <v/>
      </c>
      <c r="CG810" t="str">
        <f>IF(611&gt;ROWS(DGArchive[变更后]),"",IF(INDEX(DGArchive[变更后],611)="","",INDEX(DGArchive[变更后],611)))</f>
        <v/>
      </c>
      <c r="CH810" t="str">
        <f>IF(611&gt;ROWS(DGArchive[事件／活动]),"",IF(INDEX(DGArchive[事件／活动],611)="","",INDEX(DGArchive[事件／活动],611)))</f>
        <v/>
      </c>
      <c r="CI810" t="str">
        <f>IF(611&gt;ROWS(DGArchive[记录编号]),"",IF(INDEX(DGArchive[记录编号],611)="","",INDEX(DGArchive[记录编号],611)))</f>
        <v/>
      </c>
      <c r="CL810">
        <f t="shared" si="284"/>
        <v>0</v>
      </c>
      <c r="CM810">
        <f>IF(AND(A810=$AO$5,B810=$AQ$3,H810=1),COUNTIFS($A$200:A810,$AO$5,$B$200:B810,$AQ$3,$H$200:H810,1),0)</f>
        <v>0</v>
      </c>
      <c r="CN810">
        <f>IF(CA810="",611,1001)</f>
        <v>611</v>
      </c>
      <c r="GA810">
        <f t="shared" si="304"/>
        <v>0</v>
      </c>
      <c r="GB810">
        <f t="shared" si="305"/>
        <v>0</v>
      </c>
      <c r="GC810">
        <f>IF(AND(C810="事件记录",H810=1),COUNTIFS($C$200:C810,"事件记录",$H$200:H810,1),0)</f>
        <v>0</v>
      </c>
      <c r="GD810">
        <f t="shared" si="285"/>
        <v>0</v>
      </c>
      <c r="GH810">
        <f>IF(AND(H810=1,A810=$GA$10,B810=$GA$11),COUNTIFS($A$200:A810,$GA$10,$B$200:B810,$GA$11,$H$200:H810,1),0)</f>
        <v>0</v>
      </c>
    </row>
    <row r="811" spans="1:190">
      <c r="A811" t="str">
        <f t="shared" si="276"/>
        <v/>
      </c>
      <c r="B811" t="str">
        <f t="shared" si="277"/>
        <v/>
      </c>
      <c r="C811" t="str">
        <f t="shared" si="278"/>
        <v/>
      </c>
      <c r="D811" t="str">
        <f t="shared" si="279"/>
        <v/>
      </c>
      <c r="E811">
        <f t="shared" si="280"/>
        <v>0</v>
      </c>
      <c r="F811" t="str">
        <f t="shared" si="281"/>
        <v/>
      </c>
      <c r="G811">
        <f t="shared" si="282"/>
        <v>0</v>
      </c>
      <c r="H811">
        <f>IF(AND(G811=1,COUNTIFS($I$200:I811,I811,$G$200:G811,1)=1),1,0)</f>
        <v>0</v>
      </c>
      <c r="I811" t="str">
        <f t="shared" si="283"/>
        <v/>
      </c>
      <c r="BF811">
        <f t="shared" si="286"/>
        <v>0</v>
      </c>
      <c r="BG811">
        <f t="shared" si="287"/>
        <v>0</v>
      </c>
      <c r="BH811">
        <f t="shared" si="288"/>
        <v>0</v>
      </c>
      <c r="BI811">
        <f t="shared" si="289"/>
        <v>0</v>
      </c>
      <c r="BJ811">
        <f t="shared" si="290"/>
        <v>0</v>
      </c>
      <c r="BK811">
        <f t="shared" si="291"/>
        <v>0</v>
      </c>
      <c r="BL811">
        <f t="shared" si="292"/>
        <v>0</v>
      </c>
      <c r="BM811">
        <f t="shared" si="293"/>
        <v>0</v>
      </c>
      <c r="BN811">
        <f t="shared" si="294"/>
        <v>0</v>
      </c>
      <c r="BO811">
        <f t="shared" si="295"/>
        <v>0</v>
      </c>
      <c r="BP811">
        <f t="shared" si="296"/>
        <v>0</v>
      </c>
      <c r="BQ811">
        <f t="shared" si="297"/>
        <v>0</v>
      </c>
      <c r="BR811">
        <f t="shared" si="298"/>
        <v>0</v>
      </c>
      <c r="BS811">
        <f t="shared" si="299"/>
        <v>0</v>
      </c>
      <c r="BT811">
        <f t="shared" si="300"/>
        <v>0</v>
      </c>
      <c r="BU811">
        <f t="shared" si="301"/>
        <v>0</v>
      </c>
      <c r="BV811">
        <f t="shared" si="302"/>
        <v>0</v>
      </c>
      <c r="BW811">
        <f t="shared" si="303"/>
        <v>0</v>
      </c>
      <c r="CA811" t="str">
        <f>IF(612&gt;ROWS(DGArchive[模组]),"",IF(INDEX(DGArchive[模组],612)="","",INDEX(DGArchive[模组],612)))</f>
        <v/>
      </c>
      <c r="CB811" t="str">
        <f>IF(612&gt;ROWS(DGArchive[阶段]),"",IF(INDEX(DGArchive[阶段],612)="","",INDEX(DGArchive[阶段],612)))</f>
        <v/>
      </c>
      <c r="CC811" t="str">
        <f>IF(612&gt;ROWS(DGArchive[游戏内日期]),"",IF(INDEX(DGArchive[游戏内日期],612)="","",INDEX(DGArchive[游戏内日期],612)))</f>
        <v/>
      </c>
      <c r="CD811" t="str">
        <f>IF(612&gt;ROWS(DGArchive[目标]),"",IF(INDEX(DGArchive[目标],612)="","",INDEX(DGArchive[目标],612)))</f>
        <v/>
      </c>
      <c r="CE811" t="str">
        <f>IF(612&gt;ROWS(DGArchive[变更前]),"",IF(INDEX(DGArchive[变更前],612)="","",INDEX(DGArchive[变更前],612)))</f>
        <v/>
      </c>
      <c r="CF811" t="str">
        <f>IF(612&gt;ROWS(DGArchive[增减]),"",IF(INDEX(DGArchive[增减],612)="","",INDEX(DGArchive[增减],612)))</f>
        <v/>
      </c>
      <c r="CG811" t="str">
        <f>IF(612&gt;ROWS(DGArchive[变更后]),"",IF(INDEX(DGArchive[变更后],612)="","",INDEX(DGArchive[变更后],612)))</f>
        <v/>
      </c>
      <c r="CH811" t="str">
        <f>IF(612&gt;ROWS(DGArchive[事件／活动]),"",IF(INDEX(DGArchive[事件／活动],612)="","",INDEX(DGArchive[事件／活动],612)))</f>
        <v/>
      </c>
      <c r="CI811" t="str">
        <f>IF(612&gt;ROWS(DGArchive[记录编号]),"",IF(INDEX(DGArchive[记录编号],612)="","",INDEX(DGArchive[记录编号],612)))</f>
        <v/>
      </c>
      <c r="CL811">
        <f t="shared" si="284"/>
        <v>0</v>
      </c>
      <c r="CM811">
        <f>IF(AND(A811=$AO$5,B811=$AQ$3,H811=1),COUNTIFS($A$200:A811,$AO$5,$B$200:B811,$AQ$3,$H$200:H811,1),0)</f>
        <v>0</v>
      </c>
      <c r="CN811">
        <f>IF(CA811="",612,1001)</f>
        <v>612</v>
      </c>
      <c r="GA811">
        <f t="shared" si="304"/>
        <v>0</v>
      </c>
      <c r="GB811">
        <f t="shared" si="305"/>
        <v>0</v>
      </c>
      <c r="GC811">
        <f>IF(AND(C811="事件记录",H811=1),COUNTIFS($C$200:C811,"事件记录",$H$200:H811,1),0)</f>
        <v>0</v>
      </c>
      <c r="GD811">
        <f t="shared" si="285"/>
        <v>0</v>
      </c>
      <c r="GH811">
        <f>IF(AND(H811=1,A811=$GA$10,B811=$GA$11),COUNTIFS($A$200:A811,$GA$10,$B$200:B811,$GA$11,$H$200:H811,1),0)</f>
        <v>0</v>
      </c>
    </row>
    <row r="812" spans="1:190">
      <c r="A812" t="str">
        <f t="shared" si="276"/>
        <v/>
      </c>
      <c r="B812" t="str">
        <f t="shared" si="277"/>
        <v/>
      </c>
      <c r="C812" t="str">
        <f t="shared" si="278"/>
        <v/>
      </c>
      <c r="D812" t="str">
        <f t="shared" si="279"/>
        <v/>
      </c>
      <c r="E812">
        <f t="shared" si="280"/>
        <v>0</v>
      </c>
      <c r="F812" t="str">
        <f t="shared" si="281"/>
        <v/>
      </c>
      <c r="G812">
        <f t="shared" si="282"/>
        <v>0</v>
      </c>
      <c r="H812">
        <f>IF(AND(G812=1,COUNTIFS($I$200:I812,I812,$G$200:G812,1)=1),1,0)</f>
        <v>0</v>
      </c>
      <c r="I812" t="str">
        <f t="shared" si="283"/>
        <v/>
      </c>
      <c r="BF812">
        <f t="shared" si="286"/>
        <v>0</v>
      </c>
      <c r="BG812">
        <f t="shared" si="287"/>
        <v>0</v>
      </c>
      <c r="BH812">
        <f t="shared" si="288"/>
        <v>0</v>
      </c>
      <c r="BI812">
        <f t="shared" si="289"/>
        <v>0</v>
      </c>
      <c r="BJ812">
        <f t="shared" si="290"/>
        <v>0</v>
      </c>
      <c r="BK812">
        <f t="shared" si="291"/>
        <v>0</v>
      </c>
      <c r="BL812">
        <f t="shared" si="292"/>
        <v>0</v>
      </c>
      <c r="BM812">
        <f t="shared" si="293"/>
        <v>0</v>
      </c>
      <c r="BN812">
        <f t="shared" si="294"/>
        <v>0</v>
      </c>
      <c r="BO812">
        <f t="shared" si="295"/>
        <v>0</v>
      </c>
      <c r="BP812">
        <f t="shared" si="296"/>
        <v>0</v>
      </c>
      <c r="BQ812">
        <f t="shared" si="297"/>
        <v>0</v>
      </c>
      <c r="BR812">
        <f t="shared" si="298"/>
        <v>0</v>
      </c>
      <c r="BS812">
        <f t="shared" si="299"/>
        <v>0</v>
      </c>
      <c r="BT812">
        <f t="shared" si="300"/>
        <v>0</v>
      </c>
      <c r="BU812">
        <f t="shared" si="301"/>
        <v>0</v>
      </c>
      <c r="BV812">
        <f t="shared" si="302"/>
        <v>0</v>
      </c>
      <c r="BW812">
        <f t="shared" si="303"/>
        <v>0</v>
      </c>
      <c r="CA812" t="str">
        <f>IF(613&gt;ROWS(DGArchive[模组]),"",IF(INDEX(DGArchive[模组],613)="","",INDEX(DGArchive[模组],613)))</f>
        <v/>
      </c>
      <c r="CB812" t="str">
        <f>IF(613&gt;ROWS(DGArchive[阶段]),"",IF(INDEX(DGArchive[阶段],613)="","",INDEX(DGArchive[阶段],613)))</f>
        <v/>
      </c>
      <c r="CC812" t="str">
        <f>IF(613&gt;ROWS(DGArchive[游戏内日期]),"",IF(INDEX(DGArchive[游戏内日期],613)="","",INDEX(DGArchive[游戏内日期],613)))</f>
        <v/>
      </c>
      <c r="CD812" t="str">
        <f>IF(613&gt;ROWS(DGArchive[目标]),"",IF(INDEX(DGArchive[目标],613)="","",INDEX(DGArchive[目标],613)))</f>
        <v/>
      </c>
      <c r="CE812" t="str">
        <f>IF(613&gt;ROWS(DGArchive[变更前]),"",IF(INDEX(DGArchive[变更前],613)="","",INDEX(DGArchive[变更前],613)))</f>
        <v/>
      </c>
      <c r="CF812" t="str">
        <f>IF(613&gt;ROWS(DGArchive[增减]),"",IF(INDEX(DGArchive[增减],613)="","",INDEX(DGArchive[增减],613)))</f>
        <v/>
      </c>
      <c r="CG812" t="str">
        <f>IF(613&gt;ROWS(DGArchive[变更后]),"",IF(INDEX(DGArchive[变更后],613)="","",INDEX(DGArchive[变更后],613)))</f>
        <v/>
      </c>
      <c r="CH812" t="str">
        <f>IF(613&gt;ROWS(DGArchive[事件／活动]),"",IF(INDEX(DGArchive[事件／活动],613)="","",INDEX(DGArchive[事件／活动],613)))</f>
        <v/>
      </c>
      <c r="CI812" t="str">
        <f>IF(613&gt;ROWS(DGArchive[记录编号]),"",IF(INDEX(DGArchive[记录编号],613)="","",INDEX(DGArchive[记录编号],613)))</f>
        <v/>
      </c>
      <c r="CL812">
        <f t="shared" si="284"/>
        <v>0</v>
      </c>
      <c r="CM812">
        <f>IF(AND(A812=$AO$5,B812=$AQ$3,H812=1),COUNTIFS($A$200:A812,$AO$5,$B$200:B812,$AQ$3,$H$200:H812,1),0)</f>
        <v>0</v>
      </c>
      <c r="CN812">
        <f>IF(CA812="",613,1001)</f>
        <v>613</v>
      </c>
      <c r="GA812">
        <f t="shared" si="304"/>
        <v>0</v>
      </c>
      <c r="GB812">
        <f t="shared" si="305"/>
        <v>0</v>
      </c>
      <c r="GC812">
        <f>IF(AND(C812="事件记录",H812=1),COUNTIFS($C$200:C812,"事件记录",$H$200:H812,1),0)</f>
        <v>0</v>
      </c>
      <c r="GD812">
        <f t="shared" si="285"/>
        <v>0</v>
      </c>
      <c r="GH812">
        <f>IF(AND(H812=1,A812=$GA$10,B812=$GA$11),COUNTIFS($A$200:A812,$GA$10,$B$200:B812,$GA$11,$H$200:H812,1),0)</f>
        <v>0</v>
      </c>
    </row>
    <row r="813" spans="1:190">
      <c r="A813" t="str">
        <f t="shared" si="276"/>
        <v/>
      </c>
      <c r="B813" t="str">
        <f t="shared" si="277"/>
        <v/>
      </c>
      <c r="C813" t="str">
        <f t="shared" si="278"/>
        <v/>
      </c>
      <c r="D813" t="str">
        <f t="shared" si="279"/>
        <v/>
      </c>
      <c r="E813">
        <f t="shared" si="280"/>
        <v>0</v>
      </c>
      <c r="F813" t="str">
        <f t="shared" si="281"/>
        <v/>
      </c>
      <c r="G813">
        <f t="shared" si="282"/>
        <v>0</v>
      </c>
      <c r="H813">
        <f>IF(AND(G813=1,COUNTIFS($I$200:I813,I813,$G$200:G813,1)=1),1,0)</f>
        <v>0</v>
      </c>
      <c r="I813" t="str">
        <f t="shared" si="283"/>
        <v/>
      </c>
      <c r="BF813">
        <f t="shared" si="286"/>
        <v>0</v>
      </c>
      <c r="BG813">
        <f t="shared" si="287"/>
        <v>0</v>
      </c>
      <c r="BH813">
        <f t="shared" si="288"/>
        <v>0</v>
      </c>
      <c r="BI813">
        <f t="shared" si="289"/>
        <v>0</v>
      </c>
      <c r="BJ813">
        <f t="shared" si="290"/>
        <v>0</v>
      </c>
      <c r="BK813">
        <f t="shared" si="291"/>
        <v>0</v>
      </c>
      <c r="BL813">
        <f t="shared" si="292"/>
        <v>0</v>
      </c>
      <c r="BM813">
        <f t="shared" si="293"/>
        <v>0</v>
      </c>
      <c r="BN813">
        <f t="shared" si="294"/>
        <v>0</v>
      </c>
      <c r="BO813">
        <f t="shared" si="295"/>
        <v>0</v>
      </c>
      <c r="BP813">
        <f t="shared" si="296"/>
        <v>0</v>
      </c>
      <c r="BQ813">
        <f t="shared" si="297"/>
        <v>0</v>
      </c>
      <c r="BR813">
        <f t="shared" si="298"/>
        <v>0</v>
      </c>
      <c r="BS813">
        <f t="shared" si="299"/>
        <v>0</v>
      </c>
      <c r="BT813">
        <f t="shared" si="300"/>
        <v>0</v>
      </c>
      <c r="BU813">
        <f t="shared" si="301"/>
        <v>0</v>
      </c>
      <c r="BV813">
        <f t="shared" si="302"/>
        <v>0</v>
      </c>
      <c r="BW813">
        <f t="shared" si="303"/>
        <v>0</v>
      </c>
      <c r="CA813" t="str">
        <f>IF(614&gt;ROWS(DGArchive[模组]),"",IF(INDEX(DGArchive[模组],614)="","",INDEX(DGArchive[模组],614)))</f>
        <v/>
      </c>
      <c r="CB813" t="str">
        <f>IF(614&gt;ROWS(DGArchive[阶段]),"",IF(INDEX(DGArchive[阶段],614)="","",INDEX(DGArchive[阶段],614)))</f>
        <v/>
      </c>
      <c r="CC813" t="str">
        <f>IF(614&gt;ROWS(DGArchive[游戏内日期]),"",IF(INDEX(DGArchive[游戏内日期],614)="","",INDEX(DGArchive[游戏内日期],614)))</f>
        <v/>
      </c>
      <c r="CD813" t="str">
        <f>IF(614&gt;ROWS(DGArchive[目标]),"",IF(INDEX(DGArchive[目标],614)="","",INDEX(DGArchive[目标],614)))</f>
        <v/>
      </c>
      <c r="CE813" t="str">
        <f>IF(614&gt;ROWS(DGArchive[变更前]),"",IF(INDEX(DGArchive[变更前],614)="","",INDEX(DGArchive[变更前],614)))</f>
        <v/>
      </c>
      <c r="CF813" t="str">
        <f>IF(614&gt;ROWS(DGArchive[增减]),"",IF(INDEX(DGArchive[增减],614)="","",INDEX(DGArchive[增减],614)))</f>
        <v/>
      </c>
      <c r="CG813" t="str">
        <f>IF(614&gt;ROWS(DGArchive[变更后]),"",IF(INDEX(DGArchive[变更后],614)="","",INDEX(DGArchive[变更后],614)))</f>
        <v/>
      </c>
      <c r="CH813" t="str">
        <f>IF(614&gt;ROWS(DGArchive[事件／活动]),"",IF(INDEX(DGArchive[事件／活动],614)="","",INDEX(DGArchive[事件／活动],614)))</f>
        <v/>
      </c>
      <c r="CI813" t="str">
        <f>IF(614&gt;ROWS(DGArchive[记录编号]),"",IF(INDEX(DGArchive[记录编号],614)="","",INDEX(DGArchive[记录编号],614)))</f>
        <v/>
      </c>
      <c r="CL813">
        <f t="shared" si="284"/>
        <v>0</v>
      </c>
      <c r="CM813">
        <f>IF(AND(A813=$AO$5,B813=$AQ$3,H813=1),COUNTIFS($A$200:A813,$AO$5,$B$200:B813,$AQ$3,$H$200:H813,1),0)</f>
        <v>0</v>
      </c>
      <c r="CN813">
        <f>IF(CA813="",614,1001)</f>
        <v>614</v>
      </c>
      <c r="GA813">
        <f t="shared" si="304"/>
        <v>0</v>
      </c>
      <c r="GB813">
        <f t="shared" si="305"/>
        <v>0</v>
      </c>
      <c r="GC813">
        <f>IF(AND(C813="事件记录",H813=1),COUNTIFS($C$200:C813,"事件记录",$H$200:H813,1),0)</f>
        <v>0</v>
      </c>
      <c r="GD813">
        <f t="shared" si="285"/>
        <v>0</v>
      </c>
      <c r="GH813">
        <f>IF(AND(H813=1,A813=$GA$10,B813=$GA$11),COUNTIFS($A$200:A813,$GA$10,$B$200:B813,$GA$11,$H$200:H813,1),0)</f>
        <v>0</v>
      </c>
    </row>
    <row r="814" spans="1:190">
      <c r="A814" t="str">
        <f t="shared" si="276"/>
        <v/>
      </c>
      <c r="B814" t="str">
        <f t="shared" si="277"/>
        <v/>
      </c>
      <c r="C814" t="str">
        <f t="shared" si="278"/>
        <v/>
      </c>
      <c r="D814" t="str">
        <f t="shared" si="279"/>
        <v/>
      </c>
      <c r="E814">
        <f t="shared" si="280"/>
        <v>0</v>
      </c>
      <c r="F814" t="str">
        <f t="shared" si="281"/>
        <v/>
      </c>
      <c r="G814">
        <f t="shared" si="282"/>
        <v>0</v>
      </c>
      <c r="H814">
        <f>IF(AND(G814=1,COUNTIFS($I$200:I814,I814,$G$200:G814,1)=1),1,0)</f>
        <v>0</v>
      </c>
      <c r="I814" t="str">
        <f t="shared" si="283"/>
        <v/>
      </c>
      <c r="BF814">
        <f t="shared" si="286"/>
        <v>0</v>
      </c>
      <c r="BG814">
        <f t="shared" si="287"/>
        <v>0</v>
      </c>
      <c r="BH814">
        <f t="shared" si="288"/>
        <v>0</v>
      </c>
      <c r="BI814">
        <f t="shared" si="289"/>
        <v>0</v>
      </c>
      <c r="BJ814">
        <f t="shared" si="290"/>
        <v>0</v>
      </c>
      <c r="BK814">
        <f t="shared" si="291"/>
        <v>0</v>
      </c>
      <c r="BL814">
        <f t="shared" si="292"/>
        <v>0</v>
      </c>
      <c r="BM814">
        <f t="shared" si="293"/>
        <v>0</v>
      </c>
      <c r="BN814">
        <f t="shared" si="294"/>
        <v>0</v>
      </c>
      <c r="BO814">
        <f t="shared" si="295"/>
        <v>0</v>
      </c>
      <c r="BP814">
        <f t="shared" si="296"/>
        <v>0</v>
      </c>
      <c r="BQ814">
        <f t="shared" si="297"/>
        <v>0</v>
      </c>
      <c r="BR814">
        <f t="shared" si="298"/>
        <v>0</v>
      </c>
      <c r="BS814">
        <f t="shared" si="299"/>
        <v>0</v>
      </c>
      <c r="BT814">
        <f t="shared" si="300"/>
        <v>0</v>
      </c>
      <c r="BU814">
        <f t="shared" si="301"/>
        <v>0</v>
      </c>
      <c r="BV814">
        <f t="shared" si="302"/>
        <v>0</v>
      </c>
      <c r="BW814">
        <f t="shared" si="303"/>
        <v>0</v>
      </c>
      <c r="CA814" t="str">
        <f>IF(615&gt;ROWS(DGArchive[模组]),"",IF(INDEX(DGArchive[模组],615)="","",INDEX(DGArchive[模组],615)))</f>
        <v/>
      </c>
      <c r="CB814" t="str">
        <f>IF(615&gt;ROWS(DGArchive[阶段]),"",IF(INDEX(DGArchive[阶段],615)="","",INDEX(DGArchive[阶段],615)))</f>
        <v/>
      </c>
      <c r="CC814" t="str">
        <f>IF(615&gt;ROWS(DGArchive[游戏内日期]),"",IF(INDEX(DGArchive[游戏内日期],615)="","",INDEX(DGArchive[游戏内日期],615)))</f>
        <v/>
      </c>
      <c r="CD814" t="str">
        <f>IF(615&gt;ROWS(DGArchive[目标]),"",IF(INDEX(DGArchive[目标],615)="","",INDEX(DGArchive[目标],615)))</f>
        <v/>
      </c>
      <c r="CE814" t="str">
        <f>IF(615&gt;ROWS(DGArchive[变更前]),"",IF(INDEX(DGArchive[变更前],615)="","",INDEX(DGArchive[变更前],615)))</f>
        <v/>
      </c>
      <c r="CF814" t="str">
        <f>IF(615&gt;ROWS(DGArchive[增减]),"",IF(INDEX(DGArchive[增减],615)="","",INDEX(DGArchive[增减],615)))</f>
        <v/>
      </c>
      <c r="CG814" t="str">
        <f>IF(615&gt;ROWS(DGArchive[变更后]),"",IF(INDEX(DGArchive[变更后],615)="","",INDEX(DGArchive[变更后],615)))</f>
        <v/>
      </c>
      <c r="CH814" t="str">
        <f>IF(615&gt;ROWS(DGArchive[事件／活动]),"",IF(INDEX(DGArchive[事件／活动],615)="","",INDEX(DGArchive[事件／活动],615)))</f>
        <v/>
      </c>
      <c r="CI814" t="str">
        <f>IF(615&gt;ROWS(DGArchive[记录编号]),"",IF(INDEX(DGArchive[记录编号],615)="","",INDEX(DGArchive[记录编号],615)))</f>
        <v/>
      </c>
      <c r="CL814">
        <f t="shared" si="284"/>
        <v>0</v>
      </c>
      <c r="CM814">
        <f>IF(AND(A814=$AO$5,B814=$AQ$3,H814=1),COUNTIFS($A$200:A814,$AO$5,$B$200:B814,$AQ$3,$H$200:H814,1),0)</f>
        <v>0</v>
      </c>
      <c r="CN814">
        <f>IF(CA814="",615,1001)</f>
        <v>615</v>
      </c>
      <c r="GA814">
        <f t="shared" si="304"/>
        <v>0</v>
      </c>
      <c r="GB814">
        <f t="shared" si="305"/>
        <v>0</v>
      </c>
      <c r="GC814">
        <f>IF(AND(C814="事件记录",H814=1),COUNTIFS($C$200:C814,"事件记录",$H$200:H814,1),0)</f>
        <v>0</v>
      </c>
      <c r="GD814">
        <f t="shared" si="285"/>
        <v>0</v>
      </c>
      <c r="GH814">
        <f>IF(AND(H814=1,A814=$GA$10,B814=$GA$11),COUNTIFS($A$200:A814,$GA$10,$B$200:B814,$GA$11,$H$200:H814,1),0)</f>
        <v>0</v>
      </c>
    </row>
    <row r="815" spans="1:190">
      <c r="A815" t="str">
        <f t="shared" si="276"/>
        <v/>
      </c>
      <c r="B815" t="str">
        <f t="shared" si="277"/>
        <v/>
      </c>
      <c r="C815" t="str">
        <f t="shared" si="278"/>
        <v/>
      </c>
      <c r="D815" t="str">
        <f t="shared" si="279"/>
        <v/>
      </c>
      <c r="E815">
        <f t="shared" si="280"/>
        <v>0</v>
      </c>
      <c r="F815" t="str">
        <f t="shared" si="281"/>
        <v/>
      </c>
      <c r="G815">
        <f t="shared" si="282"/>
        <v>0</v>
      </c>
      <c r="H815">
        <f>IF(AND(G815=1,COUNTIFS($I$200:I815,I815,$G$200:G815,1)=1),1,0)</f>
        <v>0</v>
      </c>
      <c r="I815" t="str">
        <f t="shared" si="283"/>
        <v/>
      </c>
      <c r="BF815">
        <f t="shared" si="286"/>
        <v>0</v>
      </c>
      <c r="BG815">
        <f t="shared" si="287"/>
        <v>0</v>
      </c>
      <c r="BH815">
        <f t="shared" si="288"/>
        <v>0</v>
      </c>
      <c r="BI815">
        <f t="shared" si="289"/>
        <v>0</v>
      </c>
      <c r="BJ815">
        <f t="shared" si="290"/>
        <v>0</v>
      </c>
      <c r="BK815">
        <f t="shared" si="291"/>
        <v>0</v>
      </c>
      <c r="BL815">
        <f t="shared" si="292"/>
        <v>0</v>
      </c>
      <c r="BM815">
        <f t="shared" si="293"/>
        <v>0</v>
      </c>
      <c r="BN815">
        <f t="shared" si="294"/>
        <v>0</v>
      </c>
      <c r="BO815">
        <f t="shared" si="295"/>
        <v>0</v>
      </c>
      <c r="BP815">
        <f t="shared" si="296"/>
        <v>0</v>
      </c>
      <c r="BQ815">
        <f t="shared" si="297"/>
        <v>0</v>
      </c>
      <c r="BR815">
        <f t="shared" si="298"/>
        <v>0</v>
      </c>
      <c r="BS815">
        <f t="shared" si="299"/>
        <v>0</v>
      </c>
      <c r="BT815">
        <f t="shared" si="300"/>
        <v>0</v>
      </c>
      <c r="BU815">
        <f t="shared" si="301"/>
        <v>0</v>
      </c>
      <c r="BV815">
        <f t="shared" si="302"/>
        <v>0</v>
      </c>
      <c r="BW815">
        <f t="shared" si="303"/>
        <v>0</v>
      </c>
      <c r="CA815" t="str">
        <f>IF(616&gt;ROWS(DGArchive[模组]),"",IF(INDEX(DGArchive[模组],616)="","",INDEX(DGArchive[模组],616)))</f>
        <v/>
      </c>
      <c r="CB815" t="str">
        <f>IF(616&gt;ROWS(DGArchive[阶段]),"",IF(INDEX(DGArchive[阶段],616)="","",INDEX(DGArchive[阶段],616)))</f>
        <v/>
      </c>
      <c r="CC815" t="str">
        <f>IF(616&gt;ROWS(DGArchive[游戏内日期]),"",IF(INDEX(DGArchive[游戏内日期],616)="","",INDEX(DGArchive[游戏内日期],616)))</f>
        <v/>
      </c>
      <c r="CD815" t="str">
        <f>IF(616&gt;ROWS(DGArchive[目标]),"",IF(INDEX(DGArchive[目标],616)="","",INDEX(DGArchive[目标],616)))</f>
        <v/>
      </c>
      <c r="CE815" t="str">
        <f>IF(616&gt;ROWS(DGArchive[变更前]),"",IF(INDEX(DGArchive[变更前],616)="","",INDEX(DGArchive[变更前],616)))</f>
        <v/>
      </c>
      <c r="CF815" t="str">
        <f>IF(616&gt;ROWS(DGArchive[增减]),"",IF(INDEX(DGArchive[增减],616)="","",INDEX(DGArchive[增减],616)))</f>
        <v/>
      </c>
      <c r="CG815" t="str">
        <f>IF(616&gt;ROWS(DGArchive[变更后]),"",IF(INDEX(DGArchive[变更后],616)="","",INDEX(DGArchive[变更后],616)))</f>
        <v/>
      </c>
      <c r="CH815" t="str">
        <f>IF(616&gt;ROWS(DGArchive[事件／活动]),"",IF(INDEX(DGArchive[事件／活动],616)="","",INDEX(DGArchive[事件／活动],616)))</f>
        <v/>
      </c>
      <c r="CI815" t="str">
        <f>IF(616&gt;ROWS(DGArchive[记录编号]),"",IF(INDEX(DGArchive[记录编号],616)="","",INDEX(DGArchive[记录编号],616)))</f>
        <v/>
      </c>
      <c r="CL815">
        <f t="shared" si="284"/>
        <v>0</v>
      </c>
      <c r="CM815">
        <f>IF(AND(A815=$AO$5,B815=$AQ$3,H815=1),COUNTIFS($A$200:A815,$AO$5,$B$200:B815,$AQ$3,$H$200:H815,1),0)</f>
        <v>0</v>
      </c>
      <c r="CN815">
        <f>IF(CA815="",616,1001)</f>
        <v>616</v>
      </c>
      <c r="GA815">
        <f t="shared" si="304"/>
        <v>0</v>
      </c>
      <c r="GB815">
        <f t="shared" si="305"/>
        <v>0</v>
      </c>
      <c r="GC815">
        <f>IF(AND(C815="事件记录",H815=1),COUNTIFS($C$200:C815,"事件记录",$H$200:H815,1),0)</f>
        <v>0</v>
      </c>
      <c r="GD815">
        <f t="shared" si="285"/>
        <v>0</v>
      </c>
      <c r="GH815">
        <f>IF(AND(H815=1,A815=$GA$10,B815=$GA$11),COUNTIFS($A$200:A815,$GA$10,$B$200:B815,$GA$11,$H$200:H815,1),0)</f>
        <v>0</v>
      </c>
    </row>
    <row r="816" spans="1:190">
      <c r="A816" t="str">
        <f t="shared" si="276"/>
        <v/>
      </c>
      <c r="B816" t="str">
        <f t="shared" si="277"/>
        <v/>
      </c>
      <c r="C816" t="str">
        <f t="shared" si="278"/>
        <v/>
      </c>
      <c r="D816" t="str">
        <f t="shared" si="279"/>
        <v/>
      </c>
      <c r="E816">
        <f t="shared" si="280"/>
        <v>0</v>
      </c>
      <c r="F816" t="str">
        <f t="shared" si="281"/>
        <v/>
      </c>
      <c r="G816">
        <f t="shared" si="282"/>
        <v>0</v>
      </c>
      <c r="H816">
        <f>IF(AND(G816=1,COUNTIFS($I$200:I816,I816,$G$200:G816,1)=1),1,0)</f>
        <v>0</v>
      </c>
      <c r="I816" t="str">
        <f t="shared" si="283"/>
        <v/>
      </c>
      <c r="BF816">
        <f t="shared" si="286"/>
        <v>0</v>
      </c>
      <c r="BG816">
        <f t="shared" si="287"/>
        <v>0</v>
      </c>
      <c r="BH816">
        <f t="shared" si="288"/>
        <v>0</v>
      </c>
      <c r="BI816">
        <f t="shared" si="289"/>
        <v>0</v>
      </c>
      <c r="BJ816">
        <f t="shared" si="290"/>
        <v>0</v>
      </c>
      <c r="BK816">
        <f t="shared" si="291"/>
        <v>0</v>
      </c>
      <c r="BL816">
        <f t="shared" si="292"/>
        <v>0</v>
      </c>
      <c r="BM816">
        <f t="shared" si="293"/>
        <v>0</v>
      </c>
      <c r="BN816">
        <f t="shared" si="294"/>
        <v>0</v>
      </c>
      <c r="BO816">
        <f t="shared" si="295"/>
        <v>0</v>
      </c>
      <c r="BP816">
        <f t="shared" si="296"/>
        <v>0</v>
      </c>
      <c r="BQ816">
        <f t="shared" si="297"/>
        <v>0</v>
      </c>
      <c r="BR816">
        <f t="shared" si="298"/>
        <v>0</v>
      </c>
      <c r="BS816">
        <f t="shared" si="299"/>
        <v>0</v>
      </c>
      <c r="BT816">
        <f t="shared" si="300"/>
        <v>0</v>
      </c>
      <c r="BU816">
        <f t="shared" si="301"/>
        <v>0</v>
      </c>
      <c r="BV816">
        <f t="shared" si="302"/>
        <v>0</v>
      </c>
      <c r="BW816">
        <f t="shared" si="303"/>
        <v>0</v>
      </c>
      <c r="CA816" t="str">
        <f>IF(617&gt;ROWS(DGArchive[模组]),"",IF(INDEX(DGArchive[模组],617)="","",INDEX(DGArchive[模组],617)))</f>
        <v/>
      </c>
      <c r="CB816" t="str">
        <f>IF(617&gt;ROWS(DGArchive[阶段]),"",IF(INDEX(DGArchive[阶段],617)="","",INDEX(DGArchive[阶段],617)))</f>
        <v/>
      </c>
      <c r="CC816" t="str">
        <f>IF(617&gt;ROWS(DGArchive[游戏内日期]),"",IF(INDEX(DGArchive[游戏内日期],617)="","",INDEX(DGArchive[游戏内日期],617)))</f>
        <v/>
      </c>
      <c r="CD816" t="str">
        <f>IF(617&gt;ROWS(DGArchive[目标]),"",IF(INDEX(DGArchive[目标],617)="","",INDEX(DGArchive[目标],617)))</f>
        <v/>
      </c>
      <c r="CE816" t="str">
        <f>IF(617&gt;ROWS(DGArchive[变更前]),"",IF(INDEX(DGArchive[变更前],617)="","",INDEX(DGArchive[变更前],617)))</f>
        <v/>
      </c>
      <c r="CF816" t="str">
        <f>IF(617&gt;ROWS(DGArchive[增减]),"",IF(INDEX(DGArchive[增减],617)="","",INDEX(DGArchive[增减],617)))</f>
        <v/>
      </c>
      <c r="CG816" t="str">
        <f>IF(617&gt;ROWS(DGArchive[变更后]),"",IF(INDEX(DGArchive[变更后],617)="","",INDEX(DGArchive[变更后],617)))</f>
        <v/>
      </c>
      <c r="CH816" t="str">
        <f>IF(617&gt;ROWS(DGArchive[事件／活动]),"",IF(INDEX(DGArchive[事件／活动],617)="","",INDEX(DGArchive[事件／活动],617)))</f>
        <v/>
      </c>
      <c r="CI816" t="str">
        <f>IF(617&gt;ROWS(DGArchive[记录编号]),"",IF(INDEX(DGArchive[记录编号],617)="","",INDEX(DGArchive[记录编号],617)))</f>
        <v/>
      </c>
      <c r="CL816">
        <f t="shared" si="284"/>
        <v>0</v>
      </c>
      <c r="CM816">
        <f>IF(AND(A816=$AO$5,B816=$AQ$3,H816=1),COUNTIFS($A$200:A816,$AO$5,$B$200:B816,$AQ$3,$H$200:H816,1),0)</f>
        <v>0</v>
      </c>
      <c r="CN816">
        <f>IF(CA816="",617,1001)</f>
        <v>617</v>
      </c>
      <c r="GA816">
        <f t="shared" si="304"/>
        <v>0</v>
      </c>
      <c r="GB816">
        <f t="shared" si="305"/>
        <v>0</v>
      </c>
      <c r="GC816">
        <f>IF(AND(C816="事件记录",H816=1),COUNTIFS($C$200:C816,"事件记录",$H$200:H816,1),0)</f>
        <v>0</v>
      </c>
      <c r="GD816">
        <f t="shared" si="285"/>
        <v>0</v>
      </c>
      <c r="GH816">
        <f>IF(AND(H816=1,A816=$GA$10,B816=$GA$11),COUNTIFS($A$200:A816,$GA$10,$B$200:B816,$GA$11,$H$200:H816,1),0)</f>
        <v>0</v>
      </c>
    </row>
    <row r="817" spans="1:190">
      <c r="A817" t="str">
        <f t="shared" si="276"/>
        <v/>
      </c>
      <c r="B817" t="str">
        <f t="shared" si="277"/>
        <v/>
      </c>
      <c r="C817" t="str">
        <f t="shared" si="278"/>
        <v/>
      </c>
      <c r="D817" t="str">
        <f t="shared" si="279"/>
        <v/>
      </c>
      <c r="E817">
        <f t="shared" si="280"/>
        <v>0</v>
      </c>
      <c r="F817" t="str">
        <f t="shared" si="281"/>
        <v/>
      </c>
      <c r="G817">
        <f t="shared" si="282"/>
        <v>0</v>
      </c>
      <c r="H817">
        <f>IF(AND(G817=1,COUNTIFS($I$200:I817,I817,$G$200:G817,1)=1),1,0)</f>
        <v>0</v>
      </c>
      <c r="I817" t="str">
        <f t="shared" si="283"/>
        <v/>
      </c>
      <c r="BF817">
        <f t="shared" si="286"/>
        <v>0</v>
      </c>
      <c r="BG817">
        <f t="shared" si="287"/>
        <v>0</v>
      </c>
      <c r="BH817">
        <f t="shared" si="288"/>
        <v>0</v>
      </c>
      <c r="BI817">
        <f t="shared" si="289"/>
        <v>0</v>
      </c>
      <c r="BJ817">
        <f t="shared" si="290"/>
        <v>0</v>
      </c>
      <c r="BK817">
        <f t="shared" si="291"/>
        <v>0</v>
      </c>
      <c r="BL817">
        <f t="shared" si="292"/>
        <v>0</v>
      </c>
      <c r="BM817">
        <f t="shared" si="293"/>
        <v>0</v>
      </c>
      <c r="BN817">
        <f t="shared" si="294"/>
        <v>0</v>
      </c>
      <c r="BO817">
        <f t="shared" si="295"/>
        <v>0</v>
      </c>
      <c r="BP817">
        <f t="shared" si="296"/>
        <v>0</v>
      </c>
      <c r="BQ817">
        <f t="shared" si="297"/>
        <v>0</v>
      </c>
      <c r="BR817">
        <f t="shared" si="298"/>
        <v>0</v>
      </c>
      <c r="BS817">
        <f t="shared" si="299"/>
        <v>0</v>
      </c>
      <c r="BT817">
        <f t="shared" si="300"/>
        <v>0</v>
      </c>
      <c r="BU817">
        <f t="shared" si="301"/>
        <v>0</v>
      </c>
      <c r="BV817">
        <f t="shared" si="302"/>
        <v>0</v>
      </c>
      <c r="BW817">
        <f t="shared" si="303"/>
        <v>0</v>
      </c>
      <c r="CA817" t="str">
        <f>IF(618&gt;ROWS(DGArchive[模组]),"",IF(INDEX(DGArchive[模组],618)="","",INDEX(DGArchive[模组],618)))</f>
        <v/>
      </c>
      <c r="CB817" t="str">
        <f>IF(618&gt;ROWS(DGArchive[阶段]),"",IF(INDEX(DGArchive[阶段],618)="","",INDEX(DGArchive[阶段],618)))</f>
        <v/>
      </c>
      <c r="CC817" t="str">
        <f>IF(618&gt;ROWS(DGArchive[游戏内日期]),"",IF(INDEX(DGArchive[游戏内日期],618)="","",INDEX(DGArchive[游戏内日期],618)))</f>
        <v/>
      </c>
      <c r="CD817" t="str">
        <f>IF(618&gt;ROWS(DGArchive[目标]),"",IF(INDEX(DGArchive[目标],618)="","",INDEX(DGArchive[目标],618)))</f>
        <v/>
      </c>
      <c r="CE817" t="str">
        <f>IF(618&gt;ROWS(DGArchive[变更前]),"",IF(INDEX(DGArchive[变更前],618)="","",INDEX(DGArchive[变更前],618)))</f>
        <v/>
      </c>
      <c r="CF817" t="str">
        <f>IF(618&gt;ROWS(DGArchive[增减]),"",IF(INDEX(DGArchive[增减],618)="","",INDEX(DGArchive[增减],618)))</f>
        <v/>
      </c>
      <c r="CG817" t="str">
        <f>IF(618&gt;ROWS(DGArchive[变更后]),"",IF(INDEX(DGArchive[变更后],618)="","",INDEX(DGArchive[变更后],618)))</f>
        <v/>
      </c>
      <c r="CH817" t="str">
        <f>IF(618&gt;ROWS(DGArchive[事件／活动]),"",IF(INDEX(DGArchive[事件／活动],618)="","",INDEX(DGArchive[事件／活动],618)))</f>
        <v/>
      </c>
      <c r="CI817" t="str">
        <f>IF(618&gt;ROWS(DGArchive[记录编号]),"",IF(INDEX(DGArchive[记录编号],618)="","",INDEX(DGArchive[记录编号],618)))</f>
        <v/>
      </c>
      <c r="CL817">
        <f t="shared" si="284"/>
        <v>0</v>
      </c>
      <c r="CM817">
        <f>IF(AND(A817=$AO$5,B817=$AQ$3,H817=1),COUNTIFS($A$200:A817,$AO$5,$B$200:B817,$AQ$3,$H$200:H817,1),0)</f>
        <v>0</v>
      </c>
      <c r="CN817">
        <f>IF(CA817="",618,1001)</f>
        <v>618</v>
      </c>
      <c r="GA817">
        <f t="shared" si="304"/>
        <v>0</v>
      </c>
      <c r="GB817">
        <f t="shared" si="305"/>
        <v>0</v>
      </c>
      <c r="GC817">
        <f>IF(AND(C817="事件记录",H817=1),COUNTIFS($C$200:C817,"事件记录",$H$200:H817,1),0)</f>
        <v>0</v>
      </c>
      <c r="GD817">
        <f t="shared" si="285"/>
        <v>0</v>
      </c>
      <c r="GH817">
        <f>IF(AND(H817=1,A817=$GA$10,B817=$GA$11),COUNTIFS($A$200:A817,$GA$10,$B$200:B817,$GA$11,$H$200:H817,1),0)</f>
        <v>0</v>
      </c>
    </row>
    <row r="818" spans="1:190">
      <c r="A818" t="str">
        <f t="shared" si="276"/>
        <v/>
      </c>
      <c r="B818" t="str">
        <f t="shared" si="277"/>
        <v/>
      </c>
      <c r="C818" t="str">
        <f t="shared" si="278"/>
        <v/>
      </c>
      <c r="D818" t="str">
        <f t="shared" si="279"/>
        <v/>
      </c>
      <c r="E818">
        <f t="shared" si="280"/>
        <v>0</v>
      </c>
      <c r="F818" t="str">
        <f t="shared" si="281"/>
        <v/>
      </c>
      <c r="G818">
        <f t="shared" si="282"/>
        <v>0</v>
      </c>
      <c r="H818">
        <f>IF(AND(G818=1,COUNTIFS($I$200:I818,I818,$G$200:G818,1)=1),1,0)</f>
        <v>0</v>
      </c>
      <c r="I818" t="str">
        <f t="shared" si="283"/>
        <v/>
      </c>
      <c r="BF818">
        <f t="shared" si="286"/>
        <v>0</v>
      </c>
      <c r="BG818">
        <f t="shared" si="287"/>
        <v>0</v>
      </c>
      <c r="BH818">
        <f t="shared" si="288"/>
        <v>0</v>
      </c>
      <c r="BI818">
        <f t="shared" si="289"/>
        <v>0</v>
      </c>
      <c r="BJ818">
        <f t="shared" si="290"/>
        <v>0</v>
      </c>
      <c r="BK818">
        <f t="shared" si="291"/>
        <v>0</v>
      </c>
      <c r="BL818">
        <f t="shared" si="292"/>
        <v>0</v>
      </c>
      <c r="BM818">
        <f t="shared" si="293"/>
        <v>0</v>
      </c>
      <c r="BN818">
        <f t="shared" si="294"/>
        <v>0</v>
      </c>
      <c r="BO818">
        <f t="shared" si="295"/>
        <v>0</v>
      </c>
      <c r="BP818">
        <f t="shared" si="296"/>
        <v>0</v>
      </c>
      <c r="BQ818">
        <f t="shared" si="297"/>
        <v>0</v>
      </c>
      <c r="BR818">
        <f t="shared" si="298"/>
        <v>0</v>
      </c>
      <c r="BS818">
        <f t="shared" si="299"/>
        <v>0</v>
      </c>
      <c r="BT818">
        <f t="shared" si="300"/>
        <v>0</v>
      </c>
      <c r="BU818">
        <f t="shared" si="301"/>
        <v>0</v>
      </c>
      <c r="BV818">
        <f t="shared" si="302"/>
        <v>0</v>
      </c>
      <c r="BW818">
        <f t="shared" si="303"/>
        <v>0</v>
      </c>
      <c r="CA818" t="str">
        <f>IF(619&gt;ROWS(DGArchive[模组]),"",IF(INDEX(DGArchive[模组],619)="","",INDEX(DGArchive[模组],619)))</f>
        <v/>
      </c>
      <c r="CB818" t="str">
        <f>IF(619&gt;ROWS(DGArchive[阶段]),"",IF(INDEX(DGArchive[阶段],619)="","",INDEX(DGArchive[阶段],619)))</f>
        <v/>
      </c>
      <c r="CC818" t="str">
        <f>IF(619&gt;ROWS(DGArchive[游戏内日期]),"",IF(INDEX(DGArchive[游戏内日期],619)="","",INDEX(DGArchive[游戏内日期],619)))</f>
        <v/>
      </c>
      <c r="CD818" t="str">
        <f>IF(619&gt;ROWS(DGArchive[目标]),"",IF(INDEX(DGArchive[目标],619)="","",INDEX(DGArchive[目标],619)))</f>
        <v/>
      </c>
      <c r="CE818" t="str">
        <f>IF(619&gt;ROWS(DGArchive[变更前]),"",IF(INDEX(DGArchive[变更前],619)="","",INDEX(DGArchive[变更前],619)))</f>
        <v/>
      </c>
      <c r="CF818" t="str">
        <f>IF(619&gt;ROWS(DGArchive[增减]),"",IF(INDEX(DGArchive[增减],619)="","",INDEX(DGArchive[增减],619)))</f>
        <v/>
      </c>
      <c r="CG818" t="str">
        <f>IF(619&gt;ROWS(DGArchive[变更后]),"",IF(INDEX(DGArchive[变更后],619)="","",INDEX(DGArchive[变更后],619)))</f>
        <v/>
      </c>
      <c r="CH818" t="str">
        <f>IF(619&gt;ROWS(DGArchive[事件／活动]),"",IF(INDEX(DGArchive[事件／活动],619)="","",INDEX(DGArchive[事件／活动],619)))</f>
        <v/>
      </c>
      <c r="CI818" t="str">
        <f>IF(619&gt;ROWS(DGArchive[记录编号]),"",IF(INDEX(DGArchive[记录编号],619)="","",INDEX(DGArchive[记录编号],619)))</f>
        <v/>
      </c>
      <c r="CL818">
        <f t="shared" si="284"/>
        <v>0</v>
      </c>
      <c r="CM818">
        <f>IF(AND(A818=$AO$5,B818=$AQ$3,H818=1),COUNTIFS($A$200:A818,$AO$5,$B$200:B818,$AQ$3,$H$200:H818,1),0)</f>
        <v>0</v>
      </c>
      <c r="CN818">
        <f>IF(CA818="",619,1001)</f>
        <v>619</v>
      </c>
      <c r="GA818">
        <f t="shared" si="304"/>
        <v>0</v>
      </c>
      <c r="GB818">
        <f t="shared" si="305"/>
        <v>0</v>
      </c>
      <c r="GC818">
        <f>IF(AND(C818="事件记录",H818=1),COUNTIFS($C$200:C818,"事件记录",$H$200:H818,1),0)</f>
        <v>0</v>
      </c>
      <c r="GD818">
        <f t="shared" si="285"/>
        <v>0</v>
      </c>
      <c r="GH818">
        <f>IF(AND(H818=1,A818=$GA$10,B818=$GA$11),COUNTIFS($A$200:A818,$GA$10,$B$200:B818,$GA$11,$H$200:H818,1),0)</f>
        <v>0</v>
      </c>
    </row>
    <row r="819" spans="1:190">
      <c r="A819" t="str">
        <f t="shared" si="276"/>
        <v/>
      </c>
      <c r="B819" t="str">
        <f t="shared" si="277"/>
        <v/>
      </c>
      <c r="C819" t="str">
        <f t="shared" si="278"/>
        <v/>
      </c>
      <c r="D819" t="str">
        <f t="shared" si="279"/>
        <v/>
      </c>
      <c r="E819">
        <f t="shared" si="280"/>
        <v>0</v>
      </c>
      <c r="F819" t="str">
        <f t="shared" si="281"/>
        <v/>
      </c>
      <c r="G819">
        <f t="shared" si="282"/>
        <v>0</v>
      </c>
      <c r="H819">
        <f>IF(AND(G819=1,COUNTIFS($I$200:I819,I819,$G$200:G819,1)=1),1,0)</f>
        <v>0</v>
      </c>
      <c r="I819" t="str">
        <f t="shared" si="283"/>
        <v/>
      </c>
      <c r="BF819">
        <f t="shared" si="286"/>
        <v>0</v>
      </c>
      <c r="BG819">
        <f t="shared" si="287"/>
        <v>0</v>
      </c>
      <c r="BH819">
        <f t="shared" si="288"/>
        <v>0</v>
      </c>
      <c r="BI819">
        <f t="shared" si="289"/>
        <v>0</v>
      </c>
      <c r="BJ819">
        <f t="shared" si="290"/>
        <v>0</v>
      </c>
      <c r="BK819">
        <f t="shared" si="291"/>
        <v>0</v>
      </c>
      <c r="BL819">
        <f t="shared" si="292"/>
        <v>0</v>
      </c>
      <c r="BM819">
        <f t="shared" si="293"/>
        <v>0</v>
      </c>
      <c r="BN819">
        <f t="shared" si="294"/>
        <v>0</v>
      </c>
      <c r="BO819">
        <f t="shared" si="295"/>
        <v>0</v>
      </c>
      <c r="BP819">
        <f t="shared" si="296"/>
        <v>0</v>
      </c>
      <c r="BQ819">
        <f t="shared" si="297"/>
        <v>0</v>
      </c>
      <c r="BR819">
        <f t="shared" si="298"/>
        <v>0</v>
      </c>
      <c r="BS819">
        <f t="shared" si="299"/>
        <v>0</v>
      </c>
      <c r="BT819">
        <f t="shared" si="300"/>
        <v>0</v>
      </c>
      <c r="BU819">
        <f t="shared" si="301"/>
        <v>0</v>
      </c>
      <c r="BV819">
        <f t="shared" si="302"/>
        <v>0</v>
      </c>
      <c r="BW819">
        <f t="shared" si="303"/>
        <v>0</v>
      </c>
      <c r="CA819" t="str">
        <f>IF(620&gt;ROWS(DGArchive[模组]),"",IF(INDEX(DGArchive[模组],620)="","",INDEX(DGArchive[模组],620)))</f>
        <v/>
      </c>
      <c r="CB819" t="str">
        <f>IF(620&gt;ROWS(DGArchive[阶段]),"",IF(INDEX(DGArchive[阶段],620)="","",INDEX(DGArchive[阶段],620)))</f>
        <v/>
      </c>
      <c r="CC819" t="str">
        <f>IF(620&gt;ROWS(DGArchive[游戏内日期]),"",IF(INDEX(DGArchive[游戏内日期],620)="","",INDEX(DGArchive[游戏内日期],620)))</f>
        <v/>
      </c>
      <c r="CD819" t="str">
        <f>IF(620&gt;ROWS(DGArchive[目标]),"",IF(INDEX(DGArchive[目标],620)="","",INDEX(DGArchive[目标],620)))</f>
        <v/>
      </c>
      <c r="CE819" t="str">
        <f>IF(620&gt;ROWS(DGArchive[变更前]),"",IF(INDEX(DGArchive[变更前],620)="","",INDEX(DGArchive[变更前],620)))</f>
        <v/>
      </c>
      <c r="CF819" t="str">
        <f>IF(620&gt;ROWS(DGArchive[增减]),"",IF(INDEX(DGArchive[增减],620)="","",INDEX(DGArchive[增减],620)))</f>
        <v/>
      </c>
      <c r="CG819" t="str">
        <f>IF(620&gt;ROWS(DGArchive[变更后]),"",IF(INDEX(DGArchive[变更后],620)="","",INDEX(DGArchive[变更后],620)))</f>
        <v/>
      </c>
      <c r="CH819" t="str">
        <f>IF(620&gt;ROWS(DGArchive[事件／活动]),"",IF(INDEX(DGArchive[事件／活动],620)="","",INDEX(DGArchive[事件／活动],620)))</f>
        <v/>
      </c>
      <c r="CI819" t="str">
        <f>IF(620&gt;ROWS(DGArchive[记录编号]),"",IF(INDEX(DGArchive[记录编号],620)="","",INDEX(DGArchive[记录编号],620)))</f>
        <v/>
      </c>
      <c r="CL819">
        <f t="shared" si="284"/>
        <v>0</v>
      </c>
      <c r="CM819">
        <f>IF(AND(A819=$AO$5,B819=$AQ$3,H819=1),COUNTIFS($A$200:A819,$AO$5,$B$200:B819,$AQ$3,$H$200:H819,1),0)</f>
        <v>0</v>
      </c>
      <c r="CN819">
        <f>IF(CA819="",620,1001)</f>
        <v>620</v>
      </c>
      <c r="GA819">
        <f t="shared" si="304"/>
        <v>0</v>
      </c>
      <c r="GB819">
        <f t="shared" si="305"/>
        <v>0</v>
      </c>
      <c r="GC819">
        <f>IF(AND(C819="事件记录",H819=1),COUNTIFS($C$200:C819,"事件记录",$H$200:H819,1),0)</f>
        <v>0</v>
      </c>
      <c r="GD819">
        <f t="shared" si="285"/>
        <v>0</v>
      </c>
      <c r="GH819">
        <f>IF(AND(H819=1,A819=$GA$10,B819=$GA$11),COUNTIFS($A$200:A819,$GA$10,$B$200:B819,$GA$11,$H$200:H819,1),0)</f>
        <v>0</v>
      </c>
    </row>
    <row r="820" spans="1:190">
      <c r="A820" t="str">
        <f t="shared" si="276"/>
        <v/>
      </c>
      <c r="B820" t="str">
        <f t="shared" si="277"/>
        <v/>
      </c>
      <c r="C820" t="str">
        <f t="shared" si="278"/>
        <v/>
      </c>
      <c r="D820" t="str">
        <f t="shared" si="279"/>
        <v/>
      </c>
      <c r="E820">
        <f t="shared" si="280"/>
        <v>0</v>
      </c>
      <c r="F820" t="str">
        <f t="shared" si="281"/>
        <v/>
      </c>
      <c r="G820">
        <f t="shared" si="282"/>
        <v>0</v>
      </c>
      <c r="H820">
        <f>IF(AND(G820=1,COUNTIFS($I$200:I820,I820,$G$200:G820,1)=1),1,0)</f>
        <v>0</v>
      </c>
      <c r="I820" t="str">
        <f t="shared" si="283"/>
        <v/>
      </c>
      <c r="BF820">
        <f t="shared" si="286"/>
        <v>0</v>
      </c>
      <c r="BG820">
        <f t="shared" si="287"/>
        <v>0</v>
      </c>
      <c r="BH820">
        <f t="shared" si="288"/>
        <v>0</v>
      </c>
      <c r="BI820">
        <f t="shared" si="289"/>
        <v>0</v>
      </c>
      <c r="BJ820">
        <f t="shared" si="290"/>
        <v>0</v>
      </c>
      <c r="BK820">
        <f t="shared" si="291"/>
        <v>0</v>
      </c>
      <c r="BL820">
        <f t="shared" si="292"/>
        <v>0</v>
      </c>
      <c r="BM820">
        <f t="shared" si="293"/>
        <v>0</v>
      </c>
      <c r="BN820">
        <f t="shared" si="294"/>
        <v>0</v>
      </c>
      <c r="BO820">
        <f t="shared" si="295"/>
        <v>0</v>
      </c>
      <c r="BP820">
        <f t="shared" si="296"/>
        <v>0</v>
      </c>
      <c r="BQ820">
        <f t="shared" si="297"/>
        <v>0</v>
      </c>
      <c r="BR820">
        <f t="shared" si="298"/>
        <v>0</v>
      </c>
      <c r="BS820">
        <f t="shared" si="299"/>
        <v>0</v>
      </c>
      <c r="BT820">
        <f t="shared" si="300"/>
        <v>0</v>
      </c>
      <c r="BU820">
        <f t="shared" si="301"/>
        <v>0</v>
      </c>
      <c r="BV820">
        <f t="shared" si="302"/>
        <v>0</v>
      </c>
      <c r="BW820">
        <f t="shared" si="303"/>
        <v>0</v>
      </c>
      <c r="CA820" t="str">
        <f>IF(621&gt;ROWS(DGArchive[模组]),"",IF(INDEX(DGArchive[模组],621)="","",INDEX(DGArchive[模组],621)))</f>
        <v/>
      </c>
      <c r="CB820" t="str">
        <f>IF(621&gt;ROWS(DGArchive[阶段]),"",IF(INDEX(DGArchive[阶段],621)="","",INDEX(DGArchive[阶段],621)))</f>
        <v/>
      </c>
      <c r="CC820" t="str">
        <f>IF(621&gt;ROWS(DGArchive[游戏内日期]),"",IF(INDEX(DGArchive[游戏内日期],621)="","",INDEX(DGArchive[游戏内日期],621)))</f>
        <v/>
      </c>
      <c r="CD820" t="str">
        <f>IF(621&gt;ROWS(DGArchive[目标]),"",IF(INDEX(DGArchive[目标],621)="","",INDEX(DGArchive[目标],621)))</f>
        <v/>
      </c>
      <c r="CE820" t="str">
        <f>IF(621&gt;ROWS(DGArchive[变更前]),"",IF(INDEX(DGArchive[变更前],621)="","",INDEX(DGArchive[变更前],621)))</f>
        <v/>
      </c>
      <c r="CF820" t="str">
        <f>IF(621&gt;ROWS(DGArchive[增减]),"",IF(INDEX(DGArchive[增减],621)="","",INDEX(DGArchive[增减],621)))</f>
        <v/>
      </c>
      <c r="CG820" t="str">
        <f>IF(621&gt;ROWS(DGArchive[变更后]),"",IF(INDEX(DGArchive[变更后],621)="","",INDEX(DGArchive[变更后],621)))</f>
        <v/>
      </c>
      <c r="CH820" t="str">
        <f>IF(621&gt;ROWS(DGArchive[事件／活动]),"",IF(INDEX(DGArchive[事件／活动],621)="","",INDEX(DGArchive[事件／活动],621)))</f>
        <v/>
      </c>
      <c r="CI820" t="str">
        <f>IF(621&gt;ROWS(DGArchive[记录编号]),"",IF(INDEX(DGArchive[记录编号],621)="","",INDEX(DGArchive[记录编号],621)))</f>
        <v/>
      </c>
      <c r="CL820">
        <f t="shared" si="284"/>
        <v>0</v>
      </c>
      <c r="CM820">
        <f>IF(AND(A820=$AO$5,B820=$AQ$3,H820=1),COUNTIFS($A$200:A820,$AO$5,$B$200:B820,$AQ$3,$H$200:H820,1),0)</f>
        <v>0</v>
      </c>
      <c r="CN820">
        <f>IF(CA820="",621,1001)</f>
        <v>621</v>
      </c>
      <c r="GA820">
        <f t="shared" si="304"/>
        <v>0</v>
      </c>
      <c r="GB820">
        <f t="shared" si="305"/>
        <v>0</v>
      </c>
      <c r="GC820">
        <f>IF(AND(C820="事件记录",H820=1),COUNTIFS($C$200:C820,"事件记录",$H$200:H820,1),0)</f>
        <v>0</v>
      </c>
      <c r="GD820">
        <f t="shared" si="285"/>
        <v>0</v>
      </c>
      <c r="GH820">
        <f>IF(AND(H820=1,A820=$GA$10,B820=$GA$11),COUNTIFS($A$200:A820,$GA$10,$B$200:B820,$GA$11,$H$200:H820,1),0)</f>
        <v>0</v>
      </c>
    </row>
    <row r="821" spans="1:190">
      <c r="A821" t="str">
        <f t="shared" si="276"/>
        <v/>
      </c>
      <c r="B821" t="str">
        <f t="shared" si="277"/>
        <v/>
      </c>
      <c r="C821" t="str">
        <f t="shared" si="278"/>
        <v/>
      </c>
      <c r="D821" t="str">
        <f t="shared" si="279"/>
        <v/>
      </c>
      <c r="E821">
        <f t="shared" si="280"/>
        <v>0</v>
      </c>
      <c r="F821" t="str">
        <f t="shared" si="281"/>
        <v/>
      </c>
      <c r="G821">
        <f t="shared" si="282"/>
        <v>0</v>
      </c>
      <c r="H821">
        <f>IF(AND(G821=1,COUNTIFS($I$200:I821,I821,$G$200:G821,1)=1),1,0)</f>
        <v>0</v>
      </c>
      <c r="I821" t="str">
        <f t="shared" si="283"/>
        <v/>
      </c>
      <c r="BF821">
        <f t="shared" si="286"/>
        <v>0</v>
      </c>
      <c r="BG821">
        <f t="shared" si="287"/>
        <v>0</v>
      </c>
      <c r="BH821">
        <f t="shared" si="288"/>
        <v>0</v>
      </c>
      <c r="BI821">
        <f t="shared" si="289"/>
        <v>0</v>
      </c>
      <c r="BJ821">
        <f t="shared" si="290"/>
        <v>0</v>
      </c>
      <c r="BK821">
        <f t="shared" si="291"/>
        <v>0</v>
      </c>
      <c r="BL821">
        <f t="shared" si="292"/>
        <v>0</v>
      </c>
      <c r="BM821">
        <f t="shared" si="293"/>
        <v>0</v>
      </c>
      <c r="BN821">
        <f t="shared" si="294"/>
        <v>0</v>
      </c>
      <c r="BO821">
        <f t="shared" si="295"/>
        <v>0</v>
      </c>
      <c r="BP821">
        <f t="shared" si="296"/>
        <v>0</v>
      </c>
      <c r="BQ821">
        <f t="shared" si="297"/>
        <v>0</v>
      </c>
      <c r="BR821">
        <f t="shared" si="298"/>
        <v>0</v>
      </c>
      <c r="BS821">
        <f t="shared" si="299"/>
        <v>0</v>
      </c>
      <c r="BT821">
        <f t="shared" si="300"/>
        <v>0</v>
      </c>
      <c r="BU821">
        <f t="shared" si="301"/>
        <v>0</v>
      </c>
      <c r="BV821">
        <f t="shared" si="302"/>
        <v>0</v>
      </c>
      <c r="BW821">
        <f t="shared" si="303"/>
        <v>0</v>
      </c>
      <c r="CA821" t="str">
        <f>IF(622&gt;ROWS(DGArchive[模组]),"",IF(INDEX(DGArchive[模组],622)="","",INDEX(DGArchive[模组],622)))</f>
        <v/>
      </c>
      <c r="CB821" t="str">
        <f>IF(622&gt;ROWS(DGArchive[阶段]),"",IF(INDEX(DGArchive[阶段],622)="","",INDEX(DGArchive[阶段],622)))</f>
        <v/>
      </c>
      <c r="CC821" t="str">
        <f>IF(622&gt;ROWS(DGArchive[游戏内日期]),"",IF(INDEX(DGArchive[游戏内日期],622)="","",INDEX(DGArchive[游戏内日期],622)))</f>
        <v/>
      </c>
      <c r="CD821" t="str">
        <f>IF(622&gt;ROWS(DGArchive[目标]),"",IF(INDEX(DGArchive[目标],622)="","",INDEX(DGArchive[目标],622)))</f>
        <v/>
      </c>
      <c r="CE821" t="str">
        <f>IF(622&gt;ROWS(DGArchive[变更前]),"",IF(INDEX(DGArchive[变更前],622)="","",INDEX(DGArchive[变更前],622)))</f>
        <v/>
      </c>
      <c r="CF821" t="str">
        <f>IF(622&gt;ROWS(DGArchive[增减]),"",IF(INDEX(DGArchive[增减],622)="","",INDEX(DGArchive[增减],622)))</f>
        <v/>
      </c>
      <c r="CG821" t="str">
        <f>IF(622&gt;ROWS(DGArchive[变更后]),"",IF(INDEX(DGArchive[变更后],622)="","",INDEX(DGArchive[变更后],622)))</f>
        <v/>
      </c>
      <c r="CH821" t="str">
        <f>IF(622&gt;ROWS(DGArchive[事件／活动]),"",IF(INDEX(DGArchive[事件／活动],622)="","",INDEX(DGArchive[事件／活动],622)))</f>
        <v/>
      </c>
      <c r="CI821" t="str">
        <f>IF(622&gt;ROWS(DGArchive[记录编号]),"",IF(INDEX(DGArchive[记录编号],622)="","",INDEX(DGArchive[记录编号],622)))</f>
        <v/>
      </c>
      <c r="CL821">
        <f t="shared" si="284"/>
        <v>0</v>
      </c>
      <c r="CM821">
        <f>IF(AND(A821=$AO$5,B821=$AQ$3,H821=1),COUNTIFS($A$200:A821,$AO$5,$B$200:B821,$AQ$3,$H$200:H821,1),0)</f>
        <v>0</v>
      </c>
      <c r="CN821">
        <f>IF(CA821="",622,1001)</f>
        <v>622</v>
      </c>
      <c r="GA821">
        <f t="shared" si="304"/>
        <v>0</v>
      </c>
      <c r="GB821">
        <f t="shared" si="305"/>
        <v>0</v>
      </c>
      <c r="GC821">
        <f>IF(AND(C821="事件记录",H821=1),COUNTIFS($C$200:C821,"事件记录",$H$200:H821,1),0)</f>
        <v>0</v>
      </c>
      <c r="GD821">
        <f t="shared" si="285"/>
        <v>0</v>
      </c>
      <c r="GH821">
        <f>IF(AND(H821=1,A821=$GA$10,B821=$GA$11),COUNTIFS($A$200:A821,$GA$10,$B$200:B821,$GA$11,$H$200:H821,1),0)</f>
        <v>0</v>
      </c>
    </row>
    <row r="822" spans="1:190">
      <c r="A822" t="str">
        <f t="shared" si="276"/>
        <v/>
      </c>
      <c r="B822" t="str">
        <f t="shared" si="277"/>
        <v/>
      </c>
      <c r="C822" t="str">
        <f t="shared" si="278"/>
        <v/>
      </c>
      <c r="D822" t="str">
        <f t="shared" si="279"/>
        <v/>
      </c>
      <c r="E822">
        <f t="shared" si="280"/>
        <v>0</v>
      </c>
      <c r="F822" t="str">
        <f t="shared" si="281"/>
        <v/>
      </c>
      <c r="G822">
        <f t="shared" si="282"/>
        <v>0</v>
      </c>
      <c r="H822">
        <f>IF(AND(G822=1,COUNTIFS($I$200:I822,I822,$G$200:G822,1)=1),1,0)</f>
        <v>0</v>
      </c>
      <c r="I822" t="str">
        <f t="shared" si="283"/>
        <v/>
      </c>
      <c r="BF822">
        <f t="shared" si="286"/>
        <v>0</v>
      </c>
      <c r="BG822">
        <f t="shared" si="287"/>
        <v>0</v>
      </c>
      <c r="BH822">
        <f t="shared" si="288"/>
        <v>0</v>
      </c>
      <c r="BI822">
        <f t="shared" si="289"/>
        <v>0</v>
      </c>
      <c r="BJ822">
        <f t="shared" si="290"/>
        <v>0</v>
      </c>
      <c r="BK822">
        <f t="shared" si="291"/>
        <v>0</v>
      </c>
      <c r="BL822">
        <f t="shared" si="292"/>
        <v>0</v>
      </c>
      <c r="BM822">
        <f t="shared" si="293"/>
        <v>0</v>
      </c>
      <c r="BN822">
        <f t="shared" si="294"/>
        <v>0</v>
      </c>
      <c r="BO822">
        <f t="shared" si="295"/>
        <v>0</v>
      </c>
      <c r="BP822">
        <f t="shared" si="296"/>
        <v>0</v>
      </c>
      <c r="BQ822">
        <f t="shared" si="297"/>
        <v>0</v>
      </c>
      <c r="BR822">
        <f t="shared" si="298"/>
        <v>0</v>
      </c>
      <c r="BS822">
        <f t="shared" si="299"/>
        <v>0</v>
      </c>
      <c r="BT822">
        <f t="shared" si="300"/>
        <v>0</v>
      </c>
      <c r="BU822">
        <f t="shared" si="301"/>
        <v>0</v>
      </c>
      <c r="BV822">
        <f t="shared" si="302"/>
        <v>0</v>
      </c>
      <c r="BW822">
        <f t="shared" si="303"/>
        <v>0</v>
      </c>
      <c r="CA822" t="str">
        <f>IF(623&gt;ROWS(DGArchive[模组]),"",IF(INDEX(DGArchive[模组],623)="","",INDEX(DGArchive[模组],623)))</f>
        <v/>
      </c>
      <c r="CB822" t="str">
        <f>IF(623&gt;ROWS(DGArchive[阶段]),"",IF(INDEX(DGArchive[阶段],623)="","",INDEX(DGArchive[阶段],623)))</f>
        <v/>
      </c>
      <c r="CC822" t="str">
        <f>IF(623&gt;ROWS(DGArchive[游戏内日期]),"",IF(INDEX(DGArchive[游戏内日期],623)="","",INDEX(DGArchive[游戏内日期],623)))</f>
        <v/>
      </c>
      <c r="CD822" t="str">
        <f>IF(623&gt;ROWS(DGArchive[目标]),"",IF(INDEX(DGArchive[目标],623)="","",INDEX(DGArchive[目标],623)))</f>
        <v/>
      </c>
      <c r="CE822" t="str">
        <f>IF(623&gt;ROWS(DGArchive[变更前]),"",IF(INDEX(DGArchive[变更前],623)="","",INDEX(DGArchive[变更前],623)))</f>
        <v/>
      </c>
      <c r="CF822" t="str">
        <f>IF(623&gt;ROWS(DGArchive[增减]),"",IF(INDEX(DGArchive[增减],623)="","",INDEX(DGArchive[增减],623)))</f>
        <v/>
      </c>
      <c r="CG822" t="str">
        <f>IF(623&gt;ROWS(DGArchive[变更后]),"",IF(INDEX(DGArchive[变更后],623)="","",INDEX(DGArchive[变更后],623)))</f>
        <v/>
      </c>
      <c r="CH822" t="str">
        <f>IF(623&gt;ROWS(DGArchive[事件／活动]),"",IF(INDEX(DGArchive[事件／活动],623)="","",INDEX(DGArchive[事件／活动],623)))</f>
        <v/>
      </c>
      <c r="CI822" t="str">
        <f>IF(623&gt;ROWS(DGArchive[记录编号]),"",IF(INDEX(DGArchive[记录编号],623)="","",INDEX(DGArchive[记录编号],623)))</f>
        <v/>
      </c>
      <c r="CL822">
        <f t="shared" si="284"/>
        <v>0</v>
      </c>
      <c r="CM822">
        <f>IF(AND(A822=$AO$5,B822=$AQ$3,H822=1),COUNTIFS($A$200:A822,$AO$5,$B$200:B822,$AQ$3,$H$200:H822,1),0)</f>
        <v>0</v>
      </c>
      <c r="CN822">
        <f>IF(CA822="",623,1001)</f>
        <v>623</v>
      </c>
      <c r="GA822">
        <f t="shared" si="304"/>
        <v>0</v>
      </c>
      <c r="GB822">
        <f t="shared" si="305"/>
        <v>0</v>
      </c>
      <c r="GC822">
        <f>IF(AND(C822="事件记录",H822=1),COUNTIFS($C$200:C822,"事件记录",$H$200:H822,1),0)</f>
        <v>0</v>
      </c>
      <c r="GD822">
        <f t="shared" si="285"/>
        <v>0</v>
      </c>
      <c r="GH822">
        <f>IF(AND(H822=1,A822=$GA$10,B822=$GA$11),COUNTIFS($A$200:A822,$GA$10,$B$200:B822,$GA$11,$H$200:H822,1),0)</f>
        <v>0</v>
      </c>
    </row>
    <row r="823" spans="1:190">
      <c r="A823" t="str">
        <f t="shared" si="276"/>
        <v/>
      </c>
      <c r="B823" t="str">
        <f t="shared" si="277"/>
        <v/>
      </c>
      <c r="C823" t="str">
        <f t="shared" si="278"/>
        <v/>
      </c>
      <c r="D823" t="str">
        <f t="shared" si="279"/>
        <v/>
      </c>
      <c r="E823">
        <f t="shared" si="280"/>
        <v>0</v>
      </c>
      <c r="F823" t="str">
        <f t="shared" si="281"/>
        <v/>
      </c>
      <c r="G823">
        <f t="shared" si="282"/>
        <v>0</v>
      </c>
      <c r="H823">
        <f>IF(AND(G823=1,COUNTIFS($I$200:I823,I823,$G$200:G823,1)=1),1,0)</f>
        <v>0</v>
      </c>
      <c r="I823" t="str">
        <f t="shared" si="283"/>
        <v/>
      </c>
      <c r="BF823">
        <f t="shared" si="286"/>
        <v>0</v>
      </c>
      <c r="BG823">
        <f t="shared" si="287"/>
        <v>0</v>
      </c>
      <c r="BH823">
        <f t="shared" si="288"/>
        <v>0</v>
      </c>
      <c r="BI823">
        <f t="shared" si="289"/>
        <v>0</v>
      </c>
      <c r="BJ823">
        <f t="shared" si="290"/>
        <v>0</v>
      </c>
      <c r="BK823">
        <f t="shared" si="291"/>
        <v>0</v>
      </c>
      <c r="BL823">
        <f t="shared" si="292"/>
        <v>0</v>
      </c>
      <c r="BM823">
        <f t="shared" si="293"/>
        <v>0</v>
      </c>
      <c r="BN823">
        <f t="shared" si="294"/>
        <v>0</v>
      </c>
      <c r="BO823">
        <f t="shared" si="295"/>
        <v>0</v>
      </c>
      <c r="BP823">
        <f t="shared" si="296"/>
        <v>0</v>
      </c>
      <c r="BQ823">
        <f t="shared" si="297"/>
        <v>0</v>
      </c>
      <c r="BR823">
        <f t="shared" si="298"/>
        <v>0</v>
      </c>
      <c r="BS823">
        <f t="shared" si="299"/>
        <v>0</v>
      </c>
      <c r="BT823">
        <f t="shared" si="300"/>
        <v>0</v>
      </c>
      <c r="BU823">
        <f t="shared" si="301"/>
        <v>0</v>
      </c>
      <c r="BV823">
        <f t="shared" si="302"/>
        <v>0</v>
      </c>
      <c r="BW823">
        <f t="shared" si="303"/>
        <v>0</v>
      </c>
      <c r="CA823" t="str">
        <f>IF(624&gt;ROWS(DGArchive[模组]),"",IF(INDEX(DGArchive[模组],624)="","",INDEX(DGArchive[模组],624)))</f>
        <v/>
      </c>
      <c r="CB823" t="str">
        <f>IF(624&gt;ROWS(DGArchive[阶段]),"",IF(INDEX(DGArchive[阶段],624)="","",INDEX(DGArchive[阶段],624)))</f>
        <v/>
      </c>
      <c r="CC823" t="str">
        <f>IF(624&gt;ROWS(DGArchive[游戏内日期]),"",IF(INDEX(DGArchive[游戏内日期],624)="","",INDEX(DGArchive[游戏内日期],624)))</f>
        <v/>
      </c>
      <c r="CD823" t="str">
        <f>IF(624&gt;ROWS(DGArchive[目标]),"",IF(INDEX(DGArchive[目标],624)="","",INDEX(DGArchive[目标],624)))</f>
        <v/>
      </c>
      <c r="CE823" t="str">
        <f>IF(624&gt;ROWS(DGArchive[变更前]),"",IF(INDEX(DGArchive[变更前],624)="","",INDEX(DGArchive[变更前],624)))</f>
        <v/>
      </c>
      <c r="CF823" t="str">
        <f>IF(624&gt;ROWS(DGArchive[增减]),"",IF(INDEX(DGArchive[增减],624)="","",INDEX(DGArchive[增减],624)))</f>
        <v/>
      </c>
      <c r="CG823" t="str">
        <f>IF(624&gt;ROWS(DGArchive[变更后]),"",IF(INDEX(DGArchive[变更后],624)="","",INDEX(DGArchive[变更后],624)))</f>
        <v/>
      </c>
      <c r="CH823" t="str">
        <f>IF(624&gt;ROWS(DGArchive[事件／活动]),"",IF(INDEX(DGArchive[事件／活动],624)="","",INDEX(DGArchive[事件／活动],624)))</f>
        <v/>
      </c>
      <c r="CI823" t="str">
        <f>IF(624&gt;ROWS(DGArchive[记录编号]),"",IF(INDEX(DGArchive[记录编号],624)="","",INDEX(DGArchive[记录编号],624)))</f>
        <v/>
      </c>
      <c r="CL823">
        <f t="shared" si="284"/>
        <v>0</v>
      </c>
      <c r="CM823">
        <f>IF(AND(A823=$AO$5,B823=$AQ$3,H823=1),COUNTIFS($A$200:A823,$AO$5,$B$200:B823,$AQ$3,$H$200:H823,1),0)</f>
        <v>0</v>
      </c>
      <c r="CN823">
        <f>IF(CA823="",624,1001)</f>
        <v>624</v>
      </c>
      <c r="GA823">
        <f t="shared" si="304"/>
        <v>0</v>
      </c>
      <c r="GB823">
        <f t="shared" si="305"/>
        <v>0</v>
      </c>
      <c r="GC823">
        <f>IF(AND(C823="事件记录",H823=1),COUNTIFS($C$200:C823,"事件记录",$H$200:H823,1),0)</f>
        <v>0</v>
      </c>
      <c r="GD823">
        <f t="shared" si="285"/>
        <v>0</v>
      </c>
      <c r="GH823">
        <f>IF(AND(H823=1,A823=$GA$10,B823=$GA$11),COUNTIFS($A$200:A823,$GA$10,$B$200:B823,$GA$11,$H$200:H823,1),0)</f>
        <v>0</v>
      </c>
    </row>
    <row r="824" spans="1:190">
      <c r="A824" t="str">
        <f t="shared" si="276"/>
        <v/>
      </c>
      <c r="B824" t="str">
        <f t="shared" si="277"/>
        <v/>
      </c>
      <c r="C824" t="str">
        <f t="shared" si="278"/>
        <v/>
      </c>
      <c r="D824" t="str">
        <f t="shared" si="279"/>
        <v/>
      </c>
      <c r="E824">
        <f t="shared" si="280"/>
        <v>0</v>
      </c>
      <c r="F824" t="str">
        <f t="shared" si="281"/>
        <v/>
      </c>
      <c r="G824">
        <f t="shared" si="282"/>
        <v>0</v>
      </c>
      <c r="H824">
        <f>IF(AND(G824=1,COUNTIFS($I$200:I824,I824,$G$200:G824,1)=1),1,0)</f>
        <v>0</v>
      </c>
      <c r="I824" t="str">
        <f t="shared" si="283"/>
        <v/>
      </c>
      <c r="BF824">
        <f t="shared" si="286"/>
        <v>0</v>
      </c>
      <c r="BG824">
        <f t="shared" si="287"/>
        <v>0</v>
      </c>
      <c r="BH824">
        <f t="shared" si="288"/>
        <v>0</v>
      </c>
      <c r="BI824">
        <f t="shared" si="289"/>
        <v>0</v>
      </c>
      <c r="BJ824">
        <f t="shared" si="290"/>
        <v>0</v>
      </c>
      <c r="BK824">
        <f t="shared" si="291"/>
        <v>0</v>
      </c>
      <c r="BL824">
        <f t="shared" si="292"/>
        <v>0</v>
      </c>
      <c r="BM824">
        <f t="shared" si="293"/>
        <v>0</v>
      </c>
      <c r="BN824">
        <f t="shared" si="294"/>
        <v>0</v>
      </c>
      <c r="BO824">
        <f t="shared" si="295"/>
        <v>0</v>
      </c>
      <c r="BP824">
        <f t="shared" si="296"/>
        <v>0</v>
      </c>
      <c r="BQ824">
        <f t="shared" si="297"/>
        <v>0</v>
      </c>
      <c r="BR824">
        <f t="shared" si="298"/>
        <v>0</v>
      </c>
      <c r="BS824">
        <f t="shared" si="299"/>
        <v>0</v>
      </c>
      <c r="BT824">
        <f t="shared" si="300"/>
        <v>0</v>
      </c>
      <c r="BU824">
        <f t="shared" si="301"/>
        <v>0</v>
      </c>
      <c r="BV824">
        <f t="shared" si="302"/>
        <v>0</v>
      </c>
      <c r="BW824">
        <f t="shared" si="303"/>
        <v>0</v>
      </c>
      <c r="CA824" t="str">
        <f>IF(625&gt;ROWS(DGArchive[模组]),"",IF(INDEX(DGArchive[模组],625)="","",INDEX(DGArchive[模组],625)))</f>
        <v/>
      </c>
      <c r="CB824" t="str">
        <f>IF(625&gt;ROWS(DGArchive[阶段]),"",IF(INDEX(DGArchive[阶段],625)="","",INDEX(DGArchive[阶段],625)))</f>
        <v/>
      </c>
      <c r="CC824" t="str">
        <f>IF(625&gt;ROWS(DGArchive[游戏内日期]),"",IF(INDEX(DGArchive[游戏内日期],625)="","",INDEX(DGArchive[游戏内日期],625)))</f>
        <v/>
      </c>
      <c r="CD824" t="str">
        <f>IF(625&gt;ROWS(DGArchive[目标]),"",IF(INDEX(DGArchive[目标],625)="","",INDEX(DGArchive[目标],625)))</f>
        <v/>
      </c>
      <c r="CE824" t="str">
        <f>IF(625&gt;ROWS(DGArchive[变更前]),"",IF(INDEX(DGArchive[变更前],625)="","",INDEX(DGArchive[变更前],625)))</f>
        <v/>
      </c>
      <c r="CF824" t="str">
        <f>IF(625&gt;ROWS(DGArchive[增减]),"",IF(INDEX(DGArchive[增减],625)="","",INDEX(DGArchive[增减],625)))</f>
        <v/>
      </c>
      <c r="CG824" t="str">
        <f>IF(625&gt;ROWS(DGArchive[变更后]),"",IF(INDEX(DGArchive[变更后],625)="","",INDEX(DGArchive[变更后],625)))</f>
        <v/>
      </c>
      <c r="CH824" t="str">
        <f>IF(625&gt;ROWS(DGArchive[事件／活动]),"",IF(INDEX(DGArchive[事件／活动],625)="","",INDEX(DGArchive[事件／活动],625)))</f>
        <v/>
      </c>
      <c r="CI824" t="str">
        <f>IF(625&gt;ROWS(DGArchive[记录编号]),"",IF(INDEX(DGArchive[记录编号],625)="","",INDEX(DGArchive[记录编号],625)))</f>
        <v/>
      </c>
      <c r="CL824">
        <f t="shared" si="284"/>
        <v>0</v>
      </c>
      <c r="CM824">
        <f>IF(AND(A824=$AO$5,B824=$AQ$3,H824=1),COUNTIFS($A$200:A824,$AO$5,$B$200:B824,$AQ$3,$H$200:H824,1),0)</f>
        <v>0</v>
      </c>
      <c r="CN824">
        <f>IF(CA824="",625,1001)</f>
        <v>625</v>
      </c>
      <c r="GA824">
        <f t="shared" si="304"/>
        <v>0</v>
      </c>
      <c r="GB824">
        <f t="shared" si="305"/>
        <v>0</v>
      </c>
      <c r="GC824">
        <f>IF(AND(C824="事件记录",H824=1),COUNTIFS($C$200:C824,"事件记录",$H$200:H824,1),0)</f>
        <v>0</v>
      </c>
      <c r="GD824">
        <f t="shared" si="285"/>
        <v>0</v>
      </c>
      <c r="GH824">
        <f>IF(AND(H824=1,A824=$GA$10,B824=$GA$11),COUNTIFS($A$200:A824,$GA$10,$B$200:B824,$GA$11,$H$200:H824,1),0)</f>
        <v>0</v>
      </c>
    </row>
    <row r="825" spans="1:190">
      <c r="A825" t="str">
        <f t="shared" si="276"/>
        <v/>
      </c>
      <c r="B825" t="str">
        <f t="shared" si="277"/>
        <v/>
      </c>
      <c r="C825" t="str">
        <f t="shared" si="278"/>
        <v/>
      </c>
      <c r="D825" t="str">
        <f t="shared" si="279"/>
        <v/>
      </c>
      <c r="E825">
        <f t="shared" si="280"/>
        <v>0</v>
      </c>
      <c r="F825" t="str">
        <f t="shared" si="281"/>
        <v/>
      </c>
      <c r="G825">
        <f t="shared" si="282"/>
        <v>0</v>
      </c>
      <c r="H825">
        <f>IF(AND(G825=1,COUNTIFS($I$200:I825,I825,$G$200:G825,1)=1),1,0)</f>
        <v>0</v>
      </c>
      <c r="I825" t="str">
        <f t="shared" si="283"/>
        <v/>
      </c>
      <c r="BF825">
        <f t="shared" si="286"/>
        <v>0</v>
      </c>
      <c r="BG825">
        <f t="shared" si="287"/>
        <v>0</v>
      </c>
      <c r="BH825">
        <f t="shared" si="288"/>
        <v>0</v>
      </c>
      <c r="BI825">
        <f t="shared" si="289"/>
        <v>0</v>
      </c>
      <c r="BJ825">
        <f t="shared" si="290"/>
        <v>0</v>
      </c>
      <c r="BK825">
        <f t="shared" si="291"/>
        <v>0</v>
      </c>
      <c r="BL825">
        <f t="shared" si="292"/>
        <v>0</v>
      </c>
      <c r="BM825">
        <f t="shared" si="293"/>
        <v>0</v>
      </c>
      <c r="BN825">
        <f t="shared" si="294"/>
        <v>0</v>
      </c>
      <c r="BO825">
        <f t="shared" si="295"/>
        <v>0</v>
      </c>
      <c r="BP825">
        <f t="shared" si="296"/>
        <v>0</v>
      </c>
      <c r="BQ825">
        <f t="shared" si="297"/>
        <v>0</v>
      </c>
      <c r="BR825">
        <f t="shared" si="298"/>
        <v>0</v>
      </c>
      <c r="BS825">
        <f t="shared" si="299"/>
        <v>0</v>
      </c>
      <c r="BT825">
        <f t="shared" si="300"/>
        <v>0</v>
      </c>
      <c r="BU825">
        <f t="shared" si="301"/>
        <v>0</v>
      </c>
      <c r="BV825">
        <f t="shared" si="302"/>
        <v>0</v>
      </c>
      <c r="BW825">
        <f t="shared" si="303"/>
        <v>0</v>
      </c>
      <c r="CA825" t="str">
        <f>IF(626&gt;ROWS(DGArchive[模组]),"",IF(INDEX(DGArchive[模组],626)="","",INDEX(DGArchive[模组],626)))</f>
        <v/>
      </c>
      <c r="CB825" t="str">
        <f>IF(626&gt;ROWS(DGArchive[阶段]),"",IF(INDEX(DGArchive[阶段],626)="","",INDEX(DGArchive[阶段],626)))</f>
        <v/>
      </c>
      <c r="CC825" t="str">
        <f>IF(626&gt;ROWS(DGArchive[游戏内日期]),"",IF(INDEX(DGArchive[游戏内日期],626)="","",INDEX(DGArchive[游戏内日期],626)))</f>
        <v/>
      </c>
      <c r="CD825" t="str">
        <f>IF(626&gt;ROWS(DGArchive[目标]),"",IF(INDEX(DGArchive[目标],626)="","",INDEX(DGArchive[目标],626)))</f>
        <v/>
      </c>
      <c r="CE825" t="str">
        <f>IF(626&gt;ROWS(DGArchive[变更前]),"",IF(INDEX(DGArchive[变更前],626)="","",INDEX(DGArchive[变更前],626)))</f>
        <v/>
      </c>
      <c r="CF825" t="str">
        <f>IF(626&gt;ROWS(DGArchive[增减]),"",IF(INDEX(DGArchive[增减],626)="","",INDEX(DGArchive[增减],626)))</f>
        <v/>
      </c>
      <c r="CG825" t="str">
        <f>IF(626&gt;ROWS(DGArchive[变更后]),"",IF(INDEX(DGArchive[变更后],626)="","",INDEX(DGArchive[变更后],626)))</f>
        <v/>
      </c>
      <c r="CH825" t="str">
        <f>IF(626&gt;ROWS(DGArchive[事件／活动]),"",IF(INDEX(DGArchive[事件／活动],626)="","",INDEX(DGArchive[事件／活动],626)))</f>
        <v/>
      </c>
      <c r="CI825" t="str">
        <f>IF(626&gt;ROWS(DGArchive[记录编号]),"",IF(INDEX(DGArchive[记录编号],626)="","",INDEX(DGArchive[记录编号],626)))</f>
        <v/>
      </c>
      <c r="CL825">
        <f t="shared" si="284"/>
        <v>0</v>
      </c>
      <c r="CM825">
        <f>IF(AND(A825=$AO$5,B825=$AQ$3,H825=1),COUNTIFS($A$200:A825,$AO$5,$B$200:B825,$AQ$3,$H$200:H825,1),0)</f>
        <v>0</v>
      </c>
      <c r="CN825">
        <f>IF(CA825="",626,1001)</f>
        <v>626</v>
      </c>
      <c r="GA825">
        <f t="shared" si="304"/>
        <v>0</v>
      </c>
      <c r="GB825">
        <f t="shared" si="305"/>
        <v>0</v>
      </c>
      <c r="GC825">
        <f>IF(AND(C825="事件记录",H825=1),COUNTIFS($C$200:C825,"事件记录",$H$200:H825,1),0)</f>
        <v>0</v>
      </c>
      <c r="GD825">
        <f t="shared" si="285"/>
        <v>0</v>
      </c>
      <c r="GH825">
        <f>IF(AND(H825=1,A825=$GA$10,B825=$GA$11),COUNTIFS($A$200:A825,$GA$10,$B$200:B825,$GA$11,$H$200:H825,1),0)</f>
        <v>0</v>
      </c>
    </row>
    <row r="826" spans="1:190">
      <c r="A826" t="str">
        <f t="shared" si="276"/>
        <v/>
      </c>
      <c r="B826" t="str">
        <f t="shared" si="277"/>
        <v/>
      </c>
      <c r="C826" t="str">
        <f t="shared" si="278"/>
        <v/>
      </c>
      <c r="D826" t="str">
        <f t="shared" si="279"/>
        <v/>
      </c>
      <c r="E826">
        <f t="shared" si="280"/>
        <v>0</v>
      </c>
      <c r="F826" t="str">
        <f t="shared" si="281"/>
        <v/>
      </c>
      <c r="G826">
        <f t="shared" si="282"/>
        <v>0</v>
      </c>
      <c r="H826">
        <f>IF(AND(G826=1,COUNTIFS($I$200:I826,I826,$G$200:G826,1)=1),1,0)</f>
        <v>0</v>
      </c>
      <c r="I826" t="str">
        <f t="shared" si="283"/>
        <v/>
      </c>
      <c r="BF826">
        <f t="shared" si="286"/>
        <v>0</v>
      </c>
      <c r="BG826">
        <f t="shared" si="287"/>
        <v>0</v>
      </c>
      <c r="BH826">
        <f t="shared" si="288"/>
        <v>0</v>
      </c>
      <c r="BI826">
        <f t="shared" si="289"/>
        <v>0</v>
      </c>
      <c r="BJ826">
        <f t="shared" si="290"/>
        <v>0</v>
      </c>
      <c r="BK826">
        <f t="shared" si="291"/>
        <v>0</v>
      </c>
      <c r="BL826">
        <f t="shared" si="292"/>
        <v>0</v>
      </c>
      <c r="BM826">
        <f t="shared" si="293"/>
        <v>0</v>
      </c>
      <c r="BN826">
        <f t="shared" si="294"/>
        <v>0</v>
      </c>
      <c r="BO826">
        <f t="shared" si="295"/>
        <v>0</v>
      </c>
      <c r="BP826">
        <f t="shared" si="296"/>
        <v>0</v>
      </c>
      <c r="BQ826">
        <f t="shared" si="297"/>
        <v>0</v>
      </c>
      <c r="BR826">
        <f t="shared" si="298"/>
        <v>0</v>
      </c>
      <c r="BS826">
        <f t="shared" si="299"/>
        <v>0</v>
      </c>
      <c r="BT826">
        <f t="shared" si="300"/>
        <v>0</v>
      </c>
      <c r="BU826">
        <f t="shared" si="301"/>
        <v>0</v>
      </c>
      <c r="BV826">
        <f t="shared" si="302"/>
        <v>0</v>
      </c>
      <c r="BW826">
        <f t="shared" si="303"/>
        <v>0</v>
      </c>
      <c r="CA826" t="str">
        <f>IF(627&gt;ROWS(DGArchive[模组]),"",IF(INDEX(DGArchive[模组],627)="","",INDEX(DGArchive[模组],627)))</f>
        <v/>
      </c>
      <c r="CB826" t="str">
        <f>IF(627&gt;ROWS(DGArchive[阶段]),"",IF(INDEX(DGArchive[阶段],627)="","",INDEX(DGArchive[阶段],627)))</f>
        <v/>
      </c>
      <c r="CC826" t="str">
        <f>IF(627&gt;ROWS(DGArchive[游戏内日期]),"",IF(INDEX(DGArchive[游戏内日期],627)="","",INDEX(DGArchive[游戏内日期],627)))</f>
        <v/>
      </c>
      <c r="CD826" t="str">
        <f>IF(627&gt;ROWS(DGArchive[目标]),"",IF(INDEX(DGArchive[目标],627)="","",INDEX(DGArchive[目标],627)))</f>
        <v/>
      </c>
      <c r="CE826" t="str">
        <f>IF(627&gt;ROWS(DGArchive[变更前]),"",IF(INDEX(DGArchive[变更前],627)="","",INDEX(DGArchive[变更前],627)))</f>
        <v/>
      </c>
      <c r="CF826" t="str">
        <f>IF(627&gt;ROWS(DGArchive[增减]),"",IF(INDEX(DGArchive[增减],627)="","",INDEX(DGArchive[增减],627)))</f>
        <v/>
      </c>
      <c r="CG826" t="str">
        <f>IF(627&gt;ROWS(DGArchive[变更后]),"",IF(INDEX(DGArchive[变更后],627)="","",INDEX(DGArchive[变更后],627)))</f>
        <v/>
      </c>
      <c r="CH826" t="str">
        <f>IF(627&gt;ROWS(DGArchive[事件／活动]),"",IF(INDEX(DGArchive[事件／活动],627)="","",INDEX(DGArchive[事件／活动],627)))</f>
        <v/>
      </c>
      <c r="CI826" t="str">
        <f>IF(627&gt;ROWS(DGArchive[记录编号]),"",IF(INDEX(DGArchive[记录编号],627)="","",INDEX(DGArchive[记录编号],627)))</f>
        <v/>
      </c>
      <c r="CL826">
        <f t="shared" si="284"/>
        <v>0</v>
      </c>
      <c r="CM826">
        <f>IF(AND(A826=$AO$5,B826=$AQ$3,H826=1),COUNTIFS($A$200:A826,$AO$5,$B$200:B826,$AQ$3,$H$200:H826,1),0)</f>
        <v>0</v>
      </c>
      <c r="CN826">
        <f>IF(CA826="",627,1001)</f>
        <v>627</v>
      </c>
      <c r="GA826">
        <f t="shared" si="304"/>
        <v>0</v>
      </c>
      <c r="GB826">
        <f t="shared" si="305"/>
        <v>0</v>
      </c>
      <c r="GC826">
        <f>IF(AND(C826="事件记录",H826=1),COUNTIFS($C$200:C826,"事件记录",$H$200:H826,1),0)</f>
        <v>0</v>
      </c>
      <c r="GD826">
        <f t="shared" si="285"/>
        <v>0</v>
      </c>
      <c r="GH826">
        <f>IF(AND(H826=1,A826=$GA$10,B826=$GA$11),COUNTIFS($A$200:A826,$GA$10,$B$200:B826,$GA$11,$H$200:H826,1),0)</f>
        <v>0</v>
      </c>
    </row>
    <row r="827" spans="1:190">
      <c r="A827" t="str">
        <f t="shared" si="276"/>
        <v/>
      </c>
      <c r="B827" t="str">
        <f t="shared" si="277"/>
        <v/>
      </c>
      <c r="C827" t="str">
        <f t="shared" si="278"/>
        <v/>
      </c>
      <c r="D827" t="str">
        <f t="shared" si="279"/>
        <v/>
      </c>
      <c r="E827">
        <f t="shared" si="280"/>
        <v>0</v>
      </c>
      <c r="F827" t="str">
        <f t="shared" si="281"/>
        <v/>
      </c>
      <c r="G827">
        <f t="shared" si="282"/>
        <v>0</v>
      </c>
      <c r="H827">
        <f>IF(AND(G827=1,COUNTIFS($I$200:I827,I827,$G$200:G827,1)=1),1,0)</f>
        <v>0</v>
      </c>
      <c r="I827" t="str">
        <f t="shared" si="283"/>
        <v/>
      </c>
      <c r="BF827">
        <f t="shared" si="286"/>
        <v>0</v>
      </c>
      <c r="BG827">
        <f t="shared" si="287"/>
        <v>0</v>
      </c>
      <c r="BH827">
        <f t="shared" si="288"/>
        <v>0</v>
      </c>
      <c r="BI827">
        <f t="shared" si="289"/>
        <v>0</v>
      </c>
      <c r="BJ827">
        <f t="shared" si="290"/>
        <v>0</v>
      </c>
      <c r="BK827">
        <f t="shared" si="291"/>
        <v>0</v>
      </c>
      <c r="BL827">
        <f t="shared" si="292"/>
        <v>0</v>
      </c>
      <c r="BM827">
        <f t="shared" si="293"/>
        <v>0</v>
      </c>
      <c r="BN827">
        <f t="shared" si="294"/>
        <v>0</v>
      </c>
      <c r="BO827">
        <f t="shared" si="295"/>
        <v>0</v>
      </c>
      <c r="BP827">
        <f t="shared" si="296"/>
        <v>0</v>
      </c>
      <c r="BQ827">
        <f t="shared" si="297"/>
        <v>0</v>
      </c>
      <c r="BR827">
        <f t="shared" si="298"/>
        <v>0</v>
      </c>
      <c r="BS827">
        <f t="shared" si="299"/>
        <v>0</v>
      </c>
      <c r="BT827">
        <f t="shared" si="300"/>
        <v>0</v>
      </c>
      <c r="BU827">
        <f t="shared" si="301"/>
        <v>0</v>
      </c>
      <c r="BV827">
        <f t="shared" si="302"/>
        <v>0</v>
      </c>
      <c r="BW827">
        <f t="shared" si="303"/>
        <v>0</v>
      </c>
      <c r="CA827" t="str">
        <f>IF(628&gt;ROWS(DGArchive[模组]),"",IF(INDEX(DGArchive[模组],628)="","",INDEX(DGArchive[模组],628)))</f>
        <v/>
      </c>
      <c r="CB827" t="str">
        <f>IF(628&gt;ROWS(DGArchive[阶段]),"",IF(INDEX(DGArchive[阶段],628)="","",INDEX(DGArchive[阶段],628)))</f>
        <v/>
      </c>
      <c r="CC827" t="str">
        <f>IF(628&gt;ROWS(DGArchive[游戏内日期]),"",IF(INDEX(DGArchive[游戏内日期],628)="","",INDEX(DGArchive[游戏内日期],628)))</f>
        <v/>
      </c>
      <c r="CD827" t="str">
        <f>IF(628&gt;ROWS(DGArchive[目标]),"",IF(INDEX(DGArchive[目标],628)="","",INDEX(DGArchive[目标],628)))</f>
        <v/>
      </c>
      <c r="CE827" t="str">
        <f>IF(628&gt;ROWS(DGArchive[变更前]),"",IF(INDEX(DGArchive[变更前],628)="","",INDEX(DGArchive[变更前],628)))</f>
        <v/>
      </c>
      <c r="CF827" t="str">
        <f>IF(628&gt;ROWS(DGArchive[增减]),"",IF(INDEX(DGArchive[增减],628)="","",INDEX(DGArchive[增减],628)))</f>
        <v/>
      </c>
      <c r="CG827" t="str">
        <f>IF(628&gt;ROWS(DGArchive[变更后]),"",IF(INDEX(DGArchive[变更后],628)="","",INDEX(DGArchive[变更后],628)))</f>
        <v/>
      </c>
      <c r="CH827" t="str">
        <f>IF(628&gt;ROWS(DGArchive[事件／活动]),"",IF(INDEX(DGArchive[事件／活动],628)="","",INDEX(DGArchive[事件／活动],628)))</f>
        <v/>
      </c>
      <c r="CI827" t="str">
        <f>IF(628&gt;ROWS(DGArchive[记录编号]),"",IF(INDEX(DGArchive[记录编号],628)="","",INDEX(DGArchive[记录编号],628)))</f>
        <v/>
      </c>
      <c r="CL827">
        <f t="shared" si="284"/>
        <v>0</v>
      </c>
      <c r="CM827">
        <f>IF(AND(A827=$AO$5,B827=$AQ$3,H827=1),COUNTIFS($A$200:A827,$AO$5,$B$200:B827,$AQ$3,$H$200:H827,1),0)</f>
        <v>0</v>
      </c>
      <c r="CN827">
        <f>IF(CA827="",628,1001)</f>
        <v>628</v>
      </c>
      <c r="GA827">
        <f t="shared" si="304"/>
        <v>0</v>
      </c>
      <c r="GB827">
        <f t="shared" si="305"/>
        <v>0</v>
      </c>
      <c r="GC827">
        <f>IF(AND(C827="事件记录",H827=1),COUNTIFS($C$200:C827,"事件记录",$H$200:H827,1),0)</f>
        <v>0</v>
      </c>
      <c r="GD827">
        <f t="shared" si="285"/>
        <v>0</v>
      </c>
      <c r="GH827">
        <f>IF(AND(H827=1,A827=$GA$10,B827=$GA$11),COUNTIFS($A$200:A827,$GA$10,$B$200:B827,$GA$11,$H$200:H827,1),0)</f>
        <v>0</v>
      </c>
    </row>
    <row r="828" spans="1:190">
      <c r="A828" t="str">
        <f t="shared" si="276"/>
        <v/>
      </c>
      <c r="B828" t="str">
        <f t="shared" si="277"/>
        <v/>
      </c>
      <c r="C828" t="str">
        <f t="shared" si="278"/>
        <v/>
      </c>
      <c r="D828" t="str">
        <f t="shared" si="279"/>
        <v/>
      </c>
      <c r="E828">
        <f t="shared" si="280"/>
        <v>0</v>
      </c>
      <c r="F828" t="str">
        <f t="shared" si="281"/>
        <v/>
      </c>
      <c r="G828">
        <f t="shared" si="282"/>
        <v>0</v>
      </c>
      <c r="H828">
        <f>IF(AND(G828=1,COUNTIFS($I$200:I828,I828,$G$200:G828,1)=1),1,0)</f>
        <v>0</v>
      </c>
      <c r="I828" t="str">
        <f t="shared" si="283"/>
        <v/>
      </c>
      <c r="BF828">
        <f t="shared" si="286"/>
        <v>0</v>
      </c>
      <c r="BG828">
        <f t="shared" si="287"/>
        <v>0</v>
      </c>
      <c r="BH828">
        <f t="shared" si="288"/>
        <v>0</v>
      </c>
      <c r="BI828">
        <f t="shared" si="289"/>
        <v>0</v>
      </c>
      <c r="BJ828">
        <f t="shared" si="290"/>
        <v>0</v>
      </c>
      <c r="BK828">
        <f t="shared" si="291"/>
        <v>0</v>
      </c>
      <c r="BL828">
        <f t="shared" si="292"/>
        <v>0</v>
      </c>
      <c r="BM828">
        <f t="shared" si="293"/>
        <v>0</v>
      </c>
      <c r="BN828">
        <f t="shared" si="294"/>
        <v>0</v>
      </c>
      <c r="BO828">
        <f t="shared" si="295"/>
        <v>0</v>
      </c>
      <c r="BP828">
        <f t="shared" si="296"/>
        <v>0</v>
      </c>
      <c r="BQ828">
        <f t="shared" si="297"/>
        <v>0</v>
      </c>
      <c r="BR828">
        <f t="shared" si="298"/>
        <v>0</v>
      </c>
      <c r="BS828">
        <f t="shared" si="299"/>
        <v>0</v>
      </c>
      <c r="BT828">
        <f t="shared" si="300"/>
        <v>0</v>
      </c>
      <c r="BU828">
        <f t="shared" si="301"/>
        <v>0</v>
      </c>
      <c r="BV828">
        <f t="shared" si="302"/>
        <v>0</v>
      </c>
      <c r="BW828">
        <f t="shared" si="303"/>
        <v>0</v>
      </c>
      <c r="CA828" t="str">
        <f>IF(629&gt;ROWS(DGArchive[模组]),"",IF(INDEX(DGArchive[模组],629)="","",INDEX(DGArchive[模组],629)))</f>
        <v/>
      </c>
      <c r="CB828" t="str">
        <f>IF(629&gt;ROWS(DGArchive[阶段]),"",IF(INDEX(DGArchive[阶段],629)="","",INDEX(DGArchive[阶段],629)))</f>
        <v/>
      </c>
      <c r="CC828" t="str">
        <f>IF(629&gt;ROWS(DGArchive[游戏内日期]),"",IF(INDEX(DGArchive[游戏内日期],629)="","",INDEX(DGArchive[游戏内日期],629)))</f>
        <v/>
      </c>
      <c r="CD828" t="str">
        <f>IF(629&gt;ROWS(DGArchive[目标]),"",IF(INDEX(DGArchive[目标],629)="","",INDEX(DGArchive[目标],629)))</f>
        <v/>
      </c>
      <c r="CE828" t="str">
        <f>IF(629&gt;ROWS(DGArchive[变更前]),"",IF(INDEX(DGArchive[变更前],629)="","",INDEX(DGArchive[变更前],629)))</f>
        <v/>
      </c>
      <c r="CF828" t="str">
        <f>IF(629&gt;ROWS(DGArchive[增减]),"",IF(INDEX(DGArchive[增减],629)="","",INDEX(DGArchive[增减],629)))</f>
        <v/>
      </c>
      <c r="CG828" t="str">
        <f>IF(629&gt;ROWS(DGArchive[变更后]),"",IF(INDEX(DGArchive[变更后],629)="","",INDEX(DGArchive[变更后],629)))</f>
        <v/>
      </c>
      <c r="CH828" t="str">
        <f>IF(629&gt;ROWS(DGArchive[事件／活动]),"",IF(INDEX(DGArchive[事件／活动],629)="","",INDEX(DGArchive[事件／活动],629)))</f>
        <v/>
      </c>
      <c r="CI828" t="str">
        <f>IF(629&gt;ROWS(DGArchive[记录编号]),"",IF(INDEX(DGArchive[记录编号],629)="","",INDEX(DGArchive[记录编号],629)))</f>
        <v/>
      </c>
      <c r="CL828">
        <f t="shared" si="284"/>
        <v>0</v>
      </c>
      <c r="CM828">
        <f>IF(AND(A828=$AO$5,B828=$AQ$3,H828=1),COUNTIFS($A$200:A828,$AO$5,$B$200:B828,$AQ$3,$H$200:H828,1),0)</f>
        <v>0</v>
      </c>
      <c r="CN828">
        <f>IF(CA828="",629,1001)</f>
        <v>629</v>
      </c>
      <c r="GA828">
        <f t="shared" si="304"/>
        <v>0</v>
      </c>
      <c r="GB828">
        <f t="shared" si="305"/>
        <v>0</v>
      </c>
      <c r="GC828">
        <f>IF(AND(C828="事件记录",H828=1),COUNTIFS($C$200:C828,"事件记录",$H$200:H828,1),0)</f>
        <v>0</v>
      </c>
      <c r="GD828">
        <f t="shared" si="285"/>
        <v>0</v>
      </c>
      <c r="GH828">
        <f>IF(AND(H828=1,A828=$GA$10,B828=$GA$11),COUNTIFS($A$200:A828,$GA$10,$B$200:B828,$GA$11,$H$200:H828,1),0)</f>
        <v>0</v>
      </c>
    </row>
    <row r="829" spans="1:190">
      <c r="A829" t="str">
        <f t="shared" si="276"/>
        <v/>
      </c>
      <c r="B829" t="str">
        <f t="shared" si="277"/>
        <v/>
      </c>
      <c r="C829" t="str">
        <f t="shared" si="278"/>
        <v/>
      </c>
      <c r="D829" t="str">
        <f t="shared" si="279"/>
        <v/>
      </c>
      <c r="E829">
        <f t="shared" si="280"/>
        <v>0</v>
      </c>
      <c r="F829" t="str">
        <f t="shared" si="281"/>
        <v/>
      </c>
      <c r="G829">
        <f t="shared" si="282"/>
        <v>0</v>
      </c>
      <c r="H829">
        <f>IF(AND(G829=1,COUNTIFS($I$200:I829,I829,$G$200:G829,1)=1),1,0)</f>
        <v>0</v>
      </c>
      <c r="I829" t="str">
        <f t="shared" si="283"/>
        <v/>
      </c>
      <c r="BF829">
        <f t="shared" si="286"/>
        <v>0</v>
      </c>
      <c r="BG829">
        <f t="shared" si="287"/>
        <v>0</v>
      </c>
      <c r="BH829">
        <f t="shared" si="288"/>
        <v>0</v>
      </c>
      <c r="BI829">
        <f t="shared" si="289"/>
        <v>0</v>
      </c>
      <c r="BJ829">
        <f t="shared" si="290"/>
        <v>0</v>
      </c>
      <c r="BK829">
        <f t="shared" si="291"/>
        <v>0</v>
      </c>
      <c r="BL829">
        <f t="shared" si="292"/>
        <v>0</v>
      </c>
      <c r="BM829">
        <f t="shared" si="293"/>
        <v>0</v>
      </c>
      <c r="BN829">
        <f t="shared" si="294"/>
        <v>0</v>
      </c>
      <c r="BO829">
        <f t="shared" si="295"/>
        <v>0</v>
      </c>
      <c r="BP829">
        <f t="shared" si="296"/>
        <v>0</v>
      </c>
      <c r="BQ829">
        <f t="shared" si="297"/>
        <v>0</v>
      </c>
      <c r="BR829">
        <f t="shared" si="298"/>
        <v>0</v>
      </c>
      <c r="BS829">
        <f t="shared" si="299"/>
        <v>0</v>
      </c>
      <c r="BT829">
        <f t="shared" si="300"/>
        <v>0</v>
      </c>
      <c r="BU829">
        <f t="shared" si="301"/>
        <v>0</v>
      </c>
      <c r="BV829">
        <f t="shared" si="302"/>
        <v>0</v>
      </c>
      <c r="BW829">
        <f t="shared" si="303"/>
        <v>0</v>
      </c>
      <c r="CA829" t="str">
        <f>IF(630&gt;ROWS(DGArchive[模组]),"",IF(INDEX(DGArchive[模组],630)="","",INDEX(DGArchive[模组],630)))</f>
        <v/>
      </c>
      <c r="CB829" t="str">
        <f>IF(630&gt;ROWS(DGArchive[阶段]),"",IF(INDEX(DGArchive[阶段],630)="","",INDEX(DGArchive[阶段],630)))</f>
        <v/>
      </c>
      <c r="CC829" t="str">
        <f>IF(630&gt;ROWS(DGArchive[游戏内日期]),"",IF(INDEX(DGArchive[游戏内日期],630)="","",INDEX(DGArchive[游戏内日期],630)))</f>
        <v/>
      </c>
      <c r="CD829" t="str">
        <f>IF(630&gt;ROWS(DGArchive[目标]),"",IF(INDEX(DGArchive[目标],630)="","",INDEX(DGArchive[目标],630)))</f>
        <v/>
      </c>
      <c r="CE829" t="str">
        <f>IF(630&gt;ROWS(DGArchive[变更前]),"",IF(INDEX(DGArchive[变更前],630)="","",INDEX(DGArchive[变更前],630)))</f>
        <v/>
      </c>
      <c r="CF829" t="str">
        <f>IF(630&gt;ROWS(DGArchive[增减]),"",IF(INDEX(DGArchive[增减],630)="","",INDEX(DGArchive[增减],630)))</f>
        <v/>
      </c>
      <c r="CG829" t="str">
        <f>IF(630&gt;ROWS(DGArchive[变更后]),"",IF(INDEX(DGArchive[变更后],630)="","",INDEX(DGArchive[变更后],630)))</f>
        <v/>
      </c>
      <c r="CH829" t="str">
        <f>IF(630&gt;ROWS(DGArchive[事件／活动]),"",IF(INDEX(DGArchive[事件／活动],630)="","",INDEX(DGArchive[事件／活动],630)))</f>
        <v/>
      </c>
      <c r="CI829" t="str">
        <f>IF(630&gt;ROWS(DGArchive[记录编号]),"",IF(INDEX(DGArchive[记录编号],630)="","",INDEX(DGArchive[记录编号],630)))</f>
        <v/>
      </c>
      <c r="CL829">
        <f t="shared" si="284"/>
        <v>0</v>
      </c>
      <c r="CM829">
        <f>IF(AND(A829=$AO$5,B829=$AQ$3,H829=1),COUNTIFS($A$200:A829,$AO$5,$B$200:B829,$AQ$3,$H$200:H829,1),0)</f>
        <v>0</v>
      </c>
      <c r="CN829">
        <f>IF(CA829="",630,1001)</f>
        <v>630</v>
      </c>
      <c r="GA829">
        <f t="shared" si="304"/>
        <v>0</v>
      </c>
      <c r="GB829">
        <f t="shared" si="305"/>
        <v>0</v>
      </c>
      <c r="GC829">
        <f>IF(AND(C829="事件记录",H829=1),COUNTIFS($C$200:C829,"事件记录",$H$200:H829,1),0)</f>
        <v>0</v>
      </c>
      <c r="GD829">
        <f t="shared" si="285"/>
        <v>0</v>
      </c>
      <c r="GH829">
        <f>IF(AND(H829=1,A829=$GA$10,B829=$GA$11),COUNTIFS($A$200:A829,$GA$10,$B$200:B829,$GA$11,$H$200:H829,1),0)</f>
        <v>0</v>
      </c>
    </row>
    <row r="830" spans="1:190">
      <c r="A830" t="str">
        <f t="shared" si="276"/>
        <v/>
      </c>
      <c r="B830" t="str">
        <f t="shared" si="277"/>
        <v/>
      </c>
      <c r="C830" t="str">
        <f t="shared" si="278"/>
        <v/>
      </c>
      <c r="D830" t="str">
        <f t="shared" si="279"/>
        <v/>
      </c>
      <c r="E830">
        <f t="shared" si="280"/>
        <v>0</v>
      </c>
      <c r="F830" t="str">
        <f t="shared" si="281"/>
        <v/>
      </c>
      <c r="G830">
        <f t="shared" si="282"/>
        <v>0</v>
      </c>
      <c r="H830">
        <f>IF(AND(G830=1,COUNTIFS($I$200:I830,I830,$G$200:G830,1)=1),1,0)</f>
        <v>0</v>
      </c>
      <c r="I830" t="str">
        <f t="shared" si="283"/>
        <v/>
      </c>
      <c r="BF830">
        <f t="shared" si="286"/>
        <v>0</v>
      </c>
      <c r="BG830">
        <f t="shared" si="287"/>
        <v>0</v>
      </c>
      <c r="BH830">
        <f t="shared" si="288"/>
        <v>0</v>
      </c>
      <c r="BI830">
        <f t="shared" si="289"/>
        <v>0</v>
      </c>
      <c r="BJ830">
        <f t="shared" si="290"/>
        <v>0</v>
      </c>
      <c r="BK830">
        <f t="shared" si="291"/>
        <v>0</v>
      </c>
      <c r="BL830">
        <f t="shared" si="292"/>
        <v>0</v>
      </c>
      <c r="BM830">
        <f t="shared" si="293"/>
        <v>0</v>
      </c>
      <c r="BN830">
        <f t="shared" si="294"/>
        <v>0</v>
      </c>
      <c r="BO830">
        <f t="shared" si="295"/>
        <v>0</v>
      </c>
      <c r="BP830">
        <f t="shared" si="296"/>
        <v>0</v>
      </c>
      <c r="BQ830">
        <f t="shared" si="297"/>
        <v>0</v>
      </c>
      <c r="BR830">
        <f t="shared" si="298"/>
        <v>0</v>
      </c>
      <c r="BS830">
        <f t="shared" si="299"/>
        <v>0</v>
      </c>
      <c r="BT830">
        <f t="shared" si="300"/>
        <v>0</v>
      </c>
      <c r="BU830">
        <f t="shared" si="301"/>
        <v>0</v>
      </c>
      <c r="BV830">
        <f t="shared" si="302"/>
        <v>0</v>
      </c>
      <c r="BW830">
        <f t="shared" si="303"/>
        <v>0</v>
      </c>
      <c r="CA830" t="str">
        <f>IF(631&gt;ROWS(DGArchive[模组]),"",IF(INDEX(DGArchive[模组],631)="","",INDEX(DGArchive[模组],631)))</f>
        <v/>
      </c>
      <c r="CB830" t="str">
        <f>IF(631&gt;ROWS(DGArchive[阶段]),"",IF(INDEX(DGArchive[阶段],631)="","",INDEX(DGArchive[阶段],631)))</f>
        <v/>
      </c>
      <c r="CC830" t="str">
        <f>IF(631&gt;ROWS(DGArchive[游戏内日期]),"",IF(INDEX(DGArchive[游戏内日期],631)="","",INDEX(DGArchive[游戏内日期],631)))</f>
        <v/>
      </c>
      <c r="CD830" t="str">
        <f>IF(631&gt;ROWS(DGArchive[目标]),"",IF(INDEX(DGArchive[目标],631)="","",INDEX(DGArchive[目标],631)))</f>
        <v/>
      </c>
      <c r="CE830" t="str">
        <f>IF(631&gt;ROWS(DGArchive[变更前]),"",IF(INDEX(DGArchive[变更前],631)="","",INDEX(DGArchive[变更前],631)))</f>
        <v/>
      </c>
      <c r="CF830" t="str">
        <f>IF(631&gt;ROWS(DGArchive[增减]),"",IF(INDEX(DGArchive[增减],631)="","",INDEX(DGArchive[增减],631)))</f>
        <v/>
      </c>
      <c r="CG830" t="str">
        <f>IF(631&gt;ROWS(DGArchive[变更后]),"",IF(INDEX(DGArchive[变更后],631)="","",INDEX(DGArchive[变更后],631)))</f>
        <v/>
      </c>
      <c r="CH830" t="str">
        <f>IF(631&gt;ROWS(DGArchive[事件／活动]),"",IF(INDEX(DGArchive[事件／活动],631)="","",INDEX(DGArchive[事件／活动],631)))</f>
        <v/>
      </c>
      <c r="CI830" t="str">
        <f>IF(631&gt;ROWS(DGArchive[记录编号]),"",IF(INDEX(DGArchive[记录编号],631)="","",INDEX(DGArchive[记录编号],631)))</f>
        <v/>
      </c>
      <c r="CL830">
        <f t="shared" si="284"/>
        <v>0</v>
      </c>
      <c r="CM830">
        <f>IF(AND(A830=$AO$5,B830=$AQ$3,H830=1),COUNTIFS($A$200:A830,$AO$5,$B$200:B830,$AQ$3,$H$200:H830,1),0)</f>
        <v>0</v>
      </c>
      <c r="CN830">
        <f>IF(CA830="",631,1001)</f>
        <v>631</v>
      </c>
      <c r="GA830">
        <f t="shared" si="304"/>
        <v>0</v>
      </c>
      <c r="GB830">
        <f t="shared" si="305"/>
        <v>0</v>
      </c>
      <c r="GC830">
        <f>IF(AND(C830="事件记录",H830=1),COUNTIFS($C$200:C830,"事件记录",$H$200:H830,1),0)</f>
        <v>0</v>
      </c>
      <c r="GD830">
        <f t="shared" si="285"/>
        <v>0</v>
      </c>
      <c r="GH830">
        <f>IF(AND(H830=1,A830=$GA$10,B830=$GA$11),COUNTIFS($A$200:A830,$GA$10,$B$200:B830,$GA$11,$H$200:H830,1),0)</f>
        <v>0</v>
      </c>
    </row>
    <row r="831" spans="1:190">
      <c r="A831" t="str">
        <f t="shared" si="276"/>
        <v/>
      </c>
      <c r="B831" t="str">
        <f t="shared" si="277"/>
        <v/>
      </c>
      <c r="C831" t="str">
        <f t="shared" si="278"/>
        <v/>
      </c>
      <c r="D831" t="str">
        <f t="shared" si="279"/>
        <v/>
      </c>
      <c r="E831">
        <f t="shared" si="280"/>
        <v>0</v>
      </c>
      <c r="F831" t="str">
        <f t="shared" si="281"/>
        <v/>
      </c>
      <c r="G831">
        <f t="shared" si="282"/>
        <v>0</v>
      </c>
      <c r="H831">
        <f>IF(AND(G831=1,COUNTIFS($I$200:I831,I831,$G$200:G831,1)=1),1,0)</f>
        <v>0</v>
      </c>
      <c r="I831" t="str">
        <f t="shared" si="283"/>
        <v/>
      </c>
      <c r="BF831">
        <f t="shared" si="286"/>
        <v>0</v>
      </c>
      <c r="BG831">
        <f t="shared" si="287"/>
        <v>0</v>
      </c>
      <c r="BH831">
        <f t="shared" si="288"/>
        <v>0</v>
      </c>
      <c r="BI831">
        <f t="shared" si="289"/>
        <v>0</v>
      </c>
      <c r="BJ831">
        <f t="shared" si="290"/>
        <v>0</v>
      </c>
      <c r="BK831">
        <f t="shared" si="291"/>
        <v>0</v>
      </c>
      <c r="BL831">
        <f t="shared" si="292"/>
        <v>0</v>
      </c>
      <c r="BM831">
        <f t="shared" si="293"/>
        <v>0</v>
      </c>
      <c r="BN831">
        <f t="shared" si="294"/>
        <v>0</v>
      </c>
      <c r="BO831">
        <f t="shared" si="295"/>
        <v>0</v>
      </c>
      <c r="BP831">
        <f t="shared" si="296"/>
        <v>0</v>
      </c>
      <c r="BQ831">
        <f t="shared" si="297"/>
        <v>0</v>
      </c>
      <c r="BR831">
        <f t="shared" si="298"/>
        <v>0</v>
      </c>
      <c r="BS831">
        <f t="shared" si="299"/>
        <v>0</v>
      </c>
      <c r="BT831">
        <f t="shared" si="300"/>
        <v>0</v>
      </c>
      <c r="BU831">
        <f t="shared" si="301"/>
        <v>0</v>
      </c>
      <c r="BV831">
        <f t="shared" si="302"/>
        <v>0</v>
      </c>
      <c r="BW831">
        <f t="shared" si="303"/>
        <v>0</v>
      </c>
      <c r="CA831" t="str">
        <f>IF(632&gt;ROWS(DGArchive[模组]),"",IF(INDEX(DGArchive[模组],632)="","",INDEX(DGArchive[模组],632)))</f>
        <v/>
      </c>
      <c r="CB831" t="str">
        <f>IF(632&gt;ROWS(DGArchive[阶段]),"",IF(INDEX(DGArchive[阶段],632)="","",INDEX(DGArchive[阶段],632)))</f>
        <v/>
      </c>
      <c r="CC831" t="str">
        <f>IF(632&gt;ROWS(DGArchive[游戏内日期]),"",IF(INDEX(DGArchive[游戏内日期],632)="","",INDEX(DGArchive[游戏内日期],632)))</f>
        <v/>
      </c>
      <c r="CD831" t="str">
        <f>IF(632&gt;ROWS(DGArchive[目标]),"",IF(INDEX(DGArchive[目标],632)="","",INDEX(DGArchive[目标],632)))</f>
        <v/>
      </c>
      <c r="CE831" t="str">
        <f>IF(632&gt;ROWS(DGArchive[变更前]),"",IF(INDEX(DGArchive[变更前],632)="","",INDEX(DGArchive[变更前],632)))</f>
        <v/>
      </c>
      <c r="CF831" t="str">
        <f>IF(632&gt;ROWS(DGArchive[增减]),"",IF(INDEX(DGArchive[增减],632)="","",INDEX(DGArchive[增减],632)))</f>
        <v/>
      </c>
      <c r="CG831" t="str">
        <f>IF(632&gt;ROWS(DGArchive[变更后]),"",IF(INDEX(DGArchive[变更后],632)="","",INDEX(DGArchive[变更后],632)))</f>
        <v/>
      </c>
      <c r="CH831" t="str">
        <f>IF(632&gt;ROWS(DGArchive[事件／活动]),"",IF(INDEX(DGArchive[事件／活动],632)="","",INDEX(DGArchive[事件／活动],632)))</f>
        <v/>
      </c>
      <c r="CI831" t="str">
        <f>IF(632&gt;ROWS(DGArchive[记录编号]),"",IF(INDEX(DGArchive[记录编号],632)="","",INDEX(DGArchive[记录编号],632)))</f>
        <v/>
      </c>
      <c r="CL831">
        <f t="shared" si="284"/>
        <v>0</v>
      </c>
      <c r="CM831">
        <f>IF(AND(A831=$AO$5,B831=$AQ$3,H831=1),COUNTIFS($A$200:A831,$AO$5,$B$200:B831,$AQ$3,$H$200:H831,1),0)</f>
        <v>0</v>
      </c>
      <c r="CN831">
        <f>IF(CA831="",632,1001)</f>
        <v>632</v>
      </c>
      <c r="GA831">
        <f t="shared" si="304"/>
        <v>0</v>
      </c>
      <c r="GB831">
        <f t="shared" si="305"/>
        <v>0</v>
      </c>
      <c r="GC831">
        <f>IF(AND(C831="事件记录",H831=1),COUNTIFS($C$200:C831,"事件记录",$H$200:H831,1),0)</f>
        <v>0</v>
      </c>
      <c r="GD831">
        <f t="shared" si="285"/>
        <v>0</v>
      </c>
      <c r="GH831">
        <f>IF(AND(H831=1,A831=$GA$10,B831=$GA$11),COUNTIFS($A$200:A831,$GA$10,$B$200:B831,$GA$11,$H$200:H831,1),0)</f>
        <v>0</v>
      </c>
    </row>
    <row r="832" spans="1:190">
      <c r="A832" t="str">
        <f t="shared" si="276"/>
        <v/>
      </c>
      <c r="B832" t="str">
        <f t="shared" si="277"/>
        <v/>
      </c>
      <c r="C832" t="str">
        <f t="shared" si="278"/>
        <v/>
      </c>
      <c r="D832" t="str">
        <f t="shared" si="279"/>
        <v/>
      </c>
      <c r="E832">
        <f t="shared" si="280"/>
        <v>0</v>
      </c>
      <c r="F832" t="str">
        <f t="shared" si="281"/>
        <v/>
      </c>
      <c r="G832">
        <f t="shared" si="282"/>
        <v>0</v>
      </c>
      <c r="H832">
        <f>IF(AND(G832=1,COUNTIFS($I$200:I832,I832,$G$200:G832,1)=1),1,0)</f>
        <v>0</v>
      </c>
      <c r="I832" t="str">
        <f t="shared" si="283"/>
        <v/>
      </c>
      <c r="BF832">
        <f t="shared" si="286"/>
        <v>0</v>
      </c>
      <c r="BG832">
        <f t="shared" si="287"/>
        <v>0</v>
      </c>
      <c r="BH832">
        <f t="shared" si="288"/>
        <v>0</v>
      </c>
      <c r="BI832">
        <f t="shared" si="289"/>
        <v>0</v>
      </c>
      <c r="BJ832">
        <f t="shared" si="290"/>
        <v>0</v>
      </c>
      <c r="BK832">
        <f t="shared" si="291"/>
        <v>0</v>
      </c>
      <c r="BL832">
        <f t="shared" si="292"/>
        <v>0</v>
      </c>
      <c r="BM832">
        <f t="shared" si="293"/>
        <v>0</v>
      </c>
      <c r="BN832">
        <f t="shared" si="294"/>
        <v>0</v>
      </c>
      <c r="BO832">
        <f t="shared" si="295"/>
        <v>0</v>
      </c>
      <c r="BP832">
        <f t="shared" si="296"/>
        <v>0</v>
      </c>
      <c r="BQ832">
        <f t="shared" si="297"/>
        <v>0</v>
      </c>
      <c r="BR832">
        <f t="shared" si="298"/>
        <v>0</v>
      </c>
      <c r="BS832">
        <f t="shared" si="299"/>
        <v>0</v>
      </c>
      <c r="BT832">
        <f t="shared" si="300"/>
        <v>0</v>
      </c>
      <c r="BU832">
        <f t="shared" si="301"/>
        <v>0</v>
      </c>
      <c r="BV832">
        <f t="shared" si="302"/>
        <v>0</v>
      </c>
      <c r="BW832">
        <f t="shared" si="303"/>
        <v>0</v>
      </c>
      <c r="CA832" t="str">
        <f>IF(633&gt;ROWS(DGArchive[模组]),"",IF(INDEX(DGArchive[模组],633)="","",INDEX(DGArchive[模组],633)))</f>
        <v/>
      </c>
      <c r="CB832" t="str">
        <f>IF(633&gt;ROWS(DGArchive[阶段]),"",IF(INDEX(DGArchive[阶段],633)="","",INDEX(DGArchive[阶段],633)))</f>
        <v/>
      </c>
      <c r="CC832" t="str">
        <f>IF(633&gt;ROWS(DGArchive[游戏内日期]),"",IF(INDEX(DGArchive[游戏内日期],633)="","",INDEX(DGArchive[游戏内日期],633)))</f>
        <v/>
      </c>
      <c r="CD832" t="str">
        <f>IF(633&gt;ROWS(DGArchive[目标]),"",IF(INDEX(DGArchive[目标],633)="","",INDEX(DGArchive[目标],633)))</f>
        <v/>
      </c>
      <c r="CE832" t="str">
        <f>IF(633&gt;ROWS(DGArchive[变更前]),"",IF(INDEX(DGArchive[变更前],633)="","",INDEX(DGArchive[变更前],633)))</f>
        <v/>
      </c>
      <c r="CF832" t="str">
        <f>IF(633&gt;ROWS(DGArchive[增减]),"",IF(INDEX(DGArchive[增减],633)="","",INDEX(DGArchive[增减],633)))</f>
        <v/>
      </c>
      <c r="CG832" t="str">
        <f>IF(633&gt;ROWS(DGArchive[变更后]),"",IF(INDEX(DGArchive[变更后],633)="","",INDEX(DGArchive[变更后],633)))</f>
        <v/>
      </c>
      <c r="CH832" t="str">
        <f>IF(633&gt;ROWS(DGArchive[事件／活动]),"",IF(INDEX(DGArchive[事件／活动],633)="","",INDEX(DGArchive[事件／活动],633)))</f>
        <v/>
      </c>
      <c r="CI832" t="str">
        <f>IF(633&gt;ROWS(DGArchive[记录编号]),"",IF(INDEX(DGArchive[记录编号],633)="","",INDEX(DGArchive[记录编号],633)))</f>
        <v/>
      </c>
      <c r="CL832">
        <f t="shared" si="284"/>
        <v>0</v>
      </c>
      <c r="CM832">
        <f>IF(AND(A832=$AO$5,B832=$AQ$3,H832=1),COUNTIFS($A$200:A832,$AO$5,$B$200:B832,$AQ$3,$H$200:H832,1),0)</f>
        <v>0</v>
      </c>
      <c r="CN832">
        <f>IF(CA832="",633,1001)</f>
        <v>633</v>
      </c>
      <c r="GA832">
        <f t="shared" si="304"/>
        <v>0</v>
      </c>
      <c r="GB832">
        <f t="shared" si="305"/>
        <v>0</v>
      </c>
      <c r="GC832">
        <f>IF(AND(C832="事件记录",H832=1),COUNTIFS($C$200:C832,"事件记录",$H$200:H832,1),0)</f>
        <v>0</v>
      </c>
      <c r="GD832">
        <f t="shared" si="285"/>
        <v>0</v>
      </c>
      <c r="GH832">
        <f>IF(AND(H832=1,A832=$GA$10,B832=$GA$11),COUNTIFS($A$200:A832,$GA$10,$B$200:B832,$GA$11,$H$200:H832,1),0)</f>
        <v>0</v>
      </c>
    </row>
    <row r="833" spans="1:190">
      <c r="A833" t="str">
        <f t="shared" si="276"/>
        <v/>
      </c>
      <c r="B833" t="str">
        <f t="shared" si="277"/>
        <v/>
      </c>
      <c r="C833" t="str">
        <f t="shared" si="278"/>
        <v/>
      </c>
      <c r="D833" t="str">
        <f t="shared" si="279"/>
        <v/>
      </c>
      <c r="E833">
        <f t="shared" si="280"/>
        <v>0</v>
      </c>
      <c r="F833" t="str">
        <f t="shared" si="281"/>
        <v/>
      </c>
      <c r="G833">
        <f t="shared" si="282"/>
        <v>0</v>
      </c>
      <c r="H833">
        <f>IF(AND(G833=1,COUNTIFS($I$200:I833,I833,$G$200:G833,1)=1),1,0)</f>
        <v>0</v>
      </c>
      <c r="I833" t="str">
        <f t="shared" si="283"/>
        <v/>
      </c>
      <c r="BF833">
        <f t="shared" si="286"/>
        <v>0</v>
      </c>
      <c r="BG833">
        <f t="shared" si="287"/>
        <v>0</v>
      </c>
      <c r="BH833">
        <f t="shared" si="288"/>
        <v>0</v>
      </c>
      <c r="BI833">
        <f t="shared" si="289"/>
        <v>0</v>
      </c>
      <c r="BJ833">
        <f t="shared" si="290"/>
        <v>0</v>
      </c>
      <c r="BK833">
        <f t="shared" si="291"/>
        <v>0</v>
      </c>
      <c r="BL833">
        <f t="shared" si="292"/>
        <v>0</v>
      </c>
      <c r="BM833">
        <f t="shared" si="293"/>
        <v>0</v>
      </c>
      <c r="BN833">
        <f t="shared" si="294"/>
        <v>0</v>
      </c>
      <c r="BO833">
        <f t="shared" si="295"/>
        <v>0</v>
      </c>
      <c r="BP833">
        <f t="shared" si="296"/>
        <v>0</v>
      </c>
      <c r="BQ833">
        <f t="shared" si="297"/>
        <v>0</v>
      </c>
      <c r="BR833">
        <f t="shared" si="298"/>
        <v>0</v>
      </c>
      <c r="BS833">
        <f t="shared" si="299"/>
        <v>0</v>
      </c>
      <c r="BT833">
        <f t="shared" si="300"/>
        <v>0</v>
      </c>
      <c r="BU833">
        <f t="shared" si="301"/>
        <v>0</v>
      </c>
      <c r="BV833">
        <f t="shared" si="302"/>
        <v>0</v>
      </c>
      <c r="BW833">
        <f t="shared" si="303"/>
        <v>0</v>
      </c>
      <c r="CA833" t="str">
        <f>IF(634&gt;ROWS(DGArchive[模组]),"",IF(INDEX(DGArchive[模组],634)="","",INDEX(DGArchive[模组],634)))</f>
        <v/>
      </c>
      <c r="CB833" t="str">
        <f>IF(634&gt;ROWS(DGArchive[阶段]),"",IF(INDEX(DGArchive[阶段],634)="","",INDEX(DGArchive[阶段],634)))</f>
        <v/>
      </c>
      <c r="CC833" t="str">
        <f>IF(634&gt;ROWS(DGArchive[游戏内日期]),"",IF(INDEX(DGArchive[游戏内日期],634)="","",INDEX(DGArchive[游戏内日期],634)))</f>
        <v/>
      </c>
      <c r="CD833" t="str">
        <f>IF(634&gt;ROWS(DGArchive[目标]),"",IF(INDEX(DGArchive[目标],634)="","",INDEX(DGArchive[目标],634)))</f>
        <v/>
      </c>
      <c r="CE833" t="str">
        <f>IF(634&gt;ROWS(DGArchive[变更前]),"",IF(INDEX(DGArchive[变更前],634)="","",INDEX(DGArchive[变更前],634)))</f>
        <v/>
      </c>
      <c r="CF833" t="str">
        <f>IF(634&gt;ROWS(DGArchive[增减]),"",IF(INDEX(DGArchive[增减],634)="","",INDEX(DGArchive[增减],634)))</f>
        <v/>
      </c>
      <c r="CG833" t="str">
        <f>IF(634&gt;ROWS(DGArchive[变更后]),"",IF(INDEX(DGArchive[变更后],634)="","",INDEX(DGArchive[变更后],634)))</f>
        <v/>
      </c>
      <c r="CH833" t="str">
        <f>IF(634&gt;ROWS(DGArchive[事件／活动]),"",IF(INDEX(DGArchive[事件／活动],634)="","",INDEX(DGArchive[事件／活动],634)))</f>
        <v/>
      </c>
      <c r="CI833" t="str">
        <f>IF(634&gt;ROWS(DGArchive[记录编号]),"",IF(INDEX(DGArchive[记录编号],634)="","",INDEX(DGArchive[记录编号],634)))</f>
        <v/>
      </c>
      <c r="CL833">
        <f t="shared" si="284"/>
        <v>0</v>
      </c>
      <c r="CM833">
        <f>IF(AND(A833=$AO$5,B833=$AQ$3,H833=1),COUNTIFS($A$200:A833,$AO$5,$B$200:B833,$AQ$3,$H$200:H833,1),0)</f>
        <v>0</v>
      </c>
      <c r="CN833">
        <f>IF(CA833="",634,1001)</f>
        <v>634</v>
      </c>
      <c r="GA833">
        <f t="shared" si="304"/>
        <v>0</v>
      </c>
      <c r="GB833">
        <f t="shared" si="305"/>
        <v>0</v>
      </c>
      <c r="GC833">
        <f>IF(AND(C833="事件记录",H833=1),COUNTIFS($C$200:C833,"事件记录",$H$200:H833,1),0)</f>
        <v>0</v>
      </c>
      <c r="GD833">
        <f t="shared" si="285"/>
        <v>0</v>
      </c>
      <c r="GH833">
        <f>IF(AND(H833=1,A833=$GA$10,B833=$GA$11),COUNTIFS($A$200:A833,$GA$10,$B$200:B833,$GA$11,$H$200:H833,1),0)</f>
        <v>0</v>
      </c>
    </row>
    <row r="834" spans="1:190">
      <c r="A834" t="str">
        <f t="shared" si="276"/>
        <v/>
      </c>
      <c r="B834" t="str">
        <f t="shared" si="277"/>
        <v/>
      </c>
      <c r="C834" t="str">
        <f t="shared" si="278"/>
        <v/>
      </c>
      <c r="D834" t="str">
        <f t="shared" si="279"/>
        <v/>
      </c>
      <c r="E834">
        <f t="shared" si="280"/>
        <v>0</v>
      </c>
      <c r="F834" t="str">
        <f t="shared" si="281"/>
        <v/>
      </c>
      <c r="G834">
        <f t="shared" si="282"/>
        <v>0</v>
      </c>
      <c r="H834">
        <f>IF(AND(G834=1,COUNTIFS($I$200:I834,I834,$G$200:G834,1)=1),1,0)</f>
        <v>0</v>
      </c>
      <c r="I834" t="str">
        <f t="shared" si="283"/>
        <v/>
      </c>
      <c r="BF834">
        <f t="shared" si="286"/>
        <v>0</v>
      </c>
      <c r="BG834">
        <f t="shared" si="287"/>
        <v>0</v>
      </c>
      <c r="BH834">
        <f t="shared" si="288"/>
        <v>0</v>
      </c>
      <c r="BI834">
        <f t="shared" si="289"/>
        <v>0</v>
      </c>
      <c r="BJ834">
        <f t="shared" si="290"/>
        <v>0</v>
      </c>
      <c r="BK834">
        <f t="shared" si="291"/>
        <v>0</v>
      </c>
      <c r="BL834">
        <f t="shared" si="292"/>
        <v>0</v>
      </c>
      <c r="BM834">
        <f t="shared" si="293"/>
        <v>0</v>
      </c>
      <c r="BN834">
        <f t="shared" si="294"/>
        <v>0</v>
      </c>
      <c r="BO834">
        <f t="shared" si="295"/>
        <v>0</v>
      </c>
      <c r="BP834">
        <f t="shared" si="296"/>
        <v>0</v>
      </c>
      <c r="BQ834">
        <f t="shared" si="297"/>
        <v>0</v>
      </c>
      <c r="BR834">
        <f t="shared" si="298"/>
        <v>0</v>
      </c>
      <c r="BS834">
        <f t="shared" si="299"/>
        <v>0</v>
      </c>
      <c r="BT834">
        <f t="shared" si="300"/>
        <v>0</v>
      </c>
      <c r="BU834">
        <f t="shared" si="301"/>
        <v>0</v>
      </c>
      <c r="BV834">
        <f t="shared" si="302"/>
        <v>0</v>
      </c>
      <c r="BW834">
        <f t="shared" si="303"/>
        <v>0</v>
      </c>
      <c r="CA834" t="str">
        <f>IF(635&gt;ROWS(DGArchive[模组]),"",IF(INDEX(DGArchive[模组],635)="","",INDEX(DGArchive[模组],635)))</f>
        <v/>
      </c>
      <c r="CB834" t="str">
        <f>IF(635&gt;ROWS(DGArchive[阶段]),"",IF(INDEX(DGArchive[阶段],635)="","",INDEX(DGArchive[阶段],635)))</f>
        <v/>
      </c>
      <c r="CC834" t="str">
        <f>IF(635&gt;ROWS(DGArchive[游戏内日期]),"",IF(INDEX(DGArchive[游戏内日期],635)="","",INDEX(DGArchive[游戏内日期],635)))</f>
        <v/>
      </c>
      <c r="CD834" t="str">
        <f>IF(635&gt;ROWS(DGArchive[目标]),"",IF(INDEX(DGArchive[目标],635)="","",INDEX(DGArchive[目标],635)))</f>
        <v/>
      </c>
      <c r="CE834" t="str">
        <f>IF(635&gt;ROWS(DGArchive[变更前]),"",IF(INDEX(DGArchive[变更前],635)="","",INDEX(DGArchive[变更前],635)))</f>
        <v/>
      </c>
      <c r="CF834" t="str">
        <f>IF(635&gt;ROWS(DGArchive[增减]),"",IF(INDEX(DGArchive[增减],635)="","",INDEX(DGArchive[增减],635)))</f>
        <v/>
      </c>
      <c r="CG834" t="str">
        <f>IF(635&gt;ROWS(DGArchive[变更后]),"",IF(INDEX(DGArchive[变更后],635)="","",INDEX(DGArchive[变更后],635)))</f>
        <v/>
      </c>
      <c r="CH834" t="str">
        <f>IF(635&gt;ROWS(DGArchive[事件／活动]),"",IF(INDEX(DGArchive[事件／活动],635)="","",INDEX(DGArchive[事件／活动],635)))</f>
        <v/>
      </c>
      <c r="CI834" t="str">
        <f>IF(635&gt;ROWS(DGArchive[记录编号]),"",IF(INDEX(DGArchive[记录编号],635)="","",INDEX(DGArchive[记录编号],635)))</f>
        <v/>
      </c>
      <c r="CL834">
        <f t="shared" si="284"/>
        <v>0</v>
      </c>
      <c r="CM834">
        <f>IF(AND(A834=$AO$5,B834=$AQ$3,H834=1),COUNTIFS($A$200:A834,$AO$5,$B$200:B834,$AQ$3,$H$200:H834,1),0)</f>
        <v>0</v>
      </c>
      <c r="CN834">
        <f>IF(CA834="",635,1001)</f>
        <v>635</v>
      </c>
      <c r="GA834">
        <f t="shared" si="304"/>
        <v>0</v>
      </c>
      <c r="GB834">
        <f t="shared" si="305"/>
        <v>0</v>
      </c>
      <c r="GC834">
        <f>IF(AND(C834="事件记录",H834=1),COUNTIFS($C$200:C834,"事件记录",$H$200:H834,1),0)</f>
        <v>0</v>
      </c>
      <c r="GD834">
        <f t="shared" si="285"/>
        <v>0</v>
      </c>
      <c r="GH834">
        <f>IF(AND(H834=1,A834=$GA$10,B834=$GA$11),COUNTIFS($A$200:A834,$GA$10,$B$200:B834,$GA$11,$H$200:H834,1),0)</f>
        <v>0</v>
      </c>
    </row>
    <row r="835" spans="1:190">
      <c r="A835" t="str">
        <f t="shared" si="276"/>
        <v/>
      </c>
      <c r="B835" t="str">
        <f t="shared" si="277"/>
        <v/>
      </c>
      <c r="C835" t="str">
        <f t="shared" si="278"/>
        <v/>
      </c>
      <c r="D835" t="str">
        <f t="shared" si="279"/>
        <v/>
      </c>
      <c r="E835">
        <f t="shared" si="280"/>
        <v>0</v>
      </c>
      <c r="F835" t="str">
        <f t="shared" si="281"/>
        <v/>
      </c>
      <c r="G835">
        <f t="shared" si="282"/>
        <v>0</v>
      </c>
      <c r="H835">
        <f>IF(AND(G835=1,COUNTIFS($I$200:I835,I835,$G$200:G835,1)=1),1,0)</f>
        <v>0</v>
      </c>
      <c r="I835" t="str">
        <f t="shared" si="283"/>
        <v/>
      </c>
      <c r="BF835">
        <f t="shared" si="286"/>
        <v>0</v>
      </c>
      <c r="BG835">
        <f t="shared" si="287"/>
        <v>0</v>
      </c>
      <c r="BH835">
        <f t="shared" si="288"/>
        <v>0</v>
      </c>
      <c r="BI835">
        <f t="shared" si="289"/>
        <v>0</v>
      </c>
      <c r="BJ835">
        <f t="shared" si="290"/>
        <v>0</v>
      </c>
      <c r="BK835">
        <f t="shared" si="291"/>
        <v>0</v>
      </c>
      <c r="BL835">
        <f t="shared" si="292"/>
        <v>0</v>
      </c>
      <c r="BM835">
        <f t="shared" si="293"/>
        <v>0</v>
      </c>
      <c r="BN835">
        <f t="shared" si="294"/>
        <v>0</v>
      </c>
      <c r="BO835">
        <f t="shared" si="295"/>
        <v>0</v>
      </c>
      <c r="BP835">
        <f t="shared" si="296"/>
        <v>0</v>
      </c>
      <c r="BQ835">
        <f t="shared" si="297"/>
        <v>0</v>
      </c>
      <c r="BR835">
        <f t="shared" si="298"/>
        <v>0</v>
      </c>
      <c r="BS835">
        <f t="shared" si="299"/>
        <v>0</v>
      </c>
      <c r="BT835">
        <f t="shared" si="300"/>
        <v>0</v>
      </c>
      <c r="BU835">
        <f t="shared" si="301"/>
        <v>0</v>
      </c>
      <c r="BV835">
        <f t="shared" si="302"/>
        <v>0</v>
      </c>
      <c r="BW835">
        <f t="shared" si="303"/>
        <v>0</v>
      </c>
      <c r="CA835" t="str">
        <f>IF(636&gt;ROWS(DGArchive[模组]),"",IF(INDEX(DGArchive[模组],636)="","",INDEX(DGArchive[模组],636)))</f>
        <v/>
      </c>
      <c r="CB835" t="str">
        <f>IF(636&gt;ROWS(DGArchive[阶段]),"",IF(INDEX(DGArchive[阶段],636)="","",INDEX(DGArchive[阶段],636)))</f>
        <v/>
      </c>
      <c r="CC835" t="str">
        <f>IF(636&gt;ROWS(DGArchive[游戏内日期]),"",IF(INDEX(DGArchive[游戏内日期],636)="","",INDEX(DGArchive[游戏内日期],636)))</f>
        <v/>
      </c>
      <c r="CD835" t="str">
        <f>IF(636&gt;ROWS(DGArchive[目标]),"",IF(INDEX(DGArchive[目标],636)="","",INDEX(DGArchive[目标],636)))</f>
        <v/>
      </c>
      <c r="CE835" t="str">
        <f>IF(636&gt;ROWS(DGArchive[变更前]),"",IF(INDEX(DGArchive[变更前],636)="","",INDEX(DGArchive[变更前],636)))</f>
        <v/>
      </c>
      <c r="CF835" t="str">
        <f>IF(636&gt;ROWS(DGArchive[增减]),"",IF(INDEX(DGArchive[增减],636)="","",INDEX(DGArchive[增减],636)))</f>
        <v/>
      </c>
      <c r="CG835" t="str">
        <f>IF(636&gt;ROWS(DGArchive[变更后]),"",IF(INDEX(DGArchive[变更后],636)="","",INDEX(DGArchive[变更后],636)))</f>
        <v/>
      </c>
      <c r="CH835" t="str">
        <f>IF(636&gt;ROWS(DGArchive[事件／活动]),"",IF(INDEX(DGArchive[事件／活动],636)="","",INDEX(DGArchive[事件／活动],636)))</f>
        <v/>
      </c>
      <c r="CI835" t="str">
        <f>IF(636&gt;ROWS(DGArchive[记录编号]),"",IF(INDEX(DGArchive[记录编号],636)="","",INDEX(DGArchive[记录编号],636)))</f>
        <v/>
      </c>
      <c r="CL835">
        <f t="shared" si="284"/>
        <v>0</v>
      </c>
      <c r="CM835">
        <f>IF(AND(A835=$AO$5,B835=$AQ$3,H835=1),COUNTIFS($A$200:A835,$AO$5,$B$200:B835,$AQ$3,$H$200:H835,1),0)</f>
        <v>0</v>
      </c>
      <c r="CN835">
        <f>IF(CA835="",636,1001)</f>
        <v>636</v>
      </c>
      <c r="GA835">
        <f t="shared" si="304"/>
        <v>0</v>
      </c>
      <c r="GB835">
        <f t="shared" si="305"/>
        <v>0</v>
      </c>
      <c r="GC835">
        <f>IF(AND(C835="事件记录",H835=1),COUNTIFS($C$200:C835,"事件记录",$H$200:H835,1),0)</f>
        <v>0</v>
      </c>
      <c r="GD835">
        <f t="shared" si="285"/>
        <v>0</v>
      </c>
      <c r="GH835">
        <f>IF(AND(H835=1,A835=$GA$10,B835=$GA$11),COUNTIFS($A$200:A835,$GA$10,$B$200:B835,$GA$11,$H$200:H835,1),0)</f>
        <v>0</v>
      </c>
    </row>
    <row r="836" spans="1:190">
      <c r="A836" t="str">
        <f t="shared" si="276"/>
        <v/>
      </c>
      <c r="B836" t="str">
        <f t="shared" si="277"/>
        <v/>
      </c>
      <c r="C836" t="str">
        <f t="shared" si="278"/>
        <v/>
      </c>
      <c r="D836" t="str">
        <f t="shared" si="279"/>
        <v/>
      </c>
      <c r="E836">
        <f t="shared" si="280"/>
        <v>0</v>
      </c>
      <c r="F836" t="str">
        <f t="shared" si="281"/>
        <v/>
      </c>
      <c r="G836">
        <f t="shared" si="282"/>
        <v>0</v>
      </c>
      <c r="H836">
        <f>IF(AND(G836=1,COUNTIFS($I$200:I836,I836,$G$200:G836,1)=1),1,0)</f>
        <v>0</v>
      </c>
      <c r="I836" t="str">
        <f t="shared" si="283"/>
        <v/>
      </c>
      <c r="BF836">
        <f t="shared" si="286"/>
        <v>0</v>
      </c>
      <c r="BG836">
        <f t="shared" si="287"/>
        <v>0</v>
      </c>
      <c r="BH836">
        <f t="shared" si="288"/>
        <v>0</v>
      </c>
      <c r="BI836">
        <f t="shared" si="289"/>
        <v>0</v>
      </c>
      <c r="BJ836">
        <f t="shared" si="290"/>
        <v>0</v>
      </c>
      <c r="BK836">
        <f t="shared" si="291"/>
        <v>0</v>
      </c>
      <c r="BL836">
        <f t="shared" si="292"/>
        <v>0</v>
      </c>
      <c r="BM836">
        <f t="shared" si="293"/>
        <v>0</v>
      </c>
      <c r="BN836">
        <f t="shared" si="294"/>
        <v>0</v>
      </c>
      <c r="BO836">
        <f t="shared" si="295"/>
        <v>0</v>
      </c>
      <c r="BP836">
        <f t="shared" si="296"/>
        <v>0</v>
      </c>
      <c r="BQ836">
        <f t="shared" si="297"/>
        <v>0</v>
      </c>
      <c r="BR836">
        <f t="shared" si="298"/>
        <v>0</v>
      </c>
      <c r="BS836">
        <f t="shared" si="299"/>
        <v>0</v>
      </c>
      <c r="BT836">
        <f t="shared" si="300"/>
        <v>0</v>
      </c>
      <c r="BU836">
        <f t="shared" si="301"/>
        <v>0</v>
      </c>
      <c r="BV836">
        <f t="shared" si="302"/>
        <v>0</v>
      </c>
      <c r="BW836">
        <f t="shared" si="303"/>
        <v>0</v>
      </c>
      <c r="CA836" t="str">
        <f>IF(637&gt;ROWS(DGArchive[模组]),"",IF(INDEX(DGArchive[模组],637)="","",INDEX(DGArchive[模组],637)))</f>
        <v/>
      </c>
      <c r="CB836" t="str">
        <f>IF(637&gt;ROWS(DGArchive[阶段]),"",IF(INDEX(DGArchive[阶段],637)="","",INDEX(DGArchive[阶段],637)))</f>
        <v/>
      </c>
      <c r="CC836" t="str">
        <f>IF(637&gt;ROWS(DGArchive[游戏内日期]),"",IF(INDEX(DGArchive[游戏内日期],637)="","",INDEX(DGArchive[游戏内日期],637)))</f>
        <v/>
      </c>
      <c r="CD836" t="str">
        <f>IF(637&gt;ROWS(DGArchive[目标]),"",IF(INDEX(DGArchive[目标],637)="","",INDEX(DGArchive[目标],637)))</f>
        <v/>
      </c>
      <c r="CE836" t="str">
        <f>IF(637&gt;ROWS(DGArchive[变更前]),"",IF(INDEX(DGArchive[变更前],637)="","",INDEX(DGArchive[变更前],637)))</f>
        <v/>
      </c>
      <c r="CF836" t="str">
        <f>IF(637&gt;ROWS(DGArchive[增减]),"",IF(INDEX(DGArchive[增减],637)="","",INDEX(DGArchive[增减],637)))</f>
        <v/>
      </c>
      <c r="CG836" t="str">
        <f>IF(637&gt;ROWS(DGArchive[变更后]),"",IF(INDEX(DGArchive[变更后],637)="","",INDEX(DGArchive[变更后],637)))</f>
        <v/>
      </c>
      <c r="CH836" t="str">
        <f>IF(637&gt;ROWS(DGArchive[事件／活动]),"",IF(INDEX(DGArchive[事件／活动],637)="","",INDEX(DGArchive[事件／活动],637)))</f>
        <v/>
      </c>
      <c r="CI836" t="str">
        <f>IF(637&gt;ROWS(DGArchive[记录编号]),"",IF(INDEX(DGArchive[记录编号],637)="","",INDEX(DGArchive[记录编号],637)))</f>
        <v/>
      </c>
      <c r="CL836">
        <f t="shared" si="284"/>
        <v>0</v>
      </c>
      <c r="CM836">
        <f>IF(AND(A836=$AO$5,B836=$AQ$3,H836=1),COUNTIFS($A$200:A836,$AO$5,$B$200:B836,$AQ$3,$H$200:H836,1),0)</f>
        <v>0</v>
      </c>
      <c r="CN836">
        <f>IF(CA836="",637,1001)</f>
        <v>637</v>
      </c>
      <c r="GA836">
        <f t="shared" si="304"/>
        <v>0</v>
      </c>
      <c r="GB836">
        <f t="shared" si="305"/>
        <v>0</v>
      </c>
      <c r="GC836">
        <f>IF(AND(C836="事件记录",H836=1),COUNTIFS($C$200:C836,"事件记录",$H$200:H836,1),0)</f>
        <v>0</v>
      </c>
      <c r="GD836">
        <f t="shared" si="285"/>
        <v>0</v>
      </c>
      <c r="GH836">
        <f>IF(AND(H836=1,A836=$GA$10,B836=$GA$11),COUNTIFS($A$200:A836,$GA$10,$B$200:B836,$GA$11,$H$200:H836,1),0)</f>
        <v>0</v>
      </c>
    </row>
    <row r="837" spans="1:190">
      <c r="A837" t="str">
        <f t="shared" si="276"/>
        <v/>
      </c>
      <c r="B837" t="str">
        <f t="shared" si="277"/>
        <v/>
      </c>
      <c r="C837" t="str">
        <f t="shared" si="278"/>
        <v/>
      </c>
      <c r="D837" t="str">
        <f t="shared" si="279"/>
        <v/>
      </c>
      <c r="E837">
        <f t="shared" si="280"/>
        <v>0</v>
      </c>
      <c r="F837" t="str">
        <f t="shared" si="281"/>
        <v/>
      </c>
      <c r="G837">
        <f t="shared" si="282"/>
        <v>0</v>
      </c>
      <c r="H837">
        <f>IF(AND(G837=1,COUNTIFS($I$200:I837,I837,$G$200:G837,1)=1),1,0)</f>
        <v>0</v>
      </c>
      <c r="I837" t="str">
        <f t="shared" si="283"/>
        <v/>
      </c>
      <c r="BF837">
        <f t="shared" si="286"/>
        <v>0</v>
      </c>
      <c r="BG837">
        <f t="shared" si="287"/>
        <v>0</v>
      </c>
      <c r="BH837">
        <f t="shared" si="288"/>
        <v>0</v>
      </c>
      <c r="BI837">
        <f t="shared" si="289"/>
        <v>0</v>
      </c>
      <c r="BJ837">
        <f t="shared" si="290"/>
        <v>0</v>
      </c>
      <c r="BK837">
        <f t="shared" si="291"/>
        <v>0</v>
      </c>
      <c r="BL837">
        <f t="shared" si="292"/>
        <v>0</v>
      </c>
      <c r="BM837">
        <f t="shared" si="293"/>
        <v>0</v>
      </c>
      <c r="BN837">
        <f t="shared" si="294"/>
        <v>0</v>
      </c>
      <c r="BO837">
        <f t="shared" si="295"/>
        <v>0</v>
      </c>
      <c r="BP837">
        <f t="shared" si="296"/>
        <v>0</v>
      </c>
      <c r="BQ837">
        <f t="shared" si="297"/>
        <v>0</v>
      </c>
      <c r="BR837">
        <f t="shared" si="298"/>
        <v>0</v>
      </c>
      <c r="BS837">
        <f t="shared" si="299"/>
        <v>0</v>
      </c>
      <c r="BT837">
        <f t="shared" si="300"/>
        <v>0</v>
      </c>
      <c r="BU837">
        <f t="shared" si="301"/>
        <v>0</v>
      </c>
      <c r="BV837">
        <f t="shared" si="302"/>
        <v>0</v>
      </c>
      <c r="BW837">
        <f t="shared" si="303"/>
        <v>0</v>
      </c>
      <c r="CA837" t="str">
        <f>IF(638&gt;ROWS(DGArchive[模组]),"",IF(INDEX(DGArchive[模组],638)="","",INDEX(DGArchive[模组],638)))</f>
        <v/>
      </c>
      <c r="CB837" t="str">
        <f>IF(638&gt;ROWS(DGArchive[阶段]),"",IF(INDEX(DGArchive[阶段],638)="","",INDEX(DGArchive[阶段],638)))</f>
        <v/>
      </c>
      <c r="CC837" t="str">
        <f>IF(638&gt;ROWS(DGArchive[游戏内日期]),"",IF(INDEX(DGArchive[游戏内日期],638)="","",INDEX(DGArchive[游戏内日期],638)))</f>
        <v/>
      </c>
      <c r="CD837" t="str">
        <f>IF(638&gt;ROWS(DGArchive[目标]),"",IF(INDEX(DGArchive[目标],638)="","",INDEX(DGArchive[目标],638)))</f>
        <v/>
      </c>
      <c r="CE837" t="str">
        <f>IF(638&gt;ROWS(DGArchive[变更前]),"",IF(INDEX(DGArchive[变更前],638)="","",INDEX(DGArchive[变更前],638)))</f>
        <v/>
      </c>
      <c r="CF837" t="str">
        <f>IF(638&gt;ROWS(DGArchive[增减]),"",IF(INDEX(DGArchive[增减],638)="","",INDEX(DGArchive[增减],638)))</f>
        <v/>
      </c>
      <c r="CG837" t="str">
        <f>IF(638&gt;ROWS(DGArchive[变更后]),"",IF(INDEX(DGArchive[变更后],638)="","",INDEX(DGArchive[变更后],638)))</f>
        <v/>
      </c>
      <c r="CH837" t="str">
        <f>IF(638&gt;ROWS(DGArchive[事件／活动]),"",IF(INDEX(DGArchive[事件／活动],638)="","",INDEX(DGArchive[事件／活动],638)))</f>
        <v/>
      </c>
      <c r="CI837" t="str">
        <f>IF(638&gt;ROWS(DGArchive[记录编号]),"",IF(INDEX(DGArchive[记录编号],638)="","",INDEX(DGArchive[记录编号],638)))</f>
        <v/>
      </c>
      <c r="CL837">
        <f t="shared" si="284"/>
        <v>0</v>
      </c>
      <c r="CM837">
        <f>IF(AND(A837=$AO$5,B837=$AQ$3,H837=1),COUNTIFS($A$200:A837,$AO$5,$B$200:B837,$AQ$3,$H$200:H837,1),0)</f>
        <v>0</v>
      </c>
      <c r="CN837">
        <f>IF(CA837="",638,1001)</f>
        <v>638</v>
      </c>
      <c r="GA837">
        <f t="shared" si="304"/>
        <v>0</v>
      </c>
      <c r="GB837">
        <f t="shared" si="305"/>
        <v>0</v>
      </c>
      <c r="GC837">
        <f>IF(AND(C837="事件记录",H837=1),COUNTIFS($C$200:C837,"事件记录",$H$200:H837,1),0)</f>
        <v>0</v>
      </c>
      <c r="GD837">
        <f t="shared" si="285"/>
        <v>0</v>
      </c>
      <c r="GH837">
        <f>IF(AND(H837=1,A837=$GA$10,B837=$GA$11),COUNTIFS($A$200:A837,$GA$10,$B$200:B837,$GA$11,$H$200:H837,1),0)</f>
        <v>0</v>
      </c>
    </row>
    <row r="838" spans="1:190">
      <c r="A838" t="str">
        <f t="shared" si="276"/>
        <v/>
      </c>
      <c r="B838" t="str">
        <f t="shared" si="277"/>
        <v/>
      </c>
      <c r="C838" t="str">
        <f t="shared" si="278"/>
        <v/>
      </c>
      <c r="D838" t="str">
        <f t="shared" si="279"/>
        <v/>
      </c>
      <c r="E838">
        <f t="shared" si="280"/>
        <v>0</v>
      </c>
      <c r="F838" t="str">
        <f t="shared" si="281"/>
        <v/>
      </c>
      <c r="G838">
        <f t="shared" si="282"/>
        <v>0</v>
      </c>
      <c r="H838">
        <f>IF(AND(G838=1,COUNTIFS($I$200:I838,I838,$G$200:G838,1)=1),1,0)</f>
        <v>0</v>
      </c>
      <c r="I838" t="str">
        <f t="shared" si="283"/>
        <v/>
      </c>
      <c r="BF838">
        <f t="shared" si="286"/>
        <v>0</v>
      </c>
      <c r="BG838">
        <f t="shared" si="287"/>
        <v>0</v>
      </c>
      <c r="BH838">
        <f t="shared" si="288"/>
        <v>0</v>
      </c>
      <c r="BI838">
        <f t="shared" si="289"/>
        <v>0</v>
      </c>
      <c r="BJ838">
        <f t="shared" si="290"/>
        <v>0</v>
      </c>
      <c r="BK838">
        <f t="shared" si="291"/>
        <v>0</v>
      </c>
      <c r="BL838">
        <f t="shared" si="292"/>
        <v>0</v>
      </c>
      <c r="BM838">
        <f t="shared" si="293"/>
        <v>0</v>
      </c>
      <c r="BN838">
        <f t="shared" si="294"/>
        <v>0</v>
      </c>
      <c r="BO838">
        <f t="shared" si="295"/>
        <v>0</v>
      </c>
      <c r="BP838">
        <f t="shared" si="296"/>
        <v>0</v>
      </c>
      <c r="BQ838">
        <f t="shared" si="297"/>
        <v>0</v>
      </c>
      <c r="BR838">
        <f t="shared" si="298"/>
        <v>0</v>
      </c>
      <c r="BS838">
        <f t="shared" si="299"/>
        <v>0</v>
      </c>
      <c r="BT838">
        <f t="shared" si="300"/>
        <v>0</v>
      </c>
      <c r="BU838">
        <f t="shared" si="301"/>
        <v>0</v>
      </c>
      <c r="BV838">
        <f t="shared" si="302"/>
        <v>0</v>
      </c>
      <c r="BW838">
        <f t="shared" si="303"/>
        <v>0</v>
      </c>
      <c r="CA838" t="str">
        <f>IF(639&gt;ROWS(DGArchive[模组]),"",IF(INDEX(DGArchive[模组],639)="","",INDEX(DGArchive[模组],639)))</f>
        <v/>
      </c>
      <c r="CB838" t="str">
        <f>IF(639&gt;ROWS(DGArchive[阶段]),"",IF(INDEX(DGArchive[阶段],639)="","",INDEX(DGArchive[阶段],639)))</f>
        <v/>
      </c>
      <c r="CC838" t="str">
        <f>IF(639&gt;ROWS(DGArchive[游戏内日期]),"",IF(INDEX(DGArchive[游戏内日期],639)="","",INDEX(DGArchive[游戏内日期],639)))</f>
        <v/>
      </c>
      <c r="CD838" t="str">
        <f>IF(639&gt;ROWS(DGArchive[目标]),"",IF(INDEX(DGArchive[目标],639)="","",INDEX(DGArchive[目标],639)))</f>
        <v/>
      </c>
      <c r="CE838" t="str">
        <f>IF(639&gt;ROWS(DGArchive[变更前]),"",IF(INDEX(DGArchive[变更前],639)="","",INDEX(DGArchive[变更前],639)))</f>
        <v/>
      </c>
      <c r="CF838" t="str">
        <f>IF(639&gt;ROWS(DGArchive[增减]),"",IF(INDEX(DGArchive[增减],639)="","",INDEX(DGArchive[增减],639)))</f>
        <v/>
      </c>
      <c r="CG838" t="str">
        <f>IF(639&gt;ROWS(DGArchive[变更后]),"",IF(INDEX(DGArchive[变更后],639)="","",INDEX(DGArchive[变更后],639)))</f>
        <v/>
      </c>
      <c r="CH838" t="str">
        <f>IF(639&gt;ROWS(DGArchive[事件／活动]),"",IF(INDEX(DGArchive[事件／活动],639)="","",INDEX(DGArchive[事件／活动],639)))</f>
        <v/>
      </c>
      <c r="CI838" t="str">
        <f>IF(639&gt;ROWS(DGArchive[记录编号]),"",IF(INDEX(DGArchive[记录编号],639)="","",INDEX(DGArchive[记录编号],639)))</f>
        <v/>
      </c>
      <c r="CL838">
        <f t="shared" si="284"/>
        <v>0</v>
      </c>
      <c r="CM838">
        <f>IF(AND(A838=$AO$5,B838=$AQ$3,H838=1),COUNTIFS($A$200:A838,$AO$5,$B$200:B838,$AQ$3,$H$200:H838,1),0)</f>
        <v>0</v>
      </c>
      <c r="CN838">
        <f>IF(CA838="",639,1001)</f>
        <v>639</v>
      </c>
      <c r="GA838">
        <f t="shared" si="304"/>
        <v>0</v>
      </c>
      <c r="GB838">
        <f t="shared" si="305"/>
        <v>0</v>
      </c>
      <c r="GC838">
        <f>IF(AND(C838="事件记录",H838=1),COUNTIFS($C$200:C838,"事件记录",$H$200:H838,1),0)</f>
        <v>0</v>
      </c>
      <c r="GD838">
        <f t="shared" si="285"/>
        <v>0</v>
      </c>
      <c r="GH838">
        <f>IF(AND(H838=1,A838=$GA$10,B838=$GA$11),COUNTIFS($A$200:A838,$GA$10,$B$200:B838,$GA$11,$H$200:H838,1),0)</f>
        <v>0</v>
      </c>
    </row>
    <row r="839" spans="1:190">
      <c r="A839" t="str">
        <f t="shared" si="276"/>
        <v/>
      </c>
      <c r="B839" t="str">
        <f t="shared" si="277"/>
        <v/>
      </c>
      <c r="C839" t="str">
        <f t="shared" si="278"/>
        <v/>
      </c>
      <c r="D839" t="str">
        <f t="shared" si="279"/>
        <v/>
      </c>
      <c r="E839">
        <f t="shared" si="280"/>
        <v>0</v>
      </c>
      <c r="F839" t="str">
        <f t="shared" si="281"/>
        <v/>
      </c>
      <c r="G839">
        <f t="shared" si="282"/>
        <v>0</v>
      </c>
      <c r="H839">
        <f>IF(AND(G839=1,COUNTIFS($I$200:I839,I839,$G$200:G839,1)=1),1,0)</f>
        <v>0</v>
      </c>
      <c r="I839" t="str">
        <f t="shared" si="283"/>
        <v/>
      </c>
      <c r="BF839">
        <f t="shared" si="286"/>
        <v>0</v>
      </c>
      <c r="BG839">
        <f t="shared" si="287"/>
        <v>0</v>
      </c>
      <c r="BH839">
        <f t="shared" si="288"/>
        <v>0</v>
      </c>
      <c r="BI839">
        <f t="shared" si="289"/>
        <v>0</v>
      </c>
      <c r="BJ839">
        <f t="shared" si="290"/>
        <v>0</v>
      </c>
      <c r="BK839">
        <f t="shared" si="291"/>
        <v>0</v>
      </c>
      <c r="BL839">
        <f t="shared" si="292"/>
        <v>0</v>
      </c>
      <c r="BM839">
        <f t="shared" si="293"/>
        <v>0</v>
      </c>
      <c r="BN839">
        <f t="shared" si="294"/>
        <v>0</v>
      </c>
      <c r="BO839">
        <f t="shared" si="295"/>
        <v>0</v>
      </c>
      <c r="BP839">
        <f t="shared" si="296"/>
        <v>0</v>
      </c>
      <c r="BQ839">
        <f t="shared" si="297"/>
        <v>0</v>
      </c>
      <c r="BR839">
        <f t="shared" si="298"/>
        <v>0</v>
      </c>
      <c r="BS839">
        <f t="shared" si="299"/>
        <v>0</v>
      </c>
      <c r="BT839">
        <f t="shared" si="300"/>
        <v>0</v>
      </c>
      <c r="BU839">
        <f t="shared" si="301"/>
        <v>0</v>
      </c>
      <c r="BV839">
        <f t="shared" si="302"/>
        <v>0</v>
      </c>
      <c r="BW839">
        <f t="shared" si="303"/>
        <v>0</v>
      </c>
      <c r="CA839" t="str">
        <f>IF(640&gt;ROWS(DGArchive[模组]),"",IF(INDEX(DGArchive[模组],640)="","",INDEX(DGArchive[模组],640)))</f>
        <v/>
      </c>
      <c r="CB839" t="str">
        <f>IF(640&gt;ROWS(DGArchive[阶段]),"",IF(INDEX(DGArchive[阶段],640)="","",INDEX(DGArchive[阶段],640)))</f>
        <v/>
      </c>
      <c r="CC839" t="str">
        <f>IF(640&gt;ROWS(DGArchive[游戏内日期]),"",IF(INDEX(DGArchive[游戏内日期],640)="","",INDEX(DGArchive[游戏内日期],640)))</f>
        <v/>
      </c>
      <c r="CD839" t="str">
        <f>IF(640&gt;ROWS(DGArchive[目标]),"",IF(INDEX(DGArchive[目标],640)="","",INDEX(DGArchive[目标],640)))</f>
        <v/>
      </c>
      <c r="CE839" t="str">
        <f>IF(640&gt;ROWS(DGArchive[变更前]),"",IF(INDEX(DGArchive[变更前],640)="","",INDEX(DGArchive[变更前],640)))</f>
        <v/>
      </c>
      <c r="CF839" t="str">
        <f>IF(640&gt;ROWS(DGArchive[增减]),"",IF(INDEX(DGArchive[增减],640)="","",INDEX(DGArchive[增减],640)))</f>
        <v/>
      </c>
      <c r="CG839" t="str">
        <f>IF(640&gt;ROWS(DGArchive[变更后]),"",IF(INDEX(DGArchive[变更后],640)="","",INDEX(DGArchive[变更后],640)))</f>
        <v/>
      </c>
      <c r="CH839" t="str">
        <f>IF(640&gt;ROWS(DGArchive[事件／活动]),"",IF(INDEX(DGArchive[事件／活动],640)="","",INDEX(DGArchive[事件／活动],640)))</f>
        <v/>
      </c>
      <c r="CI839" t="str">
        <f>IF(640&gt;ROWS(DGArchive[记录编号]),"",IF(INDEX(DGArchive[记录编号],640)="","",INDEX(DGArchive[记录编号],640)))</f>
        <v/>
      </c>
      <c r="CL839">
        <f t="shared" si="284"/>
        <v>0</v>
      </c>
      <c r="CM839">
        <f>IF(AND(A839=$AO$5,B839=$AQ$3,H839=1),COUNTIFS($A$200:A839,$AO$5,$B$200:B839,$AQ$3,$H$200:H839,1),0)</f>
        <v>0</v>
      </c>
      <c r="CN839">
        <f>IF(CA839="",640,1001)</f>
        <v>640</v>
      </c>
      <c r="GA839">
        <f t="shared" si="304"/>
        <v>0</v>
      </c>
      <c r="GB839">
        <f t="shared" si="305"/>
        <v>0</v>
      </c>
      <c r="GC839">
        <f>IF(AND(C839="事件记录",H839=1),COUNTIFS($C$200:C839,"事件记录",$H$200:H839,1),0)</f>
        <v>0</v>
      </c>
      <c r="GD839">
        <f t="shared" si="285"/>
        <v>0</v>
      </c>
      <c r="GH839">
        <f>IF(AND(H839=1,A839=$GA$10,B839=$GA$11),COUNTIFS($A$200:A839,$GA$10,$B$200:B839,$GA$11,$H$200:H839,1),0)</f>
        <v>0</v>
      </c>
    </row>
    <row r="840" spans="1:190">
      <c r="A840" t="str">
        <f t="shared" ref="A840:A903" si="306">IFERROR(TEXT(VALUE(CA840),"00"),"")</f>
        <v/>
      </c>
      <c r="B840" t="str">
        <f t="shared" ref="B840:B903" si="307">CB840</f>
        <v/>
      </c>
      <c r="C840" t="str">
        <f t="shared" ref="C840:C903" si="308">CD840</f>
        <v/>
      </c>
      <c r="D840" t="str">
        <f t="shared" ref="D840:D903" si="309">CF840</f>
        <v/>
      </c>
      <c r="E840">
        <f t="shared" ref="E840:E903" si="310">IF(H840=1,MAX(-CE840,MIN(D840,IF(LEFT(C840,3)="技能：",99,IF(COUNTIF($L$2:$L$7,C840)&gt;0,18,999))-CE840)),0)</f>
        <v>0</v>
      </c>
      <c r="F840" t="str">
        <f t="shared" ref="F840:F903" si="311">IF(OR(C840=0,C840=""),"",IF(G840=0,"记录不完整",IF(H840=0,"重复未计","已计入")))</f>
        <v/>
      </c>
      <c r="G840">
        <f t="shared" ref="G840:G903" si="312">IF(AND(AND(CA840&lt;&gt;"",CB840&lt;&gt;"",CI840&lt;&gt;"",OR(LEFT(C840,3)="技能：",COUNTIF($L$2:$L$19,C840)&gt;0,C840="事件记录",C840="暴力进度",C840="无力进度"),ISNUMBER(CE840),ISNUMBER(CF840),ISNUMBER(CG840),CE840&gt;=0,CG840=SUM(CE840,CF840)),OR(B840&lt;&gt;"成长",AND(LEFT(C840,3)="技能：",C840&lt;&gt;"技能：非自然知识",CE840&gt;=1,CE840&lt;=99,CF840&gt;=0,CF840&lt;=4,CG840&lt;=99))),1,0)</f>
        <v>0</v>
      </c>
      <c r="H840">
        <f>IF(AND(G840=1,COUNTIFS($I$200:I840,I840,$G$200:G840,1)=1),1,0)</f>
        <v>0</v>
      </c>
      <c r="I840" t="str">
        <f t="shared" ref="I840:I903" si="313">IF(G840=1,IF(B840="成长",A840&amp;"-成长-"&amp;C840,CI840),"")</f>
        <v/>
      </c>
      <c r="BF840">
        <f t="shared" si="286"/>
        <v>0</v>
      </c>
      <c r="BG840">
        <f t="shared" si="287"/>
        <v>0</v>
      </c>
      <c r="BH840">
        <f t="shared" si="288"/>
        <v>0</v>
      </c>
      <c r="BI840">
        <f t="shared" si="289"/>
        <v>0</v>
      </c>
      <c r="BJ840">
        <f t="shared" si="290"/>
        <v>0</v>
      </c>
      <c r="BK840">
        <f t="shared" si="291"/>
        <v>0</v>
      </c>
      <c r="BL840">
        <f t="shared" si="292"/>
        <v>0</v>
      </c>
      <c r="BM840">
        <f t="shared" si="293"/>
        <v>0</v>
      </c>
      <c r="BN840">
        <f t="shared" si="294"/>
        <v>0</v>
      </c>
      <c r="BO840">
        <f t="shared" si="295"/>
        <v>0</v>
      </c>
      <c r="BP840">
        <f t="shared" si="296"/>
        <v>0</v>
      </c>
      <c r="BQ840">
        <f t="shared" si="297"/>
        <v>0</v>
      </c>
      <c r="BR840">
        <f t="shared" si="298"/>
        <v>0</v>
      </c>
      <c r="BS840">
        <f t="shared" si="299"/>
        <v>0</v>
      </c>
      <c r="BT840">
        <f t="shared" si="300"/>
        <v>0</v>
      </c>
      <c r="BU840">
        <f t="shared" si="301"/>
        <v>0</v>
      </c>
      <c r="BV840">
        <f t="shared" si="302"/>
        <v>0</v>
      </c>
      <c r="BW840">
        <f t="shared" si="303"/>
        <v>0</v>
      </c>
      <c r="CA840" t="str">
        <f>IF(641&gt;ROWS(DGArchive[模组]),"",IF(INDEX(DGArchive[模组],641)="","",INDEX(DGArchive[模组],641)))</f>
        <v/>
      </c>
      <c r="CB840" t="str">
        <f>IF(641&gt;ROWS(DGArchive[阶段]),"",IF(INDEX(DGArchive[阶段],641)="","",INDEX(DGArchive[阶段],641)))</f>
        <v/>
      </c>
      <c r="CC840" t="str">
        <f>IF(641&gt;ROWS(DGArchive[游戏内日期]),"",IF(INDEX(DGArchive[游戏内日期],641)="","",INDEX(DGArchive[游戏内日期],641)))</f>
        <v/>
      </c>
      <c r="CD840" t="str">
        <f>IF(641&gt;ROWS(DGArchive[目标]),"",IF(INDEX(DGArchive[目标],641)="","",INDEX(DGArchive[目标],641)))</f>
        <v/>
      </c>
      <c r="CE840" t="str">
        <f>IF(641&gt;ROWS(DGArchive[变更前]),"",IF(INDEX(DGArchive[变更前],641)="","",INDEX(DGArchive[变更前],641)))</f>
        <v/>
      </c>
      <c r="CF840" t="str">
        <f>IF(641&gt;ROWS(DGArchive[增减]),"",IF(INDEX(DGArchive[增减],641)="","",INDEX(DGArchive[增减],641)))</f>
        <v/>
      </c>
      <c r="CG840" t="str">
        <f>IF(641&gt;ROWS(DGArchive[变更后]),"",IF(INDEX(DGArchive[变更后],641)="","",INDEX(DGArchive[变更后],641)))</f>
        <v/>
      </c>
      <c r="CH840" t="str">
        <f>IF(641&gt;ROWS(DGArchive[事件／活动]),"",IF(INDEX(DGArchive[事件／活动],641)="","",INDEX(DGArchive[事件／活动],641)))</f>
        <v/>
      </c>
      <c r="CI840" t="str">
        <f>IF(641&gt;ROWS(DGArchive[记录编号]),"",IF(INDEX(DGArchive[记录编号],641)="","",INDEX(DGArchive[记录编号],641)))</f>
        <v/>
      </c>
      <c r="CL840">
        <f t="shared" ref="CL840:CL903" si="314">IF(AND(A840=$AO$5,H840=1,LEFT(B840,2)="幕间"),IFERROR(VALUE(MID(B840,3,20)),0),0)</f>
        <v>0</v>
      </c>
      <c r="CM840">
        <f>IF(AND(A840=$AO$5,B840=$AQ$3,H840=1),COUNTIFS($A$200:A840,$AO$5,$B$200:B840,$AQ$3,$H$200:H840,1),0)</f>
        <v>0</v>
      </c>
      <c r="CN840">
        <f>IF(CA840="",641,1001)</f>
        <v>641</v>
      </c>
      <c r="GA840">
        <f t="shared" si="304"/>
        <v>0</v>
      </c>
      <c r="GB840">
        <f t="shared" si="305"/>
        <v>0</v>
      </c>
      <c r="GC840">
        <f>IF(AND(C840="事件记录",H840=1),COUNTIFS($C$200:C840,"事件记录",$H$200:H840,1),0)</f>
        <v>0</v>
      </c>
      <c r="GD840">
        <f t="shared" ref="GD840:GD903" si="315">IF(AND(H840=1,A840=$GA$10,LEFT(B840,2)="事件"),IFERROR(VALUE(MID(B840,3,20)),0),0)</f>
        <v>0</v>
      </c>
      <c r="GH840">
        <f>IF(AND(H840=1,A840=$GA$10,B840=$GA$11),COUNTIFS($A$200:A840,$GA$10,$B$200:B840,$GA$11,$H$200:H840,1),0)</f>
        <v>0</v>
      </c>
    </row>
    <row r="841" spans="1:190">
      <c r="A841" t="str">
        <f t="shared" si="306"/>
        <v/>
      </c>
      <c r="B841" t="str">
        <f t="shared" si="307"/>
        <v/>
      </c>
      <c r="C841" t="str">
        <f t="shared" si="308"/>
        <v/>
      </c>
      <c r="D841" t="str">
        <f t="shared" si="309"/>
        <v/>
      </c>
      <c r="E841">
        <f t="shared" si="310"/>
        <v>0</v>
      </c>
      <c r="F841" t="str">
        <f t="shared" si="311"/>
        <v/>
      </c>
      <c r="G841">
        <f t="shared" si="312"/>
        <v>0</v>
      </c>
      <c r="H841">
        <f>IF(AND(G841=1,COUNTIFS($I$200:I841,I841,$G$200:G841,1)=1),1,0)</f>
        <v>0</v>
      </c>
      <c r="I841" t="str">
        <f t="shared" si="313"/>
        <v/>
      </c>
      <c r="BF841">
        <f t="shared" ref="BF841:BF904" si="316">MAX(0,MIN(18,BF840+IF(C841="力量",E841,0)))</f>
        <v>0</v>
      </c>
      <c r="BG841">
        <f t="shared" ref="BG841:BG904" si="317">MAX(0,MIN(18,BG840+IF(C841="体质",E841,0)))</f>
        <v>0</v>
      </c>
      <c r="BH841">
        <f t="shared" ref="BH841:BH904" si="318">MAX(0,MIN(18,BH840+IF(C841="敏捷",E841,0)))</f>
        <v>0</v>
      </c>
      <c r="BI841">
        <f t="shared" ref="BI841:BI904" si="319">MAX(0,MIN(18,BI840+IF(C841="智力",E841,0)))</f>
        <v>0</v>
      </c>
      <c r="BJ841">
        <f t="shared" ref="BJ841:BJ904" si="320">MAX(0,MIN(18,BJ840+IF(C841="意志",E841,0)))</f>
        <v>0</v>
      </c>
      <c r="BK841">
        <f t="shared" ref="BK841:BK904" si="321">MAX(0,MIN(18,BK840+IF(C841="魅力",E841,0)))</f>
        <v>0</v>
      </c>
      <c r="BL841">
        <f t="shared" ref="BL841:BL904" si="322">MAX(0,MIN(99,BL840+IF(C841="技能：非自然知识",E841,0)))</f>
        <v>0</v>
      </c>
      <c r="BM841">
        <f t="shared" ref="BM841:BM904" si="323">MAX(0,MIN(CEILING((BF841+BG841)/2,1),BM840+IF(C841="体力",E841,0)))</f>
        <v>0</v>
      </c>
      <c r="BN841">
        <f t="shared" ref="BN841:BN904" si="324">MAX(0,MIN(BJ841,BN840+IF(C841="毅力",E841,0)))</f>
        <v>0</v>
      </c>
      <c r="BO841">
        <f t="shared" ref="BO841:BO904" si="325">MAX(0,MIN(99-BL841,BO840+IF(C841="理智",E841,0)))</f>
        <v>0</v>
      </c>
      <c r="BP841">
        <f t="shared" ref="BP841:BP904" si="326">MAX(0,MIN(99,BP840+IF(C841="崩溃点",E841,0)))</f>
        <v>0</v>
      </c>
      <c r="BQ841">
        <f t="shared" ref="BQ841:BQ904" si="327">MAX(0,MIN(BK841,IF(AND(H841=1,C841="重要关系1",LEFT(CH841,8)="建立新的重要关系"),CE841+E841,IF(BQ840=0,0,BQ840+IF(C841="重要关系1",E841,0))+IF(AND(C841="魅力",E841&lt;0),E841,0))))</f>
        <v>0</v>
      </c>
      <c r="BR841">
        <f t="shared" ref="BR841:BR904" si="328">MAX(0,MIN(BK841,IF(AND(H841=1,C841="重要关系2",LEFT(CH841,8)="建立新的重要关系"),CE841+E841,IF(BR840=0,0,BR840+IF(C841="重要关系2",E841,0))+IF(AND(C841="魅力",E841&lt;0),E841,0))))</f>
        <v>0</v>
      </c>
      <c r="BS841">
        <f t="shared" ref="BS841:BS904" si="329">MAX(0,MIN(BK841,IF(AND(H841=1,C841="重要关系3",LEFT(CH841,8)="建立新的重要关系"),CE841+E841,IF(BS840=0,0,BS840+IF(C841="重要关系3",E841,0))+IF(AND(C841="魅力",E841&lt;0),E841,0))))</f>
        <v>0</v>
      </c>
      <c r="BT841">
        <f t="shared" ref="BT841:BT904" si="330">MAX(0,MIN(BK841,IF(AND(H841=1,C841="重要关系4",LEFT(CH841,8)="建立新的重要关系"),CE841+E841,IF(BT840=0,0,BT840+IF(C841="重要关系4",E841,0))+IF(AND(C841="魅力",E841&lt;0),E841,0))))</f>
        <v>0</v>
      </c>
      <c r="BU841">
        <f t="shared" ref="BU841:BU904" si="331">MAX(0,MIN(BK841,IF(AND(H841=1,C841="重要关系5",LEFT(CH841,8)="建立新的重要关系"),CE841+E841,IF(BU840=0,0,BU840+IF(C841="重要关系5",E841,0))+IF(AND(C841="魅力",E841&lt;0),E841,0))))</f>
        <v>0</v>
      </c>
      <c r="BV841">
        <f t="shared" ref="BV841:BV904" si="332">MAX(0,MIN(BK841,IF(AND(H841=1,C841="重要关系6",LEFT(CH841,8)="建立新的重要关系"),CE841+E841,IF(BV840=0,0,BV840+IF(C841="重要关系6",E841,0))+IF(AND(C841="魅力",E841&lt;0),E841,0))))</f>
        <v>0</v>
      </c>
      <c r="BW841">
        <f t="shared" ref="BW841:BW904" si="333">MAX(0,MIN(BK841,IF(AND(H841=1,C841="重要关系7",LEFT(CH841,8)="建立新的重要关系"),CE841+E841,IF(BW840=0,0,BW840+IF(C841="重要关系7",E841,0))+IF(AND(C841="魅力",E841&lt;0),E841,0))))</f>
        <v>0</v>
      </c>
      <c r="CA841" t="str">
        <f>IF(642&gt;ROWS(DGArchive[模组]),"",IF(INDEX(DGArchive[模组],642)="","",INDEX(DGArchive[模组],642)))</f>
        <v/>
      </c>
      <c r="CB841" t="str">
        <f>IF(642&gt;ROWS(DGArchive[阶段]),"",IF(INDEX(DGArchive[阶段],642)="","",INDEX(DGArchive[阶段],642)))</f>
        <v/>
      </c>
      <c r="CC841" t="str">
        <f>IF(642&gt;ROWS(DGArchive[游戏内日期]),"",IF(INDEX(DGArchive[游戏内日期],642)="","",INDEX(DGArchive[游戏内日期],642)))</f>
        <v/>
      </c>
      <c r="CD841" t="str">
        <f>IF(642&gt;ROWS(DGArchive[目标]),"",IF(INDEX(DGArchive[目标],642)="","",INDEX(DGArchive[目标],642)))</f>
        <v/>
      </c>
      <c r="CE841" t="str">
        <f>IF(642&gt;ROWS(DGArchive[变更前]),"",IF(INDEX(DGArchive[变更前],642)="","",INDEX(DGArchive[变更前],642)))</f>
        <v/>
      </c>
      <c r="CF841" t="str">
        <f>IF(642&gt;ROWS(DGArchive[增减]),"",IF(INDEX(DGArchive[增减],642)="","",INDEX(DGArchive[增减],642)))</f>
        <v/>
      </c>
      <c r="CG841" t="str">
        <f>IF(642&gt;ROWS(DGArchive[变更后]),"",IF(INDEX(DGArchive[变更后],642)="","",INDEX(DGArchive[变更后],642)))</f>
        <v/>
      </c>
      <c r="CH841" t="str">
        <f>IF(642&gt;ROWS(DGArchive[事件／活动]),"",IF(INDEX(DGArchive[事件／活动],642)="","",INDEX(DGArchive[事件／活动],642)))</f>
        <v/>
      </c>
      <c r="CI841" t="str">
        <f>IF(642&gt;ROWS(DGArchive[记录编号]),"",IF(INDEX(DGArchive[记录编号],642)="","",INDEX(DGArchive[记录编号],642)))</f>
        <v/>
      </c>
      <c r="CL841">
        <f t="shared" si="314"/>
        <v>0</v>
      </c>
      <c r="CM841">
        <f>IF(AND(A841=$AO$5,B841=$AQ$3,H841=1),COUNTIFS($A$200:A841,$AO$5,$B$200:B841,$AQ$3,$H$200:H841,1),0)</f>
        <v>0</v>
      </c>
      <c r="CN841">
        <f>IF(CA841="",642,1001)</f>
        <v>642</v>
      </c>
      <c r="GA841">
        <f t="shared" ref="GA841:GA904" si="334">MAX(0,MIN(3,GA840+IF(C841="暴力进度",E841,0)))</f>
        <v>0</v>
      </c>
      <c r="GB841">
        <f t="shared" ref="GB841:GB904" si="335">MAX(0,MIN(3,GB840+IF(C841="无力进度",E841,0)))</f>
        <v>0</v>
      </c>
      <c r="GC841">
        <f>IF(AND(C841="事件记录",H841=1),COUNTIFS($C$200:C841,"事件记录",$H$200:H841,1),0)</f>
        <v>0</v>
      </c>
      <c r="GD841">
        <f t="shared" si="315"/>
        <v>0</v>
      </c>
      <c r="GH841">
        <f>IF(AND(H841=1,A841=$GA$10,B841=$GA$11),COUNTIFS($A$200:A841,$GA$10,$B$200:B841,$GA$11,$H$200:H841,1),0)</f>
        <v>0</v>
      </c>
    </row>
    <row r="842" spans="1:190">
      <c r="A842" t="str">
        <f t="shared" si="306"/>
        <v/>
      </c>
      <c r="B842" t="str">
        <f t="shared" si="307"/>
        <v/>
      </c>
      <c r="C842" t="str">
        <f t="shared" si="308"/>
        <v/>
      </c>
      <c r="D842" t="str">
        <f t="shared" si="309"/>
        <v/>
      </c>
      <c r="E842">
        <f t="shared" si="310"/>
        <v>0</v>
      </c>
      <c r="F842" t="str">
        <f t="shared" si="311"/>
        <v/>
      </c>
      <c r="G842">
        <f t="shared" si="312"/>
        <v>0</v>
      </c>
      <c r="H842">
        <f>IF(AND(G842=1,COUNTIFS($I$200:I842,I842,$G$200:G842,1)=1),1,0)</f>
        <v>0</v>
      </c>
      <c r="I842" t="str">
        <f t="shared" si="313"/>
        <v/>
      </c>
      <c r="BF842">
        <f t="shared" si="316"/>
        <v>0</v>
      </c>
      <c r="BG842">
        <f t="shared" si="317"/>
        <v>0</v>
      </c>
      <c r="BH842">
        <f t="shared" si="318"/>
        <v>0</v>
      </c>
      <c r="BI842">
        <f t="shared" si="319"/>
        <v>0</v>
      </c>
      <c r="BJ842">
        <f t="shared" si="320"/>
        <v>0</v>
      </c>
      <c r="BK842">
        <f t="shared" si="321"/>
        <v>0</v>
      </c>
      <c r="BL842">
        <f t="shared" si="322"/>
        <v>0</v>
      </c>
      <c r="BM842">
        <f t="shared" si="323"/>
        <v>0</v>
      </c>
      <c r="BN842">
        <f t="shared" si="324"/>
        <v>0</v>
      </c>
      <c r="BO842">
        <f t="shared" si="325"/>
        <v>0</v>
      </c>
      <c r="BP842">
        <f t="shared" si="326"/>
        <v>0</v>
      </c>
      <c r="BQ842">
        <f t="shared" si="327"/>
        <v>0</v>
      </c>
      <c r="BR842">
        <f t="shared" si="328"/>
        <v>0</v>
      </c>
      <c r="BS842">
        <f t="shared" si="329"/>
        <v>0</v>
      </c>
      <c r="BT842">
        <f t="shared" si="330"/>
        <v>0</v>
      </c>
      <c r="BU842">
        <f t="shared" si="331"/>
        <v>0</v>
      </c>
      <c r="BV842">
        <f t="shared" si="332"/>
        <v>0</v>
      </c>
      <c r="BW842">
        <f t="shared" si="333"/>
        <v>0</v>
      </c>
      <c r="CA842" t="str">
        <f>IF(643&gt;ROWS(DGArchive[模组]),"",IF(INDEX(DGArchive[模组],643)="","",INDEX(DGArchive[模组],643)))</f>
        <v/>
      </c>
      <c r="CB842" t="str">
        <f>IF(643&gt;ROWS(DGArchive[阶段]),"",IF(INDEX(DGArchive[阶段],643)="","",INDEX(DGArchive[阶段],643)))</f>
        <v/>
      </c>
      <c r="CC842" t="str">
        <f>IF(643&gt;ROWS(DGArchive[游戏内日期]),"",IF(INDEX(DGArchive[游戏内日期],643)="","",INDEX(DGArchive[游戏内日期],643)))</f>
        <v/>
      </c>
      <c r="CD842" t="str">
        <f>IF(643&gt;ROWS(DGArchive[目标]),"",IF(INDEX(DGArchive[目标],643)="","",INDEX(DGArchive[目标],643)))</f>
        <v/>
      </c>
      <c r="CE842" t="str">
        <f>IF(643&gt;ROWS(DGArchive[变更前]),"",IF(INDEX(DGArchive[变更前],643)="","",INDEX(DGArchive[变更前],643)))</f>
        <v/>
      </c>
      <c r="CF842" t="str">
        <f>IF(643&gt;ROWS(DGArchive[增减]),"",IF(INDEX(DGArchive[增减],643)="","",INDEX(DGArchive[增减],643)))</f>
        <v/>
      </c>
      <c r="CG842" t="str">
        <f>IF(643&gt;ROWS(DGArchive[变更后]),"",IF(INDEX(DGArchive[变更后],643)="","",INDEX(DGArchive[变更后],643)))</f>
        <v/>
      </c>
      <c r="CH842" t="str">
        <f>IF(643&gt;ROWS(DGArchive[事件／活动]),"",IF(INDEX(DGArchive[事件／活动],643)="","",INDEX(DGArchive[事件／活动],643)))</f>
        <v/>
      </c>
      <c r="CI842" t="str">
        <f>IF(643&gt;ROWS(DGArchive[记录编号]),"",IF(INDEX(DGArchive[记录编号],643)="","",INDEX(DGArchive[记录编号],643)))</f>
        <v/>
      </c>
      <c r="CL842">
        <f t="shared" si="314"/>
        <v>0</v>
      </c>
      <c r="CM842">
        <f>IF(AND(A842=$AO$5,B842=$AQ$3,H842=1),COUNTIFS($A$200:A842,$AO$5,$B$200:B842,$AQ$3,$H$200:H842,1),0)</f>
        <v>0</v>
      </c>
      <c r="CN842">
        <f>IF(CA842="",643,1001)</f>
        <v>643</v>
      </c>
      <c r="GA842">
        <f t="shared" si="334"/>
        <v>0</v>
      </c>
      <c r="GB842">
        <f t="shared" si="335"/>
        <v>0</v>
      </c>
      <c r="GC842">
        <f>IF(AND(C842="事件记录",H842=1),COUNTIFS($C$200:C842,"事件记录",$H$200:H842,1),0)</f>
        <v>0</v>
      </c>
      <c r="GD842">
        <f t="shared" si="315"/>
        <v>0</v>
      </c>
      <c r="GH842">
        <f>IF(AND(H842=1,A842=$GA$10,B842=$GA$11),COUNTIFS($A$200:A842,$GA$10,$B$200:B842,$GA$11,$H$200:H842,1),0)</f>
        <v>0</v>
      </c>
    </row>
    <row r="843" spans="1:190">
      <c r="A843" t="str">
        <f t="shared" si="306"/>
        <v/>
      </c>
      <c r="B843" t="str">
        <f t="shared" si="307"/>
        <v/>
      </c>
      <c r="C843" t="str">
        <f t="shared" si="308"/>
        <v/>
      </c>
      <c r="D843" t="str">
        <f t="shared" si="309"/>
        <v/>
      </c>
      <c r="E843">
        <f t="shared" si="310"/>
        <v>0</v>
      </c>
      <c r="F843" t="str">
        <f t="shared" si="311"/>
        <v/>
      </c>
      <c r="G843">
        <f t="shared" si="312"/>
        <v>0</v>
      </c>
      <c r="H843">
        <f>IF(AND(G843=1,COUNTIFS($I$200:I843,I843,$G$200:G843,1)=1),1,0)</f>
        <v>0</v>
      </c>
      <c r="I843" t="str">
        <f t="shared" si="313"/>
        <v/>
      </c>
      <c r="BF843">
        <f t="shared" si="316"/>
        <v>0</v>
      </c>
      <c r="BG843">
        <f t="shared" si="317"/>
        <v>0</v>
      </c>
      <c r="BH843">
        <f t="shared" si="318"/>
        <v>0</v>
      </c>
      <c r="BI843">
        <f t="shared" si="319"/>
        <v>0</v>
      </c>
      <c r="BJ843">
        <f t="shared" si="320"/>
        <v>0</v>
      </c>
      <c r="BK843">
        <f t="shared" si="321"/>
        <v>0</v>
      </c>
      <c r="BL843">
        <f t="shared" si="322"/>
        <v>0</v>
      </c>
      <c r="BM843">
        <f t="shared" si="323"/>
        <v>0</v>
      </c>
      <c r="BN843">
        <f t="shared" si="324"/>
        <v>0</v>
      </c>
      <c r="BO843">
        <f t="shared" si="325"/>
        <v>0</v>
      </c>
      <c r="BP843">
        <f t="shared" si="326"/>
        <v>0</v>
      </c>
      <c r="BQ843">
        <f t="shared" si="327"/>
        <v>0</v>
      </c>
      <c r="BR843">
        <f t="shared" si="328"/>
        <v>0</v>
      </c>
      <c r="BS843">
        <f t="shared" si="329"/>
        <v>0</v>
      </c>
      <c r="BT843">
        <f t="shared" si="330"/>
        <v>0</v>
      </c>
      <c r="BU843">
        <f t="shared" si="331"/>
        <v>0</v>
      </c>
      <c r="BV843">
        <f t="shared" si="332"/>
        <v>0</v>
      </c>
      <c r="BW843">
        <f t="shared" si="333"/>
        <v>0</v>
      </c>
      <c r="CA843" t="str">
        <f>IF(644&gt;ROWS(DGArchive[模组]),"",IF(INDEX(DGArchive[模组],644)="","",INDEX(DGArchive[模组],644)))</f>
        <v/>
      </c>
      <c r="CB843" t="str">
        <f>IF(644&gt;ROWS(DGArchive[阶段]),"",IF(INDEX(DGArchive[阶段],644)="","",INDEX(DGArchive[阶段],644)))</f>
        <v/>
      </c>
      <c r="CC843" t="str">
        <f>IF(644&gt;ROWS(DGArchive[游戏内日期]),"",IF(INDEX(DGArchive[游戏内日期],644)="","",INDEX(DGArchive[游戏内日期],644)))</f>
        <v/>
      </c>
      <c r="CD843" t="str">
        <f>IF(644&gt;ROWS(DGArchive[目标]),"",IF(INDEX(DGArchive[目标],644)="","",INDEX(DGArchive[目标],644)))</f>
        <v/>
      </c>
      <c r="CE843" t="str">
        <f>IF(644&gt;ROWS(DGArchive[变更前]),"",IF(INDEX(DGArchive[变更前],644)="","",INDEX(DGArchive[变更前],644)))</f>
        <v/>
      </c>
      <c r="CF843" t="str">
        <f>IF(644&gt;ROWS(DGArchive[增减]),"",IF(INDEX(DGArchive[增减],644)="","",INDEX(DGArchive[增减],644)))</f>
        <v/>
      </c>
      <c r="CG843" t="str">
        <f>IF(644&gt;ROWS(DGArchive[变更后]),"",IF(INDEX(DGArchive[变更后],644)="","",INDEX(DGArchive[变更后],644)))</f>
        <v/>
      </c>
      <c r="CH843" t="str">
        <f>IF(644&gt;ROWS(DGArchive[事件／活动]),"",IF(INDEX(DGArchive[事件／活动],644)="","",INDEX(DGArchive[事件／活动],644)))</f>
        <v/>
      </c>
      <c r="CI843" t="str">
        <f>IF(644&gt;ROWS(DGArchive[记录编号]),"",IF(INDEX(DGArchive[记录编号],644)="","",INDEX(DGArchive[记录编号],644)))</f>
        <v/>
      </c>
      <c r="CL843">
        <f t="shared" si="314"/>
        <v>0</v>
      </c>
      <c r="CM843">
        <f>IF(AND(A843=$AO$5,B843=$AQ$3,H843=1),COUNTIFS($A$200:A843,$AO$5,$B$200:B843,$AQ$3,$H$200:H843,1),0)</f>
        <v>0</v>
      </c>
      <c r="CN843">
        <f>IF(CA843="",644,1001)</f>
        <v>644</v>
      </c>
      <c r="GA843">
        <f t="shared" si="334"/>
        <v>0</v>
      </c>
      <c r="GB843">
        <f t="shared" si="335"/>
        <v>0</v>
      </c>
      <c r="GC843">
        <f>IF(AND(C843="事件记录",H843=1),COUNTIFS($C$200:C843,"事件记录",$H$200:H843,1),0)</f>
        <v>0</v>
      </c>
      <c r="GD843">
        <f t="shared" si="315"/>
        <v>0</v>
      </c>
      <c r="GH843">
        <f>IF(AND(H843=1,A843=$GA$10,B843=$GA$11),COUNTIFS($A$200:A843,$GA$10,$B$200:B843,$GA$11,$H$200:H843,1),0)</f>
        <v>0</v>
      </c>
    </row>
    <row r="844" spans="1:190">
      <c r="A844" t="str">
        <f t="shared" si="306"/>
        <v/>
      </c>
      <c r="B844" t="str">
        <f t="shared" si="307"/>
        <v/>
      </c>
      <c r="C844" t="str">
        <f t="shared" si="308"/>
        <v/>
      </c>
      <c r="D844" t="str">
        <f t="shared" si="309"/>
        <v/>
      </c>
      <c r="E844">
        <f t="shared" si="310"/>
        <v>0</v>
      </c>
      <c r="F844" t="str">
        <f t="shared" si="311"/>
        <v/>
      </c>
      <c r="G844">
        <f t="shared" si="312"/>
        <v>0</v>
      </c>
      <c r="H844">
        <f>IF(AND(G844=1,COUNTIFS($I$200:I844,I844,$G$200:G844,1)=1),1,0)</f>
        <v>0</v>
      </c>
      <c r="I844" t="str">
        <f t="shared" si="313"/>
        <v/>
      </c>
      <c r="BF844">
        <f t="shared" si="316"/>
        <v>0</v>
      </c>
      <c r="BG844">
        <f t="shared" si="317"/>
        <v>0</v>
      </c>
      <c r="BH844">
        <f t="shared" si="318"/>
        <v>0</v>
      </c>
      <c r="BI844">
        <f t="shared" si="319"/>
        <v>0</v>
      </c>
      <c r="BJ844">
        <f t="shared" si="320"/>
        <v>0</v>
      </c>
      <c r="BK844">
        <f t="shared" si="321"/>
        <v>0</v>
      </c>
      <c r="BL844">
        <f t="shared" si="322"/>
        <v>0</v>
      </c>
      <c r="BM844">
        <f t="shared" si="323"/>
        <v>0</v>
      </c>
      <c r="BN844">
        <f t="shared" si="324"/>
        <v>0</v>
      </c>
      <c r="BO844">
        <f t="shared" si="325"/>
        <v>0</v>
      </c>
      <c r="BP844">
        <f t="shared" si="326"/>
        <v>0</v>
      </c>
      <c r="BQ844">
        <f t="shared" si="327"/>
        <v>0</v>
      </c>
      <c r="BR844">
        <f t="shared" si="328"/>
        <v>0</v>
      </c>
      <c r="BS844">
        <f t="shared" si="329"/>
        <v>0</v>
      </c>
      <c r="BT844">
        <f t="shared" si="330"/>
        <v>0</v>
      </c>
      <c r="BU844">
        <f t="shared" si="331"/>
        <v>0</v>
      </c>
      <c r="BV844">
        <f t="shared" si="332"/>
        <v>0</v>
      </c>
      <c r="BW844">
        <f t="shared" si="333"/>
        <v>0</v>
      </c>
      <c r="CA844" t="str">
        <f>IF(645&gt;ROWS(DGArchive[模组]),"",IF(INDEX(DGArchive[模组],645)="","",INDEX(DGArchive[模组],645)))</f>
        <v/>
      </c>
      <c r="CB844" t="str">
        <f>IF(645&gt;ROWS(DGArchive[阶段]),"",IF(INDEX(DGArchive[阶段],645)="","",INDEX(DGArchive[阶段],645)))</f>
        <v/>
      </c>
      <c r="CC844" t="str">
        <f>IF(645&gt;ROWS(DGArchive[游戏内日期]),"",IF(INDEX(DGArchive[游戏内日期],645)="","",INDEX(DGArchive[游戏内日期],645)))</f>
        <v/>
      </c>
      <c r="CD844" t="str">
        <f>IF(645&gt;ROWS(DGArchive[目标]),"",IF(INDEX(DGArchive[目标],645)="","",INDEX(DGArchive[目标],645)))</f>
        <v/>
      </c>
      <c r="CE844" t="str">
        <f>IF(645&gt;ROWS(DGArchive[变更前]),"",IF(INDEX(DGArchive[变更前],645)="","",INDEX(DGArchive[变更前],645)))</f>
        <v/>
      </c>
      <c r="CF844" t="str">
        <f>IF(645&gt;ROWS(DGArchive[增减]),"",IF(INDEX(DGArchive[增减],645)="","",INDEX(DGArchive[增减],645)))</f>
        <v/>
      </c>
      <c r="CG844" t="str">
        <f>IF(645&gt;ROWS(DGArchive[变更后]),"",IF(INDEX(DGArchive[变更后],645)="","",INDEX(DGArchive[变更后],645)))</f>
        <v/>
      </c>
      <c r="CH844" t="str">
        <f>IF(645&gt;ROWS(DGArchive[事件／活动]),"",IF(INDEX(DGArchive[事件／活动],645)="","",INDEX(DGArchive[事件／活动],645)))</f>
        <v/>
      </c>
      <c r="CI844" t="str">
        <f>IF(645&gt;ROWS(DGArchive[记录编号]),"",IF(INDEX(DGArchive[记录编号],645)="","",INDEX(DGArchive[记录编号],645)))</f>
        <v/>
      </c>
      <c r="CL844">
        <f t="shared" si="314"/>
        <v>0</v>
      </c>
      <c r="CM844">
        <f>IF(AND(A844=$AO$5,B844=$AQ$3,H844=1),COUNTIFS($A$200:A844,$AO$5,$B$200:B844,$AQ$3,$H$200:H844,1),0)</f>
        <v>0</v>
      </c>
      <c r="CN844">
        <f>IF(CA844="",645,1001)</f>
        <v>645</v>
      </c>
      <c r="GA844">
        <f t="shared" si="334"/>
        <v>0</v>
      </c>
      <c r="GB844">
        <f t="shared" si="335"/>
        <v>0</v>
      </c>
      <c r="GC844">
        <f>IF(AND(C844="事件记录",H844=1),COUNTIFS($C$200:C844,"事件记录",$H$200:H844,1),0)</f>
        <v>0</v>
      </c>
      <c r="GD844">
        <f t="shared" si="315"/>
        <v>0</v>
      </c>
      <c r="GH844">
        <f>IF(AND(H844=1,A844=$GA$10,B844=$GA$11),COUNTIFS($A$200:A844,$GA$10,$B$200:B844,$GA$11,$H$200:H844,1),0)</f>
        <v>0</v>
      </c>
    </row>
    <row r="845" spans="1:190">
      <c r="A845" t="str">
        <f t="shared" si="306"/>
        <v/>
      </c>
      <c r="B845" t="str">
        <f t="shared" si="307"/>
        <v/>
      </c>
      <c r="C845" t="str">
        <f t="shared" si="308"/>
        <v/>
      </c>
      <c r="D845" t="str">
        <f t="shared" si="309"/>
        <v/>
      </c>
      <c r="E845">
        <f t="shared" si="310"/>
        <v>0</v>
      </c>
      <c r="F845" t="str">
        <f t="shared" si="311"/>
        <v/>
      </c>
      <c r="G845">
        <f t="shared" si="312"/>
        <v>0</v>
      </c>
      <c r="H845">
        <f>IF(AND(G845=1,COUNTIFS($I$200:I845,I845,$G$200:G845,1)=1),1,0)</f>
        <v>0</v>
      </c>
      <c r="I845" t="str">
        <f t="shared" si="313"/>
        <v/>
      </c>
      <c r="BF845">
        <f t="shared" si="316"/>
        <v>0</v>
      </c>
      <c r="BG845">
        <f t="shared" si="317"/>
        <v>0</v>
      </c>
      <c r="BH845">
        <f t="shared" si="318"/>
        <v>0</v>
      </c>
      <c r="BI845">
        <f t="shared" si="319"/>
        <v>0</v>
      </c>
      <c r="BJ845">
        <f t="shared" si="320"/>
        <v>0</v>
      </c>
      <c r="BK845">
        <f t="shared" si="321"/>
        <v>0</v>
      </c>
      <c r="BL845">
        <f t="shared" si="322"/>
        <v>0</v>
      </c>
      <c r="BM845">
        <f t="shared" si="323"/>
        <v>0</v>
      </c>
      <c r="BN845">
        <f t="shared" si="324"/>
        <v>0</v>
      </c>
      <c r="BO845">
        <f t="shared" si="325"/>
        <v>0</v>
      </c>
      <c r="BP845">
        <f t="shared" si="326"/>
        <v>0</v>
      </c>
      <c r="BQ845">
        <f t="shared" si="327"/>
        <v>0</v>
      </c>
      <c r="BR845">
        <f t="shared" si="328"/>
        <v>0</v>
      </c>
      <c r="BS845">
        <f t="shared" si="329"/>
        <v>0</v>
      </c>
      <c r="BT845">
        <f t="shared" si="330"/>
        <v>0</v>
      </c>
      <c r="BU845">
        <f t="shared" si="331"/>
        <v>0</v>
      </c>
      <c r="BV845">
        <f t="shared" si="332"/>
        <v>0</v>
      </c>
      <c r="BW845">
        <f t="shared" si="333"/>
        <v>0</v>
      </c>
      <c r="CA845" t="str">
        <f>IF(646&gt;ROWS(DGArchive[模组]),"",IF(INDEX(DGArchive[模组],646)="","",INDEX(DGArchive[模组],646)))</f>
        <v/>
      </c>
      <c r="CB845" t="str">
        <f>IF(646&gt;ROWS(DGArchive[阶段]),"",IF(INDEX(DGArchive[阶段],646)="","",INDEX(DGArchive[阶段],646)))</f>
        <v/>
      </c>
      <c r="CC845" t="str">
        <f>IF(646&gt;ROWS(DGArchive[游戏内日期]),"",IF(INDEX(DGArchive[游戏内日期],646)="","",INDEX(DGArchive[游戏内日期],646)))</f>
        <v/>
      </c>
      <c r="CD845" t="str">
        <f>IF(646&gt;ROWS(DGArchive[目标]),"",IF(INDEX(DGArchive[目标],646)="","",INDEX(DGArchive[目标],646)))</f>
        <v/>
      </c>
      <c r="CE845" t="str">
        <f>IF(646&gt;ROWS(DGArchive[变更前]),"",IF(INDEX(DGArchive[变更前],646)="","",INDEX(DGArchive[变更前],646)))</f>
        <v/>
      </c>
      <c r="CF845" t="str">
        <f>IF(646&gt;ROWS(DGArchive[增减]),"",IF(INDEX(DGArchive[增减],646)="","",INDEX(DGArchive[增减],646)))</f>
        <v/>
      </c>
      <c r="CG845" t="str">
        <f>IF(646&gt;ROWS(DGArchive[变更后]),"",IF(INDEX(DGArchive[变更后],646)="","",INDEX(DGArchive[变更后],646)))</f>
        <v/>
      </c>
      <c r="CH845" t="str">
        <f>IF(646&gt;ROWS(DGArchive[事件／活动]),"",IF(INDEX(DGArchive[事件／活动],646)="","",INDEX(DGArchive[事件／活动],646)))</f>
        <v/>
      </c>
      <c r="CI845" t="str">
        <f>IF(646&gt;ROWS(DGArchive[记录编号]),"",IF(INDEX(DGArchive[记录编号],646)="","",INDEX(DGArchive[记录编号],646)))</f>
        <v/>
      </c>
      <c r="CL845">
        <f t="shared" si="314"/>
        <v>0</v>
      </c>
      <c r="CM845">
        <f>IF(AND(A845=$AO$5,B845=$AQ$3,H845=1),COUNTIFS($A$200:A845,$AO$5,$B$200:B845,$AQ$3,$H$200:H845,1),0)</f>
        <v>0</v>
      </c>
      <c r="CN845">
        <f>IF(CA845="",646,1001)</f>
        <v>646</v>
      </c>
      <c r="GA845">
        <f t="shared" si="334"/>
        <v>0</v>
      </c>
      <c r="GB845">
        <f t="shared" si="335"/>
        <v>0</v>
      </c>
      <c r="GC845">
        <f>IF(AND(C845="事件记录",H845=1),COUNTIFS($C$200:C845,"事件记录",$H$200:H845,1),0)</f>
        <v>0</v>
      </c>
      <c r="GD845">
        <f t="shared" si="315"/>
        <v>0</v>
      </c>
      <c r="GH845">
        <f>IF(AND(H845=1,A845=$GA$10,B845=$GA$11),COUNTIFS($A$200:A845,$GA$10,$B$200:B845,$GA$11,$H$200:H845,1),0)</f>
        <v>0</v>
      </c>
    </row>
    <row r="846" spans="1:190">
      <c r="A846" t="str">
        <f t="shared" si="306"/>
        <v/>
      </c>
      <c r="B846" t="str">
        <f t="shared" si="307"/>
        <v/>
      </c>
      <c r="C846" t="str">
        <f t="shared" si="308"/>
        <v/>
      </c>
      <c r="D846" t="str">
        <f t="shared" si="309"/>
        <v/>
      </c>
      <c r="E846">
        <f t="shared" si="310"/>
        <v>0</v>
      </c>
      <c r="F846" t="str">
        <f t="shared" si="311"/>
        <v/>
      </c>
      <c r="G846">
        <f t="shared" si="312"/>
        <v>0</v>
      </c>
      <c r="H846">
        <f>IF(AND(G846=1,COUNTIFS($I$200:I846,I846,$G$200:G846,1)=1),1,0)</f>
        <v>0</v>
      </c>
      <c r="I846" t="str">
        <f t="shared" si="313"/>
        <v/>
      </c>
      <c r="BF846">
        <f t="shared" si="316"/>
        <v>0</v>
      </c>
      <c r="BG846">
        <f t="shared" si="317"/>
        <v>0</v>
      </c>
      <c r="BH846">
        <f t="shared" si="318"/>
        <v>0</v>
      </c>
      <c r="BI846">
        <f t="shared" si="319"/>
        <v>0</v>
      </c>
      <c r="BJ846">
        <f t="shared" si="320"/>
        <v>0</v>
      </c>
      <c r="BK846">
        <f t="shared" si="321"/>
        <v>0</v>
      </c>
      <c r="BL846">
        <f t="shared" si="322"/>
        <v>0</v>
      </c>
      <c r="BM846">
        <f t="shared" si="323"/>
        <v>0</v>
      </c>
      <c r="BN846">
        <f t="shared" si="324"/>
        <v>0</v>
      </c>
      <c r="BO846">
        <f t="shared" si="325"/>
        <v>0</v>
      </c>
      <c r="BP846">
        <f t="shared" si="326"/>
        <v>0</v>
      </c>
      <c r="BQ846">
        <f t="shared" si="327"/>
        <v>0</v>
      </c>
      <c r="BR846">
        <f t="shared" si="328"/>
        <v>0</v>
      </c>
      <c r="BS846">
        <f t="shared" si="329"/>
        <v>0</v>
      </c>
      <c r="BT846">
        <f t="shared" si="330"/>
        <v>0</v>
      </c>
      <c r="BU846">
        <f t="shared" si="331"/>
        <v>0</v>
      </c>
      <c r="BV846">
        <f t="shared" si="332"/>
        <v>0</v>
      </c>
      <c r="BW846">
        <f t="shared" si="333"/>
        <v>0</v>
      </c>
      <c r="CA846" t="str">
        <f>IF(647&gt;ROWS(DGArchive[模组]),"",IF(INDEX(DGArchive[模组],647)="","",INDEX(DGArchive[模组],647)))</f>
        <v/>
      </c>
      <c r="CB846" t="str">
        <f>IF(647&gt;ROWS(DGArchive[阶段]),"",IF(INDEX(DGArchive[阶段],647)="","",INDEX(DGArchive[阶段],647)))</f>
        <v/>
      </c>
      <c r="CC846" t="str">
        <f>IF(647&gt;ROWS(DGArchive[游戏内日期]),"",IF(INDEX(DGArchive[游戏内日期],647)="","",INDEX(DGArchive[游戏内日期],647)))</f>
        <v/>
      </c>
      <c r="CD846" t="str">
        <f>IF(647&gt;ROWS(DGArchive[目标]),"",IF(INDEX(DGArchive[目标],647)="","",INDEX(DGArchive[目标],647)))</f>
        <v/>
      </c>
      <c r="CE846" t="str">
        <f>IF(647&gt;ROWS(DGArchive[变更前]),"",IF(INDEX(DGArchive[变更前],647)="","",INDEX(DGArchive[变更前],647)))</f>
        <v/>
      </c>
      <c r="CF846" t="str">
        <f>IF(647&gt;ROWS(DGArchive[增减]),"",IF(INDEX(DGArchive[增减],647)="","",INDEX(DGArchive[增减],647)))</f>
        <v/>
      </c>
      <c r="CG846" t="str">
        <f>IF(647&gt;ROWS(DGArchive[变更后]),"",IF(INDEX(DGArchive[变更后],647)="","",INDEX(DGArchive[变更后],647)))</f>
        <v/>
      </c>
      <c r="CH846" t="str">
        <f>IF(647&gt;ROWS(DGArchive[事件／活动]),"",IF(INDEX(DGArchive[事件／活动],647)="","",INDEX(DGArchive[事件／活动],647)))</f>
        <v/>
      </c>
      <c r="CI846" t="str">
        <f>IF(647&gt;ROWS(DGArchive[记录编号]),"",IF(INDEX(DGArchive[记录编号],647)="","",INDEX(DGArchive[记录编号],647)))</f>
        <v/>
      </c>
      <c r="CL846">
        <f t="shared" si="314"/>
        <v>0</v>
      </c>
      <c r="CM846">
        <f>IF(AND(A846=$AO$5,B846=$AQ$3,H846=1),COUNTIFS($A$200:A846,$AO$5,$B$200:B846,$AQ$3,$H$200:H846,1),0)</f>
        <v>0</v>
      </c>
      <c r="CN846">
        <f>IF(CA846="",647,1001)</f>
        <v>647</v>
      </c>
      <c r="GA846">
        <f t="shared" si="334"/>
        <v>0</v>
      </c>
      <c r="GB846">
        <f t="shared" si="335"/>
        <v>0</v>
      </c>
      <c r="GC846">
        <f>IF(AND(C846="事件记录",H846=1),COUNTIFS($C$200:C846,"事件记录",$H$200:H846,1),0)</f>
        <v>0</v>
      </c>
      <c r="GD846">
        <f t="shared" si="315"/>
        <v>0</v>
      </c>
      <c r="GH846">
        <f>IF(AND(H846=1,A846=$GA$10,B846=$GA$11),COUNTIFS($A$200:A846,$GA$10,$B$200:B846,$GA$11,$H$200:H846,1),0)</f>
        <v>0</v>
      </c>
    </row>
    <row r="847" spans="1:190">
      <c r="A847" t="str">
        <f t="shared" si="306"/>
        <v/>
      </c>
      <c r="B847" t="str">
        <f t="shared" si="307"/>
        <v/>
      </c>
      <c r="C847" t="str">
        <f t="shared" si="308"/>
        <v/>
      </c>
      <c r="D847" t="str">
        <f t="shared" si="309"/>
        <v/>
      </c>
      <c r="E847">
        <f t="shared" si="310"/>
        <v>0</v>
      </c>
      <c r="F847" t="str">
        <f t="shared" si="311"/>
        <v/>
      </c>
      <c r="G847">
        <f t="shared" si="312"/>
        <v>0</v>
      </c>
      <c r="H847">
        <f>IF(AND(G847=1,COUNTIFS($I$200:I847,I847,$G$200:G847,1)=1),1,0)</f>
        <v>0</v>
      </c>
      <c r="I847" t="str">
        <f t="shared" si="313"/>
        <v/>
      </c>
      <c r="BF847">
        <f t="shared" si="316"/>
        <v>0</v>
      </c>
      <c r="BG847">
        <f t="shared" si="317"/>
        <v>0</v>
      </c>
      <c r="BH847">
        <f t="shared" si="318"/>
        <v>0</v>
      </c>
      <c r="BI847">
        <f t="shared" si="319"/>
        <v>0</v>
      </c>
      <c r="BJ847">
        <f t="shared" si="320"/>
        <v>0</v>
      </c>
      <c r="BK847">
        <f t="shared" si="321"/>
        <v>0</v>
      </c>
      <c r="BL847">
        <f t="shared" si="322"/>
        <v>0</v>
      </c>
      <c r="BM847">
        <f t="shared" si="323"/>
        <v>0</v>
      </c>
      <c r="BN847">
        <f t="shared" si="324"/>
        <v>0</v>
      </c>
      <c r="BO847">
        <f t="shared" si="325"/>
        <v>0</v>
      </c>
      <c r="BP847">
        <f t="shared" si="326"/>
        <v>0</v>
      </c>
      <c r="BQ847">
        <f t="shared" si="327"/>
        <v>0</v>
      </c>
      <c r="BR847">
        <f t="shared" si="328"/>
        <v>0</v>
      </c>
      <c r="BS847">
        <f t="shared" si="329"/>
        <v>0</v>
      </c>
      <c r="BT847">
        <f t="shared" si="330"/>
        <v>0</v>
      </c>
      <c r="BU847">
        <f t="shared" si="331"/>
        <v>0</v>
      </c>
      <c r="BV847">
        <f t="shared" si="332"/>
        <v>0</v>
      </c>
      <c r="BW847">
        <f t="shared" si="333"/>
        <v>0</v>
      </c>
      <c r="CA847" t="str">
        <f>IF(648&gt;ROWS(DGArchive[模组]),"",IF(INDEX(DGArchive[模组],648)="","",INDEX(DGArchive[模组],648)))</f>
        <v/>
      </c>
      <c r="CB847" t="str">
        <f>IF(648&gt;ROWS(DGArchive[阶段]),"",IF(INDEX(DGArchive[阶段],648)="","",INDEX(DGArchive[阶段],648)))</f>
        <v/>
      </c>
      <c r="CC847" t="str">
        <f>IF(648&gt;ROWS(DGArchive[游戏内日期]),"",IF(INDEX(DGArchive[游戏内日期],648)="","",INDEX(DGArchive[游戏内日期],648)))</f>
        <v/>
      </c>
      <c r="CD847" t="str">
        <f>IF(648&gt;ROWS(DGArchive[目标]),"",IF(INDEX(DGArchive[目标],648)="","",INDEX(DGArchive[目标],648)))</f>
        <v/>
      </c>
      <c r="CE847" t="str">
        <f>IF(648&gt;ROWS(DGArchive[变更前]),"",IF(INDEX(DGArchive[变更前],648)="","",INDEX(DGArchive[变更前],648)))</f>
        <v/>
      </c>
      <c r="CF847" t="str">
        <f>IF(648&gt;ROWS(DGArchive[增减]),"",IF(INDEX(DGArchive[增减],648)="","",INDEX(DGArchive[增减],648)))</f>
        <v/>
      </c>
      <c r="CG847" t="str">
        <f>IF(648&gt;ROWS(DGArchive[变更后]),"",IF(INDEX(DGArchive[变更后],648)="","",INDEX(DGArchive[变更后],648)))</f>
        <v/>
      </c>
      <c r="CH847" t="str">
        <f>IF(648&gt;ROWS(DGArchive[事件／活动]),"",IF(INDEX(DGArchive[事件／活动],648)="","",INDEX(DGArchive[事件／活动],648)))</f>
        <v/>
      </c>
      <c r="CI847" t="str">
        <f>IF(648&gt;ROWS(DGArchive[记录编号]),"",IF(INDEX(DGArchive[记录编号],648)="","",INDEX(DGArchive[记录编号],648)))</f>
        <v/>
      </c>
      <c r="CL847">
        <f t="shared" si="314"/>
        <v>0</v>
      </c>
      <c r="CM847">
        <f>IF(AND(A847=$AO$5,B847=$AQ$3,H847=1),COUNTIFS($A$200:A847,$AO$5,$B$200:B847,$AQ$3,$H$200:H847,1),0)</f>
        <v>0</v>
      </c>
      <c r="CN847">
        <f>IF(CA847="",648,1001)</f>
        <v>648</v>
      </c>
      <c r="GA847">
        <f t="shared" si="334"/>
        <v>0</v>
      </c>
      <c r="GB847">
        <f t="shared" si="335"/>
        <v>0</v>
      </c>
      <c r="GC847">
        <f>IF(AND(C847="事件记录",H847=1),COUNTIFS($C$200:C847,"事件记录",$H$200:H847,1),0)</f>
        <v>0</v>
      </c>
      <c r="GD847">
        <f t="shared" si="315"/>
        <v>0</v>
      </c>
      <c r="GH847">
        <f>IF(AND(H847=1,A847=$GA$10,B847=$GA$11),COUNTIFS($A$200:A847,$GA$10,$B$200:B847,$GA$11,$H$200:H847,1),0)</f>
        <v>0</v>
      </c>
    </row>
    <row r="848" spans="1:190">
      <c r="A848" t="str">
        <f t="shared" si="306"/>
        <v/>
      </c>
      <c r="B848" t="str">
        <f t="shared" si="307"/>
        <v/>
      </c>
      <c r="C848" t="str">
        <f t="shared" si="308"/>
        <v/>
      </c>
      <c r="D848" t="str">
        <f t="shared" si="309"/>
        <v/>
      </c>
      <c r="E848">
        <f t="shared" si="310"/>
        <v>0</v>
      </c>
      <c r="F848" t="str">
        <f t="shared" si="311"/>
        <v/>
      </c>
      <c r="G848">
        <f t="shared" si="312"/>
        <v>0</v>
      </c>
      <c r="H848">
        <f>IF(AND(G848=1,COUNTIFS($I$200:I848,I848,$G$200:G848,1)=1),1,0)</f>
        <v>0</v>
      </c>
      <c r="I848" t="str">
        <f t="shared" si="313"/>
        <v/>
      </c>
      <c r="BF848">
        <f t="shared" si="316"/>
        <v>0</v>
      </c>
      <c r="BG848">
        <f t="shared" si="317"/>
        <v>0</v>
      </c>
      <c r="BH848">
        <f t="shared" si="318"/>
        <v>0</v>
      </c>
      <c r="BI848">
        <f t="shared" si="319"/>
        <v>0</v>
      </c>
      <c r="BJ848">
        <f t="shared" si="320"/>
        <v>0</v>
      </c>
      <c r="BK848">
        <f t="shared" si="321"/>
        <v>0</v>
      </c>
      <c r="BL848">
        <f t="shared" si="322"/>
        <v>0</v>
      </c>
      <c r="BM848">
        <f t="shared" si="323"/>
        <v>0</v>
      </c>
      <c r="BN848">
        <f t="shared" si="324"/>
        <v>0</v>
      </c>
      <c r="BO848">
        <f t="shared" si="325"/>
        <v>0</v>
      </c>
      <c r="BP848">
        <f t="shared" si="326"/>
        <v>0</v>
      </c>
      <c r="BQ848">
        <f t="shared" si="327"/>
        <v>0</v>
      </c>
      <c r="BR848">
        <f t="shared" si="328"/>
        <v>0</v>
      </c>
      <c r="BS848">
        <f t="shared" si="329"/>
        <v>0</v>
      </c>
      <c r="BT848">
        <f t="shared" si="330"/>
        <v>0</v>
      </c>
      <c r="BU848">
        <f t="shared" si="331"/>
        <v>0</v>
      </c>
      <c r="BV848">
        <f t="shared" si="332"/>
        <v>0</v>
      </c>
      <c r="BW848">
        <f t="shared" si="333"/>
        <v>0</v>
      </c>
      <c r="CA848" t="str">
        <f>IF(649&gt;ROWS(DGArchive[模组]),"",IF(INDEX(DGArchive[模组],649)="","",INDEX(DGArchive[模组],649)))</f>
        <v/>
      </c>
      <c r="CB848" t="str">
        <f>IF(649&gt;ROWS(DGArchive[阶段]),"",IF(INDEX(DGArchive[阶段],649)="","",INDEX(DGArchive[阶段],649)))</f>
        <v/>
      </c>
      <c r="CC848" t="str">
        <f>IF(649&gt;ROWS(DGArchive[游戏内日期]),"",IF(INDEX(DGArchive[游戏内日期],649)="","",INDEX(DGArchive[游戏内日期],649)))</f>
        <v/>
      </c>
      <c r="CD848" t="str">
        <f>IF(649&gt;ROWS(DGArchive[目标]),"",IF(INDEX(DGArchive[目标],649)="","",INDEX(DGArchive[目标],649)))</f>
        <v/>
      </c>
      <c r="CE848" t="str">
        <f>IF(649&gt;ROWS(DGArchive[变更前]),"",IF(INDEX(DGArchive[变更前],649)="","",INDEX(DGArchive[变更前],649)))</f>
        <v/>
      </c>
      <c r="CF848" t="str">
        <f>IF(649&gt;ROWS(DGArchive[增减]),"",IF(INDEX(DGArchive[增减],649)="","",INDEX(DGArchive[增减],649)))</f>
        <v/>
      </c>
      <c r="CG848" t="str">
        <f>IF(649&gt;ROWS(DGArchive[变更后]),"",IF(INDEX(DGArchive[变更后],649)="","",INDEX(DGArchive[变更后],649)))</f>
        <v/>
      </c>
      <c r="CH848" t="str">
        <f>IF(649&gt;ROWS(DGArchive[事件／活动]),"",IF(INDEX(DGArchive[事件／活动],649)="","",INDEX(DGArchive[事件／活动],649)))</f>
        <v/>
      </c>
      <c r="CI848" t="str">
        <f>IF(649&gt;ROWS(DGArchive[记录编号]),"",IF(INDEX(DGArchive[记录编号],649)="","",INDEX(DGArchive[记录编号],649)))</f>
        <v/>
      </c>
      <c r="CL848">
        <f t="shared" si="314"/>
        <v>0</v>
      </c>
      <c r="CM848">
        <f>IF(AND(A848=$AO$5,B848=$AQ$3,H848=1),COUNTIFS($A$200:A848,$AO$5,$B$200:B848,$AQ$3,$H$200:H848,1),0)</f>
        <v>0</v>
      </c>
      <c r="CN848">
        <f>IF(CA848="",649,1001)</f>
        <v>649</v>
      </c>
      <c r="GA848">
        <f t="shared" si="334"/>
        <v>0</v>
      </c>
      <c r="GB848">
        <f t="shared" si="335"/>
        <v>0</v>
      </c>
      <c r="GC848">
        <f>IF(AND(C848="事件记录",H848=1),COUNTIFS($C$200:C848,"事件记录",$H$200:H848,1),0)</f>
        <v>0</v>
      </c>
      <c r="GD848">
        <f t="shared" si="315"/>
        <v>0</v>
      </c>
      <c r="GH848">
        <f>IF(AND(H848=1,A848=$GA$10,B848=$GA$11),COUNTIFS($A$200:A848,$GA$10,$B$200:B848,$GA$11,$H$200:H848,1),0)</f>
        <v>0</v>
      </c>
    </row>
    <row r="849" spans="1:190">
      <c r="A849" t="str">
        <f t="shared" si="306"/>
        <v/>
      </c>
      <c r="B849" t="str">
        <f t="shared" si="307"/>
        <v/>
      </c>
      <c r="C849" t="str">
        <f t="shared" si="308"/>
        <v/>
      </c>
      <c r="D849" t="str">
        <f t="shared" si="309"/>
        <v/>
      </c>
      <c r="E849">
        <f t="shared" si="310"/>
        <v>0</v>
      </c>
      <c r="F849" t="str">
        <f t="shared" si="311"/>
        <v/>
      </c>
      <c r="G849">
        <f t="shared" si="312"/>
        <v>0</v>
      </c>
      <c r="H849">
        <f>IF(AND(G849=1,COUNTIFS($I$200:I849,I849,$G$200:G849,1)=1),1,0)</f>
        <v>0</v>
      </c>
      <c r="I849" t="str">
        <f t="shared" si="313"/>
        <v/>
      </c>
      <c r="BF849">
        <f t="shared" si="316"/>
        <v>0</v>
      </c>
      <c r="BG849">
        <f t="shared" si="317"/>
        <v>0</v>
      </c>
      <c r="BH849">
        <f t="shared" si="318"/>
        <v>0</v>
      </c>
      <c r="BI849">
        <f t="shared" si="319"/>
        <v>0</v>
      </c>
      <c r="BJ849">
        <f t="shared" si="320"/>
        <v>0</v>
      </c>
      <c r="BK849">
        <f t="shared" si="321"/>
        <v>0</v>
      </c>
      <c r="BL849">
        <f t="shared" si="322"/>
        <v>0</v>
      </c>
      <c r="BM849">
        <f t="shared" si="323"/>
        <v>0</v>
      </c>
      <c r="BN849">
        <f t="shared" si="324"/>
        <v>0</v>
      </c>
      <c r="BO849">
        <f t="shared" si="325"/>
        <v>0</v>
      </c>
      <c r="BP849">
        <f t="shared" si="326"/>
        <v>0</v>
      </c>
      <c r="BQ849">
        <f t="shared" si="327"/>
        <v>0</v>
      </c>
      <c r="BR849">
        <f t="shared" si="328"/>
        <v>0</v>
      </c>
      <c r="BS849">
        <f t="shared" si="329"/>
        <v>0</v>
      </c>
      <c r="BT849">
        <f t="shared" si="330"/>
        <v>0</v>
      </c>
      <c r="BU849">
        <f t="shared" si="331"/>
        <v>0</v>
      </c>
      <c r="BV849">
        <f t="shared" si="332"/>
        <v>0</v>
      </c>
      <c r="BW849">
        <f t="shared" si="333"/>
        <v>0</v>
      </c>
      <c r="CA849" t="str">
        <f>IF(650&gt;ROWS(DGArchive[模组]),"",IF(INDEX(DGArchive[模组],650)="","",INDEX(DGArchive[模组],650)))</f>
        <v/>
      </c>
      <c r="CB849" t="str">
        <f>IF(650&gt;ROWS(DGArchive[阶段]),"",IF(INDEX(DGArchive[阶段],650)="","",INDEX(DGArchive[阶段],650)))</f>
        <v/>
      </c>
      <c r="CC849" t="str">
        <f>IF(650&gt;ROWS(DGArchive[游戏内日期]),"",IF(INDEX(DGArchive[游戏内日期],650)="","",INDEX(DGArchive[游戏内日期],650)))</f>
        <v/>
      </c>
      <c r="CD849" t="str">
        <f>IF(650&gt;ROWS(DGArchive[目标]),"",IF(INDEX(DGArchive[目标],650)="","",INDEX(DGArchive[目标],650)))</f>
        <v/>
      </c>
      <c r="CE849" t="str">
        <f>IF(650&gt;ROWS(DGArchive[变更前]),"",IF(INDEX(DGArchive[变更前],650)="","",INDEX(DGArchive[变更前],650)))</f>
        <v/>
      </c>
      <c r="CF849" t="str">
        <f>IF(650&gt;ROWS(DGArchive[增减]),"",IF(INDEX(DGArchive[增减],650)="","",INDEX(DGArchive[增减],650)))</f>
        <v/>
      </c>
      <c r="CG849" t="str">
        <f>IF(650&gt;ROWS(DGArchive[变更后]),"",IF(INDEX(DGArchive[变更后],650)="","",INDEX(DGArchive[变更后],650)))</f>
        <v/>
      </c>
      <c r="CH849" t="str">
        <f>IF(650&gt;ROWS(DGArchive[事件／活动]),"",IF(INDEX(DGArchive[事件／活动],650)="","",INDEX(DGArchive[事件／活动],650)))</f>
        <v/>
      </c>
      <c r="CI849" t="str">
        <f>IF(650&gt;ROWS(DGArchive[记录编号]),"",IF(INDEX(DGArchive[记录编号],650)="","",INDEX(DGArchive[记录编号],650)))</f>
        <v/>
      </c>
      <c r="CL849">
        <f t="shared" si="314"/>
        <v>0</v>
      </c>
      <c r="CM849">
        <f>IF(AND(A849=$AO$5,B849=$AQ$3,H849=1),COUNTIFS($A$200:A849,$AO$5,$B$200:B849,$AQ$3,$H$200:H849,1),0)</f>
        <v>0</v>
      </c>
      <c r="CN849">
        <f>IF(CA849="",650,1001)</f>
        <v>650</v>
      </c>
      <c r="GA849">
        <f t="shared" si="334"/>
        <v>0</v>
      </c>
      <c r="GB849">
        <f t="shared" si="335"/>
        <v>0</v>
      </c>
      <c r="GC849">
        <f>IF(AND(C849="事件记录",H849=1),COUNTIFS($C$200:C849,"事件记录",$H$200:H849,1),0)</f>
        <v>0</v>
      </c>
      <c r="GD849">
        <f t="shared" si="315"/>
        <v>0</v>
      </c>
      <c r="GH849">
        <f>IF(AND(H849=1,A849=$GA$10,B849=$GA$11),COUNTIFS($A$200:A849,$GA$10,$B$200:B849,$GA$11,$H$200:H849,1),0)</f>
        <v>0</v>
      </c>
    </row>
    <row r="850" spans="1:190">
      <c r="A850" t="str">
        <f t="shared" si="306"/>
        <v/>
      </c>
      <c r="B850" t="str">
        <f t="shared" si="307"/>
        <v/>
      </c>
      <c r="C850" t="str">
        <f t="shared" si="308"/>
        <v/>
      </c>
      <c r="D850" t="str">
        <f t="shared" si="309"/>
        <v/>
      </c>
      <c r="E850">
        <f t="shared" si="310"/>
        <v>0</v>
      </c>
      <c r="F850" t="str">
        <f t="shared" si="311"/>
        <v/>
      </c>
      <c r="G850">
        <f t="shared" si="312"/>
        <v>0</v>
      </c>
      <c r="H850">
        <f>IF(AND(G850=1,COUNTIFS($I$200:I850,I850,$G$200:G850,1)=1),1,0)</f>
        <v>0</v>
      </c>
      <c r="I850" t="str">
        <f t="shared" si="313"/>
        <v/>
      </c>
      <c r="BF850">
        <f t="shared" si="316"/>
        <v>0</v>
      </c>
      <c r="BG850">
        <f t="shared" si="317"/>
        <v>0</v>
      </c>
      <c r="BH850">
        <f t="shared" si="318"/>
        <v>0</v>
      </c>
      <c r="BI850">
        <f t="shared" si="319"/>
        <v>0</v>
      </c>
      <c r="BJ850">
        <f t="shared" si="320"/>
        <v>0</v>
      </c>
      <c r="BK850">
        <f t="shared" si="321"/>
        <v>0</v>
      </c>
      <c r="BL850">
        <f t="shared" si="322"/>
        <v>0</v>
      </c>
      <c r="BM850">
        <f t="shared" si="323"/>
        <v>0</v>
      </c>
      <c r="BN850">
        <f t="shared" si="324"/>
        <v>0</v>
      </c>
      <c r="BO850">
        <f t="shared" si="325"/>
        <v>0</v>
      </c>
      <c r="BP850">
        <f t="shared" si="326"/>
        <v>0</v>
      </c>
      <c r="BQ850">
        <f t="shared" si="327"/>
        <v>0</v>
      </c>
      <c r="BR850">
        <f t="shared" si="328"/>
        <v>0</v>
      </c>
      <c r="BS850">
        <f t="shared" si="329"/>
        <v>0</v>
      </c>
      <c r="BT850">
        <f t="shared" si="330"/>
        <v>0</v>
      </c>
      <c r="BU850">
        <f t="shared" si="331"/>
        <v>0</v>
      </c>
      <c r="BV850">
        <f t="shared" si="332"/>
        <v>0</v>
      </c>
      <c r="BW850">
        <f t="shared" si="333"/>
        <v>0</v>
      </c>
      <c r="CA850" t="str">
        <f>IF(651&gt;ROWS(DGArchive[模组]),"",IF(INDEX(DGArchive[模组],651)="","",INDEX(DGArchive[模组],651)))</f>
        <v/>
      </c>
      <c r="CB850" t="str">
        <f>IF(651&gt;ROWS(DGArchive[阶段]),"",IF(INDEX(DGArchive[阶段],651)="","",INDEX(DGArchive[阶段],651)))</f>
        <v/>
      </c>
      <c r="CC850" t="str">
        <f>IF(651&gt;ROWS(DGArchive[游戏内日期]),"",IF(INDEX(DGArchive[游戏内日期],651)="","",INDEX(DGArchive[游戏内日期],651)))</f>
        <v/>
      </c>
      <c r="CD850" t="str">
        <f>IF(651&gt;ROWS(DGArchive[目标]),"",IF(INDEX(DGArchive[目标],651)="","",INDEX(DGArchive[目标],651)))</f>
        <v/>
      </c>
      <c r="CE850" t="str">
        <f>IF(651&gt;ROWS(DGArchive[变更前]),"",IF(INDEX(DGArchive[变更前],651)="","",INDEX(DGArchive[变更前],651)))</f>
        <v/>
      </c>
      <c r="CF850" t="str">
        <f>IF(651&gt;ROWS(DGArchive[增减]),"",IF(INDEX(DGArchive[增减],651)="","",INDEX(DGArchive[增减],651)))</f>
        <v/>
      </c>
      <c r="CG850" t="str">
        <f>IF(651&gt;ROWS(DGArchive[变更后]),"",IF(INDEX(DGArchive[变更后],651)="","",INDEX(DGArchive[变更后],651)))</f>
        <v/>
      </c>
      <c r="CH850" t="str">
        <f>IF(651&gt;ROWS(DGArchive[事件／活动]),"",IF(INDEX(DGArchive[事件／活动],651)="","",INDEX(DGArchive[事件／活动],651)))</f>
        <v/>
      </c>
      <c r="CI850" t="str">
        <f>IF(651&gt;ROWS(DGArchive[记录编号]),"",IF(INDEX(DGArchive[记录编号],651)="","",INDEX(DGArchive[记录编号],651)))</f>
        <v/>
      </c>
      <c r="CL850">
        <f t="shared" si="314"/>
        <v>0</v>
      </c>
      <c r="CM850">
        <f>IF(AND(A850=$AO$5,B850=$AQ$3,H850=1),COUNTIFS($A$200:A850,$AO$5,$B$200:B850,$AQ$3,$H$200:H850,1),0)</f>
        <v>0</v>
      </c>
      <c r="CN850">
        <f>IF(CA850="",651,1001)</f>
        <v>651</v>
      </c>
      <c r="GA850">
        <f t="shared" si="334"/>
        <v>0</v>
      </c>
      <c r="GB850">
        <f t="shared" si="335"/>
        <v>0</v>
      </c>
      <c r="GC850">
        <f>IF(AND(C850="事件记录",H850=1),COUNTIFS($C$200:C850,"事件记录",$H$200:H850,1),0)</f>
        <v>0</v>
      </c>
      <c r="GD850">
        <f t="shared" si="315"/>
        <v>0</v>
      </c>
      <c r="GH850">
        <f>IF(AND(H850=1,A850=$GA$10,B850=$GA$11),COUNTIFS($A$200:A850,$GA$10,$B$200:B850,$GA$11,$H$200:H850,1),0)</f>
        <v>0</v>
      </c>
    </row>
    <row r="851" spans="1:190">
      <c r="A851" t="str">
        <f t="shared" si="306"/>
        <v/>
      </c>
      <c r="B851" t="str">
        <f t="shared" si="307"/>
        <v/>
      </c>
      <c r="C851" t="str">
        <f t="shared" si="308"/>
        <v/>
      </c>
      <c r="D851" t="str">
        <f t="shared" si="309"/>
        <v/>
      </c>
      <c r="E851">
        <f t="shared" si="310"/>
        <v>0</v>
      </c>
      <c r="F851" t="str">
        <f t="shared" si="311"/>
        <v/>
      </c>
      <c r="G851">
        <f t="shared" si="312"/>
        <v>0</v>
      </c>
      <c r="H851">
        <f>IF(AND(G851=1,COUNTIFS($I$200:I851,I851,$G$200:G851,1)=1),1,0)</f>
        <v>0</v>
      </c>
      <c r="I851" t="str">
        <f t="shared" si="313"/>
        <v/>
      </c>
      <c r="BF851">
        <f t="shared" si="316"/>
        <v>0</v>
      </c>
      <c r="BG851">
        <f t="shared" si="317"/>
        <v>0</v>
      </c>
      <c r="BH851">
        <f t="shared" si="318"/>
        <v>0</v>
      </c>
      <c r="BI851">
        <f t="shared" si="319"/>
        <v>0</v>
      </c>
      <c r="BJ851">
        <f t="shared" si="320"/>
        <v>0</v>
      </c>
      <c r="BK851">
        <f t="shared" si="321"/>
        <v>0</v>
      </c>
      <c r="BL851">
        <f t="shared" si="322"/>
        <v>0</v>
      </c>
      <c r="BM851">
        <f t="shared" si="323"/>
        <v>0</v>
      </c>
      <c r="BN851">
        <f t="shared" si="324"/>
        <v>0</v>
      </c>
      <c r="BO851">
        <f t="shared" si="325"/>
        <v>0</v>
      </c>
      <c r="BP851">
        <f t="shared" si="326"/>
        <v>0</v>
      </c>
      <c r="BQ851">
        <f t="shared" si="327"/>
        <v>0</v>
      </c>
      <c r="BR851">
        <f t="shared" si="328"/>
        <v>0</v>
      </c>
      <c r="BS851">
        <f t="shared" si="329"/>
        <v>0</v>
      </c>
      <c r="BT851">
        <f t="shared" si="330"/>
        <v>0</v>
      </c>
      <c r="BU851">
        <f t="shared" si="331"/>
        <v>0</v>
      </c>
      <c r="BV851">
        <f t="shared" si="332"/>
        <v>0</v>
      </c>
      <c r="BW851">
        <f t="shared" si="333"/>
        <v>0</v>
      </c>
      <c r="CA851" t="str">
        <f>IF(652&gt;ROWS(DGArchive[模组]),"",IF(INDEX(DGArchive[模组],652)="","",INDEX(DGArchive[模组],652)))</f>
        <v/>
      </c>
      <c r="CB851" t="str">
        <f>IF(652&gt;ROWS(DGArchive[阶段]),"",IF(INDEX(DGArchive[阶段],652)="","",INDEX(DGArchive[阶段],652)))</f>
        <v/>
      </c>
      <c r="CC851" t="str">
        <f>IF(652&gt;ROWS(DGArchive[游戏内日期]),"",IF(INDEX(DGArchive[游戏内日期],652)="","",INDEX(DGArchive[游戏内日期],652)))</f>
        <v/>
      </c>
      <c r="CD851" t="str">
        <f>IF(652&gt;ROWS(DGArchive[目标]),"",IF(INDEX(DGArchive[目标],652)="","",INDEX(DGArchive[目标],652)))</f>
        <v/>
      </c>
      <c r="CE851" t="str">
        <f>IF(652&gt;ROWS(DGArchive[变更前]),"",IF(INDEX(DGArchive[变更前],652)="","",INDEX(DGArchive[变更前],652)))</f>
        <v/>
      </c>
      <c r="CF851" t="str">
        <f>IF(652&gt;ROWS(DGArchive[增减]),"",IF(INDEX(DGArchive[增减],652)="","",INDEX(DGArchive[增减],652)))</f>
        <v/>
      </c>
      <c r="CG851" t="str">
        <f>IF(652&gt;ROWS(DGArchive[变更后]),"",IF(INDEX(DGArchive[变更后],652)="","",INDEX(DGArchive[变更后],652)))</f>
        <v/>
      </c>
      <c r="CH851" t="str">
        <f>IF(652&gt;ROWS(DGArchive[事件／活动]),"",IF(INDEX(DGArchive[事件／活动],652)="","",INDEX(DGArchive[事件／活动],652)))</f>
        <v/>
      </c>
      <c r="CI851" t="str">
        <f>IF(652&gt;ROWS(DGArchive[记录编号]),"",IF(INDEX(DGArchive[记录编号],652)="","",INDEX(DGArchive[记录编号],652)))</f>
        <v/>
      </c>
      <c r="CL851">
        <f t="shared" si="314"/>
        <v>0</v>
      </c>
      <c r="CM851">
        <f>IF(AND(A851=$AO$5,B851=$AQ$3,H851=1),COUNTIFS($A$200:A851,$AO$5,$B$200:B851,$AQ$3,$H$200:H851,1),0)</f>
        <v>0</v>
      </c>
      <c r="CN851">
        <f>IF(CA851="",652,1001)</f>
        <v>652</v>
      </c>
      <c r="GA851">
        <f t="shared" si="334"/>
        <v>0</v>
      </c>
      <c r="GB851">
        <f t="shared" si="335"/>
        <v>0</v>
      </c>
      <c r="GC851">
        <f>IF(AND(C851="事件记录",H851=1),COUNTIFS($C$200:C851,"事件记录",$H$200:H851,1),0)</f>
        <v>0</v>
      </c>
      <c r="GD851">
        <f t="shared" si="315"/>
        <v>0</v>
      </c>
      <c r="GH851">
        <f>IF(AND(H851=1,A851=$GA$10,B851=$GA$11),COUNTIFS($A$200:A851,$GA$10,$B$200:B851,$GA$11,$H$200:H851,1),0)</f>
        <v>0</v>
      </c>
    </row>
    <row r="852" spans="1:190">
      <c r="A852" t="str">
        <f t="shared" si="306"/>
        <v/>
      </c>
      <c r="B852" t="str">
        <f t="shared" si="307"/>
        <v/>
      </c>
      <c r="C852" t="str">
        <f t="shared" si="308"/>
        <v/>
      </c>
      <c r="D852" t="str">
        <f t="shared" si="309"/>
        <v/>
      </c>
      <c r="E852">
        <f t="shared" si="310"/>
        <v>0</v>
      </c>
      <c r="F852" t="str">
        <f t="shared" si="311"/>
        <v/>
      </c>
      <c r="G852">
        <f t="shared" si="312"/>
        <v>0</v>
      </c>
      <c r="H852">
        <f>IF(AND(G852=1,COUNTIFS($I$200:I852,I852,$G$200:G852,1)=1),1,0)</f>
        <v>0</v>
      </c>
      <c r="I852" t="str">
        <f t="shared" si="313"/>
        <v/>
      </c>
      <c r="BF852">
        <f t="shared" si="316"/>
        <v>0</v>
      </c>
      <c r="BG852">
        <f t="shared" si="317"/>
        <v>0</v>
      </c>
      <c r="BH852">
        <f t="shared" si="318"/>
        <v>0</v>
      </c>
      <c r="BI852">
        <f t="shared" si="319"/>
        <v>0</v>
      </c>
      <c r="BJ852">
        <f t="shared" si="320"/>
        <v>0</v>
      </c>
      <c r="BK852">
        <f t="shared" si="321"/>
        <v>0</v>
      </c>
      <c r="BL852">
        <f t="shared" si="322"/>
        <v>0</v>
      </c>
      <c r="BM852">
        <f t="shared" si="323"/>
        <v>0</v>
      </c>
      <c r="BN852">
        <f t="shared" si="324"/>
        <v>0</v>
      </c>
      <c r="BO852">
        <f t="shared" si="325"/>
        <v>0</v>
      </c>
      <c r="BP852">
        <f t="shared" si="326"/>
        <v>0</v>
      </c>
      <c r="BQ852">
        <f t="shared" si="327"/>
        <v>0</v>
      </c>
      <c r="BR852">
        <f t="shared" si="328"/>
        <v>0</v>
      </c>
      <c r="BS852">
        <f t="shared" si="329"/>
        <v>0</v>
      </c>
      <c r="BT852">
        <f t="shared" si="330"/>
        <v>0</v>
      </c>
      <c r="BU852">
        <f t="shared" si="331"/>
        <v>0</v>
      </c>
      <c r="BV852">
        <f t="shared" si="332"/>
        <v>0</v>
      </c>
      <c r="BW852">
        <f t="shared" si="333"/>
        <v>0</v>
      </c>
      <c r="CA852" t="str">
        <f>IF(653&gt;ROWS(DGArchive[模组]),"",IF(INDEX(DGArchive[模组],653)="","",INDEX(DGArchive[模组],653)))</f>
        <v/>
      </c>
      <c r="CB852" t="str">
        <f>IF(653&gt;ROWS(DGArchive[阶段]),"",IF(INDEX(DGArchive[阶段],653)="","",INDEX(DGArchive[阶段],653)))</f>
        <v/>
      </c>
      <c r="CC852" t="str">
        <f>IF(653&gt;ROWS(DGArchive[游戏内日期]),"",IF(INDEX(DGArchive[游戏内日期],653)="","",INDEX(DGArchive[游戏内日期],653)))</f>
        <v/>
      </c>
      <c r="CD852" t="str">
        <f>IF(653&gt;ROWS(DGArchive[目标]),"",IF(INDEX(DGArchive[目标],653)="","",INDEX(DGArchive[目标],653)))</f>
        <v/>
      </c>
      <c r="CE852" t="str">
        <f>IF(653&gt;ROWS(DGArchive[变更前]),"",IF(INDEX(DGArchive[变更前],653)="","",INDEX(DGArchive[变更前],653)))</f>
        <v/>
      </c>
      <c r="CF852" t="str">
        <f>IF(653&gt;ROWS(DGArchive[增减]),"",IF(INDEX(DGArchive[增减],653)="","",INDEX(DGArchive[增减],653)))</f>
        <v/>
      </c>
      <c r="CG852" t="str">
        <f>IF(653&gt;ROWS(DGArchive[变更后]),"",IF(INDEX(DGArchive[变更后],653)="","",INDEX(DGArchive[变更后],653)))</f>
        <v/>
      </c>
      <c r="CH852" t="str">
        <f>IF(653&gt;ROWS(DGArchive[事件／活动]),"",IF(INDEX(DGArchive[事件／活动],653)="","",INDEX(DGArchive[事件／活动],653)))</f>
        <v/>
      </c>
      <c r="CI852" t="str">
        <f>IF(653&gt;ROWS(DGArchive[记录编号]),"",IF(INDEX(DGArchive[记录编号],653)="","",INDEX(DGArchive[记录编号],653)))</f>
        <v/>
      </c>
      <c r="CL852">
        <f t="shared" si="314"/>
        <v>0</v>
      </c>
      <c r="CM852">
        <f>IF(AND(A852=$AO$5,B852=$AQ$3,H852=1),COUNTIFS($A$200:A852,$AO$5,$B$200:B852,$AQ$3,$H$200:H852,1),0)</f>
        <v>0</v>
      </c>
      <c r="CN852">
        <f>IF(CA852="",653,1001)</f>
        <v>653</v>
      </c>
      <c r="GA852">
        <f t="shared" si="334"/>
        <v>0</v>
      </c>
      <c r="GB852">
        <f t="shared" si="335"/>
        <v>0</v>
      </c>
      <c r="GC852">
        <f>IF(AND(C852="事件记录",H852=1),COUNTIFS($C$200:C852,"事件记录",$H$200:H852,1),0)</f>
        <v>0</v>
      </c>
      <c r="GD852">
        <f t="shared" si="315"/>
        <v>0</v>
      </c>
      <c r="GH852">
        <f>IF(AND(H852=1,A852=$GA$10,B852=$GA$11),COUNTIFS($A$200:A852,$GA$10,$B$200:B852,$GA$11,$H$200:H852,1),0)</f>
        <v>0</v>
      </c>
    </row>
    <row r="853" spans="1:190">
      <c r="A853" t="str">
        <f t="shared" si="306"/>
        <v/>
      </c>
      <c r="B853" t="str">
        <f t="shared" si="307"/>
        <v/>
      </c>
      <c r="C853" t="str">
        <f t="shared" si="308"/>
        <v/>
      </c>
      <c r="D853" t="str">
        <f t="shared" si="309"/>
        <v/>
      </c>
      <c r="E853">
        <f t="shared" si="310"/>
        <v>0</v>
      </c>
      <c r="F853" t="str">
        <f t="shared" si="311"/>
        <v/>
      </c>
      <c r="G853">
        <f t="shared" si="312"/>
        <v>0</v>
      </c>
      <c r="H853">
        <f>IF(AND(G853=1,COUNTIFS($I$200:I853,I853,$G$200:G853,1)=1),1,0)</f>
        <v>0</v>
      </c>
      <c r="I853" t="str">
        <f t="shared" si="313"/>
        <v/>
      </c>
      <c r="BF853">
        <f t="shared" si="316"/>
        <v>0</v>
      </c>
      <c r="BG853">
        <f t="shared" si="317"/>
        <v>0</v>
      </c>
      <c r="BH853">
        <f t="shared" si="318"/>
        <v>0</v>
      </c>
      <c r="BI853">
        <f t="shared" si="319"/>
        <v>0</v>
      </c>
      <c r="BJ853">
        <f t="shared" si="320"/>
        <v>0</v>
      </c>
      <c r="BK853">
        <f t="shared" si="321"/>
        <v>0</v>
      </c>
      <c r="BL853">
        <f t="shared" si="322"/>
        <v>0</v>
      </c>
      <c r="BM853">
        <f t="shared" si="323"/>
        <v>0</v>
      </c>
      <c r="BN853">
        <f t="shared" si="324"/>
        <v>0</v>
      </c>
      <c r="BO853">
        <f t="shared" si="325"/>
        <v>0</v>
      </c>
      <c r="BP853">
        <f t="shared" si="326"/>
        <v>0</v>
      </c>
      <c r="BQ853">
        <f t="shared" si="327"/>
        <v>0</v>
      </c>
      <c r="BR853">
        <f t="shared" si="328"/>
        <v>0</v>
      </c>
      <c r="BS853">
        <f t="shared" si="329"/>
        <v>0</v>
      </c>
      <c r="BT853">
        <f t="shared" si="330"/>
        <v>0</v>
      </c>
      <c r="BU853">
        <f t="shared" si="331"/>
        <v>0</v>
      </c>
      <c r="BV853">
        <f t="shared" si="332"/>
        <v>0</v>
      </c>
      <c r="BW853">
        <f t="shared" si="333"/>
        <v>0</v>
      </c>
      <c r="CA853" t="str">
        <f>IF(654&gt;ROWS(DGArchive[模组]),"",IF(INDEX(DGArchive[模组],654)="","",INDEX(DGArchive[模组],654)))</f>
        <v/>
      </c>
      <c r="CB853" t="str">
        <f>IF(654&gt;ROWS(DGArchive[阶段]),"",IF(INDEX(DGArchive[阶段],654)="","",INDEX(DGArchive[阶段],654)))</f>
        <v/>
      </c>
      <c r="CC853" t="str">
        <f>IF(654&gt;ROWS(DGArchive[游戏内日期]),"",IF(INDEX(DGArchive[游戏内日期],654)="","",INDEX(DGArchive[游戏内日期],654)))</f>
        <v/>
      </c>
      <c r="CD853" t="str">
        <f>IF(654&gt;ROWS(DGArchive[目标]),"",IF(INDEX(DGArchive[目标],654)="","",INDEX(DGArchive[目标],654)))</f>
        <v/>
      </c>
      <c r="CE853" t="str">
        <f>IF(654&gt;ROWS(DGArchive[变更前]),"",IF(INDEX(DGArchive[变更前],654)="","",INDEX(DGArchive[变更前],654)))</f>
        <v/>
      </c>
      <c r="CF853" t="str">
        <f>IF(654&gt;ROWS(DGArchive[增减]),"",IF(INDEX(DGArchive[增减],654)="","",INDEX(DGArchive[增减],654)))</f>
        <v/>
      </c>
      <c r="CG853" t="str">
        <f>IF(654&gt;ROWS(DGArchive[变更后]),"",IF(INDEX(DGArchive[变更后],654)="","",INDEX(DGArchive[变更后],654)))</f>
        <v/>
      </c>
      <c r="CH853" t="str">
        <f>IF(654&gt;ROWS(DGArchive[事件／活动]),"",IF(INDEX(DGArchive[事件／活动],654)="","",INDEX(DGArchive[事件／活动],654)))</f>
        <v/>
      </c>
      <c r="CI853" t="str">
        <f>IF(654&gt;ROWS(DGArchive[记录编号]),"",IF(INDEX(DGArchive[记录编号],654)="","",INDEX(DGArchive[记录编号],654)))</f>
        <v/>
      </c>
      <c r="CL853">
        <f t="shared" si="314"/>
        <v>0</v>
      </c>
      <c r="CM853">
        <f>IF(AND(A853=$AO$5,B853=$AQ$3,H853=1),COUNTIFS($A$200:A853,$AO$5,$B$200:B853,$AQ$3,$H$200:H853,1),0)</f>
        <v>0</v>
      </c>
      <c r="CN853">
        <f>IF(CA853="",654,1001)</f>
        <v>654</v>
      </c>
      <c r="GA853">
        <f t="shared" si="334"/>
        <v>0</v>
      </c>
      <c r="GB853">
        <f t="shared" si="335"/>
        <v>0</v>
      </c>
      <c r="GC853">
        <f>IF(AND(C853="事件记录",H853=1),COUNTIFS($C$200:C853,"事件记录",$H$200:H853,1),0)</f>
        <v>0</v>
      </c>
      <c r="GD853">
        <f t="shared" si="315"/>
        <v>0</v>
      </c>
      <c r="GH853">
        <f>IF(AND(H853=1,A853=$GA$10,B853=$GA$11),COUNTIFS($A$200:A853,$GA$10,$B$200:B853,$GA$11,$H$200:H853,1),0)</f>
        <v>0</v>
      </c>
    </row>
    <row r="854" spans="1:190">
      <c r="A854" t="str">
        <f t="shared" si="306"/>
        <v/>
      </c>
      <c r="B854" t="str">
        <f t="shared" si="307"/>
        <v/>
      </c>
      <c r="C854" t="str">
        <f t="shared" si="308"/>
        <v/>
      </c>
      <c r="D854" t="str">
        <f t="shared" si="309"/>
        <v/>
      </c>
      <c r="E854">
        <f t="shared" si="310"/>
        <v>0</v>
      </c>
      <c r="F854" t="str">
        <f t="shared" si="311"/>
        <v/>
      </c>
      <c r="G854">
        <f t="shared" si="312"/>
        <v>0</v>
      </c>
      <c r="H854">
        <f>IF(AND(G854=1,COUNTIFS($I$200:I854,I854,$G$200:G854,1)=1),1,0)</f>
        <v>0</v>
      </c>
      <c r="I854" t="str">
        <f t="shared" si="313"/>
        <v/>
      </c>
      <c r="BF854">
        <f t="shared" si="316"/>
        <v>0</v>
      </c>
      <c r="BG854">
        <f t="shared" si="317"/>
        <v>0</v>
      </c>
      <c r="BH854">
        <f t="shared" si="318"/>
        <v>0</v>
      </c>
      <c r="BI854">
        <f t="shared" si="319"/>
        <v>0</v>
      </c>
      <c r="BJ854">
        <f t="shared" si="320"/>
        <v>0</v>
      </c>
      <c r="BK854">
        <f t="shared" si="321"/>
        <v>0</v>
      </c>
      <c r="BL854">
        <f t="shared" si="322"/>
        <v>0</v>
      </c>
      <c r="BM854">
        <f t="shared" si="323"/>
        <v>0</v>
      </c>
      <c r="BN854">
        <f t="shared" si="324"/>
        <v>0</v>
      </c>
      <c r="BO854">
        <f t="shared" si="325"/>
        <v>0</v>
      </c>
      <c r="BP854">
        <f t="shared" si="326"/>
        <v>0</v>
      </c>
      <c r="BQ854">
        <f t="shared" si="327"/>
        <v>0</v>
      </c>
      <c r="BR854">
        <f t="shared" si="328"/>
        <v>0</v>
      </c>
      <c r="BS854">
        <f t="shared" si="329"/>
        <v>0</v>
      </c>
      <c r="BT854">
        <f t="shared" si="330"/>
        <v>0</v>
      </c>
      <c r="BU854">
        <f t="shared" si="331"/>
        <v>0</v>
      </c>
      <c r="BV854">
        <f t="shared" si="332"/>
        <v>0</v>
      </c>
      <c r="BW854">
        <f t="shared" si="333"/>
        <v>0</v>
      </c>
      <c r="CA854" t="str">
        <f>IF(655&gt;ROWS(DGArchive[模组]),"",IF(INDEX(DGArchive[模组],655)="","",INDEX(DGArchive[模组],655)))</f>
        <v/>
      </c>
      <c r="CB854" t="str">
        <f>IF(655&gt;ROWS(DGArchive[阶段]),"",IF(INDEX(DGArchive[阶段],655)="","",INDEX(DGArchive[阶段],655)))</f>
        <v/>
      </c>
      <c r="CC854" t="str">
        <f>IF(655&gt;ROWS(DGArchive[游戏内日期]),"",IF(INDEX(DGArchive[游戏内日期],655)="","",INDEX(DGArchive[游戏内日期],655)))</f>
        <v/>
      </c>
      <c r="CD854" t="str">
        <f>IF(655&gt;ROWS(DGArchive[目标]),"",IF(INDEX(DGArchive[目标],655)="","",INDEX(DGArchive[目标],655)))</f>
        <v/>
      </c>
      <c r="CE854" t="str">
        <f>IF(655&gt;ROWS(DGArchive[变更前]),"",IF(INDEX(DGArchive[变更前],655)="","",INDEX(DGArchive[变更前],655)))</f>
        <v/>
      </c>
      <c r="CF854" t="str">
        <f>IF(655&gt;ROWS(DGArchive[增减]),"",IF(INDEX(DGArchive[增减],655)="","",INDEX(DGArchive[增减],655)))</f>
        <v/>
      </c>
      <c r="CG854" t="str">
        <f>IF(655&gt;ROWS(DGArchive[变更后]),"",IF(INDEX(DGArchive[变更后],655)="","",INDEX(DGArchive[变更后],655)))</f>
        <v/>
      </c>
      <c r="CH854" t="str">
        <f>IF(655&gt;ROWS(DGArchive[事件／活动]),"",IF(INDEX(DGArchive[事件／活动],655)="","",INDEX(DGArchive[事件／活动],655)))</f>
        <v/>
      </c>
      <c r="CI854" t="str">
        <f>IF(655&gt;ROWS(DGArchive[记录编号]),"",IF(INDEX(DGArchive[记录编号],655)="","",INDEX(DGArchive[记录编号],655)))</f>
        <v/>
      </c>
      <c r="CL854">
        <f t="shared" si="314"/>
        <v>0</v>
      </c>
      <c r="CM854">
        <f>IF(AND(A854=$AO$5,B854=$AQ$3,H854=1),COUNTIFS($A$200:A854,$AO$5,$B$200:B854,$AQ$3,$H$200:H854,1),0)</f>
        <v>0</v>
      </c>
      <c r="CN854">
        <f>IF(CA854="",655,1001)</f>
        <v>655</v>
      </c>
      <c r="GA854">
        <f t="shared" si="334"/>
        <v>0</v>
      </c>
      <c r="GB854">
        <f t="shared" si="335"/>
        <v>0</v>
      </c>
      <c r="GC854">
        <f>IF(AND(C854="事件记录",H854=1),COUNTIFS($C$200:C854,"事件记录",$H$200:H854,1),0)</f>
        <v>0</v>
      </c>
      <c r="GD854">
        <f t="shared" si="315"/>
        <v>0</v>
      </c>
      <c r="GH854">
        <f>IF(AND(H854=1,A854=$GA$10,B854=$GA$11),COUNTIFS($A$200:A854,$GA$10,$B$200:B854,$GA$11,$H$200:H854,1),0)</f>
        <v>0</v>
      </c>
    </row>
    <row r="855" spans="1:190">
      <c r="A855" t="str">
        <f t="shared" si="306"/>
        <v/>
      </c>
      <c r="B855" t="str">
        <f t="shared" si="307"/>
        <v/>
      </c>
      <c r="C855" t="str">
        <f t="shared" si="308"/>
        <v/>
      </c>
      <c r="D855" t="str">
        <f t="shared" si="309"/>
        <v/>
      </c>
      <c r="E855">
        <f t="shared" si="310"/>
        <v>0</v>
      </c>
      <c r="F855" t="str">
        <f t="shared" si="311"/>
        <v/>
      </c>
      <c r="G855">
        <f t="shared" si="312"/>
        <v>0</v>
      </c>
      <c r="H855">
        <f>IF(AND(G855=1,COUNTIFS($I$200:I855,I855,$G$200:G855,1)=1),1,0)</f>
        <v>0</v>
      </c>
      <c r="I855" t="str">
        <f t="shared" si="313"/>
        <v/>
      </c>
      <c r="BF855">
        <f t="shared" si="316"/>
        <v>0</v>
      </c>
      <c r="BG855">
        <f t="shared" si="317"/>
        <v>0</v>
      </c>
      <c r="BH855">
        <f t="shared" si="318"/>
        <v>0</v>
      </c>
      <c r="BI855">
        <f t="shared" si="319"/>
        <v>0</v>
      </c>
      <c r="BJ855">
        <f t="shared" si="320"/>
        <v>0</v>
      </c>
      <c r="BK855">
        <f t="shared" si="321"/>
        <v>0</v>
      </c>
      <c r="BL855">
        <f t="shared" si="322"/>
        <v>0</v>
      </c>
      <c r="BM855">
        <f t="shared" si="323"/>
        <v>0</v>
      </c>
      <c r="BN855">
        <f t="shared" si="324"/>
        <v>0</v>
      </c>
      <c r="BO855">
        <f t="shared" si="325"/>
        <v>0</v>
      </c>
      <c r="BP855">
        <f t="shared" si="326"/>
        <v>0</v>
      </c>
      <c r="BQ855">
        <f t="shared" si="327"/>
        <v>0</v>
      </c>
      <c r="BR855">
        <f t="shared" si="328"/>
        <v>0</v>
      </c>
      <c r="BS855">
        <f t="shared" si="329"/>
        <v>0</v>
      </c>
      <c r="BT855">
        <f t="shared" si="330"/>
        <v>0</v>
      </c>
      <c r="BU855">
        <f t="shared" si="331"/>
        <v>0</v>
      </c>
      <c r="BV855">
        <f t="shared" si="332"/>
        <v>0</v>
      </c>
      <c r="BW855">
        <f t="shared" si="333"/>
        <v>0</v>
      </c>
      <c r="CA855" t="str">
        <f>IF(656&gt;ROWS(DGArchive[模组]),"",IF(INDEX(DGArchive[模组],656)="","",INDEX(DGArchive[模组],656)))</f>
        <v/>
      </c>
      <c r="CB855" t="str">
        <f>IF(656&gt;ROWS(DGArchive[阶段]),"",IF(INDEX(DGArchive[阶段],656)="","",INDEX(DGArchive[阶段],656)))</f>
        <v/>
      </c>
      <c r="CC855" t="str">
        <f>IF(656&gt;ROWS(DGArchive[游戏内日期]),"",IF(INDEX(DGArchive[游戏内日期],656)="","",INDEX(DGArchive[游戏内日期],656)))</f>
        <v/>
      </c>
      <c r="CD855" t="str">
        <f>IF(656&gt;ROWS(DGArchive[目标]),"",IF(INDEX(DGArchive[目标],656)="","",INDEX(DGArchive[目标],656)))</f>
        <v/>
      </c>
      <c r="CE855" t="str">
        <f>IF(656&gt;ROWS(DGArchive[变更前]),"",IF(INDEX(DGArchive[变更前],656)="","",INDEX(DGArchive[变更前],656)))</f>
        <v/>
      </c>
      <c r="CF855" t="str">
        <f>IF(656&gt;ROWS(DGArchive[增减]),"",IF(INDEX(DGArchive[增减],656)="","",INDEX(DGArchive[增减],656)))</f>
        <v/>
      </c>
      <c r="CG855" t="str">
        <f>IF(656&gt;ROWS(DGArchive[变更后]),"",IF(INDEX(DGArchive[变更后],656)="","",INDEX(DGArchive[变更后],656)))</f>
        <v/>
      </c>
      <c r="CH855" t="str">
        <f>IF(656&gt;ROWS(DGArchive[事件／活动]),"",IF(INDEX(DGArchive[事件／活动],656)="","",INDEX(DGArchive[事件／活动],656)))</f>
        <v/>
      </c>
      <c r="CI855" t="str">
        <f>IF(656&gt;ROWS(DGArchive[记录编号]),"",IF(INDEX(DGArchive[记录编号],656)="","",INDEX(DGArchive[记录编号],656)))</f>
        <v/>
      </c>
      <c r="CL855">
        <f t="shared" si="314"/>
        <v>0</v>
      </c>
      <c r="CM855">
        <f>IF(AND(A855=$AO$5,B855=$AQ$3,H855=1),COUNTIFS($A$200:A855,$AO$5,$B$200:B855,$AQ$3,$H$200:H855,1),0)</f>
        <v>0</v>
      </c>
      <c r="CN855">
        <f>IF(CA855="",656,1001)</f>
        <v>656</v>
      </c>
      <c r="GA855">
        <f t="shared" si="334"/>
        <v>0</v>
      </c>
      <c r="GB855">
        <f t="shared" si="335"/>
        <v>0</v>
      </c>
      <c r="GC855">
        <f>IF(AND(C855="事件记录",H855=1),COUNTIFS($C$200:C855,"事件记录",$H$200:H855,1),0)</f>
        <v>0</v>
      </c>
      <c r="GD855">
        <f t="shared" si="315"/>
        <v>0</v>
      </c>
      <c r="GH855">
        <f>IF(AND(H855=1,A855=$GA$10,B855=$GA$11),COUNTIFS($A$200:A855,$GA$10,$B$200:B855,$GA$11,$H$200:H855,1),0)</f>
        <v>0</v>
      </c>
    </row>
    <row r="856" spans="1:190">
      <c r="A856" t="str">
        <f t="shared" si="306"/>
        <v/>
      </c>
      <c r="B856" t="str">
        <f t="shared" si="307"/>
        <v/>
      </c>
      <c r="C856" t="str">
        <f t="shared" si="308"/>
        <v/>
      </c>
      <c r="D856" t="str">
        <f t="shared" si="309"/>
        <v/>
      </c>
      <c r="E856">
        <f t="shared" si="310"/>
        <v>0</v>
      </c>
      <c r="F856" t="str">
        <f t="shared" si="311"/>
        <v/>
      </c>
      <c r="G856">
        <f t="shared" si="312"/>
        <v>0</v>
      </c>
      <c r="H856">
        <f>IF(AND(G856=1,COUNTIFS($I$200:I856,I856,$G$200:G856,1)=1),1,0)</f>
        <v>0</v>
      </c>
      <c r="I856" t="str">
        <f t="shared" si="313"/>
        <v/>
      </c>
      <c r="BF856">
        <f t="shared" si="316"/>
        <v>0</v>
      </c>
      <c r="BG856">
        <f t="shared" si="317"/>
        <v>0</v>
      </c>
      <c r="BH856">
        <f t="shared" si="318"/>
        <v>0</v>
      </c>
      <c r="BI856">
        <f t="shared" si="319"/>
        <v>0</v>
      </c>
      <c r="BJ856">
        <f t="shared" si="320"/>
        <v>0</v>
      </c>
      <c r="BK856">
        <f t="shared" si="321"/>
        <v>0</v>
      </c>
      <c r="BL856">
        <f t="shared" si="322"/>
        <v>0</v>
      </c>
      <c r="BM856">
        <f t="shared" si="323"/>
        <v>0</v>
      </c>
      <c r="BN856">
        <f t="shared" si="324"/>
        <v>0</v>
      </c>
      <c r="BO856">
        <f t="shared" si="325"/>
        <v>0</v>
      </c>
      <c r="BP856">
        <f t="shared" si="326"/>
        <v>0</v>
      </c>
      <c r="BQ856">
        <f t="shared" si="327"/>
        <v>0</v>
      </c>
      <c r="BR856">
        <f t="shared" si="328"/>
        <v>0</v>
      </c>
      <c r="BS856">
        <f t="shared" si="329"/>
        <v>0</v>
      </c>
      <c r="BT856">
        <f t="shared" si="330"/>
        <v>0</v>
      </c>
      <c r="BU856">
        <f t="shared" si="331"/>
        <v>0</v>
      </c>
      <c r="BV856">
        <f t="shared" si="332"/>
        <v>0</v>
      </c>
      <c r="BW856">
        <f t="shared" si="333"/>
        <v>0</v>
      </c>
      <c r="CA856" t="str">
        <f>IF(657&gt;ROWS(DGArchive[模组]),"",IF(INDEX(DGArchive[模组],657)="","",INDEX(DGArchive[模组],657)))</f>
        <v/>
      </c>
      <c r="CB856" t="str">
        <f>IF(657&gt;ROWS(DGArchive[阶段]),"",IF(INDEX(DGArchive[阶段],657)="","",INDEX(DGArchive[阶段],657)))</f>
        <v/>
      </c>
      <c r="CC856" t="str">
        <f>IF(657&gt;ROWS(DGArchive[游戏内日期]),"",IF(INDEX(DGArchive[游戏内日期],657)="","",INDEX(DGArchive[游戏内日期],657)))</f>
        <v/>
      </c>
      <c r="CD856" t="str">
        <f>IF(657&gt;ROWS(DGArchive[目标]),"",IF(INDEX(DGArchive[目标],657)="","",INDEX(DGArchive[目标],657)))</f>
        <v/>
      </c>
      <c r="CE856" t="str">
        <f>IF(657&gt;ROWS(DGArchive[变更前]),"",IF(INDEX(DGArchive[变更前],657)="","",INDEX(DGArchive[变更前],657)))</f>
        <v/>
      </c>
      <c r="CF856" t="str">
        <f>IF(657&gt;ROWS(DGArchive[增减]),"",IF(INDEX(DGArchive[增减],657)="","",INDEX(DGArchive[增减],657)))</f>
        <v/>
      </c>
      <c r="CG856" t="str">
        <f>IF(657&gt;ROWS(DGArchive[变更后]),"",IF(INDEX(DGArchive[变更后],657)="","",INDEX(DGArchive[变更后],657)))</f>
        <v/>
      </c>
      <c r="CH856" t="str">
        <f>IF(657&gt;ROWS(DGArchive[事件／活动]),"",IF(INDEX(DGArchive[事件／活动],657)="","",INDEX(DGArchive[事件／活动],657)))</f>
        <v/>
      </c>
      <c r="CI856" t="str">
        <f>IF(657&gt;ROWS(DGArchive[记录编号]),"",IF(INDEX(DGArchive[记录编号],657)="","",INDEX(DGArchive[记录编号],657)))</f>
        <v/>
      </c>
      <c r="CL856">
        <f t="shared" si="314"/>
        <v>0</v>
      </c>
      <c r="CM856">
        <f>IF(AND(A856=$AO$5,B856=$AQ$3,H856=1),COUNTIFS($A$200:A856,$AO$5,$B$200:B856,$AQ$3,$H$200:H856,1),0)</f>
        <v>0</v>
      </c>
      <c r="CN856">
        <f>IF(CA856="",657,1001)</f>
        <v>657</v>
      </c>
      <c r="GA856">
        <f t="shared" si="334"/>
        <v>0</v>
      </c>
      <c r="GB856">
        <f t="shared" si="335"/>
        <v>0</v>
      </c>
      <c r="GC856">
        <f>IF(AND(C856="事件记录",H856=1),COUNTIFS($C$200:C856,"事件记录",$H$200:H856,1),0)</f>
        <v>0</v>
      </c>
      <c r="GD856">
        <f t="shared" si="315"/>
        <v>0</v>
      </c>
      <c r="GH856">
        <f>IF(AND(H856=1,A856=$GA$10,B856=$GA$11),COUNTIFS($A$200:A856,$GA$10,$B$200:B856,$GA$11,$H$200:H856,1),0)</f>
        <v>0</v>
      </c>
    </row>
    <row r="857" spans="1:190">
      <c r="A857" t="str">
        <f t="shared" si="306"/>
        <v/>
      </c>
      <c r="B857" t="str">
        <f t="shared" si="307"/>
        <v/>
      </c>
      <c r="C857" t="str">
        <f t="shared" si="308"/>
        <v/>
      </c>
      <c r="D857" t="str">
        <f t="shared" si="309"/>
        <v/>
      </c>
      <c r="E857">
        <f t="shared" si="310"/>
        <v>0</v>
      </c>
      <c r="F857" t="str">
        <f t="shared" si="311"/>
        <v/>
      </c>
      <c r="G857">
        <f t="shared" si="312"/>
        <v>0</v>
      </c>
      <c r="H857">
        <f>IF(AND(G857=1,COUNTIFS($I$200:I857,I857,$G$200:G857,1)=1),1,0)</f>
        <v>0</v>
      </c>
      <c r="I857" t="str">
        <f t="shared" si="313"/>
        <v/>
      </c>
      <c r="BF857">
        <f t="shared" si="316"/>
        <v>0</v>
      </c>
      <c r="BG857">
        <f t="shared" si="317"/>
        <v>0</v>
      </c>
      <c r="BH857">
        <f t="shared" si="318"/>
        <v>0</v>
      </c>
      <c r="BI857">
        <f t="shared" si="319"/>
        <v>0</v>
      </c>
      <c r="BJ857">
        <f t="shared" si="320"/>
        <v>0</v>
      </c>
      <c r="BK857">
        <f t="shared" si="321"/>
        <v>0</v>
      </c>
      <c r="BL857">
        <f t="shared" si="322"/>
        <v>0</v>
      </c>
      <c r="BM857">
        <f t="shared" si="323"/>
        <v>0</v>
      </c>
      <c r="BN857">
        <f t="shared" si="324"/>
        <v>0</v>
      </c>
      <c r="BO857">
        <f t="shared" si="325"/>
        <v>0</v>
      </c>
      <c r="BP857">
        <f t="shared" si="326"/>
        <v>0</v>
      </c>
      <c r="BQ857">
        <f t="shared" si="327"/>
        <v>0</v>
      </c>
      <c r="BR857">
        <f t="shared" si="328"/>
        <v>0</v>
      </c>
      <c r="BS857">
        <f t="shared" si="329"/>
        <v>0</v>
      </c>
      <c r="BT857">
        <f t="shared" si="330"/>
        <v>0</v>
      </c>
      <c r="BU857">
        <f t="shared" si="331"/>
        <v>0</v>
      </c>
      <c r="BV857">
        <f t="shared" si="332"/>
        <v>0</v>
      </c>
      <c r="BW857">
        <f t="shared" si="333"/>
        <v>0</v>
      </c>
      <c r="CA857" t="str">
        <f>IF(658&gt;ROWS(DGArchive[模组]),"",IF(INDEX(DGArchive[模组],658)="","",INDEX(DGArchive[模组],658)))</f>
        <v/>
      </c>
      <c r="CB857" t="str">
        <f>IF(658&gt;ROWS(DGArchive[阶段]),"",IF(INDEX(DGArchive[阶段],658)="","",INDEX(DGArchive[阶段],658)))</f>
        <v/>
      </c>
      <c r="CC857" t="str">
        <f>IF(658&gt;ROWS(DGArchive[游戏内日期]),"",IF(INDEX(DGArchive[游戏内日期],658)="","",INDEX(DGArchive[游戏内日期],658)))</f>
        <v/>
      </c>
      <c r="CD857" t="str">
        <f>IF(658&gt;ROWS(DGArchive[目标]),"",IF(INDEX(DGArchive[目标],658)="","",INDEX(DGArchive[目标],658)))</f>
        <v/>
      </c>
      <c r="CE857" t="str">
        <f>IF(658&gt;ROWS(DGArchive[变更前]),"",IF(INDEX(DGArchive[变更前],658)="","",INDEX(DGArchive[变更前],658)))</f>
        <v/>
      </c>
      <c r="CF857" t="str">
        <f>IF(658&gt;ROWS(DGArchive[增减]),"",IF(INDEX(DGArchive[增减],658)="","",INDEX(DGArchive[增减],658)))</f>
        <v/>
      </c>
      <c r="CG857" t="str">
        <f>IF(658&gt;ROWS(DGArchive[变更后]),"",IF(INDEX(DGArchive[变更后],658)="","",INDEX(DGArchive[变更后],658)))</f>
        <v/>
      </c>
      <c r="CH857" t="str">
        <f>IF(658&gt;ROWS(DGArchive[事件／活动]),"",IF(INDEX(DGArchive[事件／活动],658)="","",INDEX(DGArchive[事件／活动],658)))</f>
        <v/>
      </c>
      <c r="CI857" t="str">
        <f>IF(658&gt;ROWS(DGArchive[记录编号]),"",IF(INDEX(DGArchive[记录编号],658)="","",INDEX(DGArchive[记录编号],658)))</f>
        <v/>
      </c>
      <c r="CL857">
        <f t="shared" si="314"/>
        <v>0</v>
      </c>
      <c r="CM857">
        <f>IF(AND(A857=$AO$5,B857=$AQ$3,H857=1),COUNTIFS($A$200:A857,$AO$5,$B$200:B857,$AQ$3,$H$200:H857,1),0)</f>
        <v>0</v>
      </c>
      <c r="CN857">
        <f>IF(CA857="",658,1001)</f>
        <v>658</v>
      </c>
      <c r="GA857">
        <f t="shared" si="334"/>
        <v>0</v>
      </c>
      <c r="GB857">
        <f t="shared" si="335"/>
        <v>0</v>
      </c>
      <c r="GC857">
        <f>IF(AND(C857="事件记录",H857=1),COUNTIFS($C$200:C857,"事件记录",$H$200:H857,1),0)</f>
        <v>0</v>
      </c>
      <c r="GD857">
        <f t="shared" si="315"/>
        <v>0</v>
      </c>
      <c r="GH857">
        <f>IF(AND(H857=1,A857=$GA$10,B857=$GA$11),COUNTIFS($A$200:A857,$GA$10,$B$200:B857,$GA$11,$H$200:H857,1),0)</f>
        <v>0</v>
      </c>
    </row>
    <row r="858" spans="1:190">
      <c r="A858" t="str">
        <f t="shared" si="306"/>
        <v/>
      </c>
      <c r="B858" t="str">
        <f t="shared" si="307"/>
        <v/>
      </c>
      <c r="C858" t="str">
        <f t="shared" si="308"/>
        <v/>
      </c>
      <c r="D858" t="str">
        <f t="shared" si="309"/>
        <v/>
      </c>
      <c r="E858">
        <f t="shared" si="310"/>
        <v>0</v>
      </c>
      <c r="F858" t="str">
        <f t="shared" si="311"/>
        <v/>
      </c>
      <c r="G858">
        <f t="shared" si="312"/>
        <v>0</v>
      </c>
      <c r="H858">
        <f>IF(AND(G858=1,COUNTIFS($I$200:I858,I858,$G$200:G858,1)=1),1,0)</f>
        <v>0</v>
      </c>
      <c r="I858" t="str">
        <f t="shared" si="313"/>
        <v/>
      </c>
      <c r="BF858">
        <f t="shared" si="316"/>
        <v>0</v>
      </c>
      <c r="BG858">
        <f t="shared" si="317"/>
        <v>0</v>
      </c>
      <c r="BH858">
        <f t="shared" si="318"/>
        <v>0</v>
      </c>
      <c r="BI858">
        <f t="shared" si="319"/>
        <v>0</v>
      </c>
      <c r="BJ858">
        <f t="shared" si="320"/>
        <v>0</v>
      </c>
      <c r="BK858">
        <f t="shared" si="321"/>
        <v>0</v>
      </c>
      <c r="BL858">
        <f t="shared" si="322"/>
        <v>0</v>
      </c>
      <c r="BM858">
        <f t="shared" si="323"/>
        <v>0</v>
      </c>
      <c r="BN858">
        <f t="shared" si="324"/>
        <v>0</v>
      </c>
      <c r="BO858">
        <f t="shared" si="325"/>
        <v>0</v>
      </c>
      <c r="BP858">
        <f t="shared" si="326"/>
        <v>0</v>
      </c>
      <c r="BQ858">
        <f t="shared" si="327"/>
        <v>0</v>
      </c>
      <c r="BR858">
        <f t="shared" si="328"/>
        <v>0</v>
      </c>
      <c r="BS858">
        <f t="shared" si="329"/>
        <v>0</v>
      </c>
      <c r="BT858">
        <f t="shared" si="330"/>
        <v>0</v>
      </c>
      <c r="BU858">
        <f t="shared" si="331"/>
        <v>0</v>
      </c>
      <c r="BV858">
        <f t="shared" si="332"/>
        <v>0</v>
      </c>
      <c r="BW858">
        <f t="shared" si="333"/>
        <v>0</v>
      </c>
      <c r="CA858" t="str">
        <f>IF(659&gt;ROWS(DGArchive[模组]),"",IF(INDEX(DGArchive[模组],659)="","",INDEX(DGArchive[模组],659)))</f>
        <v/>
      </c>
      <c r="CB858" t="str">
        <f>IF(659&gt;ROWS(DGArchive[阶段]),"",IF(INDEX(DGArchive[阶段],659)="","",INDEX(DGArchive[阶段],659)))</f>
        <v/>
      </c>
      <c r="CC858" t="str">
        <f>IF(659&gt;ROWS(DGArchive[游戏内日期]),"",IF(INDEX(DGArchive[游戏内日期],659)="","",INDEX(DGArchive[游戏内日期],659)))</f>
        <v/>
      </c>
      <c r="CD858" t="str">
        <f>IF(659&gt;ROWS(DGArchive[目标]),"",IF(INDEX(DGArchive[目标],659)="","",INDEX(DGArchive[目标],659)))</f>
        <v/>
      </c>
      <c r="CE858" t="str">
        <f>IF(659&gt;ROWS(DGArchive[变更前]),"",IF(INDEX(DGArchive[变更前],659)="","",INDEX(DGArchive[变更前],659)))</f>
        <v/>
      </c>
      <c r="CF858" t="str">
        <f>IF(659&gt;ROWS(DGArchive[增减]),"",IF(INDEX(DGArchive[增减],659)="","",INDEX(DGArchive[增减],659)))</f>
        <v/>
      </c>
      <c r="CG858" t="str">
        <f>IF(659&gt;ROWS(DGArchive[变更后]),"",IF(INDEX(DGArchive[变更后],659)="","",INDEX(DGArchive[变更后],659)))</f>
        <v/>
      </c>
      <c r="CH858" t="str">
        <f>IF(659&gt;ROWS(DGArchive[事件／活动]),"",IF(INDEX(DGArchive[事件／活动],659)="","",INDEX(DGArchive[事件／活动],659)))</f>
        <v/>
      </c>
      <c r="CI858" t="str">
        <f>IF(659&gt;ROWS(DGArchive[记录编号]),"",IF(INDEX(DGArchive[记录编号],659)="","",INDEX(DGArchive[记录编号],659)))</f>
        <v/>
      </c>
      <c r="CL858">
        <f t="shared" si="314"/>
        <v>0</v>
      </c>
      <c r="CM858">
        <f>IF(AND(A858=$AO$5,B858=$AQ$3,H858=1),COUNTIFS($A$200:A858,$AO$5,$B$200:B858,$AQ$3,$H$200:H858,1),0)</f>
        <v>0</v>
      </c>
      <c r="CN858">
        <f>IF(CA858="",659,1001)</f>
        <v>659</v>
      </c>
      <c r="GA858">
        <f t="shared" si="334"/>
        <v>0</v>
      </c>
      <c r="GB858">
        <f t="shared" si="335"/>
        <v>0</v>
      </c>
      <c r="GC858">
        <f>IF(AND(C858="事件记录",H858=1),COUNTIFS($C$200:C858,"事件记录",$H$200:H858,1),0)</f>
        <v>0</v>
      </c>
      <c r="GD858">
        <f t="shared" si="315"/>
        <v>0</v>
      </c>
      <c r="GH858">
        <f>IF(AND(H858=1,A858=$GA$10,B858=$GA$11),COUNTIFS($A$200:A858,$GA$10,$B$200:B858,$GA$11,$H$200:H858,1),0)</f>
        <v>0</v>
      </c>
    </row>
    <row r="859" spans="1:190">
      <c r="A859" t="str">
        <f t="shared" si="306"/>
        <v/>
      </c>
      <c r="B859" t="str">
        <f t="shared" si="307"/>
        <v/>
      </c>
      <c r="C859" t="str">
        <f t="shared" si="308"/>
        <v/>
      </c>
      <c r="D859" t="str">
        <f t="shared" si="309"/>
        <v/>
      </c>
      <c r="E859">
        <f t="shared" si="310"/>
        <v>0</v>
      </c>
      <c r="F859" t="str">
        <f t="shared" si="311"/>
        <v/>
      </c>
      <c r="G859">
        <f t="shared" si="312"/>
        <v>0</v>
      </c>
      <c r="H859">
        <f>IF(AND(G859=1,COUNTIFS($I$200:I859,I859,$G$200:G859,1)=1),1,0)</f>
        <v>0</v>
      </c>
      <c r="I859" t="str">
        <f t="shared" si="313"/>
        <v/>
      </c>
      <c r="BF859">
        <f t="shared" si="316"/>
        <v>0</v>
      </c>
      <c r="BG859">
        <f t="shared" si="317"/>
        <v>0</v>
      </c>
      <c r="BH859">
        <f t="shared" si="318"/>
        <v>0</v>
      </c>
      <c r="BI859">
        <f t="shared" si="319"/>
        <v>0</v>
      </c>
      <c r="BJ859">
        <f t="shared" si="320"/>
        <v>0</v>
      </c>
      <c r="BK859">
        <f t="shared" si="321"/>
        <v>0</v>
      </c>
      <c r="BL859">
        <f t="shared" si="322"/>
        <v>0</v>
      </c>
      <c r="BM859">
        <f t="shared" si="323"/>
        <v>0</v>
      </c>
      <c r="BN859">
        <f t="shared" si="324"/>
        <v>0</v>
      </c>
      <c r="BO859">
        <f t="shared" si="325"/>
        <v>0</v>
      </c>
      <c r="BP859">
        <f t="shared" si="326"/>
        <v>0</v>
      </c>
      <c r="BQ859">
        <f t="shared" si="327"/>
        <v>0</v>
      </c>
      <c r="BR859">
        <f t="shared" si="328"/>
        <v>0</v>
      </c>
      <c r="BS859">
        <f t="shared" si="329"/>
        <v>0</v>
      </c>
      <c r="BT859">
        <f t="shared" si="330"/>
        <v>0</v>
      </c>
      <c r="BU859">
        <f t="shared" si="331"/>
        <v>0</v>
      </c>
      <c r="BV859">
        <f t="shared" si="332"/>
        <v>0</v>
      </c>
      <c r="BW859">
        <f t="shared" si="333"/>
        <v>0</v>
      </c>
      <c r="CA859" t="str">
        <f>IF(660&gt;ROWS(DGArchive[模组]),"",IF(INDEX(DGArchive[模组],660)="","",INDEX(DGArchive[模组],660)))</f>
        <v/>
      </c>
      <c r="CB859" t="str">
        <f>IF(660&gt;ROWS(DGArchive[阶段]),"",IF(INDEX(DGArchive[阶段],660)="","",INDEX(DGArchive[阶段],660)))</f>
        <v/>
      </c>
      <c r="CC859" t="str">
        <f>IF(660&gt;ROWS(DGArchive[游戏内日期]),"",IF(INDEX(DGArchive[游戏内日期],660)="","",INDEX(DGArchive[游戏内日期],660)))</f>
        <v/>
      </c>
      <c r="CD859" t="str">
        <f>IF(660&gt;ROWS(DGArchive[目标]),"",IF(INDEX(DGArchive[目标],660)="","",INDEX(DGArchive[目标],660)))</f>
        <v/>
      </c>
      <c r="CE859" t="str">
        <f>IF(660&gt;ROWS(DGArchive[变更前]),"",IF(INDEX(DGArchive[变更前],660)="","",INDEX(DGArchive[变更前],660)))</f>
        <v/>
      </c>
      <c r="CF859" t="str">
        <f>IF(660&gt;ROWS(DGArchive[增减]),"",IF(INDEX(DGArchive[增减],660)="","",INDEX(DGArchive[增减],660)))</f>
        <v/>
      </c>
      <c r="CG859" t="str">
        <f>IF(660&gt;ROWS(DGArchive[变更后]),"",IF(INDEX(DGArchive[变更后],660)="","",INDEX(DGArchive[变更后],660)))</f>
        <v/>
      </c>
      <c r="CH859" t="str">
        <f>IF(660&gt;ROWS(DGArchive[事件／活动]),"",IF(INDEX(DGArchive[事件／活动],660)="","",INDEX(DGArchive[事件／活动],660)))</f>
        <v/>
      </c>
      <c r="CI859" t="str">
        <f>IF(660&gt;ROWS(DGArchive[记录编号]),"",IF(INDEX(DGArchive[记录编号],660)="","",INDEX(DGArchive[记录编号],660)))</f>
        <v/>
      </c>
      <c r="CL859">
        <f t="shared" si="314"/>
        <v>0</v>
      </c>
      <c r="CM859">
        <f>IF(AND(A859=$AO$5,B859=$AQ$3,H859=1),COUNTIFS($A$200:A859,$AO$5,$B$200:B859,$AQ$3,$H$200:H859,1),0)</f>
        <v>0</v>
      </c>
      <c r="CN859">
        <f>IF(CA859="",660,1001)</f>
        <v>660</v>
      </c>
      <c r="GA859">
        <f t="shared" si="334"/>
        <v>0</v>
      </c>
      <c r="GB859">
        <f t="shared" si="335"/>
        <v>0</v>
      </c>
      <c r="GC859">
        <f>IF(AND(C859="事件记录",H859=1),COUNTIFS($C$200:C859,"事件记录",$H$200:H859,1),0)</f>
        <v>0</v>
      </c>
      <c r="GD859">
        <f t="shared" si="315"/>
        <v>0</v>
      </c>
      <c r="GH859">
        <f>IF(AND(H859=1,A859=$GA$10,B859=$GA$11),COUNTIFS($A$200:A859,$GA$10,$B$200:B859,$GA$11,$H$200:H859,1),0)</f>
        <v>0</v>
      </c>
    </row>
    <row r="860" spans="1:190">
      <c r="A860" t="str">
        <f t="shared" si="306"/>
        <v/>
      </c>
      <c r="B860" t="str">
        <f t="shared" si="307"/>
        <v/>
      </c>
      <c r="C860" t="str">
        <f t="shared" si="308"/>
        <v/>
      </c>
      <c r="D860" t="str">
        <f t="shared" si="309"/>
        <v/>
      </c>
      <c r="E860">
        <f t="shared" si="310"/>
        <v>0</v>
      </c>
      <c r="F860" t="str">
        <f t="shared" si="311"/>
        <v/>
      </c>
      <c r="G860">
        <f t="shared" si="312"/>
        <v>0</v>
      </c>
      <c r="H860">
        <f>IF(AND(G860=1,COUNTIFS($I$200:I860,I860,$G$200:G860,1)=1),1,0)</f>
        <v>0</v>
      </c>
      <c r="I860" t="str">
        <f t="shared" si="313"/>
        <v/>
      </c>
      <c r="BF860">
        <f t="shared" si="316"/>
        <v>0</v>
      </c>
      <c r="BG860">
        <f t="shared" si="317"/>
        <v>0</v>
      </c>
      <c r="BH860">
        <f t="shared" si="318"/>
        <v>0</v>
      </c>
      <c r="BI860">
        <f t="shared" si="319"/>
        <v>0</v>
      </c>
      <c r="BJ860">
        <f t="shared" si="320"/>
        <v>0</v>
      </c>
      <c r="BK860">
        <f t="shared" si="321"/>
        <v>0</v>
      </c>
      <c r="BL860">
        <f t="shared" si="322"/>
        <v>0</v>
      </c>
      <c r="BM860">
        <f t="shared" si="323"/>
        <v>0</v>
      </c>
      <c r="BN860">
        <f t="shared" si="324"/>
        <v>0</v>
      </c>
      <c r="BO860">
        <f t="shared" si="325"/>
        <v>0</v>
      </c>
      <c r="BP860">
        <f t="shared" si="326"/>
        <v>0</v>
      </c>
      <c r="BQ860">
        <f t="shared" si="327"/>
        <v>0</v>
      </c>
      <c r="BR860">
        <f t="shared" si="328"/>
        <v>0</v>
      </c>
      <c r="BS860">
        <f t="shared" si="329"/>
        <v>0</v>
      </c>
      <c r="BT860">
        <f t="shared" si="330"/>
        <v>0</v>
      </c>
      <c r="BU860">
        <f t="shared" si="331"/>
        <v>0</v>
      </c>
      <c r="BV860">
        <f t="shared" si="332"/>
        <v>0</v>
      </c>
      <c r="BW860">
        <f t="shared" si="333"/>
        <v>0</v>
      </c>
      <c r="CA860" t="str">
        <f>IF(661&gt;ROWS(DGArchive[模组]),"",IF(INDEX(DGArchive[模组],661)="","",INDEX(DGArchive[模组],661)))</f>
        <v/>
      </c>
      <c r="CB860" t="str">
        <f>IF(661&gt;ROWS(DGArchive[阶段]),"",IF(INDEX(DGArchive[阶段],661)="","",INDEX(DGArchive[阶段],661)))</f>
        <v/>
      </c>
      <c r="CC860" t="str">
        <f>IF(661&gt;ROWS(DGArchive[游戏内日期]),"",IF(INDEX(DGArchive[游戏内日期],661)="","",INDEX(DGArchive[游戏内日期],661)))</f>
        <v/>
      </c>
      <c r="CD860" t="str">
        <f>IF(661&gt;ROWS(DGArchive[目标]),"",IF(INDEX(DGArchive[目标],661)="","",INDEX(DGArchive[目标],661)))</f>
        <v/>
      </c>
      <c r="CE860" t="str">
        <f>IF(661&gt;ROWS(DGArchive[变更前]),"",IF(INDEX(DGArchive[变更前],661)="","",INDEX(DGArchive[变更前],661)))</f>
        <v/>
      </c>
      <c r="CF860" t="str">
        <f>IF(661&gt;ROWS(DGArchive[增减]),"",IF(INDEX(DGArchive[增减],661)="","",INDEX(DGArchive[增减],661)))</f>
        <v/>
      </c>
      <c r="CG860" t="str">
        <f>IF(661&gt;ROWS(DGArchive[变更后]),"",IF(INDEX(DGArchive[变更后],661)="","",INDEX(DGArchive[变更后],661)))</f>
        <v/>
      </c>
      <c r="CH860" t="str">
        <f>IF(661&gt;ROWS(DGArchive[事件／活动]),"",IF(INDEX(DGArchive[事件／活动],661)="","",INDEX(DGArchive[事件／活动],661)))</f>
        <v/>
      </c>
      <c r="CI860" t="str">
        <f>IF(661&gt;ROWS(DGArchive[记录编号]),"",IF(INDEX(DGArchive[记录编号],661)="","",INDEX(DGArchive[记录编号],661)))</f>
        <v/>
      </c>
      <c r="CL860">
        <f t="shared" si="314"/>
        <v>0</v>
      </c>
      <c r="CM860">
        <f>IF(AND(A860=$AO$5,B860=$AQ$3,H860=1),COUNTIFS($A$200:A860,$AO$5,$B$200:B860,$AQ$3,$H$200:H860,1),0)</f>
        <v>0</v>
      </c>
      <c r="CN860">
        <f>IF(CA860="",661,1001)</f>
        <v>661</v>
      </c>
      <c r="GA860">
        <f t="shared" si="334"/>
        <v>0</v>
      </c>
      <c r="GB860">
        <f t="shared" si="335"/>
        <v>0</v>
      </c>
      <c r="GC860">
        <f>IF(AND(C860="事件记录",H860=1),COUNTIFS($C$200:C860,"事件记录",$H$200:H860,1),0)</f>
        <v>0</v>
      </c>
      <c r="GD860">
        <f t="shared" si="315"/>
        <v>0</v>
      </c>
      <c r="GH860">
        <f>IF(AND(H860=1,A860=$GA$10,B860=$GA$11),COUNTIFS($A$200:A860,$GA$10,$B$200:B860,$GA$11,$H$200:H860,1),0)</f>
        <v>0</v>
      </c>
    </row>
    <row r="861" spans="1:190">
      <c r="A861" t="str">
        <f t="shared" si="306"/>
        <v/>
      </c>
      <c r="B861" t="str">
        <f t="shared" si="307"/>
        <v/>
      </c>
      <c r="C861" t="str">
        <f t="shared" si="308"/>
        <v/>
      </c>
      <c r="D861" t="str">
        <f t="shared" si="309"/>
        <v/>
      </c>
      <c r="E861">
        <f t="shared" si="310"/>
        <v>0</v>
      </c>
      <c r="F861" t="str">
        <f t="shared" si="311"/>
        <v/>
      </c>
      <c r="G861">
        <f t="shared" si="312"/>
        <v>0</v>
      </c>
      <c r="H861">
        <f>IF(AND(G861=1,COUNTIFS($I$200:I861,I861,$G$200:G861,1)=1),1,0)</f>
        <v>0</v>
      </c>
      <c r="I861" t="str">
        <f t="shared" si="313"/>
        <v/>
      </c>
      <c r="BF861">
        <f t="shared" si="316"/>
        <v>0</v>
      </c>
      <c r="BG861">
        <f t="shared" si="317"/>
        <v>0</v>
      </c>
      <c r="BH861">
        <f t="shared" si="318"/>
        <v>0</v>
      </c>
      <c r="BI861">
        <f t="shared" si="319"/>
        <v>0</v>
      </c>
      <c r="BJ861">
        <f t="shared" si="320"/>
        <v>0</v>
      </c>
      <c r="BK861">
        <f t="shared" si="321"/>
        <v>0</v>
      </c>
      <c r="BL861">
        <f t="shared" si="322"/>
        <v>0</v>
      </c>
      <c r="BM861">
        <f t="shared" si="323"/>
        <v>0</v>
      </c>
      <c r="BN861">
        <f t="shared" si="324"/>
        <v>0</v>
      </c>
      <c r="BO861">
        <f t="shared" si="325"/>
        <v>0</v>
      </c>
      <c r="BP861">
        <f t="shared" si="326"/>
        <v>0</v>
      </c>
      <c r="BQ861">
        <f t="shared" si="327"/>
        <v>0</v>
      </c>
      <c r="BR861">
        <f t="shared" si="328"/>
        <v>0</v>
      </c>
      <c r="BS861">
        <f t="shared" si="329"/>
        <v>0</v>
      </c>
      <c r="BT861">
        <f t="shared" si="330"/>
        <v>0</v>
      </c>
      <c r="BU861">
        <f t="shared" si="331"/>
        <v>0</v>
      </c>
      <c r="BV861">
        <f t="shared" si="332"/>
        <v>0</v>
      </c>
      <c r="BW861">
        <f t="shared" si="333"/>
        <v>0</v>
      </c>
      <c r="CA861" t="str">
        <f>IF(662&gt;ROWS(DGArchive[模组]),"",IF(INDEX(DGArchive[模组],662)="","",INDEX(DGArchive[模组],662)))</f>
        <v/>
      </c>
      <c r="CB861" t="str">
        <f>IF(662&gt;ROWS(DGArchive[阶段]),"",IF(INDEX(DGArchive[阶段],662)="","",INDEX(DGArchive[阶段],662)))</f>
        <v/>
      </c>
      <c r="CC861" t="str">
        <f>IF(662&gt;ROWS(DGArchive[游戏内日期]),"",IF(INDEX(DGArchive[游戏内日期],662)="","",INDEX(DGArchive[游戏内日期],662)))</f>
        <v/>
      </c>
      <c r="CD861" t="str">
        <f>IF(662&gt;ROWS(DGArchive[目标]),"",IF(INDEX(DGArchive[目标],662)="","",INDEX(DGArchive[目标],662)))</f>
        <v/>
      </c>
      <c r="CE861" t="str">
        <f>IF(662&gt;ROWS(DGArchive[变更前]),"",IF(INDEX(DGArchive[变更前],662)="","",INDEX(DGArchive[变更前],662)))</f>
        <v/>
      </c>
      <c r="CF861" t="str">
        <f>IF(662&gt;ROWS(DGArchive[增减]),"",IF(INDEX(DGArchive[增减],662)="","",INDEX(DGArchive[增减],662)))</f>
        <v/>
      </c>
      <c r="CG861" t="str">
        <f>IF(662&gt;ROWS(DGArchive[变更后]),"",IF(INDEX(DGArchive[变更后],662)="","",INDEX(DGArchive[变更后],662)))</f>
        <v/>
      </c>
      <c r="CH861" t="str">
        <f>IF(662&gt;ROWS(DGArchive[事件／活动]),"",IF(INDEX(DGArchive[事件／活动],662)="","",INDEX(DGArchive[事件／活动],662)))</f>
        <v/>
      </c>
      <c r="CI861" t="str">
        <f>IF(662&gt;ROWS(DGArchive[记录编号]),"",IF(INDEX(DGArchive[记录编号],662)="","",INDEX(DGArchive[记录编号],662)))</f>
        <v/>
      </c>
      <c r="CL861">
        <f t="shared" si="314"/>
        <v>0</v>
      </c>
      <c r="CM861">
        <f>IF(AND(A861=$AO$5,B861=$AQ$3,H861=1),COUNTIFS($A$200:A861,$AO$5,$B$200:B861,$AQ$3,$H$200:H861,1),0)</f>
        <v>0</v>
      </c>
      <c r="CN861">
        <f>IF(CA861="",662,1001)</f>
        <v>662</v>
      </c>
      <c r="GA861">
        <f t="shared" si="334"/>
        <v>0</v>
      </c>
      <c r="GB861">
        <f t="shared" si="335"/>
        <v>0</v>
      </c>
      <c r="GC861">
        <f>IF(AND(C861="事件记录",H861=1),COUNTIFS($C$200:C861,"事件记录",$H$200:H861,1),0)</f>
        <v>0</v>
      </c>
      <c r="GD861">
        <f t="shared" si="315"/>
        <v>0</v>
      </c>
      <c r="GH861">
        <f>IF(AND(H861=1,A861=$GA$10,B861=$GA$11),COUNTIFS($A$200:A861,$GA$10,$B$200:B861,$GA$11,$H$200:H861,1),0)</f>
        <v>0</v>
      </c>
    </row>
    <row r="862" spans="1:190">
      <c r="A862" t="str">
        <f t="shared" si="306"/>
        <v/>
      </c>
      <c r="B862" t="str">
        <f t="shared" si="307"/>
        <v/>
      </c>
      <c r="C862" t="str">
        <f t="shared" si="308"/>
        <v/>
      </c>
      <c r="D862" t="str">
        <f t="shared" si="309"/>
        <v/>
      </c>
      <c r="E862">
        <f t="shared" si="310"/>
        <v>0</v>
      </c>
      <c r="F862" t="str">
        <f t="shared" si="311"/>
        <v/>
      </c>
      <c r="G862">
        <f t="shared" si="312"/>
        <v>0</v>
      </c>
      <c r="H862">
        <f>IF(AND(G862=1,COUNTIFS($I$200:I862,I862,$G$200:G862,1)=1),1,0)</f>
        <v>0</v>
      </c>
      <c r="I862" t="str">
        <f t="shared" si="313"/>
        <v/>
      </c>
      <c r="BF862">
        <f t="shared" si="316"/>
        <v>0</v>
      </c>
      <c r="BG862">
        <f t="shared" si="317"/>
        <v>0</v>
      </c>
      <c r="BH862">
        <f t="shared" si="318"/>
        <v>0</v>
      </c>
      <c r="BI862">
        <f t="shared" si="319"/>
        <v>0</v>
      </c>
      <c r="BJ862">
        <f t="shared" si="320"/>
        <v>0</v>
      </c>
      <c r="BK862">
        <f t="shared" si="321"/>
        <v>0</v>
      </c>
      <c r="BL862">
        <f t="shared" si="322"/>
        <v>0</v>
      </c>
      <c r="BM862">
        <f t="shared" si="323"/>
        <v>0</v>
      </c>
      <c r="BN862">
        <f t="shared" si="324"/>
        <v>0</v>
      </c>
      <c r="BO862">
        <f t="shared" si="325"/>
        <v>0</v>
      </c>
      <c r="BP862">
        <f t="shared" si="326"/>
        <v>0</v>
      </c>
      <c r="BQ862">
        <f t="shared" si="327"/>
        <v>0</v>
      </c>
      <c r="BR862">
        <f t="shared" si="328"/>
        <v>0</v>
      </c>
      <c r="BS862">
        <f t="shared" si="329"/>
        <v>0</v>
      </c>
      <c r="BT862">
        <f t="shared" si="330"/>
        <v>0</v>
      </c>
      <c r="BU862">
        <f t="shared" si="331"/>
        <v>0</v>
      </c>
      <c r="BV862">
        <f t="shared" si="332"/>
        <v>0</v>
      </c>
      <c r="BW862">
        <f t="shared" si="333"/>
        <v>0</v>
      </c>
      <c r="CA862" t="str">
        <f>IF(663&gt;ROWS(DGArchive[模组]),"",IF(INDEX(DGArchive[模组],663)="","",INDEX(DGArchive[模组],663)))</f>
        <v/>
      </c>
      <c r="CB862" t="str">
        <f>IF(663&gt;ROWS(DGArchive[阶段]),"",IF(INDEX(DGArchive[阶段],663)="","",INDEX(DGArchive[阶段],663)))</f>
        <v/>
      </c>
      <c r="CC862" t="str">
        <f>IF(663&gt;ROWS(DGArchive[游戏内日期]),"",IF(INDEX(DGArchive[游戏内日期],663)="","",INDEX(DGArchive[游戏内日期],663)))</f>
        <v/>
      </c>
      <c r="CD862" t="str">
        <f>IF(663&gt;ROWS(DGArchive[目标]),"",IF(INDEX(DGArchive[目标],663)="","",INDEX(DGArchive[目标],663)))</f>
        <v/>
      </c>
      <c r="CE862" t="str">
        <f>IF(663&gt;ROWS(DGArchive[变更前]),"",IF(INDEX(DGArchive[变更前],663)="","",INDEX(DGArchive[变更前],663)))</f>
        <v/>
      </c>
      <c r="CF862" t="str">
        <f>IF(663&gt;ROWS(DGArchive[增减]),"",IF(INDEX(DGArchive[增减],663)="","",INDEX(DGArchive[增减],663)))</f>
        <v/>
      </c>
      <c r="CG862" t="str">
        <f>IF(663&gt;ROWS(DGArchive[变更后]),"",IF(INDEX(DGArchive[变更后],663)="","",INDEX(DGArchive[变更后],663)))</f>
        <v/>
      </c>
      <c r="CH862" t="str">
        <f>IF(663&gt;ROWS(DGArchive[事件／活动]),"",IF(INDEX(DGArchive[事件／活动],663)="","",INDEX(DGArchive[事件／活动],663)))</f>
        <v/>
      </c>
      <c r="CI862" t="str">
        <f>IF(663&gt;ROWS(DGArchive[记录编号]),"",IF(INDEX(DGArchive[记录编号],663)="","",INDEX(DGArchive[记录编号],663)))</f>
        <v/>
      </c>
      <c r="CL862">
        <f t="shared" si="314"/>
        <v>0</v>
      </c>
      <c r="CM862">
        <f>IF(AND(A862=$AO$5,B862=$AQ$3,H862=1),COUNTIFS($A$200:A862,$AO$5,$B$200:B862,$AQ$3,$H$200:H862,1),0)</f>
        <v>0</v>
      </c>
      <c r="CN862">
        <f>IF(CA862="",663,1001)</f>
        <v>663</v>
      </c>
      <c r="GA862">
        <f t="shared" si="334"/>
        <v>0</v>
      </c>
      <c r="GB862">
        <f t="shared" si="335"/>
        <v>0</v>
      </c>
      <c r="GC862">
        <f>IF(AND(C862="事件记录",H862=1),COUNTIFS($C$200:C862,"事件记录",$H$200:H862,1),0)</f>
        <v>0</v>
      </c>
      <c r="GD862">
        <f t="shared" si="315"/>
        <v>0</v>
      </c>
      <c r="GH862">
        <f>IF(AND(H862=1,A862=$GA$10,B862=$GA$11),COUNTIFS($A$200:A862,$GA$10,$B$200:B862,$GA$11,$H$200:H862,1),0)</f>
        <v>0</v>
      </c>
    </row>
    <row r="863" spans="1:190">
      <c r="A863" t="str">
        <f t="shared" si="306"/>
        <v/>
      </c>
      <c r="B863" t="str">
        <f t="shared" si="307"/>
        <v/>
      </c>
      <c r="C863" t="str">
        <f t="shared" si="308"/>
        <v/>
      </c>
      <c r="D863" t="str">
        <f t="shared" si="309"/>
        <v/>
      </c>
      <c r="E863">
        <f t="shared" si="310"/>
        <v>0</v>
      </c>
      <c r="F863" t="str">
        <f t="shared" si="311"/>
        <v/>
      </c>
      <c r="G863">
        <f t="shared" si="312"/>
        <v>0</v>
      </c>
      <c r="H863">
        <f>IF(AND(G863=1,COUNTIFS($I$200:I863,I863,$G$200:G863,1)=1),1,0)</f>
        <v>0</v>
      </c>
      <c r="I863" t="str">
        <f t="shared" si="313"/>
        <v/>
      </c>
      <c r="BF863">
        <f t="shared" si="316"/>
        <v>0</v>
      </c>
      <c r="BG863">
        <f t="shared" si="317"/>
        <v>0</v>
      </c>
      <c r="BH863">
        <f t="shared" si="318"/>
        <v>0</v>
      </c>
      <c r="BI863">
        <f t="shared" si="319"/>
        <v>0</v>
      </c>
      <c r="BJ863">
        <f t="shared" si="320"/>
        <v>0</v>
      </c>
      <c r="BK863">
        <f t="shared" si="321"/>
        <v>0</v>
      </c>
      <c r="BL863">
        <f t="shared" si="322"/>
        <v>0</v>
      </c>
      <c r="BM863">
        <f t="shared" si="323"/>
        <v>0</v>
      </c>
      <c r="BN863">
        <f t="shared" si="324"/>
        <v>0</v>
      </c>
      <c r="BO863">
        <f t="shared" si="325"/>
        <v>0</v>
      </c>
      <c r="BP863">
        <f t="shared" si="326"/>
        <v>0</v>
      </c>
      <c r="BQ863">
        <f t="shared" si="327"/>
        <v>0</v>
      </c>
      <c r="BR863">
        <f t="shared" si="328"/>
        <v>0</v>
      </c>
      <c r="BS863">
        <f t="shared" si="329"/>
        <v>0</v>
      </c>
      <c r="BT863">
        <f t="shared" si="330"/>
        <v>0</v>
      </c>
      <c r="BU863">
        <f t="shared" si="331"/>
        <v>0</v>
      </c>
      <c r="BV863">
        <f t="shared" si="332"/>
        <v>0</v>
      </c>
      <c r="BW863">
        <f t="shared" si="333"/>
        <v>0</v>
      </c>
      <c r="CA863" t="str">
        <f>IF(664&gt;ROWS(DGArchive[模组]),"",IF(INDEX(DGArchive[模组],664)="","",INDEX(DGArchive[模组],664)))</f>
        <v/>
      </c>
      <c r="CB863" t="str">
        <f>IF(664&gt;ROWS(DGArchive[阶段]),"",IF(INDEX(DGArchive[阶段],664)="","",INDEX(DGArchive[阶段],664)))</f>
        <v/>
      </c>
      <c r="CC863" t="str">
        <f>IF(664&gt;ROWS(DGArchive[游戏内日期]),"",IF(INDEX(DGArchive[游戏内日期],664)="","",INDEX(DGArchive[游戏内日期],664)))</f>
        <v/>
      </c>
      <c r="CD863" t="str">
        <f>IF(664&gt;ROWS(DGArchive[目标]),"",IF(INDEX(DGArchive[目标],664)="","",INDEX(DGArchive[目标],664)))</f>
        <v/>
      </c>
      <c r="CE863" t="str">
        <f>IF(664&gt;ROWS(DGArchive[变更前]),"",IF(INDEX(DGArchive[变更前],664)="","",INDEX(DGArchive[变更前],664)))</f>
        <v/>
      </c>
      <c r="CF863" t="str">
        <f>IF(664&gt;ROWS(DGArchive[增减]),"",IF(INDEX(DGArchive[增减],664)="","",INDEX(DGArchive[增减],664)))</f>
        <v/>
      </c>
      <c r="CG863" t="str">
        <f>IF(664&gt;ROWS(DGArchive[变更后]),"",IF(INDEX(DGArchive[变更后],664)="","",INDEX(DGArchive[变更后],664)))</f>
        <v/>
      </c>
      <c r="CH863" t="str">
        <f>IF(664&gt;ROWS(DGArchive[事件／活动]),"",IF(INDEX(DGArchive[事件／活动],664)="","",INDEX(DGArchive[事件／活动],664)))</f>
        <v/>
      </c>
      <c r="CI863" t="str">
        <f>IF(664&gt;ROWS(DGArchive[记录编号]),"",IF(INDEX(DGArchive[记录编号],664)="","",INDEX(DGArchive[记录编号],664)))</f>
        <v/>
      </c>
      <c r="CL863">
        <f t="shared" si="314"/>
        <v>0</v>
      </c>
      <c r="CM863">
        <f>IF(AND(A863=$AO$5,B863=$AQ$3,H863=1),COUNTIFS($A$200:A863,$AO$5,$B$200:B863,$AQ$3,$H$200:H863,1),0)</f>
        <v>0</v>
      </c>
      <c r="CN863">
        <f>IF(CA863="",664,1001)</f>
        <v>664</v>
      </c>
      <c r="GA863">
        <f t="shared" si="334"/>
        <v>0</v>
      </c>
      <c r="GB863">
        <f t="shared" si="335"/>
        <v>0</v>
      </c>
      <c r="GC863">
        <f>IF(AND(C863="事件记录",H863=1),COUNTIFS($C$200:C863,"事件记录",$H$200:H863,1),0)</f>
        <v>0</v>
      </c>
      <c r="GD863">
        <f t="shared" si="315"/>
        <v>0</v>
      </c>
      <c r="GH863">
        <f>IF(AND(H863=1,A863=$GA$10,B863=$GA$11),COUNTIFS($A$200:A863,$GA$10,$B$200:B863,$GA$11,$H$200:H863,1),0)</f>
        <v>0</v>
      </c>
    </row>
    <row r="864" spans="1:190">
      <c r="A864" t="str">
        <f t="shared" si="306"/>
        <v/>
      </c>
      <c r="B864" t="str">
        <f t="shared" si="307"/>
        <v/>
      </c>
      <c r="C864" t="str">
        <f t="shared" si="308"/>
        <v/>
      </c>
      <c r="D864" t="str">
        <f t="shared" si="309"/>
        <v/>
      </c>
      <c r="E864">
        <f t="shared" si="310"/>
        <v>0</v>
      </c>
      <c r="F864" t="str">
        <f t="shared" si="311"/>
        <v/>
      </c>
      <c r="G864">
        <f t="shared" si="312"/>
        <v>0</v>
      </c>
      <c r="H864">
        <f>IF(AND(G864=1,COUNTIFS($I$200:I864,I864,$G$200:G864,1)=1),1,0)</f>
        <v>0</v>
      </c>
      <c r="I864" t="str">
        <f t="shared" si="313"/>
        <v/>
      </c>
      <c r="BF864">
        <f t="shared" si="316"/>
        <v>0</v>
      </c>
      <c r="BG864">
        <f t="shared" si="317"/>
        <v>0</v>
      </c>
      <c r="BH864">
        <f t="shared" si="318"/>
        <v>0</v>
      </c>
      <c r="BI864">
        <f t="shared" si="319"/>
        <v>0</v>
      </c>
      <c r="BJ864">
        <f t="shared" si="320"/>
        <v>0</v>
      </c>
      <c r="BK864">
        <f t="shared" si="321"/>
        <v>0</v>
      </c>
      <c r="BL864">
        <f t="shared" si="322"/>
        <v>0</v>
      </c>
      <c r="BM864">
        <f t="shared" si="323"/>
        <v>0</v>
      </c>
      <c r="BN864">
        <f t="shared" si="324"/>
        <v>0</v>
      </c>
      <c r="BO864">
        <f t="shared" si="325"/>
        <v>0</v>
      </c>
      <c r="BP864">
        <f t="shared" si="326"/>
        <v>0</v>
      </c>
      <c r="BQ864">
        <f t="shared" si="327"/>
        <v>0</v>
      </c>
      <c r="BR864">
        <f t="shared" si="328"/>
        <v>0</v>
      </c>
      <c r="BS864">
        <f t="shared" si="329"/>
        <v>0</v>
      </c>
      <c r="BT864">
        <f t="shared" si="330"/>
        <v>0</v>
      </c>
      <c r="BU864">
        <f t="shared" si="331"/>
        <v>0</v>
      </c>
      <c r="BV864">
        <f t="shared" si="332"/>
        <v>0</v>
      </c>
      <c r="BW864">
        <f t="shared" si="333"/>
        <v>0</v>
      </c>
      <c r="CA864" t="str">
        <f>IF(665&gt;ROWS(DGArchive[模组]),"",IF(INDEX(DGArchive[模组],665)="","",INDEX(DGArchive[模组],665)))</f>
        <v/>
      </c>
      <c r="CB864" t="str">
        <f>IF(665&gt;ROWS(DGArchive[阶段]),"",IF(INDEX(DGArchive[阶段],665)="","",INDEX(DGArchive[阶段],665)))</f>
        <v/>
      </c>
      <c r="CC864" t="str">
        <f>IF(665&gt;ROWS(DGArchive[游戏内日期]),"",IF(INDEX(DGArchive[游戏内日期],665)="","",INDEX(DGArchive[游戏内日期],665)))</f>
        <v/>
      </c>
      <c r="CD864" t="str">
        <f>IF(665&gt;ROWS(DGArchive[目标]),"",IF(INDEX(DGArchive[目标],665)="","",INDEX(DGArchive[目标],665)))</f>
        <v/>
      </c>
      <c r="CE864" t="str">
        <f>IF(665&gt;ROWS(DGArchive[变更前]),"",IF(INDEX(DGArchive[变更前],665)="","",INDEX(DGArchive[变更前],665)))</f>
        <v/>
      </c>
      <c r="CF864" t="str">
        <f>IF(665&gt;ROWS(DGArchive[增减]),"",IF(INDEX(DGArchive[增减],665)="","",INDEX(DGArchive[增减],665)))</f>
        <v/>
      </c>
      <c r="CG864" t="str">
        <f>IF(665&gt;ROWS(DGArchive[变更后]),"",IF(INDEX(DGArchive[变更后],665)="","",INDEX(DGArchive[变更后],665)))</f>
        <v/>
      </c>
      <c r="CH864" t="str">
        <f>IF(665&gt;ROWS(DGArchive[事件／活动]),"",IF(INDEX(DGArchive[事件／活动],665)="","",INDEX(DGArchive[事件／活动],665)))</f>
        <v/>
      </c>
      <c r="CI864" t="str">
        <f>IF(665&gt;ROWS(DGArchive[记录编号]),"",IF(INDEX(DGArchive[记录编号],665)="","",INDEX(DGArchive[记录编号],665)))</f>
        <v/>
      </c>
      <c r="CL864">
        <f t="shared" si="314"/>
        <v>0</v>
      </c>
      <c r="CM864">
        <f>IF(AND(A864=$AO$5,B864=$AQ$3,H864=1),COUNTIFS($A$200:A864,$AO$5,$B$200:B864,$AQ$3,$H$200:H864,1),0)</f>
        <v>0</v>
      </c>
      <c r="CN864">
        <f>IF(CA864="",665,1001)</f>
        <v>665</v>
      </c>
      <c r="GA864">
        <f t="shared" si="334"/>
        <v>0</v>
      </c>
      <c r="GB864">
        <f t="shared" si="335"/>
        <v>0</v>
      </c>
      <c r="GC864">
        <f>IF(AND(C864="事件记录",H864=1),COUNTIFS($C$200:C864,"事件记录",$H$200:H864,1),0)</f>
        <v>0</v>
      </c>
      <c r="GD864">
        <f t="shared" si="315"/>
        <v>0</v>
      </c>
      <c r="GH864">
        <f>IF(AND(H864=1,A864=$GA$10,B864=$GA$11),COUNTIFS($A$200:A864,$GA$10,$B$200:B864,$GA$11,$H$200:H864,1),0)</f>
        <v>0</v>
      </c>
    </row>
    <row r="865" spans="1:190">
      <c r="A865" t="str">
        <f t="shared" si="306"/>
        <v/>
      </c>
      <c r="B865" t="str">
        <f t="shared" si="307"/>
        <v/>
      </c>
      <c r="C865" t="str">
        <f t="shared" si="308"/>
        <v/>
      </c>
      <c r="D865" t="str">
        <f t="shared" si="309"/>
        <v/>
      </c>
      <c r="E865">
        <f t="shared" si="310"/>
        <v>0</v>
      </c>
      <c r="F865" t="str">
        <f t="shared" si="311"/>
        <v/>
      </c>
      <c r="G865">
        <f t="shared" si="312"/>
        <v>0</v>
      </c>
      <c r="H865">
        <f>IF(AND(G865=1,COUNTIFS($I$200:I865,I865,$G$200:G865,1)=1),1,0)</f>
        <v>0</v>
      </c>
      <c r="I865" t="str">
        <f t="shared" si="313"/>
        <v/>
      </c>
      <c r="BF865">
        <f t="shared" si="316"/>
        <v>0</v>
      </c>
      <c r="BG865">
        <f t="shared" si="317"/>
        <v>0</v>
      </c>
      <c r="BH865">
        <f t="shared" si="318"/>
        <v>0</v>
      </c>
      <c r="BI865">
        <f t="shared" si="319"/>
        <v>0</v>
      </c>
      <c r="BJ865">
        <f t="shared" si="320"/>
        <v>0</v>
      </c>
      <c r="BK865">
        <f t="shared" si="321"/>
        <v>0</v>
      </c>
      <c r="BL865">
        <f t="shared" si="322"/>
        <v>0</v>
      </c>
      <c r="BM865">
        <f t="shared" si="323"/>
        <v>0</v>
      </c>
      <c r="BN865">
        <f t="shared" si="324"/>
        <v>0</v>
      </c>
      <c r="BO865">
        <f t="shared" si="325"/>
        <v>0</v>
      </c>
      <c r="BP865">
        <f t="shared" si="326"/>
        <v>0</v>
      </c>
      <c r="BQ865">
        <f t="shared" si="327"/>
        <v>0</v>
      </c>
      <c r="BR865">
        <f t="shared" si="328"/>
        <v>0</v>
      </c>
      <c r="BS865">
        <f t="shared" si="329"/>
        <v>0</v>
      </c>
      <c r="BT865">
        <f t="shared" si="330"/>
        <v>0</v>
      </c>
      <c r="BU865">
        <f t="shared" si="331"/>
        <v>0</v>
      </c>
      <c r="BV865">
        <f t="shared" si="332"/>
        <v>0</v>
      </c>
      <c r="BW865">
        <f t="shared" si="333"/>
        <v>0</v>
      </c>
      <c r="CA865" t="str">
        <f>IF(666&gt;ROWS(DGArchive[模组]),"",IF(INDEX(DGArchive[模组],666)="","",INDEX(DGArchive[模组],666)))</f>
        <v/>
      </c>
      <c r="CB865" t="str">
        <f>IF(666&gt;ROWS(DGArchive[阶段]),"",IF(INDEX(DGArchive[阶段],666)="","",INDEX(DGArchive[阶段],666)))</f>
        <v/>
      </c>
      <c r="CC865" t="str">
        <f>IF(666&gt;ROWS(DGArchive[游戏内日期]),"",IF(INDEX(DGArchive[游戏内日期],666)="","",INDEX(DGArchive[游戏内日期],666)))</f>
        <v/>
      </c>
      <c r="CD865" t="str">
        <f>IF(666&gt;ROWS(DGArchive[目标]),"",IF(INDEX(DGArchive[目标],666)="","",INDEX(DGArchive[目标],666)))</f>
        <v/>
      </c>
      <c r="CE865" t="str">
        <f>IF(666&gt;ROWS(DGArchive[变更前]),"",IF(INDEX(DGArchive[变更前],666)="","",INDEX(DGArchive[变更前],666)))</f>
        <v/>
      </c>
      <c r="CF865" t="str">
        <f>IF(666&gt;ROWS(DGArchive[增减]),"",IF(INDEX(DGArchive[增减],666)="","",INDEX(DGArchive[增减],666)))</f>
        <v/>
      </c>
      <c r="CG865" t="str">
        <f>IF(666&gt;ROWS(DGArchive[变更后]),"",IF(INDEX(DGArchive[变更后],666)="","",INDEX(DGArchive[变更后],666)))</f>
        <v/>
      </c>
      <c r="CH865" t="str">
        <f>IF(666&gt;ROWS(DGArchive[事件／活动]),"",IF(INDEX(DGArchive[事件／活动],666)="","",INDEX(DGArchive[事件／活动],666)))</f>
        <v/>
      </c>
      <c r="CI865" t="str">
        <f>IF(666&gt;ROWS(DGArchive[记录编号]),"",IF(INDEX(DGArchive[记录编号],666)="","",INDEX(DGArchive[记录编号],666)))</f>
        <v/>
      </c>
      <c r="CL865">
        <f t="shared" si="314"/>
        <v>0</v>
      </c>
      <c r="CM865">
        <f>IF(AND(A865=$AO$5,B865=$AQ$3,H865=1),COUNTIFS($A$200:A865,$AO$5,$B$200:B865,$AQ$3,$H$200:H865,1),0)</f>
        <v>0</v>
      </c>
      <c r="CN865">
        <f>IF(CA865="",666,1001)</f>
        <v>666</v>
      </c>
      <c r="GA865">
        <f t="shared" si="334"/>
        <v>0</v>
      </c>
      <c r="GB865">
        <f t="shared" si="335"/>
        <v>0</v>
      </c>
      <c r="GC865">
        <f>IF(AND(C865="事件记录",H865=1),COUNTIFS($C$200:C865,"事件记录",$H$200:H865,1),0)</f>
        <v>0</v>
      </c>
      <c r="GD865">
        <f t="shared" si="315"/>
        <v>0</v>
      </c>
      <c r="GH865">
        <f>IF(AND(H865=1,A865=$GA$10,B865=$GA$11),COUNTIFS($A$200:A865,$GA$10,$B$200:B865,$GA$11,$H$200:H865,1),0)</f>
        <v>0</v>
      </c>
    </row>
    <row r="866" spans="1:190">
      <c r="A866" t="str">
        <f t="shared" si="306"/>
        <v/>
      </c>
      <c r="B866" t="str">
        <f t="shared" si="307"/>
        <v/>
      </c>
      <c r="C866" t="str">
        <f t="shared" si="308"/>
        <v/>
      </c>
      <c r="D866" t="str">
        <f t="shared" si="309"/>
        <v/>
      </c>
      <c r="E866">
        <f t="shared" si="310"/>
        <v>0</v>
      </c>
      <c r="F866" t="str">
        <f t="shared" si="311"/>
        <v/>
      </c>
      <c r="G866">
        <f t="shared" si="312"/>
        <v>0</v>
      </c>
      <c r="H866">
        <f>IF(AND(G866=1,COUNTIFS($I$200:I866,I866,$G$200:G866,1)=1),1,0)</f>
        <v>0</v>
      </c>
      <c r="I866" t="str">
        <f t="shared" si="313"/>
        <v/>
      </c>
      <c r="BF866">
        <f t="shared" si="316"/>
        <v>0</v>
      </c>
      <c r="BG866">
        <f t="shared" si="317"/>
        <v>0</v>
      </c>
      <c r="BH866">
        <f t="shared" si="318"/>
        <v>0</v>
      </c>
      <c r="BI866">
        <f t="shared" si="319"/>
        <v>0</v>
      </c>
      <c r="BJ866">
        <f t="shared" si="320"/>
        <v>0</v>
      </c>
      <c r="BK866">
        <f t="shared" si="321"/>
        <v>0</v>
      </c>
      <c r="BL866">
        <f t="shared" si="322"/>
        <v>0</v>
      </c>
      <c r="BM866">
        <f t="shared" si="323"/>
        <v>0</v>
      </c>
      <c r="BN866">
        <f t="shared" si="324"/>
        <v>0</v>
      </c>
      <c r="BO866">
        <f t="shared" si="325"/>
        <v>0</v>
      </c>
      <c r="BP866">
        <f t="shared" si="326"/>
        <v>0</v>
      </c>
      <c r="BQ866">
        <f t="shared" si="327"/>
        <v>0</v>
      </c>
      <c r="BR866">
        <f t="shared" si="328"/>
        <v>0</v>
      </c>
      <c r="BS866">
        <f t="shared" si="329"/>
        <v>0</v>
      </c>
      <c r="BT866">
        <f t="shared" si="330"/>
        <v>0</v>
      </c>
      <c r="BU866">
        <f t="shared" si="331"/>
        <v>0</v>
      </c>
      <c r="BV866">
        <f t="shared" si="332"/>
        <v>0</v>
      </c>
      <c r="BW866">
        <f t="shared" si="333"/>
        <v>0</v>
      </c>
      <c r="CA866" t="str">
        <f>IF(667&gt;ROWS(DGArchive[模组]),"",IF(INDEX(DGArchive[模组],667)="","",INDEX(DGArchive[模组],667)))</f>
        <v/>
      </c>
      <c r="CB866" t="str">
        <f>IF(667&gt;ROWS(DGArchive[阶段]),"",IF(INDEX(DGArchive[阶段],667)="","",INDEX(DGArchive[阶段],667)))</f>
        <v/>
      </c>
      <c r="CC866" t="str">
        <f>IF(667&gt;ROWS(DGArchive[游戏内日期]),"",IF(INDEX(DGArchive[游戏内日期],667)="","",INDEX(DGArchive[游戏内日期],667)))</f>
        <v/>
      </c>
      <c r="CD866" t="str">
        <f>IF(667&gt;ROWS(DGArchive[目标]),"",IF(INDEX(DGArchive[目标],667)="","",INDEX(DGArchive[目标],667)))</f>
        <v/>
      </c>
      <c r="CE866" t="str">
        <f>IF(667&gt;ROWS(DGArchive[变更前]),"",IF(INDEX(DGArchive[变更前],667)="","",INDEX(DGArchive[变更前],667)))</f>
        <v/>
      </c>
      <c r="CF866" t="str">
        <f>IF(667&gt;ROWS(DGArchive[增减]),"",IF(INDEX(DGArchive[增减],667)="","",INDEX(DGArchive[增减],667)))</f>
        <v/>
      </c>
      <c r="CG866" t="str">
        <f>IF(667&gt;ROWS(DGArchive[变更后]),"",IF(INDEX(DGArchive[变更后],667)="","",INDEX(DGArchive[变更后],667)))</f>
        <v/>
      </c>
      <c r="CH866" t="str">
        <f>IF(667&gt;ROWS(DGArchive[事件／活动]),"",IF(INDEX(DGArchive[事件／活动],667)="","",INDEX(DGArchive[事件／活动],667)))</f>
        <v/>
      </c>
      <c r="CI866" t="str">
        <f>IF(667&gt;ROWS(DGArchive[记录编号]),"",IF(INDEX(DGArchive[记录编号],667)="","",INDEX(DGArchive[记录编号],667)))</f>
        <v/>
      </c>
      <c r="CL866">
        <f t="shared" si="314"/>
        <v>0</v>
      </c>
      <c r="CM866">
        <f>IF(AND(A866=$AO$5,B866=$AQ$3,H866=1),COUNTIFS($A$200:A866,$AO$5,$B$200:B866,$AQ$3,$H$200:H866,1),0)</f>
        <v>0</v>
      </c>
      <c r="CN866">
        <f>IF(CA866="",667,1001)</f>
        <v>667</v>
      </c>
      <c r="GA866">
        <f t="shared" si="334"/>
        <v>0</v>
      </c>
      <c r="GB866">
        <f t="shared" si="335"/>
        <v>0</v>
      </c>
      <c r="GC866">
        <f>IF(AND(C866="事件记录",H866=1),COUNTIFS($C$200:C866,"事件记录",$H$200:H866,1),0)</f>
        <v>0</v>
      </c>
      <c r="GD866">
        <f t="shared" si="315"/>
        <v>0</v>
      </c>
      <c r="GH866">
        <f>IF(AND(H866=1,A866=$GA$10,B866=$GA$11),COUNTIFS($A$200:A866,$GA$10,$B$200:B866,$GA$11,$H$200:H866,1),0)</f>
        <v>0</v>
      </c>
    </row>
    <row r="867" spans="1:190">
      <c r="A867" t="str">
        <f t="shared" si="306"/>
        <v/>
      </c>
      <c r="B867" t="str">
        <f t="shared" si="307"/>
        <v/>
      </c>
      <c r="C867" t="str">
        <f t="shared" si="308"/>
        <v/>
      </c>
      <c r="D867" t="str">
        <f t="shared" si="309"/>
        <v/>
      </c>
      <c r="E867">
        <f t="shared" si="310"/>
        <v>0</v>
      </c>
      <c r="F867" t="str">
        <f t="shared" si="311"/>
        <v/>
      </c>
      <c r="G867">
        <f t="shared" si="312"/>
        <v>0</v>
      </c>
      <c r="H867">
        <f>IF(AND(G867=1,COUNTIFS($I$200:I867,I867,$G$200:G867,1)=1),1,0)</f>
        <v>0</v>
      </c>
      <c r="I867" t="str">
        <f t="shared" si="313"/>
        <v/>
      </c>
      <c r="BF867">
        <f t="shared" si="316"/>
        <v>0</v>
      </c>
      <c r="BG867">
        <f t="shared" si="317"/>
        <v>0</v>
      </c>
      <c r="BH867">
        <f t="shared" si="318"/>
        <v>0</v>
      </c>
      <c r="BI867">
        <f t="shared" si="319"/>
        <v>0</v>
      </c>
      <c r="BJ867">
        <f t="shared" si="320"/>
        <v>0</v>
      </c>
      <c r="BK867">
        <f t="shared" si="321"/>
        <v>0</v>
      </c>
      <c r="BL867">
        <f t="shared" si="322"/>
        <v>0</v>
      </c>
      <c r="BM867">
        <f t="shared" si="323"/>
        <v>0</v>
      </c>
      <c r="BN867">
        <f t="shared" si="324"/>
        <v>0</v>
      </c>
      <c r="BO867">
        <f t="shared" si="325"/>
        <v>0</v>
      </c>
      <c r="BP867">
        <f t="shared" si="326"/>
        <v>0</v>
      </c>
      <c r="BQ867">
        <f t="shared" si="327"/>
        <v>0</v>
      </c>
      <c r="BR867">
        <f t="shared" si="328"/>
        <v>0</v>
      </c>
      <c r="BS867">
        <f t="shared" si="329"/>
        <v>0</v>
      </c>
      <c r="BT867">
        <f t="shared" si="330"/>
        <v>0</v>
      </c>
      <c r="BU867">
        <f t="shared" si="331"/>
        <v>0</v>
      </c>
      <c r="BV867">
        <f t="shared" si="332"/>
        <v>0</v>
      </c>
      <c r="BW867">
        <f t="shared" si="333"/>
        <v>0</v>
      </c>
      <c r="CA867" t="str">
        <f>IF(668&gt;ROWS(DGArchive[模组]),"",IF(INDEX(DGArchive[模组],668)="","",INDEX(DGArchive[模组],668)))</f>
        <v/>
      </c>
      <c r="CB867" t="str">
        <f>IF(668&gt;ROWS(DGArchive[阶段]),"",IF(INDEX(DGArchive[阶段],668)="","",INDEX(DGArchive[阶段],668)))</f>
        <v/>
      </c>
      <c r="CC867" t="str">
        <f>IF(668&gt;ROWS(DGArchive[游戏内日期]),"",IF(INDEX(DGArchive[游戏内日期],668)="","",INDEX(DGArchive[游戏内日期],668)))</f>
        <v/>
      </c>
      <c r="CD867" t="str">
        <f>IF(668&gt;ROWS(DGArchive[目标]),"",IF(INDEX(DGArchive[目标],668)="","",INDEX(DGArchive[目标],668)))</f>
        <v/>
      </c>
      <c r="CE867" t="str">
        <f>IF(668&gt;ROWS(DGArchive[变更前]),"",IF(INDEX(DGArchive[变更前],668)="","",INDEX(DGArchive[变更前],668)))</f>
        <v/>
      </c>
      <c r="CF867" t="str">
        <f>IF(668&gt;ROWS(DGArchive[增减]),"",IF(INDEX(DGArchive[增减],668)="","",INDEX(DGArchive[增减],668)))</f>
        <v/>
      </c>
      <c r="CG867" t="str">
        <f>IF(668&gt;ROWS(DGArchive[变更后]),"",IF(INDEX(DGArchive[变更后],668)="","",INDEX(DGArchive[变更后],668)))</f>
        <v/>
      </c>
      <c r="CH867" t="str">
        <f>IF(668&gt;ROWS(DGArchive[事件／活动]),"",IF(INDEX(DGArchive[事件／活动],668)="","",INDEX(DGArchive[事件／活动],668)))</f>
        <v/>
      </c>
      <c r="CI867" t="str">
        <f>IF(668&gt;ROWS(DGArchive[记录编号]),"",IF(INDEX(DGArchive[记录编号],668)="","",INDEX(DGArchive[记录编号],668)))</f>
        <v/>
      </c>
      <c r="CL867">
        <f t="shared" si="314"/>
        <v>0</v>
      </c>
      <c r="CM867">
        <f>IF(AND(A867=$AO$5,B867=$AQ$3,H867=1),COUNTIFS($A$200:A867,$AO$5,$B$200:B867,$AQ$3,$H$200:H867,1),0)</f>
        <v>0</v>
      </c>
      <c r="CN867">
        <f>IF(CA867="",668,1001)</f>
        <v>668</v>
      </c>
      <c r="GA867">
        <f t="shared" si="334"/>
        <v>0</v>
      </c>
      <c r="GB867">
        <f t="shared" si="335"/>
        <v>0</v>
      </c>
      <c r="GC867">
        <f>IF(AND(C867="事件记录",H867=1),COUNTIFS($C$200:C867,"事件记录",$H$200:H867,1),0)</f>
        <v>0</v>
      </c>
      <c r="GD867">
        <f t="shared" si="315"/>
        <v>0</v>
      </c>
      <c r="GH867">
        <f>IF(AND(H867=1,A867=$GA$10,B867=$GA$11),COUNTIFS($A$200:A867,$GA$10,$B$200:B867,$GA$11,$H$200:H867,1),0)</f>
        <v>0</v>
      </c>
    </row>
    <row r="868" spans="1:190">
      <c r="A868" t="str">
        <f t="shared" si="306"/>
        <v/>
      </c>
      <c r="B868" t="str">
        <f t="shared" si="307"/>
        <v/>
      </c>
      <c r="C868" t="str">
        <f t="shared" si="308"/>
        <v/>
      </c>
      <c r="D868" t="str">
        <f t="shared" si="309"/>
        <v/>
      </c>
      <c r="E868">
        <f t="shared" si="310"/>
        <v>0</v>
      </c>
      <c r="F868" t="str">
        <f t="shared" si="311"/>
        <v/>
      </c>
      <c r="G868">
        <f t="shared" si="312"/>
        <v>0</v>
      </c>
      <c r="H868">
        <f>IF(AND(G868=1,COUNTIFS($I$200:I868,I868,$G$200:G868,1)=1),1,0)</f>
        <v>0</v>
      </c>
      <c r="I868" t="str">
        <f t="shared" si="313"/>
        <v/>
      </c>
      <c r="BF868">
        <f t="shared" si="316"/>
        <v>0</v>
      </c>
      <c r="BG868">
        <f t="shared" si="317"/>
        <v>0</v>
      </c>
      <c r="BH868">
        <f t="shared" si="318"/>
        <v>0</v>
      </c>
      <c r="BI868">
        <f t="shared" si="319"/>
        <v>0</v>
      </c>
      <c r="BJ868">
        <f t="shared" si="320"/>
        <v>0</v>
      </c>
      <c r="BK868">
        <f t="shared" si="321"/>
        <v>0</v>
      </c>
      <c r="BL868">
        <f t="shared" si="322"/>
        <v>0</v>
      </c>
      <c r="BM868">
        <f t="shared" si="323"/>
        <v>0</v>
      </c>
      <c r="BN868">
        <f t="shared" si="324"/>
        <v>0</v>
      </c>
      <c r="BO868">
        <f t="shared" si="325"/>
        <v>0</v>
      </c>
      <c r="BP868">
        <f t="shared" si="326"/>
        <v>0</v>
      </c>
      <c r="BQ868">
        <f t="shared" si="327"/>
        <v>0</v>
      </c>
      <c r="BR868">
        <f t="shared" si="328"/>
        <v>0</v>
      </c>
      <c r="BS868">
        <f t="shared" si="329"/>
        <v>0</v>
      </c>
      <c r="BT868">
        <f t="shared" si="330"/>
        <v>0</v>
      </c>
      <c r="BU868">
        <f t="shared" si="331"/>
        <v>0</v>
      </c>
      <c r="BV868">
        <f t="shared" si="332"/>
        <v>0</v>
      </c>
      <c r="BW868">
        <f t="shared" si="333"/>
        <v>0</v>
      </c>
      <c r="CA868" t="str">
        <f>IF(669&gt;ROWS(DGArchive[模组]),"",IF(INDEX(DGArchive[模组],669)="","",INDEX(DGArchive[模组],669)))</f>
        <v/>
      </c>
      <c r="CB868" t="str">
        <f>IF(669&gt;ROWS(DGArchive[阶段]),"",IF(INDEX(DGArchive[阶段],669)="","",INDEX(DGArchive[阶段],669)))</f>
        <v/>
      </c>
      <c r="CC868" t="str">
        <f>IF(669&gt;ROWS(DGArchive[游戏内日期]),"",IF(INDEX(DGArchive[游戏内日期],669)="","",INDEX(DGArchive[游戏内日期],669)))</f>
        <v/>
      </c>
      <c r="CD868" t="str">
        <f>IF(669&gt;ROWS(DGArchive[目标]),"",IF(INDEX(DGArchive[目标],669)="","",INDEX(DGArchive[目标],669)))</f>
        <v/>
      </c>
      <c r="CE868" t="str">
        <f>IF(669&gt;ROWS(DGArchive[变更前]),"",IF(INDEX(DGArchive[变更前],669)="","",INDEX(DGArchive[变更前],669)))</f>
        <v/>
      </c>
      <c r="CF868" t="str">
        <f>IF(669&gt;ROWS(DGArchive[增减]),"",IF(INDEX(DGArchive[增减],669)="","",INDEX(DGArchive[增减],669)))</f>
        <v/>
      </c>
      <c r="CG868" t="str">
        <f>IF(669&gt;ROWS(DGArchive[变更后]),"",IF(INDEX(DGArchive[变更后],669)="","",INDEX(DGArchive[变更后],669)))</f>
        <v/>
      </c>
      <c r="CH868" t="str">
        <f>IF(669&gt;ROWS(DGArchive[事件／活动]),"",IF(INDEX(DGArchive[事件／活动],669)="","",INDEX(DGArchive[事件／活动],669)))</f>
        <v/>
      </c>
      <c r="CI868" t="str">
        <f>IF(669&gt;ROWS(DGArchive[记录编号]),"",IF(INDEX(DGArchive[记录编号],669)="","",INDEX(DGArchive[记录编号],669)))</f>
        <v/>
      </c>
      <c r="CL868">
        <f t="shared" si="314"/>
        <v>0</v>
      </c>
      <c r="CM868">
        <f>IF(AND(A868=$AO$5,B868=$AQ$3,H868=1),COUNTIFS($A$200:A868,$AO$5,$B$200:B868,$AQ$3,$H$200:H868,1),0)</f>
        <v>0</v>
      </c>
      <c r="CN868">
        <f>IF(CA868="",669,1001)</f>
        <v>669</v>
      </c>
      <c r="GA868">
        <f t="shared" si="334"/>
        <v>0</v>
      </c>
      <c r="GB868">
        <f t="shared" si="335"/>
        <v>0</v>
      </c>
      <c r="GC868">
        <f>IF(AND(C868="事件记录",H868=1),COUNTIFS($C$200:C868,"事件记录",$H$200:H868,1),0)</f>
        <v>0</v>
      </c>
      <c r="GD868">
        <f t="shared" si="315"/>
        <v>0</v>
      </c>
      <c r="GH868">
        <f>IF(AND(H868=1,A868=$GA$10,B868=$GA$11),COUNTIFS($A$200:A868,$GA$10,$B$200:B868,$GA$11,$H$200:H868,1),0)</f>
        <v>0</v>
      </c>
    </row>
    <row r="869" spans="1:190">
      <c r="A869" t="str">
        <f t="shared" si="306"/>
        <v/>
      </c>
      <c r="B869" t="str">
        <f t="shared" si="307"/>
        <v/>
      </c>
      <c r="C869" t="str">
        <f t="shared" si="308"/>
        <v/>
      </c>
      <c r="D869" t="str">
        <f t="shared" si="309"/>
        <v/>
      </c>
      <c r="E869">
        <f t="shared" si="310"/>
        <v>0</v>
      </c>
      <c r="F869" t="str">
        <f t="shared" si="311"/>
        <v/>
      </c>
      <c r="G869">
        <f t="shared" si="312"/>
        <v>0</v>
      </c>
      <c r="H869">
        <f>IF(AND(G869=1,COUNTIFS($I$200:I869,I869,$G$200:G869,1)=1),1,0)</f>
        <v>0</v>
      </c>
      <c r="I869" t="str">
        <f t="shared" si="313"/>
        <v/>
      </c>
      <c r="BF869">
        <f t="shared" si="316"/>
        <v>0</v>
      </c>
      <c r="BG869">
        <f t="shared" si="317"/>
        <v>0</v>
      </c>
      <c r="BH869">
        <f t="shared" si="318"/>
        <v>0</v>
      </c>
      <c r="BI869">
        <f t="shared" si="319"/>
        <v>0</v>
      </c>
      <c r="BJ869">
        <f t="shared" si="320"/>
        <v>0</v>
      </c>
      <c r="BK869">
        <f t="shared" si="321"/>
        <v>0</v>
      </c>
      <c r="BL869">
        <f t="shared" si="322"/>
        <v>0</v>
      </c>
      <c r="BM869">
        <f t="shared" si="323"/>
        <v>0</v>
      </c>
      <c r="BN869">
        <f t="shared" si="324"/>
        <v>0</v>
      </c>
      <c r="BO869">
        <f t="shared" si="325"/>
        <v>0</v>
      </c>
      <c r="BP869">
        <f t="shared" si="326"/>
        <v>0</v>
      </c>
      <c r="BQ869">
        <f t="shared" si="327"/>
        <v>0</v>
      </c>
      <c r="BR869">
        <f t="shared" si="328"/>
        <v>0</v>
      </c>
      <c r="BS869">
        <f t="shared" si="329"/>
        <v>0</v>
      </c>
      <c r="BT869">
        <f t="shared" si="330"/>
        <v>0</v>
      </c>
      <c r="BU869">
        <f t="shared" si="331"/>
        <v>0</v>
      </c>
      <c r="BV869">
        <f t="shared" si="332"/>
        <v>0</v>
      </c>
      <c r="BW869">
        <f t="shared" si="333"/>
        <v>0</v>
      </c>
      <c r="CA869" t="str">
        <f>IF(670&gt;ROWS(DGArchive[模组]),"",IF(INDEX(DGArchive[模组],670)="","",INDEX(DGArchive[模组],670)))</f>
        <v/>
      </c>
      <c r="CB869" t="str">
        <f>IF(670&gt;ROWS(DGArchive[阶段]),"",IF(INDEX(DGArchive[阶段],670)="","",INDEX(DGArchive[阶段],670)))</f>
        <v/>
      </c>
      <c r="CC869" t="str">
        <f>IF(670&gt;ROWS(DGArchive[游戏内日期]),"",IF(INDEX(DGArchive[游戏内日期],670)="","",INDEX(DGArchive[游戏内日期],670)))</f>
        <v/>
      </c>
      <c r="CD869" t="str">
        <f>IF(670&gt;ROWS(DGArchive[目标]),"",IF(INDEX(DGArchive[目标],670)="","",INDEX(DGArchive[目标],670)))</f>
        <v/>
      </c>
      <c r="CE869" t="str">
        <f>IF(670&gt;ROWS(DGArchive[变更前]),"",IF(INDEX(DGArchive[变更前],670)="","",INDEX(DGArchive[变更前],670)))</f>
        <v/>
      </c>
      <c r="CF869" t="str">
        <f>IF(670&gt;ROWS(DGArchive[增减]),"",IF(INDEX(DGArchive[增减],670)="","",INDEX(DGArchive[增减],670)))</f>
        <v/>
      </c>
      <c r="CG869" t="str">
        <f>IF(670&gt;ROWS(DGArchive[变更后]),"",IF(INDEX(DGArchive[变更后],670)="","",INDEX(DGArchive[变更后],670)))</f>
        <v/>
      </c>
      <c r="CH869" t="str">
        <f>IF(670&gt;ROWS(DGArchive[事件／活动]),"",IF(INDEX(DGArchive[事件／活动],670)="","",INDEX(DGArchive[事件／活动],670)))</f>
        <v/>
      </c>
      <c r="CI869" t="str">
        <f>IF(670&gt;ROWS(DGArchive[记录编号]),"",IF(INDEX(DGArchive[记录编号],670)="","",INDEX(DGArchive[记录编号],670)))</f>
        <v/>
      </c>
      <c r="CL869">
        <f t="shared" si="314"/>
        <v>0</v>
      </c>
      <c r="CM869">
        <f>IF(AND(A869=$AO$5,B869=$AQ$3,H869=1),COUNTIFS($A$200:A869,$AO$5,$B$200:B869,$AQ$3,$H$200:H869,1),0)</f>
        <v>0</v>
      </c>
      <c r="CN869">
        <f>IF(CA869="",670,1001)</f>
        <v>670</v>
      </c>
      <c r="GA869">
        <f t="shared" si="334"/>
        <v>0</v>
      </c>
      <c r="GB869">
        <f t="shared" si="335"/>
        <v>0</v>
      </c>
      <c r="GC869">
        <f>IF(AND(C869="事件记录",H869=1),COUNTIFS($C$200:C869,"事件记录",$H$200:H869,1),0)</f>
        <v>0</v>
      </c>
      <c r="GD869">
        <f t="shared" si="315"/>
        <v>0</v>
      </c>
      <c r="GH869">
        <f>IF(AND(H869=1,A869=$GA$10,B869=$GA$11),COUNTIFS($A$200:A869,$GA$10,$B$200:B869,$GA$11,$H$200:H869,1),0)</f>
        <v>0</v>
      </c>
    </row>
    <row r="870" spans="1:190">
      <c r="A870" t="str">
        <f t="shared" si="306"/>
        <v/>
      </c>
      <c r="B870" t="str">
        <f t="shared" si="307"/>
        <v/>
      </c>
      <c r="C870" t="str">
        <f t="shared" si="308"/>
        <v/>
      </c>
      <c r="D870" t="str">
        <f t="shared" si="309"/>
        <v/>
      </c>
      <c r="E870">
        <f t="shared" si="310"/>
        <v>0</v>
      </c>
      <c r="F870" t="str">
        <f t="shared" si="311"/>
        <v/>
      </c>
      <c r="G870">
        <f t="shared" si="312"/>
        <v>0</v>
      </c>
      <c r="H870">
        <f>IF(AND(G870=1,COUNTIFS($I$200:I870,I870,$G$200:G870,1)=1),1,0)</f>
        <v>0</v>
      </c>
      <c r="I870" t="str">
        <f t="shared" si="313"/>
        <v/>
      </c>
      <c r="BF870">
        <f t="shared" si="316"/>
        <v>0</v>
      </c>
      <c r="BG870">
        <f t="shared" si="317"/>
        <v>0</v>
      </c>
      <c r="BH870">
        <f t="shared" si="318"/>
        <v>0</v>
      </c>
      <c r="BI870">
        <f t="shared" si="319"/>
        <v>0</v>
      </c>
      <c r="BJ870">
        <f t="shared" si="320"/>
        <v>0</v>
      </c>
      <c r="BK870">
        <f t="shared" si="321"/>
        <v>0</v>
      </c>
      <c r="BL870">
        <f t="shared" si="322"/>
        <v>0</v>
      </c>
      <c r="BM870">
        <f t="shared" si="323"/>
        <v>0</v>
      </c>
      <c r="BN870">
        <f t="shared" si="324"/>
        <v>0</v>
      </c>
      <c r="BO870">
        <f t="shared" si="325"/>
        <v>0</v>
      </c>
      <c r="BP870">
        <f t="shared" si="326"/>
        <v>0</v>
      </c>
      <c r="BQ870">
        <f t="shared" si="327"/>
        <v>0</v>
      </c>
      <c r="BR870">
        <f t="shared" si="328"/>
        <v>0</v>
      </c>
      <c r="BS870">
        <f t="shared" si="329"/>
        <v>0</v>
      </c>
      <c r="BT870">
        <f t="shared" si="330"/>
        <v>0</v>
      </c>
      <c r="BU870">
        <f t="shared" si="331"/>
        <v>0</v>
      </c>
      <c r="BV870">
        <f t="shared" si="332"/>
        <v>0</v>
      </c>
      <c r="BW870">
        <f t="shared" si="333"/>
        <v>0</v>
      </c>
      <c r="CA870" t="str">
        <f>IF(671&gt;ROWS(DGArchive[模组]),"",IF(INDEX(DGArchive[模组],671)="","",INDEX(DGArchive[模组],671)))</f>
        <v/>
      </c>
      <c r="CB870" t="str">
        <f>IF(671&gt;ROWS(DGArchive[阶段]),"",IF(INDEX(DGArchive[阶段],671)="","",INDEX(DGArchive[阶段],671)))</f>
        <v/>
      </c>
      <c r="CC870" t="str">
        <f>IF(671&gt;ROWS(DGArchive[游戏内日期]),"",IF(INDEX(DGArchive[游戏内日期],671)="","",INDEX(DGArchive[游戏内日期],671)))</f>
        <v/>
      </c>
      <c r="CD870" t="str">
        <f>IF(671&gt;ROWS(DGArchive[目标]),"",IF(INDEX(DGArchive[目标],671)="","",INDEX(DGArchive[目标],671)))</f>
        <v/>
      </c>
      <c r="CE870" t="str">
        <f>IF(671&gt;ROWS(DGArchive[变更前]),"",IF(INDEX(DGArchive[变更前],671)="","",INDEX(DGArchive[变更前],671)))</f>
        <v/>
      </c>
      <c r="CF870" t="str">
        <f>IF(671&gt;ROWS(DGArchive[增减]),"",IF(INDEX(DGArchive[增减],671)="","",INDEX(DGArchive[增减],671)))</f>
        <v/>
      </c>
      <c r="CG870" t="str">
        <f>IF(671&gt;ROWS(DGArchive[变更后]),"",IF(INDEX(DGArchive[变更后],671)="","",INDEX(DGArchive[变更后],671)))</f>
        <v/>
      </c>
      <c r="CH870" t="str">
        <f>IF(671&gt;ROWS(DGArchive[事件／活动]),"",IF(INDEX(DGArchive[事件／活动],671)="","",INDEX(DGArchive[事件／活动],671)))</f>
        <v/>
      </c>
      <c r="CI870" t="str">
        <f>IF(671&gt;ROWS(DGArchive[记录编号]),"",IF(INDEX(DGArchive[记录编号],671)="","",INDEX(DGArchive[记录编号],671)))</f>
        <v/>
      </c>
      <c r="CL870">
        <f t="shared" si="314"/>
        <v>0</v>
      </c>
      <c r="CM870">
        <f>IF(AND(A870=$AO$5,B870=$AQ$3,H870=1),COUNTIFS($A$200:A870,$AO$5,$B$200:B870,$AQ$3,$H$200:H870,1),0)</f>
        <v>0</v>
      </c>
      <c r="CN870">
        <f>IF(CA870="",671,1001)</f>
        <v>671</v>
      </c>
      <c r="GA870">
        <f t="shared" si="334"/>
        <v>0</v>
      </c>
      <c r="GB870">
        <f t="shared" si="335"/>
        <v>0</v>
      </c>
      <c r="GC870">
        <f>IF(AND(C870="事件记录",H870=1),COUNTIFS($C$200:C870,"事件记录",$H$200:H870,1),0)</f>
        <v>0</v>
      </c>
      <c r="GD870">
        <f t="shared" si="315"/>
        <v>0</v>
      </c>
      <c r="GH870">
        <f>IF(AND(H870=1,A870=$GA$10,B870=$GA$11),COUNTIFS($A$200:A870,$GA$10,$B$200:B870,$GA$11,$H$200:H870,1),0)</f>
        <v>0</v>
      </c>
    </row>
    <row r="871" spans="1:190">
      <c r="A871" t="str">
        <f t="shared" si="306"/>
        <v/>
      </c>
      <c r="B871" t="str">
        <f t="shared" si="307"/>
        <v/>
      </c>
      <c r="C871" t="str">
        <f t="shared" si="308"/>
        <v/>
      </c>
      <c r="D871" t="str">
        <f t="shared" si="309"/>
        <v/>
      </c>
      <c r="E871">
        <f t="shared" si="310"/>
        <v>0</v>
      </c>
      <c r="F871" t="str">
        <f t="shared" si="311"/>
        <v/>
      </c>
      <c r="G871">
        <f t="shared" si="312"/>
        <v>0</v>
      </c>
      <c r="H871">
        <f>IF(AND(G871=1,COUNTIFS($I$200:I871,I871,$G$200:G871,1)=1),1,0)</f>
        <v>0</v>
      </c>
      <c r="I871" t="str">
        <f t="shared" si="313"/>
        <v/>
      </c>
      <c r="BF871">
        <f t="shared" si="316"/>
        <v>0</v>
      </c>
      <c r="BG871">
        <f t="shared" si="317"/>
        <v>0</v>
      </c>
      <c r="BH871">
        <f t="shared" si="318"/>
        <v>0</v>
      </c>
      <c r="BI871">
        <f t="shared" si="319"/>
        <v>0</v>
      </c>
      <c r="BJ871">
        <f t="shared" si="320"/>
        <v>0</v>
      </c>
      <c r="BK871">
        <f t="shared" si="321"/>
        <v>0</v>
      </c>
      <c r="BL871">
        <f t="shared" si="322"/>
        <v>0</v>
      </c>
      <c r="BM871">
        <f t="shared" si="323"/>
        <v>0</v>
      </c>
      <c r="BN871">
        <f t="shared" si="324"/>
        <v>0</v>
      </c>
      <c r="BO871">
        <f t="shared" si="325"/>
        <v>0</v>
      </c>
      <c r="BP871">
        <f t="shared" si="326"/>
        <v>0</v>
      </c>
      <c r="BQ871">
        <f t="shared" si="327"/>
        <v>0</v>
      </c>
      <c r="BR871">
        <f t="shared" si="328"/>
        <v>0</v>
      </c>
      <c r="BS871">
        <f t="shared" si="329"/>
        <v>0</v>
      </c>
      <c r="BT871">
        <f t="shared" si="330"/>
        <v>0</v>
      </c>
      <c r="BU871">
        <f t="shared" si="331"/>
        <v>0</v>
      </c>
      <c r="BV871">
        <f t="shared" si="332"/>
        <v>0</v>
      </c>
      <c r="BW871">
        <f t="shared" si="333"/>
        <v>0</v>
      </c>
      <c r="CA871" t="str">
        <f>IF(672&gt;ROWS(DGArchive[模组]),"",IF(INDEX(DGArchive[模组],672)="","",INDEX(DGArchive[模组],672)))</f>
        <v/>
      </c>
      <c r="CB871" t="str">
        <f>IF(672&gt;ROWS(DGArchive[阶段]),"",IF(INDEX(DGArchive[阶段],672)="","",INDEX(DGArchive[阶段],672)))</f>
        <v/>
      </c>
      <c r="CC871" t="str">
        <f>IF(672&gt;ROWS(DGArchive[游戏内日期]),"",IF(INDEX(DGArchive[游戏内日期],672)="","",INDEX(DGArchive[游戏内日期],672)))</f>
        <v/>
      </c>
      <c r="CD871" t="str">
        <f>IF(672&gt;ROWS(DGArchive[目标]),"",IF(INDEX(DGArchive[目标],672)="","",INDEX(DGArchive[目标],672)))</f>
        <v/>
      </c>
      <c r="CE871" t="str">
        <f>IF(672&gt;ROWS(DGArchive[变更前]),"",IF(INDEX(DGArchive[变更前],672)="","",INDEX(DGArchive[变更前],672)))</f>
        <v/>
      </c>
      <c r="CF871" t="str">
        <f>IF(672&gt;ROWS(DGArchive[增减]),"",IF(INDEX(DGArchive[增减],672)="","",INDEX(DGArchive[增减],672)))</f>
        <v/>
      </c>
      <c r="CG871" t="str">
        <f>IF(672&gt;ROWS(DGArchive[变更后]),"",IF(INDEX(DGArchive[变更后],672)="","",INDEX(DGArchive[变更后],672)))</f>
        <v/>
      </c>
      <c r="CH871" t="str">
        <f>IF(672&gt;ROWS(DGArchive[事件／活动]),"",IF(INDEX(DGArchive[事件／活动],672)="","",INDEX(DGArchive[事件／活动],672)))</f>
        <v/>
      </c>
      <c r="CI871" t="str">
        <f>IF(672&gt;ROWS(DGArchive[记录编号]),"",IF(INDEX(DGArchive[记录编号],672)="","",INDEX(DGArchive[记录编号],672)))</f>
        <v/>
      </c>
      <c r="CL871">
        <f t="shared" si="314"/>
        <v>0</v>
      </c>
      <c r="CM871">
        <f>IF(AND(A871=$AO$5,B871=$AQ$3,H871=1),COUNTIFS($A$200:A871,$AO$5,$B$200:B871,$AQ$3,$H$200:H871,1),0)</f>
        <v>0</v>
      </c>
      <c r="CN871">
        <f>IF(CA871="",672,1001)</f>
        <v>672</v>
      </c>
      <c r="GA871">
        <f t="shared" si="334"/>
        <v>0</v>
      </c>
      <c r="GB871">
        <f t="shared" si="335"/>
        <v>0</v>
      </c>
      <c r="GC871">
        <f>IF(AND(C871="事件记录",H871=1),COUNTIFS($C$200:C871,"事件记录",$H$200:H871,1),0)</f>
        <v>0</v>
      </c>
      <c r="GD871">
        <f t="shared" si="315"/>
        <v>0</v>
      </c>
      <c r="GH871">
        <f>IF(AND(H871=1,A871=$GA$10,B871=$GA$11),COUNTIFS($A$200:A871,$GA$10,$B$200:B871,$GA$11,$H$200:H871,1),0)</f>
        <v>0</v>
      </c>
    </row>
    <row r="872" spans="1:190">
      <c r="A872" t="str">
        <f t="shared" si="306"/>
        <v/>
      </c>
      <c r="B872" t="str">
        <f t="shared" si="307"/>
        <v/>
      </c>
      <c r="C872" t="str">
        <f t="shared" si="308"/>
        <v/>
      </c>
      <c r="D872" t="str">
        <f t="shared" si="309"/>
        <v/>
      </c>
      <c r="E872">
        <f t="shared" si="310"/>
        <v>0</v>
      </c>
      <c r="F872" t="str">
        <f t="shared" si="311"/>
        <v/>
      </c>
      <c r="G872">
        <f t="shared" si="312"/>
        <v>0</v>
      </c>
      <c r="H872">
        <f>IF(AND(G872=1,COUNTIFS($I$200:I872,I872,$G$200:G872,1)=1),1,0)</f>
        <v>0</v>
      </c>
      <c r="I872" t="str">
        <f t="shared" si="313"/>
        <v/>
      </c>
      <c r="BF872">
        <f t="shared" si="316"/>
        <v>0</v>
      </c>
      <c r="BG872">
        <f t="shared" si="317"/>
        <v>0</v>
      </c>
      <c r="BH872">
        <f t="shared" si="318"/>
        <v>0</v>
      </c>
      <c r="BI872">
        <f t="shared" si="319"/>
        <v>0</v>
      </c>
      <c r="BJ872">
        <f t="shared" si="320"/>
        <v>0</v>
      </c>
      <c r="BK872">
        <f t="shared" si="321"/>
        <v>0</v>
      </c>
      <c r="BL872">
        <f t="shared" si="322"/>
        <v>0</v>
      </c>
      <c r="BM872">
        <f t="shared" si="323"/>
        <v>0</v>
      </c>
      <c r="BN872">
        <f t="shared" si="324"/>
        <v>0</v>
      </c>
      <c r="BO872">
        <f t="shared" si="325"/>
        <v>0</v>
      </c>
      <c r="BP872">
        <f t="shared" si="326"/>
        <v>0</v>
      </c>
      <c r="BQ872">
        <f t="shared" si="327"/>
        <v>0</v>
      </c>
      <c r="BR872">
        <f t="shared" si="328"/>
        <v>0</v>
      </c>
      <c r="BS872">
        <f t="shared" si="329"/>
        <v>0</v>
      </c>
      <c r="BT872">
        <f t="shared" si="330"/>
        <v>0</v>
      </c>
      <c r="BU872">
        <f t="shared" si="331"/>
        <v>0</v>
      </c>
      <c r="BV872">
        <f t="shared" si="332"/>
        <v>0</v>
      </c>
      <c r="BW872">
        <f t="shared" si="333"/>
        <v>0</v>
      </c>
      <c r="CA872" t="str">
        <f>IF(673&gt;ROWS(DGArchive[模组]),"",IF(INDEX(DGArchive[模组],673)="","",INDEX(DGArchive[模组],673)))</f>
        <v/>
      </c>
      <c r="CB872" t="str">
        <f>IF(673&gt;ROWS(DGArchive[阶段]),"",IF(INDEX(DGArchive[阶段],673)="","",INDEX(DGArchive[阶段],673)))</f>
        <v/>
      </c>
      <c r="CC872" t="str">
        <f>IF(673&gt;ROWS(DGArchive[游戏内日期]),"",IF(INDEX(DGArchive[游戏内日期],673)="","",INDEX(DGArchive[游戏内日期],673)))</f>
        <v/>
      </c>
      <c r="CD872" t="str">
        <f>IF(673&gt;ROWS(DGArchive[目标]),"",IF(INDEX(DGArchive[目标],673)="","",INDEX(DGArchive[目标],673)))</f>
        <v/>
      </c>
      <c r="CE872" t="str">
        <f>IF(673&gt;ROWS(DGArchive[变更前]),"",IF(INDEX(DGArchive[变更前],673)="","",INDEX(DGArchive[变更前],673)))</f>
        <v/>
      </c>
      <c r="CF872" t="str">
        <f>IF(673&gt;ROWS(DGArchive[增减]),"",IF(INDEX(DGArchive[增减],673)="","",INDEX(DGArchive[增减],673)))</f>
        <v/>
      </c>
      <c r="CG872" t="str">
        <f>IF(673&gt;ROWS(DGArchive[变更后]),"",IF(INDEX(DGArchive[变更后],673)="","",INDEX(DGArchive[变更后],673)))</f>
        <v/>
      </c>
      <c r="CH872" t="str">
        <f>IF(673&gt;ROWS(DGArchive[事件／活动]),"",IF(INDEX(DGArchive[事件／活动],673)="","",INDEX(DGArchive[事件／活动],673)))</f>
        <v/>
      </c>
      <c r="CI872" t="str">
        <f>IF(673&gt;ROWS(DGArchive[记录编号]),"",IF(INDEX(DGArchive[记录编号],673)="","",INDEX(DGArchive[记录编号],673)))</f>
        <v/>
      </c>
      <c r="CL872">
        <f t="shared" si="314"/>
        <v>0</v>
      </c>
      <c r="CM872">
        <f>IF(AND(A872=$AO$5,B872=$AQ$3,H872=1),COUNTIFS($A$200:A872,$AO$5,$B$200:B872,$AQ$3,$H$200:H872,1),0)</f>
        <v>0</v>
      </c>
      <c r="CN872">
        <f>IF(CA872="",673,1001)</f>
        <v>673</v>
      </c>
      <c r="GA872">
        <f t="shared" si="334"/>
        <v>0</v>
      </c>
      <c r="GB872">
        <f t="shared" si="335"/>
        <v>0</v>
      </c>
      <c r="GC872">
        <f>IF(AND(C872="事件记录",H872=1),COUNTIFS($C$200:C872,"事件记录",$H$200:H872,1),0)</f>
        <v>0</v>
      </c>
      <c r="GD872">
        <f t="shared" si="315"/>
        <v>0</v>
      </c>
      <c r="GH872">
        <f>IF(AND(H872=1,A872=$GA$10,B872=$GA$11),COUNTIFS($A$200:A872,$GA$10,$B$200:B872,$GA$11,$H$200:H872,1),0)</f>
        <v>0</v>
      </c>
    </row>
    <row r="873" spans="1:190">
      <c r="A873" t="str">
        <f t="shared" si="306"/>
        <v/>
      </c>
      <c r="B873" t="str">
        <f t="shared" si="307"/>
        <v/>
      </c>
      <c r="C873" t="str">
        <f t="shared" si="308"/>
        <v/>
      </c>
      <c r="D873" t="str">
        <f t="shared" si="309"/>
        <v/>
      </c>
      <c r="E873">
        <f t="shared" si="310"/>
        <v>0</v>
      </c>
      <c r="F873" t="str">
        <f t="shared" si="311"/>
        <v/>
      </c>
      <c r="G873">
        <f t="shared" si="312"/>
        <v>0</v>
      </c>
      <c r="H873">
        <f>IF(AND(G873=1,COUNTIFS($I$200:I873,I873,$G$200:G873,1)=1),1,0)</f>
        <v>0</v>
      </c>
      <c r="I873" t="str">
        <f t="shared" si="313"/>
        <v/>
      </c>
      <c r="BF873">
        <f t="shared" si="316"/>
        <v>0</v>
      </c>
      <c r="BG873">
        <f t="shared" si="317"/>
        <v>0</v>
      </c>
      <c r="BH873">
        <f t="shared" si="318"/>
        <v>0</v>
      </c>
      <c r="BI873">
        <f t="shared" si="319"/>
        <v>0</v>
      </c>
      <c r="BJ873">
        <f t="shared" si="320"/>
        <v>0</v>
      </c>
      <c r="BK873">
        <f t="shared" si="321"/>
        <v>0</v>
      </c>
      <c r="BL873">
        <f t="shared" si="322"/>
        <v>0</v>
      </c>
      <c r="BM873">
        <f t="shared" si="323"/>
        <v>0</v>
      </c>
      <c r="BN873">
        <f t="shared" si="324"/>
        <v>0</v>
      </c>
      <c r="BO873">
        <f t="shared" si="325"/>
        <v>0</v>
      </c>
      <c r="BP873">
        <f t="shared" si="326"/>
        <v>0</v>
      </c>
      <c r="BQ873">
        <f t="shared" si="327"/>
        <v>0</v>
      </c>
      <c r="BR873">
        <f t="shared" si="328"/>
        <v>0</v>
      </c>
      <c r="BS873">
        <f t="shared" si="329"/>
        <v>0</v>
      </c>
      <c r="BT873">
        <f t="shared" si="330"/>
        <v>0</v>
      </c>
      <c r="BU873">
        <f t="shared" si="331"/>
        <v>0</v>
      </c>
      <c r="BV873">
        <f t="shared" si="332"/>
        <v>0</v>
      </c>
      <c r="BW873">
        <f t="shared" si="333"/>
        <v>0</v>
      </c>
      <c r="CA873" t="str">
        <f>IF(674&gt;ROWS(DGArchive[模组]),"",IF(INDEX(DGArchive[模组],674)="","",INDEX(DGArchive[模组],674)))</f>
        <v/>
      </c>
      <c r="CB873" t="str">
        <f>IF(674&gt;ROWS(DGArchive[阶段]),"",IF(INDEX(DGArchive[阶段],674)="","",INDEX(DGArchive[阶段],674)))</f>
        <v/>
      </c>
      <c r="CC873" t="str">
        <f>IF(674&gt;ROWS(DGArchive[游戏内日期]),"",IF(INDEX(DGArchive[游戏内日期],674)="","",INDEX(DGArchive[游戏内日期],674)))</f>
        <v/>
      </c>
      <c r="CD873" t="str">
        <f>IF(674&gt;ROWS(DGArchive[目标]),"",IF(INDEX(DGArchive[目标],674)="","",INDEX(DGArchive[目标],674)))</f>
        <v/>
      </c>
      <c r="CE873" t="str">
        <f>IF(674&gt;ROWS(DGArchive[变更前]),"",IF(INDEX(DGArchive[变更前],674)="","",INDEX(DGArchive[变更前],674)))</f>
        <v/>
      </c>
      <c r="CF873" t="str">
        <f>IF(674&gt;ROWS(DGArchive[增减]),"",IF(INDEX(DGArchive[增减],674)="","",INDEX(DGArchive[增减],674)))</f>
        <v/>
      </c>
      <c r="CG873" t="str">
        <f>IF(674&gt;ROWS(DGArchive[变更后]),"",IF(INDEX(DGArchive[变更后],674)="","",INDEX(DGArchive[变更后],674)))</f>
        <v/>
      </c>
      <c r="CH873" t="str">
        <f>IF(674&gt;ROWS(DGArchive[事件／活动]),"",IF(INDEX(DGArchive[事件／活动],674)="","",INDEX(DGArchive[事件／活动],674)))</f>
        <v/>
      </c>
      <c r="CI873" t="str">
        <f>IF(674&gt;ROWS(DGArchive[记录编号]),"",IF(INDEX(DGArchive[记录编号],674)="","",INDEX(DGArchive[记录编号],674)))</f>
        <v/>
      </c>
      <c r="CL873">
        <f t="shared" si="314"/>
        <v>0</v>
      </c>
      <c r="CM873">
        <f>IF(AND(A873=$AO$5,B873=$AQ$3,H873=1),COUNTIFS($A$200:A873,$AO$5,$B$200:B873,$AQ$3,$H$200:H873,1),0)</f>
        <v>0</v>
      </c>
      <c r="CN873">
        <f>IF(CA873="",674,1001)</f>
        <v>674</v>
      </c>
      <c r="GA873">
        <f t="shared" si="334"/>
        <v>0</v>
      </c>
      <c r="GB873">
        <f t="shared" si="335"/>
        <v>0</v>
      </c>
      <c r="GC873">
        <f>IF(AND(C873="事件记录",H873=1),COUNTIFS($C$200:C873,"事件记录",$H$200:H873,1),0)</f>
        <v>0</v>
      </c>
      <c r="GD873">
        <f t="shared" si="315"/>
        <v>0</v>
      </c>
      <c r="GH873">
        <f>IF(AND(H873=1,A873=$GA$10,B873=$GA$11),COUNTIFS($A$200:A873,$GA$10,$B$200:B873,$GA$11,$H$200:H873,1),0)</f>
        <v>0</v>
      </c>
    </row>
    <row r="874" spans="1:190">
      <c r="A874" t="str">
        <f t="shared" si="306"/>
        <v/>
      </c>
      <c r="B874" t="str">
        <f t="shared" si="307"/>
        <v/>
      </c>
      <c r="C874" t="str">
        <f t="shared" si="308"/>
        <v/>
      </c>
      <c r="D874" t="str">
        <f t="shared" si="309"/>
        <v/>
      </c>
      <c r="E874">
        <f t="shared" si="310"/>
        <v>0</v>
      </c>
      <c r="F874" t="str">
        <f t="shared" si="311"/>
        <v/>
      </c>
      <c r="G874">
        <f t="shared" si="312"/>
        <v>0</v>
      </c>
      <c r="H874">
        <f>IF(AND(G874=1,COUNTIFS($I$200:I874,I874,$G$200:G874,1)=1),1,0)</f>
        <v>0</v>
      </c>
      <c r="I874" t="str">
        <f t="shared" si="313"/>
        <v/>
      </c>
      <c r="BF874">
        <f t="shared" si="316"/>
        <v>0</v>
      </c>
      <c r="BG874">
        <f t="shared" si="317"/>
        <v>0</v>
      </c>
      <c r="BH874">
        <f t="shared" si="318"/>
        <v>0</v>
      </c>
      <c r="BI874">
        <f t="shared" si="319"/>
        <v>0</v>
      </c>
      <c r="BJ874">
        <f t="shared" si="320"/>
        <v>0</v>
      </c>
      <c r="BK874">
        <f t="shared" si="321"/>
        <v>0</v>
      </c>
      <c r="BL874">
        <f t="shared" si="322"/>
        <v>0</v>
      </c>
      <c r="BM874">
        <f t="shared" si="323"/>
        <v>0</v>
      </c>
      <c r="BN874">
        <f t="shared" si="324"/>
        <v>0</v>
      </c>
      <c r="BO874">
        <f t="shared" si="325"/>
        <v>0</v>
      </c>
      <c r="BP874">
        <f t="shared" si="326"/>
        <v>0</v>
      </c>
      <c r="BQ874">
        <f t="shared" si="327"/>
        <v>0</v>
      </c>
      <c r="BR874">
        <f t="shared" si="328"/>
        <v>0</v>
      </c>
      <c r="BS874">
        <f t="shared" si="329"/>
        <v>0</v>
      </c>
      <c r="BT874">
        <f t="shared" si="330"/>
        <v>0</v>
      </c>
      <c r="BU874">
        <f t="shared" si="331"/>
        <v>0</v>
      </c>
      <c r="BV874">
        <f t="shared" si="332"/>
        <v>0</v>
      </c>
      <c r="BW874">
        <f t="shared" si="333"/>
        <v>0</v>
      </c>
      <c r="CA874" t="str">
        <f>IF(675&gt;ROWS(DGArchive[模组]),"",IF(INDEX(DGArchive[模组],675)="","",INDEX(DGArchive[模组],675)))</f>
        <v/>
      </c>
      <c r="CB874" t="str">
        <f>IF(675&gt;ROWS(DGArchive[阶段]),"",IF(INDEX(DGArchive[阶段],675)="","",INDEX(DGArchive[阶段],675)))</f>
        <v/>
      </c>
      <c r="CC874" t="str">
        <f>IF(675&gt;ROWS(DGArchive[游戏内日期]),"",IF(INDEX(DGArchive[游戏内日期],675)="","",INDEX(DGArchive[游戏内日期],675)))</f>
        <v/>
      </c>
      <c r="CD874" t="str">
        <f>IF(675&gt;ROWS(DGArchive[目标]),"",IF(INDEX(DGArchive[目标],675)="","",INDEX(DGArchive[目标],675)))</f>
        <v/>
      </c>
      <c r="CE874" t="str">
        <f>IF(675&gt;ROWS(DGArchive[变更前]),"",IF(INDEX(DGArchive[变更前],675)="","",INDEX(DGArchive[变更前],675)))</f>
        <v/>
      </c>
      <c r="CF874" t="str">
        <f>IF(675&gt;ROWS(DGArchive[增减]),"",IF(INDEX(DGArchive[增减],675)="","",INDEX(DGArchive[增减],675)))</f>
        <v/>
      </c>
      <c r="CG874" t="str">
        <f>IF(675&gt;ROWS(DGArchive[变更后]),"",IF(INDEX(DGArchive[变更后],675)="","",INDEX(DGArchive[变更后],675)))</f>
        <v/>
      </c>
      <c r="CH874" t="str">
        <f>IF(675&gt;ROWS(DGArchive[事件／活动]),"",IF(INDEX(DGArchive[事件／活动],675)="","",INDEX(DGArchive[事件／活动],675)))</f>
        <v/>
      </c>
      <c r="CI874" t="str">
        <f>IF(675&gt;ROWS(DGArchive[记录编号]),"",IF(INDEX(DGArchive[记录编号],675)="","",INDEX(DGArchive[记录编号],675)))</f>
        <v/>
      </c>
      <c r="CL874">
        <f t="shared" si="314"/>
        <v>0</v>
      </c>
      <c r="CM874">
        <f>IF(AND(A874=$AO$5,B874=$AQ$3,H874=1),COUNTIFS($A$200:A874,$AO$5,$B$200:B874,$AQ$3,$H$200:H874,1),0)</f>
        <v>0</v>
      </c>
      <c r="CN874">
        <f>IF(CA874="",675,1001)</f>
        <v>675</v>
      </c>
      <c r="GA874">
        <f t="shared" si="334"/>
        <v>0</v>
      </c>
      <c r="GB874">
        <f t="shared" si="335"/>
        <v>0</v>
      </c>
      <c r="GC874">
        <f>IF(AND(C874="事件记录",H874=1),COUNTIFS($C$200:C874,"事件记录",$H$200:H874,1),0)</f>
        <v>0</v>
      </c>
      <c r="GD874">
        <f t="shared" si="315"/>
        <v>0</v>
      </c>
      <c r="GH874">
        <f>IF(AND(H874=1,A874=$GA$10,B874=$GA$11),COUNTIFS($A$200:A874,$GA$10,$B$200:B874,$GA$11,$H$200:H874,1),0)</f>
        <v>0</v>
      </c>
    </row>
    <row r="875" spans="1:190">
      <c r="A875" t="str">
        <f t="shared" si="306"/>
        <v/>
      </c>
      <c r="B875" t="str">
        <f t="shared" si="307"/>
        <v/>
      </c>
      <c r="C875" t="str">
        <f t="shared" si="308"/>
        <v/>
      </c>
      <c r="D875" t="str">
        <f t="shared" si="309"/>
        <v/>
      </c>
      <c r="E875">
        <f t="shared" si="310"/>
        <v>0</v>
      </c>
      <c r="F875" t="str">
        <f t="shared" si="311"/>
        <v/>
      </c>
      <c r="G875">
        <f t="shared" si="312"/>
        <v>0</v>
      </c>
      <c r="H875">
        <f>IF(AND(G875=1,COUNTIFS($I$200:I875,I875,$G$200:G875,1)=1),1,0)</f>
        <v>0</v>
      </c>
      <c r="I875" t="str">
        <f t="shared" si="313"/>
        <v/>
      </c>
      <c r="BF875">
        <f t="shared" si="316"/>
        <v>0</v>
      </c>
      <c r="BG875">
        <f t="shared" si="317"/>
        <v>0</v>
      </c>
      <c r="BH875">
        <f t="shared" si="318"/>
        <v>0</v>
      </c>
      <c r="BI875">
        <f t="shared" si="319"/>
        <v>0</v>
      </c>
      <c r="BJ875">
        <f t="shared" si="320"/>
        <v>0</v>
      </c>
      <c r="BK875">
        <f t="shared" si="321"/>
        <v>0</v>
      </c>
      <c r="BL875">
        <f t="shared" si="322"/>
        <v>0</v>
      </c>
      <c r="BM875">
        <f t="shared" si="323"/>
        <v>0</v>
      </c>
      <c r="BN875">
        <f t="shared" si="324"/>
        <v>0</v>
      </c>
      <c r="BO875">
        <f t="shared" si="325"/>
        <v>0</v>
      </c>
      <c r="BP875">
        <f t="shared" si="326"/>
        <v>0</v>
      </c>
      <c r="BQ875">
        <f t="shared" si="327"/>
        <v>0</v>
      </c>
      <c r="BR875">
        <f t="shared" si="328"/>
        <v>0</v>
      </c>
      <c r="BS875">
        <f t="shared" si="329"/>
        <v>0</v>
      </c>
      <c r="BT875">
        <f t="shared" si="330"/>
        <v>0</v>
      </c>
      <c r="BU875">
        <f t="shared" si="331"/>
        <v>0</v>
      </c>
      <c r="BV875">
        <f t="shared" si="332"/>
        <v>0</v>
      </c>
      <c r="BW875">
        <f t="shared" si="333"/>
        <v>0</v>
      </c>
      <c r="CA875" t="str">
        <f>IF(676&gt;ROWS(DGArchive[模组]),"",IF(INDEX(DGArchive[模组],676)="","",INDEX(DGArchive[模组],676)))</f>
        <v/>
      </c>
      <c r="CB875" t="str">
        <f>IF(676&gt;ROWS(DGArchive[阶段]),"",IF(INDEX(DGArchive[阶段],676)="","",INDEX(DGArchive[阶段],676)))</f>
        <v/>
      </c>
      <c r="CC875" t="str">
        <f>IF(676&gt;ROWS(DGArchive[游戏内日期]),"",IF(INDEX(DGArchive[游戏内日期],676)="","",INDEX(DGArchive[游戏内日期],676)))</f>
        <v/>
      </c>
      <c r="CD875" t="str">
        <f>IF(676&gt;ROWS(DGArchive[目标]),"",IF(INDEX(DGArchive[目标],676)="","",INDEX(DGArchive[目标],676)))</f>
        <v/>
      </c>
      <c r="CE875" t="str">
        <f>IF(676&gt;ROWS(DGArchive[变更前]),"",IF(INDEX(DGArchive[变更前],676)="","",INDEX(DGArchive[变更前],676)))</f>
        <v/>
      </c>
      <c r="CF875" t="str">
        <f>IF(676&gt;ROWS(DGArchive[增减]),"",IF(INDEX(DGArchive[增减],676)="","",INDEX(DGArchive[增减],676)))</f>
        <v/>
      </c>
      <c r="CG875" t="str">
        <f>IF(676&gt;ROWS(DGArchive[变更后]),"",IF(INDEX(DGArchive[变更后],676)="","",INDEX(DGArchive[变更后],676)))</f>
        <v/>
      </c>
      <c r="CH875" t="str">
        <f>IF(676&gt;ROWS(DGArchive[事件／活动]),"",IF(INDEX(DGArchive[事件／活动],676)="","",INDEX(DGArchive[事件／活动],676)))</f>
        <v/>
      </c>
      <c r="CI875" t="str">
        <f>IF(676&gt;ROWS(DGArchive[记录编号]),"",IF(INDEX(DGArchive[记录编号],676)="","",INDEX(DGArchive[记录编号],676)))</f>
        <v/>
      </c>
      <c r="CL875">
        <f t="shared" si="314"/>
        <v>0</v>
      </c>
      <c r="CM875">
        <f>IF(AND(A875=$AO$5,B875=$AQ$3,H875=1),COUNTIFS($A$200:A875,$AO$5,$B$200:B875,$AQ$3,$H$200:H875,1),0)</f>
        <v>0</v>
      </c>
      <c r="CN875">
        <f>IF(CA875="",676,1001)</f>
        <v>676</v>
      </c>
      <c r="GA875">
        <f t="shared" si="334"/>
        <v>0</v>
      </c>
      <c r="GB875">
        <f t="shared" si="335"/>
        <v>0</v>
      </c>
      <c r="GC875">
        <f>IF(AND(C875="事件记录",H875=1),COUNTIFS($C$200:C875,"事件记录",$H$200:H875,1),0)</f>
        <v>0</v>
      </c>
      <c r="GD875">
        <f t="shared" si="315"/>
        <v>0</v>
      </c>
      <c r="GH875">
        <f>IF(AND(H875=1,A875=$GA$10,B875=$GA$11),COUNTIFS($A$200:A875,$GA$10,$B$200:B875,$GA$11,$H$200:H875,1),0)</f>
        <v>0</v>
      </c>
    </row>
    <row r="876" spans="1:190">
      <c r="A876" t="str">
        <f t="shared" si="306"/>
        <v/>
      </c>
      <c r="B876" t="str">
        <f t="shared" si="307"/>
        <v/>
      </c>
      <c r="C876" t="str">
        <f t="shared" si="308"/>
        <v/>
      </c>
      <c r="D876" t="str">
        <f t="shared" si="309"/>
        <v/>
      </c>
      <c r="E876">
        <f t="shared" si="310"/>
        <v>0</v>
      </c>
      <c r="F876" t="str">
        <f t="shared" si="311"/>
        <v/>
      </c>
      <c r="G876">
        <f t="shared" si="312"/>
        <v>0</v>
      </c>
      <c r="H876">
        <f>IF(AND(G876=1,COUNTIFS($I$200:I876,I876,$G$200:G876,1)=1),1,0)</f>
        <v>0</v>
      </c>
      <c r="I876" t="str">
        <f t="shared" si="313"/>
        <v/>
      </c>
      <c r="BF876">
        <f t="shared" si="316"/>
        <v>0</v>
      </c>
      <c r="BG876">
        <f t="shared" si="317"/>
        <v>0</v>
      </c>
      <c r="BH876">
        <f t="shared" si="318"/>
        <v>0</v>
      </c>
      <c r="BI876">
        <f t="shared" si="319"/>
        <v>0</v>
      </c>
      <c r="BJ876">
        <f t="shared" si="320"/>
        <v>0</v>
      </c>
      <c r="BK876">
        <f t="shared" si="321"/>
        <v>0</v>
      </c>
      <c r="BL876">
        <f t="shared" si="322"/>
        <v>0</v>
      </c>
      <c r="BM876">
        <f t="shared" si="323"/>
        <v>0</v>
      </c>
      <c r="BN876">
        <f t="shared" si="324"/>
        <v>0</v>
      </c>
      <c r="BO876">
        <f t="shared" si="325"/>
        <v>0</v>
      </c>
      <c r="BP876">
        <f t="shared" si="326"/>
        <v>0</v>
      </c>
      <c r="BQ876">
        <f t="shared" si="327"/>
        <v>0</v>
      </c>
      <c r="BR876">
        <f t="shared" si="328"/>
        <v>0</v>
      </c>
      <c r="BS876">
        <f t="shared" si="329"/>
        <v>0</v>
      </c>
      <c r="BT876">
        <f t="shared" si="330"/>
        <v>0</v>
      </c>
      <c r="BU876">
        <f t="shared" si="331"/>
        <v>0</v>
      </c>
      <c r="BV876">
        <f t="shared" si="332"/>
        <v>0</v>
      </c>
      <c r="BW876">
        <f t="shared" si="333"/>
        <v>0</v>
      </c>
      <c r="CA876" t="str">
        <f>IF(677&gt;ROWS(DGArchive[模组]),"",IF(INDEX(DGArchive[模组],677)="","",INDEX(DGArchive[模组],677)))</f>
        <v/>
      </c>
      <c r="CB876" t="str">
        <f>IF(677&gt;ROWS(DGArchive[阶段]),"",IF(INDEX(DGArchive[阶段],677)="","",INDEX(DGArchive[阶段],677)))</f>
        <v/>
      </c>
      <c r="CC876" t="str">
        <f>IF(677&gt;ROWS(DGArchive[游戏内日期]),"",IF(INDEX(DGArchive[游戏内日期],677)="","",INDEX(DGArchive[游戏内日期],677)))</f>
        <v/>
      </c>
      <c r="CD876" t="str">
        <f>IF(677&gt;ROWS(DGArchive[目标]),"",IF(INDEX(DGArchive[目标],677)="","",INDEX(DGArchive[目标],677)))</f>
        <v/>
      </c>
      <c r="CE876" t="str">
        <f>IF(677&gt;ROWS(DGArchive[变更前]),"",IF(INDEX(DGArchive[变更前],677)="","",INDEX(DGArchive[变更前],677)))</f>
        <v/>
      </c>
      <c r="CF876" t="str">
        <f>IF(677&gt;ROWS(DGArchive[增减]),"",IF(INDEX(DGArchive[增减],677)="","",INDEX(DGArchive[增减],677)))</f>
        <v/>
      </c>
      <c r="CG876" t="str">
        <f>IF(677&gt;ROWS(DGArchive[变更后]),"",IF(INDEX(DGArchive[变更后],677)="","",INDEX(DGArchive[变更后],677)))</f>
        <v/>
      </c>
      <c r="CH876" t="str">
        <f>IF(677&gt;ROWS(DGArchive[事件／活动]),"",IF(INDEX(DGArchive[事件／活动],677)="","",INDEX(DGArchive[事件／活动],677)))</f>
        <v/>
      </c>
      <c r="CI876" t="str">
        <f>IF(677&gt;ROWS(DGArchive[记录编号]),"",IF(INDEX(DGArchive[记录编号],677)="","",INDEX(DGArchive[记录编号],677)))</f>
        <v/>
      </c>
      <c r="CL876">
        <f t="shared" si="314"/>
        <v>0</v>
      </c>
      <c r="CM876">
        <f>IF(AND(A876=$AO$5,B876=$AQ$3,H876=1),COUNTIFS($A$200:A876,$AO$5,$B$200:B876,$AQ$3,$H$200:H876,1),0)</f>
        <v>0</v>
      </c>
      <c r="CN876">
        <f>IF(CA876="",677,1001)</f>
        <v>677</v>
      </c>
      <c r="GA876">
        <f t="shared" si="334"/>
        <v>0</v>
      </c>
      <c r="GB876">
        <f t="shared" si="335"/>
        <v>0</v>
      </c>
      <c r="GC876">
        <f>IF(AND(C876="事件记录",H876=1),COUNTIFS($C$200:C876,"事件记录",$H$200:H876,1),0)</f>
        <v>0</v>
      </c>
      <c r="GD876">
        <f t="shared" si="315"/>
        <v>0</v>
      </c>
      <c r="GH876">
        <f>IF(AND(H876=1,A876=$GA$10,B876=$GA$11),COUNTIFS($A$200:A876,$GA$10,$B$200:B876,$GA$11,$H$200:H876,1),0)</f>
        <v>0</v>
      </c>
    </row>
    <row r="877" spans="1:190">
      <c r="A877" t="str">
        <f t="shared" si="306"/>
        <v/>
      </c>
      <c r="B877" t="str">
        <f t="shared" si="307"/>
        <v/>
      </c>
      <c r="C877" t="str">
        <f t="shared" si="308"/>
        <v/>
      </c>
      <c r="D877" t="str">
        <f t="shared" si="309"/>
        <v/>
      </c>
      <c r="E877">
        <f t="shared" si="310"/>
        <v>0</v>
      </c>
      <c r="F877" t="str">
        <f t="shared" si="311"/>
        <v/>
      </c>
      <c r="G877">
        <f t="shared" si="312"/>
        <v>0</v>
      </c>
      <c r="H877">
        <f>IF(AND(G877=1,COUNTIFS($I$200:I877,I877,$G$200:G877,1)=1),1,0)</f>
        <v>0</v>
      </c>
      <c r="I877" t="str">
        <f t="shared" si="313"/>
        <v/>
      </c>
      <c r="BF877">
        <f t="shared" si="316"/>
        <v>0</v>
      </c>
      <c r="BG877">
        <f t="shared" si="317"/>
        <v>0</v>
      </c>
      <c r="BH877">
        <f t="shared" si="318"/>
        <v>0</v>
      </c>
      <c r="BI877">
        <f t="shared" si="319"/>
        <v>0</v>
      </c>
      <c r="BJ877">
        <f t="shared" si="320"/>
        <v>0</v>
      </c>
      <c r="BK877">
        <f t="shared" si="321"/>
        <v>0</v>
      </c>
      <c r="BL877">
        <f t="shared" si="322"/>
        <v>0</v>
      </c>
      <c r="BM877">
        <f t="shared" si="323"/>
        <v>0</v>
      </c>
      <c r="BN877">
        <f t="shared" si="324"/>
        <v>0</v>
      </c>
      <c r="BO877">
        <f t="shared" si="325"/>
        <v>0</v>
      </c>
      <c r="BP877">
        <f t="shared" si="326"/>
        <v>0</v>
      </c>
      <c r="BQ877">
        <f t="shared" si="327"/>
        <v>0</v>
      </c>
      <c r="BR877">
        <f t="shared" si="328"/>
        <v>0</v>
      </c>
      <c r="BS877">
        <f t="shared" si="329"/>
        <v>0</v>
      </c>
      <c r="BT877">
        <f t="shared" si="330"/>
        <v>0</v>
      </c>
      <c r="BU877">
        <f t="shared" si="331"/>
        <v>0</v>
      </c>
      <c r="BV877">
        <f t="shared" si="332"/>
        <v>0</v>
      </c>
      <c r="BW877">
        <f t="shared" si="333"/>
        <v>0</v>
      </c>
      <c r="CA877" t="str">
        <f>IF(678&gt;ROWS(DGArchive[模组]),"",IF(INDEX(DGArchive[模组],678)="","",INDEX(DGArchive[模组],678)))</f>
        <v/>
      </c>
      <c r="CB877" t="str">
        <f>IF(678&gt;ROWS(DGArchive[阶段]),"",IF(INDEX(DGArchive[阶段],678)="","",INDEX(DGArchive[阶段],678)))</f>
        <v/>
      </c>
      <c r="CC877" t="str">
        <f>IF(678&gt;ROWS(DGArchive[游戏内日期]),"",IF(INDEX(DGArchive[游戏内日期],678)="","",INDEX(DGArchive[游戏内日期],678)))</f>
        <v/>
      </c>
      <c r="CD877" t="str">
        <f>IF(678&gt;ROWS(DGArchive[目标]),"",IF(INDEX(DGArchive[目标],678)="","",INDEX(DGArchive[目标],678)))</f>
        <v/>
      </c>
      <c r="CE877" t="str">
        <f>IF(678&gt;ROWS(DGArchive[变更前]),"",IF(INDEX(DGArchive[变更前],678)="","",INDEX(DGArchive[变更前],678)))</f>
        <v/>
      </c>
      <c r="CF877" t="str">
        <f>IF(678&gt;ROWS(DGArchive[增减]),"",IF(INDEX(DGArchive[增减],678)="","",INDEX(DGArchive[增减],678)))</f>
        <v/>
      </c>
      <c r="CG877" t="str">
        <f>IF(678&gt;ROWS(DGArchive[变更后]),"",IF(INDEX(DGArchive[变更后],678)="","",INDEX(DGArchive[变更后],678)))</f>
        <v/>
      </c>
      <c r="CH877" t="str">
        <f>IF(678&gt;ROWS(DGArchive[事件／活动]),"",IF(INDEX(DGArchive[事件／活动],678)="","",INDEX(DGArchive[事件／活动],678)))</f>
        <v/>
      </c>
      <c r="CI877" t="str">
        <f>IF(678&gt;ROWS(DGArchive[记录编号]),"",IF(INDEX(DGArchive[记录编号],678)="","",INDEX(DGArchive[记录编号],678)))</f>
        <v/>
      </c>
      <c r="CL877">
        <f t="shared" si="314"/>
        <v>0</v>
      </c>
      <c r="CM877">
        <f>IF(AND(A877=$AO$5,B877=$AQ$3,H877=1),COUNTIFS($A$200:A877,$AO$5,$B$200:B877,$AQ$3,$H$200:H877,1),0)</f>
        <v>0</v>
      </c>
      <c r="CN877">
        <f>IF(CA877="",678,1001)</f>
        <v>678</v>
      </c>
      <c r="GA877">
        <f t="shared" si="334"/>
        <v>0</v>
      </c>
      <c r="GB877">
        <f t="shared" si="335"/>
        <v>0</v>
      </c>
      <c r="GC877">
        <f>IF(AND(C877="事件记录",H877=1),COUNTIFS($C$200:C877,"事件记录",$H$200:H877,1),0)</f>
        <v>0</v>
      </c>
      <c r="GD877">
        <f t="shared" si="315"/>
        <v>0</v>
      </c>
      <c r="GH877">
        <f>IF(AND(H877=1,A877=$GA$10,B877=$GA$11),COUNTIFS($A$200:A877,$GA$10,$B$200:B877,$GA$11,$H$200:H877,1),0)</f>
        <v>0</v>
      </c>
    </row>
    <row r="878" spans="1:190">
      <c r="A878" t="str">
        <f t="shared" si="306"/>
        <v/>
      </c>
      <c r="B878" t="str">
        <f t="shared" si="307"/>
        <v/>
      </c>
      <c r="C878" t="str">
        <f t="shared" si="308"/>
        <v/>
      </c>
      <c r="D878" t="str">
        <f t="shared" si="309"/>
        <v/>
      </c>
      <c r="E878">
        <f t="shared" si="310"/>
        <v>0</v>
      </c>
      <c r="F878" t="str">
        <f t="shared" si="311"/>
        <v/>
      </c>
      <c r="G878">
        <f t="shared" si="312"/>
        <v>0</v>
      </c>
      <c r="H878">
        <f>IF(AND(G878=1,COUNTIFS($I$200:I878,I878,$G$200:G878,1)=1),1,0)</f>
        <v>0</v>
      </c>
      <c r="I878" t="str">
        <f t="shared" si="313"/>
        <v/>
      </c>
      <c r="BF878">
        <f t="shared" si="316"/>
        <v>0</v>
      </c>
      <c r="BG878">
        <f t="shared" si="317"/>
        <v>0</v>
      </c>
      <c r="BH878">
        <f t="shared" si="318"/>
        <v>0</v>
      </c>
      <c r="BI878">
        <f t="shared" si="319"/>
        <v>0</v>
      </c>
      <c r="BJ878">
        <f t="shared" si="320"/>
        <v>0</v>
      </c>
      <c r="BK878">
        <f t="shared" si="321"/>
        <v>0</v>
      </c>
      <c r="BL878">
        <f t="shared" si="322"/>
        <v>0</v>
      </c>
      <c r="BM878">
        <f t="shared" si="323"/>
        <v>0</v>
      </c>
      <c r="BN878">
        <f t="shared" si="324"/>
        <v>0</v>
      </c>
      <c r="BO878">
        <f t="shared" si="325"/>
        <v>0</v>
      </c>
      <c r="BP878">
        <f t="shared" si="326"/>
        <v>0</v>
      </c>
      <c r="BQ878">
        <f t="shared" si="327"/>
        <v>0</v>
      </c>
      <c r="BR878">
        <f t="shared" si="328"/>
        <v>0</v>
      </c>
      <c r="BS878">
        <f t="shared" si="329"/>
        <v>0</v>
      </c>
      <c r="BT878">
        <f t="shared" si="330"/>
        <v>0</v>
      </c>
      <c r="BU878">
        <f t="shared" si="331"/>
        <v>0</v>
      </c>
      <c r="BV878">
        <f t="shared" si="332"/>
        <v>0</v>
      </c>
      <c r="BW878">
        <f t="shared" si="333"/>
        <v>0</v>
      </c>
      <c r="CA878" t="str">
        <f>IF(679&gt;ROWS(DGArchive[模组]),"",IF(INDEX(DGArchive[模组],679)="","",INDEX(DGArchive[模组],679)))</f>
        <v/>
      </c>
      <c r="CB878" t="str">
        <f>IF(679&gt;ROWS(DGArchive[阶段]),"",IF(INDEX(DGArchive[阶段],679)="","",INDEX(DGArchive[阶段],679)))</f>
        <v/>
      </c>
      <c r="CC878" t="str">
        <f>IF(679&gt;ROWS(DGArchive[游戏内日期]),"",IF(INDEX(DGArchive[游戏内日期],679)="","",INDEX(DGArchive[游戏内日期],679)))</f>
        <v/>
      </c>
      <c r="CD878" t="str">
        <f>IF(679&gt;ROWS(DGArchive[目标]),"",IF(INDEX(DGArchive[目标],679)="","",INDEX(DGArchive[目标],679)))</f>
        <v/>
      </c>
      <c r="CE878" t="str">
        <f>IF(679&gt;ROWS(DGArchive[变更前]),"",IF(INDEX(DGArchive[变更前],679)="","",INDEX(DGArchive[变更前],679)))</f>
        <v/>
      </c>
      <c r="CF878" t="str">
        <f>IF(679&gt;ROWS(DGArchive[增减]),"",IF(INDEX(DGArchive[增减],679)="","",INDEX(DGArchive[增减],679)))</f>
        <v/>
      </c>
      <c r="CG878" t="str">
        <f>IF(679&gt;ROWS(DGArchive[变更后]),"",IF(INDEX(DGArchive[变更后],679)="","",INDEX(DGArchive[变更后],679)))</f>
        <v/>
      </c>
      <c r="CH878" t="str">
        <f>IF(679&gt;ROWS(DGArchive[事件／活动]),"",IF(INDEX(DGArchive[事件／活动],679)="","",INDEX(DGArchive[事件／活动],679)))</f>
        <v/>
      </c>
      <c r="CI878" t="str">
        <f>IF(679&gt;ROWS(DGArchive[记录编号]),"",IF(INDEX(DGArchive[记录编号],679)="","",INDEX(DGArchive[记录编号],679)))</f>
        <v/>
      </c>
      <c r="CL878">
        <f t="shared" si="314"/>
        <v>0</v>
      </c>
      <c r="CM878">
        <f>IF(AND(A878=$AO$5,B878=$AQ$3,H878=1),COUNTIFS($A$200:A878,$AO$5,$B$200:B878,$AQ$3,$H$200:H878,1),0)</f>
        <v>0</v>
      </c>
      <c r="CN878">
        <f>IF(CA878="",679,1001)</f>
        <v>679</v>
      </c>
      <c r="GA878">
        <f t="shared" si="334"/>
        <v>0</v>
      </c>
      <c r="GB878">
        <f t="shared" si="335"/>
        <v>0</v>
      </c>
      <c r="GC878">
        <f>IF(AND(C878="事件记录",H878=1),COUNTIFS($C$200:C878,"事件记录",$H$200:H878,1),0)</f>
        <v>0</v>
      </c>
      <c r="GD878">
        <f t="shared" si="315"/>
        <v>0</v>
      </c>
      <c r="GH878">
        <f>IF(AND(H878=1,A878=$GA$10,B878=$GA$11),COUNTIFS($A$200:A878,$GA$10,$B$200:B878,$GA$11,$H$200:H878,1),0)</f>
        <v>0</v>
      </c>
    </row>
    <row r="879" spans="1:190">
      <c r="A879" t="str">
        <f t="shared" si="306"/>
        <v/>
      </c>
      <c r="B879" t="str">
        <f t="shared" si="307"/>
        <v/>
      </c>
      <c r="C879" t="str">
        <f t="shared" si="308"/>
        <v/>
      </c>
      <c r="D879" t="str">
        <f t="shared" si="309"/>
        <v/>
      </c>
      <c r="E879">
        <f t="shared" si="310"/>
        <v>0</v>
      </c>
      <c r="F879" t="str">
        <f t="shared" si="311"/>
        <v/>
      </c>
      <c r="G879">
        <f t="shared" si="312"/>
        <v>0</v>
      </c>
      <c r="H879">
        <f>IF(AND(G879=1,COUNTIFS($I$200:I879,I879,$G$200:G879,1)=1),1,0)</f>
        <v>0</v>
      </c>
      <c r="I879" t="str">
        <f t="shared" si="313"/>
        <v/>
      </c>
      <c r="BF879">
        <f t="shared" si="316"/>
        <v>0</v>
      </c>
      <c r="BG879">
        <f t="shared" si="317"/>
        <v>0</v>
      </c>
      <c r="BH879">
        <f t="shared" si="318"/>
        <v>0</v>
      </c>
      <c r="BI879">
        <f t="shared" si="319"/>
        <v>0</v>
      </c>
      <c r="BJ879">
        <f t="shared" si="320"/>
        <v>0</v>
      </c>
      <c r="BK879">
        <f t="shared" si="321"/>
        <v>0</v>
      </c>
      <c r="BL879">
        <f t="shared" si="322"/>
        <v>0</v>
      </c>
      <c r="BM879">
        <f t="shared" si="323"/>
        <v>0</v>
      </c>
      <c r="BN879">
        <f t="shared" si="324"/>
        <v>0</v>
      </c>
      <c r="BO879">
        <f t="shared" si="325"/>
        <v>0</v>
      </c>
      <c r="BP879">
        <f t="shared" si="326"/>
        <v>0</v>
      </c>
      <c r="BQ879">
        <f t="shared" si="327"/>
        <v>0</v>
      </c>
      <c r="BR879">
        <f t="shared" si="328"/>
        <v>0</v>
      </c>
      <c r="BS879">
        <f t="shared" si="329"/>
        <v>0</v>
      </c>
      <c r="BT879">
        <f t="shared" si="330"/>
        <v>0</v>
      </c>
      <c r="BU879">
        <f t="shared" si="331"/>
        <v>0</v>
      </c>
      <c r="BV879">
        <f t="shared" si="332"/>
        <v>0</v>
      </c>
      <c r="BW879">
        <f t="shared" si="333"/>
        <v>0</v>
      </c>
      <c r="CA879" t="str">
        <f>IF(680&gt;ROWS(DGArchive[模组]),"",IF(INDEX(DGArchive[模组],680)="","",INDEX(DGArchive[模组],680)))</f>
        <v/>
      </c>
      <c r="CB879" t="str">
        <f>IF(680&gt;ROWS(DGArchive[阶段]),"",IF(INDEX(DGArchive[阶段],680)="","",INDEX(DGArchive[阶段],680)))</f>
        <v/>
      </c>
      <c r="CC879" t="str">
        <f>IF(680&gt;ROWS(DGArchive[游戏内日期]),"",IF(INDEX(DGArchive[游戏内日期],680)="","",INDEX(DGArchive[游戏内日期],680)))</f>
        <v/>
      </c>
      <c r="CD879" t="str">
        <f>IF(680&gt;ROWS(DGArchive[目标]),"",IF(INDEX(DGArchive[目标],680)="","",INDEX(DGArchive[目标],680)))</f>
        <v/>
      </c>
      <c r="CE879" t="str">
        <f>IF(680&gt;ROWS(DGArchive[变更前]),"",IF(INDEX(DGArchive[变更前],680)="","",INDEX(DGArchive[变更前],680)))</f>
        <v/>
      </c>
      <c r="CF879" t="str">
        <f>IF(680&gt;ROWS(DGArchive[增减]),"",IF(INDEX(DGArchive[增减],680)="","",INDEX(DGArchive[增减],680)))</f>
        <v/>
      </c>
      <c r="CG879" t="str">
        <f>IF(680&gt;ROWS(DGArchive[变更后]),"",IF(INDEX(DGArchive[变更后],680)="","",INDEX(DGArchive[变更后],680)))</f>
        <v/>
      </c>
      <c r="CH879" t="str">
        <f>IF(680&gt;ROWS(DGArchive[事件／活动]),"",IF(INDEX(DGArchive[事件／活动],680)="","",INDEX(DGArchive[事件／活动],680)))</f>
        <v/>
      </c>
      <c r="CI879" t="str">
        <f>IF(680&gt;ROWS(DGArchive[记录编号]),"",IF(INDEX(DGArchive[记录编号],680)="","",INDEX(DGArchive[记录编号],680)))</f>
        <v/>
      </c>
      <c r="CL879">
        <f t="shared" si="314"/>
        <v>0</v>
      </c>
      <c r="CM879">
        <f>IF(AND(A879=$AO$5,B879=$AQ$3,H879=1),COUNTIFS($A$200:A879,$AO$5,$B$200:B879,$AQ$3,$H$200:H879,1),0)</f>
        <v>0</v>
      </c>
      <c r="CN879">
        <f>IF(CA879="",680,1001)</f>
        <v>680</v>
      </c>
      <c r="GA879">
        <f t="shared" si="334"/>
        <v>0</v>
      </c>
      <c r="GB879">
        <f t="shared" si="335"/>
        <v>0</v>
      </c>
      <c r="GC879">
        <f>IF(AND(C879="事件记录",H879=1),COUNTIFS($C$200:C879,"事件记录",$H$200:H879,1),0)</f>
        <v>0</v>
      </c>
      <c r="GD879">
        <f t="shared" si="315"/>
        <v>0</v>
      </c>
      <c r="GH879">
        <f>IF(AND(H879=1,A879=$GA$10,B879=$GA$11),COUNTIFS($A$200:A879,$GA$10,$B$200:B879,$GA$11,$H$200:H879,1),0)</f>
        <v>0</v>
      </c>
    </row>
    <row r="880" spans="1:190">
      <c r="A880" t="str">
        <f t="shared" si="306"/>
        <v/>
      </c>
      <c r="B880" t="str">
        <f t="shared" si="307"/>
        <v/>
      </c>
      <c r="C880" t="str">
        <f t="shared" si="308"/>
        <v/>
      </c>
      <c r="D880" t="str">
        <f t="shared" si="309"/>
        <v/>
      </c>
      <c r="E880">
        <f t="shared" si="310"/>
        <v>0</v>
      </c>
      <c r="F880" t="str">
        <f t="shared" si="311"/>
        <v/>
      </c>
      <c r="G880">
        <f t="shared" si="312"/>
        <v>0</v>
      </c>
      <c r="H880">
        <f>IF(AND(G880=1,COUNTIFS($I$200:I880,I880,$G$200:G880,1)=1),1,0)</f>
        <v>0</v>
      </c>
      <c r="I880" t="str">
        <f t="shared" si="313"/>
        <v/>
      </c>
      <c r="BF880">
        <f t="shared" si="316"/>
        <v>0</v>
      </c>
      <c r="BG880">
        <f t="shared" si="317"/>
        <v>0</v>
      </c>
      <c r="BH880">
        <f t="shared" si="318"/>
        <v>0</v>
      </c>
      <c r="BI880">
        <f t="shared" si="319"/>
        <v>0</v>
      </c>
      <c r="BJ880">
        <f t="shared" si="320"/>
        <v>0</v>
      </c>
      <c r="BK880">
        <f t="shared" si="321"/>
        <v>0</v>
      </c>
      <c r="BL880">
        <f t="shared" si="322"/>
        <v>0</v>
      </c>
      <c r="BM880">
        <f t="shared" si="323"/>
        <v>0</v>
      </c>
      <c r="BN880">
        <f t="shared" si="324"/>
        <v>0</v>
      </c>
      <c r="BO880">
        <f t="shared" si="325"/>
        <v>0</v>
      </c>
      <c r="BP880">
        <f t="shared" si="326"/>
        <v>0</v>
      </c>
      <c r="BQ880">
        <f t="shared" si="327"/>
        <v>0</v>
      </c>
      <c r="BR880">
        <f t="shared" si="328"/>
        <v>0</v>
      </c>
      <c r="BS880">
        <f t="shared" si="329"/>
        <v>0</v>
      </c>
      <c r="BT880">
        <f t="shared" si="330"/>
        <v>0</v>
      </c>
      <c r="BU880">
        <f t="shared" si="331"/>
        <v>0</v>
      </c>
      <c r="BV880">
        <f t="shared" si="332"/>
        <v>0</v>
      </c>
      <c r="BW880">
        <f t="shared" si="333"/>
        <v>0</v>
      </c>
      <c r="CA880" t="str">
        <f>IF(681&gt;ROWS(DGArchive[模组]),"",IF(INDEX(DGArchive[模组],681)="","",INDEX(DGArchive[模组],681)))</f>
        <v/>
      </c>
      <c r="CB880" t="str">
        <f>IF(681&gt;ROWS(DGArchive[阶段]),"",IF(INDEX(DGArchive[阶段],681)="","",INDEX(DGArchive[阶段],681)))</f>
        <v/>
      </c>
      <c r="CC880" t="str">
        <f>IF(681&gt;ROWS(DGArchive[游戏内日期]),"",IF(INDEX(DGArchive[游戏内日期],681)="","",INDEX(DGArchive[游戏内日期],681)))</f>
        <v/>
      </c>
      <c r="CD880" t="str">
        <f>IF(681&gt;ROWS(DGArchive[目标]),"",IF(INDEX(DGArchive[目标],681)="","",INDEX(DGArchive[目标],681)))</f>
        <v/>
      </c>
      <c r="CE880" t="str">
        <f>IF(681&gt;ROWS(DGArchive[变更前]),"",IF(INDEX(DGArchive[变更前],681)="","",INDEX(DGArchive[变更前],681)))</f>
        <v/>
      </c>
      <c r="CF880" t="str">
        <f>IF(681&gt;ROWS(DGArchive[增减]),"",IF(INDEX(DGArchive[增减],681)="","",INDEX(DGArchive[增减],681)))</f>
        <v/>
      </c>
      <c r="CG880" t="str">
        <f>IF(681&gt;ROWS(DGArchive[变更后]),"",IF(INDEX(DGArchive[变更后],681)="","",INDEX(DGArchive[变更后],681)))</f>
        <v/>
      </c>
      <c r="CH880" t="str">
        <f>IF(681&gt;ROWS(DGArchive[事件／活动]),"",IF(INDEX(DGArchive[事件／活动],681)="","",INDEX(DGArchive[事件／活动],681)))</f>
        <v/>
      </c>
      <c r="CI880" t="str">
        <f>IF(681&gt;ROWS(DGArchive[记录编号]),"",IF(INDEX(DGArchive[记录编号],681)="","",INDEX(DGArchive[记录编号],681)))</f>
        <v/>
      </c>
      <c r="CL880">
        <f t="shared" si="314"/>
        <v>0</v>
      </c>
      <c r="CM880">
        <f>IF(AND(A880=$AO$5,B880=$AQ$3,H880=1),COUNTIFS($A$200:A880,$AO$5,$B$200:B880,$AQ$3,$H$200:H880,1),0)</f>
        <v>0</v>
      </c>
      <c r="CN880">
        <f>IF(CA880="",681,1001)</f>
        <v>681</v>
      </c>
      <c r="GA880">
        <f t="shared" si="334"/>
        <v>0</v>
      </c>
      <c r="GB880">
        <f t="shared" si="335"/>
        <v>0</v>
      </c>
      <c r="GC880">
        <f>IF(AND(C880="事件记录",H880=1),COUNTIFS($C$200:C880,"事件记录",$H$200:H880,1),0)</f>
        <v>0</v>
      </c>
      <c r="GD880">
        <f t="shared" si="315"/>
        <v>0</v>
      </c>
      <c r="GH880">
        <f>IF(AND(H880=1,A880=$GA$10,B880=$GA$11),COUNTIFS($A$200:A880,$GA$10,$B$200:B880,$GA$11,$H$200:H880,1),0)</f>
        <v>0</v>
      </c>
    </row>
    <row r="881" spans="1:190">
      <c r="A881" t="str">
        <f t="shared" si="306"/>
        <v/>
      </c>
      <c r="B881" t="str">
        <f t="shared" si="307"/>
        <v/>
      </c>
      <c r="C881" t="str">
        <f t="shared" si="308"/>
        <v/>
      </c>
      <c r="D881" t="str">
        <f t="shared" si="309"/>
        <v/>
      </c>
      <c r="E881">
        <f t="shared" si="310"/>
        <v>0</v>
      </c>
      <c r="F881" t="str">
        <f t="shared" si="311"/>
        <v/>
      </c>
      <c r="G881">
        <f t="shared" si="312"/>
        <v>0</v>
      </c>
      <c r="H881">
        <f>IF(AND(G881=1,COUNTIFS($I$200:I881,I881,$G$200:G881,1)=1),1,0)</f>
        <v>0</v>
      </c>
      <c r="I881" t="str">
        <f t="shared" si="313"/>
        <v/>
      </c>
      <c r="BF881">
        <f t="shared" si="316"/>
        <v>0</v>
      </c>
      <c r="BG881">
        <f t="shared" si="317"/>
        <v>0</v>
      </c>
      <c r="BH881">
        <f t="shared" si="318"/>
        <v>0</v>
      </c>
      <c r="BI881">
        <f t="shared" si="319"/>
        <v>0</v>
      </c>
      <c r="BJ881">
        <f t="shared" si="320"/>
        <v>0</v>
      </c>
      <c r="BK881">
        <f t="shared" si="321"/>
        <v>0</v>
      </c>
      <c r="BL881">
        <f t="shared" si="322"/>
        <v>0</v>
      </c>
      <c r="BM881">
        <f t="shared" si="323"/>
        <v>0</v>
      </c>
      <c r="BN881">
        <f t="shared" si="324"/>
        <v>0</v>
      </c>
      <c r="BO881">
        <f t="shared" si="325"/>
        <v>0</v>
      </c>
      <c r="BP881">
        <f t="shared" si="326"/>
        <v>0</v>
      </c>
      <c r="BQ881">
        <f t="shared" si="327"/>
        <v>0</v>
      </c>
      <c r="BR881">
        <f t="shared" si="328"/>
        <v>0</v>
      </c>
      <c r="BS881">
        <f t="shared" si="329"/>
        <v>0</v>
      </c>
      <c r="BT881">
        <f t="shared" si="330"/>
        <v>0</v>
      </c>
      <c r="BU881">
        <f t="shared" si="331"/>
        <v>0</v>
      </c>
      <c r="BV881">
        <f t="shared" si="332"/>
        <v>0</v>
      </c>
      <c r="BW881">
        <f t="shared" si="333"/>
        <v>0</v>
      </c>
      <c r="CA881" t="str">
        <f>IF(682&gt;ROWS(DGArchive[模组]),"",IF(INDEX(DGArchive[模组],682)="","",INDEX(DGArchive[模组],682)))</f>
        <v/>
      </c>
      <c r="CB881" t="str">
        <f>IF(682&gt;ROWS(DGArchive[阶段]),"",IF(INDEX(DGArchive[阶段],682)="","",INDEX(DGArchive[阶段],682)))</f>
        <v/>
      </c>
      <c r="CC881" t="str">
        <f>IF(682&gt;ROWS(DGArchive[游戏内日期]),"",IF(INDEX(DGArchive[游戏内日期],682)="","",INDEX(DGArchive[游戏内日期],682)))</f>
        <v/>
      </c>
      <c r="CD881" t="str">
        <f>IF(682&gt;ROWS(DGArchive[目标]),"",IF(INDEX(DGArchive[目标],682)="","",INDEX(DGArchive[目标],682)))</f>
        <v/>
      </c>
      <c r="CE881" t="str">
        <f>IF(682&gt;ROWS(DGArchive[变更前]),"",IF(INDEX(DGArchive[变更前],682)="","",INDEX(DGArchive[变更前],682)))</f>
        <v/>
      </c>
      <c r="CF881" t="str">
        <f>IF(682&gt;ROWS(DGArchive[增减]),"",IF(INDEX(DGArchive[增减],682)="","",INDEX(DGArchive[增减],682)))</f>
        <v/>
      </c>
      <c r="CG881" t="str">
        <f>IF(682&gt;ROWS(DGArchive[变更后]),"",IF(INDEX(DGArchive[变更后],682)="","",INDEX(DGArchive[变更后],682)))</f>
        <v/>
      </c>
      <c r="CH881" t="str">
        <f>IF(682&gt;ROWS(DGArchive[事件／活动]),"",IF(INDEX(DGArchive[事件／活动],682)="","",INDEX(DGArchive[事件／活动],682)))</f>
        <v/>
      </c>
      <c r="CI881" t="str">
        <f>IF(682&gt;ROWS(DGArchive[记录编号]),"",IF(INDEX(DGArchive[记录编号],682)="","",INDEX(DGArchive[记录编号],682)))</f>
        <v/>
      </c>
      <c r="CL881">
        <f t="shared" si="314"/>
        <v>0</v>
      </c>
      <c r="CM881">
        <f>IF(AND(A881=$AO$5,B881=$AQ$3,H881=1),COUNTIFS($A$200:A881,$AO$5,$B$200:B881,$AQ$3,$H$200:H881,1),0)</f>
        <v>0</v>
      </c>
      <c r="CN881">
        <f>IF(CA881="",682,1001)</f>
        <v>682</v>
      </c>
      <c r="GA881">
        <f t="shared" si="334"/>
        <v>0</v>
      </c>
      <c r="GB881">
        <f t="shared" si="335"/>
        <v>0</v>
      </c>
      <c r="GC881">
        <f>IF(AND(C881="事件记录",H881=1),COUNTIFS($C$200:C881,"事件记录",$H$200:H881,1),0)</f>
        <v>0</v>
      </c>
      <c r="GD881">
        <f t="shared" si="315"/>
        <v>0</v>
      </c>
      <c r="GH881">
        <f>IF(AND(H881=1,A881=$GA$10,B881=$GA$11),COUNTIFS($A$200:A881,$GA$10,$B$200:B881,$GA$11,$H$200:H881,1),0)</f>
        <v>0</v>
      </c>
    </row>
    <row r="882" spans="1:190">
      <c r="A882" t="str">
        <f t="shared" si="306"/>
        <v/>
      </c>
      <c r="B882" t="str">
        <f t="shared" si="307"/>
        <v/>
      </c>
      <c r="C882" t="str">
        <f t="shared" si="308"/>
        <v/>
      </c>
      <c r="D882" t="str">
        <f t="shared" si="309"/>
        <v/>
      </c>
      <c r="E882">
        <f t="shared" si="310"/>
        <v>0</v>
      </c>
      <c r="F882" t="str">
        <f t="shared" si="311"/>
        <v/>
      </c>
      <c r="G882">
        <f t="shared" si="312"/>
        <v>0</v>
      </c>
      <c r="H882">
        <f>IF(AND(G882=1,COUNTIFS($I$200:I882,I882,$G$200:G882,1)=1),1,0)</f>
        <v>0</v>
      </c>
      <c r="I882" t="str">
        <f t="shared" si="313"/>
        <v/>
      </c>
      <c r="BF882">
        <f t="shared" si="316"/>
        <v>0</v>
      </c>
      <c r="BG882">
        <f t="shared" si="317"/>
        <v>0</v>
      </c>
      <c r="BH882">
        <f t="shared" si="318"/>
        <v>0</v>
      </c>
      <c r="BI882">
        <f t="shared" si="319"/>
        <v>0</v>
      </c>
      <c r="BJ882">
        <f t="shared" si="320"/>
        <v>0</v>
      </c>
      <c r="BK882">
        <f t="shared" si="321"/>
        <v>0</v>
      </c>
      <c r="BL882">
        <f t="shared" si="322"/>
        <v>0</v>
      </c>
      <c r="BM882">
        <f t="shared" si="323"/>
        <v>0</v>
      </c>
      <c r="BN882">
        <f t="shared" si="324"/>
        <v>0</v>
      </c>
      <c r="BO882">
        <f t="shared" si="325"/>
        <v>0</v>
      </c>
      <c r="BP882">
        <f t="shared" si="326"/>
        <v>0</v>
      </c>
      <c r="BQ882">
        <f t="shared" si="327"/>
        <v>0</v>
      </c>
      <c r="BR882">
        <f t="shared" si="328"/>
        <v>0</v>
      </c>
      <c r="BS882">
        <f t="shared" si="329"/>
        <v>0</v>
      </c>
      <c r="BT882">
        <f t="shared" si="330"/>
        <v>0</v>
      </c>
      <c r="BU882">
        <f t="shared" si="331"/>
        <v>0</v>
      </c>
      <c r="BV882">
        <f t="shared" si="332"/>
        <v>0</v>
      </c>
      <c r="BW882">
        <f t="shared" si="333"/>
        <v>0</v>
      </c>
      <c r="CA882" t="str">
        <f>IF(683&gt;ROWS(DGArchive[模组]),"",IF(INDEX(DGArchive[模组],683)="","",INDEX(DGArchive[模组],683)))</f>
        <v/>
      </c>
      <c r="CB882" t="str">
        <f>IF(683&gt;ROWS(DGArchive[阶段]),"",IF(INDEX(DGArchive[阶段],683)="","",INDEX(DGArchive[阶段],683)))</f>
        <v/>
      </c>
      <c r="CC882" t="str">
        <f>IF(683&gt;ROWS(DGArchive[游戏内日期]),"",IF(INDEX(DGArchive[游戏内日期],683)="","",INDEX(DGArchive[游戏内日期],683)))</f>
        <v/>
      </c>
      <c r="CD882" t="str">
        <f>IF(683&gt;ROWS(DGArchive[目标]),"",IF(INDEX(DGArchive[目标],683)="","",INDEX(DGArchive[目标],683)))</f>
        <v/>
      </c>
      <c r="CE882" t="str">
        <f>IF(683&gt;ROWS(DGArchive[变更前]),"",IF(INDEX(DGArchive[变更前],683)="","",INDEX(DGArchive[变更前],683)))</f>
        <v/>
      </c>
      <c r="CF882" t="str">
        <f>IF(683&gt;ROWS(DGArchive[增减]),"",IF(INDEX(DGArchive[增减],683)="","",INDEX(DGArchive[增减],683)))</f>
        <v/>
      </c>
      <c r="CG882" t="str">
        <f>IF(683&gt;ROWS(DGArchive[变更后]),"",IF(INDEX(DGArchive[变更后],683)="","",INDEX(DGArchive[变更后],683)))</f>
        <v/>
      </c>
      <c r="CH882" t="str">
        <f>IF(683&gt;ROWS(DGArchive[事件／活动]),"",IF(INDEX(DGArchive[事件／活动],683)="","",INDEX(DGArchive[事件／活动],683)))</f>
        <v/>
      </c>
      <c r="CI882" t="str">
        <f>IF(683&gt;ROWS(DGArchive[记录编号]),"",IF(INDEX(DGArchive[记录编号],683)="","",INDEX(DGArchive[记录编号],683)))</f>
        <v/>
      </c>
      <c r="CL882">
        <f t="shared" si="314"/>
        <v>0</v>
      </c>
      <c r="CM882">
        <f>IF(AND(A882=$AO$5,B882=$AQ$3,H882=1),COUNTIFS($A$200:A882,$AO$5,$B$200:B882,$AQ$3,$H$200:H882,1),0)</f>
        <v>0</v>
      </c>
      <c r="CN882">
        <f>IF(CA882="",683,1001)</f>
        <v>683</v>
      </c>
      <c r="GA882">
        <f t="shared" si="334"/>
        <v>0</v>
      </c>
      <c r="GB882">
        <f t="shared" si="335"/>
        <v>0</v>
      </c>
      <c r="GC882">
        <f>IF(AND(C882="事件记录",H882=1),COUNTIFS($C$200:C882,"事件记录",$H$200:H882,1),0)</f>
        <v>0</v>
      </c>
      <c r="GD882">
        <f t="shared" si="315"/>
        <v>0</v>
      </c>
      <c r="GH882">
        <f>IF(AND(H882=1,A882=$GA$10,B882=$GA$11),COUNTIFS($A$200:A882,$GA$10,$B$200:B882,$GA$11,$H$200:H882,1),0)</f>
        <v>0</v>
      </c>
    </row>
    <row r="883" spans="1:190">
      <c r="A883" t="str">
        <f t="shared" si="306"/>
        <v/>
      </c>
      <c r="B883" t="str">
        <f t="shared" si="307"/>
        <v/>
      </c>
      <c r="C883" t="str">
        <f t="shared" si="308"/>
        <v/>
      </c>
      <c r="D883" t="str">
        <f t="shared" si="309"/>
        <v/>
      </c>
      <c r="E883">
        <f t="shared" si="310"/>
        <v>0</v>
      </c>
      <c r="F883" t="str">
        <f t="shared" si="311"/>
        <v/>
      </c>
      <c r="G883">
        <f t="shared" si="312"/>
        <v>0</v>
      </c>
      <c r="H883">
        <f>IF(AND(G883=1,COUNTIFS($I$200:I883,I883,$G$200:G883,1)=1),1,0)</f>
        <v>0</v>
      </c>
      <c r="I883" t="str">
        <f t="shared" si="313"/>
        <v/>
      </c>
      <c r="BF883">
        <f t="shared" si="316"/>
        <v>0</v>
      </c>
      <c r="BG883">
        <f t="shared" si="317"/>
        <v>0</v>
      </c>
      <c r="BH883">
        <f t="shared" si="318"/>
        <v>0</v>
      </c>
      <c r="BI883">
        <f t="shared" si="319"/>
        <v>0</v>
      </c>
      <c r="BJ883">
        <f t="shared" si="320"/>
        <v>0</v>
      </c>
      <c r="BK883">
        <f t="shared" si="321"/>
        <v>0</v>
      </c>
      <c r="BL883">
        <f t="shared" si="322"/>
        <v>0</v>
      </c>
      <c r="BM883">
        <f t="shared" si="323"/>
        <v>0</v>
      </c>
      <c r="BN883">
        <f t="shared" si="324"/>
        <v>0</v>
      </c>
      <c r="BO883">
        <f t="shared" si="325"/>
        <v>0</v>
      </c>
      <c r="BP883">
        <f t="shared" si="326"/>
        <v>0</v>
      </c>
      <c r="BQ883">
        <f t="shared" si="327"/>
        <v>0</v>
      </c>
      <c r="BR883">
        <f t="shared" si="328"/>
        <v>0</v>
      </c>
      <c r="BS883">
        <f t="shared" si="329"/>
        <v>0</v>
      </c>
      <c r="BT883">
        <f t="shared" si="330"/>
        <v>0</v>
      </c>
      <c r="BU883">
        <f t="shared" si="331"/>
        <v>0</v>
      </c>
      <c r="BV883">
        <f t="shared" si="332"/>
        <v>0</v>
      </c>
      <c r="BW883">
        <f t="shared" si="333"/>
        <v>0</v>
      </c>
      <c r="CA883" t="str">
        <f>IF(684&gt;ROWS(DGArchive[模组]),"",IF(INDEX(DGArchive[模组],684)="","",INDEX(DGArchive[模组],684)))</f>
        <v/>
      </c>
      <c r="CB883" t="str">
        <f>IF(684&gt;ROWS(DGArchive[阶段]),"",IF(INDEX(DGArchive[阶段],684)="","",INDEX(DGArchive[阶段],684)))</f>
        <v/>
      </c>
      <c r="CC883" t="str">
        <f>IF(684&gt;ROWS(DGArchive[游戏内日期]),"",IF(INDEX(DGArchive[游戏内日期],684)="","",INDEX(DGArchive[游戏内日期],684)))</f>
        <v/>
      </c>
      <c r="CD883" t="str">
        <f>IF(684&gt;ROWS(DGArchive[目标]),"",IF(INDEX(DGArchive[目标],684)="","",INDEX(DGArchive[目标],684)))</f>
        <v/>
      </c>
      <c r="CE883" t="str">
        <f>IF(684&gt;ROWS(DGArchive[变更前]),"",IF(INDEX(DGArchive[变更前],684)="","",INDEX(DGArchive[变更前],684)))</f>
        <v/>
      </c>
      <c r="CF883" t="str">
        <f>IF(684&gt;ROWS(DGArchive[增减]),"",IF(INDEX(DGArchive[增减],684)="","",INDEX(DGArchive[增减],684)))</f>
        <v/>
      </c>
      <c r="CG883" t="str">
        <f>IF(684&gt;ROWS(DGArchive[变更后]),"",IF(INDEX(DGArchive[变更后],684)="","",INDEX(DGArchive[变更后],684)))</f>
        <v/>
      </c>
      <c r="CH883" t="str">
        <f>IF(684&gt;ROWS(DGArchive[事件／活动]),"",IF(INDEX(DGArchive[事件／活动],684)="","",INDEX(DGArchive[事件／活动],684)))</f>
        <v/>
      </c>
      <c r="CI883" t="str">
        <f>IF(684&gt;ROWS(DGArchive[记录编号]),"",IF(INDEX(DGArchive[记录编号],684)="","",INDEX(DGArchive[记录编号],684)))</f>
        <v/>
      </c>
      <c r="CL883">
        <f t="shared" si="314"/>
        <v>0</v>
      </c>
      <c r="CM883">
        <f>IF(AND(A883=$AO$5,B883=$AQ$3,H883=1),COUNTIFS($A$200:A883,$AO$5,$B$200:B883,$AQ$3,$H$200:H883,1),0)</f>
        <v>0</v>
      </c>
      <c r="CN883">
        <f>IF(CA883="",684,1001)</f>
        <v>684</v>
      </c>
      <c r="GA883">
        <f t="shared" si="334"/>
        <v>0</v>
      </c>
      <c r="GB883">
        <f t="shared" si="335"/>
        <v>0</v>
      </c>
      <c r="GC883">
        <f>IF(AND(C883="事件记录",H883=1),COUNTIFS($C$200:C883,"事件记录",$H$200:H883,1),0)</f>
        <v>0</v>
      </c>
      <c r="GD883">
        <f t="shared" si="315"/>
        <v>0</v>
      </c>
      <c r="GH883">
        <f>IF(AND(H883=1,A883=$GA$10,B883=$GA$11),COUNTIFS($A$200:A883,$GA$10,$B$200:B883,$GA$11,$H$200:H883,1),0)</f>
        <v>0</v>
      </c>
    </row>
    <row r="884" spans="1:190">
      <c r="A884" t="str">
        <f t="shared" si="306"/>
        <v/>
      </c>
      <c r="B884" t="str">
        <f t="shared" si="307"/>
        <v/>
      </c>
      <c r="C884" t="str">
        <f t="shared" si="308"/>
        <v/>
      </c>
      <c r="D884" t="str">
        <f t="shared" si="309"/>
        <v/>
      </c>
      <c r="E884">
        <f t="shared" si="310"/>
        <v>0</v>
      </c>
      <c r="F884" t="str">
        <f t="shared" si="311"/>
        <v/>
      </c>
      <c r="G884">
        <f t="shared" si="312"/>
        <v>0</v>
      </c>
      <c r="H884">
        <f>IF(AND(G884=1,COUNTIFS($I$200:I884,I884,$G$200:G884,1)=1),1,0)</f>
        <v>0</v>
      </c>
      <c r="I884" t="str">
        <f t="shared" si="313"/>
        <v/>
      </c>
      <c r="BF884">
        <f t="shared" si="316"/>
        <v>0</v>
      </c>
      <c r="BG884">
        <f t="shared" si="317"/>
        <v>0</v>
      </c>
      <c r="BH884">
        <f t="shared" si="318"/>
        <v>0</v>
      </c>
      <c r="BI884">
        <f t="shared" si="319"/>
        <v>0</v>
      </c>
      <c r="BJ884">
        <f t="shared" si="320"/>
        <v>0</v>
      </c>
      <c r="BK884">
        <f t="shared" si="321"/>
        <v>0</v>
      </c>
      <c r="BL884">
        <f t="shared" si="322"/>
        <v>0</v>
      </c>
      <c r="BM884">
        <f t="shared" si="323"/>
        <v>0</v>
      </c>
      <c r="BN884">
        <f t="shared" si="324"/>
        <v>0</v>
      </c>
      <c r="BO884">
        <f t="shared" si="325"/>
        <v>0</v>
      </c>
      <c r="BP884">
        <f t="shared" si="326"/>
        <v>0</v>
      </c>
      <c r="BQ884">
        <f t="shared" si="327"/>
        <v>0</v>
      </c>
      <c r="BR884">
        <f t="shared" si="328"/>
        <v>0</v>
      </c>
      <c r="BS884">
        <f t="shared" si="329"/>
        <v>0</v>
      </c>
      <c r="BT884">
        <f t="shared" si="330"/>
        <v>0</v>
      </c>
      <c r="BU884">
        <f t="shared" si="331"/>
        <v>0</v>
      </c>
      <c r="BV884">
        <f t="shared" si="332"/>
        <v>0</v>
      </c>
      <c r="BW884">
        <f t="shared" si="333"/>
        <v>0</v>
      </c>
      <c r="CA884" t="str">
        <f>IF(685&gt;ROWS(DGArchive[模组]),"",IF(INDEX(DGArchive[模组],685)="","",INDEX(DGArchive[模组],685)))</f>
        <v/>
      </c>
      <c r="CB884" t="str">
        <f>IF(685&gt;ROWS(DGArchive[阶段]),"",IF(INDEX(DGArchive[阶段],685)="","",INDEX(DGArchive[阶段],685)))</f>
        <v/>
      </c>
      <c r="CC884" t="str">
        <f>IF(685&gt;ROWS(DGArchive[游戏内日期]),"",IF(INDEX(DGArchive[游戏内日期],685)="","",INDEX(DGArchive[游戏内日期],685)))</f>
        <v/>
      </c>
      <c r="CD884" t="str">
        <f>IF(685&gt;ROWS(DGArchive[目标]),"",IF(INDEX(DGArchive[目标],685)="","",INDEX(DGArchive[目标],685)))</f>
        <v/>
      </c>
      <c r="CE884" t="str">
        <f>IF(685&gt;ROWS(DGArchive[变更前]),"",IF(INDEX(DGArchive[变更前],685)="","",INDEX(DGArchive[变更前],685)))</f>
        <v/>
      </c>
      <c r="CF884" t="str">
        <f>IF(685&gt;ROWS(DGArchive[增减]),"",IF(INDEX(DGArchive[增减],685)="","",INDEX(DGArchive[增减],685)))</f>
        <v/>
      </c>
      <c r="CG884" t="str">
        <f>IF(685&gt;ROWS(DGArchive[变更后]),"",IF(INDEX(DGArchive[变更后],685)="","",INDEX(DGArchive[变更后],685)))</f>
        <v/>
      </c>
      <c r="CH884" t="str">
        <f>IF(685&gt;ROWS(DGArchive[事件／活动]),"",IF(INDEX(DGArchive[事件／活动],685)="","",INDEX(DGArchive[事件／活动],685)))</f>
        <v/>
      </c>
      <c r="CI884" t="str">
        <f>IF(685&gt;ROWS(DGArchive[记录编号]),"",IF(INDEX(DGArchive[记录编号],685)="","",INDEX(DGArchive[记录编号],685)))</f>
        <v/>
      </c>
      <c r="CL884">
        <f t="shared" si="314"/>
        <v>0</v>
      </c>
      <c r="CM884">
        <f>IF(AND(A884=$AO$5,B884=$AQ$3,H884=1),COUNTIFS($A$200:A884,$AO$5,$B$200:B884,$AQ$3,$H$200:H884,1),0)</f>
        <v>0</v>
      </c>
      <c r="CN884">
        <f>IF(CA884="",685,1001)</f>
        <v>685</v>
      </c>
      <c r="GA884">
        <f t="shared" si="334"/>
        <v>0</v>
      </c>
      <c r="GB884">
        <f t="shared" si="335"/>
        <v>0</v>
      </c>
      <c r="GC884">
        <f>IF(AND(C884="事件记录",H884=1),COUNTIFS($C$200:C884,"事件记录",$H$200:H884,1),0)</f>
        <v>0</v>
      </c>
      <c r="GD884">
        <f t="shared" si="315"/>
        <v>0</v>
      </c>
      <c r="GH884">
        <f>IF(AND(H884=1,A884=$GA$10,B884=$GA$11),COUNTIFS($A$200:A884,$GA$10,$B$200:B884,$GA$11,$H$200:H884,1),0)</f>
        <v>0</v>
      </c>
    </row>
    <row r="885" spans="1:190">
      <c r="A885" t="str">
        <f t="shared" si="306"/>
        <v/>
      </c>
      <c r="B885" t="str">
        <f t="shared" si="307"/>
        <v/>
      </c>
      <c r="C885" t="str">
        <f t="shared" si="308"/>
        <v/>
      </c>
      <c r="D885" t="str">
        <f t="shared" si="309"/>
        <v/>
      </c>
      <c r="E885">
        <f t="shared" si="310"/>
        <v>0</v>
      </c>
      <c r="F885" t="str">
        <f t="shared" si="311"/>
        <v/>
      </c>
      <c r="G885">
        <f t="shared" si="312"/>
        <v>0</v>
      </c>
      <c r="H885">
        <f>IF(AND(G885=1,COUNTIFS($I$200:I885,I885,$G$200:G885,1)=1),1,0)</f>
        <v>0</v>
      </c>
      <c r="I885" t="str">
        <f t="shared" si="313"/>
        <v/>
      </c>
      <c r="BF885">
        <f t="shared" si="316"/>
        <v>0</v>
      </c>
      <c r="BG885">
        <f t="shared" si="317"/>
        <v>0</v>
      </c>
      <c r="BH885">
        <f t="shared" si="318"/>
        <v>0</v>
      </c>
      <c r="BI885">
        <f t="shared" si="319"/>
        <v>0</v>
      </c>
      <c r="BJ885">
        <f t="shared" si="320"/>
        <v>0</v>
      </c>
      <c r="BK885">
        <f t="shared" si="321"/>
        <v>0</v>
      </c>
      <c r="BL885">
        <f t="shared" si="322"/>
        <v>0</v>
      </c>
      <c r="BM885">
        <f t="shared" si="323"/>
        <v>0</v>
      </c>
      <c r="BN885">
        <f t="shared" si="324"/>
        <v>0</v>
      </c>
      <c r="BO885">
        <f t="shared" si="325"/>
        <v>0</v>
      </c>
      <c r="BP885">
        <f t="shared" si="326"/>
        <v>0</v>
      </c>
      <c r="BQ885">
        <f t="shared" si="327"/>
        <v>0</v>
      </c>
      <c r="BR885">
        <f t="shared" si="328"/>
        <v>0</v>
      </c>
      <c r="BS885">
        <f t="shared" si="329"/>
        <v>0</v>
      </c>
      <c r="BT885">
        <f t="shared" si="330"/>
        <v>0</v>
      </c>
      <c r="BU885">
        <f t="shared" si="331"/>
        <v>0</v>
      </c>
      <c r="BV885">
        <f t="shared" si="332"/>
        <v>0</v>
      </c>
      <c r="BW885">
        <f t="shared" si="333"/>
        <v>0</v>
      </c>
      <c r="CA885" t="str">
        <f>IF(686&gt;ROWS(DGArchive[模组]),"",IF(INDEX(DGArchive[模组],686)="","",INDEX(DGArchive[模组],686)))</f>
        <v/>
      </c>
      <c r="CB885" t="str">
        <f>IF(686&gt;ROWS(DGArchive[阶段]),"",IF(INDEX(DGArchive[阶段],686)="","",INDEX(DGArchive[阶段],686)))</f>
        <v/>
      </c>
      <c r="CC885" t="str">
        <f>IF(686&gt;ROWS(DGArchive[游戏内日期]),"",IF(INDEX(DGArchive[游戏内日期],686)="","",INDEX(DGArchive[游戏内日期],686)))</f>
        <v/>
      </c>
      <c r="CD885" t="str">
        <f>IF(686&gt;ROWS(DGArchive[目标]),"",IF(INDEX(DGArchive[目标],686)="","",INDEX(DGArchive[目标],686)))</f>
        <v/>
      </c>
      <c r="CE885" t="str">
        <f>IF(686&gt;ROWS(DGArchive[变更前]),"",IF(INDEX(DGArchive[变更前],686)="","",INDEX(DGArchive[变更前],686)))</f>
        <v/>
      </c>
      <c r="CF885" t="str">
        <f>IF(686&gt;ROWS(DGArchive[增减]),"",IF(INDEX(DGArchive[增减],686)="","",INDEX(DGArchive[增减],686)))</f>
        <v/>
      </c>
      <c r="CG885" t="str">
        <f>IF(686&gt;ROWS(DGArchive[变更后]),"",IF(INDEX(DGArchive[变更后],686)="","",INDEX(DGArchive[变更后],686)))</f>
        <v/>
      </c>
      <c r="CH885" t="str">
        <f>IF(686&gt;ROWS(DGArchive[事件／活动]),"",IF(INDEX(DGArchive[事件／活动],686)="","",INDEX(DGArchive[事件／活动],686)))</f>
        <v/>
      </c>
      <c r="CI885" t="str">
        <f>IF(686&gt;ROWS(DGArchive[记录编号]),"",IF(INDEX(DGArchive[记录编号],686)="","",INDEX(DGArchive[记录编号],686)))</f>
        <v/>
      </c>
      <c r="CL885">
        <f t="shared" si="314"/>
        <v>0</v>
      </c>
      <c r="CM885">
        <f>IF(AND(A885=$AO$5,B885=$AQ$3,H885=1),COUNTIFS($A$200:A885,$AO$5,$B$200:B885,$AQ$3,$H$200:H885,1),0)</f>
        <v>0</v>
      </c>
      <c r="CN885">
        <f>IF(CA885="",686,1001)</f>
        <v>686</v>
      </c>
      <c r="GA885">
        <f t="shared" si="334"/>
        <v>0</v>
      </c>
      <c r="GB885">
        <f t="shared" si="335"/>
        <v>0</v>
      </c>
      <c r="GC885">
        <f>IF(AND(C885="事件记录",H885=1),COUNTIFS($C$200:C885,"事件记录",$H$200:H885,1),0)</f>
        <v>0</v>
      </c>
      <c r="GD885">
        <f t="shared" si="315"/>
        <v>0</v>
      </c>
      <c r="GH885">
        <f>IF(AND(H885=1,A885=$GA$10,B885=$GA$11),COUNTIFS($A$200:A885,$GA$10,$B$200:B885,$GA$11,$H$200:H885,1),0)</f>
        <v>0</v>
      </c>
    </row>
    <row r="886" spans="1:190">
      <c r="A886" t="str">
        <f t="shared" si="306"/>
        <v/>
      </c>
      <c r="B886" t="str">
        <f t="shared" si="307"/>
        <v/>
      </c>
      <c r="C886" t="str">
        <f t="shared" si="308"/>
        <v/>
      </c>
      <c r="D886" t="str">
        <f t="shared" si="309"/>
        <v/>
      </c>
      <c r="E886">
        <f t="shared" si="310"/>
        <v>0</v>
      </c>
      <c r="F886" t="str">
        <f t="shared" si="311"/>
        <v/>
      </c>
      <c r="G886">
        <f t="shared" si="312"/>
        <v>0</v>
      </c>
      <c r="H886">
        <f>IF(AND(G886=1,COUNTIFS($I$200:I886,I886,$G$200:G886,1)=1),1,0)</f>
        <v>0</v>
      </c>
      <c r="I886" t="str">
        <f t="shared" si="313"/>
        <v/>
      </c>
      <c r="BF886">
        <f t="shared" si="316"/>
        <v>0</v>
      </c>
      <c r="BG886">
        <f t="shared" si="317"/>
        <v>0</v>
      </c>
      <c r="BH886">
        <f t="shared" si="318"/>
        <v>0</v>
      </c>
      <c r="BI886">
        <f t="shared" si="319"/>
        <v>0</v>
      </c>
      <c r="BJ886">
        <f t="shared" si="320"/>
        <v>0</v>
      </c>
      <c r="BK886">
        <f t="shared" si="321"/>
        <v>0</v>
      </c>
      <c r="BL886">
        <f t="shared" si="322"/>
        <v>0</v>
      </c>
      <c r="BM886">
        <f t="shared" si="323"/>
        <v>0</v>
      </c>
      <c r="BN886">
        <f t="shared" si="324"/>
        <v>0</v>
      </c>
      <c r="BO886">
        <f t="shared" si="325"/>
        <v>0</v>
      </c>
      <c r="BP886">
        <f t="shared" si="326"/>
        <v>0</v>
      </c>
      <c r="BQ886">
        <f t="shared" si="327"/>
        <v>0</v>
      </c>
      <c r="BR886">
        <f t="shared" si="328"/>
        <v>0</v>
      </c>
      <c r="BS886">
        <f t="shared" si="329"/>
        <v>0</v>
      </c>
      <c r="BT886">
        <f t="shared" si="330"/>
        <v>0</v>
      </c>
      <c r="BU886">
        <f t="shared" si="331"/>
        <v>0</v>
      </c>
      <c r="BV886">
        <f t="shared" si="332"/>
        <v>0</v>
      </c>
      <c r="BW886">
        <f t="shared" si="333"/>
        <v>0</v>
      </c>
      <c r="CA886" t="str">
        <f>IF(687&gt;ROWS(DGArchive[模组]),"",IF(INDEX(DGArchive[模组],687)="","",INDEX(DGArchive[模组],687)))</f>
        <v/>
      </c>
      <c r="CB886" t="str">
        <f>IF(687&gt;ROWS(DGArchive[阶段]),"",IF(INDEX(DGArchive[阶段],687)="","",INDEX(DGArchive[阶段],687)))</f>
        <v/>
      </c>
      <c r="CC886" t="str">
        <f>IF(687&gt;ROWS(DGArchive[游戏内日期]),"",IF(INDEX(DGArchive[游戏内日期],687)="","",INDEX(DGArchive[游戏内日期],687)))</f>
        <v/>
      </c>
      <c r="CD886" t="str">
        <f>IF(687&gt;ROWS(DGArchive[目标]),"",IF(INDEX(DGArchive[目标],687)="","",INDEX(DGArchive[目标],687)))</f>
        <v/>
      </c>
      <c r="CE886" t="str">
        <f>IF(687&gt;ROWS(DGArchive[变更前]),"",IF(INDEX(DGArchive[变更前],687)="","",INDEX(DGArchive[变更前],687)))</f>
        <v/>
      </c>
      <c r="CF886" t="str">
        <f>IF(687&gt;ROWS(DGArchive[增减]),"",IF(INDEX(DGArchive[增减],687)="","",INDEX(DGArchive[增减],687)))</f>
        <v/>
      </c>
      <c r="CG886" t="str">
        <f>IF(687&gt;ROWS(DGArchive[变更后]),"",IF(INDEX(DGArchive[变更后],687)="","",INDEX(DGArchive[变更后],687)))</f>
        <v/>
      </c>
      <c r="CH886" t="str">
        <f>IF(687&gt;ROWS(DGArchive[事件／活动]),"",IF(INDEX(DGArchive[事件／活动],687)="","",INDEX(DGArchive[事件／活动],687)))</f>
        <v/>
      </c>
      <c r="CI886" t="str">
        <f>IF(687&gt;ROWS(DGArchive[记录编号]),"",IF(INDEX(DGArchive[记录编号],687)="","",INDEX(DGArchive[记录编号],687)))</f>
        <v/>
      </c>
      <c r="CL886">
        <f t="shared" si="314"/>
        <v>0</v>
      </c>
      <c r="CM886">
        <f>IF(AND(A886=$AO$5,B886=$AQ$3,H886=1),COUNTIFS($A$200:A886,$AO$5,$B$200:B886,$AQ$3,$H$200:H886,1),0)</f>
        <v>0</v>
      </c>
      <c r="CN886">
        <f>IF(CA886="",687,1001)</f>
        <v>687</v>
      </c>
      <c r="GA886">
        <f t="shared" si="334"/>
        <v>0</v>
      </c>
      <c r="GB886">
        <f t="shared" si="335"/>
        <v>0</v>
      </c>
      <c r="GC886">
        <f>IF(AND(C886="事件记录",H886=1),COUNTIFS($C$200:C886,"事件记录",$H$200:H886,1),0)</f>
        <v>0</v>
      </c>
      <c r="GD886">
        <f t="shared" si="315"/>
        <v>0</v>
      </c>
      <c r="GH886">
        <f>IF(AND(H886=1,A886=$GA$10,B886=$GA$11),COUNTIFS($A$200:A886,$GA$10,$B$200:B886,$GA$11,$H$200:H886,1),0)</f>
        <v>0</v>
      </c>
    </row>
    <row r="887" spans="1:190">
      <c r="A887" t="str">
        <f t="shared" si="306"/>
        <v/>
      </c>
      <c r="B887" t="str">
        <f t="shared" si="307"/>
        <v/>
      </c>
      <c r="C887" t="str">
        <f t="shared" si="308"/>
        <v/>
      </c>
      <c r="D887" t="str">
        <f t="shared" si="309"/>
        <v/>
      </c>
      <c r="E887">
        <f t="shared" si="310"/>
        <v>0</v>
      </c>
      <c r="F887" t="str">
        <f t="shared" si="311"/>
        <v/>
      </c>
      <c r="G887">
        <f t="shared" si="312"/>
        <v>0</v>
      </c>
      <c r="H887">
        <f>IF(AND(G887=1,COUNTIFS($I$200:I887,I887,$G$200:G887,1)=1),1,0)</f>
        <v>0</v>
      </c>
      <c r="I887" t="str">
        <f t="shared" si="313"/>
        <v/>
      </c>
      <c r="BF887">
        <f t="shared" si="316"/>
        <v>0</v>
      </c>
      <c r="BG887">
        <f t="shared" si="317"/>
        <v>0</v>
      </c>
      <c r="BH887">
        <f t="shared" si="318"/>
        <v>0</v>
      </c>
      <c r="BI887">
        <f t="shared" si="319"/>
        <v>0</v>
      </c>
      <c r="BJ887">
        <f t="shared" si="320"/>
        <v>0</v>
      </c>
      <c r="BK887">
        <f t="shared" si="321"/>
        <v>0</v>
      </c>
      <c r="BL887">
        <f t="shared" si="322"/>
        <v>0</v>
      </c>
      <c r="BM887">
        <f t="shared" si="323"/>
        <v>0</v>
      </c>
      <c r="BN887">
        <f t="shared" si="324"/>
        <v>0</v>
      </c>
      <c r="BO887">
        <f t="shared" si="325"/>
        <v>0</v>
      </c>
      <c r="BP887">
        <f t="shared" si="326"/>
        <v>0</v>
      </c>
      <c r="BQ887">
        <f t="shared" si="327"/>
        <v>0</v>
      </c>
      <c r="BR887">
        <f t="shared" si="328"/>
        <v>0</v>
      </c>
      <c r="BS887">
        <f t="shared" si="329"/>
        <v>0</v>
      </c>
      <c r="BT887">
        <f t="shared" si="330"/>
        <v>0</v>
      </c>
      <c r="BU887">
        <f t="shared" si="331"/>
        <v>0</v>
      </c>
      <c r="BV887">
        <f t="shared" si="332"/>
        <v>0</v>
      </c>
      <c r="BW887">
        <f t="shared" si="333"/>
        <v>0</v>
      </c>
      <c r="CA887" t="str">
        <f>IF(688&gt;ROWS(DGArchive[模组]),"",IF(INDEX(DGArchive[模组],688)="","",INDEX(DGArchive[模组],688)))</f>
        <v/>
      </c>
      <c r="CB887" t="str">
        <f>IF(688&gt;ROWS(DGArchive[阶段]),"",IF(INDEX(DGArchive[阶段],688)="","",INDEX(DGArchive[阶段],688)))</f>
        <v/>
      </c>
      <c r="CC887" t="str">
        <f>IF(688&gt;ROWS(DGArchive[游戏内日期]),"",IF(INDEX(DGArchive[游戏内日期],688)="","",INDEX(DGArchive[游戏内日期],688)))</f>
        <v/>
      </c>
      <c r="CD887" t="str">
        <f>IF(688&gt;ROWS(DGArchive[目标]),"",IF(INDEX(DGArchive[目标],688)="","",INDEX(DGArchive[目标],688)))</f>
        <v/>
      </c>
      <c r="CE887" t="str">
        <f>IF(688&gt;ROWS(DGArchive[变更前]),"",IF(INDEX(DGArchive[变更前],688)="","",INDEX(DGArchive[变更前],688)))</f>
        <v/>
      </c>
      <c r="CF887" t="str">
        <f>IF(688&gt;ROWS(DGArchive[增减]),"",IF(INDEX(DGArchive[增减],688)="","",INDEX(DGArchive[增减],688)))</f>
        <v/>
      </c>
      <c r="CG887" t="str">
        <f>IF(688&gt;ROWS(DGArchive[变更后]),"",IF(INDEX(DGArchive[变更后],688)="","",INDEX(DGArchive[变更后],688)))</f>
        <v/>
      </c>
      <c r="CH887" t="str">
        <f>IF(688&gt;ROWS(DGArchive[事件／活动]),"",IF(INDEX(DGArchive[事件／活动],688)="","",INDEX(DGArchive[事件／活动],688)))</f>
        <v/>
      </c>
      <c r="CI887" t="str">
        <f>IF(688&gt;ROWS(DGArchive[记录编号]),"",IF(INDEX(DGArchive[记录编号],688)="","",INDEX(DGArchive[记录编号],688)))</f>
        <v/>
      </c>
      <c r="CL887">
        <f t="shared" si="314"/>
        <v>0</v>
      </c>
      <c r="CM887">
        <f>IF(AND(A887=$AO$5,B887=$AQ$3,H887=1),COUNTIFS($A$200:A887,$AO$5,$B$200:B887,$AQ$3,$H$200:H887,1),0)</f>
        <v>0</v>
      </c>
      <c r="CN887">
        <f>IF(CA887="",688,1001)</f>
        <v>688</v>
      </c>
      <c r="GA887">
        <f t="shared" si="334"/>
        <v>0</v>
      </c>
      <c r="GB887">
        <f t="shared" si="335"/>
        <v>0</v>
      </c>
      <c r="GC887">
        <f>IF(AND(C887="事件记录",H887=1),COUNTIFS($C$200:C887,"事件记录",$H$200:H887,1),0)</f>
        <v>0</v>
      </c>
      <c r="GD887">
        <f t="shared" si="315"/>
        <v>0</v>
      </c>
      <c r="GH887">
        <f>IF(AND(H887=1,A887=$GA$10,B887=$GA$11),COUNTIFS($A$200:A887,$GA$10,$B$200:B887,$GA$11,$H$200:H887,1),0)</f>
        <v>0</v>
      </c>
    </row>
    <row r="888" spans="1:190">
      <c r="A888" t="str">
        <f t="shared" si="306"/>
        <v/>
      </c>
      <c r="B888" t="str">
        <f t="shared" si="307"/>
        <v/>
      </c>
      <c r="C888" t="str">
        <f t="shared" si="308"/>
        <v/>
      </c>
      <c r="D888" t="str">
        <f t="shared" si="309"/>
        <v/>
      </c>
      <c r="E888">
        <f t="shared" si="310"/>
        <v>0</v>
      </c>
      <c r="F888" t="str">
        <f t="shared" si="311"/>
        <v/>
      </c>
      <c r="G888">
        <f t="shared" si="312"/>
        <v>0</v>
      </c>
      <c r="H888">
        <f>IF(AND(G888=1,COUNTIFS($I$200:I888,I888,$G$200:G888,1)=1),1,0)</f>
        <v>0</v>
      </c>
      <c r="I888" t="str">
        <f t="shared" si="313"/>
        <v/>
      </c>
      <c r="BF888">
        <f t="shared" si="316"/>
        <v>0</v>
      </c>
      <c r="BG888">
        <f t="shared" si="317"/>
        <v>0</v>
      </c>
      <c r="BH888">
        <f t="shared" si="318"/>
        <v>0</v>
      </c>
      <c r="BI888">
        <f t="shared" si="319"/>
        <v>0</v>
      </c>
      <c r="BJ888">
        <f t="shared" si="320"/>
        <v>0</v>
      </c>
      <c r="BK888">
        <f t="shared" si="321"/>
        <v>0</v>
      </c>
      <c r="BL888">
        <f t="shared" si="322"/>
        <v>0</v>
      </c>
      <c r="BM888">
        <f t="shared" si="323"/>
        <v>0</v>
      </c>
      <c r="BN888">
        <f t="shared" si="324"/>
        <v>0</v>
      </c>
      <c r="BO888">
        <f t="shared" si="325"/>
        <v>0</v>
      </c>
      <c r="BP888">
        <f t="shared" si="326"/>
        <v>0</v>
      </c>
      <c r="BQ888">
        <f t="shared" si="327"/>
        <v>0</v>
      </c>
      <c r="BR888">
        <f t="shared" si="328"/>
        <v>0</v>
      </c>
      <c r="BS888">
        <f t="shared" si="329"/>
        <v>0</v>
      </c>
      <c r="BT888">
        <f t="shared" si="330"/>
        <v>0</v>
      </c>
      <c r="BU888">
        <f t="shared" si="331"/>
        <v>0</v>
      </c>
      <c r="BV888">
        <f t="shared" si="332"/>
        <v>0</v>
      </c>
      <c r="BW888">
        <f t="shared" si="333"/>
        <v>0</v>
      </c>
      <c r="CA888" t="str">
        <f>IF(689&gt;ROWS(DGArchive[模组]),"",IF(INDEX(DGArchive[模组],689)="","",INDEX(DGArchive[模组],689)))</f>
        <v/>
      </c>
      <c r="CB888" t="str">
        <f>IF(689&gt;ROWS(DGArchive[阶段]),"",IF(INDEX(DGArchive[阶段],689)="","",INDEX(DGArchive[阶段],689)))</f>
        <v/>
      </c>
      <c r="CC888" t="str">
        <f>IF(689&gt;ROWS(DGArchive[游戏内日期]),"",IF(INDEX(DGArchive[游戏内日期],689)="","",INDEX(DGArchive[游戏内日期],689)))</f>
        <v/>
      </c>
      <c r="CD888" t="str">
        <f>IF(689&gt;ROWS(DGArchive[目标]),"",IF(INDEX(DGArchive[目标],689)="","",INDEX(DGArchive[目标],689)))</f>
        <v/>
      </c>
      <c r="CE888" t="str">
        <f>IF(689&gt;ROWS(DGArchive[变更前]),"",IF(INDEX(DGArchive[变更前],689)="","",INDEX(DGArchive[变更前],689)))</f>
        <v/>
      </c>
      <c r="CF888" t="str">
        <f>IF(689&gt;ROWS(DGArchive[增减]),"",IF(INDEX(DGArchive[增减],689)="","",INDEX(DGArchive[增减],689)))</f>
        <v/>
      </c>
      <c r="CG888" t="str">
        <f>IF(689&gt;ROWS(DGArchive[变更后]),"",IF(INDEX(DGArchive[变更后],689)="","",INDEX(DGArchive[变更后],689)))</f>
        <v/>
      </c>
      <c r="CH888" t="str">
        <f>IF(689&gt;ROWS(DGArchive[事件／活动]),"",IF(INDEX(DGArchive[事件／活动],689)="","",INDEX(DGArchive[事件／活动],689)))</f>
        <v/>
      </c>
      <c r="CI888" t="str">
        <f>IF(689&gt;ROWS(DGArchive[记录编号]),"",IF(INDEX(DGArchive[记录编号],689)="","",INDEX(DGArchive[记录编号],689)))</f>
        <v/>
      </c>
      <c r="CL888">
        <f t="shared" si="314"/>
        <v>0</v>
      </c>
      <c r="CM888">
        <f>IF(AND(A888=$AO$5,B888=$AQ$3,H888=1),COUNTIFS($A$200:A888,$AO$5,$B$200:B888,$AQ$3,$H$200:H888,1),0)</f>
        <v>0</v>
      </c>
      <c r="CN888">
        <f>IF(CA888="",689,1001)</f>
        <v>689</v>
      </c>
      <c r="GA888">
        <f t="shared" si="334"/>
        <v>0</v>
      </c>
      <c r="GB888">
        <f t="shared" si="335"/>
        <v>0</v>
      </c>
      <c r="GC888">
        <f>IF(AND(C888="事件记录",H888=1),COUNTIFS($C$200:C888,"事件记录",$H$200:H888,1),0)</f>
        <v>0</v>
      </c>
      <c r="GD888">
        <f t="shared" si="315"/>
        <v>0</v>
      </c>
      <c r="GH888">
        <f>IF(AND(H888=1,A888=$GA$10,B888=$GA$11),COUNTIFS($A$200:A888,$GA$10,$B$200:B888,$GA$11,$H$200:H888,1),0)</f>
        <v>0</v>
      </c>
    </row>
    <row r="889" spans="1:190">
      <c r="A889" t="str">
        <f t="shared" si="306"/>
        <v/>
      </c>
      <c r="B889" t="str">
        <f t="shared" si="307"/>
        <v/>
      </c>
      <c r="C889" t="str">
        <f t="shared" si="308"/>
        <v/>
      </c>
      <c r="D889" t="str">
        <f t="shared" si="309"/>
        <v/>
      </c>
      <c r="E889">
        <f t="shared" si="310"/>
        <v>0</v>
      </c>
      <c r="F889" t="str">
        <f t="shared" si="311"/>
        <v/>
      </c>
      <c r="G889">
        <f t="shared" si="312"/>
        <v>0</v>
      </c>
      <c r="H889">
        <f>IF(AND(G889=1,COUNTIFS($I$200:I889,I889,$G$200:G889,1)=1),1,0)</f>
        <v>0</v>
      </c>
      <c r="I889" t="str">
        <f t="shared" si="313"/>
        <v/>
      </c>
      <c r="BF889">
        <f t="shared" si="316"/>
        <v>0</v>
      </c>
      <c r="BG889">
        <f t="shared" si="317"/>
        <v>0</v>
      </c>
      <c r="BH889">
        <f t="shared" si="318"/>
        <v>0</v>
      </c>
      <c r="BI889">
        <f t="shared" si="319"/>
        <v>0</v>
      </c>
      <c r="BJ889">
        <f t="shared" si="320"/>
        <v>0</v>
      </c>
      <c r="BK889">
        <f t="shared" si="321"/>
        <v>0</v>
      </c>
      <c r="BL889">
        <f t="shared" si="322"/>
        <v>0</v>
      </c>
      <c r="BM889">
        <f t="shared" si="323"/>
        <v>0</v>
      </c>
      <c r="BN889">
        <f t="shared" si="324"/>
        <v>0</v>
      </c>
      <c r="BO889">
        <f t="shared" si="325"/>
        <v>0</v>
      </c>
      <c r="BP889">
        <f t="shared" si="326"/>
        <v>0</v>
      </c>
      <c r="BQ889">
        <f t="shared" si="327"/>
        <v>0</v>
      </c>
      <c r="BR889">
        <f t="shared" si="328"/>
        <v>0</v>
      </c>
      <c r="BS889">
        <f t="shared" si="329"/>
        <v>0</v>
      </c>
      <c r="BT889">
        <f t="shared" si="330"/>
        <v>0</v>
      </c>
      <c r="BU889">
        <f t="shared" si="331"/>
        <v>0</v>
      </c>
      <c r="BV889">
        <f t="shared" si="332"/>
        <v>0</v>
      </c>
      <c r="BW889">
        <f t="shared" si="333"/>
        <v>0</v>
      </c>
      <c r="CA889" t="str">
        <f>IF(690&gt;ROWS(DGArchive[模组]),"",IF(INDEX(DGArchive[模组],690)="","",INDEX(DGArchive[模组],690)))</f>
        <v/>
      </c>
      <c r="CB889" t="str">
        <f>IF(690&gt;ROWS(DGArchive[阶段]),"",IF(INDEX(DGArchive[阶段],690)="","",INDEX(DGArchive[阶段],690)))</f>
        <v/>
      </c>
      <c r="CC889" t="str">
        <f>IF(690&gt;ROWS(DGArchive[游戏内日期]),"",IF(INDEX(DGArchive[游戏内日期],690)="","",INDEX(DGArchive[游戏内日期],690)))</f>
        <v/>
      </c>
      <c r="CD889" t="str">
        <f>IF(690&gt;ROWS(DGArchive[目标]),"",IF(INDEX(DGArchive[目标],690)="","",INDEX(DGArchive[目标],690)))</f>
        <v/>
      </c>
      <c r="CE889" t="str">
        <f>IF(690&gt;ROWS(DGArchive[变更前]),"",IF(INDEX(DGArchive[变更前],690)="","",INDEX(DGArchive[变更前],690)))</f>
        <v/>
      </c>
      <c r="CF889" t="str">
        <f>IF(690&gt;ROWS(DGArchive[增减]),"",IF(INDEX(DGArchive[增减],690)="","",INDEX(DGArchive[增减],690)))</f>
        <v/>
      </c>
      <c r="CG889" t="str">
        <f>IF(690&gt;ROWS(DGArchive[变更后]),"",IF(INDEX(DGArchive[变更后],690)="","",INDEX(DGArchive[变更后],690)))</f>
        <v/>
      </c>
      <c r="CH889" t="str">
        <f>IF(690&gt;ROWS(DGArchive[事件／活动]),"",IF(INDEX(DGArchive[事件／活动],690)="","",INDEX(DGArchive[事件／活动],690)))</f>
        <v/>
      </c>
      <c r="CI889" t="str">
        <f>IF(690&gt;ROWS(DGArchive[记录编号]),"",IF(INDEX(DGArchive[记录编号],690)="","",INDEX(DGArchive[记录编号],690)))</f>
        <v/>
      </c>
      <c r="CL889">
        <f t="shared" si="314"/>
        <v>0</v>
      </c>
      <c r="CM889">
        <f>IF(AND(A889=$AO$5,B889=$AQ$3,H889=1),COUNTIFS($A$200:A889,$AO$5,$B$200:B889,$AQ$3,$H$200:H889,1),0)</f>
        <v>0</v>
      </c>
      <c r="CN889">
        <f>IF(CA889="",690,1001)</f>
        <v>690</v>
      </c>
      <c r="GA889">
        <f t="shared" si="334"/>
        <v>0</v>
      </c>
      <c r="GB889">
        <f t="shared" si="335"/>
        <v>0</v>
      </c>
      <c r="GC889">
        <f>IF(AND(C889="事件记录",H889=1),COUNTIFS($C$200:C889,"事件记录",$H$200:H889,1),0)</f>
        <v>0</v>
      </c>
      <c r="GD889">
        <f t="shared" si="315"/>
        <v>0</v>
      </c>
      <c r="GH889">
        <f>IF(AND(H889=1,A889=$GA$10,B889=$GA$11),COUNTIFS($A$200:A889,$GA$10,$B$200:B889,$GA$11,$H$200:H889,1),0)</f>
        <v>0</v>
      </c>
    </row>
    <row r="890" spans="1:190">
      <c r="A890" t="str">
        <f t="shared" si="306"/>
        <v/>
      </c>
      <c r="B890" t="str">
        <f t="shared" si="307"/>
        <v/>
      </c>
      <c r="C890" t="str">
        <f t="shared" si="308"/>
        <v/>
      </c>
      <c r="D890" t="str">
        <f t="shared" si="309"/>
        <v/>
      </c>
      <c r="E890">
        <f t="shared" si="310"/>
        <v>0</v>
      </c>
      <c r="F890" t="str">
        <f t="shared" si="311"/>
        <v/>
      </c>
      <c r="G890">
        <f t="shared" si="312"/>
        <v>0</v>
      </c>
      <c r="H890">
        <f>IF(AND(G890=1,COUNTIFS($I$200:I890,I890,$G$200:G890,1)=1),1,0)</f>
        <v>0</v>
      </c>
      <c r="I890" t="str">
        <f t="shared" si="313"/>
        <v/>
      </c>
      <c r="BF890">
        <f t="shared" si="316"/>
        <v>0</v>
      </c>
      <c r="BG890">
        <f t="shared" si="317"/>
        <v>0</v>
      </c>
      <c r="BH890">
        <f t="shared" si="318"/>
        <v>0</v>
      </c>
      <c r="BI890">
        <f t="shared" si="319"/>
        <v>0</v>
      </c>
      <c r="BJ890">
        <f t="shared" si="320"/>
        <v>0</v>
      </c>
      <c r="BK890">
        <f t="shared" si="321"/>
        <v>0</v>
      </c>
      <c r="BL890">
        <f t="shared" si="322"/>
        <v>0</v>
      </c>
      <c r="BM890">
        <f t="shared" si="323"/>
        <v>0</v>
      </c>
      <c r="BN890">
        <f t="shared" si="324"/>
        <v>0</v>
      </c>
      <c r="BO890">
        <f t="shared" si="325"/>
        <v>0</v>
      </c>
      <c r="BP890">
        <f t="shared" si="326"/>
        <v>0</v>
      </c>
      <c r="BQ890">
        <f t="shared" si="327"/>
        <v>0</v>
      </c>
      <c r="BR890">
        <f t="shared" si="328"/>
        <v>0</v>
      </c>
      <c r="BS890">
        <f t="shared" si="329"/>
        <v>0</v>
      </c>
      <c r="BT890">
        <f t="shared" si="330"/>
        <v>0</v>
      </c>
      <c r="BU890">
        <f t="shared" si="331"/>
        <v>0</v>
      </c>
      <c r="BV890">
        <f t="shared" si="332"/>
        <v>0</v>
      </c>
      <c r="BW890">
        <f t="shared" si="333"/>
        <v>0</v>
      </c>
      <c r="CA890" t="str">
        <f>IF(691&gt;ROWS(DGArchive[模组]),"",IF(INDEX(DGArchive[模组],691)="","",INDEX(DGArchive[模组],691)))</f>
        <v/>
      </c>
      <c r="CB890" t="str">
        <f>IF(691&gt;ROWS(DGArchive[阶段]),"",IF(INDEX(DGArchive[阶段],691)="","",INDEX(DGArchive[阶段],691)))</f>
        <v/>
      </c>
      <c r="CC890" t="str">
        <f>IF(691&gt;ROWS(DGArchive[游戏内日期]),"",IF(INDEX(DGArchive[游戏内日期],691)="","",INDEX(DGArchive[游戏内日期],691)))</f>
        <v/>
      </c>
      <c r="CD890" t="str">
        <f>IF(691&gt;ROWS(DGArchive[目标]),"",IF(INDEX(DGArchive[目标],691)="","",INDEX(DGArchive[目标],691)))</f>
        <v/>
      </c>
      <c r="CE890" t="str">
        <f>IF(691&gt;ROWS(DGArchive[变更前]),"",IF(INDEX(DGArchive[变更前],691)="","",INDEX(DGArchive[变更前],691)))</f>
        <v/>
      </c>
      <c r="CF890" t="str">
        <f>IF(691&gt;ROWS(DGArchive[增减]),"",IF(INDEX(DGArchive[增减],691)="","",INDEX(DGArchive[增减],691)))</f>
        <v/>
      </c>
      <c r="CG890" t="str">
        <f>IF(691&gt;ROWS(DGArchive[变更后]),"",IF(INDEX(DGArchive[变更后],691)="","",INDEX(DGArchive[变更后],691)))</f>
        <v/>
      </c>
      <c r="CH890" t="str">
        <f>IF(691&gt;ROWS(DGArchive[事件／活动]),"",IF(INDEX(DGArchive[事件／活动],691)="","",INDEX(DGArchive[事件／活动],691)))</f>
        <v/>
      </c>
      <c r="CI890" t="str">
        <f>IF(691&gt;ROWS(DGArchive[记录编号]),"",IF(INDEX(DGArchive[记录编号],691)="","",INDEX(DGArchive[记录编号],691)))</f>
        <v/>
      </c>
      <c r="CL890">
        <f t="shared" si="314"/>
        <v>0</v>
      </c>
      <c r="CM890">
        <f>IF(AND(A890=$AO$5,B890=$AQ$3,H890=1),COUNTIFS($A$200:A890,$AO$5,$B$200:B890,$AQ$3,$H$200:H890,1),0)</f>
        <v>0</v>
      </c>
      <c r="CN890">
        <f>IF(CA890="",691,1001)</f>
        <v>691</v>
      </c>
      <c r="GA890">
        <f t="shared" si="334"/>
        <v>0</v>
      </c>
      <c r="GB890">
        <f t="shared" si="335"/>
        <v>0</v>
      </c>
      <c r="GC890">
        <f>IF(AND(C890="事件记录",H890=1),COUNTIFS($C$200:C890,"事件记录",$H$200:H890,1),0)</f>
        <v>0</v>
      </c>
      <c r="GD890">
        <f t="shared" si="315"/>
        <v>0</v>
      </c>
      <c r="GH890">
        <f>IF(AND(H890=1,A890=$GA$10,B890=$GA$11),COUNTIFS($A$200:A890,$GA$10,$B$200:B890,$GA$11,$H$200:H890,1),0)</f>
        <v>0</v>
      </c>
    </row>
    <row r="891" spans="1:190">
      <c r="A891" t="str">
        <f t="shared" si="306"/>
        <v/>
      </c>
      <c r="B891" t="str">
        <f t="shared" si="307"/>
        <v/>
      </c>
      <c r="C891" t="str">
        <f t="shared" si="308"/>
        <v/>
      </c>
      <c r="D891" t="str">
        <f t="shared" si="309"/>
        <v/>
      </c>
      <c r="E891">
        <f t="shared" si="310"/>
        <v>0</v>
      </c>
      <c r="F891" t="str">
        <f t="shared" si="311"/>
        <v/>
      </c>
      <c r="G891">
        <f t="shared" si="312"/>
        <v>0</v>
      </c>
      <c r="H891">
        <f>IF(AND(G891=1,COUNTIFS($I$200:I891,I891,$G$200:G891,1)=1),1,0)</f>
        <v>0</v>
      </c>
      <c r="I891" t="str">
        <f t="shared" si="313"/>
        <v/>
      </c>
      <c r="BF891">
        <f t="shared" si="316"/>
        <v>0</v>
      </c>
      <c r="BG891">
        <f t="shared" si="317"/>
        <v>0</v>
      </c>
      <c r="BH891">
        <f t="shared" si="318"/>
        <v>0</v>
      </c>
      <c r="BI891">
        <f t="shared" si="319"/>
        <v>0</v>
      </c>
      <c r="BJ891">
        <f t="shared" si="320"/>
        <v>0</v>
      </c>
      <c r="BK891">
        <f t="shared" si="321"/>
        <v>0</v>
      </c>
      <c r="BL891">
        <f t="shared" si="322"/>
        <v>0</v>
      </c>
      <c r="BM891">
        <f t="shared" si="323"/>
        <v>0</v>
      </c>
      <c r="BN891">
        <f t="shared" si="324"/>
        <v>0</v>
      </c>
      <c r="BO891">
        <f t="shared" si="325"/>
        <v>0</v>
      </c>
      <c r="BP891">
        <f t="shared" si="326"/>
        <v>0</v>
      </c>
      <c r="BQ891">
        <f t="shared" si="327"/>
        <v>0</v>
      </c>
      <c r="BR891">
        <f t="shared" si="328"/>
        <v>0</v>
      </c>
      <c r="BS891">
        <f t="shared" si="329"/>
        <v>0</v>
      </c>
      <c r="BT891">
        <f t="shared" si="330"/>
        <v>0</v>
      </c>
      <c r="BU891">
        <f t="shared" si="331"/>
        <v>0</v>
      </c>
      <c r="BV891">
        <f t="shared" si="332"/>
        <v>0</v>
      </c>
      <c r="BW891">
        <f t="shared" si="333"/>
        <v>0</v>
      </c>
      <c r="CA891" t="str">
        <f>IF(692&gt;ROWS(DGArchive[模组]),"",IF(INDEX(DGArchive[模组],692)="","",INDEX(DGArchive[模组],692)))</f>
        <v/>
      </c>
      <c r="CB891" t="str">
        <f>IF(692&gt;ROWS(DGArchive[阶段]),"",IF(INDEX(DGArchive[阶段],692)="","",INDEX(DGArchive[阶段],692)))</f>
        <v/>
      </c>
      <c r="CC891" t="str">
        <f>IF(692&gt;ROWS(DGArchive[游戏内日期]),"",IF(INDEX(DGArchive[游戏内日期],692)="","",INDEX(DGArchive[游戏内日期],692)))</f>
        <v/>
      </c>
      <c r="CD891" t="str">
        <f>IF(692&gt;ROWS(DGArchive[目标]),"",IF(INDEX(DGArchive[目标],692)="","",INDEX(DGArchive[目标],692)))</f>
        <v/>
      </c>
      <c r="CE891" t="str">
        <f>IF(692&gt;ROWS(DGArchive[变更前]),"",IF(INDEX(DGArchive[变更前],692)="","",INDEX(DGArchive[变更前],692)))</f>
        <v/>
      </c>
      <c r="CF891" t="str">
        <f>IF(692&gt;ROWS(DGArchive[增减]),"",IF(INDEX(DGArchive[增减],692)="","",INDEX(DGArchive[增减],692)))</f>
        <v/>
      </c>
      <c r="CG891" t="str">
        <f>IF(692&gt;ROWS(DGArchive[变更后]),"",IF(INDEX(DGArchive[变更后],692)="","",INDEX(DGArchive[变更后],692)))</f>
        <v/>
      </c>
      <c r="CH891" t="str">
        <f>IF(692&gt;ROWS(DGArchive[事件／活动]),"",IF(INDEX(DGArchive[事件／活动],692)="","",INDEX(DGArchive[事件／活动],692)))</f>
        <v/>
      </c>
      <c r="CI891" t="str">
        <f>IF(692&gt;ROWS(DGArchive[记录编号]),"",IF(INDEX(DGArchive[记录编号],692)="","",INDEX(DGArchive[记录编号],692)))</f>
        <v/>
      </c>
      <c r="CL891">
        <f t="shared" si="314"/>
        <v>0</v>
      </c>
      <c r="CM891">
        <f>IF(AND(A891=$AO$5,B891=$AQ$3,H891=1),COUNTIFS($A$200:A891,$AO$5,$B$200:B891,$AQ$3,$H$200:H891,1),0)</f>
        <v>0</v>
      </c>
      <c r="CN891">
        <f>IF(CA891="",692,1001)</f>
        <v>692</v>
      </c>
      <c r="GA891">
        <f t="shared" si="334"/>
        <v>0</v>
      </c>
      <c r="GB891">
        <f t="shared" si="335"/>
        <v>0</v>
      </c>
      <c r="GC891">
        <f>IF(AND(C891="事件记录",H891=1),COUNTIFS($C$200:C891,"事件记录",$H$200:H891,1),0)</f>
        <v>0</v>
      </c>
      <c r="GD891">
        <f t="shared" si="315"/>
        <v>0</v>
      </c>
      <c r="GH891">
        <f>IF(AND(H891=1,A891=$GA$10,B891=$GA$11),COUNTIFS($A$200:A891,$GA$10,$B$200:B891,$GA$11,$H$200:H891,1),0)</f>
        <v>0</v>
      </c>
    </row>
    <row r="892" spans="1:190">
      <c r="A892" t="str">
        <f t="shared" si="306"/>
        <v/>
      </c>
      <c r="B892" t="str">
        <f t="shared" si="307"/>
        <v/>
      </c>
      <c r="C892" t="str">
        <f t="shared" si="308"/>
        <v/>
      </c>
      <c r="D892" t="str">
        <f t="shared" si="309"/>
        <v/>
      </c>
      <c r="E892">
        <f t="shared" si="310"/>
        <v>0</v>
      </c>
      <c r="F892" t="str">
        <f t="shared" si="311"/>
        <v/>
      </c>
      <c r="G892">
        <f t="shared" si="312"/>
        <v>0</v>
      </c>
      <c r="H892">
        <f>IF(AND(G892=1,COUNTIFS($I$200:I892,I892,$G$200:G892,1)=1),1,0)</f>
        <v>0</v>
      </c>
      <c r="I892" t="str">
        <f t="shared" si="313"/>
        <v/>
      </c>
      <c r="BF892">
        <f t="shared" si="316"/>
        <v>0</v>
      </c>
      <c r="BG892">
        <f t="shared" si="317"/>
        <v>0</v>
      </c>
      <c r="BH892">
        <f t="shared" si="318"/>
        <v>0</v>
      </c>
      <c r="BI892">
        <f t="shared" si="319"/>
        <v>0</v>
      </c>
      <c r="BJ892">
        <f t="shared" si="320"/>
        <v>0</v>
      </c>
      <c r="BK892">
        <f t="shared" si="321"/>
        <v>0</v>
      </c>
      <c r="BL892">
        <f t="shared" si="322"/>
        <v>0</v>
      </c>
      <c r="BM892">
        <f t="shared" si="323"/>
        <v>0</v>
      </c>
      <c r="BN892">
        <f t="shared" si="324"/>
        <v>0</v>
      </c>
      <c r="BO892">
        <f t="shared" si="325"/>
        <v>0</v>
      </c>
      <c r="BP892">
        <f t="shared" si="326"/>
        <v>0</v>
      </c>
      <c r="BQ892">
        <f t="shared" si="327"/>
        <v>0</v>
      </c>
      <c r="BR892">
        <f t="shared" si="328"/>
        <v>0</v>
      </c>
      <c r="BS892">
        <f t="shared" si="329"/>
        <v>0</v>
      </c>
      <c r="BT892">
        <f t="shared" si="330"/>
        <v>0</v>
      </c>
      <c r="BU892">
        <f t="shared" si="331"/>
        <v>0</v>
      </c>
      <c r="BV892">
        <f t="shared" si="332"/>
        <v>0</v>
      </c>
      <c r="BW892">
        <f t="shared" si="333"/>
        <v>0</v>
      </c>
      <c r="CA892" t="str">
        <f>IF(693&gt;ROWS(DGArchive[模组]),"",IF(INDEX(DGArchive[模组],693)="","",INDEX(DGArchive[模组],693)))</f>
        <v/>
      </c>
      <c r="CB892" t="str">
        <f>IF(693&gt;ROWS(DGArchive[阶段]),"",IF(INDEX(DGArchive[阶段],693)="","",INDEX(DGArchive[阶段],693)))</f>
        <v/>
      </c>
      <c r="CC892" t="str">
        <f>IF(693&gt;ROWS(DGArchive[游戏内日期]),"",IF(INDEX(DGArchive[游戏内日期],693)="","",INDEX(DGArchive[游戏内日期],693)))</f>
        <v/>
      </c>
      <c r="CD892" t="str">
        <f>IF(693&gt;ROWS(DGArchive[目标]),"",IF(INDEX(DGArchive[目标],693)="","",INDEX(DGArchive[目标],693)))</f>
        <v/>
      </c>
      <c r="CE892" t="str">
        <f>IF(693&gt;ROWS(DGArchive[变更前]),"",IF(INDEX(DGArchive[变更前],693)="","",INDEX(DGArchive[变更前],693)))</f>
        <v/>
      </c>
      <c r="CF892" t="str">
        <f>IF(693&gt;ROWS(DGArchive[增减]),"",IF(INDEX(DGArchive[增减],693)="","",INDEX(DGArchive[增减],693)))</f>
        <v/>
      </c>
      <c r="CG892" t="str">
        <f>IF(693&gt;ROWS(DGArchive[变更后]),"",IF(INDEX(DGArchive[变更后],693)="","",INDEX(DGArchive[变更后],693)))</f>
        <v/>
      </c>
      <c r="CH892" t="str">
        <f>IF(693&gt;ROWS(DGArchive[事件／活动]),"",IF(INDEX(DGArchive[事件／活动],693)="","",INDEX(DGArchive[事件／活动],693)))</f>
        <v/>
      </c>
      <c r="CI892" t="str">
        <f>IF(693&gt;ROWS(DGArchive[记录编号]),"",IF(INDEX(DGArchive[记录编号],693)="","",INDEX(DGArchive[记录编号],693)))</f>
        <v/>
      </c>
      <c r="CL892">
        <f t="shared" si="314"/>
        <v>0</v>
      </c>
      <c r="CM892">
        <f>IF(AND(A892=$AO$5,B892=$AQ$3,H892=1),COUNTIFS($A$200:A892,$AO$5,$B$200:B892,$AQ$3,$H$200:H892,1),0)</f>
        <v>0</v>
      </c>
      <c r="CN892">
        <f>IF(CA892="",693,1001)</f>
        <v>693</v>
      </c>
      <c r="GA892">
        <f t="shared" si="334"/>
        <v>0</v>
      </c>
      <c r="GB892">
        <f t="shared" si="335"/>
        <v>0</v>
      </c>
      <c r="GC892">
        <f>IF(AND(C892="事件记录",H892=1),COUNTIFS($C$200:C892,"事件记录",$H$200:H892,1),0)</f>
        <v>0</v>
      </c>
      <c r="GD892">
        <f t="shared" si="315"/>
        <v>0</v>
      </c>
      <c r="GH892">
        <f>IF(AND(H892=1,A892=$GA$10,B892=$GA$11),COUNTIFS($A$200:A892,$GA$10,$B$200:B892,$GA$11,$H$200:H892,1),0)</f>
        <v>0</v>
      </c>
    </row>
    <row r="893" spans="1:190">
      <c r="A893" t="str">
        <f t="shared" si="306"/>
        <v/>
      </c>
      <c r="B893" t="str">
        <f t="shared" si="307"/>
        <v/>
      </c>
      <c r="C893" t="str">
        <f t="shared" si="308"/>
        <v/>
      </c>
      <c r="D893" t="str">
        <f t="shared" si="309"/>
        <v/>
      </c>
      <c r="E893">
        <f t="shared" si="310"/>
        <v>0</v>
      </c>
      <c r="F893" t="str">
        <f t="shared" si="311"/>
        <v/>
      </c>
      <c r="G893">
        <f t="shared" si="312"/>
        <v>0</v>
      </c>
      <c r="H893">
        <f>IF(AND(G893=1,COUNTIFS($I$200:I893,I893,$G$200:G893,1)=1),1,0)</f>
        <v>0</v>
      </c>
      <c r="I893" t="str">
        <f t="shared" si="313"/>
        <v/>
      </c>
      <c r="BF893">
        <f t="shared" si="316"/>
        <v>0</v>
      </c>
      <c r="BG893">
        <f t="shared" si="317"/>
        <v>0</v>
      </c>
      <c r="BH893">
        <f t="shared" si="318"/>
        <v>0</v>
      </c>
      <c r="BI893">
        <f t="shared" si="319"/>
        <v>0</v>
      </c>
      <c r="BJ893">
        <f t="shared" si="320"/>
        <v>0</v>
      </c>
      <c r="BK893">
        <f t="shared" si="321"/>
        <v>0</v>
      </c>
      <c r="BL893">
        <f t="shared" si="322"/>
        <v>0</v>
      </c>
      <c r="BM893">
        <f t="shared" si="323"/>
        <v>0</v>
      </c>
      <c r="BN893">
        <f t="shared" si="324"/>
        <v>0</v>
      </c>
      <c r="BO893">
        <f t="shared" si="325"/>
        <v>0</v>
      </c>
      <c r="BP893">
        <f t="shared" si="326"/>
        <v>0</v>
      </c>
      <c r="BQ893">
        <f t="shared" si="327"/>
        <v>0</v>
      </c>
      <c r="BR893">
        <f t="shared" si="328"/>
        <v>0</v>
      </c>
      <c r="BS893">
        <f t="shared" si="329"/>
        <v>0</v>
      </c>
      <c r="BT893">
        <f t="shared" si="330"/>
        <v>0</v>
      </c>
      <c r="BU893">
        <f t="shared" si="331"/>
        <v>0</v>
      </c>
      <c r="BV893">
        <f t="shared" si="332"/>
        <v>0</v>
      </c>
      <c r="BW893">
        <f t="shared" si="333"/>
        <v>0</v>
      </c>
      <c r="CA893" t="str">
        <f>IF(694&gt;ROWS(DGArchive[模组]),"",IF(INDEX(DGArchive[模组],694)="","",INDEX(DGArchive[模组],694)))</f>
        <v/>
      </c>
      <c r="CB893" t="str">
        <f>IF(694&gt;ROWS(DGArchive[阶段]),"",IF(INDEX(DGArchive[阶段],694)="","",INDEX(DGArchive[阶段],694)))</f>
        <v/>
      </c>
      <c r="CC893" t="str">
        <f>IF(694&gt;ROWS(DGArchive[游戏内日期]),"",IF(INDEX(DGArchive[游戏内日期],694)="","",INDEX(DGArchive[游戏内日期],694)))</f>
        <v/>
      </c>
      <c r="CD893" t="str">
        <f>IF(694&gt;ROWS(DGArchive[目标]),"",IF(INDEX(DGArchive[目标],694)="","",INDEX(DGArchive[目标],694)))</f>
        <v/>
      </c>
      <c r="CE893" t="str">
        <f>IF(694&gt;ROWS(DGArchive[变更前]),"",IF(INDEX(DGArchive[变更前],694)="","",INDEX(DGArchive[变更前],694)))</f>
        <v/>
      </c>
      <c r="CF893" t="str">
        <f>IF(694&gt;ROWS(DGArchive[增减]),"",IF(INDEX(DGArchive[增减],694)="","",INDEX(DGArchive[增减],694)))</f>
        <v/>
      </c>
      <c r="CG893" t="str">
        <f>IF(694&gt;ROWS(DGArchive[变更后]),"",IF(INDEX(DGArchive[变更后],694)="","",INDEX(DGArchive[变更后],694)))</f>
        <v/>
      </c>
      <c r="CH893" t="str">
        <f>IF(694&gt;ROWS(DGArchive[事件／活动]),"",IF(INDEX(DGArchive[事件／活动],694)="","",INDEX(DGArchive[事件／活动],694)))</f>
        <v/>
      </c>
      <c r="CI893" t="str">
        <f>IF(694&gt;ROWS(DGArchive[记录编号]),"",IF(INDEX(DGArchive[记录编号],694)="","",INDEX(DGArchive[记录编号],694)))</f>
        <v/>
      </c>
      <c r="CL893">
        <f t="shared" si="314"/>
        <v>0</v>
      </c>
      <c r="CM893">
        <f>IF(AND(A893=$AO$5,B893=$AQ$3,H893=1),COUNTIFS($A$200:A893,$AO$5,$B$200:B893,$AQ$3,$H$200:H893,1),0)</f>
        <v>0</v>
      </c>
      <c r="CN893">
        <f>IF(CA893="",694,1001)</f>
        <v>694</v>
      </c>
      <c r="GA893">
        <f t="shared" si="334"/>
        <v>0</v>
      </c>
      <c r="GB893">
        <f t="shared" si="335"/>
        <v>0</v>
      </c>
      <c r="GC893">
        <f>IF(AND(C893="事件记录",H893=1),COUNTIFS($C$200:C893,"事件记录",$H$200:H893,1),0)</f>
        <v>0</v>
      </c>
      <c r="GD893">
        <f t="shared" si="315"/>
        <v>0</v>
      </c>
      <c r="GH893">
        <f>IF(AND(H893=1,A893=$GA$10,B893=$GA$11),COUNTIFS($A$200:A893,$GA$10,$B$200:B893,$GA$11,$H$200:H893,1),0)</f>
        <v>0</v>
      </c>
    </row>
    <row r="894" spans="1:190">
      <c r="A894" t="str">
        <f t="shared" si="306"/>
        <v/>
      </c>
      <c r="B894" t="str">
        <f t="shared" si="307"/>
        <v/>
      </c>
      <c r="C894" t="str">
        <f t="shared" si="308"/>
        <v/>
      </c>
      <c r="D894" t="str">
        <f t="shared" si="309"/>
        <v/>
      </c>
      <c r="E894">
        <f t="shared" si="310"/>
        <v>0</v>
      </c>
      <c r="F894" t="str">
        <f t="shared" si="311"/>
        <v/>
      </c>
      <c r="G894">
        <f t="shared" si="312"/>
        <v>0</v>
      </c>
      <c r="H894">
        <f>IF(AND(G894=1,COUNTIFS($I$200:I894,I894,$G$200:G894,1)=1),1,0)</f>
        <v>0</v>
      </c>
      <c r="I894" t="str">
        <f t="shared" si="313"/>
        <v/>
      </c>
      <c r="BF894">
        <f t="shared" si="316"/>
        <v>0</v>
      </c>
      <c r="BG894">
        <f t="shared" si="317"/>
        <v>0</v>
      </c>
      <c r="BH894">
        <f t="shared" si="318"/>
        <v>0</v>
      </c>
      <c r="BI894">
        <f t="shared" si="319"/>
        <v>0</v>
      </c>
      <c r="BJ894">
        <f t="shared" si="320"/>
        <v>0</v>
      </c>
      <c r="BK894">
        <f t="shared" si="321"/>
        <v>0</v>
      </c>
      <c r="BL894">
        <f t="shared" si="322"/>
        <v>0</v>
      </c>
      <c r="BM894">
        <f t="shared" si="323"/>
        <v>0</v>
      </c>
      <c r="BN894">
        <f t="shared" si="324"/>
        <v>0</v>
      </c>
      <c r="BO894">
        <f t="shared" si="325"/>
        <v>0</v>
      </c>
      <c r="BP894">
        <f t="shared" si="326"/>
        <v>0</v>
      </c>
      <c r="BQ894">
        <f t="shared" si="327"/>
        <v>0</v>
      </c>
      <c r="BR894">
        <f t="shared" si="328"/>
        <v>0</v>
      </c>
      <c r="BS894">
        <f t="shared" si="329"/>
        <v>0</v>
      </c>
      <c r="BT894">
        <f t="shared" si="330"/>
        <v>0</v>
      </c>
      <c r="BU894">
        <f t="shared" si="331"/>
        <v>0</v>
      </c>
      <c r="BV894">
        <f t="shared" si="332"/>
        <v>0</v>
      </c>
      <c r="BW894">
        <f t="shared" si="333"/>
        <v>0</v>
      </c>
      <c r="CA894" t="str">
        <f>IF(695&gt;ROWS(DGArchive[模组]),"",IF(INDEX(DGArchive[模组],695)="","",INDEX(DGArchive[模组],695)))</f>
        <v/>
      </c>
      <c r="CB894" t="str">
        <f>IF(695&gt;ROWS(DGArchive[阶段]),"",IF(INDEX(DGArchive[阶段],695)="","",INDEX(DGArchive[阶段],695)))</f>
        <v/>
      </c>
      <c r="CC894" t="str">
        <f>IF(695&gt;ROWS(DGArchive[游戏内日期]),"",IF(INDEX(DGArchive[游戏内日期],695)="","",INDEX(DGArchive[游戏内日期],695)))</f>
        <v/>
      </c>
      <c r="CD894" t="str">
        <f>IF(695&gt;ROWS(DGArchive[目标]),"",IF(INDEX(DGArchive[目标],695)="","",INDEX(DGArchive[目标],695)))</f>
        <v/>
      </c>
      <c r="CE894" t="str">
        <f>IF(695&gt;ROWS(DGArchive[变更前]),"",IF(INDEX(DGArchive[变更前],695)="","",INDEX(DGArchive[变更前],695)))</f>
        <v/>
      </c>
      <c r="CF894" t="str">
        <f>IF(695&gt;ROWS(DGArchive[增减]),"",IF(INDEX(DGArchive[增减],695)="","",INDEX(DGArchive[增减],695)))</f>
        <v/>
      </c>
      <c r="CG894" t="str">
        <f>IF(695&gt;ROWS(DGArchive[变更后]),"",IF(INDEX(DGArchive[变更后],695)="","",INDEX(DGArchive[变更后],695)))</f>
        <v/>
      </c>
      <c r="CH894" t="str">
        <f>IF(695&gt;ROWS(DGArchive[事件／活动]),"",IF(INDEX(DGArchive[事件／活动],695)="","",INDEX(DGArchive[事件／活动],695)))</f>
        <v/>
      </c>
      <c r="CI894" t="str">
        <f>IF(695&gt;ROWS(DGArchive[记录编号]),"",IF(INDEX(DGArchive[记录编号],695)="","",INDEX(DGArchive[记录编号],695)))</f>
        <v/>
      </c>
      <c r="CL894">
        <f t="shared" si="314"/>
        <v>0</v>
      </c>
      <c r="CM894">
        <f>IF(AND(A894=$AO$5,B894=$AQ$3,H894=1),COUNTIFS($A$200:A894,$AO$5,$B$200:B894,$AQ$3,$H$200:H894,1),0)</f>
        <v>0</v>
      </c>
      <c r="CN894">
        <f>IF(CA894="",695,1001)</f>
        <v>695</v>
      </c>
      <c r="GA894">
        <f t="shared" si="334"/>
        <v>0</v>
      </c>
      <c r="GB894">
        <f t="shared" si="335"/>
        <v>0</v>
      </c>
      <c r="GC894">
        <f>IF(AND(C894="事件记录",H894=1),COUNTIFS($C$200:C894,"事件记录",$H$200:H894,1),0)</f>
        <v>0</v>
      </c>
      <c r="GD894">
        <f t="shared" si="315"/>
        <v>0</v>
      </c>
      <c r="GH894">
        <f>IF(AND(H894=1,A894=$GA$10,B894=$GA$11),COUNTIFS($A$200:A894,$GA$10,$B$200:B894,$GA$11,$H$200:H894,1),0)</f>
        <v>0</v>
      </c>
    </row>
    <row r="895" spans="1:190">
      <c r="A895" t="str">
        <f t="shared" si="306"/>
        <v/>
      </c>
      <c r="B895" t="str">
        <f t="shared" si="307"/>
        <v/>
      </c>
      <c r="C895" t="str">
        <f t="shared" si="308"/>
        <v/>
      </c>
      <c r="D895" t="str">
        <f t="shared" si="309"/>
        <v/>
      </c>
      <c r="E895">
        <f t="shared" si="310"/>
        <v>0</v>
      </c>
      <c r="F895" t="str">
        <f t="shared" si="311"/>
        <v/>
      </c>
      <c r="G895">
        <f t="shared" si="312"/>
        <v>0</v>
      </c>
      <c r="H895">
        <f>IF(AND(G895=1,COUNTIFS($I$200:I895,I895,$G$200:G895,1)=1),1,0)</f>
        <v>0</v>
      </c>
      <c r="I895" t="str">
        <f t="shared" si="313"/>
        <v/>
      </c>
      <c r="BF895">
        <f t="shared" si="316"/>
        <v>0</v>
      </c>
      <c r="BG895">
        <f t="shared" si="317"/>
        <v>0</v>
      </c>
      <c r="BH895">
        <f t="shared" si="318"/>
        <v>0</v>
      </c>
      <c r="BI895">
        <f t="shared" si="319"/>
        <v>0</v>
      </c>
      <c r="BJ895">
        <f t="shared" si="320"/>
        <v>0</v>
      </c>
      <c r="BK895">
        <f t="shared" si="321"/>
        <v>0</v>
      </c>
      <c r="BL895">
        <f t="shared" si="322"/>
        <v>0</v>
      </c>
      <c r="BM895">
        <f t="shared" si="323"/>
        <v>0</v>
      </c>
      <c r="BN895">
        <f t="shared" si="324"/>
        <v>0</v>
      </c>
      <c r="BO895">
        <f t="shared" si="325"/>
        <v>0</v>
      </c>
      <c r="BP895">
        <f t="shared" si="326"/>
        <v>0</v>
      </c>
      <c r="BQ895">
        <f t="shared" si="327"/>
        <v>0</v>
      </c>
      <c r="BR895">
        <f t="shared" si="328"/>
        <v>0</v>
      </c>
      <c r="BS895">
        <f t="shared" si="329"/>
        <v>0</v>
      </c>
      <c r="BT895">
        <f t="shared" si="330"/>
        <v>0</v>
      </c>
      <c r="BU895">
        <f t="shared" si="331"/>
        <v>0</v>
      </c>
      <c r="BV895">
        <f t="shared" si="332"/>
        <v>0</v>
      </c>
      <c r="BW895">
        <f t="shared" si="333"/>
        <v>0</v>
      </c>
      <c r="CA895" t="str">
        <f>IF(696&gt;ROWS(DGArchive[模组]),"",IF(INDEX(DGArchive[模组],696)="","",INDEX(DGArchive[模组],696)))</f>
        <v/>
      </c>
      <c r="CB895" t="str">
        <f>IF(696&gt;ROWS(DGArchive[阶段]),"",IF(INDEX(DGArchive[阶段],696)="","",INDEX(DGArchive[阶段],696)))</f>
        <v/>
      </c>
      <c r="CC895" t="str">
        <f>IF(696&gt;ROWS(DGArchive[游戏内日期]),"",IF(INDEX(DGArchive[游戏内日期],696)="","",INDEX(DGArchive[游戏内日期],696)))</f>
        <v/>
      </c>
      <c r="CD895" t="str">
        <f>IF(696&gt;ROWS(DGArchive[目标]),"",IF(INDEX(DGArchive[目标],696)="","",INDEX(DGArchive[目标],696)))</f>
        <v/>
      </c>
      <c r="CE895" t="str">
        <f>IF(696&gt;ROWS(DGArchive[变更前]),"",IF(INDEX(DGArchive[变更前],696)="","",INDEX(DGArchive[变更前],696)))</f>
        <v/>
      </c>
      <c r="CF895" t="str">
        <f>IF(696&gt;ROWS(DGArchive[增减]),"",IF(INDEX(DGArchive[增减],696)="","",INDEX(DGArchive[增减],696)))</f>
        <v/>
      </c>
      <c r="CG895" t="str">
        <f>IF(696&gt;ROWS(DGArchive[变更后]),"",IF(INDEX(DGArchive[变更后],696)="","",INDEX(DGArchive[变更后],696)))</f>
        <v/>
      </c>
      <c r="CH895" t="str">
        <f>IF(696&gt;ROWS(DGArchive[事件／活动]),"",IF(INDEX(DGArchive[事件／活动],696)="","",INDEX(DGArchive[事件／活动],696)))</f>
        <v/>
      </c>
      <c r="CI895" t="str">
        <f>IF(696&gt;ROWS(DGArchive[记录编号]),"",IF(INDEX(DGArchive[记录编号],696)="","",INDEX(DGArchive[记录编号],696)))</f>
        <v/>
      </c>
      <c r="CL895">
        <f t="shared" si="314"/>
        <v>0</v>
      </c>
      <c r="CM895">
        <f>IF(AND(A895=$AO$5,B895=$AQ$3,H895=1),COUNTIFS($A$200:A895,$AO$5,$B$200:B895,$AQ$3,$H$200:H895,1),0)</f>
        <v>0</v>
      </c>
      <c r="CN895">
        <f>IF(CA895="",696,1001)</f>
        <v>696</v>
      </c>
      <c r="GA895">
        <f t="shared" si="334"/>
        <v>0</v>
      </c>
      <c r="GB895">
        <f t="shared" si="335"/>
        <v>0</v>
      </c>
      <c r="GC895">
        <f>IF(AND(C895="事件记录",H895=1),COUNTIFS($C$200:C895,"事件记录",$H$200:H895,1),0)</f>
        <v>0</v>
      </c>
      <c r="GD895">
        <f t="shared" si="315"/>
        <v>0</v>
      </c>
      <c r="GH895">
        <f>IF(AND(H895=1,A895=$GA$10,B895=$GA$11),COUNTIFS($A$200:A895,$GA$10,$B$200:B895,$GA$11,$H$200:H895,1),0)</f>
        <v>0</v>
      </c>
    </row>
    <row r="896" spans="1:190">
      <c r="A896" t="str">
        <f t="shared" si="306"/>
        <v/>
      </c>
      <c r="B896" t="str">
        <f t="shared" si="307"/>
        <v/>
      </c>
      <c r="C896" t="str">
        <f t="shared" si="308"/>
        <v/>
      </c>
      <c r="D896" t="str">
        <f t="shared" si="309"/>
        <v/>
      </c>
      <c r="E896">
        <f t="shared" si="310"/>
        <v>0</v>
      </c>
      <c r="F896" t="str">
        <f t="shared" si="311"/>
        <v/>
      </c>
      <c r="G896">
        <f t="shared" si="312"/>
        <v>0</v>
      </c>
      <c r="H896">
        <f>IF(AND(G896=1,COUNTIFS($I$200:I896,I896,$G$200:G896,1)=1),1,0)</f>
        <v>0</v>
      </c>
      <c r="I896" t="str">
        <f t="shared" si="313"/>
        <v/>
      </c>
      <c r="BF896">
        <f t="shared" si="316"/>
        <v>0</v>
      </c>
      <c r="BG896">
        <f t="shared" si="317"/>
        <v>0</v>
      </c>
      <c r="BH896">
        <f t="shared" si="318"/>
        <v>0</v>
      </c>
      <c r="BI896">
        <f t="shared" si="319"/>
        <v>0</v>
      </c>
      <c r="BJ896">
        <f t="shared" si="320"/>
        <v>0</v>
      </c>
      <c r="BK896">
        <f t="shared" si="321"/>
        <v>0</v>
      </c>
      <c r="BL896">
        <f t="shared" si="322"/>
        <v>0</v>
      </c>
      <c r="BM896">
        <f t="shared" si="323"/>
        <v>0</v>
      </c>
      <c r="BN896">
        <f t="shared" si="324"/>
        <v>0</v>
      </c>
      <c r="BO896">
        <f t="shared" si="325"/>
        <v>0</v>
      </c>
      <c r="BP896">
        <f t="shared" si="326"/>
        <v>0</v>
      </c>
      <c r="BQ896">
        <f t="shared" si="327"/>
        <v>0</v>
      </c>
      <c r="BR896">
        <f t="shared" si="328"/>
        <v>0</v>
      </c>
      <c r="BS896">
        <f t="shared" si="329"/>
        <v>0</v>
      </c>
      <c r="BT896">
        <f t="shared" si="330"/>
        <v>0</v>
      </c>
      <c r="BU896">
        <f t="shared" si="331"/>
        <v>0</v>
      </c>
      <c r="BV896">
        <f t="shared" si="332"/>
        <v>0</v>
      </c>
      <c r="BW896">
        <f t="shared" si="333"/>
        <v>0</v>
      </c>
      <c r="CA896" t="str">
        <f>IF(697&gt;ROWS(DGArchive[模组]),"",IF(INDEX(DGArchive[模组],697)="","",INDEX(DGArchive[模组],697)))</f>
        <v/>
      </c>
      <c r="CB896" t="str">
        <f>IF(697&gt;ROWS(DGArchive[阶段]),"",IF(INDEX(DGArchive[阶段],697)="","",INDEX(DGArchive[阶段],697)))</f>
        <v/>
      </c>
      <c r="CC896" t="str">
        <f>IF(697&gt;ROWS(DGArchive[游戏内日期]),"",IF(INDEX(DGArchive[游戏内日期],697)="","",INDEX(DGArchive[游戏内日期],697)))</f>
        <v/>
      </c>
      <c r="CD896" t="str">
        <f>IF(697&gt;ROWS(DGArchive[目标]),"",IF(INDEX(DGArchive[目标],697)="","",INDEX(DGArchive[目标],697)))</f>
        <v/>
      </c>
      <c r="CE896" t="str">
        <f>IF(697&gt;ROWS(DGArchive[变更前]),"",IF(INDEX(DGArchive[变更前],697)="","",INDEX(DGArchive[变更前],697)))</f>
        <v/>
      </c>
      <c r="CF896" t="str">
        <f>IF(697&gt;ROWS(DGArchive[增减]),"",IF(INDEX(DGArchive[增减],697)="","",INDEX(DGArchive[增减],697)))</f>
        <v/>
      </c>
      <c r="CG896" t="str">
        <f>IF(697&gt;ROWS(DGArchive[变更后]),"",IF(INDEX(DGArchive[变更后],697)="","",INDEX(DGArchive[变更后],697)))</f>
        <v/>
      </c>
      <c r="CH896" t="str">
        <f>IF(697&gt;ROWS(DGArchive[事件／活动]),"",IF(INDEX(DGArchive[事件／活动],697)="","",INDEX(DGArchive[事件／活动],697)))</f>
        <v/>
      </c>
      <c r="CI896" t="str">
        <f>IF(697&gt;ROWS(DGArchive[记录编号]),"",IF(INDEX(DGArchive[记录编号],697)="","",INDEX(DGArchive[记录编号],697)))</f>
        <v/>
      </c>
      <c r="CL896">
        <f t="shared" si="314"/>
        <v>0</v>
      </c>
      <c r="CM896">
        <f>IF(AND(A896=$AO$5,B896=$AQ$3,H896=1),COUNTIFS($A$200:A896,$AO$5,$B$200:B896,$AQ$3,$H$200:H896,1),0)</f>
        <v>0</v>
      </c>
      <c r="CN896">
        <f>IF(CA896="",697,1001)</f>
        <v>697</v>
      </c>
      <c r="GA896">
        <f t="shared" si="334"/>
        <v>0</v>
      </c>
      <c r="GB896">
        <f t="shared" si="335"/>
        <v>0</v>
      </c>
      <c r="GC896">
        <f>IF(AND(C896="事件记录",H896=1),COUNTIFS($C$200:C896,"事件记录",$H$200:H896,1),0)</f>
        <v>0</v>
      </c>
      <c r="GD896">
        <f t="shared" si="315"/>
        <v>0</v>
      </c>
      <c r="GH896">
        <f>IF(AND(H896=1,A896=$GA$10,B896=$GA$11),COUNTIFS($A$200:A896,$GA$10,$B$200:B896,$GA$11,$H$200:H896,1),0)</f>
        <v>0</v>
      </c>
    </row>
    <row r="897" spans="1:190">
      <c r="A897" t="str">
        <f t="shared" si="306"/>
        <v/>
      </c>
      <c r="B897" t="str">
        <f t="shared" si="307"/>
        <v/>
      </c>
      <c r="C897" t="str">
        <f t="shared" si="308"/>
        <v/>
      </c>
      <c r="D897" t="str">
        <f t="shared" si="309"/>
        <v/>
      </c>
      <c r="E897">
        <f t="shared" si="310"/>
        <v>0</v>
      </c>
      <c r="F897" t="str">
        <f t="shared" si="311"/>
        <v/>
      </c>
      <c r="G897">
        <f t="shared" si="312"/>
        <v>0</v>
      </c>
      <c r="H897">
        <f>IF(AND(G897=1,COUNTIFS($I$200:I897,I897,$G$200:G897,1)=1),1,0)</f>
        <v>0</v>
      </c>
      <c r="I897" t="str">
        <f t="shared" si="313"/>
        <v/>
      </c>
      <c r="BF897">
        <f t="shared" si="316"/>
        <v>0</v>
      </c>
      <c r="BG897">
        <f t="shared" si="317"/>
        <v>0</v>
      </c>
      <c r="BH897">
        <f t="shared" si="318"/>
        <v>0</v>
      </c>
      <c r="BI897">
        <f t="shared" si="319"/>
        <v>0</v>
      </c>
      <c r="BJ897">
        <f t="shared" si="320"/>
        <v>0</v>
      </c>
      <c r="BK897">
        <f t="shared" si="321"/>
        <v>0</v>
      </c>
      <c r="BL897">
        <f t="shared" si="322"/>
        <v>0</v>
      </c>
      <c r="BM897">
        <f t="shared" si="323"/>
        <v>0</v>
      </c>
      <c r="BN897">
        <f t="shared" si="324"/>
        <v>0</v>
      </c>
      <c r="BO897">
        <f t="shared" si="325"/>
        <v>0</v>
      </c>
      <c r="BP897">
        <f t="shared" si="326"/>
        <v>0</v>
      </c>
      <c r="BQ897">
        <f t="shared" si="327"/>
        <v>0</v>
      </c>
      <c r="BR897">
        <f t="shared" si="328"/>
        <v>0</v>
      </c>
      <c r="BS897">
        <f t="shared" si="329"/>
        <v>0</v>
      </c>
      <c r="BT897">
        <f t="shared" si="330"/>
        <v>0</v>
      </c>
      <c r="BU897">
        <f t="shared" si="331"/>
        <v>0</v>
      </c>
      <c r="BV897">
        <f t="shared" si="332"/>
        <v>0</v>
      </c>
      <c r="BW897">
        <f t="shared" si="333"/>
        <v>0</v>
      </c>
      <c r="CA897" t="str">
        <f>IF(698&gt;ROWS(DGArchive[模组]),"",IF(INDEX(DGArchive[模组],698)="","",INDEX(DGArchive[模组],698)))</f>
        <v/>
      </c>
      <c r="CB897" t="str">
        <f>IF(698&gt;ROWS(DGArchive[阶段]),"",IF(INDEX(DGArchive[阶段],698)="","",INDEX(DGArchive[阶段],698)))</f>
        <v/>
      </c>
      <c r="CC897" t="str">
        <f>IF(698&gt;ROWS(DGArchive[游戏内日期]),"",IF(INDEX(DGArchive[游戏内日期],698)="","",INDEX(DGArchive[游戏内日期],698)))</f>
        <v/>
      </c>
      <c r="CD897" t="str">
        <f>IF(698&gt;ROWS(DGArchive[目标]),"",IF(INDEX(DGArchive[目标],698)="","",INDEX(DGArchive[目标],698)))</f>
        <v/>
      </c>
      <c r="CE897" t="str">
        <f>IF(698&gt;ROWS(DGArchive[变更前]),"",IF(INDEX(DGArchive[变更前],698)="","",INDEX(DGArchive[变更前],698)))</f>
        <v/>
      </c>
      <c r="CF897" t="str">
        <f>IF(698&gt;ROWS(DGArchive[增减]),"",IF(INDEX(DGArchive[增减],698)="","",INDEX(DGArchive[增减],698)))</f>
        <v/>
      </c>
      <c r="CG897" t="str">
        <f>IF(698&gt;ROWS(DGArchive[变更后]),"",IF(INDEX(DGArchive[变更后],698)="","",INDEX(DGArchive[变更后],698)))</f>
        <v/>
      </c>
      <c r="CH897" t="str">
        <f>IF(698&gt;ROWS(DGArchive[事件／活动]),"",IF(INDEX(DGArchive[事件／活动],698)="","",INDEX(DGArchive[事件／活动],698)))</f>
        <v/>
      </c>
      <c r="CI897" t="str">
        <f>IF(698&gt;ROWS(DGArchive[记录编号]),"",IF(INDEX(DGArchive[记录编号],698)="","",INDEX(DGArchive[记录编号],698)))</f>
        <v/>
      </c>
      <c r="CL897">
        <f t="shared" si="314"/>
        <v>0</v>
      </c>
      <c r="CM897">
        <f>IF(AND(A897=$AO$5,B897=$AQ$3,H897=1),COUNTIFS($A$200:A897,$AO$5,$B$200:B897,$AQ$3,$H$200:H897,1),0)</f>
        <v>0</v>
      </c>
      <c r="CN897">
        <f>IF(CA897="",698,1001)</f>
        <v>698</v>
      </c>
      <c r="GA897">
        <f t="shared" si="334"/>
        <v>0</v>
      </c>
      <c r="GB897">
        <f t="shared" si="335"/>
        <v>0</v>
      </c>
      <c r="GC897">
        <f>IF(AND(C897="事件记录",H897=1),COUNTIFS($C$200:C897,"事件记录",$H$200:H897,1),0)</f>
        <v>0</v>
      </c>
      <c r="GD897">
        <f t="shared" si="315"/>
        <v>0</v>
      </c>
      <c r="GH897">
        <f>IF(AND(H897=1,A897=$GA$10,B897=$GA$11),COUNTIFS($A$200:A897,$GA$10,$B$200:B897,$GA$11,$H$200:H897,1),0)</f>
        <v>0</v>
      </c>
    </row>
    <row r="898" spans="1:190">
      <c r="A898" t="str">
        <f t="shared" si="306"/>
        <v/>
      </c>
      <c r="B898" t="str">
        <f t="shared" si="307"/>
        <v/>
      </c>
      <c r="C898" t="str">
        <f t="shared" si="308"/>
        <v/>
      </c>
      <c r="D898" t="str">
        <f t="shared" si="309"/>
        <v/>
      </c>
      <c r="E898">
        <f t="shared" si="310"/>
        <v>0</v>
      </c>
      <c r="F898" t="str">
        <f t="shared" si="311"/>
        <v/>
      </c>
      <c r="G898">
        <f t="shared" si="312"/>
        <v>0</v>
      </c>
      <c r="H898">
        <f>IF(AND(G898=1,COUNTIFS($I$200:I898,I898,$G$200:G898,1)=1),1,0)</f>
        <v>0</v>
      </c>
      <c r="I898" t="str">
        <f t="shared" si="313"/>
        <v/>
      </c>
      <c r="BF898">
        <f t="shared" si="316"/>
        <v>0</v>
      </c>
      <c r="BG898">
        <f t="shared" si="317"/>
        <v>0</v>
      </c>
      <c r="BH898">
        <f t="shared" si="318"/>
        <v>0</v>
      </c>
      <c r="BI898">
        <f t="shared" si="319"/>
        <v>0</v>
      </c>
      <c r="BJ898">
        <f t="shared" si="320"/>
        <v>0</v>
      </c>
      <c r="BK898">
        <f t="shared" si="321"/>
        <v>0</v>
      </c>
      <c r="BL898">
        <f t="shared" si="322"/>
        <v>0</v>
      </c>
      <c r="BM898">
        <f t="shared" si="323"/>
        <v>0</v>
      </c>
      <c r="BN898">
        <f t="shared" si="324"/>
        <v>0</v>
      </c>
      <c r="BO898">
        <f t="shared" si="325"/>
        <v>0</v>
      </c>
      <c r="BP898">
        <f t="shared" si="326"/>
        <v>0</v>
      </c>
      <c r="BQ898">
        <f t="shared" si="327"/>
        <v>0</v>
      </c>
      <c r="BR898">
        <f t="shared" si="328"/>
        <v>0</v>
      </c>
      <c r="BS898">
        <f t="shared" si="329"/>
        <v>0</v>
      </c>
      <c r="BT898">
        <f t="shared" si="330"/>
        <v>0</v>
      </c>
      <c r="BU898">
        <f t="shared" si="331"/>
        <v>0</v>
      </c>
      <c r="BV898">
        <f t="shared" si="332"/>
        <v>0</v>
      </c>
      <c r="BW898">
        <f t="shared" si="333"/>
        <v>0</v>
      </c>
      <c r="CA898" t="str">
        <f>IF(699&gt;ROWS(DGArchive[模组]),"",IF(INDEX(DGArchive[模组],699)="","",INDEX(DGArchive[模组],699)))</f>
        <v/>
      </c>
      <c r="CB898" t="str">
        <f>IF(699&gt;ROWS(DGArchive[阶段]),"",IF(INDEX(DGArchive[阶段],699)="","",INDEX(DGArchive[阶段],699)))</f>
        <v/>
      </c>
      <c r="CC898" t="str">
        <f>IF(699&gt;ROWS(DGArchive[游戏内日期]),"",IF(INDEX(DGArchive[游戏内日期],699)="","",INDEX(DGArchive[游戏内日期],699)))</f>
        <v/>
      </c>
      <c r="CD898" t="str">
        <f>IF(699&gt;ROWS(DGArchive[目标]),"",IF(INDEX(DGArchive[目标],699)="","",INDEX(DGArchive[目标],699)))</f>
        <v/>
      </c>
      <c r="CE898" t="str">
        <f>IF(699&gt;ROWS(DGArchive[变更前]),"",IF(INDEX(DGArchive[变更前],699)="","",INDEX(DGArchive[变更前],699)))</f>
        <v/>
      </c>
      <c r="CF898" t="str">
        <f>IF(699&gt;ROWS(DGArchive[增减]),"",IF(INDEX(DGArchive[增减],699)="","",INDEX(DGArchive[增减],699)))</f>
        <v/>
      </c>
      <c r="CG898" t="str">
        <f>IF(699&gt;ROWS(DGArchive[变更后]),"",IF(INDEX(DGArchive[变更后],699)="","",INDEX(DGArchive[变更后],699)))</f>
        <v/>
      </c>
      <c r="CH898" t="str">
        <f>IF(699&gt;ROWS(DGArchive[事件／活动]),"",IF(INDEX(DGArchive[事件／活动],699)="","",INDEX(DGArchive[事件／活动],699)))</f>
        <v/>
      </c>
      <c r="CI898" t="str">
        <f>IF(699&gt;ROWS(DGArchive[记录编号]),"",IF(INDEX(DGArchive[记录编号],699)="","",INDEX(DGArchive[记录编号],699)))</f>
        <v/>
      </c>
      <c r="CL898">
        <f t="shared" si="314"/>
        <v>0</v>
      </c>
      <c r="CM898">
        <f>IF(AND(A898=$AO$5,B898=$AQ$3,H898=1),COUNTIFS($A$200:A898,$AO$5,$B$200:B898,$AQ$3,$H$200:H898,1),0)</f>
        <v>0</v>
      </c>
      <c r="CN898">
        <f>IF(CA898="",699,1001)</f>
        <v>699</v>
      </c>
      <c r="GA898">
        <f t="shared" si="334"/>
        <v>0</v>
      </c>
      <c r="GB898">
        <f t="shared" si="335"/>
        <v>0</v>
      </c>
      <c r="GC898">
        <f>IF(AND(C898="事件记录",H898=1),COUNTIFS($C$200:C898,"事件记录",$H$200:H898,1),0)</f>
        <v>0</v>
      </c>
      <c r="GD898">
        <f t="shared" si="315"/>
        <v>0</v>
      </c>
      <c r="GH898">
        <f>IF(AND(H898=1,A898=$GA$10,B898=$GA$11),COUNTIFS($A$200:A898,$GA$10,$B$200:B898,$GA$11,$H$200:H898,1),0)</f>
        <v>0</v>
      </c>
    </row>
    <row r="899" spans="1:190">
      <c r="A899" t="str">
        <f t="shared" si="306"/>
        <v/>
      </c>
      <c r="B899" t="str">
        <f t="shared" si="307"/>
        <v/>
      </c>
      <c r="C899" t="str">
        <f t="shared" si="308"/>
        <v/>
      </c>
      <c r="D899" t="str">
        <f t="shared" si="309"/>
        <v/>
      </c>
      <c r="E899">
        <f t="shared" si="310"/>
        <v>0</v>
      </c>
      <c r="F899" t="str">
        <f t="shared" si="311"/>
        <v/>
      </c>
      <c r="G899">
        <f t="shared" si="312"/>
        <v>0</v>
      </c>
      <c r="H899">
        <f>IF(AND(G899=1,COUNTIFS($I$200:I899,I899,$G$200:G899,1)=1),1,0)</f>
        <v>0</v>
      </c>
      <c r="I899" t="str">
        <f t="shared" si="313"/>
        <v/>
      </c>
      <c r="BF899">
        <f t="shared" si="316"/>
        <v>0</v>
      </c>
      <c r="BG899">
        <f t="shared" si="317"/>
        <v>0</v>
      </c>
      <c r="BH899">
        <f t="shared" si="318"/>
        <v>0</v>
      </c>
      <c r="BI899">
        <f t="shared" si="319"/>
        <v>0</v>
      </c>
      <c r="BJ899">
        <f t="shared" si="320"/>
        <v>0</v>
      </c>
      <c r="BK899">
        <f t="shared" si="321"/>
        <v>0</v>
      </c>
      <c r="BL899">
        <f t="shared" si="322"/>
        <v>0</v>
      </c>
      <c r="BM899">
        <f t="shared" si="323"/>
        <v>0</v>
      </c>
      <c r="BN899">
        <f t="shared" si="324"/>
        <v>0</v>
      </c>
      <c r="BO899">
        <f t="shared" si="325"/>
        <v>0</v>
      </c>
      <c r="BP899">
        <f t="shared" si="326"/>
        <v>0</v>
      </c>
      <c r="BQ899">
        <f t="shared" si="327"/>
        <v>0</v>
      </c>
      <c r="BR899">
        <f t="shared" si="328"/>
        <v>0</v>
      </c>
      <c r="BS899">
        <f t="shared" si="329"/>
        <v>0</v>
      </c>
      <c r="BT899">
        <f t="shared" si="330"/>
        <v>0</v>
      </c>
      <c r="BU899">
        <f t="shared" si="331"/>
        <v>0</v>
      </c>
      <c r="BV899">
        <f t="shared" si="332"/>
        <v>0</v>
      </c>
      <c r="BW899">
        <f t="shared" si="333"/>
        <v>0</v>
      </c>
      <c r="CA899" t="str">
        <f>IF(700&gt;ROWS(DGArchive[模组]),"",IF(INDEX(DGArchive[模组],700)="","",INDEX(DGArchive[模组],700)))</f>
        <v/>
      </c>
      <c r="CB899" t="str">
        <f>IF(700&gt;ROWS(DGArchive[阶段]),"",IF(INDEX(DGArchive[阶段],700)="","",INDEX(DGArchive[阶段],700)))</f>
        <v/>
      </c>
      <c r="CC899" t="str">
        <f>IF(700&gt;ROWS(DGArchive[游戏内日期]),"",IF(INDEX(DGArchive[游戏内日期],700)="","",INDEX(DGArchive[游戏内日期],700)))</f>
        <v/>
      </c>
      <c r="CD899" t="str">
        <f>IF(700&gt;ROWS(DGArchive[目标]),"",IF(INDEX(DGArchive[目标],700)="","",INDEX(DGArchive[目标],700)))</f>
        <v/>
      </c>
      <c r="CE899" t="str">
        <f>IF(700&gt;ROWS(DGArchive[变更前]),"",IF(INDEX(DGArchive[变更前],700)="","",INDEX(DGArchive[变更前],700)))</f>
        <v/>
      </c>
      <c r="CF899" t="str">
        <f>IF(700&gt;ROWS(DGArchive[增减]),"",IF(INDEX(DGArchive[增减],700)="","",INDEX(DGArchive[增减],700)))</f>
        <v/>
      </c>
      <c r="CG899" t="str">
        <f>IF(700&gt;ROWS(DGArchive[变更后]),"",IF(INDEX(DGArchive[变更后],700)="","",INDEX(DGArchive[变更后],700)))</f>
        <v/>
      </c>
      <c r="CH899" t="str">
        <f>IF(700&gt;ROWS(DGArchive[事件／活动]),"",IF(INDEX(DGArchive[事件／活动],700)="","",INDEX(DGArchive[事件／活动],700)))</f>
        <v/>
      </c>
      <c r="CI899" t="str">
        <f>IF(700&gt;ROWS(DGArchive[记录编号]),"",IF(INDEX(DGArchive[记录编号],700)="","",INDEX(DGArchive[记录编号],700)))</f>
        <v/>
      </c>
      <c r="CL899">
        <f t="shared" si="314"/>
        <v>0</v>
      </c>
      <c r="CM899">
        <f>IF(AND(A899=$AO$5,B899=$AQ$3,H899=1),COUNTIFS($A$200:A899,$AO$5,$B$200:B899,$AQ$3,$H$200:H899,1),0)</f>
        <v>0</v>
      </c>
      <c r="CN899">
        <f>IF(CA899="",700,1001)</f>
        <v>700</v>
      </c>
      <c r="GA899">
        <f t="shared" si="334"/>
        <v>0</v>
      </c>
      <c r="GB899">
        <f t="shared" si="335"/>
        <v>0</v>
      </c>
      <c r="GC899">
        <f>IF(AND(C899="事件记录",H899=1),COUNTIFS($C$200:C899,"事件记录",$H$200:H899,1),0)</f>
        <v>0</v>
      </c>
      <c r="GD899">
        <f t="shared" si="315"/>
        <v>0</v>
      </c>
      <c r="GH899">
        <f>IF(AND(H899=1,A899=$GA$10,B899=$GA$11),COUNTIFS($A$200:A899,$GA$10,$B$200:B899,$GA$11,$H$200:H899,1),0)</f>
        <v>0</v>
      </c>
    </row>
    <row r="900" spans="1:190">
      <c r="A900" t="str">
        <f t="shared" si="306"/>
        <v/>
      </c>
      <c r="B900" t="str">
        <f t="shared" si="307"/>
        <v/>
      </c>
      <c r="C900" t="str">
        <f t="shared" si="308"/>
        <v/>
      </c>
      <c r="D900" t="str">
        <f t="shared" si="309"/>
        <v/>
      </c>
      <c r="E900">
        <f t="shared" si="310"/>
        <v>0</v>
      </c>
      <c r="F900" t="str">
        <f t="shared" si="311"/>
        <v/>
      </c>
      <c r="G900">
        <f t="shared" si="312"/>
        <v>0</v>
      </c>
      <c r="H900">
        <f>IF(AND(G900=1,COUNTIFS($I$200:I900,I900,$G$200:G900,1)=1),1,0)</f>
        <v>0</v>
      </c>
      <c r="I900" t="str">
        <f t="shared" si="313"/>
        <v/>
      </c>
      <c r="BF900">
        <f t="shared" si="316"/>
        <v>0</v>
      </c>
      <c r="BG900">
        <f t="shared" si="317"/>
        <v>0</v>
      </c>
      <c r="BH900">
        <f t="shared" si="318"/>
        <v>0</v>
      </c>
      <c r="BI900">
        <f t="shared" si="319"/>
        <v>0</v>
      </c>
      <c r="BJ900">
        <f t="shared" si="320"/>
        <v>0</v>
      </c>
      <c r="BK900">
        <f t="shared" si="321"/>
        <v>0</v>
      </c>
      <c r="BL900">
        <f t="shared" si="322"/>
        <v>0</v>
      </c>
      <c r="BM900">
        <f t="shared" si="323"/>
        <v>0</v>
      </c>
      <c r="BN900">
        <f t="shared" si="324"/>
        <v>0</v>
      </c>
      <c r="BO900">
        <f t="shared" si="325"/>
        <v>0</v>
      </c>
      <c r="BP900">
        <f t="shared" si="326"/>
        <v>0</v>
      </c>
      <c r="BQ900">
        <f t="shared" si="327"/>
        <v>0</v>
      </c>
      <c r="BR900">
        <f t="shared" si="328"/>
        <v>0</v>
      </c>
      <c r="BS900">
        <f t="shared" si="329"/>
        <v>0</v>
      </c>
      <c r="BT900">
        <f t="shared" si="330"/>
        <v>0</v>
      </c>
      <c r="BU900">
        <f t="shared" si="331"/>
        <v>0</v>
      </c>
      <c r="BV900">
        <f t="shared" si="332"/>
        <v>0</v>
      </c>
      <c r="BW900">
        <f t="shared" si="333"/>
        <v>0</v>
      </c>
      <c r="CA900" t="str">
        <f>IF(701&gt;ROWS(DGArchive[模组]),"",IF(INDEX(DGArchive[模组],701)="","",INDEX(DGArchive[模组],701)))</f>
        <v/>
      </c>
      <c r="CB900" t="str">
        <f>IF(701&gt;ROWS(DGArchive[阶段]),"",IF(INDEX(DGArchive[阶段],701)="","",INDEX(DGArchive[阶段],701)))</f>
        <v/>
      </c>
      <c r="CC900" t="str">
        <f>IF(701&gt;ROWS(DGArchive[游戏内日期]),"",IF(INDEX(DGArchive[游戏内日期],701)="","",INDEX(DGArchive[游戏内日期],701)))</f>
        <v/>
      </c>
      <c r="CD900" t="str">
        <f>IF(701&gt;ROWS(DGArchive[目标]),"",IF(INDEX(DGArchive[目标],701)="","",INDEX(DGArchive[目标],701)))</f>
        <v/>
      </c>
      <c r="CE900" t="str">
        <f>IF(701&gt;ROWS(DGArchive[变更前]),"",IF(INDEX(DGArchive[变更前],701)="","",INDEX(DGArchive[变更前],701)))</f>
        <v/>
      </c>
      <c r="CF900" t="str">
        <f>IF(701&gt;ROWS(DGArchive[增减]),"",IF(INDEX(DGArchive[增减],701)="","",INDEX(DGArchive[增减],701)))</f>
        <v/>
      </c>
      <c r="CG900" t="str">
        <f>IF(701&gt;ROWS(DGArchive[变更后]),"",IF(INDEX(DGArchive[变更后],701)="","",INDEX(DGArchive[变更后],701)))</f>
        <v/>
      </c>
      <c r="CH900" t="str">
        <f>IF(701&gt;ROWS(DGArchive[事件／活动]),"",IF(INDEX(DGArchive[事件／活动],701)="","",INDEX(DGArchive[事件／活动],701)))</f>
        <v/>
      </c>
      <c r="CI900" t="str">
        <f>IF(701&gt;ROWS(DGArchive[记录编号]),"",IF(INDEX(DGArchive[记录编号],701)="","",INDEX(DGArchive[记录编号],701)))</f>
        <v/>
      </c>
      <c r="CL900">
        <f t="shared" si="314"/>
        <v>0</v>
      </c>
      <c r="CM900">
        <f>IF(AND(A900=$AO$5,B900=$AQ$3,H900=1),COUNTIFS($A$200:A900,$AO$5,$B$200:B900,$AQ$3,$H$200:H900,1),0)</f>
        <v>0</v>
      </c>
      <c r="CN900">
        <f>IF(CA900="",701,1001)</f>
        <v>701</v>
      </c>
      <c r="GA900">
        <f t="shared" si="334"/>
        <v>0</v>
      </c>
      <c r="GB900">
        <f t="shared" si="335"/>
        <v>0</v>
      </c>
      <c r="GC900">
        <f>IF(AND(C900="事件记录",H900=1),COUNTIFS($C$200:C900,"事件记录",$H$200:H900,1),0)</f>
        <v>0</v>
      </c>
      <c r="GD900">
        <f t="shared" si="315"/>
        <v>0</v>
      </c>
      <c r="GH900">
        <f>IF(AND(H900=1,A900=$GA$10,B900=$GA$11),COUNTIFS($A$200:A900,$GA$10,$B$200:B900,$GA$11,$H$200:H900,1),0)</f>
        <v>0</v>
      </c>
    </row>
    <row r="901" spans="1:190">
      <c r="A901" t="str">
        <f t="shared" si="306"/>
        <v/>
      </c>
      <c r="B901" t="str">
        <f t="shared" si="307"/>
        <v/>
      </c>
      <c r="C901" t="str">
        <f t="shared" si="308"/>
        <v/>
      </c>
      <c r="D901" t="str">
        <f t="shared" si="309"/>
        <v/>
      </c>
      <c r="E901">
        <f t="shared" si="310"/>
        <v>0</v>
      </c>
      <c r="F901" t="str">
        <f t="shared" si="311"/>
        <v/>
      </c>
      <c r="G901">
        <f t="shared" si="312"/>
        <v>0</v>
      </c>
      <c r="H901">
        <f>IF(AND(G901=1,COUNTIFS($I$200:I901,I901,$G$200:G901,1)=1),1,0)</f>
        <v>0</v>
      </c>
      <c r="I901" t="str">
        <f t="shared" si="313"/>
        <v/>
      </c>
      <c r="BF901">
        <f t="shared" si="316"/>
        <v>0</v>
      </c>
      <c r="BG901">
        <f t="shared" si="317"/>
        <v>0</v>
      </c>
      <c r="BH901">
        <f t="shared" si="318"/>
        <v>0</v>
      </c>
      <c r="BI901">
        <f t="shared" si="319"/>
        <v>0</v>
      </c>
      <c r="BJ901">
        <f t="shared" si="320"/>
        <v>0</v>
      </c>
      <c r="BK901">
        <f t="shared" si="321"/>
        <v>0</v>
      </c>
      <c r="BL901">
        <f t="shared" si="322"/>
        <v>0</v>
      </c>
      <c r="BM901">
        <f t="shared" si="323"/>
        <v>0</v>
      </c>
      <c r="BN901">
        <f t="shared" si="324"/>
        <v>0</v>
      </c>
      <c r="BO901">
        <f t="shared" si="325"/>
        <v>0</v>
      </c>
      <c r="BP901">
        <f t="shared" si="326"/>
        <v>0</v>
      </c>
      <c r="BQ901">
        <f t="shared" si="327"/>
        <v>0</v>
      </c>
      <c r="BR901">
        <f t="shared" si="328"/>
        <v>0</v>
      </c>
      <c r="BS901">
        <f t="shared" si="329"/>
        <v>0</v>
      </c>
      <c r="BT901">
        <f t="shared" si="330"/>
        <v>0</v>
      </c>
      <c r="BU901">
        <f t="shared" si="331"/>
        <v>0</v>
      </c>
      <c r="BV901">
        <f t="shared" si="332"/>
        <v>0</v>
      </c>
      <c r="BW901">
        <f t="shared" si="333"/>
        <v>0</v>
      </c>
      <c r="CA901" t="str">
        <f>IF(702&gt;ROWS(DGArchive[模组]),"",IF(INDEX(DGArchive[模组],702)="","",INDEX(DGArchive[模组],702)))</f>
        <v/>
      </c>
      <c r="CB901" t="str">
        <f>IF(702&gt;ROWS(DGArchive[阶段]),"",IF(INDEX(DGArchive[阶段],702)="","",INDEX(DGArchive[阶段],702)))</f>
        <v/>
      </c>
      <c r="CC901" t="str">
        <f>IF(702&gt;ROWS(DGArchive[游戏内日期]),"",IF(INDEX(DGArchive[游戏内日期],702)="","",INDEX(DGArchive[游戏内日期],702)))</f>
        <v/>
      </c>
      <c r="CD901" t="str">
        <f>IF(702&gt;ROWS(DGArchive[目标]),"",IF(INDEX(DGArchive[目标],702)="","",INDEX(DGArchive[目标],702)))</f>
        <v/>
      </c>
      <c r="CE901" t="str">
        <f>IF(702&gt;ROWS(DGArchive[变更前]),"",IF(INDEX(DGArchive[变更前],702)="","",INDEX(DGArchive[变更前],702)))</f>
        <v/>
      </c>
      <c r="CF901" t="str">
        <f>IF(702&gt;ROWS(DGArchive[增减]),"",IF(INDEX(DGArchive[增减],702)="","",INDEX(DGArchive[增减],702)))</f>
        <v/>
      </c>
      <c r="CG901" t="str">
        <f>IF(702&gt;ROWS(DGArchive[变更后]),"",IF(INDEX(DGArchive[变更后],702)="","",INDEX(DGArchive[变更后],702)))</f>
        <v/>
      </c>
      <c r="CH901" t="str">
        <f>IF(702&gt;ROWS(DGArchive[事件／活动]),"",IF(INDEX(DGArchive[事件／活动],702)="","",INDEX(DGArchive[事件／活动],702)))</f>
        <v/>
      </c>
      <c r="CI901" t="str">
        <f>IF(702&gt;ROWS(DGArchive[记录编号]),"",IF(INDEX(DGArchive[记录编号],702)="","",INDEX(DGArchive[记录编号],702)))</f>
        <v/>
      </c>
      <c r="CL901">
        <f t="shared" si="314"/>
        <v>0</v>
      </c>
      <c r="CM901">
        <f>IF(AND(A901=$AO$5,B901=$AQ$3,H901=1),COUNTIFS($A$200:A901,$AO$5,$B$200:B901,$AQ$3,$H$200:H901,1),0)</f>
        <v>0</v>
      </c>
      <c r="CN901">
        <f>IF(CA901="",702,1001)</f>
        <v>702</v>
      </c>
      <c r="GA901">
        <f t="shared" si="334"/>
        <v>0</v>
      </c>
      <c r="GB901">
        <f t="shared" si="335"/>
        <v>0</v>
      </c>
      <c r="GC901">
        <f>IF(AND(C901="事件记录",H901=1),COUNTIFS($C$200:C901,"事件记录",$H$200:H901,1),0)</f>
        <v>0</v>
      </c>
      <c r="GD901">
        <f t="shared" si="315"/>
        <v>0</v>
      </c>
      <c r="GH901">
        <f>IF(AND(H901=1,A901=$GA$10,B901=$GA$11),COUNTIFS($A$200:A901,$GA$10,$B$200:B901,$GA$11,$H$200:H901,1),0)</f>
        <v>0</v>
      </c>
    </row>
    <row r="902" spans="1:190">
      <c r="A902" t="str">
        <f t="shared" si="306"/>
        <v/>
      </c>
      <c r="B902" t="str">
        <f t="shared" si="307"/>
        <v/>
      </c>
      <c r="C902" t="str">
        <f t="shared" si="308"/>
        <v/>
      </c>
      <c r="D902" t="str">
        <f t="shared" si="309"/>
        <v/>
      </c>
      <c r="E902">
        <f t="shared" si="310"/>
        <v>0</v>
      </c>
      <c r="F902" t="str">
        <f t="shared" si="311"/>
        <v/>
      </c>
      <c r="G902">
        <f t="shared" si="312"/>
        <v>0</v>
      </c>
      <c r="H902">
        <f>IF(AND(G902=1,COUNTIFS($I$200:I902,I902,$G$200:G902,1)=1),1,0)</f>
        <v>0</v>
      </c>
      <c r="I902" t="str">
        <f t="shared" si="313"/>
        <v/>
      </c>
      <c r="BF902">
        <f t="shared" si="316"/>
        <v>0</v>
      </c>
      <c r="BG902">
        <f t="shared" si="317"/>
        <v>0</v>
      </c>
      <c r="BH902">
        <f t="shared" si="318"/>
        <v>0</v>
      </c>
      <c r="BI902">
        <f t="shared" si="319"/>
        <v>0</v>
      </c>
      <c r="BJ902">
        <f t="shared" si="320"/>
        <v>0</v>
      </c>
      <c r="BK902">
        <f t="shared" si="321"/>
        <v>0</v>
      </c>
      <c r="BL902">
        <f t="shared" si="322"/>
        <v>0</v>
      </c>
      <c r="BM902">
        <f t="shared" si="323"/>
        <v>0</v>
      </c>
      <c r="BN902">
        <f t="shared" si="324"/>
        <v>0</v>
      </c>
      <c r="BO902">
        <f t="shared" si="325"/>
        <v>0</v>
      </c>
      <c r="BP902">
        <f t="shared" si="326"/>
        <v>0</v>
      </c>
      <c r="BQ902">
        <f t="shared" si="327"/>
        <v>0</v>
      </c>
      <c r="BR902">
        <f t="shared" si="328"/>
        <v>0</v>
      </c>
      <c r="BS902">
        <f t="shared" si="329"/>
        <v>0</v>
      </c>
      <c r="BT902">
        <f t="shared" si="330"/>
        <v>0</v>
      </c>
      <c r="BU902">
        <f t="shared" si="331"/>
        <v>0</v>
      </c>
      <c r="BV902">
        <f t="shared" si="332"/>
        <v>0</v>
      </c>
      <c r="BW902">
        <f t="shared" si="333"/>
        <v>0</v>
      </c>
      <c r="CA902" t="str">
        <f>IF(703&gt;ROWS(DGArchive[模组]),"",IF(INDEX(DGArchive[模组],703)="","",INDEX(DGArchive[模组],703)))</f>
        <v/>
      </c>
      <c r="CB902" t="str">
        <f>IF(703&gt;ROWS(DGArchive[阶段]),"",IF(INDEX(DGArchive[阶段],703)="","",INDEX(DGArchive[阶段],703)))</f>
        <v/>
      </c>
      <c r="CC902" t="str">
        <f>IF(703&gt;ROWS(DGArchive[游戏内日期]),"",IF(INDEX(DGArchive[游戏内日期],703)="","",INDEX(DGArchive[游戏内日期],703)))</f>
        <v/>
      </c>
      <c r="CD902" t="str">
        <f>IF(703&gt;ROWS(DGArchive[目标]),"",IF(INDEX(DGArchive[目标],703)="","",INDEX(DGArchive[目标],703)))</f>
        <v/>
      </c>
      <c r="CE902" t="str">
        <f>IF(703&gt;ROWS(DGArchive[变更前]),"",IF(INDEX(DGArchive[变更前],703)="","",INDEX(DGArchive[变更前],703)))</f>
        <v/>
      </c>
      <c r="CF902" t="str">
        <f>IF(703&gt;ROWS(DGArchive[增减]),"",IF(INDEX(DGArchive[增减],703)="","",INDEX(DGArchive[增减],703)))</f>
        <v/>
      </c>
      <c r="CG902" t="str">
        <f>IF(703&gt;ROWS(DGArchive[变更后]),"",IF(INDEX(DGArchive[变更后],703)="","",INDEX(DGArchive[变更后],703)))</f>
        <v/>
      </c>
      <c r="CH902" t="str">
        <f>IF(703&gt;ROWS(DGArchive[事件／活动]),"",IF(INDEX(DGArchive[事件／活动],703)="","",INDEX(DGArchive[事件／活动],703)))</f>
        <v/>
      </c>
      <c r="CI902" t="str">
        <f>IF(703&gt;ROWS(DGArchive[记录编号]),"",IF(INDEX(DGArchive[记录编号],703)="","",INDEX(DGArchive[记录编号],703)))</f>
        <v/>
      </c>
      <c r="CL902">
        <f t="shared" si="314"/>
        <v>0</v>
      </c>
      <c r="CM902">
        <f>IF(AND(A902=$AO$5,B902=$AQ$3,H902=1),COUNTIFS($A$200:A902,$AO$5,$B$200:B902,$AQ$3,$H$200:H902,1),0)</f>
        <v>0</v>
      </c>
      <c r="CN902">
        <f>IF(CA902="",703,1001)</f>
        <v>703</v>
      </c>
      <c r="GA902">
        <f t="shared" si="334"/>
        <v>0</v>
      </c>
      <c r="GB902">
        <f t="shared" si="335"/>
        <v>0</v>
      </c>
      <c r="GC902">
        <f>IF(AND(C902="事件记录",H902=1),COUNTIFS($C$200:C902,"事件记录",$H$200:H902,1),0)</f>
        <v>0</v>
      </c>
      <c r="GD902">
        <f t="shared" si="315"/>
        <v>0</v>
      </c>
      <c r="GH902">
        <f>IF(AND(H902=1,A902=$GA$10,B902=$GA$11),COUNTIFS($A$200:A902,$GA$10,$B$200:B902,$GA$11,$H$200:H902,1),0)</f>
        <v>0</v>
      </c>
    </row>
    <row r="903" spans="1:190">
      <c r="A903" t="str">
        <f t="shared" si="306"/>
        <v/>
      </c>
      <c r="B903" t="str">
        <f t="shared" si="307"/>
        <v/>
      </c>
      <c r="C903" t="str">
        <f t="shared" si="308"/>
        <v/>
      </c>
      <c r="D903" t="str">
        <f t="shared" si="309"/>
        <v/>
      </c>
      <c r="E903">
        <f t="shared" si="310"/>
        <v>0</v>
      </c>
      <c r="F903" t="str">
        <f t="shared" si="311"/>
        <v/>
      </c>
      <c r="G903">
        <f t="shared" si="312"/>
        <v>0</v>
      </c>
      <c r="H903">
        <f>IF(AND(G903=1,COUNTIFS($I$200:I903,I903,$G$200:G903,1)=1),1,0)</f>
        <v>0</v>
      </c>
      <c r="I903" t="str">
        <f t="shared" si="313"/>
        <v/>
      </c>
      <c r="BF903">
        <f t="shared" si="316"/>
        <v>0</v>
      </c>
      <c r="BG903">
        <f t="shared" si="317"/>
        <v>0</v>
      </c>
      <c r="BH903">
        <f t="shared" si="318"/>
        <v>0</v>
      </c>
      <c r="BI903">
        <f t="shared" si="319"/>
        <v>0</v>
      </c>
      <c r="BJ903">
        <f t="shared" si="320"/>
        <v>0</v>
      </c>
      <c r="BK903">
        <f t="shared" si="321"/>
        <v>0</v>
      </c>
      <c r="BL903">
        <f t="shared" si="322"/>
        <v>0</v>
      </c>
      <c r="BM903">
        <f t="shared" si="323"/>
        <v>0</v>
      </c>
      <c r="BN903">
        <f t="shared" si="324"/>
        <v>0</v>
      </c>
      <c r="BO903">
        <f t="shared" si="325"/>
        <v>0</v>
      </c>
      <c r="BP903">
        <f t="shared" si="326"/>
        <v>0</v>
      </c>
      <c r="BQ903">
        <f t="shared" si="327"/>
        <v>0</v>
      </c>
      <c r="BR903">
        <f t="shared" si="328"/>
        <v>0</v>
      </c>
      <c r="BS903">
        <f t="shared" si="329"/>
        <v>0</v>
      </c>
      <c r="BT903">
        <f t="shared" si="330"/>
        <v>0</v>
      </c>
      <c r="BU903">
        <f t="shared" si="331"/>
        <v>0</v>
      </c>
      <c r="BV903">
        <f t="shared" si="332"/>
        <v>0</v>
      </c>
      <c r="BW903">
        <f t="shared" si="333"/>
        <v>0</v>
      </c>
      <c r="CA903" t="str">
        <f>IF(704&gt;ROWS(DGArchive[模组]),"",IF(INDEX(DGArchive[模组],704)="","",INDEX(DGArchive[模组],704)))</f>
        <v/>
      </c>
      <c r="CB903" t="str">
        <f>IF(704&gt;ROWS(DGArchive[阶段]),"",IF(INDEX(DGArchive[阶段],704)="","",INDEX(DGArchive[阶段],704)))</f>
        <v/>
      </c>
      <c r="CC903" t="str">
        <f>IF(704&gt;ROWS(DGArchive[游戏内日期]),"",IF(INDEX(DGArchive[游戏内日期],704)="","",INDEX(DGArchive[游戏内日期],704)))</f>
        <v/>
      </c>
      <c r="CD903" t="str">
        <f>IF(704&gt;ROWS(DGArchive[目标]),"",IF(INDEX(DGArchive[目标],704)="","",INDEX(DGArchive[目标],704)))</f>
        <v/>
      </c>
      <c r="CE903" t="str">
        <f>IF(704&gt;ROWS(DGArchive[变更前]),"",IF(INDEX(DGArchive[变更前],704)="","",INDEX(DGArchive[变更前],704)))</f>
        <v/>
      </c>
      <c r="CF903" t="str">
        <f>IF(704&gt;ROWS(DGArchive[增减]),"",IF(INDEX(DGArchive[增减],704)="","",INDEX(DGArchive[增减],704)))</f>
        <v/>
      </c>
      <c r="CG903" t="str">
        <f>IF(704&gt;ROWS(DGArchive[变更后]),"",IF(INDEX(DGArchive[变更后],704)="","",INDEX(DGArchive[变更后],704)))</f>
        <v/>
      </c>
      <c r="CH903" t="str">
        <f>IF(704&gt;ROWS(DGArchive[事件／活动]),"",IF(INDEX(DGArchive[事件／活动],704)="","",INDEX(DGArchive[事件／活动],704)))</f>
        <v/>
      </c>
      <c r="CI903" t="str">
        <f>IF(704&gt;ROWS(DGArchive[记录编号]),"",IF(INDEX(DGArchive[记录编号],704)="","",INDEX(DGArchive[记录编号],704)))</f>
        <v/>
      </c>
      <c r="CL903">
        <f t="shared" si="314"/>
        <v>0</v>
      </c>
      <c r="CM903">
        <f>IF(AND(A903=$AO$5,B903=$AQ$3,H903=1),COUNTIFS($A$200:A903,$AO$5,$B$200:B903,$AQ$3,$H$200:H903,1),0)</f>
        <v>0</v>
      </c>
      <c r="CN903">
        <f>IF(CA903="",704,1001)</f>
        <v>704</v>
      </c>
      <c r="GA903">
        <f t="shared" si="334"/>
        <v>0</v>
      </c>
      <c r="GB903">
        <f t="shared" si="335"/>
        <v>0</v>
      </c>
      <c r="GC903">
        <f>IF(AND(C903="事件记录",H903=1),COUNTIFS($C$200:C903,"事件记录",$H$200:H903,1),0)</f>
        <v>0</v>
      </c>
      <c r="GD903">
        <f t="shared" si="315"/>
        <v>0</v>
      </c>
      <c r="GH903">
        <f>IF(AND(H903=1,A903=$GA$10,B903=$GA$11),COUNTIFS($A$200:A903,$GA$10,$B$200:B903,$GA$11,$H$200:H903,1),0)</f>
        <v>0</v>
      </c>
    </row>
    <row r="904" spans="1:190">
      <c r="A904" t="str">
        <f t="shared" ref="A904:A967" si="336">IFERROR(TEXT(VALUE(CA904),"00"),"")</f>
        <v/>
      </c>
      <c r="B904" t="str">
        <f t="shared" ref="B904:B967" si="337">CB904</f>
        <v/>
      </c>
      <c r="C904" t="str">
        <f t="shared" ref="C904:C967" si="338">CD904</f>
        <v/>
      </c>
      <c r="D904" t="str">
        <f t="shared" ref="D904:D967" si="339">CF904</f>
        <v/>
      </c>
      <c r="E904">
        <f t="shared" ref="E904:E967" si="340">IF(H904=1,MAX(-CE904,MIN(D904,IF(LEFT(C904,3)="技能：",99,IF(COUNTIF($L$2:$L$7,C904)&gt;0,18,999))-CE904)),0)</f>
        <v>0</v>
      </c>
      <c r="F904" t="str">
        <f t="shared" ref="F904:F967" si="341">IF(OR(C904=0,C904=""),"",IF(G904=0,"记录不完整",IF(H904=0,"重复未计","已计入")))</f>
        <v/>
      </c>
      <c r="G904">
        <f t="shared" ref="G904:G967" si="342">IF(AND(AND(CA904&lt;&gt;"",CB904&lt;&gt;"",CI904&lt;&gt;"",OR(LEFT(C904,3)="技能：",COUNTIF($L$2:$L$19,C904)&gt;0,C904="事件记录",C904="暴力进度",C904="无力进度"),ISNUMBER(CE904),ISNUMBER(CF904),ISNUMBER(CG904),CE904&gt;=0,CG904=SUM(CE904,CF904)),OR(B904&lt;&gt;"成长",AND(LEFT(C904,3)="技能：",C904&lt;&gt;"技能：非自然知识",CE904&gt;=1,CE904&lt;=99,CF904&gt;=0,CF904&lt;=4,CG904&lt;=99))),1,0)</f>
        <v>0</v>
      </c>
      <c r="H904">
        <f>IF(AND(G904=1,COUNTIFS($I$200:I904,I904,$G$200:G904,1)=1),1,0)</f>
        <v>0</v>
      </c>
      <c r="I904" t="str">
        <f t="shared" ref="I904:I967" si="343">IF(G904=1,IF(B904="成长",A904&amp;"-成长-"&amp;C904,CI904),"")</f>
        <v/>
      </c>
      <c r="BF904">
        <f t="shared" si="316"/>
        <v>0</v>
      </c>
      <c r="BG904">
        <f t="shared" si="317"/>
        <v>0</v>
      </c>
      <c r="BH904">
        <f t="shared" si="318"/>
        <v>0</v>
      </c>
      <c r="BI904">
        <f t="shared" si="319"/>
        <v>0</v>
      </c>
      <c r="BJ904">
        <f t="shared" si="320"/>
        <v>0</v>
      </c>
      <c r="BK904">
        <f t="shared" si="321"/>
        <v>0</v>
      </c>
      <c r="BL904">
        <f t="shared" si="322"/>
        <v>0</v>
      </c>
      <c r="BM904">
        <f t="shared" si="323"/>
        <v>0</v>
      </c>
      <c r="BN904">
        <f t="shared" si="324"/>
        <v>0</v>
      </c>
      <c r="BO904">
        <f t="shared" si="325"/>
        <v>0</v>
      </c>
      <c r="BP904">
        <f t="shared" si="326"/>
        <v>0</v>
      </c>
      <c r="BQ904">
        <f t="shared" si="327"/>
        <v>0</v>
      </c>
      <c r="BR904">
        <f t="shared" si="328"/>
        <v>0</v>
      </c>
      <c r="BS904">
        <f t="shared" si="329"/>
        <v>0</v>
      </c>
      <c r="BT904">
        <f t="shared" si="330"/>
        <v>0</v>
      </c>
      <c r="BU904">
        <f t="shared" si="331"/>
        <v>0</v>
      </c>
      <c r="BV904">
        <f t="shared" si="332"/>
        <v>0</v>
      </c>
      <c r="BW904">
        <f t="shared" si="333"/>
        <v>0</v>
      </c>
      <c r="CA904" t="str">
        <f>IF(705&gt;ROWS(DGArchive[模组]),"",IF(INDEX(DGArchive[模组],705)="","",INDEX(DGArchive[模组],705)))</f>
        <v/>
      </c>
      <c r="CB904" t="str">
        <f>IF(705&gt;ROWS(DGArchive[阶段]),"",IF(INDEX(DGArchive[阶段],705)="","",INDEX(DGArchive[阶段],705)))</f>
        <v/>
      </c>
      <c r="CC904" t="str">
        <f>IF(705&gt;ROWS(DGArchive[游戏内日期]),"",IF(INDEX(DGArchive[游戏内日期],705)="","",INDEX(DGArchive[游戏内日期],705)))</f>
        <v/>
      </c>
      <c r="CD904" t="str">
        <f>IF(705&gt;ROWS(DGArchive[目标]),"",IF(INDEX(DGArchive[目标],705)="","",INDEX(DGArchive[目标],705)))</f>
        <v/>
      </c>
      <c r="CE904" t="str">
        <f>IF(705&gt;ROWS(DGArchive[变更前]),"",IF(INDEX(DGArchive[变更前],705)="","",INDEX(DGArchive[变更前],705)))</f>
        <v/>
      </c>
      <c r="CF904" t="str">
        <f>IF(705&gt;ROWS(DGArchive[增减]),"",IF(INDEX(DGArchive[增减],705)="","",INDEX(DGArchive[增减],705)))</f>
        <v/>
      </c>
      <c r="CG904" t="str">
        <f>IF(705&gt;ROWS(DGArchive[变更后]),"",IF(INDEX(DGArchive[变更后],705)="","",INDEX(DGArchive[变更后],705)))</f>
        <v/>
      </c>
      <c r="CH904" t="str">
        <f>IF(705&gt;ROWS(DGArchive[事件／活动]),"",IF(INDEX(DGArchive[事件／活动],705)="","",INDEX(DGArchive[事件／活动],705)))</f>
        <v/>
      </c>
      <c r="CI904" t="str">
        <f>IF(705&gt;ROWS(DGArchive[记录编号]),"",IF(INDEX(DGArchive[记录编号],705)="","",INDEX(DGArchive[记录编号],705)))</f>
        <v/>
      </c>
      <c r="CL904">
        <f t="shared" ref="CL904:CL967" si="344">IF(AND(A904=$AO$5,H904=1,LEFT(B904,2)="幕间"),IFERROR(VALUE(MID(B904,3,20)),0),0)</f>
        <v>0</v>
      </c>
      <c r="CM904">
        <f>IF(AND(A904=$AO$5,B904=$AQ$3,H904=1),COUNTIFS($A$200:A904,$AO$5,$B$200:B904,$AQ$3,$H$200:H904,1),0)</f>
        <v>0</v>
      </c>
      <c r="CN904">
        <f>IF(CA904="",705,1001)</f>
        <v>705</v>
      </c>
      <c r="GA904">
        <f t="shared" si="334"/>
        <v>0</v>
      </c>
      <c r="GB904">
        <f t="shared" si="335"/>
        <v>0</v>
      </c>
      <c r="GC904">
        <f>IF(AND(C904="事件记录",H904=1),COUNTIFS($C$200:C904,"事件记录",$H$200:H904,1),0)</f>
        <v>0</v>
      </c>
      <c r="GD904">
        <f t="shared" ref="GD904:GD967" si="345">IF(AND(H904=1,A904=$GA$10,LEFT(B904,2)="事件"),IFERROR(VALUE(MID(B904,3,20)),0),0)</f>
        <v>0</v>
      </c>
      <c r="GH904">
        <f>IF(AND(H904=1,A904=$GA$10,B904=$GA$11),COUNTIFS($A$200:A904,$GA$10,$B$200:B904,$GA$11,$H$200:H904,1),0)</f>
        <v>0</v>
      </c>
    </row>
    <row r="905" spans="1:190">
      <c r="A905" t="str">
        <f t="shared" si="336"/>
        <v/>
      </c>
      <c r="B905" t="str">
        <f t="shared" si="337"/>
        <v/>
      </c>
      <c r="C905" t="str">
        <f t="shared" si="338"/>
        <v/>
      </c>
      <c r="D905" t="str">
        <f t="shared" si="339"/>
        <v/>
      </c>
      <c r="E905">
        <f t="shared" si="340"/>
        <v>0</v>
      </c>
      <c r="F905" t="str">
        <f t="shared" si="341"/>
        <v/>
      </c>
      <c r="G905">
        <f t="shared" si="342"/>
        <v>0</v>
      </c>
      <c r="H905">
        <f>IF(AND(G905=1,COUNTIFS($I$200:I905,I905,$G$200:G905,1)=1),1,0)</f>
        <v>0</v>
      </c>
      <c r="I905" t="str">
        <f t="shared" si="343"/>
        <v/>
      </c>
      <c r="BF905">
        <f t="shared" ref="BF905:BF968" si="346">MAX(0,MIN(18,BF904+IF(C905="力量",E905,0)))</f>
        <v>0</v>
      </c>
      <c r="BG905">
        <f t="shared" ref="BG905:BG968" si="347">MAX(0,MIN(18,BG904+IF(C905="体质",E905,0)))</f>
        <v>0</v>
      </c>
      <c r="BH905">
        <f t="shared" ref="BH905:BH968" si="348">MAX(0,MIN(18,BH904+IF(C905="敏捷",E905,0)))</f>
        <v>0</v>
      </c>
      <c r="BI905">
        <f t="shared" ref="BI905:BI968" si="349">MAX(0,MIN(18,BI904+IF(C905="智力",E905,0)))</f>
        <v>0</v>
      </c>
      <c r="BJ905">
        <f t="shared" ref="BJ905:BJ968" si="350">MAX(0,MIN(18,BJ904+IF(C905="意志",E905,0)))</f>
        <v>0</v>
      </c>
      <c r="BK905">
        <f t="shared" ref="BK905:BK968" si="351">MAX(0,MIN(18,BK904+IF(C905="魅力",E905,0)))</f>
        <v>0</v>
      </c>
      <c r="BL905">
        <f t="shared" ref="BL905:BL968" si="352">MAX(0,MIN(99,BL904+IF(C905="技能：非自然知识",E905,0)))</f>
        <v>0</v>
      </c>
      <c r="BM905">
        <f t="shared" ref="BM905:BM968" si="353">MAX(0,MIN(CEILING((BF905+BG905)/2,1),BM904+IF(C905="体力",E905,0)))</f>
        <v>0</v>
      </c>
      <c r="BN905">
        <f t="shared" ref="BN905:BN968" si="354">MAX(0,MIN(BJ905,BN904+IF(C905="毅力",E905,0)))</f>
        <v>0</v>
      </c>
      <c r="BO905">
        <f t="shared" ref="BO905:BO968" si="355">MAX(0,MIN(99-BL905,BO904+IF(C905="理智",E905,0)))</f>
        <v>0</v>
      </c>
      <c r="BP905">
        <f t="shared" ref="BP905:BP968" si="356">MAX(0,MIN(99,BP904+IF(C905="崩溃点",E905,0)))</f>
        <v>0</v>
      </c>
      <c r="BQ905">
        <f t="shared" ref="BQ905:BQ968" si="357">MAX(0,MIN(BK905,IF(AND(H905=1,C905="重要关系1",LEFT(CH905,8)="建立新的重要关系"),CE905+E905,IF(BQ904=0,0,BQ904+IF(C905="重要关系1",E905,0))+IF(AND(C905="魅力",E905&lt;0),E905,0))))</f>
        <v>0</v>
      </c>
      <c r="BR905">
        <f t="shared" ref="BR905:BR968" si="358">MAX(0,MIN(BK905,IF(AND(H905=1,C905="重要关系2",LEFT(CH905,8)="建立新的重要关系"),CE905+E905,IF(BR904=0,0,BR904+IF(C905="重要关系2",E905,0))+IF(AND(C905="魅力",E905&lt;0),E905,0))))</f>
        <v>0</v>
      </c>
      <c r="BS905">
        <f t="shared" ref="BS905:BS968" si="359">MAX(0,MIN(BK905,IF(AND(H905=1,C905="重要关系3",LEFT(CH905,8)="建立新的重要关系"),CE905+E905,IF(BS904=0,0,BS904+IF(C905="重要关系3",E905,0))+IF(AND(C905="魅力",E905&lt;0),E905,0))))</f>
        <v>0</v>
      </c>
      <c r="BT905">
        <f t="shared" ref="BT905:BT968" si="360">MAX(0,MIN(BK905,IF(AND(H905=1,C905="重要关系4",LEFT(CH905,8)="建立新的重要关系"),CE905+E905,IF(BT904=0,0,BT904+IF(C905="重要关系4",E905,0))+IF(AND(C905="魅力",E905&lt;0),E905,0))))</f>
        <v>0</v>
      </c>
      <c r="BU905">
        <f t="shared" ref="BU905:BU968" si="361">MAX(0,MIN(BK905,IF(AND(H905=1,C905="重要关系5",LEFT(CH905,8)="建立新的重要关系"),CE905+E905,IF(BU904=0,0,BU904+IF(C905="重要关系5",E905,0))+IF(AND(C905="魅力",E905&lt;0),E905,0))))</f>
        <v>0</v>
      </c>
      <c r="BV905">
        <f t="shared" ref="BV905:BV968" si="362">MAX(0,MIN(BK905,IF(AND(H905=1,C905="重要关系6",LEFT(CH905,8)="建立新的重要关系"),CE905+E905,IF(BV904=0,0,BV904+IF(C905="重要关系6",E905,0))+IF(AND(C905="魅力",E905&lt;0),E905,0))))</f>
        <v>0</v>
      </c>
      <c r="BW905">
        <f t="shared" ref="BW905:BW968" si="363">MAX(0,MIN(BK905,IF(AND(H905=1,C905="重要关系7",LEFT(CH905,8)="建立新的重要关系"),CE905+E905,IF(BW904=0,0,BW904+IF(C905="重要关系7",E905,0))+IF(AND(C905="魅力",E905&lt;0),E905,0))))</f>
        <v>0</v>
      </c>
      <c r="CA905" t="str">
        <f>IF(706&gt;ROWS(DGArchive[模组]),"",IF(INDEX(DGArchive[模组],706)="","",INDEX(DGArchive[模组],706)))</f>
        <v/>
      </c>
      <c r="CB905" t="str">
        <f>IF(706&gt;ROWS(DGArchive[阶段]),"",IF(INDEX(DGArchive[阶段],706)="","",INDEX(DGArchive[阶段],706)))</f>
        <v/>
      </c>
      <c r="CC905" t="str">
        <f>IF(706&gt;ROWS(DGArchive[游戏内日期]),"",IF(INDEX(DGArchive[游戏内日期],706)="","",INDEX(DGArchive[游戏内日期],706)))</f>
        <v/>
      </c>
      <c r="CD905" t="str">
        <f>IF(706&gt;ROWS(DGArchive[目标]),"",IF(INDEX(DGArchive[目标],706)="","",INDEX(DGArchive[目标],706)))</f>
        <v/>
      </c>
      <c r="CE905" t="str">
        <f>IF(706&gt;ROWS(DGArchive[变更前]),"",IF(INDEX(DGArchive[变更前],706)="","",INDEX(DGArchive[变更前],706)))</f>
        <v/>
      </c>
      <c r="CF905" t="str">
        <f>IF(706&gt;ROWS(DGArchive[增减]),"",IF(INDEX(DGArchive[增减],706)="","",INDEX(DGArchive[增减],706)))</f>
        <v/>
      </c>
      <c r="CG905" t="str">
        <f>IF(706&gt;ROWS(DGArchive[变更后]),"",IF(INDEX(DGArchive[变更后],706)="","",INDEX(DGArchive[变更后],706)))</f>
        <v/>
      </c>
      <c r="CH905" t="str">
        <f>IF(706&gt;ROWS(DGArchive[事件／活动]),"",IF(INDEX(DGArchive[事件／活动],706)="","",INDEX(DGArchive[事件／活动],706)))</f>
        <v/>
      </c>
      <c r="CI905" t="str">
        <f>IF(706&gt;ROWS(DGArchive[记录编号]),"",IF(INDEX(DGArchive[记录编号],706)="","",INDEX(DGArchive[记录编号],706)))</f>
        <v/>
      </c>
      <c r="CL905">
        <f t="shared" si="344"/>
        <v>0</v>
      </c>
      <c r="CM905">
        <f>IF(AND(A905=$AO$5,B905=$AQ$3,H905=1),COUNTIFS($A$200:A905,$AO$5,$B$200:B905,$AQ$3,$H$200:H905,1),0)</f>
        <v>0</v>
      </c>
      <c r="CN905">
        <f>IF(CA905="",706,1001)</f>
        <v>706</v>
      </c>
      <c r="GA905">
        <f t="shared" ref="GA905:GA968" si="364">MAX(0,MIN(3,GA904+IF(C905="暴力进度",E905,0)))</f>
        <v>0</v>
      </c>
      <c r="GB905">
        <f t="shared" ref="GB905:GB968" si="365">MAX(0,MIN(3,GB904+IF(C905="无力进度",E905,0)))</f>
        <v>0</v>
      </c>
      <c r="GC905">
        <f>IF(AND(C905="事件记录",H905=1),COUNTIFS($C$200:C905,"事件记录",$H$200:H905,1),0)</f>
        <v>0</v>
      </c>
      <c r="GD905">
        <f t="shared" si="345"/>
        <v>0</v>
      </c>
      <c r="GH905">
        <f>IF(AND(H905=1,A905=$GA$10,B905=$GA$11),COUNTIFS($A$200:A905,$GA$10,$B$200:B905,$GA$11,$H$200:H905,1),0)</f>
        <v>0</v>
      </c>
    </row>
    <row r="906" spans="1:190">
      <c r="A906" t="str">
        <f t="shared" si="336"/>
        <v/>
      </c>
      <c r="B906" t="str">
        <f t="shared" si="337"/>
        <v/>
      </c>
      <c r="C906" t="str">
        <f t="shared" si="338"/>
        <v/>
      </c>
      <c r="D906" t="str">
        <f t="shared" si="339"/>
        <v/>
      </c>
      <c r="E906">
        <f t="shared" si="340"/>
        <v>0</v>
      </c>
      <c r="F906" t="str">
        <f t="shared" si="341"/>
        <v/>
      </c>
      <c r="G906">
        <f t="shared" si="342"/>
        <v>0</v>
      </c>
      <c r="H906">
        <f>IF(AND(G906=1,COUNTIFS($I$200:I906,I906,$G$200:G906,1)=1),1,0)</f>
        <v>0</v>
      </c>
      <c r="I906" t="str">
        <f t="shared" si="343"/>
        <v/>
      </c>
      <c r="BF906">
        <f t="shared" si="346"/>
        <v>0</v>
      </c>
      <c r="BG906">
        <f t="shared" si="347"/>
        <v>0</v>
      </c>
      <c r="BH906">
        <f t="shared" si="348"/>
        <v>0</v>
      </c>
      <c r="BI906">
        <f t="shared" si="349"/>
        <v>0</v>
      </c>
      <c r="BJ906">
        <f t="shared" si="350"/>
        <v>0</v>
      </c>
      <c r="BK906">
        <f t="shared" si="351"/>
        <v>0</v>
      </c>
      <c r="BL906">
        <f t="shared" si="352"/>
        <v>0</v>
      </c>
      <c r="BM906">
        <f t="shared" si="353"/>
        <v>0</v>
      </c>
      <c r="BN906">
        <f t="shared" si="354"/>
        <v>0</v>
      </c>
      <c r="BO906">
        <f t="shared" si="355"/>
        <v>0</v>
      </c>
      <c r="BP906">
        <f t="shared" si="356"/>
        <v>0</v>
      </c>
      <c r="BQ906">
        <f t="shared" si="357"/>
        <v>0</v>
      </c>
      <c r="BR906">
        <f t="shared" si="358"/>
        <v>0</v>
      </c>
      <c r="BS906">
        <f t="shared" si="359"/>
        <v>0</v>
      </c>
      <c r="BT906">
        <f t="shared" si="360"/>
        <v>0</v>
      </c>
      <c r="BU906">
        <f t="shared" si="361"/>
        <v>0</v>
      </c>
      <c r="BV906">
        <f t="shared" si="362"/>
        <v>0</v>
      </c>
      <c r="BW906">
        <f t="shared" si="363"/>
        <v>0</v>
      </c>
      <c r="CA906" t="str">
        <f>IF(707&gt;ROWS(DGArchive[模组]),"",IF(INDEX(DGArchive[模组],707)="","",INDEX(DGArchive[模组],707)))</f>
        <v/>
      </c>
      <c r="CB906" t="str">
        <f>IF(707&gt;ROWS(DGArchive[阶段]),"",IF(INDEX(DGArchive[阶段],707)="","",INDEX(DGArchive[阶段],707)))</f>
        <v/>
      </c>
      <c r="CC906" t="str">
        <f>IF(707&gt;ROWS(DGArchive[游戏内日期]),"",IF(INDEX(DGArchive[游戏内日期],707)="","",INDEX(DGArchive[游戏内日期],707)))</f>
        <v/>
      </c>
      <c r="CD906" t="str">
        <f>IF(707&gt;ROWS(DGArchive[目标]),"",IF(INDEX(DGArchive[目标],707)="","",INDEX(DGArchive[目标],707)))</f>
        <v/>
      </c>
      <c r="CE906" t="str">
        <f>IF(707&gt;ROWS(DGArchive[变更前]),"",IF(INDEX(DGArchive[变更前],707)="","",INDEX(DGArchive[变更前],707)))</f>
        <v/>
      </c>
      <c r="CF906" t="str">
        <f>IF(707&gt;ROWS(DGArchive[增减]),"",IF(INDEX(DGArchive[增减],707)="","",INDEX(DGArchive[增减],707)))</f>
        <v/>
      </c>
      <c r="CG906" t="str">
        <f>IF(707&gt;ROWS(DGArchive[变更后]),"",IF(INDEX(DGArchive[变更后],707)="","",INDEX(DGArchive[变更后],707)))</f>
        <v/>
      </c>
      <c r="CH906" t="str">
        <f>IF(707&gt;ROWS(DGArchive[事件／活动]),"",IF(INDEX(DGArchive[事件／活动],707)="","",INDEX(DGArchive[事件／活动],707)))</f>
        <v/>
      </c>
      <c r="CI906" t="str">
        <f>IF(707&gt;ROWS(DGArchive[记录编号]),"",IF(INDEX(DGArchive[记录编号],707)="","",INDEX(DGArchive[记录编号],707)))</f>
        <v/>
      </c>
      <c r="CL906">
        <f t="shared" si="344"/>
        <v>0</v>
      </c>
      <c r="CM906">
        <f>IF(AND(A906=$AO$5,B906=$AQ$3,H906=1),COUNTIFS($A$200:A906,$AO$5,$B$200:B906,$AQ$3,$H$200:H906,1),0)</f>
        <v>0</v>
      </c>
      <c r="CN906">
        <f>IF(CA906="",707,1001)</f>
        <v>707</v>
      </c>
      <c r="GA906">
        <f t="shared" si="364"/>
        <v>0</v>
      </c>
      <c r="GB906">
        <f t="shared" si="365"/>
        <v>0</v>
      </c>
      <c r="GC906">
        <f>IF(AND(C906="事件记录",H906=1),COUNTIFS($C$200:C906,"事件记录",$H$200:H906,1),0)</f>
        <v>0</v>
      </c>
      <c r="GD906">
        <f t="shared" si="345"/>
        <v>0</v>
      </c>
      <c r="GH906">
        <f>IF(AND(H906=1,A906=$GA$10,B906=$GA$11),COUNTIFS($A$200:A906,$GA$10,$B$200:B906,$GA$11,$H$200:H906,1),0)</f>
        <v>0</v>
      </c>
    </row>
    <row r="907" spans="1:190">
      <c r="A907" t="str">
        <f t="shared" si="336"/>
        <v/>
      </c>
      <c r="B907" t="str">
        <f t="shared" si="337"/>
        <v/>
      </c>
      <c r="C907" t="str">
        <f t="shared" si="338"/>
        <v/>
      </c>
      <c r="D907" t="str">
        <f t="shared" si="339"/>
        <v/>
      </c>
      <c r="E907">
        <f t="shared" si="340"/>
        <v>0</v>
      </c>
      <c r="F907" t="str">
        <f t="shared" si="341"/>
        <v/>
      </c>
      <c r="G907">
        <f t="shared" si="342"/>
        <v>0</v>
      </c>
      <c r="H907">
        <f>IF(AND(G907=1,COUNTIFS($I$200:I907,I907,$G$200:G907,1)=1),1,0)</f>
        <v>0</v>
      </c>
      <c r="I907" t="str">
        <f t="shared" si="343"/>
        <v/>
      </c>
      <c r="BF907">
        <f t="shared" si="346"/>
        <v>0</v>
      </c>
      <c r="BG907">
        <f t="shared" si="347"/>
        <v>0</v>
      </c>
      <c r="BH907">
        <f t="shared" si="348"/>
        <v>0</v>
      </c>
      <c r="BI907">
        <f t="shared" si="349"/>
        <v>0</v>
      </c>
      <c r="BJ907">
        <f t="shared" si="350"/>
        <v>0</v>
      </c>
      <c r="BK907">
        <f t="shared" si="351"/>
        <v>0</v>
      </c>
      <c r="BL907">
        <f t="shared" si="352"/>
        <v>0</v>
      </c>
      <c r="BM907">
        <f t="shared" si="353"/>
        <v>0</v>
      </c>
      <c r="BN907">
        <f t="shared" si="354"/>
        <v>0</v>
      </c>
      <c r="BO907">
        <f t="shared" si="355"/>
        <v>0</v>
      </c>
      <c r="BP907">
        <f t="shared" si="356"/>
        <v>0</v>
      </c>
      <c r="BQ907">
        <f t="shared" si="357"/>
        <v>0</v>
      </c>
      <c r="BR907">
        <f t="shared" si="358"/>
        <v>0</v>
      </c>
      <c r="BS907">
        <f t="shared" si="359"/>
        <v>0</v>
      </c>
      <c r="BT907">
        <f t="shared" si="360"/>
        <v>0</v>
      </c>
      <c r="BU907">
        <f t="shared" si="361"/>
        <v>0</v>
      </c>
      <c r="BV907">
        <f t="shared" si="362"/>
        <v>0</v>
      </c>
      <c r="BW907">
        <f t="shared" si="363"/>
        <v>0</v>
      </c>
      <c r="CA907" t="str">
        <f>IF(708&gt;ROWS(DGArchive[模组]),"",IF(INDEX(DGArchive[模组],708)="","",INDEX(DGArchive[模组],708)))</f>
        <v/>
      </c>
      <c r="CB907" t="str">
        <f>IF(708&gt;ROWS(DGArchive[阶段]),"",IF(INDEX(DGArchive[阶段],708)="","",INDEX(DGArchive[阶段],708)))</f>
        <v/>
      </c>
      <c r="CC907" t="str">
        <f>IF(708&gt;ROWS(DGArchive[游戏内日期]),"",IF(INDEX(DGArchive[游戏内日期],708)="","",INDEX(DGArchive[游戏内日期],708)))</f>
        <v/>
      </c>
      <c r="CD907" t="str">
        <f>IF(708&gt;ROWS(DGArchive[目标]),"",IF(INDEX(DGArchive[目标],708)="","",INDEX(DGArchive[目标],708)))</f>
        <v/>
      </c>
      <c r="CE907" t="str">
        <f>IF(708&gt;ROWS(DGArchive[变更前]),"",IF(INDEX(DGArchive[变更前],708)="","",INDEX(DGArchive[变更前],708)))</f>
        <v/>
      </c>
      <c r="CF907" t="str">
        <f>IF(708&gt;ROWS(DGArchive[增减]),"",IF(INDEX(DGArchive[增减],708)="","",INDEX(DGArchive[增减],708)))</f>
        <v/>
      </c>
      <c r="CG907" t="str">
        <f>IF(708&gt;ROWS(DGArchive[变更后]),"",IF(INDEX(DGArchive[变更后],708)="","",INDEX(DGArchive[变更后],708)))</f>
        <v/>
      </c>
      <c r="CH907" t="str">
        <f>IF(708&gt;ROWS(DGArchive[事件／活动]),"",IF(INDEX(DGArchive[事件／活动],708)="","",INDEX(DGArchive[事件／活动],708)))</f>
        <v/>
      </c>
      <c r="CI907" t="str">
        <f>IF(708&gt;ROWS(DGArchive[记录编号]),"",IF(INDEX(DGArchive[记录编号],708)="","",INDEX(DGArchive[记录编号],708)))</f>
        <v/>
      </c>
      <c r="CL907">
        <f t="shared" si="344"/>
        <v>0</v>
      </c>
      <c r="CM907">
        <f>IF(AND(A907=$AO$5,B907=$AQ$3,H907=1),COUNTIFS($A$200:A907,$AO$5,$B$200:B907,$AQ$3,$H$200:H907,1),0)</f>
        <v>0</v>
      </c>
      <c r="CN907">
        <f>IF(CA907="",708,1001)</f>
        <v>708</v>
      </c>
      <c r="GA907">
        <f t="shared" si="364"/>
        <v>0</v>
      </c>
      <c r="GB907">
        <f t="shared" si="365"/>
        <v>0</v>
      </c>
      <c r="GC907">
        <f>IF(AND(C907="事件记录",H907=1),COUNTIFS($C$200:C907,"事件记录",$H$200:H907,1),0)</f>
        <v>0</v>
      </c>
      <c r="GD907">
        <f t="shared" si="345"/>
        <v>0</v>
      </c>
      <c r="GH907">
        <f>IF(AND(H907=1,A907=$GA$10,B907=$GA$11),COUNTIFS($A$200:A907,$GA$10,$B$200:B907,$GA$11,$H$200:H907,1),0)</f>
        <v>0</v>
      </c>
    </row>
    <row r="908" spans="1:190">
      <c r="A908" t="str">
        <f t="shared" si="336"/>
        <v/>
      </c>
      <c r="B908" t="str">
        <f t="shared" si="337"/>
        <v/>
      </c>
      <c r="C908" t="str">
        <f t="shared" si="338"/>
        <v/>
      </c>
      <c r="D908" t="str">
        <f t="shared" si="339"/>
        <v/>
      </c>
      <c r="E908">
        <f t="shared" si="340"/>
        <v>0</v>
      </c>
      <c r="F908" t="str">
        <f t="shared" si="341"/>
        <v/>
      </c>
      <c r="G908">
        <f t="shared" si="342"/>
        <v>0</v>
      </c>
      <c r="H908">
        <f>IF(AND(G908=1,COUNTIFS($I$200:I908,I908,$G$200:G908,1)=1),1,0)</f>
        <v>0</v>
      </c>
      <c r="I908" t="str">
        <f t="shared" si="343"/>
        <v/>
      </c>
      <c r="BF908">
        <f t="shared" si="346"/>
        <v>0</v>
      </c>
      <c r="BG908">
        <f t="shared" si="347"/>
        <v>0</v>
      </c>
      <c r="BH908">
        <f t="shared" si="348"/>
        <v>0</v>
      </c>
      <c r="BI908">
        <f t="shared" si="349"/>
        <v>0</v>
      </c>
      <c r="BJ908">
        <f t="shared" si="350"/>
        <v>0</v>
      </c>
      <c r="BK908">
        <f t="shared" si="351"/>
        <v>0</v>
      </c>
      <c r="BL908">
        <f t="shared" si="352"/>
        <v>0</v>
      </c>
      <c r="BM908">
        <f t="shared" si="353"/>
        <v>0</v>
      </c>
      <c r="BN908">
        <f t="shared" si="354"/>
        <v>0</v>
      </c>
      <c r="BO908">
        <f t="shared" si="355"/>
        <v>0</v>
      </c>
      <c r="BP908">
        <f t="shared" si="356"/>
        <v>0</v>
      </c>
      <c r="BQ908">
        <f t="shared" si="357"/>
        <v>0</v>
      </c>
      <c r="BR908">
        <f t="shared" si="358"/>
        <v>0</v>
      </c>
      <c r="BS908">
        <f t="shared" si="359"/>
        <v>0</v>
      </c>
      <c r="BT908">
        <f t="shared" si="360"/>
        <v>0</v>
      </c>
      <c r="BU908">
        <f t="shared" si="361"/>
        <v>0</v>
      </c>
      <c r="BV908">
        <f t="shared" si="362"/>
        <v>0</v>
      </c>
      <c r="BW908">
        <f t="shared" si="363"/>
        <v>0</v>
      </c>
      <c r="CA908" t="str">
        <f>IF(709&gt;ROWS(DGArchive[模组]),"",IF(INDEX(DGArchive[模组],709)="","",INDEX(DGArchive[模组],709)))</f>
        <v/>
      </c>
      <c r="CB908" t="str">
        <f>IF(709&gt;ROWS(DGArchive[阶段]),"",IF(INDEX(DGArchive[阶段],709)="","",INDEX(DGArchive[阶段],709)))</f>
        <v/>
      </c>
      <c r="CC908" t="str">
        <f>IF(709&gt;ROWS(DGArchive[游戏内日期]),"",IF(INDEX(DGArchive[游戏内日期],709)="","",INDEX(DGArchive[游戏内日期],709)))</f>
        <v/>
      </c>
      <c r="CD908" t="str">
        <f>IF(709&gt;ROWS(DGArchive[目标]),"",IF(INDEX(DGArchive[目标],709)="","",INDEX(DGArchive[目标],709)))</f>
        <v/>
      </c>
      <c r="CE908" t="str">
        <f>IF(709&gt;ROWS(DGArchive[变更前]),"",IF(INDEX(DGArchive[变更前],709)="","",INDEX(DGArchive[变更前],709)))</f>
        <v/>
      </c>
      <c r="CF908" t="str">
        <f>IF(709&gt;ROWS(DGArchive[增减]),"",IF(INDEX(DGArchive[增减],709)="","",INDEX(DGArchive[增减],709)))</f>
        <v/>
      </c>
      <c r="CG908" t="str">
        <f>IF(709&gt;ROWS(DGArchive[变更后]),"",IF(INDEX(DGArchive[变更后],709)="","",INDEX(DGArchive[变更后],709)))</f>
        <v/>
      </c>
      <c r="CH908" t="str">
        <f>IF(709&gt;ROWS(DGArchive[事件／活动]),"",IF(INDEX(DGArchive[事件／活动],709)="","",INDEX(DGArchive[事件／活动],709)))</f>
        <v/>
      </c>
      <c r="CI908" t="str">
        <f>IF(709&gt;ROWS(DGArchive[记录编号]),"",IF(INDEX(DGArchive[记录编号],709)="","",INDEX(DGArchive[记录编号],709)))</f>
        <v/>
      </c>
      <c r="CL908">
        <f t="shared" si="344"/>
        <v>0</v>
      </c>
      <c r="CM908">
        <f>IF(AND(A908=$AO$5,B908=$AQ$3,H908=1),COUNTIFS($A$200:A908,$AO$5,$B$200:B908,$AQ$3,$H$200:H908,1),0)</f>
        <v>0</v>
      </c>
      <c r="CN908">
        <f>IF(CA908="",709,1001)</f>
        <v>709</v>
      </c>
      <c r="GA908">
        <f t="shared" si="364"/>
        <v>0</v>
      </c>
      <c r="GB908">
        <f t="shared" si="365"/>
        <v>0</v>
      </c>
      <c r="GC908">
        <f>IF(AND(C908="事件记录",H908=1),COUNTIFS($C$200:C908,"事件记录",$H$200:H908,1),0)</f>
        <v>0</v>
      </c>
      <c r="GD908">
        <f t="shared" si="345"/>
        <v>0</v>
      </c>
      <c r="GH908">
        <f>IF(AND(H908=1,A908=$GA$10,B908=$GA$11),COUNTIFS($A$200:A908,$GA$10,$B$200:B908,$GA$11,$H$200:H908,1),0)</f>
        <v>0</v>
      </c>
    </row>
    <row r="909" spans="1:190">
      <c r="A909" t="str">
        <f t="shared" si="336"/>
        <v/>
      </c>
      <c r="B909" t="str">
        <f t="shared" si="337"/>
        <v/>
      </c>
      <c r="C909" t="str">
        <f t="shared" si="338"/>
        <v/>
      </c>
      <c r="D909" t="str">
        <f t="shared" si="339"/>
        <v/>
      </c>
      <c r="E909">
        <f t="shared" si="340"/>
        <v>0</v>
      </c>
      <c r="F909" t="str">
        <f t="shared" si="341"/>
        <v/>
      </c>
      <c r="G909">
        <f t="shared" si="342"/>
        <v>0</v>
      </c>
      <c r="H909">
        <f>IF(AND(G909=1,COUNTIFS($I$200:I909,I909,$G$200:G909,1)=1),1,0)</f>
        <v>0</v>
      </c>
      <c r="I909" t="str">
        <f t="shared" si="343"/>
        <v/>
      </c>
      <c r="BF909">
        <f t="shared" si="346"/>
        <v>0</v>
      </c>
      <c r="BG909">
        <f t="shared" si="347"/>
        <v>0</v>
      </c>
      <c r="BH909">
        <f t="shared" si="348"/>
        <v>0</v>
      </c>
      <c r="BI909">
        <f t="shared" si="349"/>
        <v>0</v>
      </c>
      <c r="BJ909">
        <f t="shared" si="350"/>
        <v>0</v>
      </c>
      <c r="BK909">
        <f t="shared" si="351"/>
        <v>0</v>
      </c>
      <c r="BL909">
        <f t="shared" si="352"/>
        <v>0</v>
      </c>
      <c r="BM909">
        <f t="shared" si="353"/>
        <v>0</v>
      </c>
      <c r="BN909">
        <f t="shared" si="354"/>
        <v>0</v>
      </c>
      <c r="BO909">
        <f t="shared" si="355"/>
        <v>0</v>
      </c>
      <c r="BP909">
        <f t="shared" si="356"/>
        <v>0</v>
      </c>
      <c r="BQ909">
        <f t="shared" si="357"/>
        <v>0</v>
      </c>
      <c r="BR909">
        <f t="shared" si="358"/>
        <v>0</v>
      </c>
      <c r="BS909">
        <f t="shared" si="359"/>
        <v>0</v>
      </c>
      <c r="BT909">
        <f t="shared" si="360"/>
        <v>0</v>
      </c>
      <c r="BU909">
        <f t="shared" si="361"/>
        <v>0</v>
      </c>
      <c r="BV909">
        <f t="shared" si="362"/>
        <v>0</v>
      </c>
      <c r="BW909">
        <f t="shared" si="363"/>
        <v>0</v>
      </c>
      <c r="CA909" t="str">
        <f>IF(710&gt;ROWS(DGArchive[模组]),"",IF(INDEX(DGArchive[模组],710)="","",INDEX(DGArchive[模组],710)))</f>
        <v/>
      </c>
      <c r="CB909" t="str">
        <f>IF(710&gt;ROWS(DGArchive[阶段]),"",IF(INDEX(DGArchive[阶段],710)="","",INDEX(DGArchive[阶段],710)))</f>
        <v/>
      </c>
      <c r="CC909" t="str">
        <f>IF(710&gt;ROWS(DGArchive[游戏内日期]),"",IF(INDEX(DGArchive[游戏内日期],710)="","",INDEX(DGArchive[游戏内日期],710)))</f>
        <v/>
      </c>
      <c r="CD909" t="str">
        <f>IF(710&gt;ROWS(DGArchive[目标]),"",IF(INDEX(DGArchive[目标],710)="","",INDEX(DGArchive[目标],710)))</f>
        <v/>
      </c>
      <c r="CE909" t="str">
        <f>IF(710&gt;ROWS(DGArchive[变更前]),"",IF(INDEX(DGArchive[变更前],710)="","",INDEX(DGArchive[变更前],710)))</f>
        <v/>
      </c>
      <c r="CF909" t="str">
        <f>IF(710&gt;ROWS(DGArchive[增减]),"",IF(INDEX(DGArchive[增减],710)="","",INDEX(DGArchive[增减],710)))</f>
        <v/>
      </c>
      <c r="CG909" t="str">
        <f>IF(710&gt;ROWS(DGArchive[变更后]),"",IF(INDEX(DGArchive[变更后],710)="","",INDEX(DGArchive[变更后],710)))</f>
        <v/>
      </c>
      <c r="CH909" t="str">
        <f>IF(710&gt;ROWS(DGArchive[事件／活动]),"",IF(INDEX(DGArchive[事件／活动],710)="","",INDEX(DGArchive[事件／活动],710)))</f>
        <v/>
      </c>
      <c r="CI909" t="str">
        <f>IF(710&gt;ROWS(DGArchive[记录编号]),"",IF(INDEX(DGArchive[记录编号],710)="","",INDEX(DGArchive[记录编号],710)))</f>
        <v/>
      </c>
      <c r="CL909">
        <f t="shared" si="344"/>
        <v>0</v>
      </c>
      <c r="CM909">
        <f>IF(AND(A909=$AO$5,B909=$AQ$3,H909=1),COUNTIFS($A$200:A909,$AO$5,$B$200:B909,$AQ$3,$H$200:H909,1),0)</f>
        <v>0</v>
      </c>
      <c r="CN909">
        <f>IF(CA909="",710,1001)</f>
        <v>710</v>
      </c>
      <c r="GA909">
        <f t="shared" si="364"/>
        <v>0</v>
      </c>
      <c r="GB909">
        <f t="shared" si="365"/>
        <v>0</v>
      </c>
      <c r="GC909">
        <f>IF(AND(C909="事件记录",H909=1),COUNTIFS($C$200:C909,"事件记录",$H$200:H909,1),0)</f>
        <v>0</v>
      </c>
      <c r="GD909">
        <f t="shared" si="345"/>
        <v>0</v>
      </c>
      <c r="GH909">
        <f>IF(AND(H909=1,A909=$GA$10,B909=$GA$11),COUNTIFS($A$200:A909,$GA$10,$B$200:B909,$GA$11,$H$200:H909,1),0)</f>
        <v>0</v>
      </c>
    </row>
    <row r="910" spans="1:190">
      <c r="A910" t="str">
        <f t="shared" si="336"/>
        <v/>
      </c>
      <c r="B910" t="str">
        <f t="shared" si="337"/>
        <v/>
      </c>
      <c r="C910" t="str">
        <f t="shared" si="338"/>
        <v/>
      </c>
      <c r="D910" t="str">
        <f t="shared" si="339"/>
        <v/>
      </c>
      <c r="E910">
        <f t="shared" si="340"/>
        <v>0</v>
      </c>
      <c r="F910" t="str">
        <f t="shared" si="341"/>
        <v/>
      </c>
      <c r="G910">
        <f t="shared" si="342"/>
        <v>0</v>
      </c>
      <c r="H910">
        <f>IF(AND(G910=1,COUNTIFS($I$200:I910,I910,$G$200:G910,1)=1),1,0)</f>
        <v>0</v>
      </c>
      <c r="I910" t="str">
        <f t="shared" si="343"/>
        <v/>
      </c>
      <c r="BF910">
        <f t="shared" si="346"/>
        <v>0</v>
      </c>
      <c r="BG910">
        <f t="shared" si="347"/>
        <v>0</v>
      </c>
      <c r="BH910">
        <f t="shared" si="348"/>
        <v>0</v>
      </c>
      <c r="BI910">
        <f t="shared" si="349"/>
        <v>0</v>
      </c>
      <c r="BJ910">
        <f t="shared" si="350"/>
        <v>0</v>
      </c>
      <c r="BK910">
        <f t="shared" si="351"/>
        <v>0</v>
      </c>
      <c r="BL910">
        <f t="shared" si="352"/>
        <v>0</v>
      </c>
      <c r="BM910">
        <f t="shared" si="353"/>
        <v>0</v>
      </c>
      <c r="BN910">
        <f t="shared" si="354"/>
        <v>0</v>
      </c>
      <c r="BO910">
        <f t="shared" si="355"/>
        <v>0</v>
      </c>
      <c r="BP910">
        <f t="shared" si="356"/>
        <v>0</v>
      </c>
      <c r="BQ910">
        <f t="shared" si="357"/>
        <v>0</v>
      </c>
      <c r="BR910">
        <f t="shared" si="358"/>
        <v>0</v>
      </c>
      <c r="BS910">
        <f t="shared" si="359"/>
        <v>0</v>
      </c>
      <c r="BT910">
        <f t="shared" si="360"/>
        <v>0</v>
      </c>
      <c r="BU910">
        <f t="shared" si="361"/>
        <v>0</v>
      </c>
      <c r="BV910">
        <f t="shared" si="362"/>
        <v>0</v>
      </c>
      <c r="BW910">
        <f t="shared" si="363"/>
        <v>0</v>
      </c>
      <c r="CA910" t="str">
        <f>IF(711&gt;ROWS(DGArchive[模组]),"",IF(INDEX(DGArchive[模组],711)="","",INDEX(DGArchive[模组],711)))</f>
        <v/>
      </c>
      <c r="CB910" t="str">
        <f>IF(711&gt;ROWS(DGArchive[阶段]),"",IF(INDEX(DGArchive[阶段],711)="","",INDEX(DGArchive[阶段],711)))</f>
        <v/>
      </c>
      <c r="CC910" t="str">
        <f>IF(711&gt;ROWS(DGArchive[游戏内日期]),"",IF(INDEX(DGArchive[游戏内日期],711)="","",INDEX(DGArchive[游戏内日期],711)))</f>
        <v/>
      </c>
      <c r="CD910" t="str">
        <f>IF(711&gt;ROWS(DGArchive[目标]),"",IF(INDEX(DGArchive[目标],711)="","",INDEX(DGArchive[目标],711)))</f>
        <v/>
      </c>
      <c r="CE910" t="str">
        <f>IF(711&gt;ROWS(DGArchive[变更前]),"",IF(INDEX(DGArchive[变更前],711)="","",INDEX(DGArchive[变更前],711)))</f>
        <v/>
      </c>
      <c r="CF910" t="str">
        <f>IF(711&gt;ROWS(DGArchive[增减]),"",IF(INDEX(DGArchive[增减],711)="","",INDEX(DGArchive[增减],711)))</f>
        <v/>
      </c>
      <c r="CG910" t="str">
        <f>IF(711&gt;ROWS(DGArchive[变更后]),"",IF(INDEX(DGArchive[变更后],711)="","",INDEX(DGArchive[变更后],711)))</f>
        <v/>
      </c>
      <c r="CH910" t="str">
        <f>IF(711&gt;ROWS(DGArchive[事件／活动]),"",IF(INDEX(DGArchive[事件／活动],711)="","",INDEX(DGArchive[事件／活动],711)))</f>
        <v/>
      </c>
      <c r="CI910" t="str">
        <f>IF(711&gt;ROWS(DGArchive[记录编号]),"",IF(INDEX(DGArchive[记录编号],711)="","",INDEX(DGArchive[记录编号],711)))</f>
        <v/>
      </c>
      <c r="CL910">
        <f t="shared" si="344"/>
        <v>0</v>
      </c>
      <c r="CM910">
        <f>IF(AND(A910=$AO$5,B910=$AQ$3,H910=1),COUNTIFS($A$200:A910,$AO$5,$B$200:B910,$AQ$3,$H$200:H910,1),0)</f>
        <v>0</v>
      </c>
      <c r="CN910">
        <f>IF(CA910="",711,1001)</f>
        <v>711</v>
      </c>
      <c r="GA910">
        <f t="shared" si="364"/>
        <v>0</v>
      </c>
      <c r="GB910">
        <f t="shared" si="365"/>
        <v>0</v>
      </c>
      <c r="GC910">
        <f>IF(AND(C910="事件记录",H910=1),COUNTIFS($C$200:C910,"事件记录",$H$200:H910,1),0)</f>
        <v>0</v>
      </c>
      <c r="GD910">
        <f t="shared" si="345"/>
        <v>0</v>
      </c>
      <c r="GH910">
        <f>IF(AND(H910=1,A910=$GA$10,B910=$GA$11),COUNTIFS($A$200:A910,$GA$10,$B$200:B910,$GA$11,$H$200:H910,1),0)</f>
        <v>0</v>
      </c>
    </row>
    <row r="911" spans="1:190">
      <c r="A911" t="str">
        <f t="shared" si="336"/>
        <v/>
      </c>
      <c r="B911" t="str">
        <f t="shared" si="337"/>
        <v/>
      </c>
      <c r="C911" t="str">
        <f t="shared" si="338"/>
        <v/>
      </c>
      <c r="D911" t="str">
        <f t="shared" si="339"/>
        <v/>
      </c>
      <c r="E911">
        <f t="shared" si="340"/>
        <v>0</v>
      </c>
      <c r="F911" t="str">
        <f t="shared" si="341"/>
        <v/>
      </c>
      <c r="G911">
        <f t="shared" si="342"/>
        <v>0</v>
      </c>
      <c r="H911">
        <f>IF(AND(G911=1,COUNTIFS($I$200:I911,I911,$G$200:G911,1)=1),1,0)</f>
        <v>0</v>
      </c>
      <c r="I911" t="str">
        <f t="shared" si="343"/>
        <v/>
      </c>
      <c r="BF911">
        <f t="shared" si="346"/>
        <v>0</v>
      </c>
      <c r="BG911">
        <f t="shared" si="347"/>
        <v>0</v>
      </c>
      <c r="BH911">
        <f t="shared" si="348"/>
        <v>0</v>
      </c>
      <c r="BI911">
        <f t="shared" si="349"/>
        <v>0</v>
      </c>
      <c r="BJ911">
        <f t="shared" si="350"/>
        <v>0</v>
      </c>
      <c r="BK911">
        <f t="shared" si="351"/>
        <v>0</v>
      </c>
      <c r="BL911">
        <f t="shared" si="352"/>
        <v>0</v>
      </c>
      <c r="BM911">
        <f t="shared" si="353"/>
        <v>0</v>
      </c>
      <c r="BN911">
        <f t="shared" si="354"/>
        <v>0</v>
      </c>
      <c r="BO911">
        <f t="shared" si="355"/>
        <v>0</v>
      </c>
      <c r="BP911">
        <f t="shared" si="356"/>
        <v>0</v>
      </c>
      <c r="BQ911">
        <f t="shared" si="357"/>
        <v>0</v>
      </c>
      <c r="BR911">
        <f t="shared" si="358"/>
        <v>0</v>
      </c>
      <c r="BS911">
        <f t="shared" si="359"/>
        <v>0</v>
      </c>
      <c r="BT911">
        <f t="shared" si="360"/>
        <v>0</v>
      </c>
      <c r="BU911">
        <f t="shared" si="361"/>
        <v>0</v>
      </c>
      <c r="BV911">
        <f t="shared" si="362"/>
        <v>0</v>
      </c>
      <c r="BW911">
        <f t="shared" si="363"/>
        <v>0</v>
      </c>
      <c r="CA911" t="str">
        <f>IF(712&gt;ROWS(DGArchive[模组]),"",IF(INDEX(DGArchive[模组],712)="","",INDEX(DGArchive[模组],712)))</f>
        <v/>
      </c>
      <c r="CB911" t="str">
        <f>IF(712&gt;ROWS(DGArchive[阶段]),"",IF(INDEX(DGArchive[阶段],712)="","",INDEX(DGArchive[阶段],712)))</f>
        <v/>
      </c>
      <c r="CC911" t="str">
        <f>IF(712&gt;ROWS(DGArchive[游戏内日期]),"",IF(INDEX(DGArchive[游戏内日期],712)="","",INDEX(DGArchive[游戏内日期],712)))</f>
        <v/>
      </c>
      <c r="CD911" t="str">
        <f>IF(712&gt;ROWS(DGArchive[目标]),"",IF(INDEX(DGArchive[目标],712)="","",INDEX(DGArchive[目标],712)))</f>
        <v/>
      </c>
      <c r="CE911" t="str">
        <f>IF(712&gt;ROWS(DGArchive[变更前]),"",IF(INDEX(DGArchive[变更前],712)="","",INDEX(DGArchive[变更前],712)))</f>
        <v/>
      </c>
      <c r="CF911" t="str">
        <f>IF(712&gt;ROWS(DGArchive[增减]),"",IF(INDEX(DGArchive[增减],712)="","",INDEX(DGArchive[增减],712)))</f>
        <v/>
      </c>
      <c r="CG911" t="str">
        <f>IF(712&gt;ROWS(DGArchive[变更后]),"",IF(INDEX(DGArchive[变更后],712)="","",INDEX(DGArchive[变更后],712)))</f>
        <v/>
      </c>
      <c r="CH911" t="str">
        <f>IF(712&gt;ROWS(DGArchive[事件／活动]),"",IF(INDEX(DGArchive[事件／活动],712)="","",INDEX(DGArchive[事件／活动],712)))</f>
        <v/>
      </c>
      <c r="CI911" t="str">
        <f>IF(712&gt;ROWS(DGArchive[记录编号]),"",IF(INDEX(DGArchive[记录编号],712)="","",INDEX(DGArchive[记录编号],712)))</f>
        <v/>
      </c>
      <c r="CL911">
        <f t="shared" si="344"/>
        <v>0</v>
      </c>
      <c r="CM911">
        <f>IF(AND(A911=$AO$5,B911=$AQ$3,H911=1),COUNTIFS($A$200:A911,$AO$5,$B$200:B911,$AQ$3,$H$200:H911,1),0)</f>
        <v>0</v>
      </c>
      <c r="CN911">
        <f>IF(CA911="",712,1001)</f>
        <v>712</v>
      </c>
      <c r="GA911">
        <f t="shared" si="364"/>
        <v>0</v>
      </c>
      <c r="GB911">
        <f t="shared" si="365"/>
        <v>0</v>
      </c>
      <c r="GC911">
        <f>IF(AND(C911="事件记录",H911=1),COUNTIFS($C$200:C911,"事件记录",$H$200:H911,1),0)</f>
        <v>0</v>
      </c>
      <c r="GD911">
        <f t="shared" si="345"/>
        <v>0</v>
      </c>
      <c r="GH911">
        <f>IF(AND(H911=1,A911=$GA$10,B911=$GA$11),COUNTIFS($A$200:A911,$GA$10,$B$200:B911,$GA$11,$H$200:H911,1),0)</f>
        <v>0</v>
      </c>
    </row>
    <row r="912" spans="1:190">
      <c r="A912" t="str">
        <f t="shared" si="336"/>
        <v/>
      </c>
      <c r="B912" t="str">
        <f t="shared" si="337"/>
        <v/>
      </c>
      <c r="C912" t="str">
        <f t="shared" si="338"/>
        <v/>
      </c>
      <c r="D912" t="str">
        <f t="shared" si="339"/>
        <v/>
      </c>
      <c r="E912">
        <f t="shared" si="340"/>
        <v>0</v>
      </c>
      <c r="F912" t="str">
        <f t="shared" si="341"/>
        <v/>
      </c>
      <c r="G912">
        <f t="shared" si="342"/>
        <v>0</v>
      </c>
      <c r="H912">
        <f>IF(AND(G912=1,COUNTIFS($I$200:I912,I912,$G$200:G912,1)=1),1,0)</f>
        <v>0</v>
      </c>
      <c r="I912" t="str">
        <f t="shared" si="343"/>
        <v/>
      </c>
      <c r="BF912">
        <f t="shared" si="346"/>
        <v>0</v>
      </c>
      <c r="BG912">
        <f t="shared" si="347"/>
        <v>0</v>
      </c>
      <c r="BH912">
        <f t="shared" si="348"/>
        <v>0</v>
      </c>
      <c r="BI912">
        <f t="shared" si="349"/>
        <v>0</v>
      </c>
      <c r="BJ912">
        <f t="shared" si="350"/>
        <v>0</v>
      </c>
      <c r="BK912">
        <f t="shared" si="351"/>
        <v>0</v>
      </c>
      <c r="BL912">
        <f t="shared" si="352"/>
        <v>0</v>
      </c>
      <c r="BM912">
        <f t="shared" si="353"/>
        <v>0</v>
      </c>
      <c r="BN912">
        <f t="shared" si="354"/>
        <v>0</v>
      </c>
      <c r="BO912">
        <f t="shared" si="355"/>
        <v>0</v>
      </c>
      <c r="BP912">
        <f t="shared" si="356"/>
        <v>0</v>
      </c>
      <c r="BQ912">
        <f t="shared" si="357"/>
        <v>0</v>
      </c>
      <c r="BR912">
        <f t="shared" si="358"/>
        <v>0</v>
      </c>
      <c r="BS912">
        <f t="shared" si="359"/>
        <v>0</v>
      </c>
      <c r="BT912">
        <f t="shared" si="360"/>
        <v>0</v>
      </c>
      <c r="BU912">
        <f t="shared" si="361"/>
        <v>0</v>
      </c>
      <c r="BV912">
        <f t="shared" si="362"/>
        <v>0</v>
      </c>
      <c r="BW912">
        <f t="shared" si="363"/>
        <v>0</v>
      </c>
      <c r="CA912" t="str">
        <f>IF(713&gt;ROWS(DGArchive[模组]),"",IF(INDEX(DGArchive[模组],713)="","",INDEX(DGArchive[模组],713)))</f>
        <v/>
      </c>
      <c r="CB912" t="str">
        <f>IF(713&gt;ROWS(DGArchive[阶段]),"",IF(INDEX(DGArchive[阶段],713)="","",INDEX(DGArchive[阶段],713)))</f>
        <v/>
      </c>
      <c r="CC912" t="str">
        <f>IF(713&gt;ROWS(DGArchive[游戏内日期]),"",IF(INDEX(DGArchive[游戏内日期],713)="","",INDEX(DGArchive[游戏内日期],713)))</f>
        <v/>
      </c>
      <c r="CD912" t="str">
        <f>IF(713&gt;ROWS(DGArchive[目标]),"",IF(INDEX(DGArchive[目标],713)="","",INDEX(DGArchive[目标],713)))</f>
        <v/>
      </c>
      <c r="CE912" t="str">
        <f>IF(713&gt;ROWS(DGArchive[变更前]),"",IF(INDEX(DGArchive[变更前],713)="","",INDEX(DGArchive[变更前],713)))</f>
        <v/>
      </c>
      <c r="CF912" t="str">
        <f>IF(713&gt;ROWS(DGArchive[增减]),"",IF(INDEX(DGArchive[增减],713)="","",INDEX(DGArchive[增减],713)))</f>
        <v/>
      </c>
      <c r="CG912" t="str">
        <f>IF(713&gt;ROWS(DGArchive[变更后]),"",IF(INDEX(DGArchive[变更后],713)="","",INDEX(DGArchive[变更后],713)))</f>
        <v/>
      </c>
      <c r="CH912" t="str">
        <f>IF(713&gt;ROWS(DGArchive[事件／活动]),"",IF(INDEX(DGArchive[事件／活动],713)="","",INDEX(DGArchive[事件／活动],713)))</f>
        <v/>
      </c>
      <c r="CI912" t="str">
        <f>IF(713&gt;ROWS(DGArchive[记录编号]),"",IF(INDEX(DGArchive[记录编号],713)="","",INDEX(DGArchive[记录编号],713)))</f>
        <v/>
      </c>
      <c r="CL912">
        <f t="shared" si="344"/>
        <v>0</v>
      </c>
      <c r="CM912">
        <f>IF(AND(A912=$AO$5,B912=$AQ$3,H912=1),COUNTIFS($A$200:A912,$AO$5,$B$200:B912,$AQ$3,$H$200:H912,1),0)</f>
        <v>0</v>
      </c>
      <c r="CN912">
        <f>IF(CA912="",713,1001)</f>
        <v>713</v>
      </c>
      <c r="GA912">
        <f t="shared" si="364"/>
        <v>0</v>
      </c>
      <c r="GB912">
        <f t="shared" si="365"/>
        <v>0</v>
      </c>
      <c r="GC912">
        <f>IF(AND(C912="事件记录",H912=1),COUNTIFS($C$200:C912,"事件记录",$H$200:H912,1),0)</f>
        <v>0</v>
      </c>
      <c r="GD912">
        <f t="shared" si="345"/>
        <v>0</v>
      </c>
      <c r="GH912">
        <f>IF(AND(H912=1,A912=$GA$10,B912=$GA$11),COUNTIFS($A$200:A912,$GA$10,$B$200:B912,$GA$11,$H$200:H912,1),0)</f>
        <v>0</v>
      </c>
    </row>
    <row r="913" spans="1:190">
      <c r="A913" t="str">
        <f t="shared" si="336"/>
        <v/>
      </c>
      <c r="B913" t="str">
        <f t="shared" si="337"/>
        <v/>
      </c>
      <c r="C913" t="str">
        <f t="shared" si="338"/>
        <v/>
      </c>
      <c r="D913" t="str">
        <f t="shared" si="339"/>
        <v/>
      </c>
      <c r="E913">
        <f t="shared" si="340"/>
        <v>0</v>
      </c>
      <c r="F913" t="str">
        <f t="shared" si="341"/>
        <v/>
      </c>
      <c r="G913">
        <f t="shared" si="342"/>
        <v>0</v>
      </c>
      <c r="H913">
        <f>IF(AND(G913=1,COUNTIFS($I$200:I913,I913,$G$200:G913,1)=1),1,0)</f>
        <v>0</v>
      </c>
      <c r="I913" t="str">
        <f t="shared" si="343"/>
        <v/>
      </c>
      <c r="BF913">
        <f t="shared" si="346"/>
        <v>0</v>
      </c>
      <c r="BG913">
        <f t="shared" si="347"/>
        <v>0</v>
      </c>
      <c r="BH913">
        <f t="shared" si="348"/>
        <v>0</v>
      </c>
      <c r="BI913">
        <f t="shared" si="349"/>
        <v>0</v>
      </c>
      <c r="BJ913">
        <f t="shared" si="350"/>
        <v>0</v>
      </c>
      <c r="BK913">
        <f t="shared" si="351"/>
        <v>0</v>
      </c>
      <c r="BL913">
        <f t="shared" si="352"/>
        <v>0</v>
      </c>
      <c r="BM913">
        <f t="shared" si="353"/>
        <v>0</v>
      </c>
      <c r="BN913">
        <f t="shared" si="354"/>
        <v>0</v>
      </c>
      <c r="BO913">
        <f t="shared" si="355"/>
        <v>0</v>
      </c>
      <c r="BP913">
        <f t="shared" si="356"/>
        <v>0</v>
      </c>
      <c r="BQ913">
        <f t="shared" si="357"/>
        <v>0</v>
      </c>
      <c r="BR913">
        <f t="shared" si="358"/>
        <v>0</v>
      </c>
      <c r="BS913">
        <f t="shared" si="359"/>
        <v>0</v>
      </c>
      <c r="BT913">
        <f t="shared" si="360"/>
        <v>0</v>
      </c>
      <c r="BU913">
        <f t="shared" si="361"/>
        <v>0</v>
      </c>
      <c r="BV913">
        <f t="shared" si="362"/>
        <v>0</v>
      </c>
      <c r="BW913">
        <f t="shared" si="363"/>
        <v>0</v>
      </c>
      <c r="CA913" t="str">
        <f>IF(714&gt;ROWS(DGArchive[模组]),"",IF(INDEX(DGArchive[模组],714)="","",INDEX(DGArchive[模组],714)))</f>
        <v/>
      </c>
      <c r="CB913" t="str">
        <f>IF(714&gt;ROWS(DGArchive[阶段]),"",IF(INDEX(DGArchive[阶段],714)="","",INDEX(DGArchive[阶段],714)))</f>
        <v/>
      </c>
      <c r="CC913" t="str">
        <f>IF(714&gt;ROWS(DGArchive[游戏内日期]),"",IF(INDEX(DGArchive[游戏内日期],714)="","",INDEX(DGArchive[游戏内日期],714)))</f>
        <v/>
      </c>
      <c r="CD913" t="str">
        <f>IF(714&gt;ROWS(DGArchive[目标]),"",IF(INDEX(DGArchive[目标],714)="","",INDEX(DGArchive[目标],714)))</f>
        <v/>
      </c>
      <c r="CE913" t="str">
        <f>IF(714&gt;ROWS(DGArchive[变更前]),"",IF(INDEX(DGArchive[变更前],714)="","",INDEX(DGArchive[变更前],714)))</f>
        <v/>
      </c>
      <c r="CF913" t="str">
        <f>IF(714&gt;ROWS(DGArchive[增减]),"",IF(INDEX(DGArchive[增减],714)="","",INDEX(DGArchive[增减],714)))</f>
        <v/>
      </c>
      <c r="CG913" t="str">
        <f>IF(714&gt;ROWS(DGArchive[变更后]),"",IF(INDEX(DGArchive[变更后],714)="","",INDEX(DGArchive[变更后],714)))</f>
        <v/>
      </c>
      <c r="CH913" t="str">
        <f>IF(714&gt;ROWS(DGArchive[事件／活动]),"",IF(INDEX(DGArchive[事件／活动],714)="","",INDEX(DGArchive[事件／活动],714)))</f>
        <v/>
      </c>
      <c r="CI913" t="str">
        <f>IF(714&gt;ROWS(DGArchive[记录编号]),"",IF(INDEX(DGArchive[记录编号],714)="","",INDEX(DGArchive[记录编号],714)))</f>
        <v/>
      </c>
      <c r="CL913">
        <f t="shared" si="344"/>
        <v>0</v>
      </c>
      <c r="CM913">
        <f>IF(AND(A913=$AO$5,B913=$AQ$3,H913=1),COUNTIFS($A$200:A913,$AO$5,$B$200:B913,$AQ$3,$H$200:H913,1),0)</f>
        <v>0</v>
      </c>
      <c r="CN913">
        <f>IF(CA913="",714,1001)</f>
        <v>714</v>
      </c>
      <c r="GA913">
        <f t="shared" si="364"/>
        <v>0</v>
      </c>
      <c r="GB913">
        <f t="shared" si="365"/>
        <v>0</v>
      </c>
      <c r="GC913">
        <f>IF(AND(C913="事件记录",H913=1),COUNTIFS($C$200:C913,"事件记录",$H$200:H913,1),0)</f>
        <v>0</v>
      </c>
      <c r="GD913">
        <f t="shared" si="345"/>
        <v>0</v>
      </c>
      <c r="GH913">
        <f>IF(AND(H913=1,A913=$GA$10,B913=$GA$11),COUNTIFS($A$200:A913,$GA$10,$B$200:B913,$GA$11,$H$200:H913,1),0)</f>
        <v>0</v>
      </c>
    </row>
    <row r="914" spans="1:190">
      <c r="A914" t="str">
        <f t="shared" si="336"/>
        <v/>
      </c>
      <c r="B914" t="str">
        <f t="shared" si="337"/>
        <v/>
      </c>
      <c r="C914" t="str">
        <f t="shared" si="338"/>
        <v/>
      </c>
      <c r="D914" t="str">
        <f t="shared" si="339"/>
        <v/>
      </c>
      <c r="E914">
        <f t="shared" si="340"/>
        <v>0</v>
      </c>
      <c r="F914" t="str">
        <f t="shared" si="341"/>
        <v/>
      </c>
      <c r="G914">
        <f t="shared" si="342"/>
        <v>0</v>
      </c>
      <c r="H914">
        <f>IF(AND(G914=1,COUNTIFS($I$200:I914,I914,$G$200:G914,1)=1),1,0)</f>
        <v>0</v>
      </c>
      <c r="I914" t="str">
        <f t="shared" si="343"/>
        <v/>
      </c>
      <c r="BF914">
        <f t="shared" si="346"/>
        <v>0</v>
      </c>
      <c r="BG914">
        <f t="shared" si="347"/>
        <v>0</v>
      </c>
      <c r="BH914">
        <f t="shared" si="348"/>
        <v>0</v>
      </c>
      <c r="BI914">
        <f t="shared" si="349"/>
        <v>0</v>
      </c>
      <c r="BJ914">
        <f t="shared" si="350"/>
        <v>0</v>
      </c>
      <c r="BK914">
        <f t="shared" si="351"/>
        <v>0</v>
      </c>
      <c r="BL914">
        <f t="shared" si="352"/>
        <v>0</v>
      </c>
      <c r="BM914">
        <f t="shared" si="353"/>
        <v>0</v>
      </c>
      <c r="BN914">
        <f t="shared" si="354"/>
        <v>0</v>
      </c>
      <c r="BO914">
        <f t="shared" si="355"/>
        <v>0</v>
      </c>
      <c r="BP914">
        <f t="shared" si="356"/>
        <v>0</v>
      </c>
      <c r="BQ914">
        <f t="shared" si="357"/>
        <v>0</v>
      </c>
      <c r="BR914">
        <f t="shared" si="358"/>
        <v>0</v>
      </c>
      <c r="BS914">
        <f t="shared" si="359"/>
        <v>0</v>
      </c>
      <c r="BT914">
        <f t="shared" si="360"/>
        <v>0</v>
      </c>
      <c r="BU914">
        <f t="shared" si="361"/>
        <v>0</v>
      </c>
      <c r="BV914">
        <f t="shared" si="362"/>
        <v>0</v>
      </c>
      <c r="BW914">
        <f t="shared" si="363"/>
        <v>0</v>
      </c>
      <c r="CA914" t="str">
        <f>IF(715&gt;ROWS(DGArchive[模组]),"",IF(INDEX(DGArchive[模组],715)="","",INDEX(DGArchive[模组],715)))</f>
        <v/>
      </c>
      <c r="CB914" t="str">
        <f>IF(715&gt;ROWS(DGArchive[阶段]),"",IF(INDEX(DGArchive[阶段],715)="","",INDEX(DGArchive[阶段],715)))</f>
        <v/>
      </c>
      <c r="CC914" t="str">
        <f>IF(715&gt;ROWS(DGArchive[游戏内日期]),"",IF(INDEX(DGArchive[游戏内日期],715)="","",INDEX(DGArchive[游戏内日期],715)))</f>
        <v/>
      </c>
      <c r="CD914" t="str">
        <f>IF(715&gt;ROWS(DGArchive[目标]),"",IF(INDEX(DGArchive[目标],715)="","",INDEX(DGArchive[目标],715)))</f>
        <v/>
      </c>
      <c r="CE914" t="str">
        <f>IF(715&gt;ROWS(DGArchive[变更前]),"",IF(INDEX(DGArchive[变更前],715)="","",INDEX(DGArchive[变更前],715)))</f>
        <v/>
      </c>
      <c r="CF914" t="str">
        <f>IF(715&gt;ROWS(DGArchive[增减]),"",IF(INDEX(DGArchive[增减],715)="","",INDEX(DGArchive[增减],715)))</f>
        <v/>
      </c>
      <c r="CG914" t="str">
        <f>IF(715&gt;ROWS(DGArchive[变更后]),"",IF(INDEX(DGArchive[变更后],715)="","",INDEX(DGArchive[变更后],715)))</f>
        <v/>
      </c>
      <c r="CH914" t="str">
        <f>IF(715&gt;ROWS(DGArchive[事件／活动]),"",IF(INDEX(DGArchive[事件／活动],715)="","",INDEX(DGArchive[事件／活动],715)))</f>
        <v/>
      </c>
      <c r="CI914" t="str">
        <f>IF(715&gt;ROWS(DGArchive[记录编号]),"",IF(INDEX(DGArchive[记录编号],715)="","",INDEX(DGArchive[记录编号],715)))</f>
        <v/>
      </c>
      <c r="CL914">
        <f t="shared" si="344"/>
        <v>0</v>
      </c>
      <c r="CM914">
        <f>IF(AND(A914=$AO$5,B914=$AQ$3,H914=1),COUNTIFS($A$200:A914,$AO$5,$B$200:B914,$AQ$3,$H$200:H914,1),0)</f>
        <v>0</v>
      </c>
      <c r="CN914">
        <f>IF(CA914="",715,1001)</f>
        <v>715</v>
      </c>
      <c r="GA914">
        <f t="shared" si="364"/>
        <v>0</v>
      </c>
      <c r="GB914">
        <f t="shared" si="365"/>
        <v>0</v>
      </c>
      <c r="GC914">
        <f>IF(AND(C914="事件记录",H914=1),COUNTIFS($C$200:C914,"事件记录",$H$200:H914,1),0)</f>
        <v>0</v>
      </c>
      <c r="GD914">
        <f t="shared" si="345"/>
        <v>0</v>
      </c>
      <c r="GH914">
        <f>IF(AND(H914=1,A914=$GA$10,B914=$GA$11),COUNTIFS($A$200:A914,$GA$10,$B$200:B914,$GA$11,$H$200:H914,1),0)</f>
        <v>0</v>
      </c>
    </row>
    <row r="915" spans="1:190">
      <c r="A915" t="str">
        <f t="shared" si="336"/>
        <v/>
      </c>
      <c r="B915" t="str">
        <f t="shared" si="337"/>
        <v/>
      </c>
      <c r="C915" t="str">
        <f t="shared" si="338"/>
        <v/>
      </c>
      <c r="D915" t="str">
        <f t="shared" si="339"/>
        <v/>
      </c>
      <c r="E915">
        <f t="shared" si="340"/>
        <v>0</v>
      </c>
      <c r="F915" t="str">
        <f t="shared" si="341"/>
        <v/>
      </c>
      <c r="G915">
        <f t="shared" si="342"/>
        <v>0</v>
      </c>
      <c r="H915">
        <f>IF(AND(G915=1,COUNTIFS($I$200:I915,I915,$G$200:G915,1)=1),1,0)</f>
        <v>0</v>
      </c>
      <c r="I915" t="str">
        <f t="shared" si="343"/>
        <v/>
      </c>
      <c r="BF915">
        <f t="shared" si="346"/>
        <v>0</v>
      </c>
      <c r="BG915">
        <f t="shared" si="347"/>
        <v>0</v>
      </c>
      <c r="BH915">
        <f t="shared" si="348"/>
        <v>0</v>
      </c>
      <c r="BI915">
        <f t="shared" si="349"/>
        <v>0</v>
      </c>
      <c r="BJ915">
        <f t="shared" si="350"/>
        <v>0</v>
      </c>
      <c r="BK915">
        <f t="shared" si="351"/>
        <v>0</v>
      </c>
      <c r="BL915">
        <f t="shared" si="352"/>
        <v>0</v>
      </c>
      <c r="BM915">
        <f t="shared" si="353"/>
        <v>0</v>
      </c>
      <c r="BN915">
        <f t="shared" si="354"/>
        <v>0</v>
      </c>
      <c r="BO915">
        <f t="shared" si="355"/>
        <v>0</v>
      </c>
      <c r="BP915">
        <f t="shared" si="356"/>
        <v>0</v>
      </c>
      <c r="BQ915">
        <f t="shared" si="357"/>
        <v>0</v>
      </c>
      <c r="BR915">
        <f t="shared" si="358"/>
        <v>0</v>
      </c>
      <c r="BS915">
        <f t="shared" si="359"/>
        <v>0</v>
      </c>
      <c r="BT915">
        <f t="shared" si="360"/>
        <v>0</v>
      </c>
      <c r="BU915">
        <f t="shared" si="361"/>
        <v>0</v>
      </c>
      <c r="BV915">
        <f t="shared" si="362"/>
        <v>0</v>
      </c>
      <c r="BW915">
        <f t="shared" si="363"/>
        <v>0</v>
      </c>
      <c r="CA915" t="str">
        <f>IF(716&gt;ROWS(DGArchive[模组]),"",IF(INDEX(DGArchive[模组],716)="","",INDEX(DGArchive[模组],716)))</f>
        <v/>
      </c>
      <c r="CB915" t="str">
        <f>IF(716&gt;ROWS(DGArchive[阶段]),"",IF(INDEX(DGArchive[阶段],716)="","",INDEX(DGArchive[阶段],716)))</f>
        <v/>
      </c>
      <c r="CC915" t="str">
        <f>IF(716&gt;ROWS(DGArchive[游戏内日期]),"",IF(INDEX(DGArchive[游戏内日期],716)="","",INDEX(DGArchive[游戏内日期],716)))</f>
        <v/>
      </c>
      <c r="CD915" t="str">
        <f>IF(716&gt;ROWS(DGArchive[目标]),"",IF(INDEX(DGArchive[目标],716)="","",INDEX(DGArchive[目标],716)))</f>
        <v/>
      </c>
      <c r="CE915" t="str">
        <f>IF(716&gt;ROWS(DGArchive[变更前]),"",IF(INDEX(DGArchive[变更前],716)="","",INDEX(DGArchive[变更前],716)))</f>
        <v/>
      </c>
      <c r="CF915" t="str">
        <f>IF(716&gt;ROWS(DGArchive[增减]),"",IF(INDEX(DGArchive[增减],716)="","",INDEX(DGArchive[增减],716)))</f>
        <v/>
      </c>
      <c r="CG915" t="str">
        <f>IF(716&gt;ROWS(DGArchive[变更后]),"",IF(INDEX(DGArchive[变更后],716)="","",INDEX(DGArchive[变更后],716)))</f>
        <v/>
      </c>
      <c r="CH915" t="str">
        <f>IF(716&gt;ROWS(DGArchive[事件／活动]),"",IF(INDEX(DGArchive[事件／活动],716)="","",INDEX(DGArchive[事件／活动],716)))</f>
        <v/>
      </c>
      <c r="CI915" t="str">
        <f>IF(716&gt;ROWS(DGArchive[记录编号]),"",IF(INDEX(DGArchive[记录编号],716)="","",INDEX(DGArchive[记录编号],716)))</f>
        <v/>
      </c>
      <c r="CL915">
        <f t="shared" si="344"/>
        <v>0</v>
      </c>
      <c r="CM915">
        <f>IF(AND(A915=$AO$5,B915=$AQ$3,H915=1),COUNTIFS($A$200:A915,$AO$5,$B$200:B915,$AQ$3,$H$200:H915,1),0)</f>
        <v>0</v>
      </c>
      <c r="CN915">
        <f>IF(CA915="",716,1001)</f>
        <v>716</v>
      </c>
      <c r="GA915">
        <f t="shared" si="364"/>
        <v>0</v>
      </c>
      <c r="GB915">
        <f t="shared" si="365"/>
        <v>0</v>
      </c>
      <c r="GC915">
        <f>IF(AND(C915="事件记录",H915=1),COUNTIFS($C$200:C915,"事件记录",$H$200:H915,1),0)</f>
        <v>0</v>
      </c>
      <c r="GD915">
        <f t="shared" si="345"/>
        <v>0</v>
      </c>
      <c r="GH915">
        <f>IF(AND(H915=1,A915=$GA$10,B915=$GA$11),COUNTIFS($A$200:A915,$GA$10,$B$200:B915,$GA$11,$H$200:H915,1),0)</f>
        <v>0</v>
      </c>
    </row>
    <row r="916" spans="1:190">
      <c r="A916" t="str">
        <f t="shared" si="336"/>
        <v/>
      </c>
      <c r="B916" t="str">
        <f t="shared" si="337"/>
        <v/>
      </c>
      <c r="C916" t="str">
        <f t="shared" si="338"/>
        <v/>
      </c>
      <c r="D916" t="str">
        <f t="shared" si="339"/>
        <v/>
      </c>
      <c r="E916">
        <f t="shared" si="340"/>
        <v>0</v>
      </c>
      <c r="F916" t="str">
        <f t="shared" si="341"/>
        <v/>
      </c>
      <c r="G916">
        <f t="shared" si="342"/>
        <v>0</v>
      </c>
      <c r="H916">
        <f>IF(AND(G916=1,COUNTIFS($I$200:I916,I916,$G$200:G916,1)=1),1,0)</f>
        <v>0</v>
      </c>
      <c r="I916" t="str">
        <f t="shared" si="343"/>
        <v/>
      </c>
      <c r="BF916">
        <f t="shared" si="346"/>
        <v>0</v>
      </c>
      <c r="BG916">
        <f t="shared" si="347"/>
        <v>0</v>
      </c>
      <c r="BH916">
        <f t="shared" si="348"/>
        <v>0</v>
      </c>
      <c r="BI916">
        <f t="shared" si="349"/>
        <v>0</v>
      </c>
      <c r="BJ916">
        <f t="shared" si="350"/>
        <v>0</v>
      </c>
      <c r="BK916">
        <f t="shared" si="351"/>
        <v>0</v>
      </c>
      <c r="BL916">
        <f t="shared" si="352"/>
        <v>0</v>
      </c>
      <c r="BM916">
        <f t="shared" si="353"/>
        <v>0</v>
      </c>
      <c r="BN916">
        <f t="shared" si="354"/>
        <v>0</v>
      </c>
      <c r="BO916">
        <f t="shared" si="355"/>
        <v>0</v>
      </c>
      <c r="BP916">
        <f t="shared" si="356"/>
        <v>0</v>
      </c>
      <c r="BQ916">
        <f t="shared" si="357"/>
        <v>0</v>
      </c>
      <c r="BR916">
        <f t="shared" si="358"/>
        <v>0</v>
      </c>
      <c r="BS916">
        <f t="shared" si="359"/>
        <v>0</v>
      </c>
      <c r="BT916">
        <f t="shared" si="360"/>
        <v>0</v>
      </c>
      <c r="BU916">
        <f t="shared" si="361"/>
        <v>0</v>
      </c>
      <c r="BV916">
        <f t="shared" si="362"/>
        <v>0</v>
      </c>
      <c r="BW916">
        <f t="shared" si="363"/>
        <v>0</v>
      </c>
      <c r="CA916" t="str">
        <f>IF(717&gt;ROWS(DGArchive[模组]),"",IF(INDEX(DGArchive[模组],717)="","",INDEX(DGArchive[模组],717)))</f>
        <v/>
      </c>
      <c r="CB916" t="str">
        <f>IF(717&gt;ROWS(DGArchive[阶段]),"",IF(INDEX(DGArchive[阶段],717)="","",INDEX(DGArchive[阶段],717)))</f>
        <v/>
      </c>
      <c r="CC916" t="str">
        <f>IF(717&gt;ROWS(DGArchive[游戏内日期]),"",IF(INDEX(DGArchive[游戏内日期],717)="","",INDEX(DGArchive[游戏内日期],717)))</f>
        <v/>
      </c>
      <c r="CD916" t="str">
        <f>IF(717&gt;ROWS(DGArchive[目标]),"",IF(INDEX(DGArchive[目标],717)="","",INDEX(DGArchive[目标],717)))</f>
        <v/>
      </c>
      <c r="CE916" t="str">
        <f>IF(717&gt;ROWS(DGArchive[变更前]),"",IF(INDEX(DGArchive[变更前],717)="","",INDEX(DGArchive[变更前],717)))</f>
        <v/>
      </c>
      <c r="CF916" t="str">
        <f>IF(717&gt;ROWS(DGArchive[增减]),"",IF(INDEX(DGArchive[增减],717)="","",INDEX(DGArchive[增减],717)))</f>
        <v/>
      </c>
      <c r="CG916" t="str">
        <f>IF(717&gt;ROWS(DGArchive[变更后]),"",IF(INDEX(DGArchive[变更后],717)="","",INDEX(DGArchive[变更后],717)))</f>
        <v/>
      </c>
      <c r="CH916" t="str">
        <f>IF(717&gt;ROWS(DGArchive[事件／活动]),"",IF(INDEX(DGArchive[事件／活动],717)="","",INDEX(DGArchive[事件／活动],717)))</f>
        <v/>
      </c>
      <c r="CI916" t="str">
        <f>IF(717&gt;ROWS(DGArchive[记录编号]),"",IF(INDEX(DGArchive[记录编号],717)="","",INDEX(DGArchive[记录编号],717)))</f>
        <v/>
      </c>
      <c r="CL916">
        <f t="shared" si="344"/>
        <v>0</v>
      </c>
      <c r="CM916">
        <f>IF(AND(A916=$AO$5,B916=$AQ$3,H916=1),COUNTIFS($A$200:A916,$AO$5,$B$200:B916,$AQ$3,$H$200:H916,1),0)</f>
        <v>0</v>
      </c>
      <c r="CN916">
        <f>IF(CA916="",717,1001)</f>
        <v>717</v>
      </c>
      <c r="GA916">
        <f t="shared" si="364"/>
        <v>0</v>
      </c>
      <c r="GB916">
        <f t="shared" si="365"/>
        <v>0</v>
      </c>
      <c r="GC916">
        <f>IF(AND(C916="事件记录",H916=1),COUNTIFS($C$200:C916,"事件记录",$H$200:H916,1),0)</f>
        <v>0</v>
      </c>
      <c r="GD916">
        <f t="shared" si="345"/>
        <v>0</v>
      </c>
      <c r="GH916">
        <f>IF(AND(H916=1,A916=$GA$10,B916=$GA$11),COUNTIFS($A$200:A916,$GA$10,$B$200:B916,$GA$11,$H$200:H916,1),0)</f>
        <v>0</v>
      </c>
    </row>
    <row r="917" spans="1:190">
      <c r="A917" t="str">
        <f t="shared" si="336"/>
        <v/>
      </c>
      <c r="B917" t="str">
        <f t="shared" si="337"/>
        <v/>
      </c>
      <c r="C917" t="str">
        <f t="shared" si="338"/>
        <v/>
      </c>
      <c r="D917" t="str">
        <f t="shared" si="339"/>
        <v/>
      </c>
      <c r="E917">
        <f t="shared" si="340"/>
        <v>0</v>
      </c>
      <c r="F917" t="str">
        <f t="shared" si="341"/>
        <v/>
      </c>
      <c r="G917">
        <f t="shared" si="342"/>
        <v>0</v>
      </c>
      <c r="H917">
        <f>IF(AND(G917=1,COUNTIFS($I$200:I917,I917,$G$200:G917,1)=1),1,0)</f>
        <v>0</v>
      </c>
      <c r="I917" t="str">
        <f t="shared" si="343"/>
        <v/>
      </c>
      <c r="BF917">
        <f t="shared" si="346"/>
        <v>0</v>
      </c>
      <c r="BG917">
        <f t="shared" si="347"/>
        <v>0</v>
      </c>
      <c r="BH917">
        <f t="shared" si="348"/>
        <v>0</v>
      </c>
      <c r="BI917">
        <f t="shared" si="349"/>
        <v>0</v>
      </c>
      <c r="BJ917">
        <f t="shared" si="350"/>
        <v>0</v>
      </c>
      <c r="BK917">
        <f t="shared" si="351"/>
        <v>0</v>
      </c>
      <c r="BL917">
        <f t="shared" si="352"/>
        <v>0</v>
      </c>
      <c r="BM917">
        <f t="shared" si="353"/>
        <v>0</v>
      </c>
      <c r="BN917">
        <f t="shared" si="354"/>
        <v>0</v>
      </c>
      <c r="BO917">
        <f t="shared" si="355"/>
        <v>0</v>
      </c>
      <c r="BP917">
        <f t="shared" si="356"/>
        <v>0</v>
      </c>
      <c r="BQ917">
        <f t="shared" si="357"/>
        <v>0</v>
      </c>
      <c r="BR917">
        <f t="shared" si="358"/>
        <v>0</v>
      </c>
      <c r="BS917">
        <f t="shared" si="359"/>
        <v>0</v>
      </c>
      <c r="BT917">
        <f t="shared" si="360"/>
        <v>0</v>
      </c>
      <c r="BU917">
        <f t="shared" si="361"/>
        <v>0</v>
      </c>
      <c r="BV917">
        <f t="shared" si="362"/>
        <v>0</v>
      </c>
      <c r="BW917">
        <f t="shared" si="363"/>
        <v>0</v>
      </c>
      <c r="CA917" t="str">
        <f>IF(718&gt;ROWS(DGArchive[模组]),"",IF(INDEX(DGArchive[模组],718)="","",INDEX(DGArchive[模组],718)))</f>
        <v/>
      </c>
      <c r="CB917" t="str">
        <f>IF(718&gt;ROWS(DGArchive[阶段]),"",IF(INDEX(DGArchive[阶段],718)="","",INDEX(DGArchive[阶段],718)))</f>
        <v/>
      </c>
      <c r="CC917" t="str">
        <f>IF(718&gt;ROWS(DGArchive[游戏内日期]),"",IF(INDEX(DGArchive[游戏内日期],718)="","",INDEX(DGArchive[游戏内日期],718)))</f>
        <v/>
      </c>
      <c r="CD917" t="str">
        <f>IF(718&gt;ROWS(DGArchive[目标]),"",IF(INDEX(DGArchive[目标],718)="","",INDEX(DGArchive[目标],718)))</f>
        <v/>
      </c>
      <c r="CE917" t="str">
        <f>IF(718&gt;ROWS(DGArchive[变更前]),"",IF(INDEX(DGArchive[变更前],718)="","",INDEX(DGArchive[变更前],718)))</f>
        <v/>
      </c>
      <c r="CF917" t="str">
        <f>IF(718&gt;ROWS(DGArchive[增减]),"",IF(INDEX(DGArchive[增减],718)="","",INDEX(DGArchive[增减],718)))</f>
        <v/>
      </c>
      <c r="CG917" t="str">
        <f>IF(718&gt;ROWS(DGArchive[变更后]),"",IF(INDEX(DGArchive[变更后],718)="","",INDEX(DGArchive[变更后],718)))</f>
        <v/>
      </c>
      <c r="CH917" t="str">
        <f>IF(718&gt;ROWS(DGArchive[事件／活动]),"",IF(INDEX(DGArchive[事件／活动],718)="","",INDEX(DGArchive[事件／活动],718)))</f>
        <v/>
      </c>
      <c r="CI917" t="str">
        <f>IF(718&gt;ROWS(DGArchive[记录编号]),"",IF(INDEX(DGArchive[记录编号],718)="","",INDEX(DGArchive[记录编号],718)))</f>
        <v/>
      </c>
      <c r="CL917">
        <f t="shared" si="344"/>
        <v>0</v>
      </c>
      <c r="CM917">
        <f>IF(AND(A917=$AO$5,B917=$AQ$3,H917=1),COUNTIFS($A$200:A917,$AO$5,$B$200:B917,$AQ$3,$H$200:H917,1),0)</f>
        <v>0</v>
      </c>
      <c r="CN917">
        <f>IF(CA917="",718,1001)</f>
        <v>718</v>
      </c>
      <c r="GA917">
        <f t="shared" si="364"/>
        <v>0</v>
      </c>
      <c r="GB917">
        <f t="shared" si="365"/>
        <v>0</v>
      </c>
      <c r="GC917">
        <f>IF(AND(C917="事件记录",H917=1),COUNTIFS($C$200:C917,"事件记录",$H$200:H917,1),0)</f>
        <v>0</v>
      </c>
      <c r="GD917">
        <f t="shared" si="345"/>
        <v>0</v>
      </c>
      <c r="GH917">
        <f>IF(AND(H917=1,A917=$GA$10,B917=$GA$11),COUNTIFS($A$200:A917,$GA$10,$B$200:B917,$GA$11,$H$200:H917,1),0)</f>
        <v>0</v>
      </c>
    </row>
    <row r="918" spans="1:190">
      <c r="A918" t="str">
        <f t="shared" si="336"/>
        <v/>
      </c>
      <c r="B918" t="str">
        <f t="shared" si="337"/>
        <v/>
      </c>
      <c r="C918" t="str">
        <f t="shared" si="338"/>
        <v/>
      </c>
      <c r="D918" t="str">
        <f t="shared" si="339"/>
        <v/>
      </c>
      <c r="E918">
        <f t="shared" si="340"/>
        <v>0</v>
      </c>
      <c r="F918" t="str">
        <f t="shared" si="341"/>
        <v/>
      </c>
      <c r="G918">
        <f t="shared" si="342"/>
        <v>0</v>
      </c>
      <c r="H918">
        <f>IF(AND(G918=1,COUNTIFS($I$200:I918,I918,$G$200:G918,1)=1),1,0)</f>
        <v>0</v>
      </c>
      <c r="I918" t="str">
        <f t="shared" si="343"/>
        <v/>
      </c>
      <c r="BF918">
        <f t="shared" si="346"/>
        <v>0</v>
      </c>
      <c r="BG918">
        <f t="shared" si="347"/>
        <v>0</v>
      </c>
      <c r="BH918">
        <f t="shared" si="348"/>
        <v>0</v>
      </c>
      <c r="BI918">
        <f t="shared" si="349"/>
        <v>0</v>
      </c>
      <c r="BJ918">
        <f t="shared" si="350"/>
        <v>0</v>
      </c>
      <c r="BK918">
        <f t="shared" si="351"/>
        <v>0</v>
      </c>
      <c r="BL918">
        <f t="shared" si="352"/>
        <v>0</v>
      </c>
      <c r="BM918">
        <f t="shared" si="353"/>
        <v>0</v>
      </c>
      <c r="BN918">
        <f t="shared" si="354"/>
        <v>0</v>
      </c>
      <c r="BO918">
        <f t="shared" si="355"/>
        <v>0</v>
      </c>
      <c r="BP918">
        <f t="shared" si="356"/>
        <v>0</v>
      </c>
      <c r="BQ918">
        <f t="shared" si="357"/>
        <v>0</v>
      </c>
      <c r="BR918">
        <f t="shared" si="358"/>
        <v>0</v>
      </c>
      <c r="BS918">
        <f t="shared" si="359"/>
        <v>0</v>
      </c>
      <c r="BT918">
        <f t="shared" si="360"/>
        <v>0</v>
      </c>
      <c r="BU918">
        <f t="shared" si="361"/>
        <v>0</v>
      </c>
      <c r="BV918">
        <f t="shared" si="362"/>
        <v>0</v>
      </c>
      <c r="BW918">
        <f t="shared" si="363"/>
        <v>0</v>
      </c>
      <c r="CA918" t="str">
        <f>IF(719&gt;ROWS(DGArchive[模组]),"",IF(INDEX(DGArchive[模组],719)="","",INDEX(DGArchive[模组],719)))</f>
        <v/>
      </c>
      <c r="CB918" t="str">
        <f>IF(719&gt;ROWS(DGArchive[阶段]),"",IF(INDEX(DGArchive[阶段],719)="","",INDEX(DGArchive[阶段],719)))</f>
        <v/>
      </c>
      <c r="CC918" t="str">
        <f>IF(719&gt;ROWS(DGArchive[游戏内日期]),"",IF(INDEX(DGArchive[游戏内日期],719)="","",INDEX(DGArchive[游戏内日期],719)))</f>
        <v/>
      </c>
      <c r="CD918" t="str">
        <f>IF(719&gt;ROWS(DGArchive[目标]),"",IF(INDEX(DGArchive[目标],719)="","",INDEX(DGArchive[目标],719)))</f>
        <v/>
      </c>
      <c r="CE918" t="str">
        <f>IF(719&gt;ROWS(DGArchive[变更前]),"",IF(INDEX(DGArchive[变更前],719)="","",INDEX(DGArchive[变更前],719)))</f>
        <v/>
      </c>
      <c r="CF918" t="str">
        <f>IF(719&gt;ROWS(DGArchive[增减]),"",IF(INDEX(DGArchive[增减],719)="","",INDEX(DGArchive[增减],719)))</f>
        <v/>
      </c>
      <c r="CG918" t="str">
        <f>IF(719&gt;ROWS(DGArchive[变更后]),"",IF(INDEX(DGArchive[变更后],719)="","",INDEX(DGArchive[变更后],719)))</f>
        <v/>
      </c>
      <c r="CH918" t="str">
        <f>IF(719&gt;ROWS(DGArchive[事件／活动]),"",IF(INDEX(DGArchive[事件／活动],719)="","",INDEX(DGArchive[事件／活动],719)))</f>
        <v/>
      </c>
      <c r="CI918" t="str">
        <f>IF(719&gt;ROWS(DGArchive[记录编号]),"",IF(INDEX(DGArchive[记录编号],719)="","",INDEX(DGArchive[记录编号],719)))</f>
        <v/>
      </c>
      <c r="CL918">
        <f t="shared" si="344"/>
        <v>0</v>
      </c>
      <c r="CM918">
        <f>IF(AND(A918=$AO$5,B918=$AQ$3,H918=1),COUNTIFS($A$200:A918,$AO$5,$B$200:B918,$AQ$3,$H$200:H918,1),0)</f>
        <v>0</v>
      </c>
      <c r="CN918">
        <f>IF(CA918="",719,1001)</f>
        <v>719</v>
      </c>
      <c r="GA918">
        <f t="shared" si="364"/>
        <v>0</v>
      </c>
      <c r="GB918">
        <f t="shared" si="365"/>
        <v>0</v>
      </c>
      <c r="GC918">
        <f>IF(AND(C918="事件记录",H918=1),COUNTIFS($C$200:C918,"事件记录",$H$200:H918,1),0)</f>
        <v>0</v>
      </c>
      <c r="GD918">
        <f t="shared" si="345"/>
        <v>0</v>
      </c>
      <c r="GH918">
        <f>IF(AND(H918=1,A918=$GA$10,B918=$GA$11),COUNTIFS($A$200:A918,$GA$10,$B$200:B918,$GA$11,$H$200:H918,1),0)</f>
        <v>0</v>
      </c>
    </row>
    <row r="919" spans="1:190">
      <c r="A919" t="str">
        <f t="shared" si="336"/>
        <v/>
      </c>
      <c r="B919" t="str">
        <f t="shared" si="337"/>
        <v/>
      </c>
      <c r="C919" t="str">
        <f t="shared" si="338"/>
        <v/>
      </c>
      <c r="D919" t="str">
        <f t="shared" si="339"/>
        <v/>
      </c>
      <c r="E919">
        <f t="shared" si="340"/>
        <v>0</v>
      </c>
      <c r="F919" t="str">
        <f t="shared" si="341"/>
        <v/>
      </c>
      <c r="G919">
        <f t="shared" si="342"/>
        <v>0</v>
      </c>
      <c r="H919">
        <f>IF(AND(G919=1,COUNTIFS($I$200:I919,I919,$G$200:G919,1)=1),1,0)</f>
        <v>0</v>
      </c>
      <c r="I919" t="str">
        <f t="shared" si="343"/>
        <v/>
      </c>
      <c r="BF919">
        <f t="shared" si="346"/>
        <v>0</v>
      </c>
      <c r="BG919">
        <f t="shared" si="347"/>
        <v>0</v>
      </c>
      <c r="BH919">
        <f t="shared" si="348"/>
        <v>0</v>
      </c>
      <c r="BI919">
        <f t="shared" si="349"/>
        <v>0</v>
      </c>
      <c r="BJ919">
        <f t="shared" si="350"/>
        <v>0</v>
      </c>
      <c r="BK919">
        <f t="shared" si="351"/>
        <v>0</v>
      </c>
      <c r="BL919">
        <f t="shared" si="352"/>
        <v>0</v>
      </c>
      <c r="BM919">
        <f t="shared" si="353"/>
        <v>0</v>
      </c>
      <c r="BN919">
        <f t="shared" si="354"/>
        <v>0</v>
      </c>
      <c r="BO919">
        <f t="shared" si="355"/>
        <v>0</v>
      </c>
      <c r="BP919">
        <f t="shared" si="356"/>
        <v>0</v>
      </c>
      <c r="BQ919">
        <f t="shared" si="357"/>
        <v>0</v>
      </c>
      <c r="BR919">
        <f t="shared" si="358"/>
        <v>0</v>
      </c>
      <c r="BS919">
        <f t="shared" si="359"/>
        <v>0</v>
      </c>
      <c r="BT919">
        <f t="shared" si="360"/>
        <v>0</v>
      </c>
      <c r="BU919">
        <f t="shared" si="361"/>
        <v>0</v>
      </c>
      <c r="BV919">
        <f t="shared" si="362"/>
        <v>0</v>
      </c>
      <c r="BW919">
        <f t="shared" si="363"/>
        <v>0</v>
      </c>
      <c r="CA919" t="str">
        <f>IF(720&gt;ROWS(DGArchive[模组]),"",IF(INDEX(DGArchive[模组],720)="","",INDEX(DGArchive[模组],720)))</f>
        <v/>
      </c>
      <c r="CB919" t="str">
        <f>IF(720&gt;ROWS(DGArchive[阶段]),"",IF(INDEX(DGArchive[阶段],720)="","",INDEX(DGArchive[阶段],720)))</f>
        <v/>
      </c>
      <c r="CC919" t="str">
        <f>IF(720&gt;ROWS(DGArchive[游戏内日期]),"",IF(INDEX(DGArchive[游戏内日期],720)="","",INDEX(DGArchive[游戏内日期],720)))</f>
        <v/>
      </c>
      <c r="CD919" t="str">
        <f>IF(720&gt;ROWS(DGArchive[目标]),"",IF(INDEX(DGArchive[目标],720)="","",INDEX(DGArchive[目标],720)))</f>
        <v/>
      </c>
      <c r="CE919" t="str">
        <f>IF(720&gt;ROWS(DGArchive[变更前]),"",IF(INDEX(DGArchive[变更前],720)="","",INDEX(DGArchive[变更前],720)))</f>
        <v/>
      </c>
      <c r="CF919" t="str">
        <f>IF(720&gt;ROWS(DGArchive[增减]),"",IF(INDEX(DGArchive[增减],720)="","",INDEX(DGArchive[增减],720)))</f>
        <v/>
      </c>
      <c r="CG919" t="str">
        <f>IF(720&gt;ROWS(DGArchive[变更后]),"",IF(INDEX(DGArchive[变更后],720)="","",INDEX(DGArchive[变更后],720)))</f>
        <v/>
      </c>
      <c r="CH919" t="str">
        <f>IF(720&gt;ROWS(DGArchive[事件／活动]),"",IF(INDEX(DGArchive[事件／活动],720)="","",INDEX(DGArchive[事件／活动],720)))</f>
        <v/>
      </c>
      <c r="CI919" t="str">
        <f>IF(720&gt;ROWS(DGArchive[记录编号]),"",IF(INDEX(DGArchive[记录编号],720)="","",INDEX(DGArchive[记录编号],720)))</f>
        <v/>
      </c>
      <c r="CL919">
        <f t="shared" si="344"/>
        <v>0</v>
      </c>
      <c r="CM919">
        <f>IF(AND(A919=$AO$5,B919=$AQ$3,H919=1),COUNTIFS($A$200:A919,$AO$5,$B$200:B919,$AQ$3,$H$200:H919,1),0)</f>
        <v>0</v>
      </c>
      <c r="CN919">
        <f>IF(CA919="",720,1001)</f>
        <v>720</v>
      </c>
      <c r="GA919">
        <f t="shared" si="364"/>
        <v>0</v>
      </c>
      <c r="GB919">
        <f t="shared" si="365"/>
        <v>0</v>
      </c>
      <c r="GC919">
        <f>IF(AND(C919="事件记录",H919=1),COUNTIFS($C$200:C919,"事件记录",$H$200:H919,1),0)</f>
        <v>0</v>
      </c>
      <c r="GD919">
        <f t="shared" si="345"/>
        <v>0</v>
      </c>
      <c r="GH919">
        <f>IF(AND(H919=1,A919=$GA$10,B919=$GA$11),COUNTIFS($A$200:A919,$GA$10,$B$200:B919,$GA$11,$H$200:H919,1),0)</f>
        <v>0</v>
      </c>
    </row>
    <row r="920" spans="1:190">
      <c r="A920" t="str">
        <f t="shared" si="336"/>
        <v/>
      </c>
      <c r="B920" t="str">
        <f t="shared" si="337"/>
        <v/>
      </c>
      <c r="C920" t="str">
        <f t="shared" si="338"/>
        <v/>
      </c>
      <c r="D920" t="str">
        <f t="shared" si="339"/>
        <v/>
      </c>
      <c r="E920">
        <f t="shared" si="340"/>
        <v>0</v>
      </c>
      <c r="F920" t="str">
        <f t="shared" si="341"/>
        <v/>
      </c>
      <c r="G920">
        <f t="shared" si="342"/>
        <v>0</v>
      </c>
      <c r="H920">
        <f>IF(AND(G920=1,COUNTIFS($I$200:I920,I920,$G$200:G920,1)=1),1,0)</f>
        <v>0</v>
      </c>
      <c r="I920" t="str">
        <f t="shared" si="343"/>
        <v/>
      </c>
      <c r="BF920">
        <f t="shared" si="346"/>
        <v>0</v>
      </c>
      <c r="BG920">
        <f t="shared" si="347"/>
        <v>0</v>
      </c>
      <c r="BH920">
        <f t="shared" si="348"/>
        <v>0</v>
      </c>
      <c r="BI920">
        <f t="shared" si="349"/>
        <v>0</v>
      </c>
      <c r="BJ920">
        <f t="shared" si="350"/>
        <v>0</v>
      </c>
      <c r="BK920">
        <f t="shared" si="351"/>
        <v>0</v>
      </c>
      <c r="BL920">
        <f t="shared" si="352"/>
        <v>0</v>
      </c>
      <c r="BM920">
        <f t="shared" si="353"/>
        <v>0</v>
      </c>
      <c r="BN920">
        <f t="shared" si="354"/>
        <v>0</v>
      </c>
      <c r="BO920">
        <f t="shared" si="355"/>
        <v>0</v>
      </c>
      <c r="BP920">
        <f t="shared" si="356"/>
        <v>0</v>
      </c>
      <c r="BQ920">
        <f t="shared" si="357"/>
        <v>0</v>
      </c>
      <c r="BR920">
        <f t="shared" si="358"/>
        <v>0</v>
      </c>
      <c r="BS920">
        <f t="shared" si="359"/>
        <v>0</v>
      </c>
      <c r="BT920">
        <f t="shared" si="360"/>
        <v>0</v>
      </c>
      <c r="BU920">
        <f t="shared" si="361"/>
        <v>0</v>
      </c>
      <c r="BV920">
        <f t="shared" si="362"/>
        <v>0</v>
      </c>
      <c r="BW920">
        <f t="shared" si="363"/>
        <v>0</v>
      </c>
      <c r="CA920" t="str">
        <f>IF(721&gt;ROWS(DGArchive[模组]),"",IF(INDEX(DGArchive[模组],721)="","",INDEX(DGArchive[模组],721)))</f>
        <v/>
      </c>
      <c r="CB920" t="str">
        <f>IF(721&gt;ROWS(DGArchive[阶段]),"",IF(INDEX(DGArchive[阶段],721)="","",INDEX(DGArchive[阶段],721)))</f>
        <v/>
      </c>
      <c r="CC920" t="str">
        <f>IF(721&gt;ROWS(DGArchive[游戏内日期]),"",IF(INDEX(DGArchive[游戏内日期],721)="","",INDEX(DGArchive[游戏内日期],721)))</f>
        <v/>
      </c>
      <c r="CD920" t="str">
        <f>IF(721&gt;ROWS(DGArchive[目标]),"",IF(INDEX(DGArchive[目标],721)="","",INDEX(DGArchive[目标],721)))</f>
        <v/>
      </c>
      <c r="CE920" t="str">
        <f>IF(721&gt;ROWS(DGArchive[变更前]),"",IF(INDEX(DGArchive[变更前],721)="","",INDEX(DGArchive[变更前],721)))</f>
        <v/>
      </c>
      <c r="CF920" t="str">
        <f>IF(721&gt;ROWS(DGArchive[增减]),"",IF(INDEX(DGArchive[增减],721)="","",INDEX(DGArchive[增减],721)))</f>
        <v/>
      </c>
      <c r="CG920" t="str">
        <f>IF(721&gt;ROWS(DGArchive[变更后]),"",IF(INDEX(DGArchive[变更后],721)="","",INDEX(DGArchive[变更后],721)))</f>
        <v/>
      </c>
      <c r="CH920" t="str">
        <f>IF(721&gt;ROWS(DGArchive[事件／活动]),"",IF(INDEX(DGArchive[事件／活动],721)="","",INDEX(DGArchive[事件／活动],721)))</f>
        <v/>
      </c>
      <c r="CI920" t="str">
        <f>IF(721&gt;ROWS(DGArchive[记录编号]),"",IF(INDEX(DGArchive[记录编号],721)="","",INDEX(DGArchive[记录编号],721)))</f>
        <v/>
      </c>
      <c r="CL920">
        <f t="shared" si="344"/>
        <v>0</v>
      </c>
      <c r="CM920">
        <f>IF(AND(A920=$AO$5,B920=$AQ$3,H920=1),COUNTIFS($A$200:A920,$AO$5,$B$200:B920,$AQ$3,$H$200:H920,1),0)</f>
        <v>0</v>
      </c>
      <c r="CN920">
        <f>IF(CA920="",721,1001)</f>
        <v>721</v>
      </c>
      <c r="GA920">
        <f t="shared" si="364"/>
        <v>0</v>
      </c>
      <c r="GB920">
        <f t="shared" si="365"/>
        <v>0</v>
      </c>
      <c r="GC920">
        <f>IF(AND(C920="事件记录",H920=1),COUNTIFS($C$200:C920,"事件记录",$H$200:H920,1),0)</f>
        <v>0</v>
      </c>
      <c r="GD920">
        <f t="shared" si="345"/>
        <v>0</v>
      </c>
      <c r="GH920">
        <f>IF(AND(H920=1,A920=$GA$10,B920=$GA$11),COUNTIFS($A$200:A920,$GA$10,$B$200:B920,$GA$11,$H$200:H920,1),0)</f>
        <v>0</v>
      </c>
    </row>
    <row r="921" spans="1:190">
      <c r="A921" t="str">
        <f t="shared" si="336"/>
        <v/>
      </c>
      <c r="B921" t="str">
        <f t="shared" si="337"/>
        <v/>
      </c>
      <c r="C921" t="str">
        <f t="shared" si="338"/>
        <v/>
      </c>
      <c r="D921" t="str">
        <f t="shared" si="339"/>
        <v/>
      </c>
      <c r="E921">
        <f t="shared" si="340"/>
        <v>0</v>
      </c>
      <c r="F921" t="str">
        <f t="shared" si="341"/>
        <v/>
      </c>
      <c r="G921">
        <f t="shared" si="342"/>
        <v>0</v>
      </c>
      <c r="H921">
        <f>IF(AND(G921=1,COUNTIFS($I$200:I921,I921,$G$200:G921,1)=1),1,0)</f>
        <v>0</v>
      </c>
      <c r="I921" t="str">
        <f t="shared" si="343"/>
        <v/>
      </c>
      <c r="BF921">
        <f t="shared" si="346"/>
        <v>0</v>
      </c>
      <c r="BG921">
        <f t="shared" si="347"/>
        <v>0</v>
      </c>
      <c r="BH921">
        <f t="shared" si="348"/>
        <v>0</v>
      </c>
      <c r="BI921">
        <f t="shared" si="349"/>
        <v>0</v>
      </c>
      <c r="BJ921">
        <f t="shared" si="350"/>
        <v>0</v>
      </c>
      <c r="BK921">
        <f t="shared" si="351"/>
        <v>0</v>
      </c>
      <c r="BL921">
        <f t="shared" si="352"/>
        <v>0</v>
      </c>
      <c r="BM921">
        <f t="shared" si="353"/>
        <v>0</v>
      </c>
      <c r="BN921">
        <f t="shared" si="354"/>
        <v>0</v>
      </c>
      <c r="BO921">
        <f t="shared" si="355"/>
        <v>0</v>
      </c>
      <c r="BP921">
        <f t="shared" si="356"/>
        <v>0</v>
      </c>
      <c r="BQ921">
        <f t="shared" si="357"/>
        <v>0</v>
      </c>
      <c r="BR921">
        <f t="shared" si="358"/>
        <v>0</v>
      </c>
      <c r="BS921">
        <f t="shared" si="359"/>
        <v>0</v>
      </c>
      <c r="BT921">
        <f t="shared" si="360"/>
        <v>0</v>
      </c>
      <c r="BU921">
        <f t="shared" si="361"/>
        <v>0</v>
      </c>
      <c r="BV921">
        <f t="shared" si="362"/>
        <v>0</v>
      </c>
      <c r="BW921">
        <f t="shared" si="363"/>
        <v>0</v>
      </c>
      <c r="CA921" t="str">
        <f>IF(722&gt;ROWS(DGArchive[模组]),"",IF(INDEX(DGArchive[模组],722)="","",INDEX(DGArchive[模组],722)))</f>
        <v/>
      </c>
      <c r="CB921" t="str">
        <f>IF(722&gt;ROWS(DGArchive[阶段]),"",IF(INDEX(DGArchive[阶段],722)="","",INDEX(DGArchive[阶段],722)))</f>
        <v/>
      </c>
      <c r="CC921" t="str">
        <f>IF(722&gt;ROWS(DGArchive[游戏内日期]),"",IF(INDEX(DGArchive[游戏内日期],722)="","",INDEX(DGArchive[游戏内日期],722)))</f>
        <v/>
      </c>
      <c r="CD921" t="str">
        <f>IF(722&gt;ROWS(DGArchive[目标]),"",IF(INDEX(DGArchive[目标],722)="","",INDEX(DGArchive[目标],722)))</f>
        <v/>
      </c>
      <c r="CE921" t="str">
        <f>IF(722&gt;ROWS(DGArchive[变更前]),"",IF(INDEX(DGArchive[变更前],722)="","",INDEX(DGArchive[变更前],722)))</f>
        <v/>
      </c>
      <c r="CF921" t="str">
        <f>IF(722&gt;ROWS(DGArchive[增减]),"",IF(INDEX(DGArchive[增减],722)="","",INDEX(DGArchive[增减],722)))</f>
        <v/>
      </c>
      <c r="CG921" t="str">
        <f>IF(722&gt;ROWS(DGArchive[变更后]),"",IF(INDEX(DGArchive[变更后],722)="","",INDEX(DGArchive[变更后],722)))</f>
        <v/>
      </c>
      <c r="CH921" t="str">
        <f>IF(722&gt;ROWS(DGArchive[事件／活动]),"",IF(INDEX(DGArchive[事件／活动],722)="","",INDEX(DGArchive[事件／活动],722)))</f>
        <v/>
      </c>
      <c r="CI921" t="str">
        <f>IF(722&gt;ROWS(DGArchive[记录编号]),"",IF(INDEX(DGArchive[记录编号],722)="","",INDEX(DGArchive[记录编号],722)))</f>
        <v/>
      </c>
      <c r="CL921">
        <f t="shared" si="344"/>
        <v>0</v>
      </c>
      <c r="CM921">
        <f>IF(AND(A921=$AO$5,B921=$AQ$3,H921=1),COUNTIFS($A$200:A921,$AO$5,$B$200:B921,$AQ$3,$H$200:H921,1),0)</f>
        <v>0</v>
      </c>
      <c r="CN921">
        <f>IF(CA921="",722,1001)</f>
        <v>722</v>
      </c>
      <c r="GA921">
        <f t="shared" si="364"/>
        <v>0</v>
      </c>
      <c r="GB921">
        <f t="shared" si="365"/>
        <v>0</v>
      </c>
      <c r="GC921">
        <f>IF(AND(C921="事件记录",H921=1),COUNTIFS($C$200:C921,"事件记录",$H$200:H921,1),0)</f>
        <v>0</v>
      </c>
      <c r="GD921">
        <f t="shared" si="345"/>
        <v>0</v>
      </c>
      <c r="GH921">
        <f>IF(AND(H921=1,A921=$GA$10,B921=$GA$11),COUNTIFS($A$200:A921,$GA$10,$B$200:B921,$GA$11,$H$200:H921,1),0)</f>
        <v>0</v>
      </c>
    </row>
    <row r="922" spans="1:190">
      <c r="A922" t="str">
        <f t="shared" si="336"/>
        <v/>
      </c>
      <c r="B922" t="str">
        <f t="shared" si="337"/>
        <v/>
      </c>
      <c r="C922" t="str">
        <f t="shared" si="338"/>
        <v/>
      </c>
      <c r="D922" t="str">
        <f t="shared" si="339"/>
        <v/>
      </c>
      <c r="E922">
        <f t="shared" si="340"/>
        <v>0</v>
      </c>
      <c r="F922" t="str">
        <f t="shared" si="341"/>
        <v/>
      </c>
      <c r="G922">
        <f t="shared" si="342"/>
        <v>0</v>
      </c>
      <c r="H922">
        <f>IF(AND(G922=1,COUNTIFS($I$200:I922,I922,$G$200:G922,1)=1),1,0)</f>
        <v>0</v>
      </c>
      <c r="I922" t="str">
        <f t="shared" si="343"/>
        <v/>
      </c>
      <c r="BF922">
        <f t="shared" si="346"/>
        <v>0</v>
      </c>
      <c r="BG922">
        <f t="shared" si="347"/>
        <v>0</v>
      </c>
      <c r="BH922">
        <f t="shared" si="348"/>
        <v>0</v>
      </c>
      <c r="BI922">
        <f t="shared" si="349"/>
        <v>0</v>
      </c>
      <c r="BJ922">
        <f t="shared" si="350"/>
        <v>0</v>
      </c>
      <c r="BK922">
        <f t="shared" si="351"/>
        <v>0</v>
      </c>
      <c r="BL922">
        <f t="shared" si="352"/>
        <v>0</v>
      </c>
      <c r="BM922">
        <f t="shared" si="353"/>
        <v>0</v>
      </c>
      <c r="BN922">
        <f t="shared" si="354"/>
        <v>0</v>
      </c>
      <c r="BO922">
        <f t="shared" si="355"/>
        <v>0</v>
      </c>
      <c r="BP922">
        <f t="shared" si="356"/>
        <v>0</v>
      </c>
      <c r="BQ922">
        <f t="shared" si="357"/>
        <v>0</v>
      </c>
      <c r="BR922">
        <f t="shared" si="358"/>
        <v>0</v>
      </c>
      <c r="BS922">
        <f t="shared" si="359"/>
        <v>0</v>
      </c>
      <c r="BT922">
        <f t="shared" si="360"/>
        <v>0</v>
      </c>
      <c r="BU922">
        <f t="shared" si="361"/>
        <v>0</v>
      </c>
      <c r="BV922">
        <f t="shared" si="362"/>
        <v>0</v>
      </c>
      <c r="BW922">
        <f t="shared" si="363"/>
        <v>0</v>
      </c>
      <c r="CA922" t="str">
        <f>IF(723&gt;ROWS(DGArchive[模组]),"",IF(INDEX(DGArchive[模组],723)="","",INDEX(DGArchive[模组],723)))</f>
        <v/>
      </c>
      <c r="CB922" t="str">
        <f>IF(723&gt;ROWS(DGArchive[阶段]),"",IF(INDEX(DGArchive[阶段],723)="","",INDEX(DGArchive[阶段],723)))</f>
        <v/>
      </c>
      <c r="CC922" t="str">
        <f>IF(723&gt;ROWS(DGArchive[游戏内日期]),"",IF(INDEX(DGArchive[游戏内日期],723)="","",INDEX(DGArchive[游戏内日期],723)))</f>
        <v/>
      </c>
      <c r="CD922" t="str">
        <f>IF(723&gt;ROWS(DGArchive[目标]),"",IF(INDEX(DGArchive[目标],723)="","",INDEX(DGArchive[目标],723)))</f>
        <v/>
      </c>
      <c r="CE922" t="str">
        <f>IF(723&gt;ROWS(DGArchive[变更前]),"",IF(INDEX(DGArchive[变更前],723)="","",INDEX(DGArchive[变更前],723)))</f>
        <v/>
      </c>
      <c r="CF922" t="str">
        <f>IF(723&gt;ROWS(DGArchive[增减]),"",IF(INDEX(DGArchive[增减],723)="","",INDEX(DGArchive[增减],723)))</f>
        <v/>
      </c>
      <c r="CG922" t="str">
        <f>IF(723&gt;ROWS(DGArchive[变更后]),"",IF(INDEX(DGArchive[变更后],723)="","",INDEX(DGArchive[变更后],723)))</f>
        <v/>
      </c>
      <c r="CH922" t="str">
        <f>IF(723&gt;ROWS(DGArchive[事件／活动]),"",IF(INDEX(DGArchive[事件／活动],723)="","",INDEX(DGArchive[事件／活动],723)))</f>
        <v/>
      </c>
      <c r="CI922" t="str">
        <f>IF(723&gt;ROWS(DGArchive[记录编号]),"",IF(INDEX(DGArchive[记录编号],723)="","",INDEX(DGArchive[记录编号],723)))</f>
        <v/>
      </c>
      <c r="CL922">
        <f t="shared" si="344"/>
        <v>0</v>
      </c>
      <c r="CM922">
        <f>IF(AND(A922=$AO$5,B922=$AQ$3,H922=1),COUNTIFS($A$200:A922,$AO$5,$B$200:B922,$AQ$3,$H$200:H922,1),0)</f>
        <v>0</v>
      </c>
      <c r="CN922">
        <f>IF(CA922="",723,1001)</f>
        <v>723</v>
      </c>
      <c r="GA922">
        <f t="shared" si="364"/>
        <v>0</v>
      </c>
      <c r="GB922">
        <f t="shared" si="365"/>
        <v>0</v>
      </c>
      <c r="GC922">
        <f>IF(AND(C922="事件记录",H922=1),COUNTIFS($C$200:C922,"事件记录",$H$200:H922,1),0)</f>
        <v>0</v>
      </c>
      <c r="GD922">
        <f t="shared" si="345"/>
        <v>0</v>
      </c>
      <c r="GH922">
        <f>IF(AND(H922=1,A922=$GA$10,B922=$GA$11),COUNTIFS($A$200:A922,$GA$10,$B$200:B922,$GA$11,$H$200:H922,1),0)</f>
        <v>0</v>
      </c>
    </row>
    <row r="923" spans="1:190">
      <c r="A923" t="str">
        <f t="shared" si="336"/>
        <v/>
      </c>
      <c r="B923" t="str">
        <f t="shared" si="337"/>
        <v/>
      </c>
      <c r="C923" t="str">
        <f t="shared" si="338"/>
        <v/>
      </c>
      <c r="D923" t="str">
        <f t="shared" si="339"/>
        <v/>
      </c>
      <c r="E923">
        <f t="shared" si="340"/>
        <v>0</v>
      </c>
      <c r="F923" t="str">
        <f t="shared" si="341"/>
        <v/>
      </c>
      <c r="G923">
        <f t="shared" si="342"/>
        <v>0</v>
      </c>
      <c r="H923">
        <f>IF(AND(G923=1,COUNTIFS($I$200:I923,I923,$G$200:G923,1)=1),1,0)</f>
        <v>0</v>
      </c>
      <c r="I923" t="str">
        <f t="shared" si="343"/>
        <v/>
      </c>
      <c r="BF923">
        <f t="shared" si="346"/>
        <v>0</v>
      </c>
      <c r="BG923">
        <f t="shared" si="347"/>
        <v>0</v>
      </c>
      <c r="BH923">
        <f t="shared" si="348"/>
        <v>0</v>
      </c>
      <c r="BI923">
        <f t="shared" si="349"/>
        <v>0</v>
      </c>
      <c r="BJ923">
        <f t="shared" si="350"/>
        <v>0</v>
      </c>
      <c r="BK923">
        <f t="shared" si="351"/>
        <v>0</v>
      </c>
      <c r="BL923">
        <f t="shared" si="352"/>
        <v>0</v>
      </c>
      <c r="BM923">
        <f t="shared" si="353"/>
        <v>0</v>
      </c>
      <c r="BN923">
        <f t="shared" si="354"/>
        <v>0</v>
      </c>
      <c r="BO923">
        <f t="shared" si="355"/>
        <v>0</v>
      </c>
      <c r="BP923">
        <f t="shared" si="356"/>
        <v>0</v>
      </c>
      <c r="BQ923">
        <f t="shared" si="357"/>
        <v>0</v>
      </c>
      <c r="BR923">
        <f t="shared" si="358"/>
        <v>0</v>
      </c>
      <c r="BS923">
        <f t="shared" si="359"/>
        <v>0</v>
      </c>
      <c r="BT923">
        <f t="shared" si="360"/>
        <v>0</v>
      </c>
      <c r="BU923">
        <f t="shared" si="361"/>
        <v>0</v>
      </c>
      <c r="BV923">
        <f t="shared" si="362"/>
        <v>0</v>
      </c>
      <c r="BW923">
        <f t="shared" si="363"/>
        <v>0</v>
      </c>
      <c r="CA923" t="str">
        <f>IF(724&gt;ROWS(DGArchive[模组]),"",IF(INDEX(DGArchive[模组],724)="","",INDEX(DGArchive[模组],724)))</f>
        <v/>
      </c>
      <c r="CB923" t="str">
        <f>IF(724&gt;ROWS(DGArchive[阶段]),"",IF(INDEX(DGArchive[阶段],724)="","",INDEX(DGArchive[阶段],724)))</f>
        <v/>
      </c>
      <c r="CC923" t="str">
        <f>IF(724&gt;ROWS(DGArchive[游戏内日期]),"",IF(INDEX(DGArchive[游戏内日期],724)="","",INDEX(DGArchive[游戏内日期],724)))</f>
        <v/>
      </c>
      <c r="CD923" t="str">
        <f>IF(724&gt;ROWS(DGArchive[目标]),"",IF(INDEX(DGArchive[目标],724)="","",INDEX(DGArchive[目标],724)))</f>
        <v/>
      </c>
      <c r="CE923" t="str">
        <f>IF(724&gt;ROWS(DGArchive[变更前]),"",IF(INDEX(DGArchive[变更前],724)="","",INDEX(DGArchive[变更前],724)))</f>
        <v/>
      </c>
      <c r="CF923" t="str">
        <f>IF(724&gt;ROWS(DGArchive[增减]),"",IF(INDEX(DGArchive[增减],724)="","",INDEX(DGArchive[增减],724)))</f>
        <v/>
      </c>
      <c r="CG923" t="str">
        <f>IF(724&gt;ROWS(DGArchive[变更后]),"",IF(INDEX(DGArchive[变更后],724)="","",INDEX(DGArchive[变更后],724)))</f>
        <v/>
      </c>
      <c r="CH923" t="str">
        <f>IF(724&gt;ROWS(DGArchive[事件／活动]),"",IF(INDEX(DGArchive[事件／活动],724)="","",INDEX(DGArchive[事件／活动],724)))</f>
        <v/>
      </c>
      <c r="CI923" t="str">
        <f>IF(724&gt;ROWS(DGArchive[记录编号]),"",IF(INDEX(DGArchive[记录编号],724)="","",INDEX(DGArchive[记录编号],724)))</f>
        <v/>
      </c>
      <c r="CL923">
        <f t="shared" si="344"/>
        <v>0</v>
      </c>
      <c r="CM923">
        <f>IF(AND(A923=$AO$5,B923=$AQ$3,H923=1),COUNTIFS($A$200:A923,$AO$5,$B$200:B923,$AQ$3,$H$200:H923,1),0)</f>
        <v>0</v>
      </c>
      <c r="CN923">
        <f>IF(CA923="",724,1001)</f>
        <v>724</v>
      </c>
      <c r="GA923">
        <f t="shared" si="364"/>
        <v>0</v>
      </c>
      <c r="GB923">
        <f t="shared" si="365"/>
        <v>0</v>
      </c>
      <c r="GC923">
        <f>IF(AND(C923="事件记录",H923=1),COUNTIFS($C$200:C923,"事件记录",$H$200:H923,1),0)</f>
        <v>0</v>
      </c>
      <c r="GD923">
        <f t="shared" si="345"/>
        <v>0</v>
      </c>
      <c r="GH923">
        <f>IF(AND(H923=1,A923=$GA$10,B923=$GA$11),COUNTIFS($A$200:A923,$GA$10,$B$200:B923,$GA$11,$H$200:H923,1),0)</f>
        <v>0</v>
      </c>
    </row>
    <row r="924" spans="1:190">
      <c r="A924" t="str">
        <f t="shared" si="336"/>
        <v/>
      </c>
      <c r="B924" t="str">
        <f t="shared" si="337"/>
        <v/>
      </c>
      <c r="C924" t="str">
        <f t="shared" si="338"/>
        <v/>
      </c>
      <c r="D924" t="str">
        <f t="shared" si="339"/>
        <v/>
      </c>
      <c r="E924">
        <f t="shared" si="340"/>
        <v>0</v>
      </c>
      <c r="F924" t="str">
        <f t="shared" si="341"/>
        <v/>
      </c>
      <c r="G924">
        <f t="shared" si="342"/>
        <v>0</v>
      </c>
      <c r="H924">
        <f>IF(AND(G924=1,COUNTIFS($I$200:I924,I924,$G$200:G924,1)=1),1,0)</f>
        <v>0</v>
      </c>
      <c r="I924" t="str">
        <f t="shared" si="343"/>
        <v/>
      </c>
      <c r="BF924">
        <f t="shared" si="346"/>
        <v>0</v>
      </c>
      <c r="BG924">
        <f t="shared" si="347"/>
        <v>0</v>
      </c>
      <c r="BH924">
        <f t="shared" si="348"/>
        <v>0</v>
      </c>
      <c r="BI924">
        <f t="shared" si="349"/>
        <v>0</v>
      </c>
      <c r="BJ924">
        <f t="shared" si="350"/>
        <v>0</v>
      </c>
      <c r="BK924">
        <f t="shared" si="351"/>
        <v>0</v>
      </c>
      <c r="BL924">
        <f t="shared" si="352"/>
        <v>0</v>
      </c>
      <c r="BM924">
        <f t="shared" si="353"/>
        <v>0</v>
      </c>
      <c r="BN924">
        <f t="shared" si="354"/>
        <v>0</v>
      </c>
      <c r="BO924">
        <f t="shared" si="355"/>
        <v>0</v>
      </c>
      <c r="BP924">
        <f t="shared" si="356"/>
        <v>0</v>
      </c>
      <c r="BQ924">
        <f t="shared" si="357"/>
        <v>0</v>
      </c>
      <c r="BR924">
        <f t="shared" si="358"/>
        <v>0</v>
      </c>
      <c r="BS924">
        <f t="shared" si="359"/>
        <v>0</v>
      </c>
      <c r="BT924">
        <f t="shared" si="360"/>
        <v>0</v>
      </c>
      <c r="BU924">
        <f t="shared" si="361"/>
        <v>0</v>
      </c>
      <c r="BV924">
        <f t="shared" si="362"/>
        <v>0</v>
      </c>
      <c r="BW924">
        <f t="shared" si="363"/>
        <v>0</v>
      </c>
      <c r="CA924" t="str">
        <f>IF(725&gt;ROWS(DGArchive[模组]),"",IF(INDEX(DGArchive[模组],725)="","",INDEX(DGArchive[模组],725)))</f>
        <v/>
      </c>
      <c r="CB924" t="str">
        <f>IF(725&gt;ROWS(DGArchive[阶段]),"",IF(INDEX(DGArchive[阶段],725)="","",INDEX(DGArchive[阶段],725)))</f>
        <v/>
      </c>
      <c r="CC924" t="str">
        <f>IF(725&gt;ROWS(DGArchive[游戏内日期]),"",IF(INDEX(DGArchive[游戏内日期],725)="","",INDEX(DGArchive[游戏内日期],725)))</f>
        <v/>
      </c>
      <c r="CD924" t="str">
        <f>IF(725&gt;ROWS(DGArchive[目标]),"",IF(INDEX(DGArchive[目标],725)="","",INDEX(DGArchive[目标],725)))</f>
        <v/>
      </c>
      <c r="CE924" t="str">
        <f>IF(725&gt;ROWS(DGArchive[变更前]),"",IF(INDEX(DGArchive[变更前],725)="","",INDEX(DGArchive[变更前],725)))</f>
        <v/>
      </c>
      <c r="CF924" t="str">
        <f>IF(725&gt;ROWS(DGArchive[增减]),"",IF(INDEX(DGArchive[增减],725)="","",INDEX(DGArchive[增减],725)))</f>
        <v/>
      </c>
      <c r="CG924" t="str">
        <f>IF(725&gt;ROWS(DGArchive[变更后]),"",IF(INDEX(DGArchive[变更后],725)="","",INDEX(DGArchive[变更后],725)))</f>
        <v/>
      </c>
      <c r="CH924" t="str">
        <f>IF(725&gt;ROWS(DGArchive[事件／活动]),"",IF(INDEX(DGArchive[事件／活动],725)="","",INDEX(DGArchive[事件／活动],725)))</f>
        <v/>
      </c>
      <c r="CI924" t="str">
        <f>IF(725&gt;ROWS(DGArchive[记录编号]),"",IF(INDEX(DGArchive[记录编号],725)="","",INDEX(DGArchive[记录编号],725)))</f>
        <v/>
      </c>
      <c r="CL924">
        <f t="shared" si="344"/>
        <v>0</v>
      </c>
      <c r="CM924">
        <f>IF(AND(A924=$AO$5,B924=$AQ$3,H924=1),COUNTIFS($A$200:A924,$AO$5,$B$200:B924,$AQ$3,$H$200:H924,1),0)</f>
        <v>0</v>
      </c>
      <c r="CN924">
        <f>IF(CA924="",725,1001)</f>
        <v>725</v>
      </c>
      <c r="GA924">
        <f t="shared" si="364"/>
        <v>0</v>
      </c>
      <c r="GB924">
        <f t="shared" si="365"/>
        <v>0</v>
      </c>
      <c r="GC924">
        <f>IF(AND(C924="事件记录",H924=1),COUNTIFS($C$200:C924,"事件记录",$H$200:H924,1),0)</f>
        <v>0</v>
      </c>
      <c r="GD924">
        <f t="shared" si="345"/>
        <v>0</v>
      </c>
      <c r="GH924">
        <f>IF(AND(H924=1,A924=$GA$10,B924=$GA$11),COUNTIFS($A$200:A924,$GA$10,$B$200:B924,$GA$11,$H$200:H924,1),0)</f>
        <v>0</v>
      </c>
    </row>
    <row r="925" spans="1:190">
      <c r="A925" t="str">
        <f t="shared" si="336"/>
        <v/>
      </c>
      <c r="B925" t="str">
        <f t="shared" si="337"/>
        <v/>
      </c>
      <c r="C925" t="str">
        <f t="shared" si="338"/>
        <v/>
      </c>
      <c r="D925" t="str">
        <f t="shared" si="339"/>
        <v/>
      </c>
      <c r="E925">
        <f t="shared" si="340"/>
        <v>0</v>
      </c>
      <c r="F925" t="str">
        <f t="shared" si="341"/>
        <v/>
      </c>
      <c r="G925">
        <f t="shared" si="342"/>
        <v>0</v>
      </c>
      <c r="H925">
        <f>IF(AND(G925=1,COUNTIFS($I$200:I925,I925,$G$200:G925,1)=1),1,0)</f>
        <v>0</v>
      </c>
      <c r="I925" t="str">
        <f t="shared" si="343"/>
        <v/>
      </c>
      <c r="BF925">
        <f t="shared" si="346"/>
        <v>0</v>
      </c>
      <c r="BG925">
        <f t="shared" si="347"/>
        <v>0</v>
      </c>
      <c r="BH925">
        <f t="shared" si="348"/>
        <v>0</v>
      </c>
      <c r="BI925">
        <f t="shared" si="349"/>
        <v>0</v>
      </c>
      <c r="BJ925">
        <f t="shared" si="350"/>
        <v>0</v>
      </c>
      <c r="BK925">
        <f t="shared" si="351"/>
        <v>0</v>
      </c>
      <c r="BL925">
        <f t="shared" si="352"/>
        <v>0</v>
      </c>
      <c r="BM925">
        <f t="shared" si="353"/>
        <v>0</v>
      </c>
      <c r="BN925">
        <f t="shared" si="354"/>
        <v>0</v>
      </c>
      <c r="BO925">
        <f t="shared" si="355"/>
        <v>0</v>
      </c>
      <c r="BP925">
        <f t="shared" si="356"/>
        <v>0</v>
      </c>
      <c r="BQ925">
        <f t="shared" si="357"/>
        <v>0</v>
      </c>
      <c r="BR925">
        <f t="shared" si="358"/>
        <v>0</v>
      </c>
      <c r="BS925">
        <f t="shared" si="359"/>
        <v>0</v>
      </c>
      <c r="BT925">
        <f t="shared" si="360"/>
        <v>0</v>
      </c>
      <c r="BU925">
        <f t="shared" si="361"/>
        <v>0</v>
      </c>
      <c r="BV925">
        <f t="shared" si="362"/>
        <v>0</v>
      </c>
      <c r="BW925">
        <f t="shared" si="363"/>
        <v>0</v>
      </c>
      <c r="CA925" t="str">
        <f>IF(726&gt;ROWS(DGArchive[模组]),"",IF(INDEX(DGArchive[模组],726)="","",INDEX(DGArchive[模组],726)))</f>
        <v/>
      </c>
      <c r="CB925" t="str">
        <f>IF(726&gt;ROWS(DGArchive[阶段]),"",IF(INDEX(DGArchive[阶段],726)="","",INDEX(DGArchive[阶段],726)))</f>
        <v/>
      </c>
      <c r="CC925" t="str">
        <f>IF(726&gt;ROWS(DGArchive[游戏内日期]),"",IF(INDEX(DGArchive[游戏内日期],726)="","",INDEX(DGArchive[游戏内日期],726)))</f>
        <v/>
      </c>
      <c r="CD925" t="str">
        <f>IF(726&gt;ROWS(DGArchive[目标]),"",IF(INDEX(DGArchive[目标],726)="","",INDEX(DGArchive[目标],726)))</f>
        <v/>
      </c>
      <c r="CE925" t="str">
        <f>IF(726&gt;ROWS(DGArchive[变更前]),"",IF(INDEX(DGArchive[变更前],726)="","",INDEX(DGArchive[变更前],726)))</f>
        <v/>
      </c>
      <c r="CF925" t="str">
        <f>IF(726&gt;ROWS(DGArchive[增减]),"",IF(INDEX(DGArchive[增减],726)="","",INDEX(DGArchive[增减],726)))</f>
        <v/>
      </c>
      <c r="CG925" t="str">
        <f>IF(726&gt;ROWS(DGArchive[变更后]),"",IF(INDEX(DGArchive[变更后],726)="","",INDEX(DGArchive[变更后],726)))</f>
        <v/>
      </c>
      <c r="CH925" t="str">
        <f>IF(726&gt;ROWS(DGArchive[事件／活动]),"",IF(INDEX(DGArchive[事件／活动],726)="","",INDEX(DGArchive[事件／活动],726)))</f>
        <v/>
      </c>
      <c r="CI925" t="str">
        <f>IF(726&gt;ROWS(DGArchive[记录编号]),"",IF(INDEX(DGArchive[记录编号],726)="","",INDEX(DGArchive[记录编号],726)))</f>
        <v/>
      </c>
      <c r="CL925">
        <f t="shared" si="344"/>
        <v>0</v>
      </c>
      <c r="CM925">
        <f>IF(AND(A925=$AO$5,B925=$AQ$3,H925=1),COUNTIFS($A$200:A925,$AO$5,$B$200:B925,$AQ$3,$H$200:H925,1),0)</f>
        <v>0</v>
      </c>
      <c r="CN925">
        <f>IF(CA925="",726,1001)</f>
        <v>726</v>
      </c>
      <c r="GA925">
        <f t="shared" si="364"/>
        <v>0</v>
      </c>
      <c r="GB925">
        <f t="shared" si="365"/>
        <v>0</v>
      </c>
      <c r="GC925">
        <f>IF(AND(C925="事件记录",H925=1),COUNTIFS($C$200:C925,"事件记录",$H$200:H925,1),0)</f>
        <v>0</v>
      </c>
      <c r="GD925">
        <f t="shared" si="345"/>
        <v>0</v>
      </c>
      <c r="GH925">
        <f>IF(AND(H925=1,A925=$GA$10,B925=$GA$11),COUNTIFS($A$200:A925,$GA$10,$B$200:B925,$GA$11,$H$200:H925,1),0)</f>
        <v>0</v>
      </c>
    </row>
    <row r="926" spans="1:190">
      <c r="A926" t="str">
        <f t="shared" si="336"/>
        <v/>
      </c>
      <c r="B926" t="str">
        <f t="shared" si="337"/>
        <v/>
      </c>
      <c r="C926" t="str">
        <f t="shared" si="338"/>
        <v/>
      </c>
      <c r="D926" t="str">
        <f t="shared" si="339"/>
        <v/>
      </c>
      <c r="E926">
        <f t="shared" si="340"/>
        <v>0</v>
      </c>
      <c r="F926" t="str">
        <f t="shared" si="341"/>
        <v/>
      </c>
      <c r="G926">
        <f t="shared" si="342"/>
        <v>0</v>
      </c>
      <c r="H926">
        <f>IF(AND(G926=1,COUNTIFS($I$200:I926,I926,$G$200:G926,1)=1),1,0)</f>
        <v>0</v>
      </c>
      <c r="I926" t="str">
        <f t="shared" si="343"/>
        <v/>
      </c>
      <c r="BF926">
        <f t="shared" si="346"/>
        <v>0</v>
      </c>
      <c r="BG926">
        <f t="shared" si="347"/>
        <v>0</v>
      </c>
      <c r="BH926">
        <f t="shared" si="348"/>
        <v>0</v>
      </c>
      <c r="BI926">
        <f t="shared" si="349"/>
        <v>0</v>
      </c>
      <c r="BJ926">
        <f t="shared" si="350"/>
        <v>0</v>
      </c>
      <c r="BK926">
        <f t="shared" si="351"/>
        <v>0</v>
      </c>
      <c r="BL926">
        <f t="shared" si="352"/>
        <v>0</v>
      </c>
      <c r="BM926">
        <f t="shared" si="353"/>
        <v>0</v>
      </c>
      <c r="BN926">
        <f t="shared" si="354"/>
        <v>0</v>
      </c>
      <c r="BO926">
        <f t="shared" si="355"/>
        <v>0</v>
      </c>
      <c r="BP926">
        <f t="shared" si="356"/>
        <v>0</v>
      </c>
      <c r="BQ926">
        <f t="shared" si="357"/>
        <v>0</v>
      </c>
      <c r="BR926">
        <f t="shared" si="358"/>
        <v>0</v>
      </c>
      <c r="BS926">
        <f t="shared" si="359"/>
        <v>0</v>
      </c>
      <c r="BT926">
        <f t="shared" si="360"/>
        <v>0</v>
      </c>
      <c r="BU926">
        <f t="shared" si="361"/>
        <v>0</v>
      </c>
      <c r="BV926">
        <f t="shared" si="362"/>
        <v>0</v>
      </c>
      <c r="BW926">
        <f t="shared" si="363"/>
        <v>0</v>
      </c>
      <c r="CA926" t="str">
        <f>IF(727&gt;ROWS(DGArchive[模组]),"",IF(INDEX(DGArchive[模组],727)="","",INDEX(DGArchive[模组],727)))</f>
        <v/>
      </c>
      <c r="CB926" t="str">
        <f>IF(727&gt;ROWS(DGArchive[阶段]),"",IF(INDEX(DGArchive[阶段],727)="","",INDEX(DGArchive[阶段],727)))</f>
        <v/>
      </c>
      <c r="CC926" t="str">
        <f>IF(727&gt;ROWS(DGArchive[游戏内日期]),"",IF(INDEX(DGArchive[游戏内日期],727)="","",INDEX(DGArchive[游戏内日期],727)))</f>
        <v/>
      </c>
      <c r="CD926" t="str">
        <f>IF(727&gt;ROWS(DGArchive[目标]),"",IF(INDEX(DGArchive[目标],727)="","",INDEX(DGArchive[目标],727)))</f>
        <v/>
      </c>
      <c r="CE926" t="str">
        <f>IF(727&gt;ROWS(DGArchive[变更前]),"",IF(INDEX(DGArchive[变更前],727)="","",INDEX(DGArchive[变更前],727)))</f>
        <v/>
      </c>
      <c r="CF926" t="str">
        <f>IF(727&gt;ROWS(DGArchive[增减]),"",IF(INDEX(DGArchive[增减],727)="","",INDEX(DGArchive[增减],727)))</f>
        <v/>
      </c>
      <c r="CG926" t="str">
        <f>IF(727&gt;ROWS(DGArchive[变更后]),"",IF(INDEX(DGArchive[变更后],727)="","",INDEX(DGArchive[变更后],727)))</f>
        <v/>
      </c>
      <c r="CH926" t="str">
        <f>IF(727&gt;ROWS(DGArchive[事件／活动]),"",IF(INDEX(DGArchive[事件／活动],727)="","",INDEX(DGArchive[事件／活动],727)))</f>
        <v/>
      </c>
      <c r="CI926" t="str">
        <f>IF(727&gt;ROWS(DGArchive[记录编号]),"",IF(INDEX(DGArchive[记录编号],727)="","",INDEX(DGArchive[记录编号],727)))</f>
        <v/>
      </c>
      <c r="CL926">
        <f t="shared" si="344"/>
        <v>0</v>
      </c>
      <c r="CM926">
        <f>IF(AND(A926=$AO$5,B926=$AQ$3,H926=1),COUNTIFS($A$200:A926,$AO$5,$B$200:B926,$AQ$3,$H$200:H926,1),0)</f>
        <v>0</v>
      </c>
      <c r="CN926">
        <f>IF(CA926="",727,1001)</f>
        <v>727</v>
      </c>
      <c r="GA926">
        <f t="shared" si="364"/>
        <v>0</v>
      </c>
      <c r="GB926">
        <f t="shared" si="365"/>
        <v>0</v>
      </c>
      <c r="GC926">
        <f>IF(AND(C926="事件记录",H926=1),COUNTIFS($C$200:C926,"事件记录",$H$200:H926,1),0)</f>
        <v>0</v>
      </c>
      <c r="GD926">
        <f t="shared" si="345"/>
        <v>0</v>
      </c>
      <c r="GH926">
        <f>IF(AND(H926=1,A926=$GA$10,B926=$GA$11),COUNTIFS($A$200:A926,$GA$10,$B$200:B926,$GA$11,$H$200:H926,1),0)</f>
        <v>0</v>
      </c>
    </row>
    <row r="927" spans="1:190">
      <c r="A927" t="str">
        <f t="shared" si="336"/>
        <v/>
      </c>
      <c r="B927" t="str">
        <f t="shared" si="337"/>
        <v/>
      </c>
      <c r="C927" t="str">
        <f t="shared" si="338"/>
        <v/>
      </c>
      <c r="D927" t="str">
        <f t="shared" si="339"/>
        <v/>
      </c>
      <c r="E927">
        <f t="shared" si="340"/>
        <v>0</v>
      </c>
      <c r="F927" t="str">
        <f t="shared" si="341"/>
        <v/>
      </c>
      <c r="G927">
        <f t="shared" si="342"/>
        <v>0</v>
      </c>
      <c r="H927">
        <f>IF(AND(G927=1,COUNTIFS($I$200:I927,I927,$G$200:G927,1)=1),1,0)</f>
        <v>0</v>
      </c>
      <c r="I927" t="str">
        <f t="shared" si="343"/>
        <v/>
      </c>
      <c r="BF927">
        <f t="shared" si="346"/>
        <v>0</v>
      </c>
      <c r="BG927">
        <f t="shared" si="347"/>
        <v>0</v>
      </c>
      <c r="BH927">
        <f t="shared" si="348"/>
        <v>0</v>
      </c>
      <c r="BI927">
        <f t="shared" si="349"/>
        <v>0</v>
      </c>
      <c r="BJ927">
        <f t="shared" si="350"/>
        <v>0</v>
      </c>
      <c r="BK927">
        <f t="shared" si="351"/>
        <v>0</v>
      </c>
      <c r="BL927">
        <f t="shared" si="352"/>
        <v>0</v>
      </c>
      <c r="BM927">
        <f t="shared" si="353"/>
        <v>0</v>
      </c>
      <c r="BN927">
        <f t="shared" si="354"/>
        <v>0</v>
      </c>
      <c r="BO927">
        <f t="shared" si="355"/>
        <v>0</v>
      </c>
      <c r="BP927">
        <f t="shared" si="356"/>
        <v>0</v>
      </c>
      <c r="BQ927">
        <f t="shared" si="357"/>
        <v>0</v>
      </c>
      <c r="BR927">
        <f t="shared" si="358"/>
        <v>0</v>
      </c>
      <c r="BS927">
        <f t="shared" si="359"/>
        <v>0</v>
      </c>
      <c r="BT927">
        <f t="shared" si="360"/>
        <v>0</v>
      </c>
      <c r="BU927">
        <f t="shared" si="361"/>
        <v>0</v>
      </c>
      <c r="BV927">
        <f t="shared" si="362"/>
        <v>0</v>
      </c>
      <c r="BW927">
        <f t="shared" si="363"/>
        <v>0</v>
      </c>
      <c r="CA927" t="str">
        <f>IF(728&gt;ROWS(DGArchive[模组]),"",IF(INDEX(DGArchive[模组],728)="","",INDEX(DGArchive[模组],728)))</f>
        <v/>
      </c>
      <c r="CB927" t="str">
        <f>IF(728&gt;ROWS(DGArchive[阶段]),"",IF(INDEX(DGArchive[阶段],728)="","",INDEX(DGArchive[阶段],728)))</f>
        <v/>
      </c>
      <c r="CC927" t="str">
        <f>IF(728&gt;ROWS(DGArchive[游戏内日期]),"",IF(INDEX(DGArchive[游戏内日期],728)="","",INDEX(DGArchive[游戏内日期],728)))</f>
        <v/>
      </c>
      <c r="CD927" t="str">
        <f>IF(728&gt;ROWS(DGArchive[目标]),"",IF(INDEX(DGArchive[目标],728)="","",INDEX(DGArchive[目标],728)))</f>
        <v/>
      </c>
      <c r="CE927" t="str">
        <f>IF(728&gt;ROWS(DGArchive[变更前]),"",IF(INDEX(DGArchive[变更前],728)="","",INDEX(DGArchive[变更前],728)))</f>
        <v/>
      </c>
      <c r="CF927" t="str">
        <f>IF(728&gt;ROWS(DGArchive[增减]),"",IF(INDEX(DGArchive[增减],728)="","",INDEX(DGArchive[增减],728)))</f>
        <v/>
      </c>
      <c r="CG927" t="str">
        <f>IF(728&gt;ROWS(DGArchive[变更后]),"",IF(INDEX(DGArchive[变更后],728)="","",INDEX(DGArchive[变更后],728)))</f>
        <v/>
      </c>
      <c r="CH927" t="str">
        <f>IF(728&gt;ROWS(DGArchive[事件／活动]),"",IF(INDEX(DGArchive[事件／活动],728)="","",INDEX(DGArchive[事件／活动],728)))</f>
        <v/>
      </c>
      <c r="CI927" t="str">
        <f>IF(728&gt;ROWS(DGArchive[记录编号]),"",IF(INDEX(DGArchive[记录编号],728)="","",INDEX(DGArchive[记录编号],728)))</f>
        <v/>
      </c>
      <c r="CL927">
        <f t="shared" si="344"/>
        <v>0</v>
      </c>
      <c r="CM927">
        <f>IF(AND(A927=$AO$5,B927=$AQ$3,H927=1),COUNTIFS($A$200:A927,$AO$5,$B$200:B927,$AQ$3,$H$200:H927,1),0)</f>
        <v>0</v>
      </c>
      <c r="CN927">
        <f>IF(CA927="",728,1001)</f>
        <v>728</v>
      </c>
      <c r="GA927">
        <f t="shared" si="364"/>
        <v>0</v>
      </c>
      <c r="GB927">
        <f t="shared" si="365"/>
        <v>0</v>
      </c>
      <c r="GC927">
        <f>IF(AND(C927="事件记录",H927=1),COUNTIFS($C$200:C927,"事件记录",$H$200:H927,1),0)</f>
        <v>0</v>
      </c>
      <c r="GD927">
        <f t="shared" si="345"/>
        <v>0</v>
      </c>
      <c r="GH927">
        <f>IF(AND(H927=1,A927=$GA$10,B927=$GA$11),COUNTIFS($A$200:A927,$GA$10,$B$200:B927,$GA$11,$H$200:H927,1),0)</f>
        <v>0</v>
      </c>
    </row>
    <row r="928" spans="1:190">
      <c r="A928" t="str">
        <f t="shared" si="336"/>
        <v/>
      </c>
      <c r="B928" t="str">
        <f t="shared" si="337"/>
        <v/>
      </c>
      <c r="C928" t="str">
        <f t="shared" si="338"/>
        <v/>
      </c>
      <c r="D928" t="str">
        <f t="shared" si="339"/>
        <v/>
      </c>
      <c r="E928">
        <f t="shared" si="340"/>
        <v>0</v>
      </c>
      <c r="F928" t="str">
        <f t="shared" si="341"/>
        <v/>
      </c>
      <c r="G928">
        <f t="shared" si="342"/>
        <v>0</v>
      </c>
      <c r="H928">
        <f>IF(AND(G928=1,COUNTIFS($I$200:I928,I928,$G$200:G928,1)=1),1,0)</f>
        <v>0</v>
      </c>
      <c r="I928" t="str">
        <f t="shared" si="343"/>
        <v/>
      </c>
      <c r="BF928">
        <f t="shared" si="346"/>
        <v>0</v>
      </c>
      <c r="BG928">
        <f t="shared" si="347"/>
        <v>0</v>
      </c>
      <c r="BH928">
        <f t="shared" si="348"/>
        <v>0</v>
      </c>
      <c r="BI928">
        <f t="shared" si="349"/>
        <v>0</v>
      </c>
      <c r="BJ928">
        <f t="shared" si="350"/>
        <v>0</v>
      </c>
      <c r="BK928">
        <f t="shared" si="351"/>
        <v>0</v>
      </c>
      <c r="BL928">
        <f t="shared" si="352"/>
        <v>0</v>
      </c>
      <c r="BM928">
        <f t="shared" si="353"/>
        <v>0</v>
      </c>
      <c r="BN928">
        <f t="shared" si="354"/>
        <v>0</v>
      </c>
      <c r="BO928">
        <f t="shared" si="355"/>
        <v>0</v>
      </c>
      <c r="BP928">
        <f t="shared" si="356"/>
        <v>0</v>
      </c>
      <c r="BQ928">
        <f t="shared" si="357"/>
        <v>0</v>
      </c>
      <c r="BR928">
        <f t="shared" si="358"/>
        <v>0</v>
      </c>
      <c r="BS928">
        <f t="shared" si="359"/>
        <v>0</v>
      </c>
      <c r="BT928">
        <f t="shared" si="360"/>
        <v>0</v>
      </c>
      <c r="BU928">
        <f t="shared" si="361"/>
        <v>0</v>
      </c>
      <c r="BV928">
        <f t="shared" si="362"/>
        <v>0</v>
      </c>
      <c r="BW928">
        <f t="shared" si="363"/>
        <v>0</v>
      </c>
      <c r="CA928" t="str">
        <f>IF(729&gt;ROWS(DGArchive[模组]),"",IF(INDEX(DGArchive[模组],729)="","",INDEX(DGArchive[模组],729)))</f>
        <v/>
      </c>
      <c r="CB928" t="str">
        <f>IF(729&gt;ROWS(DGArchive[阶段]),"",IF(INDEX(DGArchive[阶段],729)="","",INDEX(DGArchive[阶段],729)))</f>
        <v/>
      </c>
      <c r="CC928" t="str">
        <f>IF(729&gt;ROWS(DGArchive[游戏内日期]),"",IF(INDEX(DGArchive[游戏内日期],729)="","",INDEX(DGArchive[游戏内日期],729)))</f>
        <v/>
      </c>
      <c r="CD928" t="str">
        <f>IF(729&gt;ROWS(DGArchive[目标]),"",IF(INDEX(DGArchive[目标],729)="","",INDEX(DGArchive[目标],729)))</f>
        <v/>
      </c>
      <c r="CE928" t="str">
        <f>IF(729&gt;ROWS(DGArchive[变更前]),"",IF(INDEX(DGArchive[变更前],729)="","",INDEX(DGArchive[变更前],729)))</f>
        <v/>
      </c>
      <c r="CF928" t="str">
        <f>IF(729&gt;ROWS(DGArchive[增减]),"",IF(INDEX(DGArchive[增减],729)="","",INDEX(DGArchive[增减],729)))</f>
        <v/>
      </c>
      <c r="CG928" t="str">
        <f>IF(729&gt;ROWS(DGArchive[变更后]),"",IF(INDEX(DGArchive[变更后],729)="","",INDEX(DGArchive[变更后],729)))</f>
        <v/>
      </c>
      <c r="CH928" t="str">
        <f>IF(729&gt;ROWS(DGArchive[事件／活动]),"",IF(INDEX(DGArchive[事件／活动],729)="","",INDEX(DGArchive[事件／活动],729)))</f>
        <v/>
      </c>
      <c r="CI928" t="str">
        <f>IF(729&gt;ROWS(DGArchive[记录编号]),"",IF(INDEX(DGArchive[记录编号],729)="","",INDEX(DGArchive[记录编号],729)))</f>
        <v/>
      </c>
      <c r="CL928">
        <f t="shared" si="344"/>
        <v>0</v>
      </c>
      <c r="CM928">
        <f>IF(AND(A928=$AO$5,B928=$AQ$3,H928=1),COUNTIFS($A$200:A928,$AO$5,$B$200:B928,$AQ$3,$H$200:H928,1),0)</f>
        <v>0</v>
      </c>
      <c r="CN928">
        <f>IF(CA928="",729,1001)</f>
        <v>729</v>
      </c>
      <c r="GA928">
        <f t="shared" si="364"/>
        <v>0</v>
      </c>
      <c r="GB928">
        <f t="shared" si="365"/>
        <v>0</v>
      </c>
      <c r="GC928">
        <f>IF(AND(C928="事件记录",H928=1),COUNTIFS($C$200:C928,"事件记录",$H$200:H928,1),0)</f>
        <v>0</v>
      </c>
      <c r="GD928">
        <f t="shared" si="345"/>
        <v>0</v>
      </c>
      <c r="GH928">
        <f>IF(AND(H928=1,A928=$GA$10,B928=$GA$11),COUNTIFS($A$200:A928,$GA$10,$B$200:B928,$GA$11,$H$200:H928,1),0)</f>
        <v>0</v>
      </c>
    </row>
    <row r="929" spans="1:190">
      <c r="A929" t="str">
        <f t="shared" si="336"/>
        <v/>
      </c>
      <c r="B929" t="str">
        <f t="shared" si="337"/>
        <v/>
      </c>
      <c r="C929" t="str">
        <f t="shared" si="338"/>
        <v/>
      </c>
      <c r="D929" t="str">
        <f t="shared" si="339"/>
        <v/>
      </c>
      <c r="E929">
        <f t="shared" si="340"/>
        <v>0</v>
      </c>
      <c r="F929" t="str">
        <f t="shared" si="341"/>
        <v/>
      </c>
      <c r="G929">
        <f t="shared" si="342"/>
        <v>0</v>
      </c>
      <c r="H929">
        <f>IF(AND(G929=1,COUNTIFS($I$200:I929,I929,$G$200:G929,1)=1),1,0)</f>
        <v>0</v>
      </c>
      <c r="I929" t="str">
        <f t="shared" si="343"/>
        <v/>
      </c>
      <c r="BF929">
        <f t="shared" si="346"/>
        <v>0</v>
      </c>
      <c r="BG929">
        <f t="shared" si="347"/>
        <v>0</v>
      </c>
      <c r="BH929">
        <f t="shared" si="348"/>
        <v>0</v>
      </c>
      <c r="BI929">
        <f t="shared" si="349"/>
        <v>0</v>
      </c>
      <c r="BJ929">
        <f t="shared" si="350"/>
        <v>0</v>
      </c>
      <c r="BK929">
        <f t="shared" si="351"/>
        <v>0</v>
      </c>
      <c r="BL929">
        <f t="shared" si="352"/>
        <v>0</v>
      </c>
      <c r="BM929">
        <f t="shared" si="353"/>
        <v>0</v>
      </c>
      <c r="BN929">
        <f t="shared" si="354"/>
        <v>0</v>
      </c>
      <c r="BO929">
        <f t="shared" si="355"/>
        <v>0</v>
      </c>
      <c r="BP929">
        <f t="shared" si="356"/>
        <v>0</v>
      </c>
      <c r="BQ929">
        <f t="shared" si="357"/>
        <v>0</v>
      </c>
      <c r="BR929">
        <f t="shared" si="358"/>
        <v>0</v>
      </c>
      <c r="BS929">
        <f t="shared" si="359"/>
        <v>0</v>
      </c>
      <c r="BT929">
        <f t="shared" si="360"/>
        <v>0</v>
      </c>
      <c r="BU929">
        <f t="shared" si="361"/>
        <v>0</v>
      </c>
      <c r="BV929">
        <f t="shared" si="362"/>
        <v>0</v>
      </c>
      <c r="BW929">
        <f t="shared" si="363"/>
        <v>0</v>
      </c>
      <c r="CA929" t="str">
        <f>IF(730&gt;ROWS(DGArchive[模组]),"",IF(INDEX(DGArchive[模组],730)="","",INDEX(DGArchive[模组],730)))</f>
        <v/>
      </c>
      <c r="CB929" t="str">
        <f>IF(730&gt;ROWS(DGArchive[阶段]),"",IF(INDEX(DGArchive[阶段],730)="","",INDEX(DGArchive[阶段],730)))</f>
        <v/>
      </c>
      <c r="CC929" t="str">
        <f>IF(730&gt;ROWS(DGArchive[游戏内日期]),"",IF(INDEX(DGArchive[游戏内日期],730)="","",INDEX(DGArchive[游戏内日期],730)))</f>
        <v/>
      </c>
      <c r="CD929" t="str">
        <f>IF(730&gt;ROWS(DGArchive[目标]),"",IF(INDEX(DGArchive[目标],730)="","",INDEX(DGArchive[目标],730)))</f>
        <v/>
      </c>
      <c r="CE929" t="str">
        <f>IF(730&gt;ROWS(DGArchive[变更前]),"",IF(INDEX(DGArchive[变更前],730)="","",INDEX(DGArchive[变更前],730)))</f>
        <v/>
      </c>
      <c r="CF929" t="str">
        <f>IF(730&gt;ROWS(DGArchive[增减]),"",IF(INDEX(DGArchive[增减],730)="","",INDEX(DGArchive[增减],730)))</f>
        <v/>
      </c>
      <c r="CG929" t="str">
        <f>IF(730&gt;ROWS(DGArchive[变更后]),"",IF(INDEX(DGArchive[变更后],730)="","",INDEX(DGArchive[变更后],730)))</f>
        <v/>
      </c>
      <c r="CH929" t="str">
        <f>IF(730&gt;ROWS(DGArchive[事件／活动]),"",IF(INDEX(DGArchive[事件／活动],730)="","",INDEX(DGArchive[事件／活动],730)))</f>
        <v/>
      </c>
      <c r="CI929" t="str">
        <f>IF(730&gt;ROWS(DGArchive[记录编号]),"",IF(INDEX(DGArchive[记录编号],730)="","",INDEX(DGArchive[记录编号],730)))</f>
        <v/>
      </c>
      <c r="CL929">
        <f t="shared" si="344"/>
        <v>0</v>
      </c>
      <c r="CM929">
        <f>IF(AND(A929=$AO$5,B929=$AQ$3,H929=1),COUNTIFS($A$200:A929,$AO$5,$B$200:B929,$AQ$3,$H$200:H929,1),0)</f>
        <v>0</v>
      </c>
      <c r="CN929">
        <f>IF(CA929="",730,1001)</f>
        <v>730</v>
      </c>
      <c r="GA929">
        <f t="shared" si="364"/>
        <v>0</v>
      </c>
      <c r="GB929">
        <f t="shared" si="365"/>
        <v>0</v>
      </c>
      <c r="GC929">
        <f>IF(AND(C929="事件记录",H929=1),COUNTIFS($C$200:C929,"事件记录",$H$200:H929,1),0)</f>
        <v>0</v>
      </c>
      <c r="GD929">
        <f t="shared" si="345"/>
        <v>0</v>
      </c>
      <c r="GH929">
        <f>IF(AND(H929=1,A929=$GA$10,B929=$GA$11),COUNTIFS($A$200:A929,$GA$10,$B$200:B929,$GA$11,$H$200:H929,1),0)</f>
        <v>0</v>
      </c>
    </row>
    <row r="930" spans="1:190">
      <c r="A930" t="str">
        <f t="shared" si="336"/>
        <v/>
      </c>
      <c r="B930" t="str">
        <f t="shared" si="337"/>
        <v/>
      </c>
      <c r="C930" t="str">
        <f t="shared" si="338"/>
        <v/>
      </c>
      <c r="D930" t="str">
        <f t="shared" si="339"/>
        <v/>
      </c>
      <c r="E930">
        <f t="shared" si="340"/>
        <v>0</v>
      </c>
      <c r="F930" t="str">
        <f t="shared" si="341"/>
        <v/>
      </c>
      <c r="G930">
        <f t="shared" si="342"/>
        <v>0</v>
      </c>
      <c r="H930">
        <f>IF(AND(G930=1,COUNTIFS($I$200:I930,I930,$G$200:G930,1)=1),1,0)</f>
        <v>0</v>
      </c>
      <c r="I930" t="str">
        <f t="shared" si="343"/>
        <v/>
      </c>
      <c r="BF930">
        <f t="shared" si="346"/>
        <v>0</v>
      </c>
      <c r="BG930">
        <f t="shared" si="347"/>
        <v>0</v>
      </c>
      <c r="BH930">
        <f t="shared" si="348"/>
        <v>0</v>
      </c>
      <c r="BI930">
        <f t="shared" si="349"/>
        <v>0</v>
      </c>
      <c r="BJ930">
        <f t="shared" si="350"/>
        <v>0</v>
      </c>
      <c r="BK930">
        <f t="shared" si="351"/>
        <v>0</v>
      </c>
      <c r="BL930">
        <f t="shared" si="352"/>
        <v>0</v>
      </c>
      <c r="BM930">
        <f t="shared" si="353"/>
        <v>0</v>
      </c>
      <c r="BN930">
        <f t="shared" si="354"/>
        <v>0</v>
      </c>
      <c r="BO930">
        <f t="shared" si="355"/>
        <v>0</v>
      </c>
      <c r="BP930">
        <f t="shared" si="356"/>
        <v>0</v>
      </c>
      <c r="BQ930">
        <f t="shared" si="357"/>
        <v>0</v>
      </c>
      <c r="BR930">
        <f t="shared" si="358"/>
        <v>0</v>
      </c>
      <c r="BS930">
        <f t="shared" si="359"/>
        <v>0</v>
      </c>
      <c r="BT930">
        <f t="shared" si="360"/>
        <v>0</v>
      </c>
      <c r="BU930">
        <f t="shared" si="361"/>
        <v>0</v>
      </c>
      <c r="BV930">
        <f t="shared" si="362"/>
        <v>0</v>
      </c>
      <c r="BW930">
        <f t="shared" si="363"/>
        <v>0</v>
      </c>
      <c r="CA930" t="str">
        <f>IF(731&gt;ROWS(DGArchive[模组]),"",IF(INDEX(DGArchive[模组],731)="","",INDEX(DGArchive[模组],731)))</f>
        <v/>
      </c>
      <c r="CB930" t="str">
        <f>IF(731&gt;ROWS(DGArchive[阶段]),"",IF(INDEX(DGArchive[阶段],731)="","",INDEX(DGArchive[阶段],731)))</f>
        <v/>
      </c>
      <c r="CC930" t="str">
        <f>IF(731&gt;ROWS(DGArchive[游戏内日期]),"",IF(INDEX(DGArchive[游戏内日期],731)="","",INDEX(DGArchive[游戏内日期],731)))</f>
        <v/>
      </c>
      <c r="CD930" t="str">
        <f>IF(731&gt;ROWS(DGArchive[目标]),"",IF(INDEX(DGArchive[目标],731)="","",INDEX(DGArchive[目标],731)))</f>
        <v/>
      </c>
      <c r="CE930" t="str">
        <f>IF(731&gt;ROWS(DGArchive[变更前]),"",IF(INDEX(DGArchive[变更前],731)="","",INDEX(DGArchive[变更前],731)))</f>
        <v/>
      </c>
      <c r="CF930" t="str">
        <f>IF(731&gt;ROWS(DGArchive[增减]),"",IF(INDEX(DGArchive[增减],731)="","",INDEX(DGArchive[增减],731)))</f>
        <v/>
      </c>
      <c r="CG930" t="str">
        <f>IF(731&gt;ROWS(DGArchive[变更后]),"",IF(INDEX(DGArchive[变更后],731)="","",INDEX(DGArchive[变更后],731)))</f>
        <v/>
      </c>
      <c r="CH930" t="str">
        <f>IF(731&gt;ROWS(DGArchive[事件／活动]),"",IF(INDEX(DGArchive[事件／活动],731)="","",INDEX(DGArchive[事件／活动],731)))</f>
        <v/>
      </c>
      <c r="CI930" t="str">
        <f>IF(731&gt;ROWS(DGArchive[记录编号]),"",IF(INDEX(DGArchive[记录编号],731)="","",INDEX(DGArchive[记录编号],731)))</f>
        <v/>
      </c>
      <c r="CL930">
        <f t="shared" si="344"/>
        <v>0</v>
      </c>
      <c r="CM930">
        <f>IF(AND(A930=$AO$5,B930=$AQ$3,H930=1),COUNTIFS($A$200:A930,$AO$5,$B$200:B930,$AQ$3,$H$200:H930,1),0)</f>
        <v>0</v>
      </c>
      <c r="CN930">
        <f>IF(CA930="",731,1001)</f>
        <v>731</v>
      </c>
      <c r="GA930">
        <f t="shared" si="364"/>
        <v>0</v>
      </c>
      <c r="GB930">
        <f t="shared" si="365"/>
        <v>0</v>
      </c>
      <c r="GC930">
        <f>IF(AND(C930="事件记录",H930=1),COUNTIFS($C$200:C930,"事件记录",$H$200:H930,1),0)</f>
        <v>0</v>
      </c>
      <c r="GD930">
        <f t="shared" si="345"/>
        <v>0</v>
      </c>
      <c r="GH930">
        <f>IF(AND(H930=1,A930=$GA$10,B930=$GA$11),COUNTIFS($A$200:A930,$GA$10,$B$200:B930,$GA$11,$H$200:H930,1),0)</f>
        <v>0</v>
      </c>
    </row>
    <row r="931" spans="1:190">
      <c r="A931" t="str">
        <f t="shared" si="336"/>
        <v/>
      </c>
      <c r="B931" t="str">
        <f t="shared" si="337"/>
        <v/>
      </c>
      <c r="C931" t="str">
        <f t="shared" si="338"/>
        <v/>
      </c>
      <c r="D931" t="str">
        <f t="shared" si="339"/>
        <v/>
      </c>
      <c r="E931">
        <f t="shared" si="340"/>
        <v>0</v>
      </c>
      <c r="F931" t="str">
        <f t="shared" si="341"/>
        <v/>
      </c>
      <c r="G931">
        <f t="shared" si="342"/>
        <v>0</v>
      </c>
      <c r="H931">
        <f>IF(AND(G931=1,COUNTIFS($I$200:I931,I931,$G$200:G931,1)=1),1,0)</f>
        <v>0</v>
      </c>
      <c r="I931" t="str">
        <f t="shared" si="343"/>
        <v/>
      </c>
      <c r="BF931">
        <f t="shared" si="346"/>
        <v>0</v>
      </c>
      <c r="BG931">
        <f t="shared" si="347"/>
        <v>0</v>
      </c>
      <c r="BH931">
        <f t="shared" si="348"/>
        <v>0</v>
      </c>
      <c r="BI931">
        <f t="shared" si="349"/>
        <v>0</v>
      </c>
      <c r="BJ931">
        <f t="shared" si="350"/>
        <v>0</v>
      </c>
      <c r="BK931">
        <f t="shared" si="351"/>
        <v>0</v>
      </c>
      <c r="BL931">
        <f t="shared" si="352"/>
        <v>0</v>
      </c>
      <c r="BM931">
        <f t="shared" si="353"/>
        <v>0</v>
      </c>
      <c r="BN931">
        <f t="shared" si="354"/>
        <v>0</v>
      </c>
      <c r="BO931">
        <f t="shared" si="355"/>
        <v>0</v>
      </c>
      <c r="BP931">
        <f t="shared" si="356"/>
        <v>0</v>
      </c>
      <c r="BQ931">
        <f t="shared" si="357"/>
        <v>0</v>
      </c>
      <c r="BR931">
        <f t="shared" si="358"/>
        <v>0</v>
      </c>
      <c r="BS931">
        <f t="shared" si="359"/>
        <v>0</v>
      </c>
      <c r="BT931">
        <f t="shared" si="360"/>
        <v>0</v>
      </c>
      <c r="BU931">
        <f t="shared" si="361"/>
        <v>0</v>
      </c>
      <c r="BV931">
        <f t="shared" si="362"/>
        <v>0</v>
      </c>
      <c r="BW931">
        <f t="shared" si="363"/>
        <v>0</v>
      </c>
      <c r="CA931" t="str">
        <f>IF(732&gt;ROWS(DGArchive[模组]),"",IF(INDEX(DGArchive[模组],732)="","",INDEX(DGArchive[模组],732)))</f>
        <v/>
      </c>
      <c r="CB931" t="str">
        <f>IF(732&gt;ROWS(DGArchive[阶段]),"",IF(INDEX(DGArchive[阶段],732)="","",INDEX(DGArchive[阶段],732)))</f>
        <v/>
      </c>
      <c r="CC931" t="str">
        <f>IF(732&gt;ROWS(DGArchive[游戏内日期]),"",IF(INDEX(DGArchive[游戏内日期],732)="","",INDEX(DGArchive[游戏内日期],732)))</f>
        <v/>
      </c>
      <c r="CD931" t="str">
        <f>IF(732&gt;ROWS(DGArchive[目标]),"",IF(INDEX(DGArchive[目标],732)="","",INDEX(DGArchive[目标],732)))</f>
        <v/>
      </c>
      <c r="CE931" t="str">
        <f>IF(732&gt;ROWS(DGArchive[变更前]),"",IF(INDEX(DGArchive[变更前],732)="","",INDEX(DGArchive[变更前],732)))</f>
        <v/>
      </c>
      <c r="CF931" t="str">
        <f>IF(732&gt;ROWS(DGArchive[增减]),"",IF(INDEX(DGArchive[增减],732)="","",INDEX(DGArchive[增减],732)))</f>
        <v/>
      </c>
      <c r="CG931" t="str">
        <f>IF(732&gt;ROWS(DGArchive[变更后]),"",IF(INDEX(DGArchive[变更后],732)="","",INDEX(DGArchive[变更后],732)))</f>
        <v/>
      </c>
      <c r="CH931" t="str">
        <f>IF(732&gt;ROWS(DGArchive[事件／活动]),"",IF(INDEX(DGArchive[事件／活动],732)="","",INDEX(DGArchive[事件／活动],732)))</f>
        <v/>
      </c>
      <c r="CI931" t="str">
        <f>IF(732&gt;ROWS(DGArchive[记录编号]),"",IF(INDEX(DGArchive[记录编号],732)="","",INDEX(DGArchive[记录编号],732)))</f>
        <v/>
      </c>
      <c r="CL931">
        <f t="shared" si="344"/>
        <v>0</v>
      </c>
      <c r="CM931">
        <f>IF(AND(A931=$AO$5,B931=$AQ$3,H931=1),COUNTIFS($A$200:A931,$AO$5,$B$200:B931,$AQ$3,$H$200:H931,1),0)</f>
        <v>0</v>
      </c>
      <c r="CN931">
        <f>IF(CA931="",732,1001)</f>
        <v>732</v>
      </c>
      <c r="GA931">
        <f t="shared" si="364"/>
        <v>0</v>
      </c>
      <c r="GB931">
        <f t="shared" si="365"/>
        <v>0</v>
      </c>
      <c r="GC931">
        <f>IF(AND(C931="事件记录",H931=1),COUNTIFS($C$200:C931,"事件记录",$H$200:H931,1),0)</f>
        <v>0</v>
      </c>
      <c r="GD931">
        <f t="shared" si="345"/>
        <v>0</v>
      </c>
      <c r="GH931">
        <f>IF(AND(H931=1,A931=$GA$10,B931=$GA$11),COUNTIFS($A$200:A931,$GA$10,$B$200:B931,$GA$11,$H$200:H931,1),0)</f>
        <v>0</v>
      </c>
    </row>
    <row r="932" spans="1:190">
      <c r="A932" t="str">
        <f t="shared" si="336"/>
        <v/>
      </c>
      <c r="B932" t="str">
        <f t="shared" si="337"/>
        <v/>
      </c>
      <c r="C932" t="str">
        <f t="shared" si="338"/>
        <v/>
      </c>
      <c r="D932" t="str">
        <f t="shared" si="339"/>
        <v/>
      </c>
      <c r="E932">
        <f t="shared" si="340"/>
        <v>0</v>
      </c>
      <c r="F932" t="str">
        <f t="shared" si="341"/>
        <v/>
      </c>
      <c r="G932">
        <f t="shared" si="342"/>
        <v>0</v>
      </c>
      <c r="H932">
        <f>IF(AND(G932=1,COUNTIFS($I$200:I932,I932,$G$200:G932,1)=1),1,0)</f>
        <v>0</v>
      </c>
      <c r="I932" t="str">
        <f t="shared" si="343"/>
        <v/>
      </c>
      <c r="BF932">
        <f t="shared" si="346"/>
        <v>0</v>
      </c>
      <c r="BG932">
        <f t="shared" si="347"/>
        <v>0</v>
      </c>
      <c r="BH932">
        <f t="shared" si="348"/>
        <v>0</v>
      </c>
      <c r="BI932">
        <f t="shared" si="349"/>
        <v>0</v>
      </c>
      <c r="BJ932">
        <f t="shared" si="350"/>
        <v>0</v>
      </c>
      <c r="BK932">
        <f t="shared" si="351"/>
        <v>0</v>
      </c>
      <c r="BL932">
        <f t="shared" si="352"/>
        <v>0</v>
      </c>
      <c r="BM932">
        <f t="shared" si="353"/>
        <v>0</v>
      </c>
      <c r="BN932">
        <f t="shared" si="354"/>
        <v>0</v>
      </c>
      <c r="BO932">
        <f t="shared" si="355"/>
        <v>0</v>
      </c>
      <c r="BP932">
        <f t="shared" si="356"/>
        <v>0</v>
      </c>
      <c r="BQ932">
        <f t="shared" si="357"/>
        <v>0</v>
      </c>
      <c r="BR932">
        <f t="shared" si="358"/>
        <v>0</v>
      </c>
      <c r="BS932">
        <f t="shared" si="359"/>
        <v>0</v>
      </c>
      <c r="BT932">
        <f t="shared" si="360"/>
        <v>0</v>
      </c>
      <c r="BU932">
        <f t="shared" si="361"/>
        <v>0</v>
      </c>
      <c r="BV932">
        <f t="shared" si="362"/>
        <v>0</v>
      </c>
      <c r="BW932">
        <f t="shared" si="363"/>
        <v>0</v>
      </c>
      <c r="CA932" t="str">
        <f>IF(733&gt;ROWS(DGArchive[模组]),"",IF(INDEX(DGArchive[模组],733)="","",INDEX(DGArchive[模组],733)))</f>
        <v/>
      </c>
      <c r="CB932" t="str">
        <f>IF(733&gt;ROWS(DGArchive[阶段]),"",IF(INDEX(DGArchive[阶段],733)="","",INDEX(DGArchive[阶段],733)))</f>
        <v/>
      </c>
      <c r="CC932" t="str">
        <f>IF(733&gt;ROWS(DGArchive[游戏内日期]),"",IF(INDEX(DGArchive[游戏内日期],733)="","",INDEX(DGArchive[游戏内日期],733)))</f>
        <v/>
      </c>
      <c r="CD932" t="str">
        <f>IF(733&gt;ROWS(DGArchive[目标]),"",IF(INDEX(DGArchive[目标],733)="","",INDEX(DGArchive[目标],733)))</f>
        <v/>
      </c>
      <c r="CE932" t="str">
        <f>IF(733&gt;ROWS(DGArchive[变更前]),"",IF(INDEX(DGArchive[变更前],733)="","",INDEX(DGArchive[变更前],733)))</f>
        <v/>
      </c>
      <c r="CF932" t="str">
        <f>IF(733&gt;ROWS(DGArchive[增减]),"",IF(INDEX(DGArchive[增减],733)="","",INDEX(DGArchive[增减],733)))</f>
        <v/>
      </c>
      <c r="CG932" t="str">
        <f>IF(733&gt;ROWS(DGArchive[变更后]),"",IF(INDEX(DGArchive[变更后],733)="","",INDEX(DGArchive[变更后],733)))</f>
        <v/>
      </c>
      <c r="CH932" t="str">
        <f>IF(733&gt;ROWS(DGArchive[事件／活动]),"",IF(INDEX(DGArchive[事件／活动],733)="","",INDEX(DGArchive[事件／活动],733)))</f>
        <v/>
      </c>
      <c r="CI932" t="str">
        <f>IF(733&gt;ROWS(DGArchive[记录编号]),"",IF(INDEX(DGArchive[记录编号],733)="","",INDEX(DGArchive[记录编号],733)))</f>
        <v/>
      </c>
      <c r="CL932">
        <f t="shared" si="344"/>
        <v>0</v>
      </c>
      <c r="CM932">
        <f>IF(AND(A932=$AO$5,B932=$AQ$3,H932=1),COUNTIFS($A$200:A932,$AO$5,$B$200:B932,$AQ$3,$H$200:H932,1),0)</f>
        <v>0</v>
      </c>
      <c r="CN932">
        <f>IF(CA932="",733,1001)</f>
        <v>733</v>
      </c>
      <c r="GA932">
        <f t="shared" si="364"/>
        <v>0</v>
      </c>
      <c r="GB932">
        <f t="shared" si="365"/>
        <v>0</v>
      </c>
      <c r="GC932">
        <f>IF(AND(C932="事件记录",H932=1),COUNTIFS($C$200:C932,"事件记录",$H$200:H932,1),0)</f>
        <v>0</v>
      </c>
      <c r="GD932">
        <f t="shared" si="345"/>
        <v>0</v>
      </c>
      <c r="GH932">
        <f>IF(AND(H932=1,A932=$GA$10,B932=$GA$11),COUNTIFS($A$200:A932,$GA$10,$B$200:B932,$GA$11,$H$200:H932,1),0)</f>
        <v>0</v>
      </c>
    </row>
    <row r="933" spans="1:190">
      <c r="A933" t="str">
        <f t="shared" si="336"/>
        <v/>
      </c>
      <c r="B933" t="str">
        <f t="shared" si="337"/>
        <v/>
      </c>
      <c r="C933" t="str">
        <f t="shared" si="338"/>
        <v/>
      </c>
      <c r="D933" t="str">
        <f t="shared" si="339"/>
        <v/>
      </c>
      <c r="E933">
        <f t="shared" si="340"/>
        <v>0</v>
      </c>
      <c r="F933" t="str">
        <f t="shared" si="341"/>
        <v/>
      </c>
      <c r="G933">
        <f t="shared" si="342"/>
        <v>0</v>
      </c>
      <c r="H933">
        <f>IF(AND(G933=1,COUNTIFS($I$200:I933,I933,$G$200:G933,1)=1),1,0)</f>
        <v>0</v>
      </c>
      <c r="I933" t="str">
        <f t="shared" si="343"/>
        <v/>
      </c>
      <c r="BF933">
        <f t="shared" si="346"/>
        <v>0</v>
      </c>
      <c r="BG933">
        <f t="shared" si="347"/>
        <v>0</v>
      </c>
      <c r="BH933">
        <f t="shared" si="348"/>
        <v>0</v>
      </c>
      <c r="BI933">
        <f t="shared" si="349"/>
        <v>0</v>
      </c>
      <c r="BJ933">
        <f t="shared" si="350"/>
        <v>0</v>
      </c>
      <c r="BK933">
        <f t="shared" si="351"/>
        <v>0</v>
      </c>
      <c r="BL933">
        <f t="shared" si="352"/>
        <v>0</v>
      </c>
      <c r="BM933">
        <f t="shared" si="353"/>
        <v>0</v>
      </c>
      <c r="BN933">
        <f t="shared" si="354"/>
        <v>0</v>
      </c>
      <c r="BO933">
        <f t="shared" si="355"/>
        <v>0</v>
      </c>
      <c r="BP933">
        <f t="shared" si="356"/>
        <v>0</v>
      </c>
      <c r="BQ933">
        <f t="shared" si="357"/>
        <v>0</v>
      </c>
      <c r="BR933">
        <f t="shared" si="358"/>
        <v>0</v>
      </c>
      <c r="BS933">
        <f t="shared" si="359"/>
        <v>0</v>
      </c>
      <c r="BT933">
        <f t="shared" si="360"/>
        <v>0</v>
      </c>
      <c r="BU933">
        <f t="shared" si="361"/>
        <v>0</v>
      </c>
      <c r="BV933">
        <f t="shared" si="362"/>
        <v>0</v>
      </c>
      <c r="BW933">
        <f t="shared" si="363"/>
        <v>0</v>
      </c>
      <c r="CA933" t="str">
        <f>IF(734&gt;ROWS(DGArchive[模组]),"",IF(INDEX(DGArchive[模组],734)="","",INDEX(DGArchive[模组],734)))</f>
        <v/>
      </c>
      <c r="CB933" t="str">
        <f>IF(734&gt;ROWS(DGArchive[阶段]),"",IF(INDEX(DGArchive[阶段],734)="","",INDEX(DGArchive[阶段],734)))</f>
        <v/>
      </c>
      <c r="CC933" t="str">
        <f>IF(734&gt;ROWS(DGArchive[游戏内日期]),"",IF(INDEX(DGArchive[游戏内日期],734)="","",INDEX(DGArchive[游戏内日期],734)))</f>
        <v/>
      </c>
      <c r="CD933" t="str">
        <f>IF(734&gt;ROWS(DGArchive[目标]),"",IF(INDEX(DGArchive[目标],734)="","",INDEX(DGArchive[目标],734)))</f>
        <v/>
      </c>
      <c r="CE933" t="str">
        <f>IF(734&gt;ROWS(DGArchive[变更前]),"",IF(INDEX(DGArchive[变更前],734)="","",INDEX(DGArchive[变更前],734)))</f>
        <v/>
      </c>
      <c r="CF933" t="str">
        <f>IF(734&gt;ROWS(DGArchive[增减]),"",IF(INDEX(DGArchive[增减],734)="","",INDEX(DGArchive[增减],734)))</f>
        <v/>
      </c>
      <c r="CG933" t="str">
        <f>IF(734&gt;ROWS(DGArchive[变更后]),"",IF(INDEX(DGArchive[变更后],734)="","",INDEX(DGArchive[变更后],734)))</f>
        <v/>
      </c>
      <c r="CH933" t="str">
        <f>IF(734&gt;ROWS(DGArchive[事件／活动]),"",IF(INDEX(DGArchive[事件／活动],734)="","",INDEX(DGArchive[事件／活动],734)))</f>
        <v/>
      </c>
      <c r="CI933" t="str">
        <f>IF(734&gt;ROWS(DGArchive[记录编号]),"",IF(INDEX(DGArchive[记录编号],734)="","",INDEX(DGArchive[记录编号],734)))</f>
        <v/>
      </c>
      <c r="CL933">
        <f t="shared" si="344"/>
        <v>0</v>
      </c>
      <c r="CM933">
        <f>IF(AND(A933=$AO$5,B933=$AQ$3,H933=1),COUNTIFS($A$200:A933,$AO$5,$B$200:B933,$AQ$3,$H$200:H933,1),0)</f>
        <v>0</v>
      </c>
      <c r="CN933">
        <f>IF(CA933="",734,1001)</f>
        <v>734</v>
      </c>
      <c r="GA933">
        <f t="shared" si="364"/>
        <v>0</v>
      </c>
      <c r="GB933">
        <f t="shared" si="365"/>
        <v>0</v>
      </c>
      <c r="GC933">
        <f>IF(AND(C933="事件记录",H933=1),COUNTIFS($C$200:C933,"事件记录",$H$200:H933,1),0)</f>
        <v>0</v>
      </c>
      <c r="GD933">
        <f t="shared" si="345"/>
        <v>0</v>
      </c>
      <c r="GH933">
        <f>IF(AND(H933=1,A933=$GA$10,B933=$GA$11),COUNTIFS($A$200:A933,$GA$10,$B$200:B933,$GA$11,$H$200:H933,1),0)</f>
        <v>0</v>
      </c>
    </row>
    <row r="934" spans="1:190">
      <c r="A934" t="str">
        <f t="shared" si="336"/>
        <v/>
      </c>
      <c r="B934" t="str">
        <f t="shared" si="337"/>
        <v/>
      </c>
      <c r="C934" t="str">
        <f t="shared" si="338"/>
        <v/>
      </c>
      <c r="D934" t="str">
        <f t="shared" si="339"/>
        <v/>
      </c>
      <c r="E934">
        <f t="shared" si="340"/>
        <v>0</v>
      </c>
      <c r="F934" t="str">
        <f t="shared" si="341"/>
        <v/>
      </c>
      <c r="G934">
        <f t="shared" si="342"/>
        <v>0</v>
      </c>
      <c r="H934">
        <f>IF(AND(G934=1,COUNTIFS($I$200:I934,I934,$G$200:G934,1)=1),1,0)</f>
        <v>0</v>
      </c>
      <c r="I934" t="str">
        <f t="shared" si="343"/>
        <v/>
      </c>
      <c r="BF934">
        <f t="shared" si="346"/>
        <v>0</v>
      </c>
      <c r="BG934">
        <f t="shared" si="347"/>
        <v>0</v>
      </c>
      <c r="BH934">
        <f t="shared" si="348"/>
        <v>0</v>
      </c>
      <c r="BI934">
        <f t="shared" si="349"/>
        <v>0</v>
      </c>
      <c r="BJ934">
        <f t="shared" si="350"/>
        <v>0</v>
      </c>
      <c r="BK934">
        <f t="shared" si="351"/>
        <v>0</v>
      </c>
      <c r="BL934">
        <f t="shared" si="352"/>
        <v>0</v>
      </c>
      <c r="BM934">
        <f t="shared" si="353"/>
        <v>0</v>
      </c>
      <c r="BN934">
        <f t="shared" si="354"/>
        <v>0</v>
      </c>
      <c r="BO934">
        <f t="shared" si="355"/>
        <v>0</v>
      </c>
      <c r="BP934">
        <f t="shared" si="356"/>
        <v>0</v>
      </c>
      <c r="BQ934">
        <f t="shared" si="357"/>
        <v>0</v>
      </c>
      <c r="BR934">
        <f t="shared" si="358"/>
        <v>0</v>
      </c>
      <c r="BS934">
        <f t="shared" si="359"/>
        <v>0</v>
      </c>
      <c r="BT934">
        <f t="shared" si="360"/>
        <v>0</v>
      </c>
      <c r="BU934">
        <f t="shared" si="361"/>
        <v>0</v>
      </c>
      <c r="BV934">
        <f t="shared" si="362"/>
        <v>0</v>
      </c>
      <c r="BW934">
        <f t="shared" si="363"/>
        <v>0</v>
      </c>
      <c r="CA934" t="str">
        <f>IF(735&gt;ROWS(DGArchive[模组]),"",IF(INDEX(DGArchive[模组],735)="","",INDEX(DGArchive[模组],735)))</f>
        <v/>
      </c>
      <c r="CB934" t="str">
        <f>IF(735&gt;ROWS(DGArchive[阶段]),"",IF(INDEX(DGArchive[阶段],735)="","",INDEX(DGArchive[阶段],735)))</f>
        <v/>
      </c>
      <c r="CC934" t="str">
        <f>IF(735&gt;ROWS(DGArchive[游戏内日期]),"",IF(INDEX(DGArchive[游戏内日期],735)="","",INDEX(DGArchive[游戏内日期],735)))</f>
        <v/>
      </c>
      <c r="CD934" t="str">
        <f>IF(735&gt;ROWS(DGArchive[目标]),"",IF(INDEX(DGArchive[目标],735)="","",INDEX(DGArchive[目标],735)))</f>
        <v/>
      </c>
      <c r="CE934" t="str">
        <f>IF(735&gt;ROWS(DGArchive[变更前]),"",IF(INDEX(DGArchive[变更前],735)="","",INDEX(DGArchive[变更前],735)))</f>
        <v/>
      </c>
      <c r="CF934" t="str">
        <f>IF(735&gt;ROWS(DGArchive[增减]),"",IF(INDEX(DGArchive[增减],735)="","",INDEX(DGArchive[增减],735)))</f>
        <v/>
      </c>
      <c r="CG934" t="str">
        <f>IF(735&gt;ROWS(DGArchive[变更后]),"",IF(INDEX(DGArchive[变更后],735)="","",INDEX(DGArchive[变更后],735)))</f>
        <v/>
      </c>
      <c r="CH934" t="str">
        <f>IF(735&gt;ROWS(DGArchive[事件／活动]),"",IF(INDEX(DGArchive[事件／活动],735)="","",INDEX(DGArchive[事件／活动],735)))</f>
        <v/>
      </c>
      <c r="CI934" t="str">
        <f>IF(735&gt;ROWS(DGArchive[记录编号]),"",IF(INDEX(DGArchive[记录编号],735)="","",INDEX(DGArchive[记录编号],735)))</f>
        <v/>
      </c>
      <c r="CL934">
        <f t="shared" si="344"/>
        <v>0</v>
      </c>
      <c r="CM934">
        <f>IF(AND(A934=$AO$5,B934=$AQ$3,H934=1),COUNTIFS($A$200:A934,$AO$5,$B$200:B934,$AQ$3,$H$200:H934,1),0)</f>
        <v>0</v>
      </c>
      <c r="CN934">
        <f>IF(CA934="",735,1001)</f>
        <v>735</v>
      </c>
      <c r="GA934">
        <f t="shared" si="364"/>
        <v>0</v>
      </c>
      <c r="GB934">
        <f t="shared" si="365"/>
        <v>0</v>
      </c>
      <c r="GC934">
        <f>IF(AND(C934="事件记录",H934=1),COUNTIFS($C$200:C934,"事件记录",$H$200:H934,1),0)</f>
        <v>0</v>
      </c>
      <c r="GD934">
        <f t="shared" si="345"/>
        <v>0</v>
      </c>
      <c r="GH934">
        <f>IF(AND(H934=1,A934=$GA$10,B934=$GA$11),COUNTIFS($A$200:A934,$GA$10,$B$200:B934,$GA$11,$H$200:H934,1),0)</f>
        <v>0</v>
      </c>
    </row>
    <row r="935" spans="1:190">
      <c r="A935" t="str">
        <f t="shared" si="336"/>
        <v/>
      </c>
      <c r="B935" t="str">
        <f t="shared" si="337"/>
        <v/>
      </c>
      <c r="C935" t="str">
        <f t="shared" si="338"/>
        <v/>
      </c>
      <c r="D935" t="str">
        <f t="shared" si="339"/>
        <v/>
      </c>
      <c r="E935">
        <f t="shared" si="340"/>
        <v>0</v>
      </c>
      <c r="F935" t="str">
        <f t="shared" si="341"/>
        <v/>
      </c>
      <c r="G935">
        <f t="shared" si="342"/>
        <v>0</v>
      </c>
      <c r="H935">
        <f>IF(AND(G935=1,COUNTIFS($I$200:I935,I935,$G$200:G935,1)=1),1,0)</f>
        <v>0</v>
      </c>
      <c r="I935" t="str">
        <f t="shared" si="343"/>
        <v/>
      </c>
      <c r="BF935">
        <f t="shared" si="346"/>
        <v>0</v>
      </c>
      <c r="BG935">
        <f t="shared" si="347"/>
        <v>0</v>
      </c>
      <c r="BH935">
        <f t="shared" si="348"/>
        <v>0</v>
      </c>
      <c r="BI935">
        <f t="shared" si="349"/>
        <v>0</v>
      </c>
      <c r="BJ935">
        <f t="shared" si="350"/>
        <v>0</v>
      </c>
      <c r="BK935">
        <f t="shared" si="351"/>
        <v>0</v>
      </c>
      <c r="BL935">
        <f t="shared" si="352"/>
        <v>0</v>
      </c>
      <c r="BM935">
        <f t="shared" si="353"/>
        <v>0</v>
      </c>
      <c r="BN935">
        <f t="shared" si="354"/>
        <v>0</v>
      </c>
      <c r="BO935">
        <f t="shared" si="355"/>
        <v>0</v>
      </c>
      <c r="BP935">
        <f t="shared" si="356"/>
        <v>0</v>
      </c>
      <c r="BQ935">
        <f t="shared" si="357"/>
        <v>0</v>
      </c>
      <c r="BR935">
        <f t="shared" si="358"/>
        <v>0</v>
      </c>
      <c r="BS935">
        <f t="shared" si="359"/>
        <v>0</v>
      </c>
      <c r="BT935">
        <f t="shared" si="360"/>
        <v>0</v>
      </c>
      <c r="BU935">
        <f t="shared" si="361"/>
        <v>0</v>
      </c>
      <c r="BV935">
        <f t="shared" si="362"/>
        <v>0</v>
      </c>
      <c r="BW935">
        <f t="shared" si="363"/>
        <v>0</v>
      </c>
      <c r="CA935" t="str">
        <f>IF(736&gt;ROWS(DGArchive[模组]),"",IF(INDEX(DGArchive[模组],736)="","",INDEX(DGArchive[模组],736)))</f>
        <v/>
      </c>
      <c r="CB935" t="str">
        <f>IF(736&gt;ROWS(DGArchive[阶段]),"",IF(INDEX(DGArchive[阶段],736)="","",INDEX(DGArchive[阶段],736)))</f>
        <v/>
      </c>
      <c r="CC935" t="str">
        <f>IF(736&gt;ROWS(DGArchive[游戏内日期]),"",IF(INDEX(DGArchive[游戏内日期],736)="","",INDEX(DGArchive[游戏内日期],736)))</f>
        <v/>
      </c>
      <c r="CD935" t="str">
        <f>IF(736&gt;ROWS(DGArchive[目标]),"",IF(INDEX(DGArchive[目标],736)="","",INDEX(DGArchive[目标],736)))</f>
        <v/>
      </c>
      <c r="CE935" t="str">
        <f>IF(736&gt;ROWS(DGArchive[变更前]),"",IF(INDEX(DGArchive[变更前],736)="","",INDEX(DGArchive[变更前],736)))</f>
        <v/>
      </c>
      <c r="CF935" t="str">
        <f>IF(736&gt;ROWS(DGArchive[增减]),"",IF(INDEX(DGArchive[增减],736)="","",INDEX(DGArchive[增减],736)))</f>
        <v/>
      </c>
      <c r="CG935" t="str">
        <f>IF(736&gt;ROWS(DGArchive[变更后]),"",IF(INDEX(DGArchive[变更后],736)="","",INDEX(DGArchive[变更后],736)))</f>
        <v/>
      </c>
      <c r="CH935" t="str">
        <f>IF(736&gt;ROWS(DGArchive[事件／活动]),"",IF(INDEX(DGArchive[事件／活动],736)="","",INDEX(DGArchive[事件／活动],736)))</f>
        <v/>
      </c>
      <c r="CI935" t="str">
        <f>IF(736&gt;ROWS(DGArchive[记录编号]),"",IF(INDEX(DGArchive[记录编号],736)="","",INDEX(DGArchive[记录编号],736)))</f>
        <v/>
      </c>
      <c r="CL935">
        <f t="shared" si="344"/>
        <v>0</v>
      </c>
      <c r="CM935">
        <f>IF(AND(A935=$AO$5,B935=$AQ$3,H935=1),COUNTIFS($A$200:A935,$AO$5,$B$200:B935,$AQ$3,$H$200:H935,1),0)</f>
        <v>0</v>
      </c>
      <c r="CN935">
        <f>IF(CA935="",736,1001)</f>
        <v>736</v>
      </c>
      <c r="GA935">
        <f t="shared" si="364"/>
        <v>0</v>
      </c>
      <c r="GB935">
        <f t="shared" si="365"/>
        <v>0</v>
      </c>
      <c r="GC935">
        <f>IF(AND(C935="事件记录",H935=1),COUNTIFS($C$200:C935,"事件记录",$H$200:H935,1),0)</f>
        <v>0</v>
      </c>
      <c r="GD935">
        <f t="shared" si="345"/>
        <v>0</v>
      </c>
      <c r="GH935">
        <f>IF(AND(H935=1,A935=$GA$10,B935=$GA$11),COUNTIFS($A$200:A935,$GA$10,$B$200:B935,$GA$11,$H$200:H935,1),0)</f>
        <v>0</v>
      </c>
    </row>
    <row r="936" spans="1:190">
      <c r="A936" t="str">
        <f t="shared" si="336"/>
        <v/>
      </c>
      <c r="B936" t="str">
        <f t="shared" si="337"/>
        <v/>
      </c>
      <c r="C936" t="str">
        <f t="shared" si="338"/>
        <v/>
      </c>
      <c r="D936" t="str">
        <f t="shared" si="339"/>
        <v/>
      </c>
      <c r="E936">
        <f t="shared" si="340"/>
        <v>0</v>
      </c>
      <c r="F936" t="str">
        <f t="shared" si="341"/>
        <v/>
      </c>
      <c r="G936">
        <f t="shared" si="342"/>
        <v>0</v>
      </c>
      <c r="H936">
        <f>IF(AND(G936=1,COUNTIFS($I$200:I936,I936,$G$200:G936,1)=1),1,0)</f>
        <v>0</v>
      </c>
      <c r="I936" t="str">
        <f t="shared" si="343"/>
        <v/>
      </c>
      <c r="BF936">
        <f t="shared" si="346"/>
        <v>0</v>
      </c>
      <c r="BG936">
        <f t="shared" si="347"/>
        <v>0</v>
      </c>
      <c r="BH936">
        <f t="shared" si="348"/>
        <v>0</v>
      </c>
      <c r="BI936">
        <f t="shared" si="349"/>
        <v>0</v>
      </c>
      <c r="BJ936">
        <f t="shared" si="350"/>
        <v>0</v>
      </c>
      <c r="BK936">
        <f t="shared" si="351"/>
        <v>0</v>
      </c>
      <c r="BL936">
        <f t="shared" si="352"/>
        <v>0</v>
      </c>
      <c r="BM936">
        <f t="shared" si="353"/>
        <v>0</v>
      </c>
      <c r="BN936">
        <f t="shared" si="354"/>
        <v>0</v>
      </c>
      <c r="BO936">
        <f t="shared" si="355"/>
        <v>0</v>
      </c>
      <c r="BP936">
        <f t="shared" si="356"/>
        <v>0</v>
      </c>
      <c r="BQ936">
        <f t="shared" si="357"/>
        <v>0</v>
      </c>
      <c r="BR936">
        <f t="shared" si="358"/>
        <v>0</v>
      </c>
      <c r="BS936">
        <f t="shared" si="359"/>
        <v>0</v>
      </c>
      <c r="BT936">
        <f t="shared" si="360"/>
        <v>0</v>
      </c>
      <c r="BU936">
        <f t="shared" si="361"/>
        <v>0</v>
      </c>
      <c r="BV936">
        <f t="shared" si="362"/>
        <v>0</v>
      </c>
      <c r="BW936">
        <f t="shared" si="363"/>
        <v>0</v>
      </c>
      <c r="CA936" t="str">
        <f>IF(737&gt;ROWS(DGArchive[模组]),"",IF(INDEX(DGArchive[模组],737)="","",INDEX(DGArchive[模组],737)))</f>
        <v/>
      </c>
      <c r="CB936" t="str">
        <f>IF(737&gt;ROWS(DGArchive[阶段]),"",IF(INDEX(DGArchive[阶段],737)="","",INDEX(DGArchive[阶段],737)))</f>
        <v/>
      </c>
      <c r="CC936" t="str">
        <f>IF(737&gt;ROWS(DGArchive[游戏内日期]),"",IF(INDEX(DGArchive[游戏内日期],737)="","",INDEX(DGArchive[游戏内日期],737)))</f>
        <v/>
      </c>
      <c r="CD936" t="str">
        <f>IF(737&gt;ROWS(DGArchive[目标]),"",IF(INDEX(DGArchive[目标],737)="","",INDEX(DGArchive[目标],737)))</f>
        <v/>
      </c>
      <c r="CE936" t="str">
        <f>IF(737&gt;ROWS(DGArchive[变更前]),"",IF(INDEX(DGArchive[变更前],737)="","",INDEX(DGArchive[变更前],737)))</f>
        <v/>
      </c>
      <c r="CF936" t="str">
        <f>IF(737&gt;ROWS(DGArchive[增减]),"",IF(INDEX(DGArchive[增减],737)="","",INDEX(DGArchive[增减],737)))</f>
        <v/>
      </c>
      <c r="CG936" t="str">
        <f>IF(737&gt;ROWS(DGArchive[变更后]),"",IF(INDEX(DGArchive[变更后],737)="","",INDEX(DGArchive[变更后],737)))</f>
        <v/>
      </c>
      <c r="CH936" t="str">
        <f>IF(737&gt;ROWS(DGArchive[事件／活动]),"",IF(INDEX(DGArchive[事件／活动],737)="","",INDEX(DGArchive[事件／活动],737)))</f>
        <v/>
      </c>
      <c r="CI936" t="str">
        <f>IF(737&gt;ROWS(DGArchive[记录编号]),"",IF(INDEX(DGArchive[记录编号],737)="","",INDEX(DGArchive[记录编号],737)))</f>
        <v/>
      </c>
      <c r="CL936">
        <f t="shared" si="344"/>
        <v>0</v>
      </c>
      <c r="CM936">
        <f>IF(AND(A936=$AO$5,B936=$AQ$3,H936=1),COUNTIFS($A$200:A936,$AO$5,$B$200:B936,$AQ$3,$H$200:H936,1),0)</f>
        <v>0</v>
      </c>
      <c r="CN936">
        <f>IF(CA936="",737,1001)</f>
        <v>737</v>
      </c>
      <c r="GA936">
        <f t="shared" si="364"/>
        <v>0</v>
      </c>
      <c r="GB936">
        <f t="shared" si="365"/>
        <v>0</v>
      </c>
      <c r="GC936">
        <f>IF(AND(C936="事件记录",H936=1),COUNTIFS($C$200:C936,"事件记录",$H$200:H936,1),0)</f>
        <v>0</v>
      </c>
      <c r="GD936">
        <f t="shared" si="345"/>
        <v>0</v>
      </c>
      <c r="GH936">
        <f>IF(AND(H936=1,A936=$GA$10,B936=$GA$11),COUNTIFS($A$200:A936,$GA$10,$B$200:B936,$GA$11,$H$200:H936,1),0)</f>
        <v>0</v>
      </c>
    </row>
    <row r="937" spans="1:190">
      <c r="A937" t="str">
        <f t="shared" si="336"/>
        <v/>
      </c>
      <c r="B937" t="str">
        <f t="shared" si="337"/>
        <v/>
      </c>
      <c r="C937" t="str">
        <f t="shared" si="338"/>
        <v/>
      </c>
      <c r="D937" t="str">
        <f t="shared" si="339"/>
        <v/>
      </c>
      <c r="E937">
        <f t="shared" si="340"/>
        <v>0</v>
      </c>
      <c r="F937" t="str">
        <f t="shared" si="341"/>
        <v/>
      </c>
      <c r="G937">
        <f t="shared" si="342"/>
        <v>0</v>
      </c>
      <c r="H937">
        <f>IF(AND(G937=1,COUNTIFS($I$200:I937,I937,$G$200:G937,1)=1),1,0)</f>
        <v>0</v>
      </c>
      <c r="I937" t="str">
        <f t="shared" si="343"/>
        <v/>
      </c>
      <c r="BF937">
        <f t="shared" si="346"/>
        <v>0</v>
      </c>
      <c r="BG937">
        <f t="shared" si="347"/>
        <v>0</v>
      </c>
      <c r="BH937">
        <f t="shared" si="348"/>
        <v>0</v>
      </c>
      <c r="BI937">
        <f t="shared" si="349"/>
        <v>0</v>
      </c>
      <c r="BJ937">
        <f t="shared" si="350"/>
        <v>0</v>
      </c>
      <c r="BK937">
        <f t="shared" si="351"/>
        <v>0</v>
      </c>
      <c r="BL937">
        <f t="shared" si="352"/>
        <v>0</v>
      </c>
      <c r="BM937">
        <f t="shared" si="353"/>
        <v>0</v>
      </c>
      <c r="BN937">
        <f t="shared" si="354"/>
        <v>0</v>
      </c>
      <c r="BO937">
        <f t="shared" si="355"/>
        <v>0</v>
      </c>
      <c r="BP937">
        <f t="shared" si="356"/>
        <v>0</v>
      </c>
      <c r="BQ937">
        <f t="shared" si="357"/>
        <v>0</v>
      </c>
      <c r="BR937">
        <f t="shared" si="358"/>
        <v>0</v>
      </c>
      <c r="BS937">
        <f t="shared" si="359"/>
        <v>0</v>
      </c>
      <c r="BT937">
        <f t="shared" si="360"/>
        <v>0</v>
      </c>
      <c r="BU937">
        <f t="shared" si="361"/>
        <v>0</v>
      </c>
      <c r="BV937">
        <f t="shared" si="362"/>
        <v>0</v>
      </c>
      <c r="BW937">
        <f t="shared" si="363"/>
        <v>0</v>
      </c>
      <c r="CA937" t="str">
        <f>IF(738&gt;ROWS(DGArchive[模组]),"",IF(INDEX(DGArchive[模组],738)="","",INDEX(DGArchive[模组],738)))</f>
        <v/>
      </c>
      <c r="CB937" t="str">
        <f>IF(738&gt;ROWS(DGArchive[阶段]),"",IF(INDEX(DGArchive[阶段],738)="","",INDEX(DGArchive[阶段],738)))</f>
        <v/>
      </c>
      <c r="CC937" t="str">
        <f>IF(738&gt;ROWS(DGArchive[游戏内日期]),"",IF(INDEX(DGArchive[游戏内日期],738)="","",INDEX(DGArchive[游戏内日期],738)))</f>
        <v/>
      </c>
      <c r="CD937" t="str">
        <f>IF(738&gt;ROWS(DGArchive[目标]),"",IF(INDEX(DGArchive[目标],738)="","",INDEX(DGArchive[目标],738)))</f>
        <v/>
      </c>
      <c r="CE937" t="str">
        <f>IF(738&gt;ROWS(DGArchive[变更前]),"",IF(INDEX(DGArchive[变更前],738)="","",INDEX(DGArchive[变更前],738)))</f>
        <v/>
      </c>
      <c r="CF937" t="str">
        <f>IF(738&gt;ROWS(DGArchive[增减]),"",IF(INDEX(DGArchive[增减],738)="","",INDEX(DGArchive[增减],738)))</f>
        <v/>
      </c>
      <c r="CG937" t="str">
        <f>IF(738&gt;ROWS(DGArchive[变更后]),"",IF(INDEX(DGArchive[变更后],738)="","",INDEX(DGArchive[变更后],738)))</f>
        <v/>
      </c>
      <c r="CH937" t="str">
        <f>IF(738&gt;ROWS(DGArchive[事件／活动]),"",IF(INDEX(DGArchive[事件／活动],738)="","",INDEX(DGArchive[事件／活动],738)))</f>
        <v/>
      </c>
      <c r="CI937" t="str">
        <f>IF(738&gt;ROWS(DGArchive[记录编号]),"",IF(INDEX(DGArchive[记录编号],738)="","",INDEX(DGArchive[记录编号],738)))</f>
        <v/>
      </c>
      <c r="CL937">
        <f t="shared" si="344"/>
        <v>0</v>
      </c>
      <c r="CM937">
        <f>IF(AND(A937=$AO$5,B937=$AQ$3,H937=1),COUNTIFS($A$200:A937,$AO$5,$B$200:B937,$AQ$3,$H$200:H937,1),0)</f>
        <v>0</v>
      </c>
      <c r="CN937">
        <f>IF(CA937="",738,1001)</f>
        <v>738</v>
      </c>
      <c r="GA937">
        <f t="shared" si="364"/>
        <v>0</v>
      </c>
      <c r="GB937">
        <f t="shared" si="365"/>
        <v>0</v>
      </c>
      <c r="GC937">
        <f>IF(AND(C937="事件记录",H937=1),COUNTIFS($C$200:C937,"事件记录",$H$200:H937,1),0)</f>
        <v>0</v>
      </c>
      <c r="GD937">
        <f t="shared" si="345"/>
        <v>0</v>
      </c>
      <c r="GH937">
        <f>IF(AND(H937=1,A937=$GA$10,B937=$GA$11),COUNTIFS($A$200:A937,$GA$10,$B$200:B937,$GA$11,$H$200:H937,1),0)</f>
        <v>0</v>
      </c>
    </row>
    <row r="938" spans="1:190">
      <c r="A938" t="str">
        <f t="shared" si="336"/>
        <v/>
      </c>
      <c r="B938" t="str">
        <f t="shared" si="337"/>
        <v/>
      </c>
      <c r="C938" t="str">
        <f t="shared" si="338"/>
        <v/>
      </c>
      <c r="D938" t="str">
        <f t="shared" si="339"/>
        <v/>
      </c>
      <c r="E938">
        <f t="shared" si="340"/>
        <v>0</v>
      </c>
      <c r="F938" t="str">
        <f t="shared" si="341"/>
        <v/>
      </c>
      <c r="G938">
        <f t="shared" si="342"/>
        <v>0</v>
      </c>
      <c r="H938">
        <f>IF(AND(G938=1,COUNTIFS($I$200:I938,I938,$G$200:G938,1)=1),1,0)</f>
        <v>0</v>
      </c>
      <c r="I938" t="str">
        <f t="shared" si="343"/>
        <v/>
      </c>
      <c r="BF938">
        <f t="shared" si="346"/>
        <v>0</v>
      </c>
      <c r="BG938">
        <f t="shared" si="347"/>
        <v>0</v>
      </c>
      <c r="BH938">
        <f t="shared" si="348"/>
        <v>0</v>
      </c>
      <c r="BI938">
        <f t="shared" si="349"/>
        <v>0</v>
      </c>
      <c r="BJ938">
        <f t="shared" si="350"/>
        <v>0</v>
      </c>
      <c r="BK938">
        <f t="shared" si="351"/>
        <v>0</v>
      </c>
      <c r="BL938">
        <f t="shared" si="352"/>
        <v>0</v>
      </c>
      <c r="BM938">
        <f t="shared" si="353"/>
        <v>0</v>
      </c>
      <c r="BN938">
        <f t="shared" si="354"/>
        <v>0</v>
      </c>
      <c r="BO938">
        <f t="shared" si="355"/>
        <v>0</v>
      </c>
      <c r="BP938">
        <f t="shared" si="356"/>
        <v>0</v>
      </c>
      <c r="BQ938">
        <f t="shared" si="357"/>
        <v>0</v>
      </c>
      <c r="BR938">
        <f t="shared" si="358"/>
        <v>0</v>
      </c>
      <c r="BS938">
        <f t="shared" si="359"/>
        <v>0</v>
      </c>
      <c r="BT938">
        <f t="shared" si="360"/>
        <v>0</v>
      </c>
      <c r="BU938">
        <f t="shared" si="361"/>
        <v>0</v>
      </c>
      <c r="BV938">
        <f t="shared" si="362"/>
        <v>0</v>
      </c>
      <c r="BW938">
        <f t="shared" si="363"/>
        <v>0</v>
      </c>
      <c r="CA938" t="str">
        <f>IF(739&gt;ROWS(DGArchive[模组]),"",IF(INDEX(DGArchive[模组],739)="","",INDEX(DGArchive[模组],739)))</f>
        <v/>
      </c>
      <c r="CB938" t="str">
        <f>IF(739&gt;ROWS(DGArchive[阶段]),"",IF(INDEX(DGArchive[阶段],739)="","",INDEX(DGArchive[阶段],739)))</f>
        <v/>
      </c>
      <c r="CC938" t="str">
        <f>IF(739&gt;ROWS(DGArchive[游戏内日期]),"",IF(INDEX(DGArchive[游戏内日期],739)="","",INDEX(DGArchive[游戏内日期],739)))</f>
        <v/>
      </c>
      <c r="CD938" t="str">
        <f>IF(739&gt;ROWS(DGArchive[目标]),"",IF(INDEX(DGArchive[目标],739)="","",INDEX(DGArchive[目标],739)))</f>
        <v/>
      </c>
      <c r="CE938" t="str">
        <f>IF(739&gt;ROWS(DGArchive[变更前]),"",IF(INDEX(DGArchive[变更前],739)="","",INDEX(DGArchive[变更前],739)))</f>
        <v/>
      </c>
      <c r="CF938" t="str">
        <f>IF(739&gt;ROWS(DGArchive[增减]),"",IF(INDEX(DGArchive[增减],739)="","",INDEX(DGArchive[增减],739)))</f>
        <v/>
      </c>
      <c r="CG938" t="str">
        <f>IF(739&gt;ROWS(DGArchive[变更后]),"",IF(INDEX(DGArchive[变更后],739)="","",INDEX(DGArchive[变更后],739)))</f>
        <v/>
      </c>
      <c r="CH938" t="str">
        <f>IF(739&gt;ROWS(DGArchive[事件／活动]),"",IF(INDEX(DGArchive[事件／活动],739)="","",INDEX(DGArchive[事件／活动],739)))</f>
        <v/>
      </c>
      <c r="CI938" t="str">
        <f>IF(739&gt;ROWS(DGArchive[记录编号]),"",IF(INDEX(DGArchive[记录编号],739)="","",INDEX(DGArchive[记录编号],739)))</f>
        <v/>
      </c>
      <c r="CL938">
        <f t="shared" si="344"/>
        <v>0</v>
      </c>
      <c r="CM938">
        <f>IF(AND(A938=$AO$5,B938=$AQ$3,H938=1),COUNTIFS($A$200:A938,$AO$5,$B$200:B938,$AQ$3,$H$200:H938,1),0)</f>
        <v>0</v>
      </c>
      <c r="CN938">
        <f>IF(CA938="",739,1001)</f>
        <v>739</v>
      </c>
      <c r="GA938">
        <f t="shared" si="364"/>
        <v>0</v>
      </c>
      <c r="GB938">
        <f t="shared" si="365"/>
        <v>0</v>
      </c>
      <c r="GC938">
        <f>IF(AND(C938="事件记录",H938=1),COUNTIFS($C$200:C938,"事件记录",$H$200:H938,1),0)</f>
        <v>0</v>
      </c>
      <c r="GD938">
        <f t="shared" si="345"/>
        <v>0</v>
      </c>
      <c r="GH938">
        <f>IF(AND(H938=1,A938=$GA$10,B938=$GA$11),COUNTIFS($A$200:A938,$GA$10,$B$200:B938,$GA$11,$H$200:H938,1),0)</f>
        <v>0</v>
      </c>
    </row>
    <row r="939" spans="1:190">
      <c r="A939" t="str">
        <f t="shared" si="336"/>
        <v/>
      </c>
      <c r="B939" t="str">
        <f t="shared" si="337"/>
        <v/>
      </c>
      <c r="C939" t="str">
        <f t="shared" si="338"/>
        <v/>
      </c>
      <c r="D939" t="str">
        <f t="shared" si="339"/>
        <v/>
      </c>
      <c r="E939">
        <f t="shared" si="340"/>
        <v>0</v>
      </c>
      <c r="F939" t="str">
        <f t="shared" si="341"/>
        <v/>
      </c>
      <c r="G939">
        <f t="shared" si="342"/>
        <v>0</v>
      </c>
      <c r="H939">
        <f>IF(AND(G939=1,COUNTIFS($I$200:I939,I939,$G$200:G939,1)=1),1,0)</f>
        <v>0</v>
      </c>
      <c r="I939" t="str">
        <f t="shared" si="343"/>
        <v/>
      </c>
      <c r="BF939">
        <f t="shared" si="346"/>
        <v>0</v>
      </c>
      <c r="BG939">
        <f t="shared" si="347"/>
        <v>0</v>
      </c>
      <c r="BH939">
        <f t="shared" si="348"/>
        <v>0</v>
      </c>
      <c r="BI939">
        <f t="shared" si="349"/>
        <v>0</v>
      </c>
      <c r="BJ939">
        <f t="shared" si="350"/>
        <v>0</v>
      </c>
      <c r="BK939">
        <f t="shared" si="351"/>
        <v>0</v>
      </c>
      <c r="BL939">
        <f t="shared" si="352"/>
        <v>0</v>
      </c>
      <c r="BM939">
        <f t="shared" si="353"/>
        <v>0</v>
      </c>
      <c r="BN939">
        <f t="shared" si="354"/>
        <v>0</v>
      </c>
      <c r="BO939">
        <f t="shared" si="355"/>
        <v>0</v>
      </c>
      <c r="BP939">
        <f t="shared" si="356"/>
        <v>0</v>
      </c>
      <c r="BQ939">
        <f t="shared" si="357"/>
        <v>0</v>
      </c>
      <c r="BR939">
        <f t="shared" si="358"/>
        <v>0</v>
      </c>
      <c r="BS939">
        <f t="shared" si="359"/>
        <v>0</v>
      </c>
      <c r="BT939">
        <f t="shared" si="360"/>
        <v>0</v>
      </c>
      <c r="BU939">
        <f t="shared" si="361"/>
        <v>0</v>
      </c>
      <c r="BV939">
        <f t="shared" si="362"/>
        <v>0</v>
      </c>
      <c r="BW939">
        <f t="shared" si="363"/>
        <v>0</v>
      </c>
      <c r="CA939" t="str">
        <f>IF(740&gt;ROWS(DGArchive[模组]),"",IF(INDEX(DGArchive[模组],740)="","",INDEX(DGArchive[模组],740)))</f>
        <v/>
      </c>
      <c r="CB939" t="str">
        <f>IF(740&gt;ROWS(DGArchive[阶段]),"",IF(INDEX(DGArchive[阶段],740)="","",INDEX(DGArchive[阶段],740)))</f>
        <v/>
      </c>
      <c r="CC939" t="str">
        <f>IF(740&gt;ROWS(DGArchive[游戏内日期]),"",IF(INDEX(DGArchive[游戏内日期],740)="","",INDEX(DGArchive[游戏内日期],740)))</f>
        <v/>
      </c>
      <c r="CD939" t="str">
        <f>IF(740&gt;ROWS(DGArchive[目标]),"",IF(INDEX(DGArchive[目标],740)="","",INDEX(DGArchive[目标],740)))</f>
        <v/>
      </c>
      <c r="CE939" t="str">
        <f>IF(740&gt;ROWS(DGArchive[变更前]),"",IF(INDEX(DGArchive[变更前],740)="","",INDEX(DGArchive[变更前],740)))</f>
        <v/>
      </c>
      <c r="CF939" t="str">
        <f>IF(740&gt;ROWS(DGArchive[增减]),"",IF(INDEX(DGArchive[增减],740)="","",INDEX(DGArchive[增减],740)))</f>
        <v/>
      </c>
      <c r="CG939" t="str">
        <f>IF(740&gt;ROWS(DGArchive[变更后]),"",IF(INDEX(DGArchive[变更后],740)="","",INDEX(DGArchive[变更后],740)))</f>
        <v/>
      </c>
      <c r="CH939" t="str">
        <f>IF(740&gt;ROWS(DGArchive[事件／活动]),"",IF(INDEX(DGArchive[事件／活动],740)="","",INDEX(DGArchive[事件／活动],740)))</f>
        <v/>
      </c>
      <c r="CI939" t="str">
        <f>IF(740&gt;ROWS(DGArchive[记录编号]),"",IF(INDEX(DGArchive[记录编号],740)="","",INDEX(DGArchive[记录编号],740)))</f>
        <v/>
      </c>
      <c r="CL939">
        <f t="shared" si="344"/>
        <v>0</v>
      </c>
      <c r="CM939">
        <f>IF(AND(A939=$AO$5,B939=$AQ$3,H939=1),COUNTIFS($A$200:A939,$AO$5,$B$200:B939,$AQ$3,$H$200:H939,1),0)</f>
        <v>0</v>
      </c>
      <c r="CN939">
        <f>IF(CA939="",740,1001)</f>
        <v>740</v>
      </c>
      <c r="GA939">
        <f t="shared" si="364"/>
        <v>0</v>
      </c>
      <c r="GB939">
        <f t="shared" si="365"/>
        <v>0</v>
      </c>
      <c r="GC939">
        <f>IF(AND(C939="事件记录",H939=1),COUNTIFS($C$200:C939,"事件记录",$H$200:H939,1),0)</f>
        <v>0</v>
      </c>
      <c r="GD939">
        <f t="shared" si="345"/>
        <v>0</v>
      </c>
      <c r="GH939">
        <f>IF(AND(H939=1,A939=$GA$10,B939=$GA$11),COUNTIFS($A$200:A939,$GA$10,$B$200:B939,$GA$11,$H$200:H939,1),0)</f>
        <v>0</v>
      </c>
    </row>
    <row r="940" spans="1:190">
      <c r="A940" t="str">
        <f t="shared" si="336"/>
        <v/>
      </c>
      <c r="B940" t="str">
        <f t="shared" si="337"/>
        <v/>
      </c>
      <c r="C940" t="str">
        <f t="shared" si="338"/>
        <v/>
      </c>
      <c r="D940" t="str">
        <f t="shared" si="339"/>
        <v/>
      </c>
      <c r="E940">
        <f t="shared" si="340"/>
        <v>0</v>
      </c>
      <c r="F940" t="str">
        <f t="shared" si="341"/>
        <v/>
      </c>
      <c r="G940">
        <f t="shared" si="342"/>
        <v>0</v>
      </c>
      <c r="H940">
        <f>IF(AND(G940=1,COUNTIFS($I$200:I940,I940,$G$200:G940,1)=1),1,0)</f>
        <v>0</v>
      </c>
      <c r="I940" t="str">
        <f t="shared" si="343"/>
        <v/>
      </c>
      <c r="BF940">
        <f t="shared" si="346"/>
        <v>0</v>
      </c>
      <c r="BG940">
        <f t="shared" si="347"/>
        <v>0</v>
      </c>
      <c r="BH940">
        <f t="shared" si="348"/>
        <v>0</v>
      </c>
      <c r="BI940">
        <f t="shared" si="349"/>
        <v>0</v>
      </c>
      <c r="BJ940">
        <f t="shared" si="350"/>
        <v>0</v>
      </c>
      <c r="BK940">
        <f t="shared" si="351"/>
        <v>0</v>
      </c>
      <c r="BL940">
        <f t="shared" si="352"/>
        <v>0</v>
      </c>
      <c r="BM940">
        <f t="shared" si="353"/>
        <v>0</v>
      </c>
      <c r="BN940">
        <f t="shared" si="354"/>
        <v>0</v>
      </c>
      <c r="BO940">
        <f t="shared" si="355"/>
        <v>0</v>
      </c>
      <c r="BP940">
        <f t="shared" si="356"/>
        <v>0</v>
      </c>
      <c r="BQ940">
        <f t="shared" si="357"/>
        <v>0</v>
      </c>
      <c r="BR940">
        <f t="shared" si="358"/>
        <v>0</v>
      </c>
      <c r="BS940">
        <f t="shared" si="359"/>
        <v>0</v>
      </c>
      <c r="BT940">
        <f t="shared" si="360"/>
        <v>0</v>
      </c>
      <c r="BU940">
        <f t="shared" si="361"/>
        <v>0</v>
      </c>
      <c r="BV940">
        <f t="shared" si="362"/>
        <v>0</v>
      </c>
      <c r="BW940">
        <f t="shared" si="363"/>
        <v>0</v>
      </c>
      <c r="CA940" t="str">
        <f>IF(741&gt;ROWS(DGArchive[模组]),"",IF(INDEX(DGArchive[模组],741)="","",INDEX(DGArchive[模组],741)))</f>
        <v/>
      </c>
      <c r="CB940" t="str">
        <f>IF(741&gt;ROWS(DGArchive[阶段]),"",IF(INDEX(DGArchive[阶段],741)="","",INDEX(DGArchive[阶段],741)))</f>
        <v/>
      </c>
      <c r="CC940" t="str">
        <f>IF(741&gt;ROWS(DGArchive[游戏内日期]),"",IF(INDEX(DGArchive[游戏内日期],741)="","",INDEX(DGArchive[游戏内日期],741)))</f>
        <v/>
      </c>
      <c r="CD940" t="str">
        <f>IF(741&gt;ROWS(DGArchive[目标]),"",IF(INDEX(DGArchive[目标],741)="","",INDEX(DGArchive[目标],741)))</f>
        <v/>
      </c>
      <c r="CE940" t="str">
        <f>IF(741&gt;ROWS(DGArchive[变更前]),"",IF(INDEX(DGArchive[变更前],741)="","",INDEX(DGArchive[变更前],741)))</f>
        <v/>
      </c>
      <c r="CF940" t="str">
        <f>IF(741&gt;ROWS(DGArchive[增减]),"",IF(INDEX(DGArchive[增减],741)="","",INDEX(DGArchive[增减],741)))</f>
        <v/>
      </c>
      <c r="CG940" t="str">
        <f>IF(741&gt;ROWS(DGArchive[变更后]),"",IF(INDEX(DGArchive[变更后],741)="","",INDEX(DGArchive[变更后],741)))</f>
        <v/>
      </c>
      <c r="CH940" t="str">
        <f>IF(741&gt;ROWS(DGArchive[事件／活动]),"",IF(INDEX(DGArchive[事件／活动],741)="","",INDEX(DGArchive[事件／活动],741)))</f>
        <v/>
      </c>
      <c r="CI940" t="str">
        <f>IF(741&gt;ROWS(DGArchive[记录编号]),"",IF(INDEX(DGArchive[记录编号],741)="","",INDEX(DGArchive[记录编号],741)))</f>
        <v/>
      </c>
      <c r="CL940">
        <f t="shared" si="344"/>
        <v>0</v>
      </c>
      <c r="CM940">
        <f>IF(AND(A940=$AO$5,B940=$AQ$3,H940=1),COUNTIFS($A$200:A940,$AO$5,$B$200:B940,$AQ$3,$H$200:H940,1),0)</f>
        <v>0</v>
      </c>
      <c r="CN940">
        <f>IF(CA940="",741,1001)</f>
        <v>741</v>
      </c>
      <c r="GA940">
        <f t="shared" si="364"/>
        <v>0</v>
      </c>
      <c r="GB940">
        <f t="shared" si="365"/>
        <v>0</v>
      </c>
      <c r="GC940">
        <f>IF(AND(C940="事件记录",H940=1),COUNTIFS($C$200:C940,"事件记录",$H$200:H940,1),0)</f>
        <v>0</v>
      </c>
      <c r="GD940">
        <f t="shared" si="345"/>
        <v>0</v>
      </c>
      <c r="GH940">
        <f>IF(AND(H940=1,A940=$GA$10,B940=$GA$11),COUNTIFS($A$200:A940,$GA$10,$B$200:B940,$GA$11,$H$200:H940,1),0)</f>
        <v>0</v>
      </c>
    </row>
    <row r="941" spans="1:190">
      <c r="A941" t="str">
        <f t="shared" si="336"/>
        <v/>
      </c>
      <c r="B941" t="str">
        <f t="shared" si="337"/>
        <v/>
      </c>
      <c r="C941" t="str">
        <f t="shared" si="338"/>
        <v/>
      </c>
      <c r="D941" t="str">
        <f t="shared" si="339"/>
        <v/>
      </c>
      <c r="E941">
        <f t="shared" si="340"/>
        <v>0</v>
      </c>
      <c r="F941" t="str">
        <f t="shared" si="341"/>
        <v/>
      </c>
      <c r="G941">
        <f t="shared" si="342"/>
        <v>0</v>
      </c>
      <c r="H941">
        <f>IF(AND(G941=1,COUNTIFS($I$200:I941,I941,$G$200:G941,1)=1),1,0)</f>
        <v>0</v>
      </c>
      <c r="I941" t="str">
        <f t="shared" si="343"/>
        <v/>
      </c>
      <c r="BF941">
        <f t="shared" si="346"/>
        <v>0</v>
      </c>
      <c r="BG941">
        <f t="shared" si="347"/>
        <v>0</v>
      </c>
      <c r="BH941">
        <f t="shared" si="348"/>
        <v>0</v>
      </c>
      <c r="BI941">
        <f t="shared" si="349"/>
        <v>0</v>
      </c>
      <c r="BJ941">
        <f t="shared" si="350"/>
        <v>0</v>
      </c>
      <c r="BK941">
        <f t="shared" si="351"/>
        <v>0</v>
      </c>
      <c r="BL941">
        <f t="shared" si="352"/>
        <v>0</v>
      </c>
      <c r="BM941">
        <f t="shared" si="353"/>
        <v>0</v>
      </c>
      <c r="BN941">
        <f t="shared" si="354"/>
        <v>0</v>
      </c>
      <c r="BO941">
        <f t="shared" si="355"/>
        <v>0</v>
      </c>
      <c r="BP941">
        <f t="shared" si="356"/>
        <v>0</v>
      </c>
      <c r="BQ941">
        <f t="shared" si="357"/>
        <v>0</v>
      </c>
      <c r="BR941">
        <f t="shared" si="358"/>
        <v>0</v>
      </c>
      <c r="BS941">
        <f t="shared" si="359"/>
        <v>0</v>
      </c>
      <c r="BT941">
        <f t="shared" si="360"/>
        <v>0</v>
      </c>
      <c r="BU941">
        <f t="shared" si="361"/>
        <v>0</v>
      </c>
      <c r="BV941">
        <f t="shared" si="362"/>
        <v>0</v>
      </c>
      <c r="BW941">
        <f t="shared" si="363"/>
        <v>0</v>
      </c>
      <c r="CA941" t="str">
        <f>IF(742&gt;ROWS(DGArchive[模组]),"",IF(INDEX(DGArchive[模组],742)="","",INDEX(DGArchive[模组],742)))</f>
        <v/>
      </c>
      <c r="CB941" t="str">
        <f>IF(742&gt;ROWS(DGArchive[阶段]),"",IF(INDEX(DGArchive[阶段],742)="","",INDEX(DGArchive[阶段],742)))</f>
        <v/>
      </c>
      <c r="CC941" t="str">
        <f>IF(742&gt;ROWS(DGArchive[游戏内日期]),"",IF(INDEX(DGArchive[游戏内日期],742)="","",INDEX(DGArchive[游戏内日期],742)))</f>
        <v/>
      </c>
      <c r="CD941" t="str">
        <f>IF(742&gt;ROWS(DGArchive[目标]),"",IF(INDEX(DGArchive[目标],742)="","",INDEX(DGArchive[目标],742)))</f>
        <v/>
      </c>
      <c r="CE941" t="str">
        <f>IF(742&gt;ROWS(DGArchive[变更前]),"",IF(INDEX(DGArchive[变更前],742)="","",INDEX(DGArchive[变更前],742)))</f>
        <v/>
      </c>
      <c r="CF941" t="str">
        <f>IF(742&gt;ROWS(DGArchive[增减]),"",IF(INDEX(DGArchive[增减],742)="","",INDEX(DGArchive[增减],742)))</f>
        <v/>
      </c>
      <c r="CG941" t="str">
        <f>IF(742&gt;ROWS(DGArchive[变更后]),"",IF(INDEX(DGArchive[变更后],742)="","",INDEX(DGArchive[变更后],742)))</f>
        <v/>
      </c>
      <c r="CH941" t="str">
        <f>IF(742&gt;ROWS(DGArchive[事件／活动]),"",IF(INDEX(DGArchive[事件／活动],742)="","",INDEX(DGArchive[事件／活动],742)))</f>
        <v/>
      </c>
      <c r="CI941" t="str">
        <f>IF(742&gt;ROWS(DGArchive[记录编号]),"",IF(INDEX(DGArchive[记录编号],742)="","",INDEX(DGArchive[记录编号],742)))</f>
        <v/>
      </c>
      <c r="CL941">
        <f t="shared" si="344"/>
        <v>0</v>
      </c>
      <c r="CM941">
        <f>IF(AND(A941=$AO$5,B941=$AQ$3,H941=1),COUNTIFS($A$200:A941,$AO$5,$B$200:B941,$AQ$3,$H$200:H941,1),0)</f>
        <v>0</v>
      </c>
      <c r="CN941">
        <f>IF(CA941="",742,1001)</f>
        <v>742</v>
      </c>
      <c r="GA941">
        <f t="shared" si="364"/>
        <v>0</v>
      </c>
      <c r="GB941">
        <f t="shared" si="365"/>
        <v>0</v>
      </c>
      <c r="GC941">
        <f>IF(AND(C941="事件记录",H941=1),COUNTIFS($C$200:C941,"事件记录",$H$200:H941,1),0)</f>
        <v>0</v>
      </c>
      <c r="GD941">
        <f t="shared" si="345"/>
        <v>0</v>
      </c>
      <c r="GH941">
        <f>IF(AND(H941=1,A941=$GA$10,B941=$GA$11),COUNTIFS($A$200:A941,$GA$10,$B$200:B941,$GA$11,$H$200:H941,1),0)</f>
        <v>0</v>
      </c>
    </row>
    <row r="942" spans="1:190">
      <c r="A942" t="str">
        <f t="shared" si="336"/>
        <v/>
      </c>
      <c r="B942" t="str">
        <f t="shared" si="337"/>
        <v/>
      </c>
      <c r="C942" t="str">
        <f t="shared" si="338"/>
        <v/>
      </c>
      <c r="D942" t="str">
        <f t="shared" si="339"/>
        <v/>
      </c>
      <c r="E942">
        <f t="shared" si="340"/>
        <v>0</v>
      </c>
      <c r="F942" t="str">
        <f t="shared" si="341"/>
        <v/>
      </c>
      <c r="G942">
        <f t="shared" si="342"/>
        <v>0</v>
      </c>
      <c r="H942">
        <f>IF(AND(G942=1,COUNTIFS($I$200:I942,I942,$G$200:G942,1)=1),1,0)</f>
        <v>0</v>
      </c>
      <c r="I942" t="str">
        <f t="shared" si="343"/>
        <v/>
      </c>
      <c r="BF942">
        <f t="shared" si="346"/>
        <v>0</v>
      </c>
      <c r="BG942">
        <f t="shared" si="347"/>
        <v>0</v>
      </c>
      <c r="BH942">
        <f t="shared" si="348"/>
        <v>0</v>
      </c>
      <c r="BI942">
        <f t="shared" si="349"/>
        <v>0</v>
      </c>
      <c r="BJ942">
        <f t="shared" si="350"/>
        <v>0</v>
      </c>
      <c r="BK942">
        <f t="shared" si="351"/>
        <v>0</v>
      </c>
      <c r="BL942">
        <f t="shared" si="352"/>
        <v>0</v>
      </c>
      <c r="BM942">
        <f t="shared" si="353"/>
        <v>0</v>
      </c>
      <c r="BN942">
        <f t="shared" si="354"/>
        <v>0</v>
      </c>
      <c r="BO942">
        <f t="shared" si="355"/>
        <v>0</v>
      </c>
      <c r="BP942">
        <f t="shared" si="356"/>
        <v>0</v>
      </c>
      <c r="BQ942">
        <f t="shared" si="357"/>
        <v>0</v>
      </c>
      <c r="BR942">
        <f t="shared" si="358"/>
        <v>0</v>
      </c>
      <c r="BS942">
        <f t="shared" si="359"/>
        <v>0</v>
      </c>
      <c r="BT942">
        <f t="shared" si="360"/>
        <v>0</v>
      </c>
      <c r="BU942">
        <f t="shared" si="361"/>
        <v>0</v>
      </c>
      <c r="BV942">
        <f t="shared" si="362"/>
        <v>0</v>
      </c>
      <c r="BW942">
        <f t="shared" si="363"/>
        <v>0</v>
      </c>
      <c r="CA942" t="str">
        <f>IF(743&gt;ROWS(DGArchive[模组]),"",IF(INDEX(DGArchive[模组],743)="","",INDEX(DGArchive[模组],743)))</f>
        <v/>
      </c>
      <c r="CB942" t="str">
        <f>IF(743&gt;ROWS(DGArchive[阶段]),"",IF(INDEX(DGArchive[阶段],743)="","",INDEX(DGArchive[阶段],743)))</f>
        <v/>
      </c>
      <c r="CC942" t="str">
        <f>IF(743&gt;ROWS(DGArchive[游戏内日期]),"",IF(INDEX(DGArchive[游戏内日期],743)="","",INDEX(DGArchive[游戏内日期],743)))</f>
        <v/>
      </c>
      <c r="CD942" t="str">
        <f>IF(743&gt;ROWS(DGArchive[目标]),"",IF(INDEX(DGArchive[目标],743)="","",INDEX(DGArchive[目标],743)))</f>
        <v/>
      </c>
      <c r="CE942" t="str">
        <f>IF(743&gt;ROWS(DGArchive[变更前]),"",IF(INDEX(DGArchive[变更前],743)="","",INDEX(DGArchive[变更前],743)))</f>
        <v/>
      </c>
      <c r="CF942" t="str">
        <f>IF(743&gt;ROWS(DGArchive[增减]),"",IF(INDEX(DGArchive[增减],743)="","",INDEX(DGArchive[增减],743)))</f>
        <v/>
      </c>
      <c r="CG942" t="str">
        <f>IF(743&gt;ROWS(DGArchive[变更后]),"",IF(INDEX(DGArchive[变更后],743)="","",INDEX(DGArchive[变更后],743)))</f>
        <v/>
      </c>
      <c r="CH942" t="str">
        <f>IF(743&gt;ROWS(DGArchive[事件／活动]),"",IF(INDEX(DGArchive[事件／活动],743)="","",INDEX(DGArchive[事件／活动],743)))</f>
        <v/>
      </c>
      <c r="CI942" t="str">
        <f>IF(743&gt;ROWS(DGArchive[记录编号]),"",IF(INDEX(DGArchive[记录编号],743)="","",INDEX(DGArchive[记录编号],743)))</f>
        <v/>
      </c>
      <c r="CL942">
        <f t="shared" si="344"/>
        <v>0</v>
      </c>
      <c r="CM942">
        <f>IF(AND(A942=$AO$5,B942=$AQ$3,H942=1),COUNTIFS($A$200:A942,$AO$5,$B$200:B942,$AQ$3,$H$200:H942,1),0)</f>
        <v>0</v>
      </c>
      <c r="CN942">
        <f>IF(CA942="",743,1001)</f>
        <v>743</v>
      </c>
      <c r="GA942">
        <f t="shared" si="364"/>
        <v>0</v>
      </c>
      <c r="GB942">
        <f t="shared" si="365"/>
        <v>0</v>
      </c>
      <c r="GC942">
        <f>IF(AND(C942="事件记录",H942=1),COUNTIFS($C$200:C942,"事件记录",$H$200:H942,1),0)</f>
        <v>0</v>
      </c>
      <c r="GD942">
        <f t="shared" si="345"/>
        <v>0</v>
      </c>
      <c r="GH942">
        <f>IF(AND(H942=1,A942=$GA$10,B942=$GA$11),COUNTIFS($A$200:A942,$GA$10,$B$200:B942,$GA$11,$H$200:H942,1),0)</f>
        <v>0</v>
      </c>
    </row>
    <row r="943" spans="1:190">
      <c r="A943" t="str">
        <f t="shared" si="336"/>
        <v/>
      </c>
      <c r="B943" t="str">
        <f t="shared" si="337"/>
        <v/>
      </c>
      <c r="C943" t="str">
        <f t="shared" si="338"/>
        <v/>
      </c>
      <c r="D943" t="str">
        <f t="shared" si="339"/>
        <v/>
      </c>
      <c r="E943">
        <f t="shared" si="340"/>
        <v>0</v>
      </c>
      <c r="F943" t="str">
        <f t="shared" si="341"/>
        <v/>
      </c>
      <c r="G943">
        <f t="shared" si="342"/>
        <v>0</v>
      </c>
      <c r="H943">
        <f>IF(AND(G943=1,COUNTIFS($I$200:I943,I943,$G$200:G943,1)=1),1,0)</f>
        <v>0</v>
      </c>
      <c r="I943" t="str">
        <f t="shared" si="343"/>
        <v/>
      </c>
      <c r="BF943">
        <f t="shared" si="346"/>
        <v>0</v>
      </c>
      <c r="BG943">
        <f t="shared" si="347"/>
        <v>0</v>
      </c>
      <c r="BH943">
        <f t="shared" si="348"/>
        <v>0</v>
      </c>
      <c r="BI943">
        <f t="shared" si="349"/>
        <v>0</v>
      </c>
      <c r="BJ943">
        <f t="shared" si="350"/>
        <v>0</v>
      </c>
      <c r="BK943">
        <f t="shared" si="351"/>
        <v>0</v>
      </c>
      <c r="BL943">
        <f t="shared" si="352"/>
        <v>0</v>
      </c>
      <c r="BM943">
        <f t="shared" si="353"/>
        <v>0</v>
      </c>
      <c r="BN943">
        <f t="shared" si="354"/>
        <v>0</v>
      </c>
      <c r="BO943">
        <f t="shared" si="355"/>
        <v>0</v>
      </c>
      <c r="BP943">
        <f t="shared" si="356"/>
        <v>0</v>
      </c>
      <c r="BQ943">
        <f t="shared" si="357"/>
        <v>0</v>
      </c>
      <c r="BR943">
        <f t="shared" si="358"/>
        <v>0</v>
      </c>
      <c r="BS943">
        <f t="shared" si="359"/>
        <v>0</v>
      </c>
      <c r="BT943">
        <f t="shared" si="360"/>
        <v>0</v>
      </c>
      <c r="BU943">
        <f t="shared" si="361"/>
        <v>0</v>
      </c>
      <c r="BV943">
        <f t="shared" si="362"/>
        <v>0</v>
      </c>
      <c r="BW943">
        <f t="shared" si="363"/>
        <v>0</v>
      </c>
      <c r="CA943" t="str">
        <f>IF(744&gt;ROWS(DGArchive[模组]),"",IF(INDEX(DGArchive[模组],744)="","",INDEX(DGArchive[模组],744)))</f>
        <v/>
      </c>
      <c r="CB943" t="str">
        <f>IF(744&gt;ROWS(DGArchive[阶段]),"",IF(INDEX(DGArchive[阶段],744)="","",INDEX(DGArchive[阶段],744)))</f>
        <v/>
      </c>
      <c r="CC943" t="str">
        <f>IF(744&gt;ROWS(DGArchive[游戏内日期]),"",IF(INDEX(DGArchive[游戏内日期],744)="","",INDEX(DGArchive[游戏内日期],744)))</f>
        <v/>
      </c>
      <c r="CD943" t="str">
        <f>IF(744&gt;ROWS(DGArchive[目标]),"",IF(INDEX(DGArchive[目标],744)="","",INDEX(DGArchive[目标],744)))</f>
        <v/>
      </c>
      <c r="CE943" t="str">
        <f>IF(744&gt;ROWS(DGArchive[变更前]),"",IF(INDEX(DGArchive[变更前],744)="","",INDEX(DGArchive[变更前],744)))</f>
        <v/>
      </c>
      <c r="CF943" t="str">
        <f>IF(744&gt;ROWS(DGArchive[增减]),"",IF(INDEX(DGArchive[增减],744)="","",INDEX(DGArchive[增减],744)))</f>
        <v/>
      </c>
      <c r="CG943" t="str">
        <f>IF(744&gt;ROWS(DGArchive[变更后]),"",IF(INDEX(DGArchive[变更后],744)="","",INDEX(DGArchive[变更后],744)))</f>
        <v/>
      </c>
      <c r="CH943" t="str">
        <f>IF(744&gt;ROWS(DGArchive[事件／活动]),"",IF(INDEX(DGArchive[事件／活动],744)="","",INDEX(DGArchive[事件／活动],744)))</f>
        <v/>
      </c>
      <c r="CI943" t="str">
        <f>IF(744&gt;ROWS(DGArchive[记录编号]),"",IF(INDEX(DGArchive[记录编号],744)="","",INDEX(DGArchive[记录编号],744)))</f>
        <v/>
      </c>
      <c r="CL943">
        <f t="shared" si="344"/>
        <v>0</v>
      </c>
      <c r="CM943">
        <f>IF(AND(A943=$AO$5,B943=$AQ$3,H943=1),COUNTIFS($A$200:A943,$AO$5,$B$200:B943,$AQ$3,$H$200:H943,1),0)</f>
        <v>0</v>
      </c>
      <c r="CN943">
        <f>IF(CA943="",744,1001)</f>
        <v>744</v>
      </c>
      <c r="GA943">
        <f t="shared" si="364"/>
        <v>0</v>
      </c>
      <c r="GB943">
        <f t="shared" si="365"/>
        <v>0</v>
      </c>
      <c r="GC943">
        <f>IF(AND(C943="事件记录",H943=1),COUNTIFS($C$200:C943,"事件记录",$H$200:H943,1),0)</f>
        <v>0</v>
      </c>
      <c r="GD943">
        <f t="shared" si="345"/>
        <v>0</v>
      </c>
      <c r="GH943">
        <f>IF(AND(H943=1,A943=$GA$10,B943=$GA$11),COUNTIFS($A$200:A943,$GA$10,$B$200:B943,$GA$11,$H$200:H943,1),0)</f>
        <v>0</v>
      </c>
    </row>
    <row r="944" spans="1:190">
      <c r="A944" t="str">
        <f t="shared" si="336"/>
        <v/>
      </c>
      <c r="B944" t="str">
        <f t="shared" si="337"/>
        <v/>
      </c>
      <c r="C944" t="str">
        <f t="shared" si="338"/>
        <v/>
      </c>
      <c r="D944" t="str">
        <f t="shared" si="339"/>
        <v/>
      </c>
      <c r="E944">
        <f t="shared" si="340"/>
        <v>0</v>
      </c>
      <c r="F944" t="str">
        <f t="shared" si="341"/>
        <v/>
      </c>
      <c r="G944">
        <f t="shared" si="342"/>
        <v>0</v>
      </c>
      <c r="H944">
        <f>IF(AND(G944=1,COUNTIFS($I$200:I944,I944,$G$200:G944,1)=1),1,0)</f>
        <v>0</v>
      </c>
      <c r="I944" t="str">
        <f t="shared" si="343"/>
        <v/>
      </c>
      <c r="BF944">
        <f t="shared" si="346"/>
        <v>0</v>
      </c>
      <c r="BG944">
        <f t="shared" si="347"/>
        <v>0</v>
      </c>
      <c r="BH944">
        <f t="shared" si="348"/>
        <v>0</v>
      </c>
      <c r="BI944">
        <f t="shared" si="349"/>
        <v>0</v>
      </c>
      <c r="BJ944">
        <f t="shared" si="350"/>
        <v>0</v>
      </c>
      <c r="BK944">
        <f t="shared" si="351"/>
        <v>0</v>
      </c>
      <c r="BL944">
        <f t="shared" si="352"/>
        <v>0</v>
      </c>
      <c r="BM944">
        <f t="shared" si="353"/>
        <v>0</v>
      </c>
      <c r="BN944">
        <f t="shared" si="354"/>
        <v>0</v>
      </c>
      <c r="BO944">
        <f t="shared" si="355"/>
        <v>0</v>
      </c>
      <c r="BP944">
        <f t="shared" si="356"/>
        <v>0</v>
      </c>
      <c r="BQ944">
        <f t="shared" si="357"/>
        <v>0</v>
      </c>
      <c r="BR944">
        <f t="shared" si="358"/>
        <v>0</v>
      </c>
      <c r="BS944">
        <f t="shared" si="359"/>
        <v>0</v>
      </c>
      <c r="BT944">
        <f t="shared" si="360"/>
        <v>0</v>
      </c>
      <c r="BU944">
        <f t="shared" si="361"/>
        <v>0</v>
      </c>
      <c r="BV944">
        <f t="shared" si="362"/>
        <v>0</v>
      </c>
      <c r="BW944">
        <f t="shared" si="363"/>
        <v>0</v>
      </c>
      <c r="CA944" t="str">
        <f>IF(745&gt;ROWS(DGArchive[模组]),"",IF(INDEX(DGArchive[模组],745)="","",INDEX(DGArchive[模组],745)))</f>
        <v/>
      </c>
      <c r="CB944" t="str">
        <f>IF(745&gt;ROWS(DGArchive[阶段]),"",IF(INDEX(DGArchive[阶段],745)="","",INDEX(DGArchive[阶段],745)))</f>
        <v/>
      </c>
      <c r="CC944" t="str">
        <f>IF(745&gt;ROWS(DGArchive[游戏内日期]),"",IF(INDEX(DGArchive[游戏内日期],745)="","",INDEX(DGArchive[游戏内日期],745)))</f>
        <v/>
      </c>
      <c r="CD944" t="str">
        <f>IF(745&gt;ROWS(DGArchive[目标]),"",IF(INDEX(DGArchive[目标],745)="","",INDEX(DGArchive[目标],745)))</f>
        <v/>
      </c>
      <c r="CE944" t="str">
        <f>IF(745&gt;ROWS(DGArchive[变更前]),"",IF(INDEX(DGArchive[变更前],745)="","",INDEX(DGArchive[变更前],745)))</f>
        <v/>
      </c>
      <c r="CF944" t="str">
        <f>IF(745&gt;ROWS(DGArchive[增减]),"",IF(INDEX(DGArchive[增减],745)="","",INDEX(DGArchive[增减],745)))</f>
        <v/>
      </c>
      <c r="CG944" t="str">
        <f>IF(745&gt;ROWS(DGArchive[变更后]),"",IF(INDEX(DGArchive[变更后],745)="","",INDEX(DGArchive[变更后],745)))</f>
        <v/>
      </c>
      <c r="CH944" t="str">
        <f>IF(745&gt;ROWS(DGArchive[事件／活动]),"",IF(INDEX(DGArchive[事件／活动],745)="","",INDEX(DGArchive[事件／活动],745)))</f>
        <v/>
      </c>
      <c r="CI944" t="str">
        <f>IF(745&gt;ROWS(DGArchive[记录编号]),"",IF(INDEX(DGArchive[记录编号],745)="","",INDEX(DGArchive[记录编号],745)))</f>
        <v/>
      </c>
      <c r="CL944">
        <f t="shared" si="344"/>
        <v>0</v>
      </c>
      <c r="CM944">
        <f>IF(AND(A944=$AO$5,B944=$AQ$3,H944=1),COUNTIFS($A$200:A944,$AO$5,$B$200:B944,$AQ$3,$H$200:H944,1),0)</f>
        <v>0</v>
      </c>
      <c r="CN944">
        <f>IF(CA944="",745,1001)</f>
        <v>745</v>
      </c>
      <c r="GA944">
        <f t="shared" si="364"/>
        <v>0</v>
      </c>
      <c r="GB944">
        <f t="shared" si="365"/>
        <v>0</v>
      </c>
      <c r="GC944">
        <f>IF(AND(C944="事件记录",H944=1),COUNTIFS($C$200:C944,"事件记录",$H$200:H944,1),0)</f>
        <v>0</v>
      </c>
      <c r="GD944">
        <f t="shared" si="345"/>
        <v>0</v>
      </c>
      <c r="GH944">
        <f>IF(AND(H944=1,A944=$GA$10,B944=$GA$11),COUNTIFS($A$200:A944,$GA$10,$B$200:B944,$GA$11,$H$200:H944,1),0)</f>
        <v>0</v>
      </c>
    </row>
    <row r="945" spans="1:190">
      <c r="A945" t="str">
        <f t="shared" si="336"/>
        <v/>
      </c>
      <c r="B945" t="str">
        <f t="shared" si="337"/>
        <v/>
      </c>
      <c r="C945" t="str">
        <f t="shared" si="338"/>
        <v/>
      </c>
      <c r="D945" t="str">
        <f t="shared" si="339"/>
        <v/>
      </c>
      <c r="E945">
        <f t="shared" si="340"/>
        <v>0</v>
      </c>
      <c r="F945" t="str">
        <f t="shared" si="341"/>
        <v/>
      </c>
      <c r="G945">
        <f t="shared" si="342"/>
        <v>0</v>
      </c>
      <c r="H945">
        <f>IF(AND(G945=1,COUNTIFS($I$200:I945,I945,$G$200:G945,1)=1),1,0)</f>
        <v>0</v>
      </c>
      <c r="I945" t="str">
        <f t="shared" si="343"/>
        <v/>
      </c>
      <c r="BF945">
        <f t="shared" si="346"/>
        <v>0</v>
      </c>
      <c r="BG945">
        <f t="shared" si="347"/>
        <v>0</v>
      </c>
      <c r="BH945">
        <f t="shared" si="348"/>
        <v>0</v>
      </c>
      <c r="BI945">
        <f t="shared" si="349"/>
        <v>0</v>
      </c>
      <c r="BJ945">
        <f t="shared" si="350"/>
        <v>0</v>
      </c>
      <c r="BK945">
        <f t="shared" si="351"/>
        <v>0</v>
      </c>
      <c r="BL945">
        <f t="shared" si="352"/>
        <v>0</v>
      </c>
      <c r="BM945">
        <f t="shared" si="353"/>
        <v>0</v>
      </c>
      <c r="BN945">
        <f t="shared" si="354"/>
        <v>0</v>
      </c>
      <c r="BO945">
        <f t="shared" si="355"/>
        <v>0</v>
      </c>
      <c r="BP945">
        <f t="shared" si="356"/>
        <v>0</v>
      </c>
      <c r="BQ945">
        <f t="shared" si="357"/>
        <v>0</v>
      </c>
      <c r="BR945">
        <f t="shared" si="358"/>
        <v>0</v>
      </c>
      <c r="BS945">
        <f t="shared" si="359"/>
        <v>0</v>
      </c>
      <c r="BT945">
        <f t="shared" si="360"/>
        <v>0</v>
      </c>
      <c r="BU945">
        <f t="shared" si="361"/>
        <v>0</v>
      </c>
      <c r="BV945">
        <f t="shared" si="362"/>
        <v>0</v>
      </c>
      <c r="BW945">
        <f t="shared" si="363"/>
        <v>0</v>
      </c>
      <c r="CA945" t="str">
        <f>IF(746&gt;ROWS(DGArchive[模组]),"",IF(INDEX(DGArchive[模组],746)="","",INDEX(DGArchive[模组],746)))</f>
        <v/>
      </c>
      <c r="CB945" t="str">
        <f>IF(746&gt;ROWS(DGArchive[阶段]),"",IF(INDEX(DGArchive[阶段],746)="","",INDEX(DGArchive[阶段],746)))</f>
        <v/>
      </c>
      <c r="CC945" t="str">
        <f>IF(746&gt;ROWS(DGArchive[游戏内日期]),"",IF(INDEX(DGArchive[游戏内日期],746)="","",INDEX(DGArchive[游戏内日期],746)))</f>
        <v/>
      </c>
      <c r="CD945" t="str">
        <f>IF(746&gt;ROWS(DGArchive[目标]),"",IF(INDEX(DGArchive[目标],746)="","",INDEX(DGArchive[目标],746)))</f>
        <v/>
      </c>
      <c r="CE945" t="str">
        <f>IF(746&gt;ROWS(DGArchive[变更前]),"",IF(INDEX(DGArchive[变更前],746)="","",INDEX(DGArchive[变更前],746)))</f>
        <v/>
      </c>
      <c r="CF945" t="str">
        <f>IF(746&gt;ROWS(DGArchive[增减]),"",IF(INDEX(DGArchive[增减],746)="","",INDEX(DGArchive[增减],746)))</f>
        <v/>
      </c>
      <c r="CG945" t="str">
        <f>IF(746&gt;ROWS(DGArchive[变更后]),"",IF(INDEX(DGArchive[变更后],746)="","",INDEX(DGArchive[变更后],746)))</f>
        <v/>
      </c>
      <c r="CH945" t="str">
        <f>IF(746&gt;ROWS(DGArchive[事件／活动]),"",IF(INDEX(DGArchive[事件／活动],746)="","",INDEX(DGArchive[事件／活动],746)))</f>
        <v/>
      </c>
      <c r="CI945" t="str">
        <f>IF(746&gt;ROWS(DGArchive[记录编号]),"",IF(INDEX(DGArchive[记录编号],746)="","",INDEX(DGArchive[记录编号],746)))</f>
        <v/>
      </c>
      <c r="CL945">
        <f t="shared" si="344"/>
        <v>0</v>
      </c>
      <c r="CM945">
        <f>IF(AND(A945=$AO$5,B945=$AQ$3,H945=1),COUNTIFS($A$200:A945,$AO$5,$B$200:B945,$AQ$3,$H$200:H945,1),0)</f>
        <v>0</v>
      </c>
      <c r="CN945">
        <f>IF(CA945="",746,1001)</f>
        <v>746</v>
      </c>
      <c r="GA945">
        <f t="shared" si="364"/>
        <v>0</v>
      </c>
      <c r="GB945">
        <f t="shared" si="365"/>
        <v>0</v>
      </c>
      <c r="GC945">
        <f>IF(AND(C945="事件记录",H945=1),COUNTIFS($C$200:C945,"事件记录",$H$200:H945,1),0)</f>
        <v>0</v>
      </c>
      <c r="GD945">
        <f t="shared" si="345"/>
        <v>0</v>
      </c>
      <c r="GH945">
        <f>IF(AND(H945=1,A945=$GA$10,B945=$GA$11),COUNTIFS($A$200:A945,$GA$10,$B$200:B945,$GA$11,$H$200:H945,1),0)</f>
        <v>0</v>
      </c>
    </row>
    <row r="946" spans="1:190">
      <c r="A946" t="str">
        <f t="shared" si="336"/>
        <v/>
      </c>
      <c r="B946" t="str">
        <f t="shared" si="337"/>
        <v/>
      </c>
      <c r="C946" t="str">
        <f t="shared" si="338"/>
        <v/>
      </c>
      <c r="D946" t="str">
        <f t="shared" si="339"/>
        <v/>
      </c>
      <c r="E946">
        <f t="shared" si="340"/>
        <v>0</v>
      </c>
      <c r="F946" t="str">
        <f t="shared" si="341"/>
        <v/>
      </c>
      <c r="G946">
        <f t="shared" si="342"/>
        <v>0</v>
      </c>
      <c r="H946">
        <f>IF(AND(G946=1,COUNTIFS($I$200:I946,I946,$G$200:G946,1)=1),1,0)</f>
        <v>0</v>
      </c>
      <c r="I946" t="str">
        <f t="shared" si="343"/>
        <v/>
      </c>
      <c r="BF946">
        <f t="shared" si="346"/>
        <v>0</v>
      </c>
      <c r="BG946">
        <f t="shared" si="347"/>
        <v>0</v>
      </c>
      <c r="BH946">
        <f t="shared" si="348"/>
        <v>0</v>
      </c>
      <c r="BI946">
        <f t="shared" si="349"/>
        <v>0</v>
      </c>
      <c r="BJ946">
        <f t="shared" si="350"/>
        <v>0</v>
      </c>
      <c r="BK946">
        <f t="shared" si="351"/>
        <v>0</v>
      </c>
      <c r="BL946">
        <f t="shared" si="352"/>
        <v>0</v>
      </c>
      <c r="BM946">
        <f t="shared" si="353"/>
        <v>0</v>
      </c>
      <c r="BN946">
        <f t="shared" si="354"/>
        <v>0</v>
      </c>
      <c r="BO946">
        <f t="shared" si="355"/>
        <v>0</v>
      </c>
      <c r="BP946">
        <f t="shared" si="356"/>
        <v>0</v>
      </c>
      <c r="BQ946">
        <f t="shared" si="357"/>
        <v>0</v>
      </c>
      <c r="BR946">
        <f t="shared" si="358"/>
        <v>0</v>
      </c>
      <c r="BS946">
        <f t="shared" si="359"/>
        <v>0</v>
      </c>
      <c r="BT946">
        <f t="shared" si="360"/>
        <v>0</v>
      </c>
      <c r="BU946">
        <f t="shared" si="361"/>
        <v>0</v>
      </c>
      <c r="BV946">
        <f t="shared" si="362"/>
        <v>0</v>
      </c>
      <c r="BW946">
        <f t="shared" si="363"/>
        <v>0</v>
      </c>
      <c r="CA946" t="str">
        <f>IF(747&gt;ROWS(DGArchive[模组]),"",IF(INDEX(DGArchive[模组],747)="","",INDEX(DGArchive[模组],747)))</f>
        <v/>
      </c>
      <c r="CB946" t="str">
        <f>IF(747&gt;ROWS(DGArchive[阶段]),"",IF(INDEX(DGArchive[阶段],747)="","",INDEX(DGArchive[阶段],747)))</f>
        <v/>
      </c>
      <c r="CC946" t="str">
        <f>IF(747&gt;ROWS(DGArchive[游戏内日期]),"",IF(INDEX(DGArchive[游戏内日期],747)="","",INDEX(DGArchive[游戏内日期],747)))</f>
        <v/>
      </c>
      <c r="CD946" t="str">
        <f>IF(747&gt;ROWS(DGArchive[目标]),"",IF(INDEX(DGArchive[目标],747)="","",INDEX(DGArchive[目标],747)))</f>
        <v/>
      </c>
      <c r="CE946" t="str">
        <f>IF(747&gt;ROWS(DGArchive[变更前]),"",IF(INDEX(DGArchive[变更前],747)="","",INDEX(DGArchive[变更前],747)))</f>
        <v/>
      </c>
      <c r="CF946" t="str">
        <f>IF(747&gt;ROWS(DGArchive[增减]),"",IF(INDEX(DGArchive[增减],747)="","",INDEX(DGArchive[增减],747)))</f>
        <v/>
      </c>
      <c r="CG946" t="str">
        <f>IF(747&gt;ROWS(DGArchive[变更后]),"",IF(INDEX(DGArchive[变更后],747)="","",INDEX(DGArchive[变更后],747)))</f>
        <v/>
      </c>
      <c r="CH946" t="str">
        <f>IF(747&gt;ROWS(DGArchive[事件／活动]),"",IF(INDEX(DGArchive[事件／活动],747)="","",INDEX(DGArchive[事件／活动],747)))</f>
        <v/>
      </c>
      <c r="CI946" t="str">
        <f>IF(747&gt;ROWS(DGArchive[记录编号]),"",IF(INDEX(DGArchive[记录编号],747)="","",INDEX(DGArchive[记录编号],747)))</f>
        <v/>
      </c>
      <c r="CL946">
        <f t="shared" si="344"/>
        <v>0</v>
      </c>
      <c r="CM946">
        <f>IF(AND(A946=$AO$5,B946=$AQ$3,H946=1),COUNTIFS($A$200:A946,$AO$5,$B$200:B946,$AQ$3,$H$200:H946,1),0)</f>
        <v>0</v>
      </c>
      <c r="CN946">
        <f>IF(CA946="",747,1001)</f>
        <v>747</v>
      </c>
      <c r="GA946">
        <f t="shared" si="364"/>
        <v>0</v>
      </c>
      <c r="GB946">
        <f t="shared" si="365"/>
        <v>0</v>
      </c>
      <c r="GC946">
        <f>IF(AND(C946="事件记录",H946=1),COUNTIFS($C$200:C946,"事件记录",$H$200:H946,1),0)</f>
        <v>0</v>
      </c>
      <c r="GD946">
        <f t="shared" si="345"/>
        <v>0</v>
      </c>
      <c r="GH946">
        <f>IF(AND(H946=1,A946=$GA$10,B946=$GA$11),COUNTIFS($A$200:A946,$GA$10,$B$200:B946,$GA$11,$H$200:H946,1),0)</f>
        <v>0</v>
      </c>
    </row>
    <row r="947" spans="1:190">
      <c r="A947" t="str">
        <f t="shared" si="336"/>
        <v/>
      </c>
      <c r="B947" t="str">
        <f t="shared" si="337"/>
        <v/>
      </c>
      <c r="C947" t="str">
        <f t="shared" si="338"/>
        <v/>
      </c>
      <c r="D947" t="str">
        <f t="shared" si="339"/>
        <v/>
      </c>
      <c r="E947">
        <f t="shared" si="340"/>
        <v>0</v>
      </c>
      <c r="F947" t="str">
        <f t="shared" si="341"/>
        <v/>
      </c>
      <c r="G947">
        <f t="shared" si="342"/>
        <v>0</v>
      </c>
      <c r="H947">
        <f>IF(AND(G947=1,COUNTIFS($I$200:I947,I947,$G$200:G947,1)=1),1,0)</f>
        <v>0</v>
      </c>
      <c r="I947" t="str">
        <f t="shared" si="343"/>
        <v/>
      </c>
      <c r="BF947">
        <f t="shared" si="346"/>
        <v>0</v>
      </c>
      <c r="BG947">
        <f t="shared" si="347"/>
        <v>0</v>
      </c>
      <c r="BH947">
        <f t="shared" si="348"/>
        <v>0</v>
      </c>
      <c r="BI947">
        <f t="shared" si="349"/>
        <v>0</v>
      </c>
      <c r="BJ947">
        <f t="shared" si="350"/>
        <v>0</v>
      </c>
      <c r="BK947">
        <f t="shared" si="351"/>
        <v>0</v>
      </c>
      <c r="BL947">
        <f t="shared" si="352"/>
        <v>0</v>
      </c>
      <c r="BM947">
        <f t="shared" si="353"/>
        <v>0</v>
      </c>
      <c r="BN947">
        <f t="shared" si="354"/>
        <v>0</v>
      </c>
      <c r="BO947">
        <f t="shared" si="355"/>
        <v>0</v>
      </c>
      <c r="BP947">
        <f t="shared" si="356"/>
        <v>0</v>
      </c>
      <c r="BQ947">
        <f t="shared" si="357"/>
        <v>0</v>
      </c>
      <c r="BR947">
        <f t="shared" si="358"/>
        <v>0</v>
      </c>
      <c r="BS947">
        <f t="shared" si="359"/>
        <v>0</v>
      </c>
      <c r="BT947">
        <f t="shared" si="360"/>
        <v>0</v>
      </c>
      <c r="BU947">
        <f t="shared" si="361"/>
        <v>0</v>
      </c>
      <c r="BV947">
        <f t="shared" si="362"/>
        <v>0</v>
      </c>
      <c r="BW947">
        <f t="shared" si="363"/>
        <v>0</v>
      </c>
      <c r="CA947" t="str">
        <f>IF(748&gt;ROWS(DGArchive[模组]),"",IF(INDEX(DGArchive[模组],748)="","",INDEX(DGArchive[模组],748)))</f>
        <v/>
      </c>
      <c r="CB947" t="str">
        <f>IF(748&gt;ROWS(DGArchive[阶段]),"",IF(INDEX(DGArchive[阶段],748)="","",INDEX(DGArchive[阶段],748)))</f>
        <v/>
      </c>
      <c r="CC947" t="str">
        <f>IF(748&gt;ROWS(DGArchive[游戏内日期]),"",IF(INDEX(DGArchive[游戏内日期],748)="","",INDEX(DGArchive[游戏内日期],748)))</f>
        <v/>
      </c>
      <c r="CD947" t="str">
        <f>IF(748&gt;ROWS(DGArchive[目标]),"",IF(INDEX(DGArchive[目标],748)="","",INDEX(DGArchive[目标],748)))</f>
        <v/>
      </c>
      <c r="CE947" t="str">
        <f>IF(748&gt;ROWS(DGArchive[变更前]),"",IF(INDEX(DGArchive[变更前],748)="","",INDEX(DGArchive[变更前],748)))</f>
        <v/>
      </c>
      <c r="CF947" t="str">
        <f>IF(748&gt;ROWS(DGArchive[增减]),"",IF(INDEX(DGArchive[增减],748)="","",INDEX(DGArchive[增减],748)))</f>
        <v/>
      </c>
      <c r="CG947" t="str">
        <f>IF(748&gt;ROWS(DGArchive[变更后]),"",IF(INDEX(DGArchive[变更后],748)="","",INDEX(DGArchive[变更后],748)))</f>
        <v/>
      </c>
      <c r="CH947" t="str">
        <f>IF(748&gt;ROWS(DGArchive[事件／活动]),"",IF(INDEX(DGArchive[事件／活动],748)="","",INDEX(DGArchive[事件／活动],748)))</f>
        <v/>
      </c>
      <c r="CI947" t="str">
        <f>IF(748&gt;ROWS(DGArchive[记录编号]),"",IF(INDEX(DGArchive[记录编号],748)="","",INDEX(DGArchive[记录编号],748)))</f>
        <v/>
      </c>
      <c r="CL947">
        <f t="shared" si="344"/>
        <v>0</v>
      </c>
      <c r="CM947">
        <f>IF(AND(A947=$AO$5,B947=$AQ$3,H947=1),COUNTIFS($A$200:A947,$AO$5,$B$200:B947,$AQ$3,$H$200:H947,1),0)</f>
        <v>0</v>
      </c>
      <c r="CN947">
        <f>IF(CA947="",748,1001)</f>
        <v>748</v>
      </c>
      <c r="GA947">
        <f t="shared" si="364"/>
        <v>0</v>
      </c>
      <c r="GB947">
        <f t="shared" si="365"/>
        <v>0</v>
      </c>
      <c r="GC947">
        <f>IF(AND(C947="事件记录",H947=1),COUNTIFS($C$200:C947,"事件记录",$H$200:H947,1),0)</f>
        <v>0</v>
      </c>
      <c r="GD947">
        <f t="shared" si="345"/>
        <v>0</v>
      </c>
      <c r="GH947">
        <f>IF(AND(H947=1,A947=$GA$10,B947=$GA$11),COUNTIFS($A$200:A947,$GA$10,$B$200:B947,$GA$11,$H$200:H947,1),0)</f>
        <v>0</v>
      </c>
    </row>
    <row r="948" spans="1:190">
      <c r="A948" t="str">
        <f t="shared" si="336"/>
        <v/>
      </c>
      <c r="B948" t="str">
        <f t="shared" si="337"/>
        <v/>
      </c>
      <c r="C948" t="str">
        <f t="shared" si="338"/>
        <v/>
      </c>
      <c r="D948" t="str">
        <f t="shared" si="339"/>
        <v/>
      </c>
      <c r="E948">
        <f t="shared" si="340"/>
        <v>0</v>
      </c>
      <c r="F948" t="str">
        <f t="shared" si="341"/>
        <v/>
      </c>
      <c r="G948">
        <f t="shared" si="342"/>
        <v>0</v>
      </c>
      <c r="H948">
        <f>IF(AND(G948=1,COUNTIFS($I$200:I948,I948,$G$200:G948,1)=1),1,0)</f>
        <v>0</v>
      </c>
      <c r="I948" t="str">
        <f t="shared" si="343"/>
        <v/>
      </c>
      <c r="BF948">
        <f t="shared" si="346"/>
        <v>0</v>
      </c>
      <c r="BG948">
        <f t="shared" si="347"/>
        <v>0</v>
      </c>
      <c r="BH948">
        <f t="shared" si="348"/>
        <v>0</v>
      </c>
      <c r="BI948">
        <f t="shared" si="349"/>
        <v>0</v>
      </c>
      <c r="BJ948">
        <f t="shared" si="350"/>
        <v>0</v>
      </c>
      <c r="BK948">
        <f t="shared" si="351"/>
        <v>0</v>
      </c>
      <c r="BL948">
        <f t="shared" si="352"/>
        <v>0</v>
      </c>
      <c r="BM948">
        <f t="shared" si="353"/>
        <v>0</v>
      </c>
      <c r="BN948">
        <f t="shared" si="354"/>
        <v>0</v>
      </c>
      <c r="BO948">
        <f t="shared" si="355"/>
        <v>0</v>
      </c>
      <c r="BP948">
        <f t="shared" si="356"/>
        <v>0</v>
      </c>
      <c r="BQ948">
        <f t="shared" si="357"/>
        <v>0</v>
      </c>
      <c r="BR948">
        <f t="shared" si="358"/>
        <v>0</v>
      </c>
      <c r="BS948">
        <f t="shared" si="359"/>
        <v>0</v>
      </c>
      <c r="BT948">
        <f t="shared" si="360"/>
        <v>0</v>
      </c>
      <c r="BU948">
        <f t="shared" si="361"/>
        <v>0</v>
      </c>
      <c r="BV948">
        <f t="shared" si="362"/>
        <v>0</v>
      </c>
      <c r="BW948">
        <f t="shared" si="363"/>
        <v>0</v>
      </c>
      <c r="CA948" t="str">
        <f>IF(749&gt;ROWS(DGArchive[模组]),"",IF(INDEX(DGArchive[模组],749)="","",INDEX(DGArchive[模组],749)))</f>
        <v/>
      </c>
      <c r="CB948" t="str">
        <f>IF(749&gt;ROWS(DGArchive[阶段]),"",IF(INDEX(DGArchive[阶段],749)="","",INDEX(DGArchive[阶段],749)))</f>
        <v/>
      </c>
      <c r="CC948" t="str">
        <f>IF(749&gt;ROWS(DGArchive[游戏内日期]),"",IF(INDEX(DGArchive[游戏内日期],749)="","",INDEX(DGArchive[游戏内日期],749)))</f>
        <v/>
      </c>
      <c r="CD948" t="str">
        <f>IF(749&gt;ROWS(DGArchive[目标]),"",IF(INDEX(DGArchive[目标],749)="","",INDEX(DGArchive[目标],749)))</f>
        <v/>
      </c>
      <c r="CE948" t="str">
        <f>IF(749&gt;ROWS(DGArchive[变更前]),"",IF(INDEX(DGArchive[变更前],749)="","",INDEX(DGArchive[变更前],749)))</f>
        <v/>
      </c>
      <c r="CF948" t="str">
        <f>IF(749&gt;ROWS(DGArchive[增减]),"",IF(INDEX(DGArchive[增减],749)="","",INDEX(DGArchive[增减],749)))</f>
        <v/>
      </c>
      <c r="CG948" t="str">
        <f>IF(749&gt;ROWS(DGArchive[变更后]),"",IF(INDEX(DGArchive[变更后],749)="","",INDEX(DGArchive[变更后],749)))</f>
        <v/>
      </c>
      <c r="CH948" t="str">
        <f>IF(749&gt;ROWS(DGArchive[事件／活动]),"",IF(INDEX(DGArchive[事件／活动],749)="","",INDEX(DGArchive[事件／活动],749)))</f>
        <v/>
      </c>
      <c r="CI948" t="str">
        <f>IF(749&gt;ROWS(DGArchive[记录编号]),"",IF(INDEX(DGArchive[记录编号],749)="","",INDEX(DGArchive[记录编号],749)))</f>
        <v/>
      </c>
      <c r="CL948">
        <f t="shared" si="344"/>
        <v>0</v>
      </c>
      <c r="CM948">
        <f>IF(AND(A948=$AO$5,B948=$AQ$3,H948=1),COUNTIFS($A$200:A948,$AO$5,$B$200:B948,$AQ$3,$H$200:H948,1),0)</f>
        <v>0</v>
      </c>
      <c r="CN948">
        <f>IF(CA948="",749,1001)</f>
        <v>749</v>
      </c>
      <c r="GA948">
        <f t="shared" si="364"/>
        <v>0</v>
      </c>
      <c r="GB948">
        <f t="shared" si="365"/>
        <v>0</v>
      </c>
      <c r="GC948">
        <f>IF(AND(C948="事件记录",H948=1),COUNTIFS($C$200:C948,"事件记录",$H$200:H948,1),0)</f>
        <v>0</v>
      </c>
      <c r="GD948">
        <f t="shared" si="345"/>
        <v>0</v>
      </c>
      <c r="GH948">
        <f>IF(AND(H948=1,A948=$GA$10,B948=$GA$11),COUNTIFS($A$200:A948,$GA$10,$B$200:B948,$GA$11,$H$200:H948,1),0)</f>
        <v>0</v>
      </c>
    </row>
    <row r="949" spans="1:190">
      <c r="A949" t="str">
        <f t="shared" si="336"/>
        <v/>
      </c>
      <c r="B949" t="str">
        <f t="shared" si="337"/>
        <v/>
      </c>
      <c r="C949" t="str">
        <f t="shared" si="338"/>
        <v/>
      </c>
      <c r="D949" t="str">
        <f t="shared" si="339"/>
        <v/>
      </c>
      <c r="E949">
        <f t="shared" si="340"/>
        <v>0</v>
      </c>
      <c r="F949" t="str">
        <f t="shared" si="341"/>
        <v/>
      </c>
      <c r="G949">
        <f t="shared" si="342"/>
        <v>0</v>
      </c>
      <c r="H949">
        <f>IF(AND(G949=1,COUNTIFS($I$200:I949,I949,$G$200:G949,1)=1),1,0)</f>
        <v>0</v>
      </c>
      <c r="I949" t="str">
        <f t="shared" si="343"/>
        <v/>
      </c>
      <c r="BF949">
        <f t="shared" si="346"/>
        <v>0</v>
      </c>
      <c r="BG949">
        <f t="shared" si="347"/>
        <v>0</v>
      </c>
      <c r="BH949">
        <f t="shared" si="348"/>
        <v>0</v>
      </c>
      <c r="BI949">
        <f t="shared" si="349"/>
        <v>0</v>
      </c>
      <c r="BJ949">
        <f t="shared" si="350"/>
        <v>0</v>
      </c>
      <c r="BK949">
        <f t="shared" si="351"/>
        <v>0</v>
      </c>
      <c r="BL949">
        <f t="shared" si="352"/>
        <v>0</v>
      </c>
      <c r="BM949">
        <f t="shared" si="353"/>
        <v>0</v>
      </c>
      <c r="BN949">
        <f t="shared" si="354"/>
        <v>0</v>
      </c>
      <c r="BO949">
        <f t="shared" si="355"/>
        <v>0</v>
      </c>
      <c r="BP949">
        <f t="shared" si="356"/>
        <v>0</v>
      </c>
      <c r="BQ949">
        <f t="shared" si="357"/>
        <v>0</v>
      </c>
      <c r="BR949">
        <f t="shared" si="358"/>
        <v>0</v>
      </c>
      <c r="BS949">
        <f t="shared" si="359"/>
        <v>0</v>
      </c>
      <c r="BT949">
        <f t="shared" si="360"/>
        <v>0</v>
      </c>
      <c r="BU949">
        <f t="shared" si="361"/>
        <v>0</v>
      </c>
      <c r="BV949">
        <f t="shared" si="362"/>
        <v>0</v>
      </c>
      <c r="BW949">
        <f t="shared" si="363"/>
        <v>0</v>
      </c>
      <c r="CA949" t="str">
        <f>IF(750&gt;ROWS(DGArchive[模组]),"",IF(INDEX(DGArchive[模组],750)="","",INDEX(DGArchive[模组],750)))</f>
        <v/>
      </c>
      <c r="CB949" t="str">
        <f>IF(750&gt;ROWS(DGArchive[阶段]),"",IF(INDEX(DGArchive[阶段],750)="","",INDEX(DGArchive[阶段],750)))</f>
        <v/>
      </c>
      <c r="CC949" t="str">
        <f>IF(750&gt;ROWS(DGArchive[游戏内日期]),"",IF(INDEX(DGArchive[游戏内日期],750)="","",INDEX(DGArchive[游戏内日期],750)))</f>
        <v/>
      </c>
      <c r="CD949" t="str">
        <f>IF(750&gt;ROWS(DGArchive[目标]),"",IF(INDEX(DGArchive[目标],750)="","",INDEX(DGArchive[目标],750)))</f>
        <v/>
      </c>
      <c r="CE949" t="str">
        <f>IF(750&gt;ROWS(DGArchive[变更前]),"",IF(INDEX(DGArchive[变更前],750)="","",INDEX(DGArchive[变更前],750)))</f>
        <v/>
      </c>
      <c r="CF949" t="str">
        <f>IF(750&gt;ROWS(DGArchive[增减]),"",IF(INDEX(DGArchive[增减],750)="","",INDEX(DGArchive[增减],750)))</f>
        <v/>
      </c>
      <c r="CG949" t="str">
        <f>IF(750&gt;ROWS(DGArchive[变更后]),"",IF(INDEX(DGArchive[变更后],750)="","",INDEX(DGArchive[变更后],750)))</f>
        <v/>
      </c>
      <c r="CH949" t="str">
        <f>IF(750&gt;ROWS(DGArchive[事件／活动]),"",IF(INDEX(DGArchive[事件／活动],750)="","",INDEX(DGArchive[事件／活动],750)))</f>
        <v/>
      </c>
      <c r="CI949" t="str">
        <f>IF(750&gt;ROWS(DGArchive[记录编号]),"",IF(INDEX(DGArchive[记录编号],750)="","",INDEX(DGArchive[记录编号],750)))</f>
        <v/>
      </c>
      <c r="CL949">
        <f t="shared" si="344"/>
        <v>0</v>
      </c>
      <c r="CM949">
        <f>IF(AND(A949=$AO$5,B949=$AQ$3,H949=1),COUNTIFS($A$200:A949,$AO$5,$B$200:B949,$AQ$3,$H$200:H949,1),0)</f>
        <v>0</v>
      </c>
      <c r="CN949">
        <f>IF(CA949="",750,1001)</f>
        <v>750</v>
      </c>
      <c r="GA949">
        <f t="shared" si="364"/>
        <v>0</v>
      </c>
      <c r="GB949">
        <f t="shared" si="365"/>
        <v>0</v>
      </c>
      <c r="GC949">
        <f>IF(AND(C949="事件记录",H949=1),COUNTIFS($C$200:C949,"事件记录",$H$200:H949,1),0)</f>
        <v>0</v>
      </c>
      <c r="GD949">
        <f t="shared" si="345"/>
        <v>0</v>
      </c>
      <c r="GH949">
        <f>IF(AND(H949=1,A949=$GA$10,B949=$GA$11),COUNTIFS($A$200:A949,$GA$10,$B$200:B949,$GA$11,$H$200:H949,1),0)</f>
        <v>0</v>
      </c>
    </row>
    <row r="950" spans="1:190">
      <c r="A950" t="str">
        <f t="shared" si="336"/>
        <v/>
      </c>
      <c r="B950" t="str">
        <f t="shared" si="337"/>
        <v/>
      </c>
      <c r="C950" t="str">
        <f t="shared" si="338"/>
        <v/>
      </c>
      <c r="D950" t="str">
        <f t="shared" si="339"/>
        <v/>
      </c>
      <c r="E950">
        <f t="shared" si="340"/>
        <v>0</v>
      </c>
      <c r="F950" t="str">
        <f t="shared" si="341"/>
        <v/>
      </c>
      <c r="G950">
        <f t="shared" si="342"/>
        <v>0</v>
      </c>
      <c r="H950">
        <f>IF(AND(G950=1,COUNTIFS($I$200:I950,I950,$G$200:G950,1)=1),1,0)</f>
        <v>0</v>
      </c>
      <c r="I950" t="str">
        <f t="shared" si="343"/>
        <v/>
      </c>
      <c r="BF950">
        <f t="shared" si="346"/>
        <v>0</v>
      </c>
      <c r="BG950">
        <f t="shared" si="347"/>
        <v>0</v>
      </c>
      <c r="BH950">
        <f t="shared" si="348"/>
        <v>0</v>
      </c>
      <c r="BI950">
        <f t="shared" si="349"/>
        <v>0</v>
      </c>
      <c r="BJ950">
        <f t="shared" si="350"/>
        <v>0</v>
      </c>
      <c r="BK950">
        <f t="shared" si="351"/>
        <v>0</v>
      </c>
      <c r="BL950">
        <f t="shared" si="352"/>
        <v>0</v>
      </c>
      <c r="BM950">
        <f t="shared" si="353"/>
        <v>0</v>
      </c>
      <c r="BN950">
        <f t="shared" si="354"/>
        <v>0</v>
      </c>
      <c r="BO950">
        <f t="shared" si="355"/>
        <v>0</v>
      </c>
      <c r="BP950">
        <f t="shared" si="356"/>
        <v>0</v>
      </c>
      <c r="BQ950">
        <f t="shared" si="357"/>
        <v>0</v>
      </c>
      <c r="BR950">
        <f t="shared" si="358"/>
        <v>0</v>
      </c>
      <c r="BS950">
        <f t="shared" si="359"/>
        <v>0</v>
      </c>
      <c r="BT950">
        <f t="shared" si="360"/>
        <v>0</v>
      </c>
      <c r="BU950">
        <f t="shared" si="361"/>
        <v>0</v>
      </c>
      <c r="BV950">
        <f t="shared" si="362"/>
        <v>0</v>
      </c>
      <c r="BW950">
        <f t="shared" si="363"/>
        <v>0</v>
      </c>
      <c r="CA950" t="str">
        <f>IF(751&gt;ROWS(DGArchive[模组]),"",IF(INDEX(DGArchive[模组],751)="","",INDEX(DGArchive[模组],751)))</f>
        <v/>
      </c>
      <c r="CB950" t="str">
        <f>IF(751&gt;ROWS(DGArchive[阶段]),"",IF(INDEX(DGArchive[阶段],751)="","",INDEX(DGArchive[阶段],751)))</f>
        <v/>
      </c>
      <c r="CC950" t="str">
        <f>IF(751&gt;ROWS(DGArchive[游戏内日期]),"",IF(INDEX(DGArchive[游戏内日期],751)="","",INDEX(DGArchive[游戏内日期],751)))</f>
        <v/>
      </c>
      <c r="CD950" t="str">
        <f>IF(751&gt;ROWS(DGArchive[目标]),"",IF(INDEX(DGArchive[目标],751)="","",INDEX(DGArchive[目标],751)))</f>
        <v/>
      </c>
      <c r="CE950" t="str">
        <f>IF(751&gt;ROWS(DGArchive[变更前]),"",IF(INDEX(DGArchive[变更前],751)="","",INDEX(DGArchive[变更前],751)))</f>
        <v/>
      </c>
      <c r="CF950" t="str">
        <f>IF(751&gt;ROWS(DGArchive[增减]),"",IF(INDEX(DGArchive[增减],751)="","",INDEX(DGArchive[增减],751)))</f>
        <v/>
      </c>
      <c r="CG950" t="str">
        <f>IF(751&gt;ROWS(DGArchive[变更后]),"",IF(INDEX(DGArchive[变更后],751)="","",INDEX(DGArchive[变更后],751)))</f>
        <v/>
      </c>
      <c r="CH950" t="str">
        <f>IF(751&gt;ROWS(DGArchive[事件／活动]),"",IF(INDEX(DGArchive[事件／活动],751)="","",INDEX(DGArchive[事件／活动],751)))</f>
        <v/>
      </c>
      <c r="CI950" t="str">
        <f>IF(751&gt;ROWS(DGArchive[记录编号]),"",IF(INDEX(DGArchive[记录编号],751)="","",INDEX(DGArchive[记录编号],751)))</f>
        <v/>
      </c>
      <c r="CL950">
        <f t="shared" si="344"/>
        <v>0</v>
      </c>
      <c r="CM950">
        <f>IF(AND(A950=$AO$5,B950=$AQ$3,H950=1),COUNTIFS($A$200:A950,$AO$5,$B$200:B950,$AQ$3,$H$200:H950,1),0)</f>
        <v>0</v>
      </c>
      <c r="CN950">
        <f>IF(CA950="",751,1001)</f>
        <v>751</v>
      </c>
      <c r="GA950">
        <f t="shared" si="364"/>
        <v>0</v>
      </c>
      <c r="GB950">
        <f t="shared" si="365"/>
        <v>0</v>
      </c>
      <c r="GC950">
        <f>IF(AND(C950="事件记录",H950=1),COUNTIFS($C$200:C950,"事件记录",$H$200:H950,1),0)</f>
        <v>0</v>
      </c>
      <c r="GD950">
        <f t="shared" si="345"/>
        <v>0</v>
      </c>
      <c r="GH950">
        <f>IF(AND(H950=1,A950=$GA$10,B950=$GA$11),COUNTIFS($A$200:A950,$GA$10,$B$200:B950,$GA$11,$H$200:H950,1),0)</f>
        <v>0</v>
      </c>
    </row>
    <row r="951" spans="1:190">
      <c r="A951" t="str">
        <f t="shared" si="336"/>
        <v/>
      </c>
      <c r="B951" t="str">
        <f t="shared" si="337"/>
        <v/>
      </c>
      <c r="C951" t="str">
        <f t="shared" si="338"/>
        <v/>
      </c>
      <c r="D951" t="str">
        <f t="shared" si="339"/>
        <v/>
      </c>
      <c r="E951">
        <f t="shared" si="340"/>
        <v>0</v>
      </c>
      <c r="F951" t="str">
        <f t="shared" si="341"/>
        <v/>
      </c>
      <c r="G951">
        <f t="shared" si="342"/>
        <v>0</v>
      </c>
      <c r="H951">
        <f>IF(AND(G951=1,COUNTIFS($I$200:I951,I951,$G$200:G951,1)=1),1,0)</f>
        <v>0</v>
      </c>
      <c r="I951" t="str">
        <f t="shared" si="343"/>
        <v/>
      </c>
      <c r="BF951">
        <f t="shared" si="346"/>
        <v>0</v>
      </c>
      <c r="BG951">
        <f t="shared" si="347"/>
        <v>0</v>
      </c>
      <c r="BH951">
        <f t="shared" si="348"/>
        <v>0</v>
      </c>
      <c r="BI951">
        <f t="shared" si="349"/>
        <v>0</v>
      </c>
      <c r="BJ951">
        <f t="shared" si="350"/>
        <v>0</v>
      </c>
      <c r="BK951">
        <f t="shared" si="351"/>
        <v>0</v>
      </c>
      <c r="BL951">
        <f t="shared" si="352"/>
        <v>0</v>
      </c>
      <c r="BM951">
        <f t="shared" si="353"/>
        <v>0</v>
      </c>
      <c r="BN951">
        <f t="shared" si="354"/>
        <v>0</v>
      </c>
      <c r="BO951">
        <f t="shared" si="355"/>
        <v>0</v>
      </c>
      <c r="BP951">
        <f t="shared" si="356"/>
        <v>0</v>
      </c>
      <c r="BQ951">
        <f t="shared" si="357"/>
        <v>0</v>
      </c>
      <c r="BR951">
        <f t="shared" si="358"/>
        <v>0</v>
      </c>
      <c r="BS951">
        <f t="shared" si="359"/>
        <v>0</v>
      </c>
      <c r="BT951">
        <f t="shared" si="360"/>
        <v>0</v>
      </c>
      <c r="BU951">
        <f t="shared" si="361"/>
        <v>0</v>
      </c>
      <c r="BV951">
        <f t="shared" si="362"/>
        <v>0</v>
      </c>
      <c r="BW951">
        <f t="shared" si="363"/>
        <v>0</v>
      </c>
      <c r="CA951" t="str">
        <f>IF(752&gt;ROWS(DGArchive[模组]),"",IF(INDEX(DGArchive[模组],752)="","",INDEX(DGArchive[模组],752)))</f>
        <v/>
      </c>
      <c r="CB951" t="str">
        <f>IF(752&gt;ROWS(DGArchive[阶段]),"",IF(INDEX(DGArchive[阶段],752)="","",INDEX(DGArchive[阶段],752)))</f>
        <v/>
      </c>
      <c r="CC951" t="str">
        <f>IF(752&gt;ROWS(DGArchive[游戏内日期]),"",IF(INDEX(DGArchive[游戏内日期],752)="","",INDEX(DGArchive[游戏内日期],752)))</f>
        <v/>
      </c>
      <c r="CD951" t="str">
        <f>IF(752&gt;ROWS(DGArchive[目标]),"",IF(INDEX(DGArchive[目标],752)="","",INDEX(DGArchive[目标],752)))</f>
        <v/>
      </c>
      <c r="CE951" t="str">
        <f>IF(752&gt;ROWS(DGArchive[变更前]),"",IF(INDEX(DGArchive[变更前],752)="","",INDEX(DGArchive[变更前],752)))</f>
        <v/>
      </c>
      <c r="CF951" t="str">
        <f>IF(752&gt;ROWS(DGArchive[增减]),"",IF(INDEX(DGArchive[增减],752)="","",INDEX(DGArchive[增减],752)))</f>
        <v/>
      </c>
      <c r="CG951" t="str">
        <f>IF(752&gt;ROWS(DGArchive[变更后]),"",IF(INDEX(DGArchive[变更后],752)="","",INDEX(DGArchive[变更后],752)))</f>
        <v/>
      </c>
      <c r="CH951" t="str">
        <f>IF(752&gt;ROWS(DGArchive[事件／活动]),"",IF(INDEX(DGArchive[事件／活动],752)="","",INDEX(DGArchive[事件／活动],752)))</f>
        <v/>
      </c>
      <c r="CI951" t="str">
        <f>IF(752&gt;ROWS(DGArchive[记录编号]),"",IF(INDEX(DGArchive[记录编号],752)="","",INDEX(DGArchive[记录编号],752)))</f>
        <v/>
      </c>
      <c r="CL951">
        <f t="shared" si="344"/>
        <v>0</v>
      </c>
      <c r="CM951">
        <f>IF(AND(A951=$AO$5,B951=$AQ$3,H951=1),COUNTIFS($A$200:A951,$AO$5,$B$200:B951,$AQ$3,$H$200:H951,1),0)</f>
        <v>0</v>
      </c>
      <c r="CN951">
        <f>IF(CA951="",752,1001)</f>
        <v>752</v>
      </c>
      <c r="GA951">
        <f t="shared" si="364"/>
        <v>0</v>
      </c>
      <c r="GB951">
        <f t="shared" si="365"/>
        <v>0</v>
      </c>
      <c r="GC951">
        <f>IF(AND(C951="事件记录",H951=1),COUNTIFS($C$200:C951,"事件记录",$H$200:H951,1),0)</f>
        <v>0</v>
      </c>
      <c r="GD951">
        <f t="shared" si="345"/>
        <v>0</v>
      </c>
      <c r="GH951">
        <f>IF(AND(H951=1,A951=$GA$10,B951=$GA$11),COUNTIFS($A$200:A951,$GA$10,$B$200:B951,$GA$11,$H$200:H951,1),0)</f>
        <v>0</v>
      </c>
    </row>
    <row r="952" spans="1:190">
      <c r="A952" t="str">
        <f t="shared" si="336"/>
        <v/>
      </c>
      <c r="B952" t="str">
        <f t="shared" si="337"/>
        <v/>
      </c>
      <c r="C952" t="str">
        <f t="shared" si="338"/>
        <v/>
      </c>
      <c r="D952" t="str">
        <f t="shared" si="339"/>
        <v/>
      </c>
      <c r="E952">
        <f t="shared" si="340"/>
        <v>0</v>
      </c>
      <c r="F952" t="str">
        <f t="shared" si="341"/>
        <v/>
      </c>
      <c r="G952">
        <f t="shared" si="342"/>
        <v>0</v>
      </c>
      <c r="H952">
        <f>IF(AND(G952=1,COUNTIFS($I$200:I952,I952,$G$200:G952,1)=1),1,0)</f>
        <v>0</v>
      </c>
      <c r="I952" t="str">
        <f t="shared" si="343"/>
        <v/>
      </c>
      <c r="BF952">
        <f t="shared" si="346"/>
        <v>0</v>
      </c>
      <c r="BG952">
        <f t="shared" si="347"/>
        <v>0</v>
      </c>
      <c r="BH952">
        <f t="shared" si="348"/>
        <v>0</v>
      </c>
      <c r="BI952">
        <f t="shared" si="349"/>
        <v>0</v>
      </c>
      <c r="BJ952">
        <f t="shared" si="350"/>
        <v>0</v>
      </c>
      <c r="BK952">
        <f t="shared" si="351"/>
        <v>0</v>
      </c>
      <c r="BL952">
        <f t="shared" si="352"/>
        <v>0</v>
      </c>
      <c r="BM952">
        <f t="shared" si="353"/>
        <v>0</v>
      </c>
      <c r="BN952">
        <f t="shared" si="354"/>
        <v>0</v>
      </c>
      <c r="BO952">
        <f t="shared" si="355"/>
        <v>0</v>
      </c>
      <c r="BP952">
        <f t="shared" si="356"/>
        <v>0</v>
      </c>
      <c r="BQ952">
        <f t="shared" si="357"/>
        <v>0</v>
      </c>
      <c r="BR952">
        <f t="shared" si="358"/>
        <v>0</v>
      </c>
      <c r="BS952">
        <f t="shared" si="359"/>
        <v>0</v>
      </c>
      <c r="BT952">
        <f t="shared" si="360"/>
        <v>0</v>
      </c>
      <c r="BU952">
        <f t="shared" si="361"/>
        <v>0</v>
      </c>
      <c r="BV952">
        <f t="shared" si="362"/>
        <v>0</v>
      </c>
      <c r="BW952">
        <f t="shared" si="363"/>
        <v>0</v>
      </c>
      <c r="CA952" t="str">
        <f>IF(753&gt;ROWS(DGArchive[模组]),"",IF(INDEX(DGArchive[模组],753)="","",INDEX(DGArchive[模组],753)))</f>
        <v/>
      </c>
      <c r="CB952" t="str">
        <f>IF(753&gt;ROWS(DGArchive[阶段]),"",IF(INDEX(DGArchive[阶段],753)="","",INDEX(DGArchive[阶段],753)))</f>
        <v/>
      </c>
      <c r="CC952" t="str">
        <f>IF(753&gt;ROWS(DGArchive[游戏内日期]),"",IF(INDEX(DGArchive[游戏内日期],753)="","",INDEX(DGArchive[游戏内日期],753)))</f>
        <v/>
      </c>
      <c r="CD952" t="str">
        <f>IF(753&gt;ROWS(DGArchive[目标]),"",IF(INDEX(DGArchive[目标],753)="","",INDEX(DGArchive[目标],753)))</f>
        <v/>
      </c>
      <c r="CE952" t="str">
        <f>IF(753&gt;ROWS(DGArchive[变更前]),"",IF(INDEX(DGArchive[变更前],753)="","",INDEX(DGArchive[变更前],753)))</f>
        <v/>
      </c>
      <c r="CF952" t="str">
        <f>IF(753&gt;ROWS(DGArchive[增减]),"",IF(INDEX(DGArchive[增减],753)="","",INDEX(DGArchive[增减],753)))</f>
        <v/>
      </c>
      <c r="CG952" t="str">
        <f>IF(753&gt;ROWS(DGArchive[变更后]),"",IF(INDEX(DGArchive[变更后],753)="","",INDEX(DGArchive[变更后],753)))</f>
        <v/>
      </c>
      <c r="CH952" t="str">
        <f>IF(753&gt;ROWS(DGArchive[事件／活动]),"",IF(INDEX(DGArchive[事件／活动],753)="","",INDEX(DGArchive[事件／活动],753)))</f>
        <v/>
      </c>
      <c r="CI952" t="str">
        <f>IF(753&gt;ROWS(DGArchive[记录编号]),"",IF(INDEX(DGArchive[记录编号],753)="","",INDEX(DGArchive[记录编号],753)))</f>
        <v/>
      </c>
      <c r="CL952">
        <f t="shared" si="344"/>
        <v>0</v>
      </c>
      <c r="CM952">
        <f>IF(AND(A952=$AO$5,B952=$AQ$3,H952=1),COUNTIFS($A$200:A952,$AO$5,$B$200:B952,$AQ$3,$H$200:H952,1),0)</f>
        <v>0</v>
      </c>
      <c r="CN952">
        <f>IF(CA952="",753,1001)</f>
        <v>753</v>
      </c>
      <c r="GA952">
        <f t="shared" si="364"/>
        <v>0</v>
      </c>
      <c r="GB952">
        <f t="shared" si="365"/>
        <v>0</v>
      </c>
      <c r="GC952">
        <f>IF(AND(C952="事件记录",H952=1),COUNTIFS($C$200:C952,"事件记录",$H$200:H952,1),0)</f>
        <v>0</v>
      </c>
      <c r="GD952">
        <f t="shared" si="345"/>
        <v>0</v>
      </c>
      <c r="GH952">
        <f>IF(AND(H952=1,A952=$GA$10,B952=$GA$11),COUNTIFS($A$200:A952,$GA$10,$B$200:B952,$GA$11,$H$200:H952,1),0)</f>
        <v>0</v>
      </c>
    </row>
    <row r="953" spans="1:190">
      <c r="A953" t="str">
        <f t="shared" si="336"/>
        <v/>
      </c>
      <c r="B953" t="str">
        <f t="shared" si="337"/>
        <v/>
      </c>
      <c r="C953" t="str">
        <f t="shared" si="338"/>
        <v/>
      </c>
      <c r="D953" t="str">
        <f t="shared" si="339"/>
        <v/>
      </c>
      <c r="E953">
        <f t="shared" si="340"/>
        <v>0</v>
      </c>
      <c r="F953" t="str">
        <f t="shared" si="341"/>
        <v/>
      </c>
      <c r="G953">
        <f t="shared" si="342"/>
        <v>0</v>
      </c>
      <c r="H953">
        <f>IF(AND(G953=1,COUNTIFS($I$200:I953,I953,$G$200:G953,1)=1),1,0)</f>
        <v>0</v>
      </c>
      <c r="I953" t="str">
        <f t="shared" si="343"/>
        <v/>
      </c>
      <c r="BF953">
        <f t="shared" si="346"/>
        <v>0</v>
      </c>
      <c r="BG953">
        <f t="shared" si="347"/>
        <v>0</v>
      </c>
      <c r="BH953">
        <f t="shared" si="348"/>
        <v>0</v>
      </c>
      <c r="BI953">
        <f t="shared" si="349"/>
        <v>0</v>
      </c>
      <c r="BJ953">
        <f t="shared" si="350"/>
        <v>0</v>
      </c>
      <c r="BK953">
        <f t="shared" si="351"/>
        <v>0</v>
      </c>
      <c r="BL953">
        <f t="shared" si="352"/>
        <v>0</v>
      </c>
      <c r="BM953">
        <f t="shared" si="353"/>
        <v>0</v>
      </c>
      <c r="BN953">
        <f t="shared" si="354"/>
        <v>0</v>
      </c>
      <c r="BO953">
        <f t="shared" si="355"/>
        <v>0</v>
      </c>
      <c r="BP953">
        <f t="shared" si="356"/>
        <v>0</v>
      </c>
      <c r="BQ953">
        <f t="shared" si="357"/>
        <v>0</v>
      </c>
      <c r="BR953">
        <f t="shared" si="358"/>
        <v>0</v>
      </c>
      <c r="BS953">
        <f t="shared" si="359"/>
        <v>0</v>
      </c>
      <c r="BT953">
        <f t="shared" si="360"/>
        <v>0</v>
      </c>
      <c r="BU953">
        <f t="shared" si="361"/>
        <v>0</v>
      </c>
      <c r="BV953">
        <f t="shared" si="362"/>
        <v>0</v>
      </c>
      <c r="BW953">
        <f t="shared" si="363"/>
        <v>0</v>
      </c>
      <c r="CA953" t="str">
        <f>IF(754&gt;ROWS(DGArchive[模组]),"",IF(INDEX(DGArchive[模组],754)="","",INDEX(DGArchive[模组],754)))</f>
        <v/>
      </c>
      <c r="CB953" t="str">
        <f>IF(754&gt;ROWS(DGArchive[阶段]),"",IF(INDEX(DGArchive[阶段],754)="","",INDEX(DGArchive[阶段],754)))</f>
        <v/>
      </c>
      <c r="CC953" t="str">
        <f>IF(754&gt;ROWS(DGArchive[游戏内日期]),"",IF(INDEX(DGArchive[游戏内日期],754)="","",INDEX(DGArchive[游戏内日期],754)))</f>
        <v/>
      </c>
      <c r="CD953" t="str">
        <f>IF(754&gt;ROWS(DGArchive[目标]),"",IF(INDEX(DGArchive[目标],754)="","",INDEX(DGArchive[目标],754)))</f>
        <v/>
      </c>
      <c r="CE953" t="str">
        <f>IF(754&gt;ROWS(DGArchive[变更前]),"",IF(INDEX(DGArchive[变更前],754)="","",INDEX(DGArchive[变更前],754)))</f>
        <v/>
      </c>
      <c r="CF953" t="str">
        <f>IF(754&gt;ROWS(DGArchive[增减]),"",IF(INDEX(DGArchive[增减],754)="","",INDEX(DGArchive[增减],754)))</f>
        <v/>
      </c>
      <c r="CG953" t="str">
        <f>IF(754&gt;ROWS(DGArchive[变更后]),"",IF(INDEX(DGArchive[变更后],754)="","",INDEX(DGArchive[变更后],754)))</f>
        <v/>
      </c>
      <c r="CH953" t="str">
        <f>IF(754&gt;ROWS(DGArchive[事件／活动]),"",IF(INDEX(DGArchive[事件／活动],754)="","",INDEX(DGArchive[事件／活动],754)))</f>
        <v/>
      </c>
      <c r="CI953" t="str">
        <f>IF(754&gt;ROWS(DGArchive[记录编号]),"",IF(INDEX(DGArchive[记录编号],754)="","",INDEX(DGArchive[记录编号],754)))</f>
        <v/>
      </c>
      <c r="CL953">
        <f t="shared" si="344"/>
        <v>0</v>
      </c>
      <c r="CM953">
        <f>IF(AND(A953=$AO$5,B953=$AQ$3,H953=1),COUNTIFS($A$200:A953,$AO$5,$B$200:B953,$AQ$3,$H$200:H953,1),0)</f>
        <v>0</v>
      </c>
      <c r="CN953">
        <f>IF(CA953="",754,1001)</f>
        <v>754</v>
      </c>
      <c r="GA953">
        <f t="shared" si="364"/>
        <v>0</v>
      </c>
      <c r="GB953">
        <f t="shared" si="365"/>
        <v>0</v>
      </c>
      <c r="GC953">
        <f>IF(AND(C953="事件记录",H953=1),COUNTIFS($C$200:C953,"事件记录",$H$200:H953,1),0)</f>
        <v>0</v>
      </c>
      <c r="GD953">
        <f t="shared" si="345"/>
        <v>0</v>
      </c>
      <c r="GH953">
        <f>IF(AND(H953=1,A953=$GA$10,B953=$GA$11),COUNTIFS($A$200:A953,$GA$10,$B$200:B953,$GA$11,$H$200:H953,1),0)</f>
        <v>0</v>
      </c>
    </row>
    <row r="954" spans="1:190">
      <c r="A954" t="str">
        <f t="shared" si="336"/>
        <v/>
      </c>
      <c r="B954" t="str">
        <f t="shared" si="337"/>
        <v/>
      </c>
      <c r="C954" t="str">
        <f t="shared" si="338"/>
        <v/>
      </c>
      <c r="D954" t="str">
        <f t="shared" si="339"/>
        <v/>
      </c>
      <c r="E954">
        <f t="shared" si="340"/>
        <v>0</v>
      </c>
      <c r="F954" t="str">
        <f t="shared" si="341"/>
        <v/>
      </c>
      <c r="G954">
        <f t="shared" si="342"/>
        <v>0</v>
      </c>
      <c r="H954">
        <f>IF(AND(G954=1,COUNTIFS($I$200:I954,I954,$G$200:G954,1)=1),1,0)</f>
        <v>0</v>
      </c>
      <c r="I954" t="str">
        <f t="shared" si="343"/>
        <v/>
      </c>
      <c r="BF954">
        <f t="shared" si="346"/>
        <v>0</v>
      </c>
      <c r="BG954">
        <f t="shared" si="347"/>
        <v>0</v>
      </c>
      <c r="BH954">
        <f t="shared" si="348"/>
        <v>0</v>
      </c>
      <c r="BI954">
        <f t="shared" si="349"/>
        <v>0</v>
      </c>
      <c r="BJ954">
        <f t="shared" si="350"/>
        <v>0</v>
      </c>
      <c r="BK954">
        <f t="shared" si="351"/>
        <v>0</v>
      </c>
      <c r="BL954">
        <f t="shared" si="352"/>
        <v>0</v>
      </c>
      <c r="BM954">
        <f t="shared" si="353"/>
        <v>0</v>
      </c>
      <c r="BN954">
        <f t="shared" si="354"/>
        <v>0</v>
      </c>
      <c r="BO954">
        <f t="shared" si="355"/>
        <v>0</v>
      </c>
      <c r="BP954">
        <f t="shared" si="356"/>
        <v>0</v>
      </c>
      <c r="BQ954">
        <f t="shared" si="357"/>
        <v>0</v>
      </c>
      <c r="BR954">
        <f t="shared" si="358"/>
        <v>0</v>
      </c>
      <c r="BS954">
        <f t="shared" si="359"/>
        <v>0</v>
      </c>
      <c r="BT954">
        <f t="shared" si="360"/>
        <v>0</v>
      </c>
      <c r="BU954">
        <f t="shared" si="361"/>
        <v>0</v>
      </c>
      <c r="BV954">
        <f t="shared" si="362"/>
        <v>0</v>
      </c>
      <c r="BW954">
        <f t="shared" si="363"/>
        <v>0</v>
      </c>
      <c r="CA954" t="str">
        <f>IF(755&gt;ROWS(DGArchive[模组]),"",IF(INDEX(DGArchive[模组],755)="","",INDEX(DGArchive[模组],755)))</f>
        <v/>
      </c>
      <c r="CB954" t="str">
        <f>IF(755&gt;ROWS(DGArchive[阶段]),"",IF(INDEX(DGArchive[阶段],755)="","",INDEX(DGArchive[阶段],755)))</f>
        <v/>
      </c>
      <c r="CC954" t="str">
        <f>IF(755&gt;ROWS(DGArchive[游戏内日期]),"",IF(INDEX(DGArchive[游戏内日期],755)="","",INDEX(DGArchive[游戏内日期],755)))</f>
        <v/>
      </c>
      <c r="CD954" t="str">
        <f>IF(755&gt;ROWS(DGArchive[目标]),"",IF(INDEX(DGArchive[目标],755)="","",INDEX(DGArchive[目标],755)))</f>
        <v/>
      </c>
      <c r="CE954" t="str">
        <f>IF(755&gt;ROWS(DGArchive[变更前]),"",IF(INDEX(DGArchive[变更前],755)="","",INDEX(DGArchive[变更前],755)))</f>
        <v/>
      </c>
      <c r="CF954" t="str">
        <f>IF(755&gt;ROWS(DGArchive[增减]),"",IF(INDEX(DGArchive[增减],755)="","",INDEX(DGArchive[增减],755)))</f>
        <v/>
      </c>
      <c r="CG954" t="str">
        <f>IF(755&gt;ROWS(DGArchive[变更后]),"",IF(INDEX(DGArchive[变更后],755)="","",INDEX(DGArchive[变更后],755)))</f>
        <v/>
      </c>
      <c r="CH954" t="str">
        <f>IF(755&gt;ROWS(DGArchive[事件／活动]),"",IF(INDEX(DGArchive[事件／活动],755)="","",INDEX(DGArchive[事件／活动],755)))</f>
        <v/>
      </c>
      <c r="CI954" t="str">
        <f>IF(755&gt;ROWS(DGArchive[记录编号]),"",IF(INDEX(DGArchive[记录编号],755)="","",INDEX(DGArchive[记录编号],755)))</f>
        <v/>
      </c>
      <c r="CL954">
        <f t="shared" si="344"/>
        <v>0</v>
      </c>
      <c r="CM954">
        <f>IF(AND(A954=$AO$5,B954=$AQ$3,H954=1),COUNTIFS($A$200:A954,$AO$5,$B$200:B954,$AQ$3,$H$200:H954,1),0)</f>
        <v>0</v>
      </c>
      <c r="CN954">
        <f>IF(CA954="",755,1001)</f>
        <v>755</v>
      </c>
      <c r="GA954">
        <f t="shared" si="364"/>
        <v>0</v>
      </c>
      <c r="GB954">
        <f t="shared" si="365"/>
        <v>0</v>
      </c>
      <c r="GC954">
        <f>IF(AND(C954="事件记录",H954=1),COUNTIFS($C$200:C954,"事件记录",$H$200:H954,1),0)</f>
        <v>0</v>
      </c>
      <c r="GD954">
        <f t="shared" si="345"/>
        <v>0</v>
      </c>
      <c r="GH954">
        <f>IF(AND(H954=1,A954=$GA$10,B954=$GA$11),COUNTIFS($A$200:A954,$GA$10,$B$200:B954,$GA$11,$H$200:H954,1),0)</f>
        <v>0</v>
      </c>
    </row>
    <row r="955" spans="1:190">
      <c r="A955" t="str">
        <f t="shared" si="336"/>
        <v/>
      </c>
      <c r="B955" t="str">
        <f t="shared" si="337"/>
        <v/>
      </c>
      <c r="C955" t="str">
        <f t="shared" si="338"/>
        <v/>
      </c>
      <c r="D955" t="str">
        <f t="shared" si="339"/>
        <v/>
      </c>
      <c r="E955">
        <f t="shared" si="340"/>
        <v>0</v>
      </c>
      <c r="F955" t="str">
        <f t="shared" si="341"/>
        <v/>
      </c>
      <c r="G955">
        <f t="shared" si="342"/>
        <v>0</v>
      </c>
      <c r="H955">
        <f>IF(AND(G955=1,COUNTIFS($I$200:I955,I955,$G$200:G955,1)=1),1,0)</f>
        <v>0</v>
      </c>
      <c r="I955" t="str">
        <f t="shared" si="343"/>
        <v/>
      </c>
      <c r="BF955">
        <f t="shared" si="346"/>
        <v>0</v>
      </c>
      <c r="BG955">
        <f t="shared" si="347"/>
        <v>0</v>
      </c>
      <c r="BH955">
        <f t="shared" si="348"/>
        <v>0</v>
      </c>
      <c r="BI955">
        <f t="shared" si="349"/>
        <v>0</v>
      </c>
      <c r="BJ955">
        <f t="shared" si="350"/>
        <v>0</v>
      </c>
      <c r="BK955">
        <f t="shared" si="351"/>
        <v>0</v>
      </c>
      <c r="BL955">
        <f t="shared" si="352"/>
        <v>0</v>
      </c>
      <c r="BM955">
        <f t="shared" si="353"/>
        <v>0</v>
      </c>
      <c r="BN955">
        <f t="shared" si="354"/>
        <v>0</v>
      </c>
      <c r="BO955">
        <f t="shared" si="355"/>
        <v>0</v>
      </c>
      <c r="BP955">
        <f t="shared" si="356"/>
        <v>0</v>
      </c>
      <c r="BQ955">
        <f t="shared" si="357"/>
        <v>0</v>
      </c>
      <c r="BR955">
        <f t="shared" si="358"/>
        <v>0</v>
      </c>
      <c r="BS955">
        <f t="shared" si="359"/>
        <v>0</v>
      </c>
      <c r="BT955">
        <f t="shared" si="360"/>
        <v>0</v>
      </c>
      <c r="BU955">
        <f t="shared" si="361"/>
        <v>0</v>
      </c>
      <c r="BV955">
        <f t="shared" si="362"/>
        <v>0</v>
      </c>
      <c r="BW955">
        <f t="shared" si="363"/>
        <v>0</v>
      </c>
      <c r="CA955" t="str">
        <f>IF(756&gt;ROWS(DGArchive[模组]),"",IF(INDEX(DGArchive[模组],756)="","",INDEX(DGArchive[模组],756)))</f>
        <v/>
      </c>
      <c r="CB955" t="str">
        <f>IF(756&gt;ROWS(DGArchive[阶段]),"",IF(INDEX(DGArchive[阶段],756)="","",INDEX(DGArchive[阶段],756)))</f>
        <v/>
      </c>
      <c r="CC955" t="str">
        <f>IF(756&gt;ROWS(DGArchive[游戏内日期]),"",IF(INDEX(DGArchive[游戏内日期],756)="","",INDEX(DGArchive[游戏内日期],756)))</f>
        <v/>
      </c>
      <c r="CD955" t="str">
        <f>IF(756&gt;ROWS(DGArchive[目标]),"",IF(INDEX(DGArchive[目标],756)="","",INDEX(DGArchive[目标],756)))</f>
        <v/>
      </c>
      <c r="CE955" t="str">
        <f>IF(756&gt;ROWS(DGArchive[变更前]),"",IF(INDEX(DGArchive[变更前],756)="","",INDEX(DGArchive[变更前],756)))</f>
        <v/>
      </c>
      <c r="CF955" t="str">
        <f>IF(756&gt;ROWS(DGArchive[增减]),"",IF(INDEX(DGArchive[增减],756)="","",INDEX(DGArchive[增减],756)))</f>
        <v/>
      </c>
      <c r="CG955" t="str">
        <f>IF(756&gt;ROWS(DGArchive[变更后]),"",IF(INDEX(DGArchive[变更后],756)="","",INDEX(DGArchive[变更后],756)))</f>
        <v/>
      </c>
      <c r="CH955" t="str">
        <f>IF(756&gt;ROWS(DGArchive[事件／活动]),"",IF(INDEX(DGArchive[事件／活动],756)="","",INDEX(DGArchive[事件／活动],756)))</f>
        <v/>
      </c>
      <c r="CI955" t="str">
        <f>IF(756&gt;ROWS(DGArchive[记录编号]),"",IF(INDEX(DGArchive[记录编号],756)="","",INDEX(DGArchive[记录编号],756)))</f>
        <v/>
      </c>
      <c r="CL955">
        <f t="shared" si="344"/>
        <v>0</v>
      </c>
      <c r="CM955">
        <f>IF(AND(A955=$AO$5,B955=$AQ$3,H955=1),COUNTIFS($A$200:A955,$AO$5,$B$200:B955,$AQ$3,$H$200:H955,1),0)</f>
        <v>0</v>
      </c>
      <c r="CN955">
        <f>IF(CA955="",756,1001)</f>
        <v>756</v>
      </c>
      <c r="GA955">
        <f t="shared" si="364"/>
        <v>0</v>
      </c>
      <c r="GB955">
        <f t="shared" si="365"/>
        <v>0</v>
      </c>
      <c r="GC955">
        <f>IF(AND(C955="事件记录",H955=1),COUNTIFS($C$200:C955,"事件记录",$H$200:H955,1),0)</f>
        <v>0</v>
      </c>
      <c r="GD955">
        <f t="shared" si="345"/>
        <v>0</v>
      </c>
      <c r="GH955">
        <f>IF(AND(H955=1,A955=$GA$10,B955=$GA$11),COUNTIFS($A$200:A955,$GA$10,$B$200:B955,$GA$11,$H$200:H955,1),0)</f>
        <v>0</v>
      </c>
    </row>
    <row r="956" spans="1:190">
      <c r="A956" t="str">
        <f t="shared" si="336"/>
        <v/>
      </c>
      <c r="B956" t="str">
        <f t="shared" si="337"/>
        <v/>
      </c>
      <c r="C956" t="str">
        <f t="shared" si="338"/>
        <v/>
      </c>
      <c r="D956" t="str">
        <f t="shared" si="339"/>
        <v/>
      </c>
      <c r="E956">
        <f t="shared" si="340"/>
        <v>0</v>
      </c>
      <c r="F956" t="str">
        <f t="shared" si="341"/>
        <v/>
      </c>
      <c r="G956">
        <f t="shared" si="342"/>
        <v>0</v>
      </c>
      <c r="H956">
        <f>IF(AND(G956=1,COUNTIFS($I$200:I956,I956,$G$200:G956,1)=1),1,0)</f>
        <v>0</v>
      </c>
      <c r="I956" t="str">
        <f t="shared" si="343"/>
        <v/>
      </c>
      <c r="BF956">
        <f t="shared" si="346"/>
        <v>0</v>
      </c>
      <c r="BG956">
        <f t="shared" si="347"/>
        <v>0</v>
      </c>
      <c r="BH956">
        <f t="shared" si="348"/>
        <v>0</v>
      </c>
      <c r="BI956">
        <f t="shared" si="349"/>
        <v>0</v>
      </c>
      <c r="BJ956">
        <f t="shared" si="350"/>
        <v>0</v>
      </c>
      <c r="BK956">
        <f t="shared" si="351"/>
        <v>0</v>
      </c>
      <c r="BL956">
        <f t="shared" si="352"/>
        <v>0</v>
      </c>
      <c r="BM956">
        <f t="shared" si="353"/>
        <v>0</v>
      </c>
      <c r="BN956">
        <f t="shared" si="354"/>
        <v>0</v>
      </c>
      <c r="BO956">
        <f t="shared" si="355"/>
        <v>0</v>
      </c>
      <c r="BP956">
        <f t="shared" si="356"/>
        <v>0</v>
      </c>
      <c r="BQ956">
        <f t="shared" si="357"/>
        <v>0</v>
      </c>
      <c r="BR956">
        <f t="shared" si="358"/>
        <v>0</v>
      </c>
      <c r="BS956">
        <f t="shared" si="359"/>
        <v>0</v>
      </c>
      <c r="BT956">
        <f t="shared" si="360"/>
        <v>0</v>
      </c>
      <c r="BU956">
        <f t="shared" si="361"/>
        <v>0</v>
      </c>
      <c r="BV956">
        <f t="shared" si="362"/>
        <v>0</v>
      </c>
      <c r="BW956">
        <f t="shared" si="363"/>
        <v>0</v>
      </c>
      <c r="CA956" t="str">
        <f>IF(757&gt;ROWS(DGArchive[模组]),"",IF(INDEX(DGArchive[模组],757)="","",INDEX(DGArchive[模组],757)))</f>
        <v/>
      </c>
      <c r="CB956" t="str">
        <f>IF(757&gt;ROWS(DGArchive[阶段]),"",IF(INDEX(DGArchive[阶段],757)="","",INDEX(DGArchive[阶段],757)))</f>
        <v/>
      </c>
      <c r="CC956" t="str">
        <f>IF(757&gt;ROWS(DGArchive[游戏内日期]),"",IF(INDEX(DGArchive[游戏内日期],757)="","",INDEX(DGArchive[游戏内日期],757)))</f>
        <v/>
      </c>
      <c r="CD956" t="str">
        <f>IF(757&gt;ROWS(DGArchive[目标]),"",IF(INDEX(DGArchive[目标],757)="","",INDEX(DGArchive[目标],757)))</f>
        <v/>
      </c>
      <c r="CE956" t="str">
        <f>IF(757&gt;ROWS(DGArchive[变更前]),"",IF(INDEX(DGArchive[变更前],757)="","",INDEX(DGArchive[变更前],757)))</f>
        <v/>
      </c>
      <c r="CF956" t="str">
        <f>IF(757&gt;ROWS(DGArchive[增减]),"",IF(INDEX(DGArchive[增减],757)="","",INDEX(DGArchive[增减],757)))</f>
        <v/>
      </c>
      <c r="CG956" t="str">
        <f>IF(757&gt;ROWS(DGArchive[变更后]),"",IF(INDEX(DGArchive[变更后],757)="","",INDEX(DGArchive[变更后],757)))</f>
        <v/>
      </c>
      <c r="CH956" t="str">
        <f>IF(757&gt;ROWS(DGArchive[事件／活动]),"",IF(INDEX(DGArchive[事件／活动],757)="","",INDEX(DGArchive[事件／活动],757)))</f>
        <v/>
      </c>
      <c r="CI956" t="str">
        <f>IF(757&gt;ROWS(DGArchive[记录编号]),"",IF(INDEX(DGArchive[记录编号],757)="","",INDEX(DGArchive[记录编号],757)))</f>
        <v/>
      </c>
      <c r="CL956">
        <f t="shared" si="344"/>
        <v>0</v>
      </c>
      <c r="CM956">
        <f>IF(AND(A956=$AO$5,B956=$AQ$3,H956=1),COUNTIFS($A$200:A956,$AO$5,$B$200:B956,$AQ$3,$H$200:H956,1),0)</f>
        <v>0</v>
      </c>
      <c r="CN956">
        <f>IF(CA956="",757,1001)</f>
        <v>757</v>
      </c>
      <c r="GA956">
        <f t="shared" si="364"/>
        <v>0</v>
      </c>
      <c r="GB956">
        <f t="shared" si="365"/>
        <v>0</v>
      </c>
      <c r="GC956">
        <f>IF(AND(C956="事件记录",H956=1),COUNTIFS($C$200:C956,"事件记录",$H$200:H956,1),0)</f>
        <v>0</v>
      </c>
      <c r="GD956">
        <f t="shared" si="345"/>
        <v>0</v>
      </c>
      <c r="GH956">
        <f>IF(AND(H956=1,A956=$GA$10,B956=$GA$11),COUNTIFS($A$200:A956,$GA$10,$B$200:B956,$GA$11,$H$200:H956,1),0)</f>
        <v>0</v>
      </c>
    </row>
    <row r="957" spans="1:190">
      <c r="A957" t="str">
        <f t="shared" si="336"/>
        <v/>
      </c>
      <c r="B957" t="str">
        <f t="shared" si="337"/>
        <v/>
      </c>
      <c r="C957" t="str">
        <f t="shared" si="338"/>
        <v/>
      </c>
      <c r="D957" t="str">
        <f t="shared" si="339"/>
        <v/>
      </c>
      <c r="E957">
        <f t="shared" si="340"/>
        <v>0</v>
      </c>
      <c r="F957" t="str">
        <f t="shared" si="341"/>
        <v/>
      </c>
      <c r="G957">
        <f t="shared" si="342"/>
        <v>0</v>
      </c>
      <c r="H957">
        <f>IF(AND(G957=1,COUNTIFS($I$200:I957,I957,$G$200:G957,1)=1),1,0)</f>
        <v>0</v>
      </c>
      <c r="I957" t="str">
        <f t="shared" si="343"/>
        <v/>
      </c>
      <c r="BF957">
        <f t="shared" si="346"/>
        <v>0</v>
      </c>
      <c r="BG957">
        <f t="shared" si="347"/>
        <v>0</v>
      </c>
      <c r="BH957">
        <f t="shared" si="348"/>
        <v>0</v>
      </c>
      <c r="BI957">
        <f t="shared" si="349"/>
        <v>0</v>
      </c>
      <c r="BJ957">
        <f t="shared" si="350"/>
        <v>0</v>
      </c>
      <c r="BK957">
        <f t="shared" si="351"/>
        <v>0</v>
      </c>
      <c r="BL957">
        <f t="shared" si="352"/>
        <v>0</v>
      </c>
      <c r="BM957">
        <f t="shared" si="353"/>
        <v>0</v>
      </c>
      <c r="BN957">
        <f t="shared" si="354"/>
        <v>0</v>
      </c>
      <c r="BO957">
        <f t="shared" si="355"/>
        <v>0</v>
      </c>
      <c r="BP957">
        <f t="shared" si="356"/>
        <v>0</v>
      </c>
      <c r="BQ957">
        <f t="shared" si="357"/>
        <v>0</v>
      </c>
      <c r="BR957">
        <f t="shared" si="358"/>
        <v>0</v>
      </c>
      <c r="BS957">
        <f t="shared" si="359"/>
        <v>0</v>
      </c>
      <c r="BT957">
        <f t="shared" si="360"/>
        <v>0</v>
      </c>
      <c r="BU957">
        <f t="shared" si="361"/>
        <v>0</v>
      </c>
      <c r="BV957">
        <f t="shared" si="362"/>
        <v>0</v>
      </c>
      <c r="BW957">
        <f t="shared" si="363"/>
        <v>0</v>
      </c>
      <c r="CA957" t="str">
        <f>IF(758&gt;ROWS(DGArchive[模组]),"",IF(INDEX(DGArchive[模组],758)="","",INDEX(DGArchive[模组],758)))</f>
        <v/>
      </c>
      <c r="CB957" t="str">
        <f>IF(758&gt;ROWS(DGArchive[阶段]),"",IF(INDEX(DGArchive[阶段],758)="","",INDEX(DGArchive[阶段],758)))</f>
        <v/>
      </c>
      <c r="CC957" t="str">
        <f>IF(758&gt;ROWS(DGArchive[游戏内日期]),"",IF(INDEX(DGArchive[游戏内日期],758)="","",INDEX(DGArchive[游戏内日期],758)))</f>
        <v/>
      </c>
      <c r="CD957" t="str">
        <f>IF(758&gt;ROWS(DGArchive[目标]),"",IF(INDEX(DGArchive[目标],758)="","",INDEX(DGArchive[目标],758)))</f>
        <v/>
      </c>
      <c r="CE957" t="str">
        <f>IF(758&gt;ROWS(DGArchive[变更前]),"",IF(INDEX(DGArchive[变更前],758)="","",INDEX(DGArchive[变更前],758)))</f>
        <v/>
      </c>
      <c r="CF957" t="str">
        <f>IF(758&gt;ROWS(DGArchive[增减]),"",IF(INDEX(DGArchive[增减],758)="","",INDEX(DGArchive[增减],758)))</f>
        <v/>
      </c>
      <c r="CG957" t="str">
        <f>IF(758&gt;ROWS(DGArchive[变更后]),"",IF(INDEX(DGArchive[变更后],758)="","",INDEX(DGArchive[变更后],758)))</f>
        <v/>
      </c>
      <c r="CH957" t="str">
        <f>IF(758&gt;ROWS(DGArchive[事件／活动]),"",IF(INDEX(DGArchive[事件／活动],758)="","",INDEX(DGArchive[事件／活动],758)))</f>
        <v/>
      </c>
      <c r="CI957" t="str">
        <f>IF(758&gt;ROWS(DGArchive[记录编号]),"",IF(INDEX(DGArchive[记录编号],758)="","",INDEX(DGArchive[记录编号],758)))</f>
        <v/>
      </c>
      <c r="CL957">
        <f t="shared" si="344"/>
        <v>0</v>
      </c>
      <c r="CM957">
        <f>IF(AND(A957=$AO$5,B957=$AQ$3,H957=1),COUNTIFS($A$200:A957,$AO$5,$B$200:B957,$AQ$3,$H$200:H957,1),0)</f>
        <v>0</v>
      </c>
      <c r="CN957">
        <f>IF(CA957="",758,1001)</f>
        <v>758</v>
      </c>
      <c r="GA957">
        <f t="shared" si="364"/>
        <v>0</v>
      </c>
      <c r="GB957">
        <f t="shared" si="365"/>
        <v>0</v>
      </c>
      <c r="GC957">
        <f>IF(AND(C957="事件记录",H957=1),COUNTIFS($C$200:C957,"事件记录",$H$200:H957,1),0)</f>
        <v>0</v>
      </c>
      <c r="GD957">
        <f t="shared" si="345"/>
        <v>0</v>
      </c>
      <c r="GH957">
        <f>IF(AND(H957=1,A957=$GA$10,B957=$GA$11),COUNTIFS($A$200:A957,$GA$10,$B$200:B957,$GA$11,$H$200:H957,1),0)</f>
        <v>0</v>
      </c>
    </row>
    <row r="958" spans="1:190">
      <c r="A958" t="str">
        <f t="shared" si="336"/>
        <v/>
      </c>
      <c r="B958" t="str">
        <f t="shared" si="337"/>
        <v/>
      </c>
      <c r="C958" t="str">
        <f t="shared" si="338"/>
        <v/>
      </c>
      <c r="D958" t="str">
        <f t="shared" si="339"/>
        <v/>
      </c>
      <c r="E958">
        <f t="shared" si="340"/>
        <v>0</v>
      </c>
      <c r="F958" t="str">
        <f t="shared" si="341"/>
        <v/>
      </c>
      <c r="G958">
        <f t="shared" si="342"/>
        <v>0</v>
      </c>
      <c r="H958">
        <f>IF(AND(G958=1,COUNTIFS($I$200:I958,I958,$G$200:G958,1)=1),1,0)</f>
        <v>0</v>
      </c>
      <c r="I958" t="str">
        <f t="shared" si="343"/>
        <v/>
      </c>
      <c r="BF958">
        <f t="shared" si="346"/>
        <v>0</v>
      </c>
      <c r="BG958">
        <f t="shared" si="347"/>
        <v>0</v>
      </c>
      <c r="BH958">
        <f t="shared" si="348"/>
        <v>0</v>
      </c>
      <c r="BI958">
        <f t="shared" si="349"/>
        <v>0</v>
      </c>
      <c r="BJ958">
        <f t="shared" si="350"/>
        <v>0</v>
      </c>
      <c r="BK958">
        <f t="shared" si="351"/>
        <v>0</v>
      </c>
      <c r="BL958">
        <f t="shared" si="352"/>
        <v>0</v>
      </c>
      <c r="BM958">
        <f t="shared" si="353"/>
        <v>0</v>
      </c>
      <c r="BN958">
        <f t="shared" si="354"/>
        <v>0</v>
      </c>
      <c r="BO958">
        <f t="shared" si="355"/>
        <v>0</v>
      </c>
      <c r="BP958">
        <f t="shared" si="356"/>
        <v>0</v>
      </c>
      <c r="BQ958">
        <f t="shared" si="357"/>
        <v>0</v>
      </c>
      <c r="BR958">
        <f t="shared" si="358"/>
        <v>0</v>
      </c>
      <c r="BS958">
        <f t="shared" si="359"/>
        <v>0</v>
      </c>
      <c r="BT958">
        <f t="shared" si="360"/>
        <v>0</v>
      </c>
      <c r="BU958">
        <f t="shared" si="361"/>
        <v>0</v>
      </c>
      <c r="BV958">
        <f t="shared" si="362"/>
        <v>0</v>
      </c>
      <c r="BW958">
        <f t="shared" si="363"/>
        <v>0</v>
      </c>
      <c r="CA958" t="str">
        <f>IF(759&gt;ROWS(DGArchive[模组]),"",IF(INDEX(DGArchive[模组],759)="","",INDEX(DGArchive[模组],759)))</f>
        <v/>
      </c>
      <c r="CB958" t="str">
        <f>IF(759&gt;ROWS(DGArchive[阶段]),"",IF(INDEX(DGArchive[阶段],759)="","",INDEX(DGArchive[阶段],759)))</f>
        <v/>
      </c>
      <c r="CC958" t="str">
        <f>IF(759&gt;ROWS(DGArchive[游戏内日期]),"",IF(INDEX(DGArchive[游戏内日期],759)="","",INDEX(DGArchive[游戏内日期],759)))</f>
        <v/>
      </c>
      <c r="CD958" t="str">
        <f>IF(759&gt;ROWS(DGArchive[目标]),"",IF(INDEX(DGArchive[目标],759)="","",INDEX(DGArchive[目标],759)))</f>
        <v/>
      </c>
      <c r="CE958" t="str">
        <f>IF(759&gt;ROWS(DGArchive[变更前]),"",IF(INDEX(DGArchive[变更前],759)="","",INDEX(DGArchive[变更前],759)))</f>
        <v/>
      </c>
      <c r="CF958" t="str">
        <f>IF(759&gt;ROWS(DGArchive[增减]),"",IF(INDEX(DGArchive[增减],759)="","",INDEX(DGArchive[增减],759)))</f>
        <v/>
      </c>
      <c r="CG958" t="str">
        <f>IF(759&gt;ROWS(DGArchive[变更后]),"",IF(INDEX(DGArchive[变更后],759)="","",INDEX(DGArchive[变更后],759)))</f>
        <v/>
      </c>
      <c r="CH958" t="str">
        <f>IF(759&gt;ROWS(DGArchive[事件／活动]),"",IF(INDEX(DGArchive[事件／活动],759)="","",INDEX(DGArchive[事件／活动],759)))</f>
        <v/>
      </c>
      <c r="CI958" t="str">
        <f>IF(759&gt;ROWS(DGArchive[记录编号]),"",IF(INDEX(DGArchive[记录编号],759)="","",INDEX(DGArchive[记录编号],759)))</f>
        <v/>
      </c>
      <c r="CL958">
        <f t="shared" si="344"/>
        <v>0</v>
      </c>
      <c r="CM958">
        <f>IF(AND(A958=$AO$5,B958=$AQ$3,H958=1),COUNTIFS($A$200:A958,$AO$5,$B$200:B958,$AQ$3,$H$200:H958,1),0)</f>
        <v>0</v>
      </c>
      <c r="CN958">
        <f>IF(CA958="",759,1001)</f>
        <v>759</v>
      </c>
      <c r="GA958">
        <f t="shared" si="364"/>
        <v>0</v>
      </c>
      <c r="GB958">
        <f t="shared" si="365"/>
        <v>0</v>
      </c>
      <c r="GC958">
        <f>IF(AND(C958="事件记录",H958=1),COUNTIFS($C$200:C958,"事件记录",$H$200:H958,1),0)</f>
        <v>0</v>
      </c>
      <c r="GD958">
        <f t="shared" si="345"/>
        <v>0</v>
      </c>
      <c r="GH958">
        <f>IF(AND(H958=1,A958=$GA$10,B958=$GA$11),COUNTIFS($A$200:A958,$GA$10,$B$200:B958,$GA$11,$H$200:H958,1),0)</f>
        <v>0</v>
      </c>
    </row>
    <row r="959" spans="1:190">
      <c r="A959" t="str">
        <f t="shared" si="336"/>
        <v/>
      </c>
      <c r="B959" t="str">
        <f t="shared" si="337"/>
        <v/>
      </c>
      <c r="C959" t="str">
        <f t="shared" si="338"/>
        <v/>
      </c>
      <c r="D959" t="str">
        <f t="shared" si="339"/>
        <v/>
      </c>
      <c r="E959">
        <f t="shared" si="340"/>
        <v>0</v>
      </c>
      <c r="F959" t="str">
        <f t="shared" si="341"/>
        <v/>
      </c>
      <c r="G959">
        <f t="shared" si="342"/>
        <v>0</v>
      </c>
      <c r="H959">
        <f>IF(AND(G959=1,COUNTIFS($I$200:I959,I959,$G$200:G959,1)=1),1,0)</f>
        <v>0</v>
      </c>
      <c r="I959" t="str">
        <f t="shared" si="343"/>
        <v/>
      </c>
      <c r="BF959">
        <f t="shared" si="346"/>
        <v>0</v>
      </c>
      <c r="BG959">
        <f t="shared" si="347"/>
        <v>0</v>
      </c>
      <c r="BH959">
        <f t="shared" si="348"/>
        <v>0</v>
      </c>
      <c r="BI959">
        <f t="shared" si="349"/>
        <v>0</v>
      </c>
      <c r="BJ959">
        <f t="shared" si="350"/>
        <v>0</v>
      </c>
      <c r="BK959">
        <f t="shared" si="351"/>
        <v>0</v>
      </c>
      <c r="BL959">
        <f t="shared" si="352"/>
        <v>0</v>
      </c>
      <c r="BM959">
        <f t="shared" si="353"/>
        <v>0</v>
      </c>
      <c r="BN959">
        <f t="shared" si="354"/>
        <v>0</v>
      </c>
      <c r="BO959">
        <f t="shared" si="355"/>
        <v>0</v>
      </c>
      <c r="BP959">
        <f t="shared" si="356"/>
        <v>0</v>
      </c>
      <c r="BQ959">
        <f t="shared" si="357"/>
        <v>0</v>
      </c>
      <c r="BR959">
        <f t="shared" si="358"/>
        <v>0</v>
      </c>
      <c r="BS959">
        <f t="shared" si="359"/>
        <v>0</v>
      </c>
      <c r="BT959">
        <f t="shared" si="360"/>
        <v>0</v>
      </c>
      <c r="BU959">
        <f t="shared" si="361"/>
        <v>0</v>
      </c>
      <c r="BV959">
        <f t="shared" si="362"/>
        <v>0</v>
      </c>
      <c r="BW959">
        <f t="shared" si="363"/>
        <v>0</v>
      </c>
      <c r="CA959" t="str">
        <f>IF(760&gt;ROWS(DGArchive[模组]),"",IF(INDEX(DGArchive[模组],760)="","",INDEX(DGArchive[模组],760)))</f>
        <v/>
      </c>
      <c r="CB959" t="str">
        <f>IF(760&gt;ROWS(DGArchive[阶段]),"",IF(INDEX(DGArchive[阶段],760)="","",INDEX(DGArchive[阶段],760)))</f>
        <v/>
      </c>
      <c r="CC959" t="str">
        <f>IF(760&gt;ROWS(DGArchive[游戏内日期]),"",IF(INDEX(DGArchive[游戏内日期],760)="","",INDEX(DGArchive[游戏内日期],760)))</f>
        <v/>
      </c>
      <c r="CD959" t="str">
        <f>IF(760&gt;ROWS(DGArchive[目标]),"",IF(INDEX(DGArchive[目标],760)="","",INDEX(DGArchive[目标],760)))</f>
        <v/>
      </c>
      <c r="CE959" t="str">
        <f>IF(760&gt;ROWS(DGArchive[变更前]),"",IF(INDEX(DGArchive[变更前],760)="","",INDEX(DGArchive[变更前],760)))</f>
        <v/>
      </c>
      <c r="CF959" t="str">
        <f>IF(760&gt;ROWS(DGArchive[增减]),"",IF(INDEX(DGArchive[增减],760)="","",INDEX(DGArchive[增减],760)))</f>
        <v/>
      </c>
      <c r="CG959" t="str">
        <f>IF(760&gt;ROWS(DGArchive[变更后]),"",IF(INDEX(DGArchive[变更后],760)="","",INDEX(DGArchive[变更后],760)))</f>
        <v/>
      </c>
      <c r="CH959" t="str">
        <f>IF(760&gt;ROWS(DGArchive[事件／活动]),"",IF(INDEX(DGArchive[事件／活动],760)="","",INDEX(DGArchive[事件／活动],760)))</f>
        <v/>
      </c>
      <c r="CI959" t="str">
        <f>IF(760&gt;ROWS(DGArchive[记录编号]),"",IF(INDEX(DGArchive[记录编号],760)="","",INDEX(DGArchive[记录编号],760)))</f>
        <v/>
      </c>
      <c r="CL959">
        <f t="shared" si="344"/>
        <v>0</v>
      </c>
      <c r="CM959">
        <f>IF(AND(A959=$AO$5,B959=$AQ$3,H959=1),COUNTIFS($A$200:A959,$AO$5,$B$200:B959,$AQ$3,$H$200:H959,1),0)</f>
        <v>0</v>
      </c>
      <c r="CN959">
        <f>IF(CA959="",760,1001)</f>
        <v>760</v>
      </c>
      <c r="GA959">
        <f t="shared" si="364"/>
        <v>0</v>
      </c>
      <c r="GB959">
        <f t="shared" si="365"/>
        <v>0</v>
      </c>
      <c r="GC959">
        <f>IF(AND(C959="事件记录",H959=1),COUNTIFS($C$200:C959,"事件记录",$H$200:H959,1),0)</f>
        <v>0</v>
      </c>
      <c r="GD959">
        <f t="shared" si="345"/>
        <v>0</v>
      </c>
      <c r="GH959">
        <f>IF(AND(H959=1,A959=$GA$10,B959=$GA$11),COUNTIFS($A$200:A959,$GA$10,$B$200:B959,$GA$11,$H$200:H959,1),0)</f>
        <v>0</v>
      </c>
    </row>
    <row r="960" spans="1:190">
      <c r="A960" t="str">
        <f t="shared" si="336"/>
        <v/>
      </c>
      <c r="B960" t="str">
        <f t="shared" si="337"/>
        <v/>
      </c>
      <c r="C960" t="str">
        <f t="shared" si="338"/>
        <v/>
      </c>
      <c r="D960" t="str">
        <f t="shared" si="339"/>
        <v/>
      </c>
      <c r="E960">
        <f t="shared" si="340"/>
        <v>0</v>
      </c>
      <c r="F960" t="str">
        <f t="shared" si="341"/>
        <v/>
      </c>
      <c r="G960">
        <f t="shared" si="342"/>
        <v>0</v>
      </c>
      <c r="H960">
        <f>IF(AND(G960=1,COUNTIFS($I$200:I960,I960,$G$200:G960,1)=1),1,0)</f>
        <v>0</v>
      </c>
      <c r="I960" t="str">
        <f t="shared" si="343"/>
        <v/>
      </c>
      <c r="BF960">
        <f t="shared" si="346"/>
        <v>0</v>
      </c>
      <c r="BG960">
        <f t="shared" si="347"/>
        <v>0</v>
      </c>
      <c r="BH960">
        <f t="shared" si="348"/>
        <v>0</v>
      </c>
      <c r="BI960">
        <f t="shared" si="349"/>
        <v>0</v>
      </c>
      <c r="BJ960">
        <f t="shared" si="350"/>
        <v>0</v>
      </c>
      <c r="BK960">
        <f t="shared" si="351"/>
        <v>0</v>
      </c>
      <c r="BL960">
        <f t="shared" si="352"/>
        <v>0</v>
      </c>
      <c r="BM960">
        <f t="shared" si="353"/>
        <v>0</v>
      </c>
      <c r="BN960">
        <f t="shared" si="354"/>
        <v>0</v>
      </c>
      <c r="BO960">
        <f t="shared" si="355"/>
        <v>0</v>
      </c>
      <c r="BP960">
        <f t="shared" si="356"/>
        <v>0</v>
      </c>
      <c r="BQ960">
        <f t="shared" si="357"/>
        <v>0</v>
      </c>
      <c r="BR960">
        <f t="shared" si="358"/>
        <v>0</v>
      </c>
      <c r="BS960">
        <f t="shared" si="359"/>
        <v>0</v>
      </c>
      <c r="BT960">
        <f t="shared" si="360"/>
        <v>0</v>
      </c>
      <c r="BU960">
        <f t="shared" si="361"/>
        <v>0</v>
      </c>
      <c r="BV960">
        <f t="shared" si="362"/>
        <v>0</v>
      </c>
      <c r="BW960">
        <f t="shared" si="363"/>
        <v>0</v>
      </c>
      <c r="CA960" t="str">
        <f>IF(761&gt;ROWS(DGArchive[模组]),"",IF(INDEX(DGArchive[模组],761)="","",INDEX(DGArchive[模组],761)))</f>
        <v/>
      </c>
      <c r="CB960" t="str">
        <f>IF(761&gt;ROWS(DGArchive[阶段]),"",IF(INDEX(DGArchive[阶段],761)="","",INDEX(DGArchive[阶段],761)))</f>
        <v/>
      </c>
      <c r="CC960" t="str">
        <f>IF(761&gt;ROWS(DGArchive[游戏内日期]),"",IF(INDEX(DGArchive[游戏内日期],761)="","",INDEX(DGArchive[游戏内日期],761)))</f>
        <v/>
      </c>
      <c r="CD960" t="str">
        <f>IF(761&gt;ROWS(DGArchive[目标]),"",IF(INDEX(DGArchive[目标],761)="","",INDEX(DGArchive[目标],761)))</f>
        <v/>
      </c>
      <c r="CE960" t="str">
        <f>IF(761&gt;ROWS(DGArchive[变更前]),"",IF(INDEX(DGArchive[变更前],761)="","",INDEX(DGArchive[变更前],761)))</f>
        <v/>
      </c>
      <c r="CF960" t="str">
        <f>IF(761&gt;ROWS(DGArchive[增减]),"",IF(INDEX(DGArchive[增减],761)="","",INDEX(DGArchive[增减],761)))</f>
        <v/>
      </c>
      <c r="CG960" t="str">
        <f>IF(761&gt;ROWS(DGArchive[变更后]),"",IF(INDEX(DGArchive[变更后],761)="","",INDEX(DGArchive[变更后],761)))</f>
        <v/>
      </c>
      <c r="CH960" t="str">
        <f>IF(761&gt;ROWS(DGArchive[事件／活动]),"",IF(INDEX(DGArchive[事件／活动],761)="","",INDEX(DGArchive[事件／活动],761)))</f>
        <v/>
      </c>
      <c r="CI960" t="str">
        <f>IF(761&gt;ROWS(DGArchive[记录编号]),"",IF(INDEX(DGArchive[记录编号],761)="","",INDEX(DGArchive[记录编号],761)))</f>
        <v/>
      </c>
      <c r="CL960">
        <f t="shared" si="344"/>
        <v>0</v>
      </c>
      <c r="CM960">
        <f>IF(AND(A960=$AO$5,B960=$AQ$3,H960=1),COUNTIFS($A$200:A960,$AO$5,$B$200:B960,$AQ$3,$H$200:H960,1),0)</f>
        <v>0</v>
      </c>
      <c r="CN960">
        <f>IF(CA960="",761,1001)</f>
        <v>761</v>
      </c>
      <c r="GA960">
        <f t="shared" si="364"/>
        <v>0</v>
      </c>
      <c r="GB960">
        <f t="shared" si="365"/>
        <v>0</v>
      </c>
      <c r="GC960">
        <f>IF(AND(C960="事件记录",H960=1),COUNTIFS($C$200:C960,"事件记录",$H$200:H960,1),0)</f>
        <v>0</v>
      </c>
      <c r="GD960">
        <f t="shared" si="345"/>
        <v>0</v>
      </c>
      <c r="GH960">
        <f>IF(AND(H960=1,A960=$GA$10,B960=$GA$11),COUNTIFS($A$200:A960,$GA$10,$B$200:B960,$GA$11,$H$200:H960,1),0)</f>
        <v>0</v>
      </c>
    </row>
    <row r="961" spans="1:190">
      <c r="A961" t="str">
        <f t="shared" si="336"/>
        <v/>
      </c>
      <c r="B961" t="str">
        <f t="shared" si="337"/>
        <v/>
      </c>
      <c r="C961" t="str">
        <f t="shared" si="338"/>
        <v/>
      </c>
      <c r="D961" t="str">
        <f t="shared" si="339"/>
        <v/>
      </c>
      <c r="E961">
        <f t="shared" si="340"/>
        <v>0</v>
      </c>
      <c r="F961" t="str">
        <f t="shared" si="341"/>
        <v/>
      </c>
      <c r="G961">
        <f t="shared" si="342"/>
        <v>0</v>
      </c>
      <c r="H961">
        <f>IF(AND(G961=1,COUNTIFS($I$200:I961,I961,$G$200:G961,1)=1),1,0)</f>
        <v>0</v>
      </c>
      <c r="I961" t="str">
        <f t="shared" si="343"/>
        <v/>
      </c>
      <c r="BF961">
        <f t="shared" si="346"/>
        <v>0</v>
      </c>
      <c r="BG961">
        <f t="shared" si="347"/>
        <v>0</v>
      </c>
      <c r="BH961">
        <f t="shared" si="348"/>
        <v>0</v>
      </c>
      <c r="BI961">
        <f t="shared" si="349"/>
        <v>0</v>
      </c>
      <c r="BJ961">
        <f t="shared" si="350"/>
        <v>0</v>
      </c>
      <c r="BK961">
        <f t="shared" si="351"/>
        <v>0</v>
      </c>
      <c r="BL961">
        <f t="shared" si="352"/>
        <v>0</v>
      </c>
      <c r="BM961">
        <f t="shared" si="353"/>
        <v>0</v>
      </c>
      <c r="BN961">
        <f t="shared" si="354"/>
        <v>0</v>
      </c>
      <c r="BO961">
        <f t="shared" si="355"/>
        <v>0</v>
      </c>
      <c r="BP961">
        <f t="shared" si="356"/>
        <v>0</v>
      </c>
      <c r="BQ961">
        <f t="shared" si="357"/>
        <v>0</v>
      </c>
      <c r="BR961">
        <f t="shared" si="358"/>
        <v>0</v>
      </c>
      <c r="BS961">
        <f t="shared" si="359"/>
        <v>0</v>
      </c>
      <c r="BT961">
        <f t="shared" si="360"/>
        <v>0</v>
      </c>
      <c r="BU961">
        <f t="shared" si="361"/>
        <v>0</v>
      </c>
      <c r="BV961">
        <f t="shared" si="362"/>
        <v>0</v>
      </c>
      <c r="BW961">
        <f t="shared" si="363"/>
        <v>0</v>
      </c>
      <c r="CA961" t="str">
        <f>IF(762&gt;ROWS(DGArchive[模组]),"",IF(INDEX(DGArchive[模组],762)="","",INDEX(DGArchive[模组],762)))</f>
        <v/>
      </c>
      <c r="CB961" t="str">
        <f>IF(762&gt;ROWS(DGArchive[阶段]),"",IF(INDEX(DGArchive[阶段],762)="","",INDEX(DGArchive[阶段],762)))</f>
        <v/>
      </c>
      <c r="CC961" t="str">
        <f>IF(762&gt;ROWS(DGArchive[游戏内日期]),"",IF(INDEX(DGArchive[游戏内日期],762)="","",INDEX(DGArchive[游戏内日期],762)))</f>
        <v/>
      </c>
      <c r="CD961" t="str">
        <f>IF(762&gt;ROWS(DGArchive[目标]),"",IF(INDEX(DGArchive[目标],762)="","",INDEX(DGArchive[目标],762)))</f>
        <v/>
      </c>
      <c r="CE961" t="str">
        <f>IF(762&gt;ROWS(DGArchive[变更前]),"",IF(INDEX(DGArchive[变更前],762)="","",INDEX(DGArchive[变更前],762)))</f>
        <v/>
      </c>
      <c r="CF961" t="str">
        <f>IF(762&gt;ROWS(DGArchive[增减]),"",IF(INDEX(DGArchive[增减],762)="","",INDEX(DGArchive[增减],762)))</f>
        <v/>
      </c>
      <c r="CG961" t="str">
        <f>IF(762&gt;ROWS(DGArchive[变更后]),"",IF(INDEX(DGArchive[变更后],762)="","",INDEX(DGArchive[变更后],762)))</f>
        <v/>
      </c>
      <c r="CH961" t="str">
        <f>IF(762&gt;ROWS(DGArchive[事件／活动]),"",IF(INDEX(DGArchive[事件／活动],762)="","",INDEX(DGArchive[事件／活动],762)))</f>
        <v/>
      </c>
      <c r="CI961" t="str">
        <f>IF(762&gt;ROWS(DGArchive[记录编号]),"",IF(INDEX(DGArchive[记录编号],762)="","",INDEX(DGArchive[记录编号],762)))</f>
        <v/>
      </c>
      <c r="CL961">
        <f t="shared" si="344"/>
        <v>0</v>
      </c>
      <c r="CM961">
        <f>IF(AND(A961=$AO$5,B961=$AQ$3,H961=1),COUNTIFS($A$200:A961,$AO$5,$B$200:B961,$AQ$3,$H$200:H961,1),0)</f>
        <v>0</v>
      </c>
      <c r="CN961">
        <f>IF(CA961="",762,1001)</f>
        <v>762</v>
      </c>
      <c r="GA961">
        <f t="shared" si="364"/>
        <v>0</v>
      </c>
      <c r="GB961">
        <f t="shared" si="365"/>
        <v>0</v>
      </c>
      <c r="GC961">
        <f>IF(AND(C961="事件记录",H961=1),COUNTIFS($C$200:C961,"事件记录",$H$200:H961,1),0)</f>
        <v>0</v>
      </c>
      <c r="GD961">
        <f t="shared" si="345"/>
        <v>0</v>
      </c>
      <c r="GH961">
        <f>IF(AND(H961=1,A961=$GA$10,B961=$GA$11),COUNTIFS($A$200:A961,$GA$10,$B$200:B961,$GA$11,$H$200:H961,1),0)</f>
        <v>0</v>
      </c>
    </row>
    <row r="962" spans="1:190">
      <c r="A962" t="str">
        <f t="shared" si="336"/>
        <v/>
      </c>
      <c r="B962" t="str">
        <f t="shared" si="337"/>
        <v/>
      </c>
      <c r="C962" t="str">
        <f t="shared" si="338"/>
        <v/>
      </c>
      <c r="D962" t="str">
        <f t="shared" si="339"/>
        <v/>
      </c>
      <c r="E962">
        <f t="shared" si="340"/>
        <v>0</v>
      </c>
      <c r="F962" t="str">
        <f t="shared" si="341"/>
        <v/>
      </c>
      <c r="G962">
        <f t="shared" si="342"/>
        <v>0</v>
      </c>
      <c r="H962">
        <f>IF(AND(G962=1,COUNTIFS($I$200:I962,I962,$G$200:G962,1)=1),1,0)</f>
        <v>0</v>
      </c>
      <c r="I962" t="str">
        <f t="shared" si="343"/>
        <v/>
      </c>
      <c r="BF962">
        <f t="shared" si="346"/>
        <v>0</v>
      </c>
      <c r="BG962">
        <f t="shared" si="347"/>
        <v>0</v>
      </c>
      <c r="BH962">
        <f t="shared" si="348"/>
        <v>0</v>
      </c>
      <c r="BI962">
        <f t="shared" si="349"/>
        <v>0</v>
      </c>
      <c r="BJ962">
        <f t="shared" si="350"/>
        <v>0</v>
      </c>
      <c r="BK962">
        <f t="shared" si="351"/>
        <v>0</v>
      </c>
      <c r="BL962">
        <f t="shared" si="352"/>
        <v>0</v>
      </c>
      <c r="BM962">
        <f t="shared" si="353"/>
        <v>0</v>
      </c>
      <c r="BN962">
        <f t="shared" si="354"/>
        <v>0</v>
      </c>
      <c r="BO962">
        <f t="shared" si="355"/>
        <v>0</v>
      </c>
      <c r="BP962">
        <f t="shared" si="356"/>
        <v>0</v>
      </c>
      <c r="BQ962">
        <f t="shared" si="357"/>
        <v>0</v>
      </c>
      <c r="BR962">
        <f t="shared" si="358"/>
        <v>0</v>
      </c>
      <c r="BS962">
        <f t="shared" si="359"/>
        <v>0</v>
      </c>
      <c r="BT962">
        <f t="shared" si="360"/>
        <v>0</v>
      </c>
      <c r="BU962">
        <f t="shared" si="361"/>
        <v>0</v>
      </c>
      <c r="BV962">
        <f t="shared" si="362"/>
        <v>0</v>
      </c>
      <c r="BW962">
        <f t="shared" si="363"/>
        <v>0</v>
      </c>
      <c r="CA962" t="str">
        <f>IF(763&gt;ROWS(DGArchive[模组]),"",IF(INDEX(DGArchive[模组],763)="","",INDEX(DGArchive[模组],763)))</f>
        <v/>
      </c>
      <c r="CB962" t="str">
        <f>IF(763&gt;ROWS(DGArchive[阶段]),"",IF(INDEX(DGArchive[阶段],763)="","",INDEX(DGArchive[阶段],763)))</f>
        <v/>
      </c>
      <c r="CC962" t="str">
        <f>IF(763&gt;ROWS(DGArchive[游戏内日期]),"",IF(INDEX(DGArchive[游戏内日期],763)="","",INDEX(DGArchive[游戏内日期],763)))</f>
        <v/>
      </c>
      <c r="CD962" t="str">
        <f>IF(763&gt;ROWS(DGArchive[目标]),"",IF(INDEX(DGArchive[目标],763)="","",INDEX(DGArchive[目标],763)))</f>
        <v/>
      </c>
      <c r="CE962" t="str">
        <f>IF(763&gt;ROWS(DGArchive[变更前]),"",IF(INDEX(DGArchive[变更前],763)="","",INDEX(DGArchive[变更前],763)))</f>
        <v/>
      </c>
      <c r="CF962" t="str">
        <f>IF(763&gt;ROWS(DGArchive[增减]),"",IF(INDEX(DGArchive[增减],763)="","",INDEX(DGArchive[增减],763)))</f>
        <v/>
      </c>
      <c r="CG962" t="str">
        <f>IF(763&gt;ROWS(DGArchive[变更后]),"",IF(INDEX(DGArchive[变更后],763)="","",INDEX(DGArchive[变更后],763)))</f>
        <v/>
      </c>
      <c r="CH962" t="str">
        <f>IF(763&gt;ROWS(DGArchive[事件／活动]),"",IF(INDEX(DGArchive[事件／活动],763)="","",INDEX(DGArchive[事件／活动],763)))</f>
        <v/>
      </c>
      <c r="CI962" t="str">
        <f>IF(763&gt;ROWS(DGArchive[记录编号]),"",IF(INDEX(DGArchive[记录编号],763)="","",INDEX(DGArchive[记录编号],763)))</f>
        <v/>
      </c>
      <c r="CL962">
        <f t="shared" si="344"/>
        <v>0</v>
      </c>
      <c r="CM962">
        <f>IF(AND(A962=$AO$5,B962=$AQ$3,H962=1),COUNTIFS($A$200:A962,$AO$5,$B$200:B962,$AQ$3,$H$200:H962,1),0)</f>
        <v>0</v>
      </c>
      <c r="CN962">
        <f>IF(CA962="",763,1001)</f>
        <v>763</v>
      </c>
      <c r="GA962">
        <f t="shared" si="364"/>
        <v>0</v>
      </c>
      <c r="GB962">
        <f t="shared" si="365"/>
        <v>0</v>
      </c>
      <c r="GC962">
        <f>IF(AND(C962="事件记录",H962=1),COUNTIFS($C$200:C962,"事件记录",$H$200:H962,1),0)</f>
        <v>0</v>
      </c>
      <c r="GD962">
        <f t="shared" si="345"/>
        <v>0</v>
      </c>
      <c r="GH962">
        <f>IF(AND(H962=1,A962=$GA$10,B962=$GA$11),COUNTIFS($A$200:A962,$GA$10,$B$200:B962,$GA$11,$H$200:H962,1),0)</f>
        <v>0</v>
      </c>
    </row>
    <row r="963" spans="1:190">
      <c r="A963" t="str">
        <f t="shared" si="336"/>
        <v/>
      </c>
      <c r="B963" t="str">
        <f t="shared" si="337"/>
        <v/>
      </c>
      <c r="C963" t="str">
        <f t="shared" si="338"/>
        <v/>
      </c>
      <c r="D963" t="str">
        <f t="shared" si="339"/>
        <v/>
      </c>
      <c r="E963">
        <f t="shared" si="340"/>
        <v>0</v>
      </c>
      <c r="F963" t="str">
        <f t="shared" si="341"/>
        <v/>
      </c>
      <c r="G963">
        <f t="shared" si="342"/>
        <v>0</v>
      </c>
      <c r="H963">
        <f>IF(AND(G963=1,COUNTIFS($I$200:I963,I963,$G$200:G963,1)=1),1,0)</f>
        <v>0</v>
      </c>
      <c r="I963" t="str">
        <f t="shared" si="343"/>
        <v/>
      </c>
      <c r="BF963">
        <f t="shared" si="346"/>
        <v>0</v>
      </c>
      <c r="BG963">
        <f t="shared" si="347"/>
        <v>0</v>
      </c>
      <c r="BH963">
        <f t="shared" si="348"/>
        <v>0</v>
      </c>
      <c r="BI963">
        <f t="shared" si="349"/>
        <v>0</v>
      </c>
      <c r="BJ963">
        <f t="shared" si="350"/>
        <v>0</v>
      </c>
      <c r="BK963">
        <f t="shared" si="351"/>
        <v>0</v>
      </c>
      <c r="BL963">
        <f t="shared" si="352"/>
        <v>0</v>
      </c>
      <c r="BM963">
        <f t="shared" si="353"/>
        <v>0</v>
      </c>
      <c r="BN963">
        <f t="shared" si="354"/>
        <v>0</v>
      </c>
      <c r="BO963">
        <f t="shared" si="355"/>
        <v>0</v>
      </c>
      <c r="BP963">
        <f t="shared" si="356"/>
        <v>0</v>
      </c>
      <c r="BQ963">
        <f t="shared" si="357"/>
        <v>0</v>
      </c>
      <c r="BR963">
        <f t="shared" si="358"/>
        <v>0</v>
      </c>
      <c r="BS963">
        <f t="shared" si="359"/>
        <v>0</v>
      </c>
      <c r="BT963">
        <f t="shared" si="360"/>
        <v>0</v>
      </c>
      <c r="BU963">
        <f t="shared" si="361"/>
        <v>0</v>
      </c>
      <c r="BV963">
        <f t="shared" si="362"/>
        <v>0</v>
      </c>
      <c r="BW963">
        <f t="shared" si="363"/>
        <v>0</v>
      </c>
      <c r="CA963" t="str">
        <f>IF(764&gt;ROWS(DGArchive[模组]),"",IF(INDEX(DGArchive[模组],764)="","",INDEX(DGArchive[模组],764)))</f>
        <v/>
      </c>
      <c r="CB963" t="str">
        <f>IF(764&gt;ROWS(DGArchive[阶段]),"",IF(INDEX(DGArchive[阶段],764)="","",INDEX(DGArchive[阶段],764)))</f>
        <v/>
      </c>
      <c r="CC963" t="str">
        <f>IF(764&gt;ROWS(DGArchive[游戏内日期]),"",IF(INDEX(DGArchive[游戏内日期],764)="","",INDEX(DGArchive[游戏内日期],764)))</f>
        <v/>
      </c>
      <c r="CD963" t="str">
        <f>IF(764&gt;ROWS(DGArchive[目标]),"",IF(INDEX(DGArchive[目标],764)="","",INDEX(DGArchive[目标],764)))</f>
        <v/>
      </c>
      <c r="CE963" t="str">
        <f>IF(764&gt;ROWS(DGArchive[变更前]),"",IF(INDEX(DGArchive[变更前],764)="","",INDEX(DGArchive[变更前],764)))</f>
        <v/>
      </c>
      <c r="CF963" t="str">
        <f>IF(764&gt;ROWS(DGArchive[增减]),"",IF(INDEX(DGArchive[增减],764)="","",INDEX(DGArchive[增减],764)))</f>
        <v/>
      </c>
      <c r="CG963" t="str">
        <f>IF(764&gt;ROWS(DGArchive[变更后]),"",IF(INDEX(DGArchive[变更后],764)="","",INDEX(DGArchive[变更后],764)))</f>
        <v/>
      </c>
      <c r="CH963" t="str">
        <f>IF(764&gt;ROWS(DGArchive[事件／活动]),"",IF(INDEX(DGArchive[事件／活动],764)="","",INDEX(DGArchive[事件／活动],764)))</f>
        <v/>
      </c>
      <c r="CI963" t="str">
        <f>IF(764&gt;ROWS(DGArchive[记录编号]),"",IF(INDEX(DGArchive[记录编号],764)="","",INDEX(DGArchive[记录编号],764)))</f>
        <v/>
      </c>
      <c r="CL963">
        <f t="shared" si="344"/>
        <v>0</v>
      </c>
      <c r="CM963">
        <f>IF(AND(A963=$AO$5,B963=$AQ$3,H963=1),COUNTIFS($A$200:A963,$AO$5,$B$200:B963,$AQ$3,$H$200:H963,1),0)</f>
        <v>0</v>
      </c>
      <c r="CN963">
        <f>IF(CA963="",764,1001)</f>
        <v>764</v>
      </c>
      <c r="GA963">
        <f t="shared" si="364"/>
        <v>0</v>
      </c>
      <c r="GB963">
        <f t="shared" si="365"/>
        <v>0</v>
      </c>
      <c r="GC963">
        <f>IF(AND(C963="事件记录",H963=1),COUNTIFS($C$200:C963,"事件记录",$H$200:H963,1),0)</f>
        <v>0</v>
      </c>
      <c r="GD963">
        <f t="shared" si="345"/>
        <v>0</v>
      </c>
      <c r="GH963">
        <f>IF(AND(H963=1,A963=$GA$10,B963=$GA$11),COUNTIFS($A$200:A963,$GA$10,$B$200:B963,$GA$11,$H$200:H963,1),0)</f>
        <v>0</v>
      </c>
    </row>
    <row r="964" spans="1:190">
      <c r="A964" t="str">
        <f t="shared" si="336"/>
        <v/>
      </c>
      <c r="B964" t="str">
        <f t="shared" si="337"/>
        <v/>
      </c>
      <c r="C964" t="str">
        <f t="shared" si="338"/>
        <v/>
      </c>
      <c r="D964" t="str">
        <f t="shared" si="339"/>
        <v/>
      </c>
      <c r="E964">
        <f t="shared" si="340"/>
        <v>0</v>
      </c>
      <c r="F964" t="str">
        <f t="shared" si="341"/>
        <v/>
      </c>
      <c r="G964">
        <f t="shared" si="342"/>
        <v>0</v>
      </c>
      <c r="H964">
        <f>IF(AND(G964=1,COUNTIFS($I$200:I964,I964,$G$200:G964,1)=1),1,0)</f>
        <v>0</v>
      </c>
      <c r="I964" t="str">
        <f t="shared" si="343"/>
        <v/>
      </c>
      <c r="BF964">
        <f t="shared" si="346"/>
        <v>0</v>
      </c>
      <c r="BG964">
        <f t="shared" si="347"/>
        <v>0</v>
      </c>
      <c r="BH964">
        <f t="shared" si="348"/>
        <v>0</v>
      </c>
      <c r="BI964">
        <f t="shared" si="349"/>
        <v>0</v>
      </c>
      <c r="BJ964">
        <f t="shared" si="350"/>
        <v>0</v>
      </c>
      <c r="BK964">
        <f t="shared" si="351"/>
        <v>0</v>
      </c>
      <c r="BL964">
        <f t="shared" si="352"/>
        <v>0</v>
      </c>
      <c r="BM964">
        <f t="shared" si="353"/>
        <v>0</v>
      </c>
      <c r="BN964">
        <f t="shared" si="354"/>
        <v>0</v>
      </c>
      <c r="BO964">
        <f t="shared" si="355"/>
        <v>0</v>
      </c>
      <c r="BP964">
        <f t="shared" si="356"/>
        <v>0</v>
      </c>
      <c r="BQ964">
        <f t="shared" si="357"/>
        <v>0</v>
      </c>
      <c r="BR964">
        <f t="shared" si="358"/>
        <v>0</v>
      </c>
      <c r="BS964">
        <f t="shared" si="359"/>
        <v>0</v>
      </c>
      <c r="BT964">
        <f t="shared" si="360"/>
        <v>0</v>
      </c>
      <c r="BU964">
        <f t="shared" si="361"/>
        <v>0</v>
      </c>
      <c r="BV964">
        <f t="shared" si="362"/>
        <v>0</v>
      </c>
      <c r="BW964">
        <f t="shared" si="363"/>
        <v>0</v>
      </c>
      <c r="CA964" t="str">
        <f>IF(765&gt;ROWS(DGArchive[模组]),"",IF(INDEX(DGArchive[模组],765)="","",INDEX(DGArchive[模组],765)))</f>
        <v/>
      </c>
      <c r="CB964" t="str">
        <f>IF(765&gt;ROWS(DGArchive[阶段]),"",IF(INDEX(DGArchive[阶段],765)="","",INDEX(DGArchive[阶段],765)))</f>
        <v/>
      </c>
      <c r="CC964" t="str">
        <f>IF(765&gt;ROWS(DGArchive[游戏内日期]),"",IF(INDEX(DGArchive[游戏内日期],765)="","",INDEX(DGArchive[游戏内日期],765)))</f>
        <v/>
      </c>
      <c r="CD964" t="str">
        <f>IF(765&gt;ROWS(DGArchive[目标]),"",IF(INDEX(DGArchive[目标],765)="","",INDEX(DGArchive[目标],765)))</f>
        <v/>
      </c>
      <c r="CE964" t="str">
        <f>IF(765&gt;ROWS(DGArchive[变更前]),"",IF(INDEX(DGArchive[变更前],765)="","",INDEX(DGArchive[变更前],765)))</f>
        <v/>
      </c>
      <c r="CF964" t="str">
        <f>IF(765&gt;ROWS(DGArchive[增减]),"",IF(INDEX(DGArchive[增减],765)="","",INDEX(DGArchive[增减],765)))</f>
        <v/>
      </c>
      <c r="CG964" t="str">
        <f>IF(765&gt;ROWS(DGArchive[变更后]),"",IF(INDEX(DGArchive[变更后],765)="","",INDEX(DGArchive[变更后],765)))</f>
        <v/>
      </c>
      <c r="CH964" t="str">
        <f>IF(765&gt;ROWS(DGArchive[事件／活动]),"",IF(INDEX(DGArchive[事件／活动],765)="","",INDEX(DGArchive[事件／活动],765)))</f>
        <v/>
      </c>
      <c r="CI964" t="str">
        <f>IF(765&gt;ROWS(DGArchive[记录编号]),"",IF(INDEX(DGArchive[记录编号],765)="","",INDEX(DGArchive[记录编号],765)))</f>
        <v/>
      </c>
      <c r="CL964">
        <f t="shared" si="344"/>
        <v>0</v>
      </c>
      <c r="CM964">
        <f>IF(AND(A964=$AO$5,B964=$AQ$3,H964=1),COUNTIFS($A$200:A964,$AO$5,$B$200:B964,$AQ$3,$H$200:H964,1),0)</f>
        <v>0</v>
      </c>
      <c r="CN964">
        <f>IF(CA964="",765,1001)</f>
        <v>765</v>
      </c>
      <c r="GA964">
        <f t="shared" si="364"/>
        <v>0</v>
      </c>
      <c r="GB964">
        <f t="shared" si="365"/>
        <v>0</v>
      </c>
      <c r="GC964">
        <f>IF(AND(C964="事件记录",H964=1),COUNTIFS($C$200:C964,"事件记录",$H$200:H964,1),0)</f>
        <v>0</v>
      </c>
      <c r="GD964">
        <f t="shared" si="345"/>
        <v>0</v>
      </c>
      <c r="GH964">
        <f>IF(AND(H964=1,A964=$GA$10,B964=$GA$11),COUNTIFS($A$200:A964,$GA$10,$B$200:B964,$GA$11,$H$200:H964,1),0)</f>
        <v>0</v>
      </c>
    </row>
    <row r="965" spans="1:190">
      <c r="A965" t="str">
        <f t="shared" si="336"/>
        <v/>
      </c>
      <c r="B965" t="str">
        <f t="shared" si="337"/>
        <v/>
      </c>
      <c r="C965" t="str">
        <f t="shared" si="338"/>
        <v/>
      </c>
      <c r="D965" t="str">
        <f t="shared" si="339"/>
        <v/>
      </c>
      <c r="E965">
        <f t="shared" si="340"/>
        <v>0</v>
      </c>
      <c r="F965" t="str">
        <f t="shared" si="341"/>
        <v/>
      </c>
      <c r="G965">
        <f t="shared" si="342"/>
        <v>0</v>
      </c>
      <c r="H965">
        <f>IF(AND(G965=1,COUNTIFS($I$200:I965,I965,$G$200:G965,1)=1),1,0)</f>
        <v>0</v>
      </c>
      <c r="I965" t="str">
        <f t="shared" si="343"/>
        <v/>
      </c>
      <c r="BF965">
        <f t="shared" si="346"/>
        <v>0</v>
      </c>
      <c r="BG965">
        <f t="shared" si="347"/>
        <v>0</v>
      </c>
      <c r="BH965">
        <f t="shared" si="348"/>
        <v>0</v>
      </c>
      <c r="BI965">
        <f t="shared" si="349"/>
        <v>0</v>
      </c>
      <c r="BJ965">
        <f t="shared" si="350"/>
        <v>0</v>
      </c>
      <c r="BK965">
        <f t="shared" si="351"/>
        <v>0</v>
      </c>
      <c r="BL965">
        <f t="shared" si="352"/>
        <v>0</v>
      </c>
      <c r="BM965">
        <f t="shared" si="353"/>
        <v>0</v>
      </c>
      <c r="BN965">
        <f t="shared" si="354"/>
        <v>0</v>
      </c>
      <c r="BO965">
        <f t="shared" si="355"/>
        <v>0</v>
      </c>
      <c r="BP965">
        <f t="shared" si="356"/>
        <v>0</v>
      </c>
      <c r="BQ965">
        <f t="shared" si="357"/>
        <v>0</v>
      </c>
      <c r="BR965">
        <f t="shared" si="358"/>
        <v>0</v>
      </c>
      <c r="BS965">
        <f t="shared" si="359"/>
        <v>0</v>
      </c>
      <c r="BT965">
        <f t="shared" si="360"/>
        <v>0</v>
      </c>
      <c r="BU965">
        <f t="shared" si="361"/>
        <v>0</v>
      </c>
      <c r="BV965">
        <f t="shared" si="362"/>
        <v>0</v>
      </c>
      <c r="BW965">
        <f t="shared" si="363"/>
        <v>0</v>
      </c>
      <c r="CA965" t="str">
        <f>IF(766&gt;ROWS(DGArchive[模组]),"",IF(INDEX(DGArchive[模组],766)="","",INDEX(DGArchive[模组],766)))</f>
        <v/>
      </c>
      <c r="CB965" t="str">
        <f>IF(766&gt;ROWS(DGArchive[阶段]),"",IF(INDEX(DGArchive[阶段],766)="","",INDEX(DGArchive[阶段],766)))</f>
        <v/>
      </c>
      <c r="CC965" t="str">
        <f>IF(766&gt;ROWS(DGArchive[游戏内日期]),"",IF(INDEX(DGArchive[游戏内日期],766)="","",INDEX(DGArchive[游戏内日期],766)))</f>
        <v/>
      </c>
      <c r="CD965" t="str">
        <f>IF(766&gt;ROWS(DGArchive[目标]),"",IF(INDEX(DGArchive[目标],766)="","",INDEX(DGArchive[目标],766)))</f>
        <v/>
      </c>
      <c r="CE965" t="str">
        <f>IF(766&gt;ROWS(DGArchive[变更前]),"",IF(INDEX(DGArchive[变更前],766)="","",INDEX(DGArchive[变更前],766)))</f>
        <v/>
      </c>
      <c r="CF965" t="str">
        <f>IF(766&gt;ROWS(DGArchive[增减]),"",IF(INDEX(DGArchive[增减],766)="","",INDEX(DGArchive[增减],766)))</f>
        <v/>
      </c>
      <c r="CG965" t="str">
        <f>IF(766&gt;ROWS(DGArchive[变更后]),"",IF(INDEX(DGArchive[变更后],766)="","",INDEX(DGArchive[变更后],766)))</f>
        <v/>
      </c>
      <c r="CH965" t="str">
        <f>IF(766&gt;ROWS(DGArchive[事件／活动]),"",IF(INDEX(DGArchive[事件／活动],766)="","",INDEX(DGArchive[事件／活动],766)))</f>
        <v/>
      </c>
      <c r="CI965" t="str">
        <f>IF(766&gt;ROWS(DGArchive[记录编号]),"",IF(INDEX(DGArchive[记录编号],766)="","",INDEX(DGArchive[记录编号],766)))</f>
        <v/>
      </c>
      <c r="CL965">
        <f t="shared" si="344"/>
        <v>0</v>
      </c>
      <c r="CM965">
        <f>IF(AND(A965=$AO$5,B965=$AQ$3,H965=1),COUNTIFS($A$200:A965,$AO$5,$B$200:B965,$AQ$3,$H$200:H965,1),0)</f>
        <v>0</v>
      </c>
      <c r="CN965">
        <f>IF(CA965="",766,1001)</f>
        <v>766</v>
      </c>
      <c r="GA965">
        <f t="shared" si="364"/>
        <v>0</v>
      </c>
      <c r="GB965">
        <f t="shared" si="365"/>
        <v>0</v>
      </c>
      <c r="GC965">
        <f>IF(AND(C965="事件记录",H965=1),COUNTIFS($C$200:C965,"事件记录",$H$200:H965,1),0)</f>
        <v>0</v>
      </c>
      <c r="GD965">
        <f t="shared" si="345"/>
        <v>0</v>
      </c>
      <c r="GH965">
        <f>IF(AND(H965=1,A965=$GA$10,B965=$GA$11),COUNTIFS($A$200:A965,$GA$10,$B$200:B965,$GA$11,$H$200:H965,1),0)</f>
        <v>0</v>
      </c>
    </row>
    <row r="966" spans="1:190">
      <c r="A966" t="str">
        <f t="shared" si="336"/>
        <v/>
      </c>
      <c r="B966" t="str">
        <f t="shared" si="337"/>
        <v/>
      </c>
      <c r="C966" t="str">
        <f t="shared" si="338"/>
        <v/>
      </c>
      <c r="D966" t="str">
        <f t="shared" si="339"/>
        <v/>
      </c>
      <c r="E966">
        <f t="shared" si="340"/>
        <v>0</v>
      </c>
      <c r="F966" t="str">
        <f t="shared" si="341"/>
        <v/>
      </c>
      <c r="G966">
        <f t="shared" si="342"/>
        <v>0</v>
      </c>
      <c r="H966">
        <f>IF(AND(G966=1,COUNTIFS($I$200:I966,I966,$G$200:G966,1)=1),1,0)</f>
        <v>0</v>
      </c>
      <c r="I966" t="str">
        <f t="shared" si="343"/>
        <v/>
      </c>
      <c r="BF966">
        <f t="shared" si="346"/>
        <v>0</v>
      </c>
      <c r="BG966">
        <f t="shared" si="347"/>
        <v>0</v>
      </c>
      <c r="BH966">
        <f t="shared" si="348"/>
        <v>0</v>
      </c>
      <c r="BI966">
        <f t="shared" si="349"/>
        <v>0</v>
      </c>
      <c r="BJ966">
        <f t="shared" si="350"/>
        <v>0</v>
      </c>
      <c r="BK966">
        <f t="shared" si="351"/>
        <v>0</v>
      </c>
      <c r="BL966">
        <f t="shared" si="352"/>
        <v>0</v>
      </c>
      <c r="BM966">
        <f t="shared" si="353"/>
        <v>0</v>
      </c>
      <c r="BN966">
        <f t="shared" si="354"/>
        <v>0</v>
      </c>
      <c r="BO966">
        <f t="shared" si="355"/>
        <v>0</v>
      </c>
      <c r="BP966">
        <f t="shared" si="356"/>
        <v>0</v>
      </c>
      <c r="BQ966">
        <f t="shared" si="357"/>
        <v>0</v>
      </c>
      <c r="BR966">
        <f t="shared" si="358"/>
        <v>0</v>
      </c>
      <c r="BS966">
        <f t="shared" si="359"/>
        <v>0</v>
      </c>
      <c r="BT966">
        <f t="shared" si="360"/>
        <v>0</v>
      </c>
      <c r="BU966">
        <f t="shared" si="361"/>
        <v>0</v>
      </c>
      <c r="BV966">
        <f t="shared" si="362"/>
        <v>0</v>
      </c>
      <c r="BW966">
        <f t="shared" si="363"/>
        <v>0</v>
      </c>
      <c r="CA966" t="str">
        <f>IF(767&gt;ROWS(DGArchive[模组]),"",IF(INDEX(DGArchive[模组],767)="","",INDEX(DGArchive[模组],767)))</f>
        <v/>
      </c>
      <c r="CB966" t="str">
        <f>IF(767&gt;ROWS(DGArchive[阶段]),"",IF(INDEX(DGArchive[阶段],767)="","",INDEX(DGArchive[阶段],767)))</f>
        <v/>
      </c>
      <c r="CC966" t="str">
        <f>IF(767&gt;ROWS(DGArchive[游戏内日期]),"",IF(INDEX(DGArchive[游戏内日期],767)="","",INDEX(DGArchive[游戏内日期],767)))</f>
        <v/>
      </c>
      <c r="CD966" t="str">
        <f>IF(767&gt;ROWS(DGArchive[目标]),"",IF(INDEX(DGArchive[目标],767)="","",INDEX(DGArchive[目标],767)))</f>
        <v/>
      </c>
      <c r="CE966" t="str">
        <f>IF(767&gt;ROWS(DGArchive[变更前]),"",IF(INDEX(DGArchive[变更前],767)="","",INDEX(DGArchive[变更前],767)))</f>
        <v/>
      </c>
      <c r="CF966" t="str">
        <f>IF(767&gt;ROWS(DGArchive[增减]),"",IF(INDEX(DGArchive[增减],767)="","",INDEX(DGArchive[增减],767)))</f>
        <v/>
      </c>
      <c r="CG966" t="str">
        <f>IF(767&gt;ROWS(DGArchive[变更后]),"",IF(INDEX(DGArchive[变更后],767)="","",INDEX(DGArchive[变更后],767)))</f>
        <v/>
      </c>
      <c r="CH966" t="str">
        <f>IF(767&gt;ROWS(DGArchive[事件／活动]),"",IF(INDEX(DGArchive[事件／活动],767)="","",INDEX(DGArchive[事件／活动],767)))</f>
        <v/>
      </c>
      <c r="CI966" t="str">
        <f>IF(767&gt;ROWS(DGArchive[记录编号]),"",IF(INDEX(DGArchive[记录编号],767)="","",INDEX(DGArchive[记录编号],767)))</f>
        <v/>
      </c>
      <c r="CL966">
        <f t="shared" si="344"/>
        <v>0</v>
      </c>
      <c r="CM966">
        <f>IF(AND(A966=$AO$5,B966=$AQ$3,H966=1),COUNTIFS($A$200:A966,$AO$5,$B$200:B966,$AQ$3,$H$200:H966,1),0)</f>
        <v>0</v>
      </c>
      <c r="CN966">
        <f>IF(CA966="",767,1001)</f>
        <v>767</v>
      </c>
      <c r="GA966">
        <f t="shared" si="364"/>
        <v>0</v>
      </c>
      <c r="GB966">
        <f t="shared" si="365"/>
        <v>0</v>
      </c>
      <c r="GC966">
        <f>IF(AND(C966="事件记录",H966=1),COUNTIFS($C$200:C966,"事件记录",$H$200:H966,1),0)</f>
        <v>0</v>
      </c>
      <c r="GD966">
        <f t="shared" si="345"/>
        <v>0</v>
      </c>
      <c r="GH966">
        <f>IF(AND(H966=1,A966=$GA$10,B966=$GA$11),COUNTIFS($A$200:A966,$GA$10,$B$200:B966,$GA$11,$H$200:H966,1),0)</f>
        <v>0</v>
      </c>
    </row>
    <row r="967" spans="1:190">
      <c r="A967" t="str">
        <f t="shared" si="336"/>
        <v/>
      </c>
      <c r="B967" t="str">
        <f t="shared" si="337"/>
        <v/>
      </c>
      <c r="C967" t="str">
        <f t="shared" si="338"/>
        <v/>
      </c>
      <c r="D967" t="str">
        <f t="shared" si="339"/>
        <v/>
      </c>
      <c r="E967">
        <f t="shared" si="340"/>
        <v>0</v>
      </c>
      <c r="F967" t="str">
        <f t="shared" si="341"/>
        <v/>
      </c>
      <c r="G967">
        <f t="shared" si="342"/>
        <v>0</v>
      </c>
      <c r="H967">
        <f>IF(AND(G967=1,COUNTIFS($I$200:I967,I967,$G$200:G967,1)=1),1,0)</f>
        <v>0</v>
      </c>
      <c r="I967" t="str">
        <f t="shared" si="343"/>
        <v/>
      </c>
      <c r="BF967">
        <f t="shared" si="346"/>
        <v>0</v>
      </c>
      <c r="BG967">
        <f t="shared" si="347"/>
        <v>0</v>
      </c>
      <c r="BH967">
        <f t="shared" si="348"/>
        <v>0</v>
      </c>
      <c r="BI967">
        <f t="shared" si="349"/>
        <v>0</v>
      </c>
      <c r="BJ967">
        <f t="shared" si="350"/>
        <v>0</v>
      </c>
      <c r="BK967">
        <f t="shared" si="351"/>
        <v>0</v>
      </c>
      <c r="BL967">
        <f t="shared" si="352"/>
        <v>0</v>
      </c>
      <c r="BM967">
        <f t="shared" si="353"/>
        <v>0</v>
      </c>
      <c r="BN967">
        <f t="shared" si="354"/>
        <v>0</v>
      </c>
      <c r="BO967">
        <f t="shared" si="355"/>
        <v>0</v>
      </c>
      <c r="BP967">
        <f t="shared" si="356"/>
        <v>0</v>
      </c>
      <c r="BQ967">
        <f t="shared" si="357"/>
        <v>0</v>
      </c>
      <c r="BR967">
        <f t="shared" si="358"/>
        <v>0</v>
      </c>
      <c r="BS967">
        <f t="shared" si="359"/>
        <v>0</v>
      </c>
      <c r="BT967">
        <f t="shared" si="360"/>
        <v>0</v>
      </c>
      <c r="BU967">
        <f t="shared" si="361"/>
        <v>0</v>
      </c>
      <c r="BV967">
        <f t="shared" si="362"/>
        <v>0</v>
      </c>
      <c r="BW967">
        <f t="shared" si="363"/>
        <v>0</v>
      </c>
      <c r="CA967" t="str">
        <f>IF(768&gt;ROWS(DGArchive[模组]),"",IF(INDEX(DGArchive[模组],768)="","",INDEX(DGArchive[模组],768)))</f>
        <v/>
      </c>
      <c r="CB967" t="str">
        <f>IF(768&gt;ROWS(DGArchive[阶段]),"",IF(INDEX(DGArchive[阶段],768)="","",INDEX(DGArchive[阶段],768)))</f>
        <v/>
      </c>
      <c r="CC967" t="str">
        <f>IF(768&gt;ROWS(DGArchive[游戏内日期]),"",IF(INDEX(DGArchive[游戏内日期],768)="","",INDEX(DGArchive[游戏内日期],768)))</f>
        <v/>
      </c>
      <c r="CD967" t="str">
        <f>IF(768&gt;ROWS(DGArchive[目标]),"",IF(INDEX(DGArchive[目标],768)="","",INDEX(DGArchive[目标],768)))</f>
        <v/>
      </c>
      <c r="CE967" t="str">
        <f>IF(768&gt;ROWS(DGArchive[变更前]),"",IF(INDEX(DGArchive[变更前],768)="","",INDEX(DGArchive[变更前],768)))</f>
        <v/>
      </c>
      <c r="CF967" t="str">
        <f>IF(768&gt;ROWS(DGArchive[增减]),"",IF(INDEX(DGArchive[增减],768)="","",INDEX(DGArchive[增减],768)))</f>
        <v/>
      </c>
      <c r="CG967" t="str">
        <f>IF(768&gt;ROWS(DGArchive[变更后]),"",IF(INDEX(DGArchive[变更后],768)="","",INDEX(DGArchive[变更后],768)))</f>
        <v/>
      </c>
      <c r="CH967" t="str">
        <f>IF(768&gt;ROWS(DGArchive[事件／活动]),"",IF(INDEX(DGArchive[事件／活动],768)="","",INDEX(DGArchive[事件／活动],768)))</f>
        <v/>
      </c>
      <c r="CI967" t="str">
        <f>IF(768&gt;ROWS(DGArchive[记录编号]),"",IF(INDEX(DGArchive[记录编号],768)="","",INDEX(DGArchive[记录编号],768)))</f>
        <v/>
      </c>
      <c r="CL967">
        <f t="shared" si="344"/>
        <v>0</v>
      </c>
      <c r="CM967">
        <f>IF(AND(A967=$AO$5,B967=$AQ$3,H967=1),COUNTIFS($A$200:A967,$AO$5,$B$200:B967,$AQ$3,$H$200:H967,1),0)</f>
        <v>0</v>
      </c>
      <c r="CN967">
        <f>IF(CA967="",768,1001)</f>
        <v>768</v>
      </c>
      <c r="GA967">
        <f t="shared" si="364"/>
        <v>0</v>
      </c>
      <c r="GB967">
        <f t="shared" si="365"/>
        <v>0</v>
      </c>
      <c r="GC967">
        <f>IF(AND(C967="事件记录",H967=1),COUNTIFS($C$200:C967,"事件记录",$H$200:H967,1),0)</f>
        <v>0</v>
      </c>
      <c r="GD967">
        <f t="shared" si="345"/>
        <v>0</v>
      </c>
      <c r="GH967">
        <f>IF(AND(H967=1,A967=$GA$10,B967=$GA$11),COUNTIFS($A$200:A967,$GA$10,$B$200:B967,$GA$11,$H$200:H967,1),0)</f>
        <v>0</v>
      </c>
    </row>
    <row r="968" spans="1:190">
      <c r="A968" t="str">
        <f t="shared" ref="A968:A1031" si="366">IFERROR(TEXT(VALUE(CA968),"00"),"")</f>
        <v/>
      </c>
      <c r="B968" t="str">
        <f t="shared" ref="B968:B1031" si="367">CB968</f>
        <v/>
      </c>
      <c r="C968" t="str">
        <f t="shared" ref="C968:C1031" si="368">CD968</f>
        <v/>
      </c>
      <c r="D968" t="str">
        <f t="shared" ref="D968:D1031" si="369">CF968</f>
        <v/>
      </c>
      <c r="E968">
        <f t="shared" ref="E968:E1031" si="370">IF(H968=1,MAX(-CE968,MIN(D968,IF(LEFT(C968,3)="技能：",99,IF(COUNTIF($L$2:$L$7,C968)&gt;0,18,999))-CE968)),0)</f>
        <v>0</v>
      </c>
      <c r="F968" t="str">
        <f t="shared" ref="F968:F1031" si="371">IF(OR(C968=0,C968=""),"",IF(G968=0,"记录不完整",IF(H968=0,"重复未计","已计入")))</f>
        <v/>
      </c>
      <c r="G968">
        <f t="shared" ref="G968:G1031" si="372">IF(AND(AND(CA968&lt;&gt;"",CB968&lt;&gt;"",CI968&lt;&gt;"",OR(LEFT(C968,3)="技能：",COUNTIF($L$2:$L$19,C968)&gt;0,C968="事件记录",C968="暴力进度",C968="无力进度"),ISNUMBER(CE968),ISNUMBER(CF968),ISNUMBER(CG968),CE968&gt;=0,CG968=SUM(CE968,CF968)),OR(B968&lt;&gt;"成长",AND(LEFT(C968,3)="技能：",C968&lt;&gt;"技能：非自然知识",CE968&gt;=1,CE968&lt;=99,CF968&gt;=0,CF968&lt;=4,CG968&lt;=99))),1,0)</f>
        <v>0</v>
      </c>
      <c r="H968">
        <f>IF(AND(G968=1,COUNTIFS($I$200:I968,I968,$G$200:G968,1)=1),1,0)</f>
        <v>0</v>
      </c>
      <c r="I968" t="str">
        <f t="shared" ref="I968:I1031" si="373">IF(G968=1,IF(B968="成长",A968&amp;"-成长-"&amp;C968,CI968),"")</f>
        <v/>
      </c>
      <c r="BF968">
        <f t="shared" si="346"/>
        <v>0</v>
      </c>
      <c r="BG968">
        <f t="shared" si="347"/>
        <v>0</v>
      </c>
      <c r="BH968">
        <f t="shared" si="348"/>
        <v>0</v>
      </c>
      <c r="BI968">
        <f t="shared" si="349"/>
        <v>0</v>
      </c>
      <c r="BJ968">
        <f t="shared" si="350"/>
        <v>0</v>
      </c>
      <c r="BK968">
        <f t="shared" si="351"/>
        <v>0</v>
      </c>
      <c r="BL968">
        <f t="shared" si="352"/>
        <v>0</v>
      </c>
      <c r="BM968">
        <f t="shared" si="353"/>
        <v>0</v>
      </c>
      <c r="BN968">
        <f t="shared" si="354"/>
        <v>0</v>
      </c>
      <c r="BO968">
        <f t="shared" si="355"/>
        <v>0</v>
      </c>
      <c r="BP968">
        <f t="shared" si="356"/>
        <v>0</v>
      </c>
      <c r="BQ968">
        <f t="shared" si="357"/>
        <v>0</v>
      </c>
      <c r="BR968">
        <f t="shared" si="358"/>
        <v>0</v>
      </c>
      <c r="BS968">
        <f t="shared" si="359"/>
        <v>0</v>
      </c>
      <c r="BT968">
        <f t="shared" si="360"/>
        <v>0</v>
      </c>
      <c r="BU968">
        <f t="shared" si="361"/>
        <v>0</v>
      </c>
      <c r="BV968">
        <f t="shared" si="362"/>
        <v>0</v>
      </c>
      <c r="BW968">
        <f t="shared" si="363"/>
        <v>0</v>
      </c>
      <c r="CA968" t="str">
        <f>IF(769&gt;ROWS(DGArchive[模组]),"",IF(INDEX(DGArchive[模组],769)="","",INDEX(DGArchive[模组],769)))</f>
        <v/>
      </c>
      <c r="CB968" t="str">
        <f>IF(769&gt;ROWS(DGArchive[阶段]),"",IF(INDEX(DGArchive[阶段],769)="","",INDEX(DGArchive[阶段],769)))</f>
        <v/>
      </c>
      <c r="CC968" t="str">
        <f>IF(769&gt;ROWS(DGArchive[游戏内日期]),"",IF(INDEX(DGArchive[游戏内日期],769)="","",INDEX(DGArchive[游戏内日期],769)))</f>
        <v/>
      </c>
      <c r="CD968" t="str">
        <f>IF(769&gt;ROWS(DGArchive[目标]),"",IF(INDEX(DGArchive[目标],769)="","",INDEX(DGArchive[目标],769)))</f>
        <v/>
      </c>
      <c r="CE968" t="str">
        <f>IF(769&gt;ROWS(DGArchive[变更前]),"",IF(INDEX(DGArchive[变更前],769)="","",INDEX(DGArchive[变更前],769)))</f>
        <v/>
      </c>
      <c r="CF968" t="str">
        <f>IF(769&gt;ROWS(DGArchive[增减]),"",IF(INDEX(DGArchive[增减],769)="","",INDEX(DGArchive[增减],769)))</f>
        <v/>
      </c>
      <c r="CG968" t="str">
        <f>IF(769&gt;ROWS(DGArchive[变更后]),"",IF(INDEX(DGArchive[变更后],769)="","",INDEX(DGArchive[变更后],769)))</f>
        <v/>
      </c>
      <c r="CH968" t="str">
        <f>IF(769&gt;ROWS(DGArchive[事件／活动]),"",IF(INDEX(DGArchive[事件／活动],769)="","",INDEX(DGArchive[事件／活动],769)))</f>
        <v/>
      </c>
      <c r="CI968" t="str">
        <f>IF(769&gt;ROWS(DGArchive[记录编号]),"",IF(INDEX(DGArchive[记录编号],769)="","",INDEX(DGArchive[记录编号],769)))</f>
        <v/>
      </c>
      <c r="CL968">
        <f t="shared" ref="CL968:CL1031" si="374">IF(AND(A968=$AO$5,H968=1,LEFT(B968,2)="幕间"),IFERROR(VALUE(MID(B968,3,20)),0),0)</f>
        <v>0</v>
      </c>
      <c r="CM968">
        <f>IF(AND(A968=$AO$5,B968=$AQ$3,H968=1),COUNTIFS($A$200:A968,$AO$5,$B$200:B968,$AQ$3,$H$200:H968,1),0)</f>
        <v>0</v>
      </c>
      <c r="CN968">
        <f>IF(CA968="",769,1001)</f>
        <v>769</v>
      </c>
      <c r="GA968">
        <f t="shared" si="364"/>
        <v>0</v>
      </c>
      <c r="GB968">
        <f t="shared" si="365"/>
        <v>0</v>
      </c>
      <c r="GC968">
        <f>IF(AND(C968="事件记录",H968=1),COUNTIFS($C$200:C968,"事件记录",$H$200:H968,1),0)</f>
        <v>0</v>
      </c>
      <c r="GD968">
        <f t="shared" ref="GD968:GD1031" si="375">IF(AND(H968=1,A968=$GA$10,LEFT(B968,2)="事件"),IFERROR(VALUE(MID(B968,3,20)),0),0)</f>
        <v>0</v>
      </c>
      <c r="GH968">
        <f>IF(AND(H968=1,A968=$GA$10,B968=$GA$11),COUNTIFS($A$200:A968,$GA$10,$B$200:B968,$GA$11,$H$200:H968,1),0)</f>
        <v>0</v>
      </c>
    </row>
    <row r="969" spans="1:190">
      <c r="A969" t="str">
        <f t="shared" si="366"/>
        <v/>
      </c>
      <c r="B969" t="str">
        <f t="shared" si="367"/>
        <v/>
      </c>
      <c r="C969" t="str">
        <f t="shared" si="368"/>
        <v/>
      </c>
      <c r="D969" t="str">
        <f t="shared" si="369"/>
        <v/>
      </c>
      <c r="E969">
        <f t="shared" si="370"/>
        <v>0</v>
      </c>
      <c r="F969" t="str">
        <f t="shared" si="371"/>
        <v/>
      </c>
      <c r="G969">
        <f t="shared" si="372"/>
        <v>0</v>
      </c>
      <c r="H969">
        <f>IF(AND(G969=1,COUNTIFS($I$200:I969,I969,$G$200:G969,1)=1),1,0)</f>
        <v>0</v>
      </c>
      <c r="I969" t="str">
        <f t="shared" si="373"/>
        <v/>
      </c>
      <c r="BF969">
        <f t="shared" ref="BF969:BF1032" si="376">MAX(0,MIN(18,BF968+IF(C969="力量",E969,0)))</f>
        <v>0</v>
      </c>
      <c r="BG969">
        <f t="shared" ref="BG969:BG1032" si="377">MAX(0,MIN(18,BG968+IF(C969="体质",E969,0)))</f>
        <v>0</v>
      </c>
      <c r="BH969">
        <f t="shared" ref="BH969:BH1032" si="378">MAX(0,MIN(18,BH968+IF(C969="敏捷",E969,0)))</f>
        <v>0</v>
      </c>
      <c r="BI969">
        <f t="shared" ref="BI969:BI1032" si="379">MAX(0,MIN(18,BI968+IF(C969="智力",E969,0)))</f>
        <v>0</v>
      </c>
      <c r="BJ969">
        <f t="shared" ref="BJ969:BJ1032" si="380">MAX(0,MIN(18,BJ968+IF(C969="意志",E969,0)))</f>
        <v>0</v>
      </c>
      <c r="BK969">
        <f t="shared" ref="BK969:BK1032" si="381">MAX(0,MIN(18,BK968+IF(C969="魅力",E969,0)))</f>
        <v>0</v>
      </c>
      <c r="BL969">
        <f t="shared" ref="BL969:BL1032" si="382">MAX(0,MIN(99,BL968+IF(C969="技能：非自然知识",E969,0)))</f>
        <v>0</v>
      </c>
      <c r="BM969">
        <f t="shared" ref="BM969:BM1032" si="383">MAX(0,MIN(CEILING((BF969+BG969)/2,1),BM968+IF(C969="体力",E969,0)))</f>
        <v>0</v>
      </c>
      <c r="BN969">
        <f t="shared" ref="BN969:BN1032" si="384">MAX(0,MIN(BJ969,BN968+IF(C969="毅力",E969,0)))</f>
        <v>0</v>
      </c>
      <c r="BO969">
        <f t="shared" ref="BO969:BO1032" si="385">MAX(0,MIN(99-BL969,BO968+IF(C969="理智",E969,0)))</f>
        <v>0</v>
      </c>
      <c r="BP969">
        <f t="shared" ref="BP969:BP1032" si="386">MAX(0,MIN(99,BP968+IF(C969="崩溃点",E969,0)))</f>
        <v>0</v>
      </c>
      <c r="BQ969">
        <f t="shared" ref="BQ969:BQ1032" si="387">MAX(0,MIN(BK969,IF(AND(H969=1,C969="重要关系1",LEFT(CH969,8)="建立新的重要关系"),CE969+E969,IF(BQ968=0,0,BQ968+IF(C969="重要关系1",E969,0))+IF(AND(C969="魅力",E969&lt;0),E969,0))))</f>
        <v>0</v>
      </c>
      <c r="BR969">
        <f t="shared" ref="BR969:BR1032" si="388">MAX(0,MIN(BK969,IF(AND(H969=1,C969="重要关系2",LEFT(CH969,8)="建立新的重要关系"),CE969+E969,IF(BR968=0,0,BR968+IF(C969="重要关系2",E969,0))+IF(AND(C969="魅力",E969&lt;0),E969,0))))</f>
        <v>0</v>
      </c>
      <c r="BS969">
        <f t="shared" ref="BS969:BS1032" si="389">MAX(0,MIN(BK969,IF(AND(H969=1,C969="重要关系3",LEFT(CH969,8)="建立新的重要关系"),CE969+E969,IF(BS968=0,0,BS968+IF(C969="重要关系3",E969,0))+IF(AND(C969="魅力",E969&lt;0),E969,0))))</f>
        <v>0</v>
      </c>
      <c r="BT969">
        <f t="shared" ref="BT969:BT1032" si="390">MAX(0,MIN(BK969,IF(AND(H969=1,C969="重要关系4",LEFT(CH969,8)="建立新的重要关系"),CE969+E969,IF(BT968=0,0,BT968+IF(C969="重要关系4",E969,0))+IF(AND(C969="魅力",E969&lt;0),E969,0))))</f>
        <v>0</v>
      </c>
      <c r="BU969">
        <f t="shared" ref="BU969:BU1032" si="391">MAX(0,MIN(BK969,IF(AND(H969=1,C969="重要关系5",LEFT(CH969,8)="建立新的重要关系"),CE969+E969,IF(BU968=0,0,BU968+IF(C969="重要关系5",E969,0))+IF(AND(C969="魅力",E969&lt;0),E969,0))))</f>
        <v>0</v>
      </c>
      <c r="BV969">
        <f t="shared" ref="BV969:BV1032" si="392">MAX(0,MIN(BK969,IF(AND(H969=1,C969="重要关系6",LEFT(CH969,8)="建立新的重要关系"),CE969+E969,IF(BV968=0,0,BV968+IF(C969="重要关系6",E969,0))+IF(AND(C969="魅力",E969&lt;0),E969,0))))</f>
        <v>0</v>
      </c>
      <c r="BW969">
        <f t="shared" ref="BW969:BW1032" si="393">MAX(0,MIN(BK969,IF(AND(H969=1,C969="重要关系7",LEFT(CH969,8)="建立新的重要关系"),CE969+E969,IF(BW968=0,0,BW968+IF(C969="重要关系7",E969,0))+IF(AND(C969="魅力",E969&lt;0),E969,0))))</f>
        <v>0</v>
      </c>
      <c r="CA969" t="str">
        <f>IF(770&gt;ROWS(DGArchive[模组]),"",IF(INDEX(DGArchive[模组],770)="","",INDEX(DGArchive[模组],770)))</f>
        <v/>
      </c>
      <c r="CB969" t="str">
        <f>IF(770&gt;ROWS(DGArchive[阶段]),"",IF(INDEX(DGArchive[阶段],770)="","",INDEX(DGArchive[阶段],770)))</f>
        <v/>
      </c>
      <c r="CC969" t="str">
        <f>IF(770&gt;ROWS(DGArchive[游戏内日期]),"",IF(INDEX(DGArchive[游戏内日期],770)="","",INDEX(DGArchive[游戏内日期],770)))</f>
        <v/>
      </c>
      <c r="CD969" t="str">
        <f>IF(770&gt;ROWS(DGArchive[目标]),"",IF(INDEX(DGArchive[目标],770)="","",INDEX(DGArchive[目标],770)))</f>
        <v/>
      </c>
      <c r="CE969" t="str">
        <f>IF(770&gt;ROWS(DGArchive[变更前]),"",IF(INDEX(DGArchive[变更前],770)="","",INDEX(DGArchive[变更前],770)))</f>
        <v/>
      </c>
      <c r="CF969" t="str">
        <f>IF(770&gt;ROWS(DGArchive[增减]),"",IF(INDEX(DGArchive[增减],770)="","",INDEX(DGArchive[增减],770)))</f>
        <v/>
      </c>
      <c r="CG969" t="str">
        <f>IF(770&gt;ROWS(DGArchive[变更后]),"",IF(INDEX(DGArchive[变更后],770)="","",INDEX(DGArchive[变更后],770)))</f>
        <v/>
      </c>
      <c r="CH969" t="str">
        <f>IF(770&gt;ROWS(DGArchive[事件／活动]),"",IF(INDEX(DGArchive[事件／活动],770)="","",INDEX(DGArchive[事件／活动],770)))</f>
        <v/>
      </c>
      <c r="CI969" t="str">
        <f>IF(770&gt;ROWS(DGArchive[记录编号]),"",IF(INDEX(DGArchive[记录编号],770)="","",INDEX(DGArchive[记录编号],770)))</f>
        <v/>
      </c>
      <c r="CL969">
        <f t="shared" si="374"/>
        <v>0</v>
      </c>
      <c r="CM969">
        <f>IF(AND(A969=$AO$5,B969=$AQ$3,H969=1),COUNTIFS($A$200:A969,$AO$5,$B$200:B969,$AQ$3,$H$200:H969,1),0)</f>
        <v>0</v>
      </c>
      <c r="CN969">
        <f>IF(CA969="",770,1001)</f>
        <v>770</v>
      </c>
      <c r="GA969">
        <f t="shared" ref="GA969:GA1032" si="394">MAX(0,MIN(3,GA968+IF(C969="暴力进度",E969,0)))</f>
        <v>0</v>
      </c>
      <c r="GB969">
        <f t="shared" ref="GB969:GB1032" si="395">MAX(0,MIN(3,GB968+IF(C969="无力进度",E969,0)))</f>
        <v>0</v>
      </c>
      <c r="GC969">
        <f>IF(AND(C969="事件记录",H969=1),COUNTIFS($C$200:C969,"事件记录",$H$200:H969,1),0)</f>
        <v>0</v>
      </c>
      <c r="GD969">
        <f t="shared" si="375"/>
        <v>0</v>
      </c>
      <c r="GH969">
        <f>IF(AND(H969=1,A969=$GA$10,B969=$GA$11),COUNTIFS($A$200:A969,$GA$10,$B$200:B969,$GA$11,$H$200:H969,1),0)</f>
        <v>0</v>
      </c>
    </row>
    <row r="970" spans="1:190">
      <c r="A970" t="str">
        <f t="shared" si="366"/>
        <v/>
      </c>
      <c r="B970" t="str">
        <f t="shared" si="367"/>
        <v/>
      </c>
      <c r="C970" t="str">
        <f t="shared" si="368"/>
        <v/>
      </c>
      <c r="D970" t="str">
        <f t="shared" si="369"/>
        <v/>
      </c>
      <c r="E970">
        <f t="shared" si="370"/>
        <v>0</v>
      </c>
      <c r="F970" t="str">
        <f t="shared" si="371"/>
        <v/>
      </c>
      <c r="G970">
        <f t="shared" si="372"/>
        <v>0</v>
      </c>
      <c r="H970">
        <f>IF(AND(G970=1,COUNTIFS($I$200:I970,I970,$G$200:G970,1)=1),1,0)</f>
        <v>0</v>
      </c>
      <c r="I970" t="str">
        <f t="shared" si="373"/>
        <v/>
      </c>
      <c r="BF970">
        <f t="shared" si="376"/>
        <v>0</v>
      </c>
      <c r="BG970">
        <f t="shared" si="377"/>
        <v>0</v>
      </c>
      <c r="BH970">
        <f t="shared" si="378"/>
        <v>0</v>
      </c>
      <c r="BI970">
        <f t="shared" si="379"/>
        <v>0</v>
      </c>
      <c r="BJ970">
        <f t="shared" si="380"/>
        <v>0</v>
      </c>
      <c r="BK970">
        <f t="shared" si="381"/>
        <v>0</v>
      </c>
      <c r="BL970">
        <f t="shared" si="382"/>
        <v>0</v>
      </c>
      <c r="BM970">
        <f t="shared" si="383"/>
        <v>0</v>
      </c>
      <c r="BN970">
        <f t="shared" si="384"/>
        <v>0</v>
      </c>
      <c r="BO970">
        <f t="shared" si="385"/>
        <v>0</v>
      </c>
      <c r="BP970">
        <f t="shared" si="386"/>
        <v>0</v>
      </c>
      <c r="BQ970">
        <f t="shared" si="387"/>
        <v>0</v>
      </c>
      <c r="BR970">
        <f t="shared" si="388"/>
        <v>0</v>
      </c>
      <c r="BS970">
        <f t="shared" si="389"/>
        <v>0</v>
      </c>
      <c r="BT970">
        <f t="shared" si="390"/>
        <v>0</v>
      </c>
      <c r="BU970">
        <f t="shared" si="391"/>
        <v>0</v>
      </c>
      <c r="BV970">
        <f t="shared" si="392"/>
        <v>0</v>
      </c>
      <c r="BW970">
        <f t="shared" si="393"/>
        <v>0</v>
      </c>
      <c r="CA970" t="str">
        <f>IF(771&gt;ROWS(DGArchive[模组]),"",IF(INDEX(DGArchive[模组],771)="","",INDEX(DGArchive[模组],771)))</f>
        <v/>
      </c>
      <c r="CB970" t="str">
        <f>IF(771&gt;ROWS(DGArchive[阶段]),"",IF(INDEX(DGArchive[阶段],771)="","",INDEX(DGArchive[阶段],771)))</f>
        <v/>
      </c>
      <c r="CC970" t="str">
        <f>IF(771&gt;ROWS(DGArchive[游戏内日期]),"",IF(INDEX(DGArchive[游戏内日期],771)="","",INDEX(DGArchive[游戏内日期],771)))</f>
        <v/>
      </c>
      <c r="CD970" t="str">
        <f>IF(771&gt;ROWS(DGArchive[目标]),"",IF(INDEX(DGArchive[目标],771)="","",INDEX(DGArchive[目标],771)))</f>
        <v/>
      </c>
      <c r="CE970" t="str">
        <f>IF(771&gt;ROWS(DGArchive[变更前]),"",IF(INDEX(DGArchive[变更前],771)="","",INDEX(DGArchive[变更前],771)))</f>
        <v/>
      </c>
      <c r="CF970" t="str">
        <f>IF(771&gt;ROWS(DGArchive[增减]),"",IF(INDEX(DGArchive[增减],771)="","",INDEX(DGArchive[增减],771)))</f>
        <v/>
      </c>
      <c r="CG970" t="str">
        <f>IF(771&gt;ROWS(DGArchive[变更后]),"",IF(INDEX(DGArchive[变更后],771)="","",INDEX(DGArchive[变更后],771)))</f>
        <v/>
      </c>
      <c r="CH970" t="str">
        <f>IF(771&gt;ROWS(DGArchive[事件／活动]),"",IF(INDEX(DGArchive[事件／活动],771)="","",INDEX(DGArchive[事件／活动],771)))</f>
        <v/>
      </c>
      <c r="CI970" t="str">
        <f>IF(771&gt;ROWS(DGArchive[记录编号]),"",IF(INDEX(DGArchive[记录编号],771)="","",INDEX(DGArchive[记录编号],771)))</f>
        <v/>
      </c>
      <c r="CL970">
        <f t="shared" si="374"/>
        <v>0</v>
      </c>
      <c r="CM970">
        <f>IF(AND(A970=$AO$5,B970=$AQ$3,H970=1),COUNTIFS($A$200:A970,$AO$5,$B$200:B970,$AQ$3,$H$200:H970,1),0)</f>
        <v>0</v>
      </c>
      <c r="CN970">
        <f>IF(CA970="",771,1001)</f>
        <v>771</v>
      </c>
      <c r="GA970">
        <f t="shared" si="394"/>
        <v>0</v>
      </c>
      <c r="GB970">
        <f t="shared" si="395"/>
        <v>0</v>
      </c>
      <c r="GC970">
        <f>IF(AND(C970="事件记录",H970=1),COUNTIFS($C$200:C970,"事件记录",$H$200:H970,1),0)</f>
        <v>0</v>
      </c>
      <c r="GD970">
        <f t="shared" si="375"/>
        <v>0</v>
      </c>
      <c r="GH970">
        <f>IF(AND(H970=1,A970=$GA$10,B970=$GA$11),COUNTIFS($A$200:A970,$GA$10,$B$200:B970,$GA$11,$H$200:H970,1),0)</f>
        <v>0</v>
      </c>
    </row>
    <row r="971" spans="1:190">
      <c r="A971" t="str">
        <f t="shared" si="366"/>
        <v/>
      </c>
      <c r="B971" t="str">
        <f t="shared" si="367"/>
        <v/>
      </c>
      <c r="C971" t="str">
        <f t="shared" si="368"/>
        <v/>
      </c>
      <c r="D971" t="str">
        <f t="shared" si="369"/>
        <v/>
      </c>
      <c r="E971">
        <f t="shared" si="370"/>
        <v>0</v>
      </c>
      <c r="F971" t="str">
        <f t="shared" si="371"/>
        <v/>
      </c>
      <c r="G971">
        <f t="shared" si="372"/>
        <v>0</v>
      </c>
      <c r="H971">
        <f>IF(AND(G971=1,COUNTIFS($I$200:I971,I971,$G$200:G971,1)=1),1,0)</f>
        <v>0</v>
      </c>
      <c r="I971" t="str">
        <f t="shared" si="373"/>
        <v/>
      </c>
      <c r="BF971">
        <f t="shared" si="376"/>
        <v>0</v>
      </c>
      <c r="BG971">
        <f t="shared" si="377"/>
        <v>0</v>
      </c>
      <c r="BH971">
        <f t="shared" si="378"/>
        <v>0</v>
      </c>
      <c r="BI971">
        <f t="shared" si="379"/>
        <v>0</v>
      </c>
      <c r="BJ971">
        <f t="shared" si="380"/>
        <v>0</v>
      </c>
      <c r="BK971">
        <f t="shared" si="381"/>
        <v>0</v>
      </c>
      <c r="BL971">
        <f t="shared" si="382"/>
        <v>0</v>
      </c>
      <c r="BM971">
        <f t="shared" si="383"/>
        <v>0</v>
      </c>
      <c r="BN971">
        <f t="shared" si="384"/>
        <v>0</v>
      </c>
      <c r="BO971">
        <f t="shared" si="385"/>
        <v>0</v>
      </c>
      <c r="BP971">
        <f t="shared" si="386"/>
        <v>0</v>
      </c>
      <c r="BQ971">
        <f t="shared" si="387"/>
        <v>0</v>
      </c>
      <c r="BR971">
        <f t="shared" si="388"/>
        <v>0</v>
      </c>
      <c r="BS971">
        <f t="shared" si="389"/>
        <v>0</v>
      </c>
      <c r="BT971">
        <f t="shared" si="390"/>
        <v>0</v>
      </c>
      <c r="BU971">
        <f t="shared" si="391"/>
        <v>0</v>
      </c>
      <c r="BV971">
        <f t="shared" si="392"/>
        <v>0</v>
      </c>
      <c r="BW971">
        <f t="shared" si="393"/>
        <v>0</v>
      </c>
      <c r="CA971" t="str">
        <f>IF(772&gt;ROWS(DGArchive[模组]),"",IF(INDEX(DGArchive[模组],772)="","",INDEX(DGArchive[模组],772)))</f>
        <v/>
      </c>
      <c r="CB971" t="str">
        <f>IF(772&gt;ROWS(DGArchive[阶段]),"",IF(INDEX(DGArchive[阶段],772)="","",INDEX(DGArchive[阶段],772)))</f>
        <v/>
      </c>
      <c r="CC971" t="str">
        <f>IF(772&gt;ROWS(DGArchive[游戏内日期]),"",IF(INDEX(DGArchive[游戏内日期],772)="","",INDEX(DGArchive[游戏内日期],772)))</f>
        <v/>
      </c>
      <c r="CD971" t="str">
        <f>IF(772&gt;ROWS(DGArchive[目标]),"",IF(INDEX(DGArchive[目标],772)="","",INDEX(DGArchive[目标],772)))</f>
        <v/>
      </c>
      <c r="CE971" t="str">
        <f>IF(772&gt;ROWS(DGArchive[变更前]),"",IF(INDEX(DGArchive[变更前],772)="","",INDEX(DGArchive[变更前],772)))</f>
        <v/>
      </c>
      <c r="CF971" t="str">
        <f>IF(772&gt;ROWS(DGArchive[增减]),"",IF(INDEX(DGArchive[增减],772)="","",INDEX(DGArchive[增减],772)))</f>
        <v/>
      </c>
      <c r="CG971" t="str">
        <f>IF(772&gt;ROWS(DGArchive[变更后]),"",IF(INDEX(DGArchive[变更后],772)="","",INDEX(DGArchive[变更后],772)))</f>
        <v/>
      </c>
      <c r="CH971" t="str">
        <f>IF(772&gt;ROWS(DGArchive[事件／活动]),"",IF(INDEX(DGArchive[事件／活动],772)="","",INDEX(DGArchive[事件／活动],772)))</f>
        <v/>
      </c>
      <c r="CI971" t="str">
        <f>IF(772&gt;ROWS(DGArchive[记录编号]),"",IF(INDEX(DGArchive[记录编号],772)="","",INDEX(DGArchive[记录编号],772)))</f>
        <v/>
      </c>
      <c r="CL971">
        <f t="shared" si="374"/>
        <v>0</v>
      </c>
      <c r="CM971">
        <f>IF(AND(A971=$AO$5,B971=$AQ$3,H971=1),COUNTIFS($A$200:A971,$AO$5,$B$200:B971,$AQ$3,$H$200:H971,1),0)</f>
        <v>0</v>
      </c>
      <c r="CN971">
        <f>IF(CA971="",772,1001)</f>
        <v>772</v>
      </c>
      <c r="GA971">
        <f t="shared" si="394"/>
        <v>0</v>
      </c>
      <c r="GB971">
        <f t="shared" si="395"/>
        <v>0</v>
      </c>
      <c r="GC971">
        <f>IF(AND(C971="事件记录",H971=1),COUNTIFS($C$200:C971,"事件记录",$H$200:H971,1),0)</f>
        <v>0</v>
      </c>
      <c r="GD971">
        <f t="shared" si="375"/>
        <v>0</v>
      </c>
      <c r="GH971">
        <f>IF(AND(H971=1,A971=$GA$10,B971=$GA$11),COUNTIFS($A$200:A971,$GA$10,$B$200:B971,$GA$11,$H$200:H971,1),0)</f>
        <v>0</v>
      </c>
    </row>
    <row r="972" spans="1:190">
      <c r="A972" t="str">
        <f t="shared" si="366"/>
        <v/>
      </c>
      <c r="B972" t="str">
        <f t="shared" si="367"/>
        <v/>
      </c>
      <c r="C972" t="str">
        <f t="shared" si="368"/>
        <v/>
      </c>
      <c r="D972" t="str">
        <f t="shared" si="369"/>
        <v/>
      </c>
      <c r="E972">
        <f t="shared" si="370"/>
        <v>0</v>
      </c>
      <c r="F972" t="str">
        <f t="shared" si="371"/>
        <v/>
      </c>
      <c r="G972">
        <f t="shared" si="372"/>
        <v>0</v>
      </c>
      <c r="H972">
        <f>IF(AND(G972=1,COUNTIFS($I$200:I972,I972,$G$200:G972,1)=1),1,0)</f>
        <v>0</v>
      </c>
      <c r="I972" t="str">
        <f t="shared" si="373"/>
        <v/>
      </c>
      <c r="BF972">
        <f t="shared" si="376"/>
        <v>0</v>
      </c>
      <c r="BG972">
        <f t="shared" si="377"/>
        <v>0</v>
      </c>
      <c r="BH972">
        <f t="shared" si="378"/>
        <v>0</v>
      </c>
      <c r="BI972">
        <f t="shared" si="379"/>
        <v>0</v>
      </c>
      <c r="BJ972">
        <f t="shared" si="380"/>
        <v>0</v>
      </c>
      <c r="BK972">
        <f t="shared" si="381"/>
        <v>0</v>
      </c>
      <c r="BL972">
        <f t="shared" si="382"/>
        <v>0</v>
      </c>
      <c r="BM972">
        <f t="shared" si="383"/>
        <v>0</v>
      </c>
      <c r="BN972">
        <f t="shared" si="384"/>
        <v>0</v>
      </c>
      <c r="BO972">
        <f t="shared" si="385"/>
        <v>0</v>
      </c>
      <c r="BP972">
        <f t="shared" si="386"/>
        <v>0</v>
      </c>
      <c r="BQ972">
        <f t="shared" si="387"/>
        <v>0</v>
      </c>
      <c r="BR972">
        <f t="shared" si="388"/>
        <v>0</v>
      </c>
      <c r="BS972">
        <f t="shared" si="389"/>
        <v>0</v>
      </c>
      <c r="BT972">
        <f t="shared" si="390"/>
        <v>0</v>
      </c>
      <c r="BU972">
        <f t="shared" si="391"/>
        <v>0</v>
      </c>
      <c r="BV972">
        <f t="shared" si="392"/>
        <v>0</v>
      </c>
      <c r="BW972">
        <f t="shared" si="393"/>
        <v>0</v>
      </c>
      <c r="CA972" t="str">
        <f>IF(773&gt;ROWS(DGArchive[模组]),"",IF(INDEX(DGArchive[模组],773)="","",INDEX(DGArchive[模组],773)))</f>
        <v/>
      </c>
      <c r="CB972" t="str">
        <f>IF(773&gt;ROWS(DGArchive[阶段]),"",IF(INDEX(DGArchive[阶段],773)="","",INDEX(DGArchive[阶段],773)))</f>
        <v/>
      </c>
      <c r="CC972" t="str">
        <f>IF(773&gt;ROWS(DGArchive[游戏内日期]),"",IF(INDEX(DGArchive[游戏内日期],773)="","",INDEX(DGArchive[游戏内日期],773)))</f>
        <v/>
      </c>
      <c r="CD972" t="str">
        <f>IF(773&gt;ROWS(DGArchive[目标]),"",IF(INDEX(DGArchive[目标],773)="","",INDEX(DGArchive[目标],773)))</f>
        <v/>
      </c>
      <c r="CE972" t="str">
        <f>IF(773&gt;ROWS(DGArchive[变更前]),"",IF(INDEX(DGArchive[变更前],773)="","",INDEX(DGArchive[变更前],773)))</f>
        <v/>
      </c>
      <c r="CF972" t="str">
        <f>IF(773&gt;ROWS(DGArchive[增减]),"",IF(INDEX(DGArchive[增减],773)="","",INDEX(DGArchive[增减],773)))</f>
        <v/>
      </c>
      <c r="CG972" t="str">
        <f>IF(773&gt;ROWS(DGArchive[变更后]),"",IF(INDEX(DGArchive[变更后],773)="","",INDEX(DGArchive[变更后],773)))</f>
        <v/>
      </c>
      <c r="CH972" t="str">
        <f>IF(773&gt;ROWS(DGArchive[事件／活动]),"",IF(INDEX(DGArchive[事件／活动],773)="","",INDEX(DGArchive[事件／活动],773)))</f>
        <v/>
      </c>
      <c r="CI972" t="str">
        <f>IF(773&gt;ROWS(DGArchive[记录编号]),"",IF(INDEX(DGArchive[记录编号],773)="","",INDEX(DGArchive[记录编号],773)))</f>
        <v/>
      </c>
      <c r="CL972">
        <f t="shared" si="374"/>
        <v>0</v>
      </c>
      <c r="CM972">
        <f>IF(AND(A972=$AO$5,B972=$AQ$3,H972=1),COUNTIFS($A$200:A972,$AO$5,$B$200:B972,$AQ$3,$H$200:H972,1),0)</f>
        <v>0</v>
      </c>
      <c r="CN972">
        <f>IF(CA972="",773,1001)</f>
        <v>773</v>
      </c>
      <c r="GA972">
        <f t="shared" si="394"/>
        <v>0</v>
      </c>
      <c r="GB972">
        <f t="shared" si="395"/>
        <v>0</v>
      </c>
      <c r="GC972">
        <f>IF(AND(C972="事件记录",H972=1),COUNTIFS($C$200:C972,"事件记录",$H$200:H972,1),0)</f>
        <v>0</v>
      </c>
      <c r="GD972">
        <f t="shared" si="375"/>
        <v>0</v>
      </c>
      <c r="GH972">
        <f>IF(AND(H972=1,A972=$GA$10,B972=$GA$11),COUNTIFS($A$200:A972,$GA$10,$B$200:B972,$GA$11,$H$200:H972,1),0)</f>
        <v>0</v>
      </c>
    </row>
    <row r="973" spans="1:190">
      <c r="A973" t="str">
        <f t="shared" si="366"/>
        <v/>
      </c>
      <c r="B973" t="str">
        <f t="shared" si="367"/>
        <v/>
      </c>
      <c r="C973" t="str">
        <f t="shared" si="368"/>
        <v/>
      </c>
      <c r="D973" t="str">
        <f t="shared" si="369"/>
        <v/>
      </c>
      <c r="E973">
        <f t="shared" si="370"/>
        <v>0</v>
      </c>
      <c r="F973" t="str">
        <f t="shared" si="371"/>
        <v/>
      </c>
      <c r="G973">
        <f t="shared" si="372"/>
        <v>0</v>
      </c>
      <c r="H973">
        <f>IF(AND(G973=1,COUNTIFS($I$200:I973,I973,$G$200:G973,1)=1),1,0)</f>
        <v>0</v>
      </c>
      <c r="I973" t="str">
        <f t="shared" si="373"/>
        <v/>
      </c>
      <c r="BF973">
        <f t="shared" si="376"/>
        <v>0</v>
      </c>
      <c r="BG973">
        <f t="shared" si="377"/>
        <v>0</v>
      </c>
      <c r="BH973">
        <f t="shared" si="378"/>
        <v>0</v>
      </c>
      <c r="BI973">
        <f t="shared" si="379"/>
        <v>0</v>
      </c>
      <c r="BJ973">
        <f t="shared" si="380"/>
        <v>0</v>
      </c>
      <c r="BK973">
        <f t="shared" si="381"/>
        <v>0</v>
      </c>
      <c r="BL973">
        <f t="shared" si="382"/>
        <v>0</v>
      </c>
      <c r="BM973">
        <f t="shared" si="383"/>
        <v>0</v>
      </c>
      <c r="BN973">
        <f t="shared" si="384"/>
        <v>0</v>
      </c>
      <c r="BO973">
        <f t="shared" si="385"/>
        <v>0</v>
      </c>
      <c r="BP973">
        <f t="shared" si="386"/>
        <v>0</v>
      </c>
      <c r="BQ973">
        <f t="shared" si="387"/>
        <v>0</v>
      </c>
      <c r="BR973">
        <f t="shared" si="388"/>
        <v>0</v>
      </c>
      <c r="BS973">
        <f t="shared" si="389"/>
        <v>0</v>
      </c>
      <c r="BT973">
        <f t="shared" si="390"/>
        <v>0</v>
      </c>
      <c r="BU973">
        <f t="shared" si="391"/>
        <v>0</v>
      </c>
      <c r="BV973">
        <f t="shared" si="392"/>
        <v>0</v>
      </c>
      <c r="BW973">
        <f t="shared" si="393"/>
        <v>0</v>
      </c>
      <c r="CA973" t="str">
        <f>IF(774&gt;ROWS(DGArchive[模组]),"",IF(INDEX(DGArchive[模组],774)="","",INDEX(DGArchive[模组],774)))</f>
        <v/>
      </c>
      <c r="CB973" t="str">
        <f>IF(774&gt;ROWS(DGArchive[阶段]),"",IF(INDEX(DGArchive[阶段],774)="","",INDEX(DGArchive[阶段],774)))</f>
        <v/>
      </c>
      <c r="CC973" t="str">
        <f>IF(774&gt;ROWS(DGArchive[游戏内日期]),"",IF(INDEX(DGArchive[游戏内日期],774)="","",INDEX(DGArchive[游戏内日期],774)))</f>
        <v/>
      </c>
      <c r="CD973" t="str">
        <f>IF(774&gt;ROWS(DGArchive[目标]),"",IF(INDEX(DGArchive[目标],774)="","",INDEX(DGArchive[目标],774)))</f>
        <v/>
      </c>
      <c r="CE973" t="str">
        <f>IF(774&gt;ROWS(DGArchive[变更前]),"",IF(INDEX(DGArchive[变更前],774)="","",INDEX(DGArchive[变更前],774)))</f>
        <v/>
      </c>
      <c r="CF973" t="str">
        <f>IF(774&gt;ROWS(DGArchive[增减]),"",IF(INDEX(DGArchive[增减],774)="","",INDEX(DGArchive[增减],774)))</f>
        <v/>
      </c>
      <c r="CG973" t="str">
        <f>IF(774&gt;ROWS(DGArchive[变更后]),"",IF(INDEX(DGArchive[变更后],774)="","",INDEX(DGArchive[变更后],774)))</f>
        <v/>
      </c>
      <c r="CH973" t="str">
        <f>IF(774&gt;ROWS(DGArchive[事件／活动]),"",IF(INDEX(DGArchive[事件／活动],774)="","",INDEX(DGArchive[事件／活动],774)))</f>
        <v/>
      </c>
      <c r="CI973" t="str">
        <f>IF(774&gt;ROWS(DGArchive[记录编号]),"",IF(INDEX(DGArchive[记录编号],774)="","",INDEX(DGArchive[记录编号],774)))</f>
        <v/>
      </c>
      <c r="CL973">
        <f t="shared" si="374"/>
        <v>0</v>
      </c>
      <c r="CM973">
        <f>IF(AND(A973=$AO$5,B973=$AQ$3,H973=1),COUNTIFS($A$200:A973,$AO$5,$B$200:B973,$AQ$3,$H$200:H973,1),0)</f>
        <v>0</v>
      </c>
      <c r="CN973">
        <f>IF(CA973="",774,1001)</f>
        <v>774</v>
      </c>
      <c r="GA973">
        <f t="shared" si="394"/>
        <v>0</v>
      </c>
      <c r="GB973">
        <f t="shared" si="395"/>
        <v>0</v>
      </c>
      <c r="GC973">
        <f>IF(AND(C973="事件记录",H973=1),COUNTIFS($C$200:C973,"事件记录",$H$200:H973,1),0)</f>
        <v>0</v>
      </c>
      <c r="GD973">
        <f t="shared" si="375"/>
        <v>0</v>
      </c>
      <c r="GH973">
        <f>IF(AND(H973=1,A973=$GA$10,B973=$GA$11),COUNTIFS($A$200:A973,$GA$10,$B$200:B973,$GA$11,$H$200:H973,1),0)</f>
        <v>0</v>
      </c>
    </row>
    <row r="974" spans="1:190">
      <c r="A974" t="str">
        <f t="shared" si="366"/>
        <v/>
      </c>
      <c r="B974" t="str">
        <f t="shared" si="367"/>
        <v/>
      </c>
      <c r="C974" t="str">
        <f t="shared" si="368"/>
        <v/>
      </c>
      <c r="D974" t="str">
        <f t="shared" si="369"/>
        <v/>
      </c>
      <c r="E974">
        <f t="shared" si="370"/>
        <v>0</v>
      </c>
      <c r="F974" t="str">
        <f t="shared" si="371"/>
        <v/>
      </c>
      <c r="G974">
        <f t="shared" si="372"/>
        <v>0</v>
      </c>
      <c r="H974">
        <f>IF(AND(G974=1,COUNTIFS($I$200:I974,I974,$G$200:G974,1)=1),1,0)</f>
        <v>0</v>
      </c>
      <c r="I974" t="str">
        <f t="shared" si="373"/>
        <v/>
      </c>
      <c r="BF974">
        <f t="shared" si="376"/>
        <v>0</v>
      </c>
      <c r="BG974">
        <f t="shared" si="377"/>
        <v>0</v>
      </c>
      <c r="BH974">
        <f t="shared" si="378"/>
        <v>0</v>
      </c>
      <c r="BI974">
        <f t="shared" si="379"/>
        <v>0</v>
      </c>
      <c r="BJ974">
        <f t="shared" si="380"/>
        <v>0</v>
      </c>
      <c r="BK974">
        <f t="shared" si="381"/>
        <v>0</v>
      </c>
      <c r="BL974">
        <f t="shared" si="382"/>
        <v>0</v>
      </c>
      <c r="BM974">
        <f t="shared" si="383"/>
        <v>0</v>
      </c>
      <c r="BN974">
        <f t="shared" si="384"/>
        <v>0</v>
      </c>
      <c r="BO974">
        <f t="shared" si="385"/>
        <v>0</v>
      </c>
      <c r="BP974">
        <f t="shared" si="386"/>
        <v>0</v>
      </c>
      <c r="BQ974">
        <f t="shared" si="387"/>
        <v>0</v>
      </c>
      <c r="BR974">
        <f t="shared" si="388"/>
        <v>0</v>
      </c>
      <c r="BS974">
        <f t="shared" si="389"/>
        <v>0</v>
      </c>
      <c r="BT974">
        <f t="shared" si="390"/>
        <v>0</v>
      </c>
      <c r="BU974">
        <f t="shared" si="391"/>
        <v>0</v>
      </c>
      <c r="BV974">
        <f t="shared" si="392"/>
        <v>0</v>
      </c>
      <c r="BW974">
        <f t="shared" si="393"/>
        <v>0</v>
      </c>
      <c r="CA974" t="str">
        <f>IF(775&gt;ROWS(DGArchive[模组]),"",IF(INDEX(DGArchive[模组],775)="","",INDEX(DGArchive[模组],775)))</f>
        <v/>
      </c>
      <c r="CB974" t="str">
        <f>IF(775&gt;ROWS(DGArchive[阶段]),"",IF(INDEX(DGArchive[阶段],775)="","",INDEX(DGArchive[阶段],775)))</f>
        <v/>
      </c>
      <c r="CC974" t="str">
        <f>IF(775&gt;ROWS(DGArchive[游戏内日期]),"",IF(INDEX(DGArchive[游戏内日期],775)="","",INDEX(DGArchive[游戏内日期],775)))</f>
        <v/>
      </c>
      <c r="CD974" t="str">
        <f>IF(775&gt;ROWS(DGArchive[目标]),"",IF(INDEX(DGArchive[目标],775)="","",INDEX(DGArchive[目标],775)))</f>
        <v/>
      </c>
      <c r="CE974" t="str">
        <f>IF(775&gt;ROWS(DGArchive[变更前]),"",IF(INDEX(DGArchive[变更前],775)="","",INDEX(DGArchive[变更前],775)))</f>
        <v/>
      </c>
      <c r="CF974" t="str">
        <f>IF(775&gt;ROWS(DGArchive[增减]),"",IF(INDEX(DGArchive[增减],775)="","",INDEX(DGArchive[增减],775)))</f>
        <v/>
      </c>
      <c r="CG974" t="str">
        <f>IF(775&gt;ROWS(DGArchive[变更后]),"",IF(INDEX(DGArchive[变更后],775)="","",INDEX(DGArchive[变更后],775)))</f>
        <v/>
      </c>
      <c r="CH974" t="str">
        <f>IF(775&gt;ROWS(DGArchive[事件／活动]),"",IF(INDEX(DGArchive[事件／活动],775)="","",INDEX(DGArchive[事件／活动],775)))</f>
        <v/>
      </c>
      <c r="CI974" t="str">
        <f>IF(775&gt;ROWS(DGArchive[记录编号]),"",IF(INDEX(DGArchive[记录编号],775)="","",INDEX(DGArchive[记录编号],775)))</f>
        <v/>
      </c>
      <c r="CL974">
        <f t="shared" si="374"/>
        <v>0</v>
      </c>
      <c r="CM974">
        <f>IF(AND(A974=$AO$5,B974=$AQ$3,H974=1),COUNTIFS($A$200:A974,$AO$5,$B$200:B974,$AQ$3,$H$200:H974,1),0)</f>
        <v>0</v>
      </c>
      <c r="CN974">
        <f>IF(CA974="",775,1001)</f>
        <v>775</v>
      </c>
      <c r="GA974">
        <f t="shared" si="394"/>
        <v>0</v>
      </c>
      <c r="GB974">
        <f t="shared" si="395"/>
        <v>0</v>
      </c>
      <c r="GC974">
        <f>IF(AND(C974="事件记录",H974=1),COUNTIFS($C$200:C974,"事件记录",$H$200:H974,1),0)</f>
        <v>0</v>
      </c>
      <c r="GD974">
        <f t="shared" si="375"/>
        <v>0</v>
      </c>
      <c r="GH974">
        <f>IF(AND(H974=1,A974=$GA$10,B974=$GA$11),COUNTIFS($A$200:A974,$GA$10,$B$200:B974,$GA$11,$H$200:H974,1),0)</f>
        <v>0</v>
      </c>
    </row>
    <row r="975" spans="1:190">
      <c r="A975" t="str">
        <f t="shared" si="366"/>
        <v/>
      </c>
      <c r="B975" t="str">
        <f t="shared" si="367"/>
        <v/>
      </c>
      <c r="C975" t="str">
        <f t="shared" si="368"/>
        <v/>
      </c>
      <c r="D975" t="str">
        <f t="shared" si="369"/>
        <v/>
      </c>
      <c r="E975">
        <f t="shared" si="370"/>
        <v>0</v>
      </c>
      <c r="F975" t="str">
        <f t="shared" si="371"/>
        <v/>
      </c>
      <c r="G975">
        <f t="shared" si="372"/>
        <v>0</v>
      </c>
      <c r="H975">
        <f>IF(AND(G975=1,COUNTIFS($I$200:I975,I975,$G$200:G975,1)=1),1,0)</f>
        <v>0</v>
      </c>
      <c r="I975" t="str">
        <f t="shared" si="373"/>
        <v/>
      </c>
      <c r="BF975">
        <f t="shared" si="376"/>
        <v>0</v>
      </c>
      <c r="BG975">
        <f t="shared" si="377"/>
        <v>0</v>
      </c>
      <c r="BH975">
        <f t="shared" si="378"/>
        <v>0</v>
      </c>
      <c r="BI975">
        <f t="shared" si="379"/>
        <v>0</v>
      </c>
      <c r="BJ975">
        <f t="shared" si="380"/>
        <v>0</v>
      </c>
      <c r="BK975">
        <f t="shared" si="381"/>
        <v>0</v>
      </c>
      <c r="BL975">
        <f t="shared" si="382"/>
        <v>0</v>
      </c>
      <c r="BM975">
        <f t="shared" si="383"/>
        <v>0</v>
      </c>
      <c r="BN975">
        <f t="shared" si="384"/>
        <v>0</v>
      </c>
      <c r="BO975">
        <f t="shared" si="385"/>
        <v>0</v>
      </c>
      <c r="BP975">
        <f t="shared" si="386"/>
        <v>0</v>
      </c>
      <c r="BQ975">
        <f t="shared" si="387"/>
        <v>0</v>
      </c>
      <c r="BR975">
        <f t="shared" si="388"/>
        <v>0</v>
      </c>
      <c r="BS975">
        <f t="shared" si="389"/>
        <v>0</v>
      </c>
      <c r="BT975">
        <f t="shared" si="390"/>
        <v>0</v>
      </c>
      <c r="BU975">
        <f t="shared" si="391"/>
        <v>0</v>
      </c>
      <c r="BV975">
        <f t="shared" si="392"/>
        <v>0</v>
      </c>
      <c r="BW975">
        <f t="shared" si="393"/>
        <v>0</v>
      </c>
      <c r="CA975" t="str">
        <f>IF(776&gt;ROWS(DGArchive[模组]),"",IF(INDEX(DGArchive[模组],776)="","",INDEX(DGArchive[模组],776)))</f>
        <v/>
      </c>
      <c r="CB975" t="str">
        <f>IF(776&gt;ROWS(DGArchive[阶段]),"",IF(INDEX(DGArchive[阶段],776)="","",INDEX(DGArchive[阶段],776)))</f>
        <v/>
      </c>
      <c r="CC975" t="str">
        <f>IF(776&gt;ROWS(DGArchive[游戏内日期]),"",IF(INDEX(DGArchive[游戏内日期],776)="","",INDEX(DGArchive[游戏内日期],776)))</f>
        <v/>
      </c>
      <c r="CD975" t="str">
        <f>IF(776&gt;ROWS(DGArchive[目标]),"",IF(INDEX(DGArchive[目标],776)="","",INDEX(DGArchive[目标],776)))</f>
        <v/>
      </c>
      <c r="CE975" t="str">
        <f>IF(776&gt;ROWS(DGArchive[变更前]),"",IF(INDEX(DGArchive[变更前],776)="","",INDEX(DGArchive[变更前],776)))</f>
        <v/>
      </c>
      <c r="CF975" t="str">
        <f>IF(776&gt;ROWS(DGArchive[增减]),"",IF(INDEX(DGArchive[增减],776)="","",INDEX(DGArchive[增减],776)))</f>
        <v/>
      </c>
      <c r="CG975" t="str">
        <f>IF(776&gt;ROWS(DGArchive[变更后]),"",IF(INDEX(DGArchive[变更后],776)="","",INDEX(DGArchive[变更后],776)))</f>
        <v/>
      </c>
      <c r="CH975" t="str">
        <f>IF(776&gt;ROWS(DGArchive[事件／活动]),"",IF(INDEX(DGArchive[事件／活动],776)="","",INDEX(DGArchive[事件／活动],776)))</f>
        <v/>
      </c>
      <c r="CI975" t="str">
        <f>IF(776&gt;ROWS(DGArchive[记录编号]),"",IF(INDEX(DGArchive[记录编号],776)="","",INDEX(DGArchive[记录编号],776)))</f>
        <v/>
      </c>
      <c r="CL975">
        <f t="shared" si="374"/>
        <v>0</v>
      </c>
      <c r="CM975">
        <f>IF(AND(A975=$AO$5,B975=$AQ$3,H975=1),COUNTIFS($A$200:A975,$AO$5,$B$200:B975,$AQ$3,$H$200:H975,1),0)</f>
        <v>0</v>
      </c>
      <c r="CN975">
        <f>IF(CA975="",776,1001)</f>
        <v>776</v>
      </c>
      <c r="GA975">
        <f t="shared" si="394"/>
        <v>0</v>
      </c>
      <c r="GB975">
        <f t="shared" si="395"/>
        <v>0</v>
      </c>
      <c r="GC975">
        <f>IF(AND(C975="事件记录",H975=1),COUNTIFS($C$200:C975,"事件记录",$H$200:H975,1),0)</f>
        <v>0</v>
      </c>
      <c r="GD975">
        <f t="shared" si="375"/>
        <v>0</v>
      </c>
      <c r="GH975">
        <f>IF(AND(H975=1,A975=$GA$10,B975=$GA$11),COUNTIFS($A$200:A975,$GA$10,$B$200:B975,$GA$11,$H$200:H975,1),0)</f>
        <v>0</v>
      </c>
    </row>
    <row r="976" spans="1:190">
      <c r="A976" t="str">
        <f t="shared" si="366"/>
        <v/>
      </c>
      <c r="B976" t="str">
        <f t="shared" si="367"/>
        <v/>
      </c>
      <c r="C976" t="str">
        <f t="shared" si="368"/>
        <v/>
      </c>
      <c r="D976" t="str">
        <f t="shared" si="369"/>
        <v/>
      </c>
      <c r="E976">
        <f t="shared" si="370"/>
        <v>0</v>
      </c>
      <c r="F976" t="str">
        <f t="shared" si="371"/>
        <v/>
      </c>
      <c r="G976">
        <f t="shared" si="372"/>
        <v>0</v>
      </c>
      <c r="H976">
        <f>IF(AND(G976=1,COUNTIFS($I$200:I976,I976,$G$200:G976,1)=1),1,0)</f>
        <v>0</v>
      </c>
      <c r="I976" t="str">
        <f t="shared" si="373"/>
        <v/>
      </c>
      <c r="BF976">
        <f t="shared" si="376"/>
        <v>0</v>
      </c>
      <c r="BG976">
        <f t="shared" si="377"/>
        <v>0</v>
      </c>
      <c r="BH976">
        <f t="shared" si="378"/>
        <v>0</v>
      </c>
      <c r="BI976">
        <f t="shared" si="379"/>
        <v>0</v>
      </c>
      <c r="BJ976">
        <f t="shared" si="380"/>
        <v>0</v>
      </c>
      <c r="BK976">
        <f t="shared" si="381"/>
        <v>0</v>
      </c>
      <c r="BL976">
        <f t="shared" si="382"/>
        <v>0</v>
      </c>
      <c r="BM976">
        <f t="shared" si="383"/>
        <v>0</v>
      </c>
      <c r="BN976">
        <f t="shared" si="384"/>
        <v>0</v>
      </c>
      <c r="BO976">
        <f t="shared" si="385"/>
        <v>0</v>
      </c>
      <c r="BP976">
        <f t="shared" si="386"/>
        <v>0</v>
      </c>
      <c r="BQ976">
        <f t="shared" si="387"/>
        <v>0</v>
      </c>
      <c r="BR976">
        <f t="shared" si="388"/>
        <v>0</v>
      </c>
      <c r="BS976">
        <f t="shared" si="389"/>
        <v>0</v>
      </c>
      <c r="BT976">
        <f t="shared" si="390"/>
        <v>0</v>
      </c>
      <c r="BU976">
        <f t="shared" si="391"/>
        <v>0</v>
      </c>
      <c r="BV976">
        <f t="shared" si="392"/>
        <v>0</v>
      </c>
      <c r="BW976">
        <f t="shared" si="393"/>
        <v>0</v>
      </c>
      <c r="CA976" t="str">
        <f>IF(777&gt;ROWS(DGArchive[模组]),"",IF(INDEX(DGArchive[模组],777)="","",INDEX(DGArchive[模组],777)))</f>
        <v/>
      </c>
      <c r="CB976" t="str">
        <f>IF(777&gt;ROWS(DGArchive[阶段]),"",IF(INDEX(DGArchive[阶段],777)="","",INDEX(DGArchive[阶段],777)))</f>
        <v/>
      </c>
      <c r="CC976" t="str">
        <f>IF(777&gt;ROWS(DGArchive[游戏内日期]),"",IF(INDEX(DGArchive[游戏内日期],777)="","",INDEX(DGArchive[游戏内日期],777)))</f>
        <v/>
      </c>
      <c r="CD976" t="str">
        <f>IF(777&gt;ROWS(DGArchive[目标]),"",IF(INDEX(DGArchive[目标],777)="","",INDEX(DGArchive[目标],777)))</f>
        <v/>
      </c>
      <c r="CE976" t="str">
        <f>IF(777&gt;ROWS(DGArchive[变更前]),"",IF(INDEX(DGArchive[变更前],777)="","",INDEX(DGArchive[变更前],777)))</f>
        <v/>
      </c>
      <c r="CF976" t="str">
        <f>IF(777&gt;ROWS(DGArchive[增减]),"",IF(INDEX(DGArchive[增减],777)="","",INDEX(DGArchive[增减],777)))</f>
        <v/>
      </c>
      <c r="CG976" t="str">
        <f>IF(777&gt;ROWS(DGArchive[变更后]),"",IF(INDEX(DGArchive[变更后],777)="","",INDEX(DGArchive[变更后],777)))</f>
        <v/>
      </c>
      <c r="CH976" t="str">
        <f>IF(777&gt;ROWS(DGArchive[事件／活动]),"",IF(INDEX(DGArchive[事件／活动],777)="","",INDEX(DGArchive[事件／活动],777)))</f>
        <v/>
      </c>
      <c r="CI976" t="str">
        <f>IF(777&gt;ROWS(DGArchive[记录编号]),"",IF(INDEX(DGArchive[记录编号],777)="","",INDEX(DGArchive[记录编号],777)))</f>
        <v/>
      </c>
      <c r="CL976">
        <f t="shared" si="374"/>
        <v>0</v>
      </c>
      <c r="CM976">
        <f>IF(AND(A976=$AO$5,B976=$AQ$3,H976=1),COUNTIFS($A$200:A976,$AO$5,$B$200:B976,$AQ$3,$H$200:H976,1),0)</f>
        <v>0</v>
      </c>
      <c r="CN976">
        <f>IF(CA976="",777,1001)</f>
        <v>777</v>
      </c>
      <c r="GA976">
        <f t="shared" si="394"/>
        <v>0</v>
      </c>
      <c r="GB976">
        <f t="shared" si="395"/>
        <v>0</v>
      </c>
      <c r="GC976">
        <f>IF(AND(C976="事件记录",H976=1),COUNTIFS($C$200:C976,"事件记录",$H$200:H976,1),0)</f>
        <v>0</v>
      </c>
      <c r="GD976">
        <f t="shared" si="375"/>
        <v>0</v>
      </c>
      <c r="GH976">
        <f>IF(AND(H976=1,A976=$GA$10,B976=$GA$11),COUNTIFS($A$200:A976,$GA$10,$B$200:B976,$GA$11,$H$200:H976,1),0)</f>
        <v>0</v>
      </c>
    </row>
    <row r="977" spans="1:190">
      <c r="A977" t="str">
        <f t="shared" si="366"/>
        <v/>
      </c>
      <c r="B977" t="str">
        <f t="shared" si="367"/>
        <v/>
      </c>
      <c r="C977" t="str">
        <f t="shared" si="368"/>
        <v/>
      </c>
      <c r="D977" t="str">
        <f t="shared" si="369"/>
        <v/>
      </c>
      <c r="E977">
        <f t="shared" si="370"/>
        <v>0</v>
      </c>
      <c r="F977" t="str">
        <f t="shared" si="371"/>
        <v/>
      </c>
      <c r="G977">
        <f t="shared" si="372"/>
        <v>0</v>
      </c>
      <c r="H977">
        <f>IF(AND(G977=1,COUNTIFS($I$200:I977,I977,$G$200:G977,1)=1),1,0)</f>
        <v>0</v>
      </c>
      <c r="I977" t="str">
        <f t="shared" si="373"/>
        <v/>
      </c>
      <c r="BF977">
        <f t="shared" si="376"/>
        <v>0</v>
      </c>
      <c r="BG977">
        <f t="shared" si="377"/>
        <v>0</v>
      </c>
      <c r="BH977">
        <f t="shared" si="378"/>
        <v>0</v>
      </c>
      <c r="BI977">
        <f t="shared" si="379"/>
        <v>0</v>
      </c>
      <c r="BJ977">
        <f t="shared" si="380"/>
        <v>0</v>
      </c>
      <c r="BK977">
        <f t="shared" si="381"/>
        <v>0</v>
      </c>
      <c r="BL977">
        <f t="shared" si="382"/>
        <v>0</v>
      </c>
      <c r="BM977">
        <f t="shared" si="383"/>
        <v>0</v>
      </c>
      <c r="BN977">
        <f t="shared" si="384"/>
        <v>0</v>
      </c>
      <c r="BO977">
        <f t="shared" si="385"/>
        <v>0</v>
      </c>
      <c r="BP977">
        <f t="shared" si="386"/>
        <v>0</v>
      </c>
      <c r="BQ977">
        <f t="shared" si="387"/>
        <v>0</v>
      </c>
      <c r="BR977">
        <f t="shared" si="388"/>
        <v>0</v>
      </c>
      <c r="BS977">
        <f t="shared" si="389"/>
        <v>0</v>
      </c>
      <c r="BT977">
        <f t="shared" si="390"/>
        <v>0</v>
      </c>
      <c r="BU977">
        <f t="shared" si="391"/>
        <v>0</v>
      </c>
      <c r="BV977">
        <f t="shared" si="392"/>
        <v>0</v>
      </c>
      <c r="BW977">
        <f t="shared" si="393"/>
        <v>0</v>
      </c>
      <c r="CA977" t="str">
        <f>IF(778&gt;ROWS(DGArchive[模组]),"",IF(INDEX(DGArchive[模组],778)="","",INDEX(DGArchive[模组],778)))</f>
        <v/>
      </c>
      <c r="CB977" t="str">
        <f>IF(778&gt;ROWS(DGArchive[阶段]),"",IF(INDEX(DGArchive[阶段],778)="","",INDEX(DGArchive[阶段],778)))</f>
        <v/>
      </c>
      <c r="CC977" t="str">
        <f>IF(778&gt;ROWS(DGArchive[游戏内日期]),"",IF(INDEX(DGArchive[游戏内日期],778)="","",INDEX(DGArchive[游戏内日期],778)))</f>
        <v/>
      </c>
      <c r="CD977" t="str">
        <f>IF(778&gt;ROWS(DGArchive[目标]),"",IF(INDEX(DGArchive[目标],778)="","",INDEX(DGArchive[目标],778)))</f>
        <v/>
      </c>
      <c r="CE977" t="str">
        <f>IF(778&gt;ROWS(DGArchive[变更前]),"",IF(INDEX(DGArchive[变更前],778)="","",INDEX(DGArchive[变更前],778)))</f>
        <v/>
      </c>
      <c r="CF977" t="str">
        <f>IF(778&gt;ROWS(DGArchive[增减]),"",IF(INDEX(DGArchive[增减],778)="","",INDEX(DGArchive[增减],778)))</f>
        <v/>
      </c>
      <c r="CG977" t="str">
        <f>IF(778&gt;ROWS(DGArchive[变更后]),"",IF(INDEX(DGArchive[变更后],778)="","",INDEX(DGArchive[变更后],778)))</f>
        <v/>
      </c>
      <c r="CH977" t="str">
        <f>IF(778&gt;ROWS(DGArchive[事件／活动]),"",IF(INDEX(DGArchive[事件／活动],778)="","",INDEX(DGArchive[事件／活动],778)))</f>
        <v/>
      </c>
      <c r="CI977" t="str">
        <f>IF(778&gt;ROWS(DGArchive[记录编号]),"",IF(INDEX(DGArchive[记录编号],778)="","",INDEX(DGArchive[记录编号],778)))</f>
        <v/>
      </c>
      <c r="CL977">
        <f t="shared" si="374"/>
        <v>0</v>
      </c>
      <c r="CM977">
        <f>IF(AND(A977=$AO$5,B977=$AQ$3,H977=1),COUNTIFS($A$200:A977,$AO$5,$B$200:B977,$AQ$3,$H$200:H977,1),0)</f>
        <v>0</v>
      </c>
      <c r="CN977">
        <f>IF(CA977="",778,1001)</f>
        <v>778</v>
      </c>
      <c r="GA977">
        <f t="shared" si="394"/>
        <v>0</v>
      </c>
      <c r="GB977">
        <f t="shared" si="395"/>
        <v>0</v>
      </c>
      <c r="GC977">
        <f>IF(AND(C977="事件记录",H977=1),COUNTIFS($C$200:C977,"事件记录",$H$200:H977,1),0)</f>
        <v>0</v>
      </c>
      <c r="GD977">
        <f t="shared" si="375"/>
        <v>0</v>
      </c>
      <c r="GH977">
        <f>IF(AND(H977=1,A977=$GA$10,B977=$GA$11),COUNTIFS($A$200:A977,$GA$10,$B$200:B977,$GA$11,$H$200:H977,1),0)</f>
        <v>0</v>
      </c>
    </row>
    <row r="978" spans="1:190">
      <c r="A978" t="str">
        <f t="shared" si="366"/>
        <v/>
      </c>
      <c r="B978" t="str">
        <f t="shared" si="367"/>
        <v/>
      </c>
      <c r="C978" t="str">
        <f t="shared" si="368"/>
        <v/>
      </c>
      <c r="D978" t="str">
        <f t="shared" si="369"/>
        <v/>
      </c>
      <c r="E978">
        <f t="shared" si="370"/>
        <v>0</v>
      </c>
      <c r="F978" t="str">
        <f t="shared" si="371"/>
        <v/>
      </c>
      <c r="G978">
        <f t="shared" si="372"/>
        <v>0</v>
      </c>
      <c r="H978">
        <f>IF(AND(G978=1,COUNTIFS($I$200:I978,I978,$G$200:G978,1)=1),1,0)</f>
        <v>0</v>
      </c>
      <c r="I978" t="str">
        <f t="shared" si="373"/>
        <v/>
      </c>
      <c r="BF978">
        <f t="shared" si="376"/>
        <v>0</v>
      </c>
      <c r="BG978">
        <f t="shared" si="377"/>
        <v>0</v>
      </c>
      <c r="BH978">
        <f t="shared" si="378"/>
        <v>0</v>
      </c>
      <c r="BI978">
        <f t="shared" si="379"/>
        <v>0</v>
      </c>
      <c r="BJ978">
        <f t="shared" si="380"/>
        <v>0</v>
      </c>
      <c r="BK978">
        <f t="shared" si="381"/>
        <v>0</v>
      </c>
      <c r="BL978">
        <f t="shared" si="382"/>
        <v>0</v>
      </c>
      <c r="BM978">
        <f t="shared" si="383"/>
        <v>0</v>
      </c>
      <c r="BN978">
        <f t="shared" si="384"/>
        <v>0</v>
      </c>
      <c r="BO978">
        <f t="shared" si="385"/>
        <v>0</v>
      </c>
      <c r="BP978">
        <f t="shared" si="386"/>
        <v>0</v>
      </c>
      <c r="BQ978">
        <f t="shared" si="387"/>
        <v>0</v>
      </c>
      <c r="BR978">
        <f t="shared" si="388"/>
        <v>0</v>
      </c>
      <c r="BS978">
        <f t="shared" si="389"/>
        <v>0</v>
      </c>
      <c r="BT978">
        <f t="shared" si="390"/>
        <v>0</v>
      </c>
      <c r="BU978">
        <f t="shared" si="391"/>
        <v>0</v>
      </c>
      <c r="BV978">
        <f t="shared" si="392"/>
        <v>0</v>
      </c>
      <c r="BW978">
        <f t="shared" si="393"/>
        <v>0</v>
      </c>
      <c r="CA978" t="str">
        <f>IF(779&gt;ROWS(DGArchive[模组]),"",IF(INDEX(DGArchive[模组],779)="","",INDEX(DGArchive[模组],779)))</f>
        <v/>
      </c>
      <c r="CB978" t="str">
        <f>IF(779&gt;ROWS(DGArchive[阶段]),"",IF(INDEX(DGArchive[阶段],779)="","",INDEX(DGArchive[阶段],779)))</f>
        <v/>
      </c>
      <c r="CC978" t="str">
        <f>IF(779&gt;ROWS(DGArchive[游戏内日期]),"",IF(INDEX(DGArchive[游戏内日期],779)="","",INDEX(DGArchive[游戏内日期],779)))</f>
        <v/>
      </c>
      <c r="CD978" t="str">
        <f>IF(779&gt;ROWS(DGArchive[目标]),"",IF(INDEX(DGArchive[目标],779)="","",INDEX(DGArchive[目标],779)))</f>
        <v/>
      </c>
      <c r="CE978" t="str">
        <f>IF(779&gt;ROWS(DGArchive[变更前]),"",IF(INDEX(DGArchive[变更前],779)="","",INDEX(DGArchive[变更前],779)))</f>
        <v/>
      </c>
      <c r="CF978" t="str">
        <f>IF(779&gt;ROWS(DGArchive[增减]),"",IF(INDEX(DGArchive[增减],779)="","",INDEX(DGArchive[增减],779)))</f>
        <v/>
      </c>
      <c r="CG978" t="str">
        <f>IF(779&gt;ROWS(DGArchive[变更后]),"",IF(INDEX(DGArchive[变更后],779)="","",INDEX(DGArchive[变更后],779)))</f>
        <v/>
      </c>
      <c r="CH978" t="str">
        <f>IF(779&gt;ROWS(DGArchive[事件／活动]),"",IF(INDEX(DGArchive[事件／活动],779)="","",INDEX(DGArchive[事件／活动],779)))</f>
        <v/>
      </c>
      <c r="CI978" t="str">
        <f>IF(779&gt;ROWS(DGArchive[记录编号]),"",IF(INDEX(DGArchive[记录编号],779)="","",INDEX(DGArchive[记录编号],779)))</f>
        <v/>
      </c>
      <c r="CL978">
        <f t="shared" si="374"/>
        <v>0</v>
      </c>
      <c r="CM978">
        <f>IF(AND(A978=$AO$5,B978=$AQ$3,H978=1),COUNTIFS($A$200:A978,$AO$5,$B$200:B978,$AQ$3,$H$200:H978,1),0)</f>
        <v>0</v>
      </c>
      <c r="CN978">
        <f>IF(CA978="",779,1001)</f>
        <v>779</v>
      </c>
      <c r="GA978">
        <f t="shared" si="394"/>
        <v>0</v>
      </c>
      <c r="GB978">
        <f t="shared" si="395"/>
        <v>0</v>
      </c>
      <c r="GC978">
        <f>IF(AND(C978="事件记录",H978=1),COUNTIFS($C$200:C978,"事件记录",$H$200:H978,1),0)</f>
        <v>0</v>
      </c>
      <c r="GD978">
        <f t="shared" si="375"/>
        <v>0</v>
      </c>
      <c r="GH978">
        <f>IF(AND(H978=1,A978=$GA$10,B978=$GA$11),COUNTIFS($A$200:A978,$GA$10,$B$200:B978,$GA$11,$H$200:H978,1),0)</f>
        <v>0</v>
      </c>
    </row>
    <row r="979" spans="1:190">
      <c r="A979" t="str">
        <f t="shared" si="366"/>
        <v/>
      </c>
      <c r="B979" t="str">
        <f t="shared" si="367"/>
        <v/>
      </c>
      <c r="C979" t="str">
        <f t="shared" si="368"/>
        <v/>
      </c>
      <c r="D979" t="str">
        <f t="shared" si="369"/>
        <v/>
      </c>
      <c r="E979">
        <f t="shared" si="370"/>
        <v>0</v>
      </c>
      <c r="F979" t="str">
        <f t="shared" si="371"/>
        <v/>
      </c>
      <c r="G979">
        <f t="shared" si="372"/>
        <v>0</v>
      </c>
      <c r="H979">
        <f>IF(AND(G979=1,COUNTIFS($I$200:I979,I979,$G$200:G979,1)=1),1,0)</f>
        <v>0</v>
      </c>
      <c r="I979" t="str">
        <f t="shared" si="373"/>
        <v/>
      </c>
      <c r="BF979">
        <f t="shared" si="376"/>
        <v>0</v>
      </c>
      <c r="BG979">
        <f t="shared" si="377"/>
        <v>0</v>
      </c>
      <c r="BH979">
        <f t="shared" si="378"/>
        <v>0</v>
      </c>
      <c r="BI979">
        <f t="shared" si="379"/>
        <v>0</v>
      </c>
      <c r="BJ979">
        <f t="shared" si="380"/>
        <v>0</v>
      </c>
      <c r="BK979">
        <f t="shared" si="381"/>
        <v>0</v>
      </c>
      <c r="BL979">
        <f t="shared" si="382"/>
        <v>0</v>
      </c>
      <c r="BM979">
        <f t="shared" si="383"/>
        <v>0</v>
      </c>
      <c r="BN979">
        <f t="shared" si="384"/>
        <v>0</v>
      </c>
      <c r="BO979">
        <f t="shared" si="385"/>
        <v>0</v>
      </c>
      <c r="BP979">
        <f t="shared" si="386"/>
        <v>0</v>
      </c>
      <c r="BQ979">
        <f t="shared" si="387"/>
        <v>0</v>
      </c>
      <c r="BR979">
        <f t="shared" si="388"/>
        <v>0</v>
      </c>
      <c r="BS979">
        <f t="shared" si="389"/>
        <v>0</v>
      </c>
      <c r="BT979">
        <f t="shared" si="390"/>
        <v>0</v>
      </c>
      <c r="BU979">
        <f t="shared" si="391"/>
        <v>0</v>
      </c>
      <c r="BV979">
        <f t="shared" si="392"/>
        <v>0</v>
      </c>
      <c r="BW979">
        <f t="shared" si="393"/>
        <v>0</v>
      </c>
      <c r="CA979" t="str">
        <f>IF(780&gt;ROWS(DGArchive[模组]),"",IF(INDEX(DGArchive[模组],780)="","",INDEX(DGArchive[模组],780)))</f>
        <v/>
      </c>
      <c r="CB979" t="str">
        <f>IF(780&gt;ROWS(DGArchive[阶段]),"",IF(INDEX(DGArchive[阶段],780)="","",INDEX(DGArchive[阶段],780)))</f>
        <v/>
      </c>
      <c r="CC979" t="str">
        <f>IF(780&gt;ROWS(DGArchive[游戏内日期]),"",IF(INDEX(DGArchive[游戏内日期],780)="","",INDEX(DGArchive[游戏内日期],780)))</f>
        <v/>
      </c>
      <c r="CD979" t="str">
        <f>IF(780&gt;ROWS(DGArchive[目标]),"",IF(INDEX(DGArchive[目标],780)="","",INDEX(DGArchive[目标],780)))</f>
        <v/>
      </c>
      <c r="CE979" t="str">
        <f>IF(780&gt;ROWS(DGArchive[变更前]),"",IF(INDEX(DGArchive[变更前],780)="","",INDEX(DGArchive[变更前],780)))</f>
        <v/>
      </c>
      <c r="CF979" t="str">
        <f>IF(780&gt;ROWS(DGArchive[增减]),"",IF(INDEX(DGArchive[增减],780)="","",INDEX(DGArchive[增减],780)))</f>
        <v/>
      </c>
      <c r="CG979" t="str">
        <f>IF(780&gt;ROWS(DGArchive[变更后]),"",IF(INDEX(DGArchive[变更后],780)="","",INDEX(DGArchive[变更后],780)))</f>
        <v/>
      </c>
      <c r="CH979" t="str">
        <f>IF(780&gt;ROWS(DGArchive[事件／活动]),"",IF(INDEX(DGArchive[事件／活动],780)="","",INDEX(DGArchive[事件／活动],780)))</f>
        <v/>
      </c>
      <c r="CI979" t="str">
        <f>IF(780&gt;ROWS(DGArchive[记录编号]),"",IF(INDEX(DGArchive[记录编号],780)="","",INDEX(DGArchive[记录编号],780)))</f>
        <v/>
      </c>
      <c r="CL979">
        <f t="shared" si="374"/>
        <v>0</v>
      </c>
      <c r="CM979">
        <f>IF(AND(A979=$AO$5,B979=$AQ$3,H979=1),COUNTIFS($A$200:A979,$AO$5,$B$200:B979,$AQ$3,$H$200:H979,1),0)</f>
        <v>0</v>
      </c>
      <c r="CN979">
        <f>IF(CA979="",780,1001)</f>
        <v>780</v>
      </c>
      <c r="GA979">
        <f t="shared" si="394"/>
        <v>0</v>
      </c>
      <c r="GB979">
        <f t="shared" si="395"/>
        <v>0</v>
      </c>
      <c r="GC979">
        <f>IF(AND(C979="事件记录",H979=1),COUNTIFS($C$200:C979,"事件记录",$H$200:H979,1),0)</f>
        <v>0</v>
      </c>
      <c r="GD979">
        <f t="shared" si="375"/>
        <v>0</v>
      </c>
      <c r="GH979">
        <f>IF(AND(H979=1,A979=$GA$10,B979=$GA$11),COUNTIFS($A$200:A979,$GA$10,$B$200:B979,$GA$11,$H$200:H979,1),0)</f>
        <v>0</v>
      </c>
    </row>
    <row r="980" spans="1:190">
      <c r="A980" t="str">
        <f t="shared" si="366"/>
        <v/>
      </c>
      <c r="B980" t="str">
        <f t="shared" si="367"/>
        <v/>
      </c>
      <c r="C980" t="str">
        <f t="shared" si="368"/>
        <v/>
      </c>
      <c r="D980" t="str">
        <f t="shared" si="369"/>
        <v/>
      </c>
      <c r="E980">
        <f t="shared" si="370"/>
        <v>0</v>
      </c>
      <c r="F980" t="str">
        <f t="shared" si="371"/>
        <v/>
      </c>
      <c r="G980">
        <f t="shared" si="372"/>
        <v>0</v>
      </c>
      <c r="H980">
        <f>IF(AND(G980=1,COUNTIFS($I$200:I980,I980,$G$200:G980,1)=1),1,0)</f>
        <v>0</v>
      </c>
      <c r="I980" t="str">
        <f t="shared" si="373"/>
        <v/>
      </c>
      <c r="BF980">
        <f t="shared" si="376"/>
        <v>0</v>
      </c>
      <c r="BG980">
        <f t="shared" si="377"/>
        <v>0</v>
      </c>
      <c r="BH980">
        <f t="shared" si="378"/>
        <v>0</v>
      </c>
      <c r="BI980">
        <f t="shared" si="379"/>
        <v>0</v>
      </c>
      <c r="BJ980">
        <f t="shared" si="380"/>
        <v>0</v>
      </c>
      <c r="BK980">
        <f t="shared" si="381"/>
        <v>0</v>
      </c>
      <c r="BL980">
        <f t="shared" si="382"/>
        <v>0</v>
      </c>
      <c r="BM980">
        <f t="shared" si="383"/>
        <v>0</v>
      </c>
      <c r="BN980">
        <f t="shared" si="384"/>
        <v>0</v>
      </c>
      <c r="BO980">
        <f t="shared" si="385"/>
        <v>0</v>
      </c>
      <c r="BP980">
        <f t="shared" si="386"/>
        <v>0</v>
      </c>
      <c r="BQ980">
        <f t="shared" si="387"/>
        <v>0</v>
      </c>
      <c r="BR980">
        <f t="shared" si="388"/>
        <v>0</v>
      </c>
      <c r="BS980">
        <f t="shared" si="389"/>
        <v>0</v>
      </c>
      <c r="BT980">
        <f t="shared" si="390"/>
        <v>0</v>
      </c>
      <c r="BU980">
        <f t="shared" si="391"/>
        <v>0</v>
      </c>
      <c r="BV980">
        <f t="shared" si="392"/>
        <v>0</v>
      </c>
      <c r="BW980">
        <f t="shared" si="393"/>
        <v>0</v>
      </c>
      <c r="CA980" t="str">
        <f>IF(781&gt;ROWS(DGArchive[模组]),"",IF(INDEX(DGArchive[模组],781)="","",INDEX(DGArchive[模组],781)))</f>
        <v/>
      </c>
      <c r="CB980" t="str">
        <f>IF(781&gt;ROWS(DGArchive[阶段]),"",IF(INDEX(DGArchive[阶段],781)="","",INDEX(DGArchive[阶段],781)))</f>
        <v/>
      </c>
      <c r="CC980" t="str">
        <f>IF(781&gt;ROWS(DGArchive[游戏内日期]),"",IF(INDEX(DGArchive[游戏内日期],781)="","",INDEX(DGArchive[游戏内日期],781)))</f>
        <v/>
      </c>
      <c r="CD980" t="str">
        <f>IF(781&gt;ROWS(DGArchive[目标]),"",IF(INDEX(DGArchive[目标],781)="","",INDEX(DGArchive[目标],781)))</f>
        <v/>
      </c>
      <c r="CE980" t="str">
        <f>IF(781&gt;ROWS(DGArchive[变更前]),"",IF(INDEX(DGArchive[变更前],781)="","",INDEX(DGArchive[变更前],781)))</f>
        <v/>
      </c>
      <c r="CF980" t="str">
        <f>IF(781&gt;ROWS(DGArchive[增减]),"",IF(INDEX(DGArchive[增减],781)="","",INDEX(DGArchive[增减],781)))</f>
        <v/>
      </c>
      <c r="CG980" t="str">
        <f>IF(781&gt;ROWS(DGArchive[变更后]),"",IF(INDEX(DGArchive[变更后],781)="","",INDEX(DGArchive[变更后],781)))</f>
        <v/>
      </c>
      <c r="CH980" t="str">
        <f>IF(781&gt;ROWS(DGArchive[事件／活动]),"",IF(INDEX(DGArchive[事件／活动],781)="","",INDEX(DGArchive[事件／活动],781)))</f>
        <v/>
      </c>
      <c r="CI980" t="str">
        <f>IF(781&gt;ROWS(DGArchive[记录编号]),"",IF(INDEX(DGArchive[记录编号],781)="","",INDEX(DGArchive[记录编号],781)))</f>
        <v/>
      </c>
      <c r="CL980">
        <f t="shared" si="374"/>
        <v>0</v>
      </c>
      <c r="CM980">
        <f>IF(AND(A980=$AO$5,B980=$AQ$3,H980=1),COUNTIFS($A$200:A980,$AO$5,$B$200:B980,$AQ$3,$H$200:H980,1),0)</f>
        <v>0</v>
      </c>
      <c r="CN980">
        <f>IF(CA980="",781,1001)</f>
        <v>781</v>
      </c>
      <c r="GA980">
        <f t="shared" si="394"/>
        <v>0</v>
      </c>
      <c r="GB980">
        <f t="shared" si="395"/>
        <v>0</v>
      </c>
      <c r="GC980">
        <f>IF(AND(C980="事件记录",H980=1),COUNTIFS($C$200:C980,"事件记录",$H$200:H980,1),0)</f>
        <v>0</v>
      </c>
      <c r="GD980">
        <f t="shared" si="375"/>
        <v>0</v>
      </c>
      <c r="GH980">
        <f>IF(AND(H980=1,A980=$GA$10,B980=$GA$11),COUNTIFS($A$200:A980,$GA$10,$B$200:B980,$GA$11,$H$200:H980,1),0)</f>
        <v>0</v>
      </c>
    </row>
    <row r="981" spans="1:190">
      <c r="A981" t="str">
        <f t="shared" si="366"/>
        <v/>
      </c>
      <c r="B981" t="str">
        <f t="shared" si="367"/>
        <v/>
      </c>
      <c r="C981" t="str">
        <f t="shared" si="368"/>
        <v/>
      </c>
      <c r="D981" t="str">
        <f t="shared" si="369"/>
        <v/>
      </c>
      <c r="E981">
        <f t="shared" si="370"/>
        <v>0</v>
      </c>
      <c r="F981" t="str">
        <f t="shared" si="371"/>
        <v/>
      </c>
      <c r="G981">
        <f t="shared" si="372"/>
        <v>0</v>
      </c>
      <c r="H981">
        <f>IF(AND(G981=1,COUNTIFS($I$200:I981,I981,$G$200:G981,1)=1),1,0)</f>
        <v>0</v>
      </c>
      <c r="I981" t="str">
        <f t="shared" si="373"/>
        <v/>
      </c>
      <c r="BF981">
        <f t="shared" si="376"/>
        <v>0</v>
      </c>
      <c r="BG981">
        <f t="shared" si="377"/>
        <v>0</v>
      </c>
      <c r="BH981">
        <f t="shared" si="378"/>
        <v>0</v>
      </c>
      <c r="BI981">
        <f t="shared" si="379"/>
        <v>0</v>
      </c>
      <c r="BJ981">
        <f t="shared" si="380"/>
        <v>0</v>
      </c>
      <c r="BK981">
        <f t="shared" si="381"/>
        <v>0</v>
      </c>
      <c r="BL981">
        <f t="shared" si="382"/>
        <v>0</v>
      </c>
      <c r="BM981">
        <f t="shared" si="383"/>
        <v>0</v>
      </c>
      <c r="BN981">
        <f t="shared" si="384"/>
        <v>0</v>
      </c>
      <c r="BO981">
        <f t="shared" si="385"/>
        <v>0</v>
      </c>
      <c r="BP981">
        <f t="shared" si="386"/>
        <v>0</v>
      </c>
      <c r="BQ981">
        <f t="shared" si="387"/>
        <v>0</v>
      </c>
      <c r="BR981">
        <f t="shared" si="388"/>
        <v>0</v>
      </c>
      <c r="BS981">
        <f t="shared" si="389"/>
        <v>0</v>
      </c>
      <c r="BT981">
        <f t="shared" si="390"/>
        <v>0</v>
      </c>
      <c r="BU981">
        <f t="shared" si="391"/>
        <v>0</v>
      </c>
      <c r="BV981">
        <f t="shared" si="392"/>
        <v>0</v>
      </c>
      <c r="BW981">
        <f t="shared" si="393"/>
        <v>0</v>
      </c>
      <c r="CA981" t="str">
        <f>IF(782&gt;ROWS(DGArchive[模组]),"",IF(INDEX(DGArchive[模组],782)="","",INDEX(DGArchive[模组],782)))</f>
        <v/>
      </c>
      <c r="CB981" t="str">
        <f>IF(782&gt;ROWS(DGArchive[阶段]),"",IF(INDEX(DGArchive[阶段],782)="","",INDEX(DGArchive[阶段],782)))</f>
        <v/>
      </c>
      <c r="CC981" t="str">
        <f>IF(782&gt;ROWS(DGArchive[游戏内日期]),"",IF(INDEX(DGArchive[游戏内日期],782)="","",INDEX(DGArchive[游戏内日期],782)))</f>
        <v/>
      </c>
      <c r="CD981" t="str">
        <f>IF(782&gt;ROWS(DGArchive[目标]),"",IF(INDEX(DGArchive[目标],782)="","",INDEX(DGArchive[目标],782)))</f>
        <v/>
      </c>
      <c r="CE981" t="str">
        <f>IF(782&gt;ROWS(DGArchive[变更前]),"",IF(INDEX(DGArchive[变更前],782)="","",INDEX(DGArchive[变更前],782)))</f>
        <v/>
      </c>
      <c r="CF981" t="str">
        <f>IF(782&gt;ROWS(DGArchive[增减]),"",IF(INDEX(DGArchive[增减],782)="","",INDEX(DGArchive[增减],782)))</f>
        <v/>
      </c>
      <c r="CG981" t="str">
        <f>IF(782&gt;ROWS(DGArchive[变更后]),"",IF(INDEX(DGArchive[变更后],782)="","",INDEX(DGArchive[变更后],782)))</f>
        <v/>
      </c>
      <c r="CH981" t="str">
        <f>IF(782&gt;ROWS(DGArchive[事件／活动]),"",IF(INDEX(DGArchive[事件／活动],782)="","",INDEX(DGArchive[事件／活动],782)))</f>
        <v/>
      </c>
      <c r="CI981" t="str">
        <f>IF(782&gt;ROWS(DGArchive[记录编号]),"",IF(INDEX(DGArchive[记录编号],782)="","",INDEX(DGArchive[记录编号],782)))</f>
        <v/>
      </c>
      <c r="CL981">
        <f t="shared" si="374"/>
        <v>0</v>
      </c>
      <c r="CM981">
        <f>IF(AND(A981=$AO$5,B981=$AQ$3,H981=1),COUNTIFS($A$200:A981,$AO$5,$B$200:B981,$AQ$3,$H$200:H981,1),0)</f>
        <v>0</v>
      </c>
      <c r="CN981">
        <f>IF(CA981="",782,1001)</f>
        <v>782</v>
      </c>
      <c r="GA981">
        <f t="shared" si="394"/>
        <v>0</v>
      </c>
      <c r="GB981">
        <f t="shared" si="395"/>
        <v>0</v>
      </c>
      <c r="GC981">
        <f>IF(AND(C981="事件记录",H981=1),COUNTIFS($C$200:C981,"事件记录",$H$200:H981,1),0)</f>
        <v>0</v>
      </c>
      <c r="GD981">
        <f t="shared" si="375"/>
        <v>0</v>
      </c>
      <c r="GH981">
        <f>IF(AND(H981=1,A981=$GA$10,B981=$GA$11),COUNTIFS($A$200:A981,$GA$10,$B$200:B981,$GA$11,$H$200:H981,1),0)</f>
        <v>0</v>
      </c>
    </row>
    <row r="982" spans="1:190">
      <c r="A982" t="str">
        <f t="shared" si="366"/>
        <v/>
      </c>
      <c r="B982" t="str">
        <f t="shared" si="367"/>
        <v/>
      </c>
      <c r="C982" t="str">
        <f t="shared" si="368"/>
        <v/>
      </c>
      <c r="D982" t="str">
        <f t="shared" si="369"/>
        <v/>
      </c>
      <c r="E982">
        <f t="shared" si="370"/>
        <v>0</v>
      </c>
      <c r="F982" t="str">
        <f t="shared" si="371"/>
        <v/>
      </c>
      <c r="G982">
        <f t="shared" si="372"/>
        <v>0</v>
      </c>
      <c r="H982">
        <f>IF(AND(G982=1,COUNTIFS($I$200:I982,I982,$G$200:G982,1)=1),1,0)</f>
        <v>0</v>
      </c>
      <c r="I982" t="str">
        <f t="shared" si="373"/>
        <v/>
      </c>
      <c r="BF982">
        <f t="shared" si="376"/>
        <v>0</v>
      </c>
      <c r="BG982">
        <f t="shared" si="377"/>
        <v>0</v>
      </c>
      <c r="BH982">
        <f t="shared" si="378"/>
        <v>0</v>
      </c>
      <c r="BI982">
        <f t="shared" si="379"/>
        <v>0</v>
      </c>
      <c r="BJ982">
        <f t="shared" si="380"/>
        <v>0</v>
      </c>
      <c r="BK982">
        <f t="shared" si="381"/>
        <v>0</v>
      </c>
      <c r="BL982">
        <f t="shared" si="382"/>
        <v>0</v>
      </c>
      <c r="BM982">
        <f t="shared" si="383"/>
        <v>0</v>
      </c>
      <c r="BN982">
        <f t="shared" si="384"/>
        <v>0</v>
      </c>
      <c r="BO982">
        <f t="shared" si="385"/>
        <v>0</v>
      </c>
      <c r="BP982">
        <f t="shared" si="386"/>
        <v>0</v>
      </c>
      <c r="BQ982">
        <f t="shared" si="387"/>
        <v>0</v>
      </c>
      <c r="BR982">
        <f t="shared" si="388"/>
        <v>0</v>
      </c>
      <c r="BS982">
        <f t="shared" si="389"/>
        <v>0</v>
      </c>
      <c r="BT982">
        <f t="shared" si="390"/>
        <v>0</v>
      </c>
      <c r="BU982">
        <f t="shared" si="391"/>
        <v>0</v>
      </c>
      <c r="BV982">
        <f t="shared" si="392"/>
        <v>0</v>
      </c>
      <c r="BW982">
        <f t="shared" si="393"/>
        <v>0</v>
      </c>
      <c r="CA982" t="str">
        <f>IF(783&gt;ROWS(DGArchive[模组]),"",IF(INDEX(DGArchive[模组],783)="","",INDEX(DGArchive[模组],783)))</f>
        <v/>
      </c>
      <c r="CB982" t="str">
        <f>IF(783&gt;ROWS(DGArchive[阶段]),"",IF(INDEX(DGArchive[阶段],783)="","",INDEX(DGArchive[阶段],783)))</f>
        <v/>
      </c>
      <c r="CC982" t="str">
        <f>IF(783&gt;ROWS(DGArchive[游戏内日期]),"",IF(INDEX(DGArchive[游戏内日期],783)="","",INDEX(DGArchive[游戏内日期],783)))</f>
        <v/>
      </c>
      <c r="CD982" t="str">
        <f>IF(783&gt;ROWS(DGArchive[目标]),"",IF(INDEX(DGArchive[目标],783)="","",INDEX(DGArchive[目标],783)))</f>
        <v/>
      </c>
      <c r="CE982" t="str">
        <f>IF(783&gt;ROWS(DGArchive[变更前]),"",IF(INDEX(DGArchive[变更前],783)="","",INDEX(DGArchive[变更前],783)))</f>
        <v/>
      </c>
      <c r="CF982" t="str">
        <f>IF(783&gt;ROWS(DGArchive[增减]),"",IF(INDEX(DGArchive[增减],783)="","",INDEX(DGArchive[增减],783)))</f>
        <v/>
      </c>
      <c r="CG982" t="str">
        <f>IF(783&gt;ROWS(DGArchive[变更后]),"",IF(INDEX(DGArchive[变更后],783)="","",INDEX(DGArchive[变更后],783)))</f>
        <v/>
      </c>
      <c r="CH982" t="str">
        <f>IF(783&gt;ROWS(DGArchive[事件／活动]),"",IF(INDEX(DGArchive[事件／活动],783)="","",INDEX(DGArchive[事件／活动],783)))</f>
        <v/>
      </c>
      <c r="CI982" t="str">
        <f>IF(783&gt;ROWS(DGArchive[记录编号]),"",IF(INDEX(DGArchive[记录编号],783)="","",INDEX(DGArchive[记录编号],783)))</f>
        <v/>
      </c>
      <c r="CL982">
        <f t="shared" si="374"/>
        <v>0</v>
      </c>
      <c r="CM982">
        <f>IF(AND(A982=$AO$5,B982=$AQ$3,H982=1),COUNTIFS($A$200:A982,$AO$5,$B$200:B982,$AQ$3,$H$200:H982,1),0)</f>
        <v>0</v>
      </c>
      <c r="CN982">
        <f>IF(CA982="",783,1001)</f>
        <v>783</v>
      </c>
      <c r="GA982">
        <f t="shared" si="394"/>
        <v>0</v>
      </c>
      <c r="GB982">
        <f t="shared" si="395"/>
        <v>0</v>
      </c>
      <c r="GC982">
        <f>IF(AND(C982="事件记录",H982=1),COUNTIFS($C$200:C982,"事件记录",$H$200:H982,1),0)</f>
        <v>0</v>
      </c>
      <c r="GD982">
        <f t="shared" si="375"/>
        <v>0</v>
      </c>
      <c r="GH982">
        <f>IF(AND(H982=1,A982=$GA$10,B982=$GA$11),COUNTIFS($A$200:A982,$GA$10,$B$200:B982,$GA$11,$H$200:H982,1),0)</f>
        <v>0</v>
      </c>
    </row>
    <row r="983" spans="1:190">
      <c r="A983" t="str">
        <f t="shared" si="366"/>
        <v/>
      </c>
      <c r="B983" t="str">
        <f t="shared" si="367"/>
        <v/>
      </c>
      <c r="C983" t="str">
        <f t="shared" si="368"/>
        <v/>
      </c>
      <c r="D983" t="str">
        <f t="shared" si="369"/>
        <v/>
      </c>
      <c r="E983">
        <f t="shared" si="370"/>
        <v>0</v>
      </c>
      <c r="F983" t="str">
        <f t="shared" si="371"/>
        <v/>
      </c>
      <c r="G983">
        <f t="shared" si="372"/>
        <v>0</v>
      </c>
      <c r="H983">
        <f>IF(AND(G983=1,COUNTIFS($I$200:I983,I983,$G$200:G983,1)=1),1,0)</f>
        <v>0</v>
      </c>
      <c r="I983" t="str">
        <f t="shared" si="373"/>
        <v/>
      </c>
      <c r="BF983">
        <f t="shared" si="376"/>
        <v>0</v>
      </c>
      <c r="BG983">
        <f t="shared" si="377"/>
        <v>0</v>
      </c>
      <c r="BH983">
        <f t="shared" si="378"/>
        <v>0</v>
      </c>
      <c r="BI983">
        <f t="shared" si="379"/>
        <v>0</v>
      </c>
      <c r="BJ983">
        <f t="shared" si="380"/>
        <v>0</v>
      </c>
      <c r="BK983">
        <f t="shared" si="381"/>
        <v>0</v>
      </c>
      <c r="BL983">
        <f t="shared" si="382"/>
        <v>0</v>
      </c>
      <c r="BM983">
        <f t="shared" si="383"/>
        <v>0</v>
      </c>
      <c r="BN983">
        <f t="shared" si="384"/>
        <v>0</v>
      </c>
      <c r="BO983">
        <f t="shared" si="385"/>
        <v>0</v>
      </c>
      <c r="BP983">
        <f t="shared" si="386"/>
        <v>0</v>
      </c>
      <c r="BQ983">
        <f t="shared" si="387"/>
        <v>0</v>
      </c>
      <c r="BR983">
        <f t="shared" si="388"/>
        <v>0</v>
      </c>
      <c r="BS983">
        <f t="shared" si="389"/>
        <v>0</v>
      </c>
      <c r="BT983">
        <f t="shared" si="390"/>
        <v>0</v>
      </c>
      <c r="BU983">
        <f t="shared" si="391"/>
        <v>0</v>
      </c>
      <c r="BV983">
        <f t="shared" si="392"/>
        <v>0</v>
      </c>
      <c r="BW983">
        <f t="shared" si="393"/>
        <v>0</v>
      </c>
      <c r="CA983" t="str">
        <f>IF(784&gt;ROWS(DGArchive[模组]),"",IF(INDEX(DGArchive[模组],784)="","",INDEX(DGArchive[模组],784)))</f>
        <v/>
      </c>
      <c r="CB983" t="str">
        <f>IF(784&gt;ROWS(DGArchive[阶段]),"",IF(INDEX(DGArchive[阶段],784)="","",INDEX(DGArchive[阶段],784)))</f>
        <v/>
      </c>
      <c r="CC983" t="str">
        <f>IF(784&gt;ROWS(DGArchive[游戏内日期]),"",IF(INDEX(DGArchive[游戏内日期],784)="","",INDEX(DGArchive[游戏内日期],784)))</f>
        <v/>
      </c>
      <c r="CD983" t="str">
        <f>IF(784&gt;ROWS(DGArchive[目标]),"",IF(INDEX(DGArchive[目标],784)="","",INDEX(DGArchive[目标],784)))</f>
        <v/>
      </c>
      <c r="CE983" t="str">
        <f>IF(784&gt;ROWS(DGArchive[变更前]),"",IF(INDEX(DGArchive[变更前],784)="","",INDEX(DGArchive[变更前],784)))</f>
        <v/>
      </c>
      <c r="CF983" t="str">
        <f>IF(784&gt;ROWS(DGArchive[增减]),"",IF(INDEX(DGArchive[增减],784)="","",INDEX(DGArchive[增减],784)))</f>
        <v/>
      </c>
      <c r="CG983" t="str">
        <f>IF(784&gt;ROWS(DGArchive[变更后]),"",IF(INDEX(DGArchive[变更后],784)="","",INDEX(DGArchive[变更后],784)))</f>
        <v/>
      </c>
      <c r="CH983" t="str">
        <f>IF(784&gt;ROWS(DGArchive[事件／活动]),"",IF(INDEX(DGArchive[事件／活动],784)="","",INDEX(DGArchive[事件／活动],784)))</f>
        <v/>
      </c>
      <c r="CI983" t="str">
        <f>IF(784&gt;ROWS(DGArchive[记录编号]),"",IF(INDEX(DGArchive[记录编号],784)="","",INDEX(DGArchive[记录编号],784)))</f>
        <v/>
      </c>
      <c r="CL983">
        <f t="shared" si="374"/>
        <v>0</v>
      </c>
      <c r="CM983">
        <f>IF(AND(A983=$AO$5,B983=$AQ$3,H983=1),COUNTIFS($A$200:A983,$AO$5,$B$200:B983,$AQ$3,$H$200:H983,1),0)</f>
        <v>0</v>
      </c>
      <c r="CN983">
        <f>IF(CA983="",784,1001)</f>
        <v>784</v>
      </c>
      <c r="GA983">
        <f t="shared" si="394"/>
        <v>0</v>
      </c>
      <c r="GB983">
        <f t="shared" si="395"/>
        <v>0</v>
      </c>
      <c r="GC983">
        <f>IF(AND(C983="事件记录",H983=1),COUNTIFS($C$200:C983,"事件记录",$H$200:H983,1),0)</f>
        <v>0</v>
      </c>
      <c r="GD983">
        <f t="shared" si="375"/>
        <v>0</v>
      </c>
      <c r="GH983">
        <f>IF(AND(H983=1,A983=$GA$10,B983=$GA$11),COUNTIFS($A$200:A983,$GA$10,$B$200:B983,$GA$11,$H$200:H983,1),0)</f>
        <v>0</v>
      </c>
    </row>
    <row r="984" spans="1:190">
      <c r="A984" t="str">
        <f t="shared" si="366"/>
        <v/>
      </c>
      <c r="B984" t="str">
        <f t="shared" si="367"/>
        <v/>
      </c>
      <c r="C984" t="str">
        <f t="shared" si="368"/>
        <v/>
      </c>
      <c r="D984" t="str">
        <f t="shared" si="369"/>
        <v/>
      </c>
      <c r="E984">
        <f t="shared" si="370"/>
        <v>0</v>
      </c>
      <c r="F984" t="str">
        <f t="shared" si="371"/>
        <v/>
      </c>
      <c r="G984">
        <f t="shared" si="372"/>
        <v>0</v>
      </c>
      <c r="H984">
        <f>IF(AND(G984=1,COUNTIFS($I$200:I984,I984,$G$200:G984,1)=1),1,0)</f>
        <v>0</v>
      </c>
      <c r="I984" t="str">
        <f t="shared" si="373"/>
        <v/>
      </c>
      <c r="BF984">
        <f t="shared" si="376"/>
        <v>0</v>
      </c>
      <c r="BG984">
        <f t="shared" si="377"/>
        <v>0</v>
      </c>
      <c r="BH984">
        <f t="shared" si="378"/>
        <v>0</v>
      </c>
      <c r="BI984">
        <f t="shared" si="379"/>
        <v>0</v>
      </c>
      <c r="BJ984">
        <f t="shared" si="380"/>
        <v>0</v>
      </c>
      <c r="BK984">
        <f t="shared" si="381"/>
        <v>0</v>
      </c>
      <c r="BL984">
        <f t="shared" si="382"/>
        <v>0</v>
      </c>
      <c r="BM984">
        <f t="shared" si="383"/>
        <v>0</v>
      </c>
      <c r="BN984">
        <f t="shared" si="384"/>
        <v>0</v>
      </c>
      <c r="BO984">
        <f t="shared" si="385"/>
        <v>0</v>
      </c>
      <c r="BP984">
        <f t="shared" si="386"/>
        <v>0</v>
      </c>
      <c r="BQ984">
        <f t="shared" si="387"/>
        <v>0</v>
      </c>
      <c r="BR984">
        <f t="shared" si="388"/>
        <v>0</v>
      </c>
      <c r="BS984">
        <f t="shared" si="389"/>
        <v>0</v>
      </c>
      <c r="BT984">
        <f t="shared" si="390"/>
        <v>0</v>
      </c>
      <c r="BU984">
        <f t="shared" si="391"/>
        <v>0</v>
      </c>
      <c r="BV984">
        <f t="shared" si="392"/>
        <v>0</v>
      </c>
      <c r="BW984">
        <f t="shared" si="393"/>
        <v>0</v>
      </c>
      <c r="CA984" t="str">
        <f>IF(785&gt;ROWS(DGArchive[模组]),"",IF(INDEX(DGArchive[模组],785)="","",INDEX(DGArchive[模组],785)))</f>
        <v/>
      </c>
      <c r="CB984" t="str">
        <f>IF(785&gt;ROWS(DGArchive[阶段]),"",IF(INDEX(DGArchive[阶段],785)="","",INDEX(DGArchive[阶段],785)))</f>
        <v/>
      </c>
      <c r="CC984" t="str">
        <f>IF(785&gt;ROWS(DGArchive[游戏内日期]),"",IF(INDEX(DGArchive[游戏内日期],785)="","",INDEX(DGArchive[游戏内日期],785)))</f>
        <v/>
      </c>
      <c r="CD984" t="str">
        <f>IF(785&gt;ROWS(DGArchive[目标]),"",IF(INDEX(DGArchive[目标],785)="","",INDEX(DGArchive[目标],785)))</f>
        <v/>
      </c>
      <c r="CE984" t="str">
        <f>IF(785&gt;ROWS(DGArchive[变更前]),"",IF(INDEX(DGArchive[变更前],785)="","",INDEX(DGArchive[变更前],785)))</f>
        <v/>
      </c>
      <c r="CF984" t="str">
        <f>IF(785&gt;ROWS(DGArchive[增减]),"",IF(INDEX(DGArchive[增减],785)="","",INDEX(DGArchive[增减],785)))</f>
        <v/>
      </c>
      <c r="CG984" t="str">
        <f>IF(785&gt;ROWS(DGArchive[变更后]),"",IF(INDEX(DGArchive[变更后],785)="","",INDEX(DGArchive[变更后],785)))</f>
        <v/>
      </c>
      <c r="CH984" t="str">
        <f>IF(785&gt;ROWS(DGArchive[事件／活动]),"",IF(INDEX(DGArchive[事件／活动],785)="","",INDEX(DGArchive[事件／活动],785)))</f>
        <v/>
      </c>
      <c r="CI984" t="str">
        <f>IF(785&gt;ROWS(DGArchive[记录编号]),"",IF(INDEX(DGArchive[记录编号],785)="","",INDEX(DGArchive[记录编号],785)))</f>
        <v/>
      </c>
      <c r="CL984">
        <f t="shared" si="374"/>
        <v>0</v>
      </c>
      <c r="CM984">
        <f>IF(AND(A984=$AO$5,B984=$AQ$3,H984=1),COUNTIFS($A$200:A984,$AO$5,$B$200:B984,$AQ$3,$H$200:H984,1),0)</f>
        <v>0</v>
      </c>
      <c r="CN984">
        <f>IF(CA984="",785,1001)</f>
        <v>785</v>
      </c>
      <c r="GA984">
        <f t="shared" si="394"/>
        <v>0</v>
      </c>
      <c r="GB984">
        <f t="shared" si="395"/>
        <v>0</v>
      </c>
      <c r="GC984">
        <f>IF(AND(C984="事件记录",H984=1),COUNTIFS($C$200:C984,"事件记录",$H$200:H984,1),0)</f>
        <v>0</v>
      </c>
      <c r="GD984">
        <f t="shared" si="375"/>
        <v>0</v>
      </c>
      <c r="GH984">
        <f>IF(AND(H984=1,A984=$GA$10,B984=$GA$11),COUNTIFS($A$200:A984,$GA$10,$B$200:B984,$GA$11,$H$200:H984,1),0)</f>
        <v>0</v>
      </c>
    </row>
    <row r="985" spans="1:190">
      <c r="A985" t="str">
        <f t="shared" si="366"/>
        <v/>
      </c>
      <c r="B985" t="str">
        <f t="shared" si="367"/>
        <v/>
      </c>
      <c r="C985" t="str">
        <f t="shared" si="368"/>
        <v/>
      </c>
      <c r="D985" t="str">
        <f t="shared" si="369"/>
        <v/>
      </c>
      <c r="E985">
        <f t="shared" si="370"/>
        <v>0</v>
      </c>
      <c r="F985" t="str">
        <f t="shared" si="371"/>
        <v/>
      </c>
      <c r="G985">
        <f t="shared" si="372"/>
        <v>0</v>
      </c>
      <c r="H985">
        <f>IF(AND(G985=1,COUNTIFS($I$200:I985,I985,$G$200:G985,1)=1),1,0)</f>
        <v>0</v>
      </c>
      <c r="I985" t="str">
        <f t="shared" si="373"/>
        <v/>
      </c>
      <c r="BF985">
        <f t="shared" si="376"/>
        <v>0</v>
      </c>
      <c r="BG985">
        <f t="shared" si="377"/>
        <v>0</v>
      </c>
      <c r="BH985">
        <f t="shared" si="378"/>
        <v>0</v>
      </c>
      <c r="BI985">
        <f t="shared" si="379"/>
        <v>0</v>
      </c>
      <c r="BJ985">
        <f t="shared" si="380"/>
        <v>0</v>
      </c>
      <c r="BK985">
        <f t="shared" si="381"/>
        <v>0</v>
      </c>
      <c r="BL985">
        <f t="shared" si="382"/>
        <v>0</v>
      </c>
      <c r="BM985">
        <f t="shared" si="383"/>
        <v>0</v>
      </c>
      <c r="BN985">
        <f t="shared" si="384"/>
        <v>0</v>
      </c>
      <c r="BO985">
        <f t="shared" si="385"/>
        <v>0</v>
      </c>
      <c r="BP985">
        <f t="shared" si="386"/>
        <v>0</v>
      </c>
      <c r="BQ985">
        <f t="shared" si="387"/>
        <v>0</v>
      </c>
      <c r="BR985">
        <f t="shared" si="388"/>
        <v>0</v>
      </c>
      <c r="BS985">
        <f t="shared" si="389"/>
        <v>0</v>
      </c>
      <c r="BT985">
        <f t="shared" si="390"/>
        <v>0</v>
      </c>
      <c r="BU985">
        <f t="shared" si="391"/>
        <v>0</v>
      </c>
      <c r="BV985">
        <f t="shared" si="392"/>
        <v>0</v>
      </c>
      <c r="BW985">
        <f t="shared" si="393"/>
        <v>0</v>
      </c>
      <c r="CA985" t="str">
        <f>IF(786&gt;ROWS(DGArchive[模组]),"",IF(INDEX(DGArchive[模组],786)="","",INDEX(DGArchive[模组],786)))</f>
        <v/>
      </c>
      <c r="CB985" t="str">
        <f>IF(786&gt;ROWS(DGArchive[阶段]),"",IF(INDEX(DGArchive[阶段],786)="","",INDEX(DGArchive[阶段],786)))</f>
        <v/>
      </c>
      <c r="CC985" t="str">
        <f>IF(786&gt;ROWS(DGArchive[游戏内日期]),"",IF(INDEX(DGArchive[游戏内日期],786)="","",INDEX(DGArchive[游戏内日期],786)))</f>
        <v/>
      </c>
      <c r="CD985" t="str">
        <f>IF(786&gt;ROWS(DGArchive[目标]),"",IF(INDEX(DGArchive[目标],786)="","",INDEX(DGArchive[目标],786)))</f>
        <v/>
      </c>
      <c r="CE985" t="str">
        <f>IF(786&gt;ROWS(DGArchive[变更前]),"",IF(INDEX(DGArchive[变更前],786)="","",INDEX(DGArchive[变更前],786)))</f>
        <v/>
      </c>
      <c r="CF985" t="str">
        <f>IF(786&gt;ROWS(DGArchive[增减]),"",IF(INDEX(DGArchive[增减],786)="","",INDEX(DGArchive[增减],786)))</f>
        <v/>
      </c>
      <c r="CG985" t="str">
        <f>IF(786&gt;ROWS(DGArchive[变更后]),"",IF(INDEX(DGArchive[变更后],786)="","",INDEX(DGArchive[变更后],786)))</f>
        <v/>
      </c>
      <c r="CH985" t="str">
        <f>IF(786&gt;ROWS(DGArchive[事件／活动]),"",IF(INDEX(DGArchive[事件／活动],786)="","",INDEX(DGArchive[事件／活动],786)))</f>
        <v/>
      </c>
      <c r="CI985" t="str">
        <f>IF(786&gt;ROWS(DGArchive[记录编号]),"",IF(INDEX(DGArchive[记录编号],786)="","",INDEX(DGArchive[记录编号],786)))</f>
        <v/>
      </c>
      <c r="CL985">
        <f t="shared" si="374"/>
        <v>0</v>
      </c>
      <c r="CM985">
        <f>IF(AND(A985=$AO$5,B985=$AQ$3,H985=1),COUNTIFS($A$200:A985,$AO$5,$B$200:B985,$AQ$3,$H$200:H985,1),0)</f>
        <v>0</v>
      </c>
      <c r="CN985">
        <f>IF(CA985="",786,1001)</f>
        <v>786</v>
      </c>
      <c r="GA985">
        <f t="shared" si="394"/>
        <v>0</v>
      </c>
      <c r="GB985">
        <f t="shared" si="395"/>
        <v>0</v>
      </c>
      <c r="GC985">
        <f>IF(AND(C985="事件记录",H985=1),COUNTIFS($C$200:C985,"事件记录",$H$200:H985,1),0)</f>
        <v>0</v>
      </c>
      <c r="GD985">
        <f t="shared" si="375"/>
        <v>0</v>
      </c>
      <c r="GH985">
        <f>IF(AND(H985=1,A985=$GA$10,B985=$GA$11),COUNTIFS($A$200:A985,$GA$10,$B$200:B985,$GA$11,$H$200:H985,1),0)</f>
        <v>0</v>
      </c>
    </row>
    <row r="986" spans="1:190">
      <c r="A986" t="str">
        <f t="shared" si="366"/>
        <v/>
      </c>
      <c r="B986" t="str">
        <f t="shared" si="367"/>
        <v/>
      </c>
      <c r="C986" t="str">
        <f t="shared" si="368"/>
        <v/>
      </c>
      <c r="D986" t="str">
        <f t="shared" si="369"/>
        <v/>
      </c>
      <c r="E986">
        <f t="shared" si="370"/>
        <v>0</v>
      </c>
      <c r="F986" t="str">
        <f t="shared" si="371"/>
        <v/>
      </c>
      <c r="G986">
        <f t="shared" si="372"/>
        <v>0</v>
      </c>
      <c r="H986">
        <f>IF(AND(G986=1,COUNTIFS($I$200:I986,I986,$G$200:G986,1)=1),1,0)</f>
        <v>0</v>
      </c>
      <c r="I986" t="str">
        <f t="shared" si="373"/>
        <v/>
      </c>
      <c r="BF986">
        <f t="shared" si="376"/>
        <v>0</v>
      </c>
      <c r="BG986">
        <f t="shared" si="377"/>
        <v>0</v>
      </c>
      <c r="BH986">
        <f t="shared" si="378"/>
        <v>0</v>
      </c>
      <c r="BI986">
        <f t="shared" si="379"/>
        <v>0</v>
      </c>
      <c r="BJ986">
        <f t="shared" si="380"/>
        <v>0</v>
      </c>
      <c r="BK986">
        <f t="shared" si="381"/>
        <v>0</v>
      </c>
      <c r="BL986">
        <f t="shared" si="382"/>
        <v>0</v>
      </c>
      <c r="BM986">
        <f t="shared" si="383"/>
        <v>0</v>
      </c>
      <c r="BN986">
        <f t="shared" si="384"/>
        <v>0</v>
      </c>
      <c r="BO986">
        <f t="shared" si="385"/>
        <v>0</v>
      </c>
      <c r="BP986">
        <f t="shared" si="386"/>
        <v>0</v>
      </c>
      <c r="BQ986">
        <f t="shared" si="387"/>
        <v>0</v>
      </c>
      <c r="BR986">
        <f t="shared" si="388"/>
        <v>0</v>
      </c>
      <c r="BS986">
        <f t="shared" si="389"/>
        <v>0</v>
      </c>
      <c r="BT986">
        <f t="shared" si="390"/>
        <v>0</v>
      </c>
      <c r="BU986">
        <f t="shared" si="391"/>
        <v>0</v>
      </c>
      <c r="BV986">
        <f t="shared" si="392"/>
        <v>0</v>
      </c>
      <c r="BW986">
        <f t="shared" si="393"/>
        <v>0</v>
      </c>
      <c r="CA986" t="str">
        <f>IF(787&gt;ROWS(DGArchive[模组]),"",IF(INDEX(DGArchive[模组],787)="","",INDEX(DGArchive[模组],787)))</f>
        <v/>
      </c>
      <c r="CB986" t="str">
        <f>IF(787&gt;ROWS(DGArchive[阶段]),"",IF(INDEX(DGArchive[阶段],787)="","",INDEX(DGArchive[阶段],787)))</f>
        <v/>
      </c>
      <c r="CC986" t="str">
        <f>IF(787&gt;ROWS(DGArchive[游戏内日期]),"",IF(INDEX(DGArchive[游戏内日期],787)="","",INDEX(DGArchive[游戏内日期],787)))</f>
        <v/>
      </c>
      <c r="CD986" t="str">
        <f>IF(787&gt;ROWS(DGArchive[目标]),"",IF(INDEX(DGArchive[目标],787)="","",INDEX(DGArchive[目标],787)))</f>
        <v/>
      </c>
      <c r="CE986" t="str">
        <f>IF(787&gt;ROWS(DGArchive[变更前]),"",IF(INDEX(DGArchive[变更前],787)="","",INDEX(DGArchive[变更前],787)))</f>
        <v/>
      </c>
      <c r="CF986" t="str">
        <f>IF(787&gt;ROWS(DGArchive[增减]),"",IF(INDEX(DGArchive[增减],787)="","",INDEX(DGArchive[增减],787)))</f>
        <v/>
      </c>
      <c r="CG986" t="str">
        <f>IF(787&gt;ROWS(DGArchive[变更后]),"",IF(INDEX(DGArchive[变更后],787)="","",INDEX(DGArchive[变更后],787)))</f>
        <v/>
      </c>
      <c r="CH986" t="str">
        <f>IF(787&gt;ROWS(DGArchive[事件／活动]),"",IF(INDEX(DGArchive[事件／活动],787)="","",INDEX(DGArchive[事件／活动],787)))</f>
        <v/>
      </c>
      <c r="CI986" t="str">
        <f>IF(787&gt;ROWS(DGArchive[记录编号]),"",IF(INDEX(DGArchive[记录编号],787)="","",INDEX(DGArchive[记录编号],787)))</f>
        <v/>
      </c>
      <c r="CL986">
        <f t="shared" si="374"/>
        <v>0</v>
      </c>
      <c r="CM986">
        <f>IF(AND(A986=$AO$5,B986=$AQ$3,H986=1),COUNTIFS($A$200:A986,$AO$5,$B$200:B986,$AQ$3,$H$200:H986,1),0)</f>
        <v>0</v>
      </c>
      <c r="CN986">
        <f>IF(CA986="",787,1001)</f>
        <v>787</v>
      </c>
      <c r="GA986">
        <f t="shared" si="394"/>
        <v>0</v>
      </c>
      <c r="GB986">
        <f t="shared" si="395"/>
        <v>0</v>
      </c>
      <c r="GC986">
        <f>IF(AND(C986="事件记录",H986=1),COUNTIFS($C$200:C986,"事件记录",$H$200:H986,1),0)</f>
        <v>0</v>
      </c>
      <c r="GD986">
        <f t="shared" si="375"/>
        <v>0</v>
      </c>
      <c r="GH986">
        <f>IF(AND(H986=1,A986=$GA$10,B986=$GA$11),COUNTIFS($A$200:A986,$GA$10,$B$200:B986,$GA$11,$H$200:H986,1),0)</f>
        <v>0</v>
      </c>
    </row>
    <row r="987" spans="1:190">
      <c r="A987" t="str">
        <f t="shared" si="366"/>
        <v/>
      </c>
      <c r="B987" t="str">
        <f t="shared" si="367"/>
        <v/>
      </c>
      <c r="C987" t="str">
        <f t="shared" si="368"/>
        <v/>
      </c>
      <c r="D987" t="str">
        <f t="shared" si="369"/>
        <v/>
      </c>
      <c r="E987">
        <f t="shared" si="370"/>
        <v>0</v>
      </c>
      <c r="F987" t="str">
        <f t="shared" si="371"/>
        <v/>
      </c>
      <c r="G987">
        <f t="shared" si="372"/>
        <v>0</v>
      </c>
      <c r="H987">
        <f>IF(AND(G987=1,COUNTIFS($I$200:I987,I987,$G$200:G987,1)=1),1,0)</f>
        <v>0</v>
      </c>
      <c r="I987" t="str">
        <f t="shared" si="373"/>
        <v/>
      </c>
      <c r="BF987">
        <f t="shared" si="376"/>
        <v>0</v>
      </c>
      <c r="BG987">
        <f t="shared" si="377"/>
        <v>0</v>
      </c>
      <c r="BH987">
        <f t="shared" si="378"/>
        <v>0</v>
      </c>
      <c r="BI987">
        <f t="shared" si="379"/>
        <v>0</v>
      </c>
      <c r="BJ987">
        <f t="shared" si="380"/>
        <v>0</v>
      </c>
      <c r="BK987">
        <f t="shared" si="381"/>
        <v>0</v>
      </c>
      <c r="BL987">
        <f t="shared" si="382"/>
        <v>0</v>
      </c>
      <c r="BM987">
        <f t="shared" si="383"/>
        <v>0</v>
      </c>
      <c r="BN987">
        <f t="shared" si="384"/>
        <v>0</v>
      </c>
      <c r="BO987">
        <f t="shared" si="385"/>
        <v>0</v>
      </c>
      <c r="BP987">
        <f t="shared" si="386"/>
        <v>0</v>
      </c>
      <c r="BQ987">
        <f t="shared" si="387"/>
        <v>0</v>
      </c>
      <c r="BR987">
        <f t="shared" si="388"/>
        <v>0</v>
      </c>
      <c r="BS987">
        <f t="shared" si="389"/>
        <v>0</v>
      </c>
      <c r="BT987">
        <f t="shared" si="390"/>
        <v>0</v>
      </c>
      <c r="BU987">
        <f t="shared" si="391"/>
        <v>0</v>
      </c>
      <c r="BV987">
        <f t="shared" si="392"/>
        <v>0</v>
      </c>
      <c r="BW987">
        <f t="shared" si="393"/>
        <v>0</v>
      </c>
      <c r="CA987" t="str">
        <f>IF(788&gt;ROWS(DGArchive[模组]),"",IF(INDEX(DGArchive[模组],788)="","",INDEX(DGArchive[模组],788)))</f>
        <v/>
      </c>
      <c r="CB987" t="str">
        <f>IF(788&gt;ROWS(DGArchive[阶段]),"",IF(INDEX(DGArchive[阶段],788)="","",INDEX(DGArchive[阶段],788)))</f>
        <v/>
      </c>
      <c r="CC987" t="str">
        <f>IF(788&gt;ROWS(DGArchive[游戏内日期]),"",IF(INDEX(DGArchive[游戏内日期],788)="","",INDEX(DGArchive[游戏内日期],788)))</f>
        <v/>
      </c>
      <c r="CD987" t="str">
        <f>IF(788&gt;ROWS(DGArchive[目标]),"",IF(INDEX(DGArchive[目标],788)="","",INDEX(DGArchive[目标],788)))</f>
        <v/>
      </c>
      <c r="CE987" t="str">
        <f>IF(788&gt;ROWS(DGArchive[变更前]),"",IF(INDEX(DGArchive[变更前],788)="","",INDEX(DGArchive[变更前],788)))</f>
        <v/>
      </c>
      <c r="CF987" t="str">
        <f>IF(788&gt;ROWS(DGArchive[增减]),"",IF(INDEX(DGArchive[增减],788)="","",INDEX(DGArchive[增减],788)))</f>
        <v/>
      </c>
      <c r="CG987" t="str">
        <f>IF(788&gt;ROWS(DGArchive[变更后]),"",IF(INDEX(DGArchive[变更后],788)="","",INDEX(DGArchive[变更后],788)))</f>
        <v/>
      </c>
      <c r="CH987" t="str">
        <f>IF(788&gt;ROWS(DGArchive[事件／活动]),"",IF(INDEX(DGArchive[事件／活动],788)="","",INDEX(DGArchive[事件／活动],788)))</f>
        <v/>
      </c>
      <c r="CI987" t="str">
        <f>IF(788&gt;ROWS(DGArchive[记录编号]),"",IF(INDEX(DGArchive[记录编号],788)="","",INDEX(DGArchive[记录编号],788)))</f>
        <v/>
      </c>
      <c r="CL987">
        <f t="shared" si="374"/>
        <v>0</v>
      </c>
      <c r="CM987">
        <f>IF(AND(A987=$AO$5,B987=$AQ$3,H987=1),COUNTIFS($A$200:A987,$AO$5,$B$200:B987,$AQ$3,$H$200:H987,1),0)</f>
        <v>0</v>
      </c>
      <c r="CN987">
        <f>IF(CA987="",788,1001)</f>
        <v>788</v>
      </c>
      <c r="GA987">
        <f t="shared" si="394"/>
        <v>0</v>
      </c>
      <c r="GB987">
        <f t="shared" si="395"/>
        <v>0</v>
      </c>
      <c r="GC987">
        <f>IF(AND(C987="事件记录",H987=1),COUNTIFS($C$200:C987,"事件记录",$H$200:H987,1),0)</f>
        <v>0</v>
      </c>
      <c r="GD987">
        <f t="shared" si="375"/>
        <v>0</v>
      </c>
      <c r="GH987">
        <f>IF(AND(H987=1,A987=$GA$10,B987=$GA$11),COUNTIFS($A$200:A987,$GA$10,$B$200:B987,$GA$11,$H$200:H987,1),0)</f>
        <v>0</v>
      </c>
    </row>
    <row r="988" spans="1:190">
      <c r="A988" t="str">
        <f t="shared" si="366"/>
        <v/>
      </c>
      <c r="B988" t="str">
        <f t="shared" si="367"/>
        <v/>
      </c>
      <c r="C988" t="str">
        <f t="shared" si="368"/>
        <v/>
      </c>
      <c r="D988" t="str">
        <f t="shared" si="369"/>
        <v/>
      </c>
      <c r="E988">
        <f t="shared" si="370"/>
        <v>0</v>
      </c>
      <c r="F988" t="str">
        <f t="shared" si="371"/>
        <v/>
      </c>
      <c r="G988">
        <f t="shared" si="372"/>
        <v>0</v>
      </c>
      <c r="H988">
        <f>IF(AND(G988=1,COUNTIFS($I$200:I988,I988,$G$200:G988,1)=1),1,0)</f>
        <v>0</v>
      </c>
      <c r="I988" t="str">
        <f t="shared" si="373"/>
        <v/>
      </c>
      <c r="BF988">
        <f t="shared" si="376"/>
        <v>0</v>
      </c>
      <c r="BG988">
        <f t="shared" si="377"/>
        <v>0</v>
      </c>
      <c r="BH988">
        <f t="shared" si="378"/>
        <v>0</v>
      </c>
      <c r="BI988">
        <f t="shared" si="379"/>
        <v>0</v>
      </c>
      <c r="BJ988">
        <f t="shared" si="380"/>
        <v>0</v>
      </c>
      <c r="BK988">
        <f t="shared" si="381"/>
        <v>0</v>
      </c>
      <c r="BL988">
        <f t="shared" si="382"/>
        <v>0</v>
      </c>
      <c r="BM988">
        <f t="shared" si="383"/>
        <v>0</v>
      </c>
      <c r="BN988">
        <f t="shared" si="384"/>
        <v>0</v>
      </c>
      <c r="BO988">
        <f t="shared" si="385"/>
        <v>0</v>
      </c>
      <c r="BP988">
        <f t="shared" si="386"/>
        <v>0</v>
      </c>
      <c r="BQ988">
        <f t="shared" si="387"/>
        <v>0</v>
      </c>
      <c r="BR988">
        <f t="shared" si="388"/>
        <v>0</v>
      </c>
      <c r="BS988">
        <f t="shared" si="389"/>
        <v>0</v>
      </c>
      <c r="BT988">
        <f t="shared" si="390"/>
        <v>0</v>
      </c>
      <c r="BU988">
        <f t="shared" si="391"/>
        <v>0</v>
      </c>
      <c r="BV988">
        <f t="shared" si="392"/>
        <v>0</v>
      </c>
      <c r="BW988">
        <f t="shared" si="393"/>
        <v>0</v>
      </c>
      <c r="CA988" t="str">
        <f>IF(789&gt;ROWS(DGArchive[模组]),"",IF(INDEX(DGArchive[模组],789)="","",INDEX(DGArchive[模组],789)))</f>
        <v/>
      </c>
      <c r="CB988" t="str">
        <f>IF(789&gt;ROWS(DGArchive[阶段]),"",IF(INDEX(DGArchive[阶段],789)="","",INDEX(DGArchive[阶段],789)))</f>
        <v/>
      </c>
      <c r="CC988" t="str">
        <f>IF(789&gt;ROWS(DGArchive[游戏内日期]),"",IF(INDEX(DGArchive[游戏内日期],789)="","",INDEX(DGArchive[游戏内日期],789)))</f>
        <v/>
      </c>
      <c r="CD988" t="str">
        <f>IF(789&gt;ROWS(DGArchive[目标]),"",IF(INDEX(DGArchive[目标],789)="","",INDEX(DGArchive[目标],789)))</f>
        <v/>
      </c>
      <c r="CE988" t="str">
        <f>IF(789&gt;ROWS(DGArchive[变更前]),"",IF(INDEX(DGArchive[变更前],789)="","",INDEX(DGArchive[变更前],789)))</f>
        <v/>
      </c>
      <c r="CF988" t="str">
        <f>IF(789&gt;ROWS(DGArchive[增减]),"",IF(INDEX(DGArchive[增减],789)="","",INDEX(DGArchive[增减],789)))</f>
        <v/>
      </c>
      <c r="CG988" t="str">
        <f>IF(789&gt;ROWS(DGArchive[变更后]),"",IF(INDEX(DGArchive[变更后],789)="","",INDEX(DGArchive[变更后],789)))</f>
        <v/>
      </c>
      <c r="CH988" t="str">
        <f>IF(789&gt;ROWS(DGArchive[事件／活动]),"",IF(INDEX(DGArchive[事件／活动],789)="","",INDEX(DGArchive[事件／活动],789)))</f>
        <v/>
      </c>
      <c r="CI988" t="str">
        <f>IF(789&gt;ROWS(DGArchive[记录编号]),"",IF(INDEX(DGArchive[记录编号],789)="","",INDEX(DGArchive[记录编号],789)))</f>
        <v/>
      </c>
      <c r="CL988">
        <f t="shared" si="374"/>
        <v>0</v>
      </c>
      <c r="CM988">
        <f>IF(AND(A988=$AO$5,B988=$AQ$3,H988=1),COUNTIFS($A$200:A988,$AO$5,$B$200:B988,$AQ$3,$H$200:H988,1),0)</f>
        <v>0</v>
      </c>
      <c r="CN988">
        <f>IF(CA988="",789,1001)</f>
        <v>789</v>
      </c>
      <c r="GA988">
        <f t="shared" si="394"/>
        <v>0</v>
      </c>
      <c r="GB988">
        <f t="shared" si="395"/>
        <v>0</v>
      </c>
      <c r="GC988">
        <f>IF(AND(C988="事件记录",H988=1),COUNTIFS($C$200:C988,"事件记录",$H$200:H988,1),0)</f>
        <v>0</v>
      </c>
      <c r="GD988">
        <f t="shared" si="375"/>
        <v>0</v>
      </c>
      <c r="GH988">
        <f>IF(AND(H988=1,A988=$GA$10,B988=$GA$11),COUNTIFS($A$200:A988,$GA$10,$B$200:B988,$GA$11,$H$200:H988,1),0)</f>
        <v>0</v>
      </c>
    </row>
    <row r="989" spans="1:190">
      <c r="A989" t="str">
        <f t="shared" si="366"/>
        <v/>
      </c>
      <c r="B989" t="str">
        <f t="shared" si="367"/>
        <v/>
      </c>
      <c r="C989" t="str">
        <f t="shared" si="368"/>
        <v/>
      </c>
      <c r="D989" t="str">
        <f t="shared" si="369"/>
        <v/>
      </c>
      <c r="E989">
        <f t="shared" si="370"/>
        <v>0</v>
      </c>
      <c r="F989" t="str">
        <f t="shared" si="371"/>
        <v/>
      </c>
      <c r="G989">
        <f t="shared" si="372"/>
        <v>0</v>
      </c>
      <c r="H989">
        <f>IF(AND(G989=1,COUNTIFS($I$200:I989,I989,$G$200:G989,1)=1),1,0)</f>
        <v>0</v>
      </c>
      <c r="I989" t="str">
        <f t="shared" si="373"/>
        <v/>
      </c>
      <c r="BF989">
        <f t="shared" si="376"/>
        <v>0</v>
      </c>
      <c r="BG989">
        <f t="shared" si="377"/>
        <v>0</v>
      </c>
      <c r="BH989">
        <f t="shared" si="378"/>
        <v>0</v>
      </c>
      <c r="BI989">
        <f t="shared" si="379"/>
        <v>0</v>
      </c>
      <c r="BJ989">
        <f t="shared" si="380"/>
        <v>0</v>
      </c>
      <c r="BK989">
        <f t="shared" si="381"/>
        <v>0</v>
      </c>
      <c r="BL989">
        <f t="shared" si="382"/>
        <v>0</v>
      </c>
      <c r="BM989">
        <f t="shared" si="383"/>
        <v>0</v>
      </c>
      <c r="BN989">
        <f t="shared" si="384"/>
        <v>0</v>
      </c>
      <c r="BO989">
        <f t="shared" si="385"/>
        <v>0</v>
      </c>
      <c r="BP989">
        <f t="shared" si="386"/>
        <v>0</v>
      </c>
      <c r="BQ989">
        <f t="shared" si="387"/>
        <v>0</v>
      </c>
      <c r="BR989">
        <f t="shared" si="388"/>
        <v>0</v>
      </c>
      <c r="BS989">
        <f t="shared" si="389"/>
        <v>0</v>
      </c>
      <c r="BT989">
        <f t="shared" si="390"/>
        <v>0</v>
      </c>
      <c r="BU989">
        <f t="shared" si="391"/>
        <v>0</v>
      </c>
      <c r="BV989">
        <f t="shared" si="392"/>
        <v>0</v>
      </c>
      <c r="BW989">
        <f t="shared" si="393"/>
        <v>0</v>
      </c>
      <c r="CA989" t="str">
        <f>IF(790&gt;ROWS(DGArchive[模组]),"",IF(INDEX(DGArchive[模组],790)="","",INDEX(DGArchive[模组],790)))</f>
        <v/>
      </c>
      <c r="CB989" t="str">
        <f>IF(790&gt;ROWS(DGArchive[阶段]),"",IF(INDEX(DGArchive[阶段],790)="","",INDEX(DGArchive[阶段],790)))</f>
        <v/>
      </c>
      <c r="CC989" t="str">
        <f>IF(790&gt;ROWS(DGArchive[游戏内日期]),"",IF(INDEX(DGArchive[游戏内日期],790)="","",INDEX(DGArchive[游戏内日期],790)))</f>
        <v/>
      </c>
      <c r="CD989" t="str">
        <f>IF(790&gt;ROWS(DGArchive[目标]),"",IF(INDEX(DGArchive[目标],790)="","",INDEX(DGArchive[目标],790)))</f>
        <v/>
      </c>
      <c r="CE989" t="str">
        <f>IF(790&gt;ROWS(DGArchive[变更前]),"",IF(INDEX(DGArchive[变更前],790)="","",INDEX(DGArchive[变更前],790)))</f>
        <v/>
      </c>
      <c r="CF989" t="str">
        <f>IF(790&gt;ROWS(DGArchive[增减]),"",IF(INDEX(DGArchive[增减],790)="","",INDEX(DGArchive[增减],790)))</f>
        <v/>
      </c>
      <c r="CG989" t="str">
        <f>IF(790&gt;ROWS(DGArchive[变更后]),"",IF(INDEX(DGArchive[变更后],790)="","",INDEX(DGArchive[变更后],790)))</f>
        <v/>
      </c>
      <c r="CH989" t="str">
        <f>IF(790&gt;ROWS(DGArchive[事件／活动]),"",IF(INDEX(DGArchive[事件／活动],790)="","",INDEX(DGArchive[事件／活动],790)))</f>
        <v/>
      </c>
      <c r="CI989" t="str">
        <f>IF(790&gt;ROWS(DGArchive[记录编号]),"",IF(INDEX(DGArchive[记录编号],790)="","",INDEX(DGArchive[记录编号],790)))</f>
        <v/>
      </c>
      <c r="CL989">
        <f t="shared" si="374"/>
        <v>0</v>
      </c>
      <c r="CM989">
        <f>IF(AND(A989=$AO$5,B989=$AQ$3,H989=1),COUNTIFS($A$200:A989,$AO$5,$B$200:B989,$AQ$3,$H$200:H989,1),0)</f>
        <v>0</v>
      </c>
      <c r="CN989">
        <f>IF(CA989="",790,1001)</f>
        <v>790</v>
      </c>
      <c r="GA989">
        <f t="shared" si="394"/>
        <v>0</v>
      </c>
      <c r="GB989">
        <f t="shared" si="395"/>
        <v>0</v>
      </c>
      <c r="GC989">
        <f>IF(AND(C989="事件记录",H989=1),COUNTIFS($C$200:C989,"事件记录",$H$200:H989,1),0)</f>
        <v>0</v>
      </c>
      <c r="GD989">
        <f t="shared" si="375"/>
        <v>0</v>
      </c>
      <c r="GH989">
        <f>IF(AND(H989=1,A989=$GA$10,B989=$GA$11),COUNTIFS($A$200:A989,$GA$10,$B$200:B989,$GA$11,$H$200:H989,1),0)</f>
        <v>0</v>
      </c>
    </row>
    <row r="990" spans="1:190">
      <c r="A990" t="str">
        <f t="shared" si="366"/>
        <v/>
      </c>
      <c r="B990" t="str">
        <f t="shared" si="367"/>
        <v/>
      </c>
      <c r="C990" t="str">
        <f t="shared" si="368"/>
        <v/>
      </c>
      <c r="D990" t="str">
        <f t="shared" si="369"/>
        <v/>
      </c>
      <c r="E990">
        <f t="shared" si="370"/>
        <v>0</v>
      </c>
      <c r="F990" t="str">
        <f t="shared" si="371"/>
        <v/>
      </c>
      <c r="G990">
        <f t="shared" si="372"/>
        <v>0</v>
      </c>
      <c r="H990">
        <f>IF(AND(G990=1,COUNTIFS($I$200:I990,I990,$G$200:G990,1)=1),1,0)</f>
        <v>0</v>
      </c>
      <c r="I990" t="str">
        <f t="shared" si="373"/>
        <v/>
      </c>
      <c r="BF990">
        <f t="shared" si="376"/>
        <v>0</v>
      </c>
      <c r="BG990">
        <f t="shared" si="377"/>
        <v>0</v>
      </c>
      <c r="BH990">
        <f t="shared" si="378"/>
        <v>0</v>
      </c>
      <c r="BI990">
        <f t="shared" si="379"/>
        <v>0</v>
      </c>
      <c r="BJ990">
        <f t="shared" si="380"/>
        <v>0</v>
      </c>
      <c r="BK990">
        <f t="shared" si="381"/>
        <v>0</v>
      </c>
      <c r="BL990">
        <f t="shared" si="382"/>
        <v>0</v>
      </c>
      <c r="BM990">
        <f t="shared" si="383"/>
        <v>0</v>
      </c>
      <c r="BN990">
        <f t="shared" si="384"/>
        <v>0</v>
      </c>
      <c r="BO990">
        <f t="shared" si="385"/>
        <v>0</v>
      </c>
      <c r="BP990">
        <f t="shared" si="386"/>
        <v>0</v>
      </c>
      <c r="BQ990">
        <f t="shared" si="387"/>
        <v>0</v>
      </c>
      <c r="BR990">
        <f t="shared" si="388"/>
        <v>0</v>
      </c>
      <c r="BS990">
        <f t="shared" si="389"/>
        <v>0</v>
      </c>
      <c r="BT990">
        <f t="shared" si="390"/>
        <v>0</v>
      </c>
      <c r="BU990">
        <f t="shared" si="391"/>
        <v>0</v>
      </c>
      <c r="BV990">
        <f t="shared" si="392"/>
        <v>0</v>
      </c>
      <c r="BW990">
        <f t="shared" si="393"/>
        <v>0</v>
      </c>
      <c r="CA990" t="str">
        <f>IF(791&gt;ROWS(DGArchive[模组]),"",IF(INDEX(DGArchive[模组],791)="","",INDEX(DGArchive[模组],791)))</f>
        <v/>
      </c>
      <c r="CB990" t="str">
        <f>IF(791&gt;ROWS(DGArchive[阶段]),"",IF(INDEX(DGArchive[阶段],791)="","",INDEX(DGArchive[阶段],791)))</f>
        <v/>
      </c>
      <c r="CC990" t="str">
        <f>IF(791&gt;ROWS(DGArchive[游戏内日期]),"",IF(INDEX(DGArchive[游戏内日期],791)="","",INDEX(DGArchive[游戏内日期],791)))</f>
        <v/>
      </c>
      <c r="CD990" t="str">
        <f>IF(791&gt;ROWS(DGArchive[目标]),"",IF(INDEX(DGArchive[目标],791)="","",INDEX(DGArchive[目标],791)))</f>
        <v/>
      </c>
      <c r="CE990" t="str">
        <f>IF(791&gt;ROWS(DGArchive[变更前]),"",IF(INDEX(DGArchive[变更前],791)="","",INDEX(DGArchive[变更前],791)))</f>
        <v/>
      </c>
      <c r="CF990" t="str">
        <f>IF(791&gt;ROWS(DGArchive[增减]),"",IF(INDEX(DGArchive[增减],791)="","",INDEX(DGArchive[增减],791)))</f>
        <v/>
      </c>
      <c r="CG990" t="str">
        <f>IF(791&gt;ROWS(DGArchive[变更后]),"",IF(INDEX(DGArchive[变更后],791)="","",INDEX(DGArchive[变更后],791)))</f>
        <v/>
      </c>
      <c r="CH990" t="str">
        <f>IF(791&gt;ROWS(DGArchive[事件／活动]),"",IF(INDEX(DGArchive[事件／活动],791)="","",INDEX(DGArchive[事件／活动],791)))</f>
        <v/>
      </c>
      <c r="CI990" t="str">
        <f>IF(791&gt;ROWS(DGArchive[记录编号]),"",IF(INDEX(DGArchive[记录编号],791)="","",INDEX(DGArchive[记录编号],791)))</f>
        <v/>
      </c>
      <c r="CL990">
        <f t="shared" si="374"/>
        <v>0</v>
      </c>
      <c r="CM990">
        <f>IF(AND(A990=$AO$5,B990=$AQ$3,H990=1),COUNTIFS($A$200:A990,$AO$5,$B$200:B990,$AQ$3,$H$200:H990,1),0)</f>
        <v>0</v>
      </c>
      <c r="CN990">
        <f>IF(CA990="",791,1001)</f>
        <v>791</v>
      </c>
      <c r="GA990">
        <f t="shared" si="394"/>
        <v>0</v>
      </c>
      <c r="GB990">
        <f t="shared" si="395"/>
        <v>0</v>
      </c>
      <c r="GC990">
        <f>IF(AND(C990="事件记录",H990=1),COUNTIFS($C$200:C990,"事件记录",$H$200:H990,1),0)</f>
        <v>0</v>
      </c>
      <c r="GD990">
        <f t="shared" si="375"/>
        <v>0</v>
      </c>
      <c r="GH990">
        <f>IF(AND(H990=1,A990=$GA$10,B990=$GA$11),COUNTIFS($A$200:A990,$GA$10,$B$200:B990,$GA$11,$H$200:H990,1),0)</f>
        <v>0</v>
      </c>
    </row>
    <row r="991" spans="1:190">
      <c r="A991" t="str">
        <f t="shared" si="366"/>
        <v/>
      </c>
      <c r="B991" t="str">
        <f t="shared" si="367"/>
        <v/>
      </c>
      <c r="C991" t="str">
        <f t="shared" si="368"/>
        <v/>
      </c>
      <c r="D991" t="str">
        <f t="shared" si="369"/>
        <v/>
      </c>
      <c r="E991">
        <f t="shared" si="370"/>
        <v>0</v>
      </c>
      <c r="F991" t="str">
        <f t="shared" si="371"/>
        <v/>
      </c>
      <c r="G991">
        <f t="shared" si="372"/>
        <v>0</v>
      </c>
      <c r="H991">
        <f>IF(AND(G991=1,COUNTIFS($I$200:I991,I991,$G$200:G991,1)=1),1,0)</f>
        <v>0</v>
      </c>
      <c r="I991" t="str">
        <f t="shared" si="373"/>
        <v/>
      </c>
      <c r="BF991">
        <f t="shared" si="376"/>
        <v>0</v>
      </c>
      <c r="BG991">
        <f t="shared" si="377"/>
        <v>0</v>
      </c>
      <c r="BH991">
        <f t="shared" si="378"/>
        <v>0</v>
      </c>
      <c r="BI991">
        <f t="shared" si="379"/>
        <v>0</v>
      </c>
      <c r="BJ991">
        <f t="shared" si="380"/>
        <v>0</v>
      </c>
      <c r="BK991">
        <f t="shared" si="381"/>
        <v>0</v>
      </c>
      <c r="BL991">
        <f t="shared" si="382"/>
        <v>0</v>
      </c>
      <c r="BM991">
        <f t="shared" si="383"/>
        <v>0</v>
      </c>
      <c r="BN991">
        <f t="shared" si="384"/>
        <v>0</v>
      </c>
      <c r="BO991">
        <f t="shared" si="385"/>
        <v>0</v>
      </c>
      <c r="BP991">
        <f t="shared" si="386"/>
        <v>0</v>
      </c>
      <c r="BQ991">
        <f t="shared" si="387"/>
        <v>0</v>
      </c>
      <c r="BR991">
        <f t="shared" si="388"/>
        <v>0</v>
      </c>
      <c r="BS991">
        <f t="shared" si="389"/>
        <v>0</v>
      </c>
      <c r="BT991">
        <f t="shared" si="390"/>
        <v>0</v>
      </c>
      <c r="BU991">
        <f t="shared" si="391"/>
        <v>0</v>
      </c>
      <c r="BV991">
        <f t="shared" si="392"/>
        <v>0</v>
      </c>
      <c r="BW991">
        <f t="shared" si="393"/>
        <v>0</v>
      </c>
      <c r="CA991" t="str">
        <f>IF(792&gt;ROWS(DGArchive[模组]),"",IF(INDEX(DGArchive[模组],792)="","",INDEX(DGArchive[模组],792)))</f>
        <v/>
      </c>
      <c r="CB991" t="str">
        <f>IF(792&gt;ROWS(DGArchive[阶段]),"",IF(INDEX(DGArchive[阶段],792)="","",INDEX(DGArchive[阶段],792)))</f>
        <v/>
      </c>
      <c r="CC991" t="str">
        <f>IF(792&gt;ROWS(DGArchive[游戏内日期]),"",IF(INDEX(DGArchive[游戏内日期],792)="","",INDEX(DGArchive[游戏内日期],792)))</f>
        <v/>
      </c>
      <c r="CD991" t="str">
        <f>IF(792&gt;ROWS(DGArchive[目标]),"",IF(INDEX(DGArchive[目标],792)="","",INDEX(DGArchive[目标],792)))</f>
        <v/>
      </c>
      <c r="CE991" t="str">
        <f>IF(792&gt;ROWS(DGArchive[变更前]),"",IF(INDEX(DGArchive[变更前],792)="","",INDEX(DGArchive[变更前],792)))</f>
        <v/>
      </c>
      <c r="CF991" t="str">
        <f>IF(792&gt;ROWS(DGArchive[增减]),"",IF(INDEX(DGArchive[增减],792)="","",INDEX(DGArchive[增减],792)))</f>
        <v/>
      </c>
      <c r="CG991" t="str">
        <f>IF(792&gt;ROWS(DGArchive[变更后]),"",IF(INDEX(DGArchive[变更后],792)="","",INDEX(DGArchive[变更后],792)))</f>
        <v/>
      </c>
      <c r="CH991" t="str">
        <f>IF(792&gt;ROWS(DGArchive[事件／活动]),"",IF(INDEX(DGArchive[事件／活动],792)="","",INDEX(DGArchive[事件／活动],792)))</f>
        <v/>
      </c>
      <c r="CI991" t="str">
        <f>IF(792&gt;ROWS(DGArchive[记录编号]),"",IF(INDEX(DGArchive[记录编号],792)="","",INDEX(DGArchive[记录编号],792)))</f>
        <v/>
      </c>
      <c r="CL991">
        <f t="shared" si="374"/>
        <v>0</v>
      </c>
      <c r="CM991">
        <f>IF(AND(A991=$AO$5,B991=$AQ$3,H991=1),COUNTIFS($A$200:A991,$AO$5,$B$200:B991,$AQ$3,$H$200:H991,1),0)</f>
        <v>0</v>
      </c>
      <c r="CN991">
        <f>IF(CA991="",792,1001)</f>
        <v>792</v>
      </c>
      <c r="GA991">
        <f t="shared" si="394"/>
        <v>0</v>
      </c>
      <c r="GB991">
        <f t="shared" si="395"/>
        <v>0</v>
      </c>
      <c r="GC991">
        <f>IF(AND(C991="事件记录",H991=1),COUNTIFS($C$200:C991,"事件记录",$H$200:H991,1),0)</f>
        <v>0</v>
      </c>
      <c r="GD991">
        <f t="shared" si="375"/>
        <v>0</v>
      </c>
      <c r="GH991">
        <f>IF(AND(H991=1,A991=$GA$10,B991=$GA$11),COUNTIFS($A$200:A991,$GA$10,$B$200:B991,$GA$11,$H$200:H991,1),0)</f>
        <v>0</v>
      </c>
    </row>
    <row r="992" spans="1:190">
      <c r="A992" t="str">
        <f t="shared" si="366"/>
        <v/>
      </c>
      <c r="B992" t="str">
        <f t="shared" si="367"/>
        <v/>
      </c>
      <c r="C992" t="str">
        <f t="shared" si="368"/>
        <v/>
      </c>
      <c r="D992" t="str">
        <f t="shared" si="369"/>
        <v/>
      </c>
      <c r="E992">
        <f t="shared" si="370"/>
        <v>0</v>
      </c>
      <c r="F992" t="str">
        <f t="shared" si="371"/>
        <v/>
      </c>
      <c r="G992">
        <f t="shared" si="372"/>
        <v>0</v>
      </c>
      <c r="H992">
        <f>IF(AND(G992=1,COUNTIFS($I$200:I992,I992,$G$200:G992,1)=1),1,0)</f>
        <v>0</v>
      </c>
      <c r="I992" t="str">
        <f t="shared" si="373"/>
        <v/>
      </c>
      <c r="BF992">
        <f t="shared" si="376"/>
        <v>0</v>
      </c>
      <c r="BG992">
        <f t="shared" si="377"/>
        <v>0</v>
      </c>
      <c r="BH992">
        <f t="shared" si="378"/>
        <v>0</v>
      </c>
      <c r="BI992">
        <f t="shared" si="379"/>
        <v>0</v>
      </c>
      <c r="BJ992">
        <f t="shared" si="380"/>
        <v>0</v>
      </c>
      <c r="BK992">
        <f t="shared" si="381"/>
        <v>0</v>
      </c>
      <c r="BL992">
        <f t="shared" si="382"/>
        <v>0</v>
      </c>
      <c r="BM992">
        <f t="shared" si="383"/>
        <v>0</v>
      </c>
      <c r="BN992">
        <f t="shared" si="384"/>
        <v>0</v>
      </c>
      <c r="BO992">
        <f t="shared" si="385"/>
        <v>0</v>
      </c>
      <c r="BP992">
        <f t="shared" si="386"/>
        <v>0</v>
      </c>
      <c r="BQ992">
        <f t="shared" si="387"/>
        <v>0</v>
      </c>
      <c r="BR992">
        <f t="shared" si="388"/>
        <v>0</v>
      </c>
      <c r="BS992">
        <f t="shared" si="389"/>
        <v>0</v>
      </c>
      <c r="BT992">
        <f t="shared" si="390"/>
        <v>0</v>
      </c>
      <c r="BU992">
        <f t="shared" si="391"/>
        <v>0</v>
      </c>
      <c r="BV992">
        <f t="shared" si="392"/>
        <v>0</v>
      </c>
      <c r="BW992">
        <f t="shared" si="393"/>
        <v>0</v>
      </c>
      <c r="CA992" t="str">
        <f>IF(793&gt;ROWS(DGArchive[模组]),"",IF(INDEX(DGArchive[模组],793)="","",INDEX(DGArchive[模组],793)))</f>
        <v/>
      </c>
      <c r="CB992" t="str">
        <f>IF(793&gt;ROWS(DGArchive[阶段]),"",IF(INDEX(DGArchive[阶段],793)="","",INDEX(DGArchive[阶段],793)))</f>
        <v/>
      </c>
      <c r="CC992" t="str">
        <f>IF(793&gt;ROWS(DGArchive[游戏内日期]),"",IF(INDEX(DGArchive[游戏内日期],793)="","",INDEX(DGArchive[游戏内日期],793)))</f>
        <v/>
      </c>
      <c r="CD992" t="str">
        <f>IF(793&gt;ROWS(DGArchive[目标]),"",IF(INDEX(DGArchive[目标],793)="","",INDEX(DGArchive[目标],793)))</f>
        <v/>
      </c>
      <c r="CE992" t="str">
        <f>IF(793&gt;ROWS(DGArchive[变更前]),"",IF(INDEX(DGArchive[变更前],793)="","",INDEX(DGArchive[变更前],793)))</f>
        <v/>
      </c>
      <c r="CF992" t="str">
        <f>IF(793&gt;ROWS(DGArchive[增减]),"",IF(INDEX(DGArchive[增减],793)="","",INDEX(DGArchive[增减],793)))</f>
        <v/>
      </c>
      <c r="CG992" t="str">
        <f>IF(793&gt;ROWS(DGArchive[变更后]),"",IF(INDEX(DGArchive[变更后],793)="","",INDEX(DGArchive[变更后],793)))</f>
        <v/>
      </c>
      <c r="CH992" t="str">
        <f>IF(793&gt;ROWS(DGArchive[事件／活动]),"",IF(INDEX(DGArchive[事件／活动],793)="","",INDEX(DGArchive[事件／活动],793)))</f>
        <v/>
      </c>
      <c r="CI992" t="str">
        <f>IF(793&gt;ROWS(DGArchive[记录编号]),"",IF(INDEX(DGArchive[记录编号],793)="","",INDEX(DGArchive[记录编号],793)))</f>
        <v/>
      </c>
      <c r="CL992">
        <f t="shared" si="374"/>
        <v>0</v>
      </c>
      <c r="CM992">
        <f>IF(AND(A992=$AO$5,B992=$AQ$3,H992=1),COUNTIFS($A$200:A992,$AO$5,$B$200:B992,$AQ$3,$H$200:H992,1),0)</f>
        <v>0</v>
      </c>
      <c r="CN992">
        <f>IF(CA992="",793,1001)</f>
        <v>793</v>
      </c>
      <c r="GA992">
        <f t="shared" si="394"/>
        <v>0</v>
      </c>
      <c r="GB992">
        <f t="shared" si="395"/>
        <v>0</v>
      </c>
      <c r="GC992">
        <f>IF(AND(C992="事件记录",H992=1),COUNTIFS($C$200:C992,"事件记录",$H$200:H992,1),0)</f>
        <v>0</v>
      </c>
      <c r="GD992">
        <f t="shared" si="375"/>
        <v>0</v>
      </c>
      <c r="GH992">
        <f>IF(AND(H992=1,A992=$GA$10,B992=$GA$11),COUNTIFS($A$200:A992,$GA$10,$B$200:B992,$GA$11,$H$200:H992,1),0)</f>
        <v>0</v>
      </c>
    </row>
    <row r="993" spans="1:190">
      <c r="A993" t="str">
        <f t="shared" si="366"/>
        <v/>
      </c>
      <c r="B993" t="str">
        <f t="shared" si="367"/>
        <v/>
      </c>
      <c r="C993" t="str">
        <f t="shared" si="368"/>
        <v/>
      </c>
      <c r="D993" t="str">
        <f t="shared" si="369"/>
        <v/>
      </c>
      <c r="E993">
        <f t="shared" si="370"/>
        <v>0</v>
      </c>
      <c r="F993" t="str">
        <f t="shared" si="371"/>
        <v/>
      </c>
      <c r="G993">
        <f t="shared" si="372"/>
        <v>0</v>
      </c>
      <c r="H993">
        <f>IF(AND(G993=1,COUNTIFS($I$200:I993,I993,$G$200:G993,1)=1),1,0)</f>
        <v>0</v>
      </c>
      <c r="I993" t="str">
        <f t="shared" si="373"/>
        <v/>
      </c>
      <c r="BF993">
        <f t="shared" si="376"/>
        <v>0</v>
      </c>
      <c r="BG993">
        <f t="shared" si="377"/>
        <v>0</v>
      </c>
      <c r="BH993">
        <f t="shared" si="378"/>
        <v>0</v>
      </c>
      <c r="BI993">
        <f t="shared" si="379"/>
        <v>0</v>
      </c>
      <c r="BJ993">
        <f t="shared" si="380"/>
        <v>0</v>
      </c>
      <c r="BK993">
        <f t="shared" si="381"/>
        <v>0</v>
      </c>
      <c r="BL993">
        <f t="shared" si="382"/>
        <v>0</v>
      </c>
      <c r="BM993">
        <f t="shared" si="383"/>
        <v>0</v>
      </c>
      <c r="BN993">
        <f t="shared" si="384"/>
        <v>0</v>
      </c>
      <c r="BO993">
        <f t="shared" si="385"/>
        <v>0</v>
      </c>
      <c r="BP993">
        <f t="shared" si="386"/>
        <v>0</v>
      </c>
      <c r="BQ993">
        <f t="shared" si="387"/>
        <v>0</v>
      </c>
      <c r="BR993">
        <f t="shared" si="388"/>
        <v>0</v>
      </c>
      <c r="BS993">
        <f t="shared" si="389"/>
        <v>0</v>
      </c>
      <c r="BT993">
        <f t="shared" si="390"/>
        <v>0</v>
      </c>
      <c r="BU993">
        <f t="shared" si="391"/>
        <v>0</v>
      </c>
      <c r="BV993">
        <f t="shared" si="392"/>
        <v>0</v>
      </c>
      <c r="BW993">
        <f t="shared" si="393"/>
        <v>0</v>
      </c>
      <c r="CA993" t="str">
        <f>IF(794&gt;ROWS(DGArchive[模组]),"",IF(INDEX(DGArchive[模组],794)="","",INDEX(DGArchive[模组],794)))</f>
        <v/>
      </c>
      <c r="CB993" t="str">
        <f>IF(794&gt;ROWS(DGArchive[阶段]),"",IF(INDEX(DGArchive[阶段],794)="","",INDEX(DGArchive[阶段],794)))</f>
        <v/>
      </c>
      <c r="CC993" t="str">
        <f>IF(794&gt;ROWS(DGArchive[游戏内日期]),"",IF(INDEX(DGArchive[游戏内日期],794)="","",INDEX(DGArchive[游戏内日期],794)))</f>
        <v/>
      </c>
      <c r="CD993" t="str">
        <f>IF(794&gt;ROWS(DGArchive[目标]),"",IF(INDEX(DGArchive[目标],794)="","",INDEX(DGArchive[目标],794)))</f>
        <v/>
      </c>
      <c r="CE993" t="str">
        <f>IF(794&gt;ROWS(DGArchive[变更前]),"",IF(INDEX(DGArchive[变更前],794)="","",INDEX(DGArchive[变更前],794)))</f>
        <v/>
      </c>
      <c r="CF993" t="str">
        <f>IF(794&gt;ROWS(DGArchive[增减]),"",IF(INDEX(DGArchive[增减],794)="","",INDEX(DGArchive[增减],794)))</f>
        <v/>
      </c>
      <c r="CG993" t="str">
        <f>IF(794&gt;ROWS(DGArchive[变更后]),"",IF(INDEX(DGArchive[变更后],794)="","",INDEX(DGArchive[变更后],794)))</f>
        <v/>
      </c>
      <c r="CH993" t="str">
        <f>IF(794&gt;ROWS(DGArchive[事件／活动]),"",IF(INDEX(DGArchive[事件／活动],794)="","",INDEX(DGArchive[事件／活动],794)))</f>
        <v/>
      </c>
      <c r="CI993" t="str">
        <f>IF(794&gt;ROWS(DGArchive[记录编号]),"",IF(INDEX(DGArchive[记录编号],794)="","",INDEX(DGArchive[记录编号],794)))</f>
        <v/>
      </c>
      <c r="CL993">
        <f t="shared" si="374"/>
        <v>0</v>
      </c>
      <c r="CM993">
        <f>IF(AND(A993=$AO$5,B993=$AQ$3,H993=1),COUNTIFS($A$200:A993,$AO$5,$B$200:B993,$AQ$3,$H$200:H993,1),0)</f>
        <v>0</v>
      </c>
      <c r="CN993">
        <f>IF(CA993="",794,1001)</f>
        <v>794</v>
      </c>
      <c r="GA993">
        <f t="shared" si="394"/>
        <v>0</v>
      </c>
      <c r="GB993">
        <f t="shared" si="395"/>
        <v>0</v>
      </c>
      <c r="GC993">
        <f>IF(AND(C993="事件记录",H993=1),COUNTIFS($C$200:C993,"事件记录",$H$200:H993,1),0)</f>
        <v>0</v>
      </c>
      <c r="GD993">
        <f t="shared" si="375"/>
        <v>0</v>
      </c>
      <c r="GH993">
        <f>IF(AND(H993=1,A993=$GA$10,B993=$GA$11),COUNTIFS($A$200:A993,$GA$10,$B$200:B993,$GA$11,$H$200:H993,1),0)</f>
        <v>0</v>
      </c>
    </row>
    <row r="994" spans="1:190">
      <c r="A994" t="str">
        <f t="shared" si="366"/>
        <v/>
      </c>
      <c r="B994" t="str">
        <f t="shared" si="367"/>
        <v/>
      </c>
      <c r="C994" t="str">
        <f t="shared" si="368"/>
        <v/>
      </c>
      <c r="D994" t="str">
        <f t="shared" si="369"/>
        <v/>
      </c>
      <c r="E994">
        <f t="shared" si="370"/>
        <v>0</v>
      </c>
      <c r="F994" t="str">
        <f t="shared" si="371"/>
        <v/>
      </c>
      <c r="G994">
        <f t="shared" si="372"/>
        <v>0</v>
      </c>
      <c r="H994">
        <f>IF(AND(G994=1,COUNTIFS($I$200:I994,I994,$G$200:G994,1)=1),1,0)</f>
        <v>0</v>
      </c>
      <c r="I994" t="str">
        <f t="shared" si="373"/>
        <v/>
      </c>
      <c r="BF994">
        <f t="shared" si="376"/>
        <v>0</v>
      </c>
      <c r="BG994">
        <f t="shared" si="377"/>
        <v>0</v>
      </c>
      <c r="BH994">
        <f t="shared" si="378"/>
        <v>0</v>
      </c>
      <c r="BI994">
        <f t="shared" si="379"/>
        <v>0</v>
      </c>
      <c r="BJ994">
        <f t="shared" si="380"/>
        <v>0</v>
      </c>
      <c r="BK994">
        <f t="shared" si="381"/>
        <v>0</v>
      </c>
      <c r="BL994">
        <f t="shared" si="382"/>
        <v>0</v>
      </c>
      <c r="BM994">
        <f t="shared" si="383"/>
        <v>0</v>
      </c>
      <c r="BN994">
        <f t="shared" si="384"/>
        <v>0</v>
      </c>
      <c r="BO994">
        <f t="shared" si="385"/>
        <v>0</v>
      </c>
      <c r="BP994">
        <f t="shared" si="386"/>
        <v>0</v>
      </c>
      <c r="BQ994">
        <f t="shared" si="387"/>
        <v>0</v>
      </c>
      <c r="BR994">
        <f t="shared" si="388"/>
        <v>0</v>
      </c>
      <c r="BS994">
        <f t="shared" si="389"/>
        <v>0</v>
      </c>
      <c r="BT994">
        <f t="shared" si="390"/>
        <v>0</v>
      </c>
      <c r="BU994">
        <f t="shared" si="391"/>
        <v>0</v>
      </c>
      <c r="BV994">
        <f t="shared" si="392"/>
        <v>0</v>
      </c>
      <c r="BW994">
        <f t="shared" si="393"/>
        <v>0</v>
      </c>
      <c r="CA994" t="str">
        <f>IF(795&gt;ROWS(DGArchive[模组]),"",IF(INDEX(DGArchive[模组],795)="","",INDEX(DGArchive[模组],795)))</f>
        <v/>
      </c>
      <c r="CB994" t="str">
        <f>IF(795&gt;ROWS(DGArchive[阶段]),"",IF(INDEX(DGArchive[阶段],795)="","",INDEX(DGArchive[阶段],795)))</f>
        <v/>
      </c>
      <c r="CC994" t="str">
        <f>IF(795&gt;ROWS(DGArchive[游戏内日期]),"",IF(INDEX(DGArchive[游戏内日期],795)="","",INDEX(DGArchive[游戏内日期],795)))</f>
        <v/>
      </c>
      <c r="CD994" t="str">
        <f>IF(795&gt;ROWS(DGArchive[目标]),"",IF(INDEX(DGArchive[目标],795)="","",INDEX(DGArchive[目标],795)))</f>
        <v/>
      </c>
      <c r="CE994" t="str">
        <f>IF(795&gt;ROWS(DGArchive[变更前]),"",IF(INDEX(DGArchive[变更前],795)="","",INDEX(DGArchive[变更前],795)))</f>
        <v/>
      </c>
      <c r="CF994" t="str">
        <f>IF(795&gt;ROWS(DGArchive[增减]),"",IF(INDEX(DGArchive[增减],795)="","",INDEX(DGArchive[增减],795)))</f>
        <v/>
      </c>
      <c r="CG994" t="str">
        <f>IF(795&gt;ROWS(DGArchive[变更后]),"",IF(INDEX(DGArchive[变更后],795)="","",INDEX(DGArchive[变更后],795)))</f>
        <v/>
      </c>
      <c r="CH994" t="str">
        <f>IF(795&gt;ROWS(DGArchive[事件／活动]),"",IF(INDEX(DGArchive[事件／活动],795)="","",INDEX(DGArchive[事件／活动],795)))</f>
        <v/>
      </c>
      <c r="CI994" t="str">
        <f>IF(795&gt;ROWS(DGArchive[记录编号]),"",IF(INDEX(DGArchive[记录编号],795)="","",INDEX(DGArchive[记录编号],795)))</f>
        <v/>
      </c>
      <c r="CL994">
        <f t="shared" si="374"/>
        <v>0</v>
      </c>
      <c r="CM994">
        <f>IF(AND(A994=$AO$5,B994=$AQ$3,H994=1),COUNTIFS($A$200:A994,$AO$5,$B$200:B994,$AQ$3,$H$200:H994,1),0)</f>
        <v>0</v>
      </c>
      <c r="CN994">
        <f>IF(CA994="",795,1001)</f>
        <v>795</v>
      </c>
      <c r="GA994">
        <f t="shared" si="394"/>
        <v>0</v>
      </c>
      <c r="GB994">
        <f t="shared" si="395"/>
        <v>0</v>
      </c>
      <c r="GC994">
        <f>IF(AND(C994="事件记录",H994=1),COUNTIFS($C$200:C994,"事件记录",$H$200:H994,1),0)</f>
        <v>0</v>
      </c>
      <c r="GD994">
        <f t="shared" si="375"/>
        <v>0</v>
      </c>
      <c r="GH994">
        <f>IF(AND(H994=1,A994=$GA$10,B994=$GA$11),COUNTIFS($A$200:A994,$GA$10,$B$200:B994,$GA$11,$H$200:H994,1),0)</f>
        <v>0</v>
      </c>
    </row>
    <row r="995" spans="1:190">
      <c r="A995" t="str">
        <f t="shared" si="366"/>
        <v/>
      </c>
      <c r="B995" t="str">
        <f t="shared" si="367"/>
        <v/>
      </c>
      <c r="C995" t="str">
        <f t="shared" si="368"/>
        <v/>
      </c>
      <c r="D995" t="str">
        <f t="shared" si="369"/>
        <v/>
      </c>
      <c r="E995">
        <f t="shared" si="370"/>
        <v>0</v>
      </c>
      <c r="F995" t="str">
        <f t="shared" si="371"/>
        <v/>
      </c>
      <c r="G995">
        <f t="shared" si="372"/>
        <v>0</v>
      </c>
      <c r="H995">
        <f>IF(AND(G995=1,COUNTIFS($I$200:I995,I995,$G$200:G995,1)=1),1,0)</f>
        <v>0</v>
      </c>
      <c r="I995" t="str">
        <f t="shared" si="373"/>
        <v/>
      </c>
      <c r="BF995">
        <f t="shared" si="376"/>
        <v>0</v>
      </c>
      <c r="BG995">
        <f t="shared" si="377"/>
        <v>0</v>
      </c>
      <c r="BH995">
        <f t="shared" si="378"/>
        <v>0</v>
      </c>
      <c r="BI995">
        <f t="shared" si="379"/>
        <v>0</v>
      </c>
      <c r="BJ995">
        <f t="shared" si="380"/>
        <v>0</v>
      </c>
      <c r="BK995">
        <f t="shared" si="381"/>
        <v>0</v>
      </c>
      <c r="BL995">
        <f t="shared" si="382"/>
        <v>0</v>
      </c>
      <c r="BM995">
        <f t="shared" si="383"/>
        <v>0</v>
      </c>
      <c r="BN995">
        <f t="shared" si="384"/>
        <v>0</v>
      </c>
      <c r="BO995">
        <f t="shared" si="385"/>
        <v>0</v>
      </c>
      <c r="BP995">
        <f t="shared" si="386"/>
        <v>0</v>
      </c>
      <c r="BQ995">
        <f t="shared" si="387"/>
        <v>0</v>
      </c>
      <c r="BR995">
        <f t="shared" si="388"/>
        <v>0</v>
      </c>
      <c r="BS995">
        <f t="shared" si="389"/>
        <v>0</v>
      </c>
      <c r="BT995">
        <f t="shared" si="390"/>
        <v>0</v>
      </c>
      <c r="BU995">
        <f t="shared" si="391"/>
        <v>0</v>
      </c>
      <c r="BV995">
        <f t="shared" si="392"/>
        <v>0</v>
      </c>
      <c r="BW995">
        <f t="shared" si="393"/>
        <v>0</v>
      </c>
      <c r="CA995" t="str">
        <f>IF(796&gt;ROWS(DGArchive[模组]),"",IF(INDEX(DGArchive[模组],796)="","",INDEX(DGArchive[模组],796)))</f>
        <v/>
      </c>
      <c r="CB995" t="str">
        <f>IF(796&gt;ROWS(DGArchive[阶段]),"",IF(INDEX(DGArchive[阶段],796)="","",INDEX(DGArchive[阶段],796)))</f>
        <v/>
      </c>
      <c r="CC995" t="str">
        <f>IF(796&gt;ROWS(DGArchive[游戏内日期]),"",IF(INDEX(DGArchive[游戏内日期],796)="","",INDEX(DGArchive[游戏内日期],796)))</f>
        <v/>
      </c>
      <c r="CD995" t="str">
        <f>IF(796&gt;ROWS(DGArchive[目标]),"",IF(INDEX(DGArchive[目标],796)="","",INDEX(DGArchive[目标],796)))</f>
        <v/>
      </c>
      <c r="CE995" t="str">
        <f>IF(796&gt;ROWS(DGArchive[变更前]),"",IF(INDEX(DGArchive[变更前],796)="","",INDEX(DGArchive[变更前],796)))</f>
        <v/>
      </c>
      <c r="CF995" t="str">
        <f>IF(796&gt;ROWS(DGArchive[增减]),"",IF(INDEX(DGArchive[增减],796)="","",INDEX(DGArchive[增减],796)))</f>
        <v/>
      </c>
      <c r="CG995" t="str">
        <f>IF(796&gt;ROWS(DGArchive[变更后]),"",IF(INDEX(DGArchive[变更后],796)="","",INDEX(DGArchive[变更后],796)))</f>
        <v/>
      </c>
      <c r="CH995" t="str">
        <f>IF(796&gt;ROWS(DGArchive[事件／活动]),"",IF(INDEX(DGArchive[事件／活动],796)="","",INDEX(DGArchive[事件／活动],796)))</f>
        <v/>
      </c>
      <c r="CI995" t="str">
        <f>IF(796&gt;ROWS(DGArchive[记录编号]),"",IF(INDEX(DGArchive[记录编号],796)="","",INDEX(DGArchive[记录编号],796)))</f>
        <v/>
      </c>
      <c r="CL995">
        <f t="shared" si="374"/>
        <v>0</v>
      </c>
      <c r="CM995">
        <f>IF(AND(A995=$AO$5,B995=$AQ$3,H995=1),COUNTIFS($A$200:A995,$AO$5,$B$200:B995,$AQ$3,$H$200:H995,1),0)</f>
        <v>0</v>
      </c>
      <c r="CN995">
        <f>IF(CA995="",796,1001)</f>
        <v>796</v>
      </c>
      <c r="GA995">
        <f t="shared" si="394"/>
        <v>0</v>
      </c>
      <c r="GB995">
        <f t="shared" si="395"/>
        <v>0</v>
      </c>
      <c r="GC995">
        <f>IF(AND(C995="事件记录",H995=1),COUNTIFS($C$200:C995,"事件记录",$H$200:H995,1),0)</f>
        <v>0</v>
      </c>
      <c r="GD995">
        <f t="shared" si="375"/>
        <v>0</v>
      </c>
      <c r="GH995">
        <f>IF(AND(H995=1,A995=$GA$10,B995=$GA$11),COUNTIFS($A$200:A995,$GA$10,$B$200:B995,$GA$11,$H$200:H995,1),0)</f>
        <v>0</v>
      </c>
    </row>
    <row r="996" spans="1:190">
      <c r="A996" t="str">
        <f t="shared" si="366"/>
        <v/>
      </c>
      <c r="B996" t="str">
        <f t="shared" si="367"/>
        <v/>
      </c>
      <c r="C996" t="str">
        <f t="shared" si="368"/>
        <v/>
      </c>
      <c r="D996" t="str">
        <f t="shared" si="369"/>
        <v/>
      </c>
      <c r="E996">
        <f t="shared" si="370"/>
        <v>0</v>
      </c>
      <c r="F996" t="str">
        <f t="shared" si="371"/>
        <v/>
      </c>
      <c r="G996">
        <f t="shared" si="372"/>
        <v>0</v>
      </c>
      <c r="H996">
        <f>IF(AND(G996=1,COUNTIFS($I$200:I996,I996,$G$200:G996,1)=1),1,0)</f>
        <v>0</v>
      </c>
      <c r="I996" t="str">
        <f t="shared" si="373"/>
        <v/>
      </c>
      <c r="BF996">
        <f t="shared" si="376"/>
        <v>0</v>
      </c>
      <c r="BG996">
        <f t="shared" si="377"/>
        <v>0</v>
      </c>
      <c r="BH996">
        <f t="shared" si="378"/>
        <v>0</v>
      </c>
      <c r="BI996">
        <f t="shared" si="379"/>
        <v>0</v>
      </c>
      <c r="BJ996">
        <f t="shared" si="380"/>
        <v>0</v>
      </c>
      <c r="BK996">
        <f t="shared" si="381"/>
        <v>0</v>
      </c>
      <c r="BL996">
        <f t="shared" si="382"/>
        <v>0</v>
      </c>
      <c r="BM996">
        <f t="shared" si="383"/>
        <v>0</v>
      </c>
      <c r="BN996">
        <f t="shared" si="384"/>
        <v>0</v>
      </c>
      <c r="BO996">
        <f t="shared" si="385"/>
        <v>0</v>
      </c>
      <c r="BP996">
        <f t="shared" si="386"/>
        <v>0</v>
      </c>
      <c r="BQ996">
        <f t="shared" si="387"/>
        <v>0</v>
      </c>
      <c r="BR996">
        <f t="shared" si="388"/>
        <v>0</v>
      </c>
      <c r="BS996">
        <f t="shared" si="389"/>
        <v>0</v>
      </c>
      <c r="BT996">
        <f t="shared" si="390"/>
        <v>0</v>
      </c>
      <c r="BU996">
        <f t="shared" si="391"/>
        <v>0</v>
      </c>
      <c r="BV996">
        <f t="shared" si="392"/>
        <v>0</v>
      </c>
      <c r="BW996">
        <f t="shared" si="393"/>
        <v>0</v>
      </c>
      <c r="CA996" t="str">
        <f>IF(797&gt;ROWS(DGArchive[模组]),"",IF(INDEX(DGArchive[模组],797)="","",INDEX(DGArchive[模组],797)))</f>
        <v/>
      </c>
      <c r="CB996" t="str">
        <f>IF(797&gt;ROWS(DGArchive[阶段]),"",IF(INDEX(DGArchive[阶段],797)="","",INDEX(DGArchive[阶段],797)))</f>
        <v/>
      </c>
      <c r="CC996" t="str">
        <f>IF(797&gt;ROWS(DGArchive[游戏内日期]),"",IF(INDEX(DGArchive[游戏内日期],797)="","",INDEX(DGArchive[游戏内日期],797)))</f>
        <v/>
      </c>
      <c r="CD996" t="str">
        <f>IF(797&gt;ROWS(DGArchive[目标]),"",IF(INDEX(DGArchive[目标],797)="","",INDEX(DGArchive[目标],797)))</f>
        <v/>
      </c>
      <c r="CE996" t="str">
        <f>IF(797&gt;ROWS(DGArchive[变更前]),"",IF(INDEX(DGArchive[变更前],797)="","",INDEX(DGArchive[变更前],797)))</f>
        <v/>
      </c>
      <c r="CF996" t="str">
        <f>IF(797&gt;ROWS(DGArchive[增减]),"",IF(INDEX(DGArchive[增减],797)="","",INDEX(DGArchive[增减],797)))</f>
        <v/>
      </c>
      <c r="CG996" t="str">
        <f>IF(797&gt;ROWS(DGArchive[变更后]),"",IF(INDEX(DGArchive[变更后],797)="","",INDEX(DGArchive[变更后],797)))</f>
        <v/>
      </c>
      <c r="CH996" t="str">
        <f>IF(797&gt;ROWS(DGArchive[事件／活动]),"",IF(INDEX(DGArchive[事件／活动],797)="","",INDEX(DGArchive[事件／活动],797)))</f>
        <v/>
      </c>
      <c r="CI996" t="str">
        <f>IF(797&gt;ROWS(DGArchive[记录编号]),"",IF(INDEX(DGArchive[记录编号],797)="","",INDEX(DGArchive[记录编号],797)))</f>
        <v/>
      </c>
      <c r="CL996">
        <f t="shared" si="374"/>
        <v>0</v>
      </c>
      <c r="CM996">
        <f>IF(AND(A996=$AO$5,B996=$AQ$3,H996=1),COUNTIFS($A$200:A996,$AO$5,$B$200:B996,$AQ$3,$H$200:H996,1),0)</f>
        <v>0</v>
      </c>
      <c r="CN996">
        <f>IF(CA996="",797,1001)</f>
        <v>797</v>
      </c>
      <c r="GA996">
        <f t="shared" si="394"/>
        <v>0</v>
      </c>
      <c r="GB996">
        <f t="shared" si="395"/>
        <v>0</v>
      </c>
      <c r="GC996">
        <f>IF(AND(C996="事件记录",H996=1),COUNTIFS($C$200:C996,"事件记录",$H$200:H996,1),0)</f>
        <v>0</v>
      </c>
      <c r="GD996">
        <f t="shared" si="375"/>
        <v>0</v>
      </c>
      <c r="GH996">
        <f>IF(AND(H996=1,A996=$GA$10,B996=$GA$11),COUNTIFS($A$200:A996,$GA$10,$B$200:B996,$GA$11,$H$200:H996,1),0)</f>
        <v>0</v>
      </c>
    </row>
    <row r="997" spans="1:190">
      <c r="A997" t="str">
        <f t="shared" si="366"/>
        <v/>
      </c>
      <c r="B997" t="str">
        <f t="shared" si="367"/>
        <v/>
      </c>
      <c r="C997" t="str">
        <f t="shared" si="368"/>
        <v/>
      </c>
      <c r="D997" t="str">
        <f t="shared" si="369"/>
        <v/>
      </c>
      <c r="E997">
        <f t="shared" si="370"/>
        <v>0</v>
      </c>
      <c r="F997" t="str">
        <f t="shared" si="371"/>
        <v/>
      </c>
      <c r="G997">
        <f t="shared" si="372"/>
        <v>0</v>
      </c>
      <c r="H997">
        <f>IF(AND(G997=1,COUNTIFS($I$200:I997,I997,$G$200:G997,1)=1),1,0)</f>
        <v>0</v>
      </c>
      <c r="I997" t="str">
        <f t="shared" si="373"/>
        <v/>
      </c>
      <c r="BF997">
        <f t="shared" si="376"/>
        <v>0</v>
      </c>
      <c r="BG997">
        <f t="shared" si="377"/>
        <v>0</v>
      </c>
      <c r="BH997">
        <f t="shared" si="378"/>
        <v>0</v>
      </c>
      <c r="BI997">
        <f t="shared" si="379"/>
        <v>0</v>
      </c>
      <c r="BJ997">
        <f t="shared" si="380"/>
        <v>0</v>
      </c>
      <c r="BK997">
        <f t="shared" si="381"/>
        <v>0</v>
      </c>
      <c r="BL997">
        <f t="shared" si="382"/>
        <v>0</v>
      </c>
      <c r="BM997">
        <f t="shared" si="383"/>
        <v>0</v>
      </c>
      <c r="BN997">
        <f t="shared" si="384"/>
        <v>0</v>
      </c>
      <c r="BO997">
        <f t="shared" si="385"/>
        <v>0</v>
      </c>
      <c r="BP997">
        <f t="shared" si="386"/>
        <v>0</v>
      </c>
      <c r="BQ997">
        <f t="shared" si="387"/>
        <v>0</v>
      </c>
      <c r="BR997">
        <f t="shared" si="388"/>
        <v>0</v>
      </c>
      <c r="BS997">
        <f t="shared" si="389"/>
        <v>0</v>
      </c>
      <c r="BT997">
        <f t="shared" si="390"/>
        <v>0</v>
      </c>
      <c r="BU997">
        <f t="shared" si="391"/>
        <v>0</v>
      </c>
      <c r="BV997">
        <f t="shared" si="392"/>
        <v>0</v>
      </c>
      <c r="BW997">
        <f t="shared" si="393"/>
        <v>0</v>
      </c>
      <c r="CA997" t="str">
        <f>IF(798&gt;ROWS(DGArchive[模组]),"",IF(INDEX(DGArchive[模组],798)="","",INDEX(DGArchive[模组],798)))</f>
        <v/>
      </c>
      <c r="CB997" t="str">
        <f>IF(798&gt;ROWS(DGArchive[阶段]),"",IF(INDEX(DGArchive[阶段],798)="","",INDEX(DGArchive[阶段],798)))</f>
        <v/>
      </c>
      <c r="CC997" t="str">
        <f>IF(798&gt;ROWS(DGArchive[游戏内日期]),"",IF(INDEX(DGArchive[游戏内日期],798)="","",INDEX(DGArchive[游戏内日期],798)))</f>
        <v/>
      </c>
      <c r="CD997" t="str">
        <f>IF(798&gt;ROWS(DGArchive[目标]),"",IF(INDEX(DGArchive[目标],798)="","",INDEX(DGArchive[目标],798)))</f>
        <v/>
      </c>
      <c r="CE997" t="str">
        <f>IF(798&gt;ROWS(DGArchive[变更前]),"",IF(INDEX(DGArchive[变更前],798)="","",INDEX(DGArchive[变更前],798)))</f>
        <v/>
      </c>
      <c r="CF997" t="str">
        <f>IF(798&gt;ROWS(DGArchive[增减]),"",IF(INDEX(DGArchive[增减],798)="","",INDEX(DGArchive[增减],798)))</f>
        <v/>
      </c>
      <c r="CG997" t="str">
        <f>IF(798&gt;ROWS(DGArchive[变更后]),"",IF(INDEX(DGArchive[变更后],798)="","",INDEX(DGArchive[变更后],798)))</f>
        <v/>
      </c>
      <c r="CH997" t="str">
        <f>IF(798&gt;ROWS(DGArchive[事件／活动]),"",IF(INDEX(DGArchive[事件／活动],798)="","",INDEX(DGArchive[事件／活动],798)))</f>
        <v/>
      </c>
      <c r="CI997" t="str">
        <f>IF(798&gt;ROWS(DGArchive[记录编号]),"",IF(INDEX(DGArchive[记录编号],798)="","",INDEX(DGArchive[记录编号],798)))</f>
        <v/>
      </c>
      <c r="CL997">
        <f t="shared" si="374"/>
        <v>0</v>
      </c>
      <c r="CM997">
        <f>IF(AND(A997=$AO$5,B997=$AQ$3,H997=1),COUNTIFS($A$200:A997,$AO$5,$B$200:B997,$AQ$3,$H$200:H997,1),0)</f>
        <v>0</v>
      </c>
      <c r="CN997">
        <f>IF(CA997="",798,1001)</f>
        <v>798</v>
      </c>
      <c r="GA997">
        <f t="shared" si="394"/>
        <v>0</v>
      </c>
      <c r="GB997">
        <f t="shared" si="395"/>
        <v>0</v>
      </c>
      <c r="GC997">
        <f>IF(AND(C997="事件记录",H997=1),COUNTIFS($C$200:C997,"事件记录",$H$200:H997,1),0)</f>
        <v>0</v>
      </c>
      <c r="GD997">
        <f t="shared" si="375"/>
        <v>0</v>
      </c>
      <c r="GH997">
        <f>IF(AND(H997=1,A997=$GA$10,B997=$GA$11),COUNTIFS($A$200:A997,$GA$10,$B$200:B997,$GA$11,$H$200:H997,1),0)</f>
        <v>0</v>
      </c>
    </row>
    <row r="998" spans="1:190">
      <c r="A998" t="str">
        <f t="shared" si="366"/>
        <v/>
      </c>
      <c r="B998" t="str">
        <f t="shared" si="367"/>
        <v/>
      </c>
      <c r="C998" t="str">
        <f t="shared" si="368"/>
        <v/>
      </c>
      <c r="D998" t="str">
        <f t="shared" si="369"/>
        <v/>
      </c>
      <c r="E998">
        <f t="shared" si="370"/>
        <v>0</v>
      </c>
      <c r="F998" t="str">
        <f t="shared" si="371"/>
        <v/>
      </c>
      <c r="G998">
        <f t="shared" si="372"/>
        <v>0</v>
      </c>
      <c r="H998">
        <f>IF(AND(G998=1,COUNTIFS($I$200:I998,I998,$G$200:G998,1)=1),1,0)</f>
        <v>0</v>
      </c>
      <c r="I998" t="str">
        <f t="shared" si="373"/>
        <v/>
      </c>
      <c r="BF998">
        <f t="shared" si="376"/>
        <v>0</v>
      </c>
      <c r="BG998">
        <f t="shared" si="377"/>
        <v>0</v>
      </c>
      <c r="BH998">
        <f t="shared" si="378"/>
        <v>0</v>
      </c>
      <c r="BI998">
        <f t="shared" si="379"/>
        <v>0</v>
      </c>
      <c r="BJ998">
        <f t="shared" si="380"/>
        <v>0</v>
      </c>
      <c r="BK998">
        <f t="shared" si="381"/>
        <v>0</v>
      </c>
      <c r="BL998">
        <f t="shared" si="382"/>
        <v>0</v>
      </c>
      <c r="BM998">
        <f t="shared" si="383"/>
        <v>0</v>
      </c>
      <c r="BN998">
        <f t="shared" si="384"/>
        <v>0</v>
      </c>
      <c r="BO998">
        <f t="shared" si="385"/>
        <v>0</v>
      </c>
      <c r="BP998">
        <f t="shared" si="386"/>
        <v>0</v>
      </c>
      <c r="BQ998">
        <f t="shared" si="387"/>
        <v>0</v>
      </c>
      <c r="BR998">
        <f t="shared" si="388"/>
        <v>0</v>
      </c>
      <c r="BS998">
        <f t="shared" si="389"/>
        <v>0</v>
      </c>
      <c r="BT998">
        <f t="shared" si="390"/>
        <v>0</v>
      </c>
      <c r="BU998">
        <f t="shared" si="391"/>
        <v>0</v>
      </c>
      <c r="BV998">
        <f t="shared" si="392"/>
        <v>0</v>
      </c>
      <c r="BW998">
        <f t="shared" si="393"/>
        <v>0</v>
      </c>
      <c r="CA998" t="str">
        <f>IF(799&gt;ROWS(DGArchive[模组]),"",IF(INDEX(DGArchive[模组],799)="","",INDEX(DGArchive[模组],799)))</f>
        <v/>
      </c>
      <c r="CB998" t="str">
        <f>IF(799&gt;ROWS(DGArchive[阶段]),"",IF(INDEX(DGArchive[阶段],799)="","",INDEX(DGArchive[阶段],799)))</f>
        <v/>
      </c>
      <c r="CC998" t="str">
        <f>IF(799&gt;ROWS(DGArchive[游戏内日期]),"",IF(INDEX(DGArchive[游戏内日期],799)="","",INDEX(DGArchive[游戏内日期],799)))</f>
        <v/>
      </c>
      <c r="CD998" t="str">
        <f>IF(799&gt;ROWS(DGArchive[目标]),"",IF(INDEX(DGArchive[目标],799)="","",INDEX(DGArchive[目标],799)))</f>
        <v/>
      </c>
      <c r="CE998" t="str">
        <f>IF(799&gt;ROWS(DGArchive[变更前]),"",IF(INDEX(DGArchive[变更前],799)="","",INDEX(DGArchive[变更前],799)))</f>
        <v/>
      </c>
      <c r="CF998" t="str">
        <f>IF(799&gt;ROWS(DGArchive[增减]),"",IF(INDEX(DGArchive[增减],799)="","",INDEX(DGArchive[增减],799)))</f>
        <v/>
      </c>
      <c r="CG998" t="str">
        <f>IF(799&gt;ROWS(DGArchive[变更后]),"",IF(INDEX(DGArchive[变更后],799)="","",INDEX(DGArchive[变更后],799)))</f>
        <v/>
      </c>
      <c r="CH998" t="str">
        <f>IF(799&gt;ROWS(DGArchive[事件／活动]),"",IF(INDEX(DGArchive[事件／活动],799)="","",INDEX(DGArchive[事件／活动],799)))</f>
        <v/>
      </c>
      <c r="CI998" t="str">
        <f>IF(799&gt;ROWS(DGArchive[记录编号]),"",IF(INDEX(DGArchive[记录编号],799)="","",INDEX(DGArchive[记录编号],799)))</f>
        <v/>
      </c>
      <c r="CL998">
        <f t="shared" si="374"/>
        <v>0</v>
      </c>
      <c r="CM998">
        <f>IF(AND(A998=$AO$5,B998=$AQ$3,H998=1),COUNTIFS($A$200:A998,$AO$5,$B$200:B998,$AQ$3,$H$200:H998,1),0)</f>
        <v>0</v>
      </c>
      <c r="CN998">
        <f>IF(CA998="",799,1001)</f>
        <v>799</v>
      </c>
      <c r="GA998">
        <f t="shared" si="394"/>
        <v>0</v>
      </c>
      <c r="GB998">
        <f t="shared" si="395"/>
        <v>0</v>
      </c>
      <c r="GC998">
        <f>IF(AND(C998="事件记录",H998=1),COUNTIFS($C$200:C998,"事件记录",$H$200:H998,1),0)</f>
        <v>0</v>
      </c>
      <c r="GD998">
        <f t="shared" si="375"/>
        <v>0</v>
      </c>
      <c r="GH998">
        <f>IF(AND(H998=1,A998=$GA$10,B998=$GA$11),COUNTIFS($A$200:A998,$GA$10,$B$200:B998,$GA$11,$H$200:H998,1),0)</f>
        <v>0</v>
      </c>
    </row>
    <row r="999" spans="1:190">
      <c r="A999" t="str">
        <f t="shared" si="366"/>
        <v/>
      </c>
      <c r="B999" t="str">
        <f t="shared" si="367"/>
        <v/>
      </c>
      <c r="C999" t="str">
        <f t="shared" si="368"/>
        <v/>
      </c>
      <c r="D999" t="str">
        <f t="shared" si="369"/>
        <v/>
      </c>
      <c r="E999">
        <f t="shared" si="370"/>
        <v>0</v>
      </c>
      <c r="F999" t="str">
        <f t="shared" si="371"/>
        <v/>
      </c>
      <c r="G999">
        <f t="shared" si="372"/>
        <v>0</v>
      </c>
      <c r="H999">
        <f>IF(AND(G999=1,COUNTIFS($I$200:I999,I999,$G$200:G999,1)=1),1,0)</f>
        <v>0</v>
      </c>
      <c r="I999" t="str">
        <f t="shared" si="373"/>
        <v/>
      </c>
      <c r="BF999">
        <f t="shared" si="376"/>
        <v>0</v>
      </c>
      <c r="BG999">
        <f t="shared" si="377"/>
        <v>0</v>
      </c>
      <c r="BH999">
        <f t="shared" si="378"/>
        <v>0</v>
      </c>
      <c r="BI999">
        <f t="shared" si="379"/>
        <v>0</v>
      </c>
      <c r="BJ999">
        <f t="shared" si="380"/>
        <v>0</v>
      </c>
      <c r="BK999">
        <f t="shared" si="381"/>
        <v>0</v>
      </c>
      <c r="BL999">
        <f t="shared" si="382"/>
        <v>0</v>
      </c>
      <c r="BM999">
        <f t="shared" si="383"/>
        <v>0</v>
      </c>
      <c r="BN999">
        <f t="shared" si="384"/>
        <v>0</v>
      </c>
      <c r="BO999">
        <f t="shared" si="385"/>
        <v>0</v>
      </c>
      <c r="BP999">
        <f t="shared" si="386"/>
        <v>0</v>
      </c>
      <c r="BQ999">
        <f t="shared" si="387"/>
        <v>0</v>
      </c>
      <c r="BR999">
        <f t="shared" si="388"/>
        <v>0</v>
      </c>
      <c r="BS999">
        <f t="shared" si="389"/>
        <v>0</v>
      </c>
      <c r="BT999">
        <f t="shared" si="390"/>
        <v>0</v>
      </c>
      <c r="BU999">
        <f t="shared" si="391"/>
        <v>0</v>
      </c>
      <c r="BV999">
        <f t="shared" si="392"/>
        <v>0</v>
      </c>
      <c r="BW999">
        <f t="shared" si="393"/>
        <v>0</v>
      </c>
      <c r="CA999" t="str">
        <f>IF(800&gt;ROWS(DGArchive[模组]),"",IF(INDEX(DGArchive[模组],800)="","",INDEX(DGArchive[模组],800)))</f>
        <v/>
      </c>
      <c r="CB999" t="str">
        <f>IF(800&gt;ROWS(DGArchive[阶段]),"",IF(INDEX(DGArchive[阶段],800)="","",INDEX(DGArchive[阶段],800)))</f>
        <v/>
      </c>
      <c r="CC999" t="str">
        <f>IF(800&gt;ROWS(DGArchive[游戏内日期]),"",IF(INDEX(DGArchive[游戏内日期],800)="","",INDEX(DGArchive[游戏内日期],800)))</f>
        <v/>
      </c>
      <c r="CD999" t="str">
        <f>IF(800&gt;ROWS(DGArchive[目标]),"",IF(INDEX(DGArchive[目标],800)="","",INDEX(DGArchive[目标],800)))</f>
        <v/>
      </c>
      <c r="CE999" t="str">
        <f>IF(800&gt;ROWS(DGArchive[变更前]),"",IF(INDEX(DGArchive[变更前],800)="","",INDEX(DGArchive[变更前],800)))</f>
        <v/>
      </c>
      <c r="CF999" t="str">
        <f>IF(800&gt;ROWS(DGArchive[增减]),"",IF(INDEX(DGArchive[增减],800)="","",INDEX(DGArchive[增减],800)))</f>
        <v/>
      </c>
      <c r="CG999" t="str">
        <f>IF(800&gt;ROWS(DGArchive[变更后]),"",IF(INDEX(DGArchive[变更后],800)="","",INDEX(DGArchive[变更后],800)))</f>
        <v/>
      </c>
      <c r="CH999" t="str">
        <f>IF(800&gt;ROWS(DGArchive[事件／活动]),"",IF(INDEX(DGArchive[事件／活动],800)="","",INDEX(DGArchive[事件／活动],800)))</f>
        <v/>
      </c>
      <c r="CI999" t="str">
        <f>IF(800&gt;ROWS(DGArchive[记录编号]),"",IF(INDEX(DGArchive[记录编号],800)="","",INDEX(DGArchive[记录编号],800)))</f>
        <v/>
      </c>
      <c r="CL999">
        <f t="shared" si="374"/>
        <v>0</v>
      </c>
      <c r="CM999">
        <f>IF(AND(A999=$AO$5,B999=$AQ$3,H999=1),COUNTIFS($A$200:A999,$AO$5,$B$200:B999,$AQ$3,$H$200:H999,1),0)</f>
        <v>0</v>
      </c>
      <c r="CN999">
        <f>IF(CA999="",800,1001)</f>
        <v>800</v>
      </c>
      <c r="GA999">
        <f t="shared" si="394"/>
        <v>0</v>
      </c>
      <c r="GB999">
        <f t="shared" si="395"/>
        <v>0</v>
      </c>
      <c r="GC999">
        <f>IF(AND(C999="事件记录",H999=1),COUNTIFS($C$200:C999,"事件记录",$H$200:H999,1),0)</f>
        <v>0</v>
      </c>
      <c r="GD999">
        <f t="shared" si="375"/>
        <v>0</v>
      </c>
      <c r="GH999">
        <f>IF(AND(H999=1,A999=$GA$10,B999=$GA$11),COUNTIFS($A$200:A999,$GA$10,$B$200:B999,$GA$11,$H$200:H999,1),0)</f>
        <v>0</v>
      </c>
    </row>
    <row r="1000" spans="1:190">
      <c r="A1000" t="str">
        <f t="shared" si="366"/>
        <v/>
      </c>
      <c r="B1000" t="str">
        <f t="shared" si="367"/>
        <v/>
      </c>
      <c r="C1000" t="str">
        <f t="shared" si="368"/>
        <v/>
      </c>
      <c r="D1000" t="str">
        <f t="shared" si="369"/>
        <v/>
      </c>
      <c r="E1000">
        <f t="shared" si="370"/>
        <v>0</v>
      </c>
      <c r="F1000" t="str">
        <f t="shared" si="371"/>
        <v/>
      </c>
      <c r="G1000">
        <f t="shared" si="372"/>
        <v>0</v>
      </c>
      <c r="H1000">
        <f>IF(AND(G1000=1,COUNTIFS($I$200:I1000,I1000,$G$200:G1000,1)=1),1,0)</f>
        <v>0</v>
      </c>
      <c r="I1000" t="str">
        <f t="shared" si="373"/>
        <v/>
      </c>
      <c r="BF1000">
        <f t="shared" si="376"/>
        <v>0</v>
      </c>
      <c r="BG1000">
        <f t="shared" si="377"/>
        <v>0</v>
      </c>
      <c r="BH1000">
        <f t="shared" si="378"/>
        <v>0</v>
      </c>
      <c r="BI1000">
        <f t="shared" si="379"/>
        <v>0</v>
      </c>
      <c r="BJ1000">
        <f t="shared" si="380"/>
        <v>0</v>
      </c>
      <c r="BK1000">
        <f t="shared" si="381"/>
        <v>0</v>
      </c>
      <c r="BL1000">
        <f t="shared" si="382"/>
        <v>0</v>
      </c>
      <c r="BM1000">
        <f t="shared" si="383"/>
        <v>0</v>
      </c>
      <c r="BN1000">
        <f t="shared" si="384"/>
        <v>0</v>
      </c>
      <c r="BO1000">
        <f t="shared" si="385"/>
        <v>0</v>
      </c>
      <c r="BP1000">
        <f t="shared" si="386"/>
        <v>0</v>
      </c>
      <c r="BQ1000">
        <f t="shared" si="387"/>
        <v>0</v>
      </c>
      <c r="BR1000">
        <f t="shared" si="388"/>
        <v>0</v>
      </c>
      <c r="BS1000">
        <f t="shared" si="389"/>
        <v>0</v>
      </c>
      <c r="BT1000">
        <f t="shared" si="390"/>
        <v>0</v>
      </c>
      <c r="BU1000">
        <f t="shared" si="391"/>
        <v>0</v>
      </c>
      <c r="BV1000">
        <f t="shared" si="392"/>
        <v>0</v>
      </c>
      <c r="BW1000">
        <f t="shared" si="393"/>
        <v>0</v>
      </c>
      <c r="CA1000" t="str">
        <f>IF(801&gt;ROWS(DGArchive[模组]),"",IF(INDEX(DGArchive[模组],801)="","",INDEX(DGArchive[模组],801)))</f>
        <v/>
      </c>
      <c r="CB1000" t="str">
        <f>IF(801&gt;ROWS(DGArchive[阶段]),"",IF(INDEX(DGArchive[阶段],801)="","",INDEX(DGArchive[阶段],801)))</f>
        <v/>
      </c>
      <c r="CC1000" t="str">
        <f>IF(801&gt;ROWS(DGArchive[游戏内日期]),"",IF(INDEX(DGArchive[游戏内日期],801)="","",INDEX(DGArchive[游戏内日期],801)))</f>
        <v/>
      </c>
      <c r="CD1000" t="str">
        <f>IF(801&gt;ROWS(DGArchive[目标]),"",IF(INDEX(DGArchive[目标],801)="","",INDEX(DGArchive[目标],801)))</f>
        <v/>
      </c>
      <c r="CE1000" t="str">
        <f>IF(801&gt;ROWS(DGArchive[变更前]),"",IF(INDEX(DGArchive[变更前],801)="","",INDEX(DGArchive[变更前],801)))</f>
        <v/>
      </c>
      <c r="CF1000" t="str">
        <f>IF(801&gt;ROWS(DGArchive[增减]),"",IF(INDEX(DGArchive[增减],801)="","",INDEX(DGArchive[增减],801)))</f>
        <v/>
      </c>
      <c r="CG1000" t="str">
        <f>IF(801&gt;ROWS(DGArchive[变更后]),"",IF(INDEX(DGArchive[变更后],801)="","",INDEX(DGArchive[变更后],801)))</f>
        <v/>
      </c>
      <c r="CH1000" t="str">
        <f>IF(801&gt;ROWS(DGArchive[事件／活动]),"",IF(INDEX(DGArchive[事件／活动],801)="","",INDEX(DGArchive[事件／活动],801)))</f>
        <v/>
      </c>
      <c r="CI1000" t="str">
        <f>IF(801&gt;ROWS(DGArchive[记录编号]),"",IF(INDEX(DGArchive[记录编号],801)="","",INDEX(DGArchive[记录编号],801)))</f>
        <v/>
      </c>
      <c r="CL1000">
        <f t="shared" si="374"/>
        <v>0</v>
      </c>
      <c r="CM1000">
        <f>IF(AND(A1000=$AO$5,B1000=$AQ$3,H1000=1),COUNTIFS($A$200:A1000,$AO$5,$B$200:B1000,$AQ$3,$H$200:H1000,1),0)</f>
        <v>0</v>
      </c>
      <c r="CN1000">
        <f>IF(CA1000="",801,1001)</f>
        <v>801</v>
      </c>
      <c r="GA1000">
        <f t="shared" si="394"/>
        <v>0</v>
      </c>
      <c r="GB1000">
        <f t="shared" si="395"/>
        <v>0</v>
      </c>
      <c r="GC1000">
        <f>IF(AND(C1000="事件记录",H1000=1),COUNTIFS($C$200:C1000,"事件记录",$H$200:H1000,1),0)</f>
        <v>0</v>
      </c>
      <c r="GD1000">
        <f t="shared" si="375"/>
        <v>0</v>
      </c>
      <c r="GH1000">
        <f>IF(AND(H1000=1,A1000=$GA$10,B1000=$GA$11),COUNTIFS($A$200:A1000,$GA$10,$B$200:B1000,$GA$11,$H$200:H1000,1),0)</f>
        <v>0</v>
      </c>
    </row>
    <row r="1001" spans="1:190">
      <c r="A1001" t="str">
        <f t="shared" si="366"/>
        <v/>
      </c>
      <c r="B1001" t="str">
        <f t="shared" si="367"/>
        <v/>
      </c>
      <c r="C1001" t="str">
        <f t="shared" si="368"/>
        <v/>
      </c>
      <c r="D1001" t="str">
        <f t="shared" si="369"/>
        <v/>
      </c>
      <c r="E1001">
        <f t="shared" si="370"/>
        <v>0</v>
      </c>
      <c r="F1001" t="str">
        <f t="shared" si="371"/>
        <v/>
      </c>
      <c r="G1001">
        <f t="shared" si="372"/>
        <v>0</v>
      </c>
      <c r="H1001">
        <f>IF(AND(G1001=1,COUNTIFS($I$200:I1001,I1001,$G$200:G1001,1)=1),1,0)</f>
        <v>0</v>
      </c>
      <c r="I1001" t="str">
        <f t="shared" si="373"/>
        <v/>
      </c>
      <c r="BF1001">
        <f t="shared" si="376"/>
        <v>0</v>
      </c>
      <c r="BG1001">
        <f t="shared" si="377"/>
        <v>0</v>
      </c>
      <c r="BH1001">
        <f t="shared" si="378"/>
        <v>0</v>
      </c>
      <c r="BI1001">
        <f t="shared" si="379"/>
        <v>0</v>
      </c>
      <c r="BJ1001">
        <f t="shared" si="380"/>
        <v>0</v>
      </c>
      <c r="BK1001">
        <f t="shared" si="381"/>
        <v>0</v>
      </c>
      <c r="BL1001">
        <f t="shared" si="382"/>
        <v>0</v>
      </c>
      <c r="BM1001">
        <f t="shared" si="383"/>
        <v>0</v>
      </c>
      <c r="BN1001">
        <f t="shared" si="384"/>
        <v>0</v>
      </c>
      <c r="BO1001">
        <f t="shared" si="385"/>
        <v>0</v>
      </c>
      <c r="BP1001">
        <f t="shared" si="386"/>
        <v>0</v>
      </c>
      <c r="BQ1001">
        <f t="shared" si="387"/>
        <v>0</v>
      </c>
      <c r="BR1001">
        <f t="shared" si="388"/>
        <v>0</v>
      </c>
      <c r="BS1001">
        <f t="shared" si="389"/>
        <v>0</v>
      </c>
      <c r="BT1001">
        <f t="shared" si="390"/>
        <v>0</v>
      </c>
      <c r="BU1001">
        <f t="shared" si="391"/>
        <v>0</v>
      </c>
      <c r="BV1001">
        <f t="shared" si="392"/>
        <v>0</v>
      </c>
      <c r="BW1001">
        <f t="shared" si="393"/>
        <v>0</v>
      </c>
      <c r="CA1001" t="str">
        <f>IF(802&gt;ROWS(DGArchive[模组]),"",IF(INDEX(DGArchive[模组],802)="","",INDEX(DGArchive[模组],802)))</f>
        <v/>
      </c>
      <c r="CB1001" t="str">
        <f>IF(802&gt;ROWS(DGArchive[阶段]),"",IF(INDEX(DGArchive[阶段],802)="","",INDEX(DGArchive[阶段],802)))</f>
        <v/>
      </c>
      <c r="CC1001" t="str">
        <f>IF(802&gt;ROWS(DGArchive[游戏内日期]),"",IF(INDEX(DGArchive[游戏内日期],802)="","",INDEX(DGArchive[游戏内日期],802)))</f>
        <v/>
      </c>
      <c r="CD1001" t="str">
        <f>IF(802&gt;ROWS(DGArchive[目标]),"",IF(INDEX(DGArchive[目标],802)="","",INDEX(DGArchive[目标],802)))</f>
        <v/>
      </c>
      <c r="CE1001" t="str">
        <f>IF(802&gt;ROWS(DGArchive[变更前]),"",IF(INDEX(DGArchive[变更前],802)="","",INDEX(DGArchive[变更前],802)))</f>
        <v/>
      </c>
      <c r="CF1001" t="str">
        <f>IF(802&gt;ROWS(DGArchive[增减]),"",IF(INDEX(DGArchive[增减],802)="","",INDEX(DGArchive[增减],802)))</f>
        <v/>
      </c>
      <c r="CG1001" t="str">
        <f>IF(802&gt;ROWS(DGArchive[变更后]),"",IF(INDEX(DGArchive[变更后],802)="","",INDEX(DGArchive[变更后],802)))</f>
        <v/>
      </c>
      <c r="CH1001" t="str">
        <f>IF(802&gt;ROWS(DGArchive[事件／活动]),"",IF(INDEX(DGArchive[事件／活动],802)="","",INDEX(DGArchive[事件／活动],802)))</f>
        <v/>
      </c>
      <c r="CI1001" t="str">
        <f>IF(802&gt;ROWS(DGArchive[记录编号]),"",IF(INDEX(DGArchive[记录编号],802)="","",INDEX(DGArchive[记录编号],802)))</f>
        <v/>
      </c>
      <c r="CL1001">
        <f t="shared" si="374"/>
        <v>0</v>
      </c>
      <c r="CM1001">
        <f>IF(AND(A1001=$AO$5,B1001=$AQ$3,H1001=1),COUNTIFS($A$200:A1001,$AO$5,$B$200:B1001,$AQ$3,$H$200:H1001,1),0)</f>
        <v>0</v>
      </c>
      <c r="CN1001">
        <f>IF(CA1001="",802,1001)</f>
        <v>802</v>
      </c>
      <c r="GA1001">
        <f t="shared" si="394"/>
        <v>0</v>
      </c>
      <c r="GB1001">
        <f t="shared" si="395"/>
        <v>0</v>
      </c>
      <c r="GC1001">
        <f>IF(AND(C1001="事件记录",H1001=1),COUNTIFS($C$200:C1001,"事件记录",$H$200:H1001,1),0)</f>
        <v>0</v>
      </c>
      <c r="GD1001">
        <f t="shared" si="375"/>
        <v>0</v>
      </c>
      <c r="GH1001">
        <f>IF(AND(H1001=1,A1001=$GA$10,B1001=$GA$11),COUNTIFS($A$200:A1001,$GA$10,$B$200:B1001,$GA$11,$H$200:H1001,1),0)</f>
        <v>0</v>
      </c>
    </row>
    <row r="1002" spans="1:190">
      <c r="A1002" t="str">
        <f t="shared" si="366"/>
        <v/>
      </c>
      <c r="B1002" t="str">
        <f t="shared" si="367"/>
        <v/>
      </c>
      <c r="C1002" t="str">
        <f t="shared" si="368"/>
        <v/>
      </c>
      <c r="D1002" t="str">
        <f t="shared" si="369"/>
        <v/>
      </c>
      <c r="E1002">
        <f t="shared" si="370"/>
        <v>0</v>
      </c>
      <c r="F1002" t="str">
        <f t="shared" si="371"/>
        <v/>
      </c>
      <c r="G1002">
        <f t="shared" si="372"/>
        <v>0</v>
      </c>
      <c r="H1002">
        <f>IF(AND(G1002=1,COUNTIFS($I$200:I1002,I1002,$G$200:G1002,1)=1),1,0)</f>
        <v>0</v>
      </c>
      <c r="I1002" t="str">
        <f t="shared" si="373"/>
        <v/>
      </c>
      <c r="BF1002">
        <f t="shared" si="376"/>
        <v>0</v>
      </c>
      <c r="BG1002">
        <f t="shared" si="377"/>
        <v>0</v>
      </c>
      <c r="BH1002">
        <f t="shared" si="378"/>
        <v>0</v>
      </c>
      <c r="BI1002">
        <f t="shared" si="379"/>
        <v>0</v>
      </c>
      <c r="BJ1002">
        <f t="shared" si="380"/>
        <v>0</v>
      </c>
      <c r="BK1002">
        <f t="shared" si="381"/>
        <v>0</v>
      </c>
      <c r="BL1002">
        <f t="shared" si="382"/>
        <v>0</v>
      </c>
      <c r="BM1002">
        <f t="shared" si="383"/>
        <v>0</v>
      </c>
      <c r="BN1002">
        <f t="shared" si="384"/>
        <v>0</v>
      </c>
      <c r="BO1002">
        <f t="shared" si="385"/>
        <v>0</v>
      </c>
      <c r="BP1002">
        <f t="shared" si="386"/>
        <v>0</v>
      </c>
      <c r="BQ1002">
        <f t="shared" si="387"/>
        <v>0</v>
      </c>
      <c r="BR1002">
        <f t="shared" si="388"/>
        <v>0</v>
      </c>
      <c r="BS1002">
        <f t="shared" si="389"/>
        <v>0</v>
      </c>
      <c r="BT1002">
        <f t="shared" si="390"/>
        <v>0</v>
      </c>
      <c r="BU1002">
        <f t="shared" si="391"/>
        <v>0</v>
      </c>
      <c r="BV1002">
        <f t="shared" si="392"/>
        <v>0</v>
      </c>
      <c r="BW1002">
        <f t="shared" si="393"/>
        <v>0</v>
      </c>
      <c r="CA1002" t="str">
        <f>IF(803&gt;ROWS(DGArchive[模组]),"",IF(INDEX(DGArchive[模组],803)="","",INDEX(DGArchive[模组],803)))</f>
        <v/>
      </c>
      <c r="CB1002" t="str">
        <f>IF(803&gt;ROWS(DGArchive[阶段]),"",IF(INDEX(DGArchive[阶段],803)="","",INDEX(DGArchive[阶段],803)))</f>
        <v/>
      </c>
      <c r="CC1002" t="str">
        <f>IF(803&gt;ROWS(DGArchive[游戏内日期]),"",IF(INDEX(DGArchive[游戏内日期],803)="","",INDEX(DGArchive[游戏内日期],803)))</f>
        <v/>
      </c>
      <c r="CD1002" t="str">
        <f>IF(803&gt;ROWS(DGArchive[目标]),"",IF(INDEX(DGArchive[目标],803)="","",INDEX(DGArchive[目标],803)))</f>
        <v/>
      </c>
      <c r="CE1002" t="str">
        <f>IF(803&gt;ROWS(DGArchive[变更前]),"",IF(INDEX(DGArchive[变更前],803)="","",INDEX(DGArchive[变更前],803)))</f>
        <v/>
      </c>
      <c r="CF1002" t="str">
        <f>IF(803&gt;ROWS(DGArchive[增减]),"",IF(INDEX(DGArchive[增减],803)="","",INDEX(DGArchive[增减],803)))</f>
        <v/>
      </c>
      <c r="CG1002" t="str">
        <f>IF(803&gt;ROWS(DGArchive[变更后]),"",IF(INDEX(DGArchive[变更后],803)="","",INDEX(DGArchive[变更后],803)))</f>
        <v/>
      </c>
      <c r="CH1002" t="str">
        <f>IF(803&gt;ROWS(DGArchive[事件／活动]),"",IF(INDEX(DGArchive[事件／活动],803)="","",INDEX(DGArchive[事件／活动],803)))</f>
        <v/>
      </c>
      <c r="CI1002" t="str">
        <f>IF(803&gt;ROWS(DGArchive[记录编号]),"",IF(INDEX(DGArchive[记录编号],803)="","",INDEX(DGArchive[记录编号],803)))</f>
        <v/>
      </c>
      <c r="CL1002">
        <f t="shared" si="374"/>
        <v>0</v>
      </c>
      <c r="CM1002">
        <f>IF(AND(A1002=$AO$5,B1002=$AQ$3,H1002=1),COUNTIFS($A$200:A1002,$AO$5,$B$200:B1002,$AQ$3,$H$200:H1002,1),0)</f>
        <v>0</v>
      </c>
      <c r="CN1002">
        <f>IF(CA1002="",803,1001)</f>
        <v>803</v>
      </c>
      <c r="GA1002">
        <f t="shared" si="394"/>
        <v>0</v>
      </c>
      <c r="GB1002">
        <f t="shared" si="395"/>
        <v>0</v>
      </c>
      <c r="GC1002">
        <f>IF(AND(C1002="事件记录",H1002=1),COUNTIFS($C$200:C1002,"事件记录",$H$200:H1002,1),0)</f>
        <v>0</v>
      </c>
      <c r="GD1002">
        <f t="shared" si="375"/>
        <v>0</v>
      </c>
      <c r="GH1002">
        <f>IF(AND(H1002=1,A1002=$GA$10,B1002=$GA$11),COUNTIFS($A$200:A1002,$GA$10,$B$200:B1002,$GA$11,$H$200:H1002,1),0)</f>
        <v>0</v>
      </c>
    </row>
    <row r="1003" spans="1:190">
      <c r="A1003" t="str">
        <f t="shared" si="366"/>
        <v/>
      </c>
      <c r="B1003" t="str">
        <f t="shared" si="367"/>
        <v/>
      </c>
      <c r="C1003" t="str">
        <f t="shared" si="368"/>
        <v/>
      </c>
      <c r="D1003" t="str">
        <f t="shared" si="369"/>
        <v/>
      </c>
      <c r="E1003">
        <f t="shared" si="370"/>
        <v>0</v>
      </c>
      <c r="F1003" t="str">
        <f t="shared" si="371"/>
        <v/>
      </c>
      <c r="G1003">
        <f t="shared" si="372"/>
        <v>0</v>
      </c>
      <c r="H1003">
        <f>IF(AND(G1003=1,COUNTIFS($I$200:I1003,I1003,$G$200:G1003,1)=1),1,0)</f>
        <v>0</v>
      </c>
      <c r="I1003" t="str">
        <f t="shared" si="373"/>
        <v/>
      </c>
      <c r="BF1003">
        <f t="shared" si="376"/>
        <v>0</v>
      </c>
      <c r="BG1003">
        <f t="shared" si="377"/>
        <v>0</v>
      </c>
      <c r="BH1003">
        <f t="shared" si="378"/>
        <v>0</v>
      </c>
      <c r="BI1003">
        <f t="shared" si="379"/>
        <v>0</v>
      </c>
      <c r="BJ1003">
        <f t="shared" si="380"/>
        <v>0</v>
      </c>
      <c r="BK1003">
        <f t="shared" si="381"/>
        <v>0</v>
      </c>
      <c r="BL1003">
        <f t="shared" si="382"/>
        <v>0</v>
      </c>
      <c r="BM1003">
        <f t="shared" si="383"/>
        <v>0</v>
      </c>
      <c r="BN1003">
        <f t="shared" si="384"/>
        <v>0</v>
      </c>
      <c r="BO1003">
        <f t="shared" si="385"/>
        <v>0</v>
      </c>
      <c r="BP1003">
        <f t="shared" si="386"/>
        <v>0</v>
      </c>
      <c r="BQ1003">
        <f t="shared" si="387"/>
        <v>0</v>
      </c>
      <c r="BR1003">
        <f t="shared" si="388"/>
        <v>0</v>
      </c>
      <c r="BS1003">
        <f t="shared" si="389"/>
        <v>0</v>
      </c>
      <c r="BT1003">
        <f t="shared" si="390"/>
        <v>0</v>
      </c>
      <c r="BU1003">
        <f t="shared" si="391"/>
        <v>0</v>
      </c>
      <c r="BV1003">
        <f t="shared" si="392"/>
        <v>0</v>
      </c>
      <c r="BW1003">
        <f t="shared" si="393"/>
        <v>0</v>
      </c>
      <c r="CA1003" t="str">
        <f>IF(804&gt;ROWS(DGArchive[模组]),"",IF(INDEX(DGArchive[模组],804)="","",INDEX(DGArchive[模组],804)))</f>
        <v/>
      </c>
      <c r="CB1003" t="str">
        <f>IF(804&gt;ROWS(DGArchive[阶段]),"",IF(INDEX(DGArchive[阶段],804)="","",INDEX(DGArchive[阶段],804)))</f>
        <v/>
      </c>
      <c r="CC1003" t="str">
        <f>IF(804&gt;ROWS(DGArchive[游戏内日期]),"",IF(INDEX(DGArchive[游戏内日期],804)="","",INDEX(DGArchive[游戏内日期],804)))</f>
        <v/>
      </c>
      <c r="CD1003" t="str">
        <f>IF(804&gt;ROWS(DGArchive[目标]),"",IF(INDEX(DGArchive[目标],804)="","",INDEX(DGArchive[目标],804)))</f>
        <v/>
      </c>
      <c r="CE1003" t="str">
        <f>IF(804&gt;ROWS(DGArchive[变更前]),"",IF(INDEX(DGArchive[变更前],804)="","",INDEX(DGArchive[变更前],804)))</f>
        <v/>
      </c>
      <c r="CF1003" t="str">
        <f>IF(804&gt;ROWS(DGArchive[增减]),"",IF(INDEX(DGArchive[增减],804)="","",INDEX(DGArchive[增减],804)))</f>
        <v/>
      </c>
      <c r="CG1003" t="str">
        <f>IF(804&gt;ROWS(DGArchive[变更后]),"",IF(INDEX(DGArchive[变更后],804)="","",INDEX(DGArchive[变更后],804)))</f>
        <v/>
      </c>
      <c r="CH1003" t="str">
        <f>IF(804&gt;ROWS(DGArchive[事件／活动]),"",IF(INDEX(DGArchive[事件／活动],804)="","",INDEX(DGArchive[事件／活动],804)))</f>
        <v/>
      </c>
      <c r="CI1003" t="str">
        <f>IF(804&gt;ROWS(DGArchive[记录编号]),"",IF(INDEX(DGArchive[记录编号],804)="","",INDEX(DGArchive[记录编号],804)))</f>
        <v/>
      </c>
      <c r="CL1003">
        <f t="shared" si="374"/>
        <v>0</v>
      </c>
      <c r="CM1003">
        <f>IF(AND(A1003=$AO$5,B1003=$AQ$3,H1003=1),COUNTIFS($A$200:A1003,$AO$5,$B$200:B1003,$AQ$3,$H$200:H1003,1),0)</f>
        <v>0</v>
      </c>
      <c r="CN1003">
        <f>IF(CA1003="",804,1001)</f>
        <v>804</v>
      </c>
      <c r="GA1003">
        <f t="shared" si="394"/>
        <v>0</v>
      </c>
      <c r="GB1003">
        <f t="shared" si="395"/>
        <v>0</v>
      </c>
      <c r="GC1003">
        <f>IF(AND(C1003="事件记录",H1003=1),COUNTIFS($C$200:C1003,"事件记录",$H$200:H1003,1),0)</f>
        <v>0</v>
      </c>
      <c r="GD1003">
        <f t="shared" si="375"/>
        <v>0</v>
      </c>
      <c r="GH1003">
        <f>IF(AND(H1003=1,A1003=$GA$10,B1003=$GA$11),COUNTIFS($A$200:A1003,$GA$10,$B$200:B1003,$GA$11,$H$200:H1003,1),0)</f>
        <v>0</v>
      </c>
    </row>
    <row r="1004" spans="1:190">
      <c r="A1004" t="str">
        <f t="shared" si="366"/>
        <v/>
      </c>
      <c r="B1004" t="str">
        <f t="shared" si="367"/>
        <v/>
      </c>
      <c r="C1004" t="str">
        <f t="shared" si="368"/>
        <v/>
      </c>
      <c r="D1004" t="str">
        <f t="shared" si="369"/>
        <v/>
      </c>
      <c r="E1004">
        <f t="shared" si="370"/>
        <v>0</v>
      </c>
      <c r="F1004" t="str">
        <f t="shared" si="371"/>
        <v/>
      </c>
      <c r="G1004">
        <f t="shared" si="372"/>
        <v>0</v>
      </c>
      <c r="H1004">
        <f>IF(AND(G1004=1,COUNTIFS($I$200:I1004,I1004,$G$200:G1004,1)=1),1,0)</f>
        <v>0</v>
      </c>
      <c r="I1004" t="str">
        <f t="shared" si="373"/>
        <v/>
      </c>
      <c r="BF1004">
        <f t="shared" si="376"/>
        <v>0</v>
      </c>
      <c r="BG1004">
        <f t="shared" si="377"/>
        <v>0</v>
      </c>
      <c r="BH1004">
        <f t="shared" si="378"/>
        <v>0</v>
      </c>
      <c r="BI1004">
        <f t="shared" si="379"/>
        <v>0</v>
      </c>
      <c r="BJ1004">
        <f t="shared" si="380"/>
        <v>0</v>
      </c>
      <c r="BK1004">
        <f t="shared" si="381"/>
        <v>0</v>
      </c>
      <c r="BL1004">
        <f t="shared" si="382"/>
        <v>0</v>
      </c>
      <c r="BM1004">
        <f t="shared" si="383"/>
        <v>0</v>
      </c>
      <c r="BN1004">
        <f t="shared" si="384"/>
        <v>0</v>
      </c>
      <c r="BO1004">
        <f t="shared" si="385"/>
        <v>0</v>
      </c>
      <c r="BP1004">
        <f t="shared" si="386"/>
        <v>0</v>
      </c>
      <c r="BQ1004">
        <f t="shared" si="387"/>
        <v>0</v>
      </c>
      <c r="BR1004">
        <f t="shared" si="388"/>
        <v>0</v>
      </c>
      <c r="BS1004">
        <f t="shared" si="389"/>
        <v>0</v>
      </c>
      <c r="BT1004">
        <f t="shared" si="390"/>
        <v>0</v>
      </c>
      <c r="BU1004">
        <f t="shared" si="391"/>
        <v>0</v>
      </c>
      <c r="BV1004">
        <f t="shared" si="392"/>
        <v>0</v>
      </c>
      <c r="BW1004">
        <f t="shared" si="393"/>
        <v>0</v>
      </c>
      <c r="CA1004" t="str">
        <f>IF(805&gt;ROWS(DGArchive[模组]),"",IF(INDEX(DGArchive[模组],805)="","",INDEX(DGArchive[模组],805)))</f>
        <v/>
      </c>
      <c r="CB1004" t="str">
        <f>IF(805&gt;ROWS(DGArchive[阶段]),"",IF(INDEX(DGArchive[阶段],805)="","",INDEX(DGArchive[阶段],805)))</f>
        <v/>
      </c>
      <c r="CC1004" t="str">
        <f>IF(805&gt;ROWS(DGArchive[游戏内日期]),"",IF(INDEX(DGArchive[游戏内日期],805)="","",INDEX(DGArchive[游戏内日期],805)))</f>
        <v/>
      </c>
      <c r="CD1004" t="str">
        <f>IF(805&gt;ROWS(DGArchive[目标]),"",IF(INDEX(DGArchive[目标],805)="","",INDEX(DGArchive[目标],805)))</f>
        <v/>
      </c>
      <c r="CE1004" t="str">
        <f>IF(805&gt;ROWS(DGArchive[变更前]),"",IF(INDEX(DGArchive[变更前],805)="","",INDEX(DGArchive[变更前],805)))</f>
        <v/>
      </c>
      <c r="CF1004" t="str">
        <f>IF(805&gt;ROWS(DGArchive[增减]),"",IF(INDEX(DGArchive[增减],805)="","",INDEX(DGArchive[增减],805)))</f>
        <v/>
      </c>
      <c r="CG1004" t="str">
        <f>IF(805&gt;ROWS(DGArchive[变更后]),"",IF(INDEX(DGArchive[变更后],805)="","",INDEX(DGArchive[变更后],805)))</f>
        <v/>
      </c>
      <c r="CH1004" t="str">
        <f>IF(805&gt;ROWS(DGArchive[事件／活动]),"",IF(INDEX(DGArchive[事件／活动],805)="","",INDEX(DGArchive[事件／活动],805)))</f>
        <v/>
      </c>
      <c r="CI1004" t="str">
        <f>IF(805&gt;ROWS(DGArchive[记录编号]),"",IF(INDEX(DGArchive[记录编号],805)="","",INDEX(DGArchive[记录编号],805)))</f>
        <v/>
      </c>
      <c r="CL1004">
        <f t="shared" si="374"/>
        <v>0</v>
      </c>
      <c r="CM1004">
        <f>IF(AND(A1004=$AO$5,B1004=$AQ$3,H1004=1),COUNTIFS($A$200:A1004,$AO$5,$B$200:B1004,$AQ$3,$H$200:H1004,1),0)</f>
        <v>0</v>
      </c>
      <c r="CN1004">
        <f>IF(CA1004="",805,1001)</f>
        <v>805</v>
      </c>
      <c r="GA1004">
        <f t="shared" si="394"/>
        <v>0</v>
      </c>
      <c r="GB1004">
        <f t="shared" si="395"/>
        <v>0</v>
      </c>
      <c r="GC1004">
        <f>IF(AND(C1004="事件记录",H1004=1),COUNTIFS($C$200:C1004,"事件记录",$H$200:H1004,1),0)</f>
        <v>0</v>
      </c>
      <c r="GD1004">
        <f t="shared" si="375"/>
        <v>0</v>
      </c>
      <c r="GH1004">
        <f>IF(AND(H1004=1,A1004=$GA$10,B1004=$GA$11),COUNTIFS($A$200:A1004,$GA$10,$B$200:B1004,$GA$11,$H$200:H1004,1),0)</f>
        <v>0</v>
      </c>
    </row>
    <row r="1005" spans="1:190">
      <c r="A1005" t="str">
        <f t="shared" si="366"/>
        <v/>
      </c>
      <c r="B1005" t="str">
        <f t="shared" si="367"/>
        <v/>
      </c>
      <c r="C1005" t="str">
        <f t="shared" si="368"/>
        <v/>
      </c>
      <c r="D1005" t="str">
        <f t="shared" si="369"/>
        <v/>
      </c>
      <c r="E1005">
        <f t="shared" si="370"/>
        <v>0</v>
      </c>
      <c r="F1005" t="str">
        <f t="shared" si="371"/>
        <v/>
      </c>
      <c r="G1005">
        <f t="shared" si="372"/>
        <v>0</v>
      </c>
      <c r="H1005">
        <f>IF(AND(G1005=1,COUNTIFS($I$200:I1005,I1005,$G$200:G1005,1)=1),1,0)</f>
        <v>0</v>
      </c>
      <c r="I1005" t="str">
        <f t="shared" si="373"/>
        <v/>
      </c>
      <c r="BF1005">
        <f t="shared" si="376"/>
        <v>0</v>
      </c>
      <c r="BG1005">
        <f t="shared" si="377"/>
        <v>0</v>
      </c>
      <c r="BH1005">
        <f t="shared" si="378"/>
        <v>0</v>
      </c>
      <c r="BI1005">
        <f t="shared" si="379"/>
        <v>0</v>
      </c>
      <c r="BJ1005">
        <f t="shared" si="380"/>
        <v>0</v>
      </c>
      <c r="BK1005">
        <f t="shared" si="381"/>
        <v>0</v>
      </c>
      <c r="BL1005">
        <f t="shared" si="382"/>
        <v>0</v>
      </c>
      <c r="BM1005">
        <f t="shared" si="383"/>
        <v>0</v>
      </c>
      <c r="BN1005">
        <f t="shared" si="384"/>
        <v>0</v>
      </c>
      <c r="BO1005">
        <f t="shared" si="385"/>
        <v>0</v>
      </c>
      <c r="BP1005">
        <f t="shared" si="386"/>
        <v>0</v>
      </c>
      <c r="BQ1005">
        <f t="shared" si="387"/>
        <v>0</v>
      </c>
      <c r="BR1005">
        <f t="shared" si="388"/>
        <v>0</v>
      </c>
      <c r="BS1005">
        <f t="shared" si="389"/>
        <v>0</v>
      </c>
      <c r="BT1005">
        <f t="shared" si="390"/>
        <v>0</v>
      </c>
      <c r="BU1005">
        <f t="shared" si="391"/>
        <v>0</v>
      </c>
      <c r="BV1005">
        <f t="shared" si="392"/>
        <v>0</v>
      </c>
      <c r="BW1005">
        <f t="shared" si="393"/>
        <v>0</v>
      </c>
      <c r="CA1005" t="str">
        <f>IF(806&gt;ROWS(DGArchive[模组]),"",IF(INDEX(DGArchive[模组],806)="","",INDEX(DGArchive[模组],806)))</f>
        <v/>
      </c>
      <c r="CB1005" t="str">
        <f>IF(806&gt;ROWS(DGArchive[阶段]),"",IF(INDEX(DGArchive[阶段],806)="","",INDEX(DGArchive[阶段],806)))</f>
        <v/>
      </c>
      <c r="CC1005" t="str">
        <f>IF(806&gt;ROWS(DGArchive[游戏内日期]),"",IF(INDEX(DGArchive[游戏内日期],806)="","",INDEX(DGArchive[游戏内日期],806)))</f>
        <v/>
      </c>
      <c r="CD1005" t="str">
        <f>IF(806&gt;ROWS(DGArchive[目标]),"",IF(INDEX(DGArchive[目标],806)="","",INDEX(DGArchive[目标],806)))</f>
        <v/>
      </c>
      <c r="CE1005" t="str">
        <f>IF(806&gt;ROWS(DGArchive[变更前]),"",IF(INDEX(DGArchive[变更前],806)="","",INDEX(DGArchive[变更前],806)))</f>
        <v/>
      </c>
      <c r="CF1005" t="str">
        <f>IF(806&gt;ROWS(DGArchive[增减]),"",IF(INDEX(DGArchive[增减],806)="","",INDEX(DGArchive[增减],806)))</f>
        <v/>
      </c>
      <c r="CG1005" t="str">
        <f>IF(806&gt;ROWS(DGArchive[变更后]),"",IF(INDEX(DGArchive[变更后],806)="","",INDEX(DGArchive[变更后],806)))</f>
        <v/>
      </c>
      <c r="CH1005" t="str">
        <f>IF(806&gt;ROWS(DGArchive[事件／活动]),"",IF(INDEX(DGArchive[事件／活动],806)="","",INDEX(DGArchive[事件／活动],806)))</f>
        <v/>
      </c>
      <c r="CI1005" t="str">
        <f>IF(806&gt;ROWS(DGArchive[记录编号]),"",IF(INDEX(DGArchive[记录编号],806)="","",INDEX(DGArchive[记录编号],806)))</f>
        <v/>
      </c>
      <c r="CL1005">
        <f t="shared" si="374"/>
        <v>0</v>
      </c>
      <c r="CM1005">
        <f>IF(AND(A1005=$AO$5,B1005=$AQ$3,H1005=1),COUNTIFS($A$200:A1005,$AO$5,$B$200:B1005,$AQ$3,$H$200:H1005,1),0)</f>
        <v>0</v>
      </c>
      <c r="CN1005">
        <f>IF(CA1005="",806,1001)</f>
        <v>806</v>
      </c>
      <c r="GA1005">
        <f t="shared" si="394"/>
        <v>0</v>
      </c>
      <c r="GB1005">
        <f t="shared" si="395"/>
        <v>0</v>
      </c>
      <c r="GC1005">
        <f>IF(AND(C1005="事件记录",H1005=1),COUNTIFS($C$200:C1005,"事件记录",$H$200:H1005,1),0)</f>
        <v>0</v>
      </c>
      <c r="GD1005">
        <f t="shared" si="375"/>
        <v>0</v>
      </c>
      <c r="GH1005">
        <f>IF(AND(H1005=1,A1005=$GA$10,B1005=$GA$11),COUNTIFS($A$200:A1005,$GA$10,$B$200:B1005,$GA$11,$H$200:H1005,1),0)</f>
        <v>0</v>
      </c>
    </row>
    <row r="1006" spans="1:190">
      <c r="A1006" t="str">
        <f t="shared" si="366"/>
        <v/>
      </c>
      <c r="B1006" t="str">
        <f t="shared" si="367"/>
        <v/>
      </c>
      <c r="C1006" t="str">
        <f t="shared" si="368"/>
        <v/>
      </c>
      <c r="D1006" t="str">
        <f t="shared" si="369"/>
        <v/>
      </c>
      <c r="E1006">
        <f t="shared" si="370"/>
        <v>0</v>
      </c>
      <c r="F1006" t="str">
        <f t="shared" si="371"/>
        <v/>
      </c>
      <c r="G1006">
        <f t="shared" si="372"/>
        <v>0</v>
      </c>
      <c r="H1006">
        <f>IF(AND(G1006=1,COUNTIFS($I$200:I1006,I1006,$G$200:G1006,1)=1),1,0)</f>
        <v>0</v>
      </c>
      <c r="I1006" t="str">
        <f t="shared" si="373"/>
        <v/>
      </c>
      <c r="BF1006">
        <f t="shared" si="376"/>
        <v>0</v>
      </c>
      <c r="BG1006">
        <f t="shared" si="377"/>
        <v>0</v>
      </c>
      <c r="BH1006">
        <f t="shared" si="378"/>
        <v>0</v>
      </c>
      <c r="BI1006">
        <f t="shared" si="379"/>
        <v>0</v>
      </c>
      <c r="BJ1006">
        <f t="shared" si="380"/>
        <v>0</v>
      </c>
      <c r="BK1006">
        <f t="shared" si="381"/>
        <v>0</v>
      </c>
      <c r="BL1006">
        <f t="shared" si="382"/>
        <v>0</v>
      </c>
      <c r="BM1006">
        <f t="shared" si="383"/>
        <v>0</v>
      </c>
      <c r="BN1006">
        <f t="shared" si="384"/>
        <v>0</v>
      </c>
      <c r="BO1006">
        <f t="shared" si="385"/>
        <v>0</v>
      </c>
      <c r="BP1006">
        <f t="shared" si="386"/>
        <v>0</v>
      </c>
      <c r="BQ1006">
        <f t="shared" si="387"/>
        <v>0</v>
      </c>
      <c r="BR1006">
        <f t="shared" si="388"/>
        <v>0</v>
      </c>
      <c r="BS1006">
        <f t="shared" si="389"/>
        <v>0</v>
      </c>
      <c r="BT1006">
        <f t="shared" si="390"/>
        <v>0</v>
      </c>
      <c r="BU1006">
        <f t="shared" si="391"/>
        <v>0</v>
      </c>
      <c r="BV1006">
        <f t="shared" si="392"/>
        <v>0</v>
      </c>
      <c r="BW1006">
        <f t="shared" si="393"/>
        <v>0</v>
      </c>
      <c r="CA1006" t="str">
        <f>IF(807&gt;ROWS(DGArchive[模组]),"",IF(INDEX(DGArchive[模组],807)="","",INDEX(DGArchive[模组],807)))</f>
        <v/>
      </c>
      <c r="CB1006" t="str">
        <f>IF(807&gt;ROWS(DGArchive[阶段]),"",IF(INDEX(DGArchive[阶段],807)="","",INDEX(DGArchive[阶段],807)))</f>
        <v/>
      </c>
      <c r="CC1006" t="str">
        <f>IF(807&gt;ROWS(DGArchive[游戏内日期]),"",IF(INDEX(DGArchive[游戏内日期],807)="","",INDEX(DGArchive[游戏内日期],807)))</f>
        <v/>
      </c>
      <c r="CD1006" t="str">
        <f>IF(807&gt;ROWS(DGArchive[目标]),"",IF(INDEX(DGArchive[目标],807)="","",INDEX(DGArchive[目标],807)))</f>
        <v/>
      </c>
      <c r="CE1006" t="str">
        <f>IF(807&gt;ROWS(DGArchive[变更前]),"",IF(INDEX(DGArchive[变更前],807)="","",INDEX(DGArchive[变更前],807)))</f>
        <v/>
      </c>
      <c r="CF1006" t="str">
        <f>IF(807&gt;ROWS(DGArchive[增减]),"",IF(INDEX(DGArchive[增减],807)="","",INDEX(DGArchive[增减],807)))</f>
        <v/>
      </c>
      <c r="CG1006" t="str">
        <f>IF(807&gt;ROWS(DGArchive[变更后]),"",IF(INDEX(DGArchive[变更后],807)="","",INDEX(DGArchive[变更后],807)))</f>
        <v/>
      </c>
      <c r="CH1006" t="str">
        <f>IF(807&gt;ROWS(DGArchive[事件／活动]),"",IF(INDEX(DGArchive[事件／活动],807)="","",INDEX(DGArchive[事件／活动],807)))</f>
        <v/>
      </c>
      <c r="CI1006" t="str">
        <f>IF(807&gt;ROWS(DGArchive[记录编号]),"",IF(INDEX(DGArchive[记录编号],807)="","",INDEX(DGArchive[记录编号],807)))</f>
        <v/>
      </c>
      <c r="CL1006">
        <f t="shared" si="374"/>
        <v>0</v>
      </c>
      <c r="CM1006">
        <f>IF(AND(A1006=$AO$5,B1006=$AQ$3,H1006=1),COUNTIFS($A$200:A1006,$AO$5,$B$200:B1006,$AQ$3,$H$200:H1006,1),0)</f>
        <v>0</v>
      </c>
      <c r="CN1006">
        <f>IF(CA1006="",807,1001)</f>
        <v>807</v>
      </c>
      <c r="GA1006">
        <f t="shared" si="394"/>
        <v>0</v>
      </c>
      <c r="GB1006">
        <f t="shared" si="395"/>
        <v>0</v>
      </c>
      <c r="GC1006">
        <f>IF(AND(C1006="事件记录",H1006=1),COUNTIFS($C$200:C1006,"事件记录",$H$200:H1006,1),0)</f>
        <v>0</v>
      </c>
      <c r="GD1006">
        <f t="shared" si="375"/>
        <v>0</v>
      </c>
      <c r="GH1006">
        <f>IF(AND(H1006=1,A1006=$GA$10,B1006=$GA$11),COUNTIFS($A$200:A1006,$GA$10,$B$200:B1006,$GA$11,$H$200:H1006,1),0)</f>
        <v>0</v>
      </c>
    </row>
    <row r="1007" spans="1:190">
      <c r="A1007" t="str">
        <f t="shared" si="366"/>
        <v/>
      </c>
      <c r="B1007" t="str">
        <f t="shared" si="367"/>
        <v/>
      </c>
      <c r="C1007" t="str">
        <f t="shared" si="368"/>
        <v/>
      </c>
      <c r="D1007" t="str">
        <f t="shared" si="369"/>
        <v/>
      </c>
      <c r="E1007">
        <f t="shared" si="370"/>
        <v>0</v>
      </c>
      <c r="F1007" t="str">
        <f t="shared" si="371"/>
        <v/>
      </c>
      <c r="G1007">
        <f t="shared" si="372"/>
        <v>0</v>
      </c>
      <c r="H1007">
        <f>IF(AND(G1007=1,COUNTIFS($I$200:I1007,I1007,$G$200:G1007,1)=1),1,0)</f>
        <v>0</v>
      </c>
      <c r="I1007" t="str">
        <f t="shared" si="373"/>
        <v/>
      </c>
      <c r="BF1007">
        <f t="shared" si="376"/>
        <v>0</v>
      </c>
      <c r="BG1007">
        <f t="shared" si="377"/>
        <v>0</v>
      </c>
      <c r="BH1007">
        <f t="shared" si="378"/>
        <v>0</v>
      </c>
      <c r="BI1007">
        <f t="shared" si="379"/>
        <v>0</v>
      </c>
      <c r="BJ1007">
        <f t="shared" si="380"/>
        <v>0</v>
      </c>
      <c r="BK1007">
        <f t="shared" si="381"/>
        <v>0</v>
      </c>
      <c r="BL1007">
        <f t="shared" si="382"/>
        <v>0</v>
      </c>
      <c r="BM1007">
        <f t="shared" si="383"/>
        <v>0</v>
      </c>
      <c r="BN1007">
        <f t="shared" si="384"/>
        <v>0</v>
      </c>
      <c r="BO1007">
        <f t="shared" si="385"/>
        <v>0</v>
      </c>
      <c r="BP1007">
        <f t="shared" si="386"/>
        <v>0</v>
      </c>
      <c r="BQ1007">
        <f t="shared" si="387"/>
        <v>0</v>
      </c>
      <c r="BR1007">
        <f t="shared" si="388"/>
        <v>0</v>
      </c>
      <c r="BS1007">
        <f t="shared" si="389"/>
        <v>0</v>
      </c>
      <c r="BT1007">
        <f t="shared" si="390"/>
        <v>0</v>
      </c>
      <c r="BU1007">
        <f t="shared" si="391"/>
        <v>0</v>
      </c>
      <c r="BV1007">
        <f t="shared" si="392"/>
        <v>0</v>
      </c>
      <c r="BW1007">
        <f t="shared" si="393"/>
        <v>0</v>
      </c>
      <c r="CA1007" t="str">
        <f>IF(808&gt;ROWS(DGArchive[模组]),"",IF(INDEX(DGArchive[模组],808)="","",INDEX(DGArchive[模组],808)))</f>
        <v/>
      </c>
      <c r="CB1007" t="str">
        <f>IF(808&gt;ROWS(DGArchive[阶段]),"",IF(INDEX(DGArchive[阶段],808)="","",INDEX(DGArchive[阶段],808)))</f>
        <v/>
      </c>
      <c r="CC1007" t="str">
        <f>IF(808&gt;ROWS(DGArchive[游戏内日期]),"",IF(INDEX(DGArchive[游戏内日期],808)="","",INDEX(DGArchive[游戏内日期],808)))</f>
        <v/>
      </c>
      <c r="CD1007" t="str">
        <f>IF(808&gt;ROWS(DGArchive[目标]),"",IF(INDEX(DGArchive[目标],808)="","",INDEX(DGArchive[目标],808)))</f>
        <v/>
      </c>
      <c r="CE1007" t="str">
        <f>IF(808&gt;ROWS(DGArchive[变更前]),"",IF(INDEX(DGArchive[变更前],808)="","",INDEX(DGArchive[变更前],808)))</f>
        <v/>
      </c>
      <c r="CF1007" t="str">
        <f>IF(808&gt;ROWS(DGArchive[增减]),"",IF(INDEX(DGArchive[增减],808)="","",INDEX(DGArchive[增减],808)))</f>
        <v/>
      </c>
      <c r="CG1007" t="str">
        <f>IF(808&gt;ROWS(DGArchive[变更后]),"",IF(INDEX(DGArchive[变更后],808)="","",INDEX(DGArchive[变更后],808)))</f>
        <v/>
      </c>
      <c r="CH1007" t="str">
        <f>IF(808&gt;ROWS(DGArchive[事件／活动]),"",IF(INDEX(DGArchive[事件／活动],808)="","",INDEX(DGArchive[事件／活动],808)))</f>
        <v/>
      </c>
      <c r="CI1007" t="str">
        <f>IF(808&gt;ROWS(DGArchive[记录编号]),"",IF(INDEX(DGArchive[记录编号],808)="","",INDEX(DGArchive[记录编号],808)))</f>
        <v/>
      </c>
      <c r="CL1007">
        <f t="shared" si="374"/>
        <v>0</v>
      </c>
      <c r="CM1007">
        <f>IF(AND(A1007=$AO$5,B1007=$AQ$3,H1007=1),COUNTIFS($A$200:A1007,$AO$5,$B$200:B1007,$AQ$3,$H$200:H1007,1),0)</f>
        <v>0</v>
      </c>
      <c r="CN1007">
        <f>IF(CA1007="",808,1001)</f>
        <v>808</v>
      </c>
      <c r="GA1007">
        <f t="shared" si="394"/>
        <v>0</v>
      </c>
      <c r="GB1007">
        <f t="shared" si="395"/>
        <v>0</v>
      </c>
      <c r="GC1007">
        <f>IF(AND(C1007="事件记录",H1007=1),COUNTIFS($C$200:C1007,"事件记录",$H$200:H1007,1),0)</f>
        <v>0</v>
      </c>
      <c r="GD1007">
        <f t="shared" si="375"/>
        <v>0</v>
      </c>
      <c r="GH1007">
        <f>IF(AND(H1007=1,A1007=$GA$10,B1007=$GA$11),COUNTIFS($A$200:A1007,$GA$10,$B$200:B1007,$GA$11,$H$200:H1007,1),0)</f>
        <v>0</v>
      </c>
    </row>
    <row r="1008" spans="1:190">
      <c r="A1008" t="str">
        <f t="shared" si="366"/>
        <v/>
      </c>
      <c r="B1008" t="str">
        <f t="shared" si="367"/>
        <v/>
      </c>
      <c r="C1008" t="str">
        <f t="shared" si="368"/>
        <v/>
      </c>
      <c r="D1008" t="str">
        <f t="shared" si="369"/>
        <v/>
      </c>
      <c r="E1008">
        <f t="shared" si="370"/>
        <v>0</v>
      </c>
      <c r="F1008" t="str">
        <f t="shared" si="371"/>
        <v/>
      </c>
      <c r="G1008">
        <f t="shared" si="372"/>
        <v>0</v>
      </c>
      <c r="H1008">
        <f>IF(AND(G1008=1,COUNTIFS($I$200:I1008,I1008,$G$200:G1008,1)=1),1,0)</f>
        <v>0</v>
      </c>
      <c r="I1008" t="str">
        <f t="shared" si="373"/>
        <v/>
      </c>
      <c r="BF1008">
        <f t="shared" si="376"/>
        <v>0</v>
      </c>
      <c r="BG1008">
        <f t="shared" si="377"/>
        <v>0</v>
      </c>
      <c r="BH1008">
        <f t="shared" si="378"/>
        <v>0</v>
      </c>
      <c r="BI1008">
        <f t="shared" si="379"/>
        <v>0</v>
      </c>
      <c r="BJ1008">
        <f t="shared" si="380"/>
        <v>0</v>
      </c>
      <c r="BK1008">
        <f t="shared" si="381"/>
        <v>0</v>
      </c>
      <c r="BL1008">
        <f t="shared" si="382"/>
        <v>0</v>
      </c>
      <c r="BM1008">
        <f t="shared" si="383"/>
        <v>0</v>
      </c>
      <c r="BN1008">
        <f t="shared" si="384"/>
        <v>0</v>
      </c>
      <c r="BO1008">
        <f t="shared" si="385"/>
        <v>0</v>
      </c>
      <c r="BP1008">
        <f t="shared" si="386"/>
        <v>0</v>
      </c>
      <c r="BQ1008">
        <f t="shared" si="387"/>
        <v>0</v>
      </c>
      <c r="BR1008">
        <f t="shared" si="388"/>
        <v>0</v>
      </c>
      <c r="BS1008">
        <f t="shared" si="389"/>
        <v>0</v>
      </c>
      <c r="BT1008">
        <f t="shared" si="390"/>
        <v>0</v>
      </c>
      <c r="BU1008">
        <f t="shared" si="391"/>
        <v>0</v>
      </c>
      <c r="BV1008">
        <f t="shared" si="392"/>
        <v>0</v>
      </c>
      <c r="BW1008">
        <f t="shared" si="393"/>
        <v>0</v>
      </c>
      <c r="CA1008" t="str">
        <f>IF(809&gt;ROWS(DGArchive[模组]),"",IF(INDEX(DGArchive[模组],809)="","",INDEX(DGArchive[模组],809)))</f>
        <v/>
      </c>
      <c r="CB1008" t="str">
        <f>IF(809&gt;ROWS(DGArchive[阶段]),"",IF(INDEX(DGArchive[阶段],809)="","",INDEX(DGArchive[阶段],809)))</f>
        <v/>
      </c>
      <c r="CC1008" t="str">
        <f>IF(809&gt;ROWS(DGArchive[游戏内日期]),"",IF(INDEX(DGArchive[游戏内日期],809)="","",INDEX(DGArchive[游戏内日期],809)))</f>
        <v/>
      </c>
      <c r="CD1008" t="str">
        <f>IF(809&gt;ROWS(DGArchive[目标]),"",IF(INDEX(DGArchive[目标],809)="","",INDEX(DGArchive[目标],809)))</f>
        <v/>
      </c>
      <c r="CE1008" t="str">
        <f>IF(809&gt;ROWS(DGArchive[变更前]),"",IF(INDEX(DGArchive[变更前],809)="","",INDEX(DGArchive[变更前],809)))</f>
        <v/>
      </c>
      <c r="CF1008" t="str">
        <f>IF(809&gt;ROWS(DGArchive[增减]),"",IF(INDEX(DGArchive[增减],809)="","",INDEX(DGArchive[增减],809)))</f>
        <v/>
      </c>
      <c r="CG1008" t="str">
        <f>IF(809&gt;ROWS(DGArchive[变更后]),"",IF(INDEX(DGArchive[变更后],809)="","",INDEX(DGArchive[变更后],809)))</f>
        <v/>
      </c>
      <c r="CH1008" t="str">
        <f>IF(809&gt;ROWS(DGArchive[事件／活动]),"",IF(INDEX(DGArchive[事件／活动],809)="","",INDEX(DGArchive[事件／活动],809)))</f>
        <v/>
      </c>
      <c r="CI1008" t="str">
        <f>IF(809&gt;ROWS(DGArchive[记录编号]),"",IF(INDEX(DGArchive[记录编号],809)="","",INDEX(DGArchive[记录编号],809)))</f>
        <v/>
      </c>
      <c r="CL1008">
        <f t="shared" si="374"/>
        <v>0</v>
      </c>
      <c r="CM1008">
        <f>IF(AND(A1008=$AO$5,B1008=$AQ$3,H1008=1),COUNTIFS($A$200:A1008,$AO$5,$B$200:B1008,$AQ$3,$H$200:H1008,1),0)</f>
        <v>0</v>
      </c>
      <c r="CN1008">
        <f>IF(CA1008="",809,1001)</f>
        <v>809</v>
      </c>
      <c r="GA1008">
        <f t="shared" si="394"/>
        <v>0</v>
      </c>
      <c r="GB1008">
        <f t="shared" si="395"/>
        <v>0</v>
      </c>
      <c r="GC1008">
        <f>IF(AND(C1008="事件记录",H1008=1),COUNTIFS($C$200:C1008,"事件记录",$H$200:H1008,1),0)</f>
        <v>0</v>
      </c>
      <c r="GD1008">
        <f t="shared" si="375"/>
        <v>0</v>
      </c>
      <c r="GH1008">
        <f>IF(AND(H1008=1,A1008=$GA$10,B1008=$GA$11),COUNTIFS($A$200:A1008,$GA$10,$B$200:B1008,$GA$11,$H$200:H1008,1),0)</f>
        <v>0</v>
      </c>
    </row>
    <row r="1009" spans="1:190">
      <c r="A1009" t="str">
        <f t="shared" si="366"/>
        <v/>
      </c>
      <c r="B1009" t="str">
        <f t="shared" si="367"/>
        <v/>
      </c>
      <c r="C1009" t="str">
        <f t="shared" si="368"/>
        <v/>
      </c>
      <c r="D1009" t="str">
        <f t="shared" si="369"/>
        <v/>
      </c>
      <c r="E1009">
        <f t="shared" si="370"/>
        <v>0</v>
      </c>
      <c r="F1009" t="str">
        <f t="shared" si="371"/>
        <v/>
      </c>
      <c r="G1009">
        <f t="shared" si="372"/>
        <v>0</v>
      </c>
      <c r="H1009">
        <f>IF(AND(G1009=1,COUNTIFS($I$200:I1009,I1009,$G$200:G1009,1)=1),1,0)</f>
        <v>0</v>
      </c>
      <c r="I1009" t="str">
        <f t="shared" si="373"/>
        <v/>
      </c>
      <c r="BF1009">
        <f t="shared" si="376"/>
        <v>0</v>
      </c>
      <c r="BG1009">
        <f t="shared" si="377"/>
        <v>0</v>
      </c>
      <c r="BH1009">
        <f t="shared" si="378"/>
        <v>0</v>
      </c>
      <c r="BI1009">
        <f t="shared" si="379"/>
        <v>0</v>
      </c>
      <c r="BJ1009">
        <f t="shared" si="380"/>
        <v>0</v>
      </c>
      <c r="BK1009">
        <f t="shared" si="381"/>
        <v>0</v>
      </c>
      <c r="BL1009">
        <f t="shared" si="382"/>
        <v>0</v>
      </c>
      <c r="BM1009">
        <f t="shared" si="383"/>
        <v>0</v>
      </c>
      <c r="BN1009">
        <f t="shared" si="384"/>
        <v>0</v>
      </c>
      <c r="BO1009">
        <f t="shared" si="385"/>
        <v>0</v>
      </c>
      <c r="BP1009">
        <f t="shared" si="386"/>
        <v>0</v>
      </c>
      <c r="BQ1009">
        <f t="shared" si="387"/>
        <v>0</v>
      </c>
      <c r="BR1009">
        <f t="shared" si="388"/>
        <v>0</v>
      </c>
      <c r="BS1009">
        <f t="shared" si="389"/>
        <v>0</v>
      </c>
      <c r="BT1009">
        <f t="shared" si="390"/>
        <v>0</v>
      </c>
      <c r="BU1009">
        <f t="shared" si="391"/>
        <v>0</v>
      </c>
      <c r="BV1009">
        <f t="shared" si="392"/>
        <v>0</v>
      </c>
      <c r="BW1009">
        <f t="shared" si="393"/>
        <v>0</v>
      </c>
      <c r="CA1009" t="str">
        <f>IF(810&gt;ROWS(DGArchive[模组]),"",IF(INDEX(DGArchive[模组],810)="","",INDEX(DGArchive[模组],810)))</f>
        <v/>
      </c>
      <c r="CB1009" t="str">
        <f>IF(810&gt;ROWS(DGArchive[阶段]),"",IF(INDEX(DGArchive[阶段],810)="","",INDEX(DGArchive[阶段],810)))</f>
        <v/>
      </c>
      <c r="CC1009" t="str">
        <f>IF(810&gt;ROWS(DGArchive[游戏内日期]),"",IF(INDEX(DGArchive[游戏内日期],810)="","",INDEX(DGArchive[游戏内日期],810)))</f>
        <v/>
      </c>
      <c r="CD1009" t="str">
        <f>IF(810&gt;ROWS(DGArchive[目标]),"",IF(INDEX(DGArchive[目标],810)="","",INDEX(DGArchive[目标],810)))</f>
        <v/>
      </c>
      <c r="CE1009" t="str">
        <f>IF(810&gt;ROWS(DGArchive[变更前]),"",IF(INDEX(DGArchive[变更前],810)="","",INDEX(DGArchive[变更前],810)))</f>
        <v/>
      </c>
      <c r="CF1009" t="str">
        <f>IF(810&gt;ROWS(DGArchive[增减]),"",IF(INDEX(DGArchive[增减],810)="","",INDEX(DGArchive[增减],810)))</f>
        <v/>
      </c>
      <c r="CG1009" t="str">
        <f>IF(810&gt;ROWS(DGArchive[变更后]),"",IF(INDEX(DGArchive[变更后],810)="","",INDEX(DGArchive[变更后],810)))</f>
        <v/>
      </c>
      <c r="CH1009" t="str">
        <f>IF(810&gt;ROWS(DGArchive[事件／活动]),"",IF(INDEX(DGArchive[事件／活动],810)="","",INDEX(DGArchive[事件／活动],810)))</f>
        <v/>
      </c>
      <c r="CI1009" t="str">
        <f>IF(810&gt;ROWS(DGArchive[记录编号]),"",IF(INDEX(DGArchive[记录编号],810)="","",INDEX(DGArchive[记录编号],810)))</f>
        <v/>
      </c>
      <c r="CL1009">
        <f t="shared" si="374"/>
        <v>0</v>
      </c>
      <c r="CM1009">
        <f>IF(AND(A1009=$AO$5,B1009=$AQ$3,H1009=1),COUNTIFS($A$200:A1009,$AO$5,$B$200:B1009,$AQ$3,$H$200:H1009,1),0)</f>
        <v>0</v>
      </c>
      <c r="CN1009">
        <f>IF(CA1009="",810,1001)</f>
        <v>810</v>
      </c>
      <c r="GA1009">
        <f t="shared" si="394"/>
        <v>0</v>
      </c>
      <c r="GB1009">
        <f t="shared" si="395"/>
        <v>0</v>
      </c>
      <c r="GC1009">
        <f>IF(AND(C1009="事件记录",H1009=1),COUNTIFS($C$200:C1009,"事件记录",$H$200:H1009,1),0)</f>
        <v>0</v>
      </c>
      <c r="GD1009">
        <f t="shared" si="375"/>
        <v>0</v>
      </c>
      <c r="GH1009">
        <f>IF(AND(H1009=1,A1009=$GA$10,B1009=$GA$11),COUNTIFS($A$200:A1009,$GA$10,$B$200:B1009,$GA$11,$H$200:H1009,1),0)</f>
        <v>0</v>
      </c>
    </row>
    <row r="1010" spans="1:190">
      <c r="A1010" t="str">
        <f t="shared" si="366"/>
        <v/>
      </c>
      <c r="B1010" t="str">
        <f t="shared" si="367"/>
        <v/>
      </c>
      <c r="C1010" t="str">
        <f t="shared" si="368"/>
        <v/>
      </c>
      <c r="D1010" t="str">
        <f t="shared" si="369"/>
        <v/>
      </c>
      <c r="E1010">
        <f t="shared" si="370"/>
        <v>0</v>
      </c>
      <c r="F1010" t="str">
        <f t="shared" si="371"/>
        <v/>
      </c>
      <c r="G1010">
        <f t="shared" si="372"/>
        <v>0</v>
      </c>
      <c r="H1010">
        <f>IF(AND(G1010=1,COUNTIFS($I$200:I1010,I1010,$G$200:G1010,1)=1),1,0)</f>
        <v>0</v>
      </c>
      <c r="I1010" t="str">
        <f t="shared" si="373"/>
        <v/>
      </c>
      <c r="BF1010">
        <f t="shared" si="376"/>
        <v>0</v>
      </c>
      <c r="BG1010">
        <f t="shared" si="377"/>
        <v>0</v>
      </c>
      <c r="BH1010">
        <f t="shared" si="378"/>
        <v>0</v>
      </c>
      <c r="BI1010">
        <f t="shared" si="379"/>
        <v>0</v>
      </c>
      <c r="BJ1010">
        <f t="shared" si="380"/>
        <v>0</v>
      </c>
      <c r="BK1010">
        <f t="shared" si="381"/>
        <v>0</v>
      </c>
      <c r="BL1010">
        <f t="shared" si="382"/>
        <v>0</v>
      </c>
      <c r="BM1010">
        <f t="shared" si="383"/>
        <v>0</v>
      </c>
      <c r="BN1010">
        <f t="shared" si="384"/>
        <v>0</v>
      </c>
      <c r="BO1010">
        <f t="shared" si="385"/>
        <v>0</v>
      </c>
      <c r="BP1010">
        <f t="shared" si="386"/>
        <v>0</v>
      </c>
      <c r="BQ1010">
        <f t="shared" si="387"/>
        <v>0</v>
      </c>
      <c r="BR1010">
        <f t="shared" si="388"/>
        <v>0</v>
      </c>
      <c r="BS1010">
        <f t="shared" si="389"/>
        <v>0</v>
      </c>
      <c r="BT1010">
        <f t="shared" si="390"/>
        <v>0</v>
      </c>
      <c r="BU1010">
        <f t="shared" si="391"/>
        <v>0</v>
      </c>
      <c r="BV1010">
        <f t="shared" si="392"/>
        <v>0</v>
      </c>
      <c r="BW1010">
        <f t="shared" si="393"/>
        <v>0</v>
      </c>
      <c r="CA1010" t="str">
        <f>IF(811&gt;ROWS(DGArchive[模组]),"",IF(INDEX(DGArchive[模组],811)="","",INDEX(DGArchive[模组],811)))</f>
        <v/>
      </c>
      <c r="CB1010" t="str">
        <f>IF(811&gt;ROWS(DGArchive[阶段]),"",IF(INDEX(DGArchive[阶段],811)="","",INDEX(DGArchive[阶段],811)))</f>
        <v/>
      </c>
      <c r="CC1010" t="str">
        <f>IF(811&gt;ROWS(DGArchive[游戏内日期]),"",IF(INDEX(DGArchive[游戏内日期],811)="","",INDEX(DGArchive[游戏内日期],811)))</f>
        <v/>
      </c>
      <c r="CD1010" t="str">
        <f>IF(811&gt;ROWS(DGArchive[目标]),"",IF(INDEX(DGArchive[目标],811)="","",INDEX(DGArchive[目标],811)))</f>
        <v/>
      </c>
      <c r="CE1010" t="str">
        <f>IF(811&gt;ROWS(DGArchive[变更前]),"",IF(INDEX(DGArchive[变更前],811)="","",INDEX(DGArchive[变更前],811)))</f>
        <v/>
      </c>
      <c r="CF1010" t="str">
        <f>IF(811&gt;ROWS(DGArchive[增减]),"",IF(INDEX(DGArchive[增减],811)="","",INDEX(DGArchive[增减],811)))</f>
        <v/>
      </c>
      <c r="CG1010" t="str">
        <f>IF(811&gt;ROWS(DGArchive[变更后]),"",IF(INDEX(DGArchive[变更后],811)="","",INDEX(DGArchive[变更后],811)))</f>
        <v/>
      </c>
      <c r="CH1010" t="str">
        <f>IF(811&gt;ROWS(DGArchive[事件／活动]),"",IF(INDEX(DGArchive[事件／活动],811)="","",INDEX(DGArchive[事件／活动],811)))</f>
        <v/>
      </c>
      <c r="CI1010" t="str">
        <f>IF(811&gt;ROWS(DGArchive[记录编号]),"",IF(INDEX(DGArchive[记录编号],811)="","",INDEX(DGArchive[记录编号],811)))</f>
        <v/>
      </c>
      <c r="CL1010">
        <f t="shared" si="374"/>
        <v>0</v>
      </c>
      <c r="CM1010">
        <f>IF(AND(A1010=$AO$5,B1010=$AQ$3,H1010=1),COUNTIFS($A$200:A1010,$AO$5,$B$200:B1010,$AQ$3,$H$200:H1010,1),0)</f>
        <v>0</v>
      </c>
      <c r="CN1010">
        <f>IF(CA1010="",811,1001)</f>
        <v>811</v>
      </c>
      <c r="GA1010">
        <f t="shared" si="394"/>
        <v>0</v>
      </c>
      <c r="GB1010">
        <f t="shared" si="395"/>
        <v>0</v>
      </c>
      <c r="GC1010">
        <f>IF(AND(C1010="事件记录",H1010=1),COUNTIFS($C$200:C1010,"事件记录",$H$200:H1010,1),0)</f>
        <v>0</v>
      </c>
      <c r="GD1010">
        <f t="shared" si="375"/>
        <v>0</v>
      </c>
      <c r="GH1010">
        <f>IF(AND(H1010=1,A1010=$GA$10,B1010=$GA$11),COUNTIFS($A$200:A1010,$GA$10,$B$200:B1010,$GA$11,$H$200:H1010,1),0)</f>
        <v>0</v>
      </c>
    </row>
    <row r="1011" spans="1:190">
      <c r="A1011" t="str">
        <f t="shared" si="366"/>
        <v/>
      </c>
      <c r="B1011" t="str">
        <f t="shared" si="367"/>
        <v/>
      </c>
      <c r="C1011" t="str">
        <f t="shared" si="368"/>
        <v/>
      </c>
      <c r="D1011" t="str">
        <f t="shared" si="369"/>
        <v/>
      </c>
      <c r="E1011">
        <f t="shared" si="370"/>
        <v>0</v>
      </c>
      <c r="F1011" t="str">
        <f t="shared" si="371"/>
        <v/>
      </c>
      <c r="G1011">
        <f t="shared" si="372"/>
        <v>0</v>
      </c>
      <c r="H1011">
        <f>IF(AND(G1011=1,COUNTIFS($I$200:I1011,I1011,$G$200:G1011,1)=1),1,0)</f>
        <v>0</v>
      </c>
      <c r="I1011" t="str">
        <f t="shared" si="373"/>
        <v/>
      </c>
      <c r="BF1011">
        <f t="shared" si="376"/>
        <v>0</v>
      </c>
      <c r="BG1011">
        <f t="shared" si="377"/>
        <v>0</v>
      </c>
      <c r="BH1011">
        <f t="shared" si="378"/>
        <v>0</v>
      </c>
      <c r="BI1011">
        <f t="shared" si="379"/>
        <v>0</v>
      </c>
      <c r="BJ1011">
        <f t="shared" si="380"/>
        <v>0</v>
      </c>
      <c r="BK1011">
        <f t="shared" si="381"/>
        <v>0</v>
      </c>
      <c r="BL1011">
        <f t="shared" si="382"/>
        <v>0</v>
      </c>
      <c r="BM1011">
        <f t="shared" si="383"/>
        <v>0</v>
      </c>
      <c r="BN1011">
        <f t="shared" si="384"/>
        <v>0</v>
      </c>
      <c r="BO1011">
        <f t="shared" si="385"/>
        <v>0</v>
      </c>
      <c r="BP1011">
        <f t="shared" si="386"/>
        <v>0</v>
      </c>
      <c r="BQ1011">
        <f t="shared" si="387"/>
        <v>0</v>
      </c>
      <c r="BR1011">
        <f t="shared" si="388"/>
        <v>0</v>
      </c>
      <c r="BS1011">
        <f t="shared" si="389"/>
        <v>0</v>
      </c>
      <c r="BT1011">
        <f t="shared" si="390"/>
        <v>0</v>
      </c>
      <c r="BU1011">
        <f t="shared" si="391"/>
        <v>0</v>
      </c>
      <c r="BV1011">
        <f t="shared" si="392"/>
        <v>0</v>
      </c>
      <c r="BW1011">
        <f t="shared" si="393"/>
        <v>0</v>
      </c>
      <c r="CA1011" t="str">
        <f>IF(812&gt;ROWS(DGArchive[模组]),"",IF(INDEX(DGArchive[模组],812)="","",INDEX(DGArchive[模组],812)))</f>
        <v/>
      </c>
      <c r="CB1011" t="str">
        <f>IF(812&gt;ROWS(DGArchive[阶段]),"",IF(INDEX(DGArchive[阶段],812)="","",INDEX(DGArchive[阶段],812)))</f>
        <v/>
      </c>
      <c r="CC1011" t="str">
        <f>IF(812&gt;ROWS(DGArchive[游戏内日期]),"",IF(INDEX(DGArchive[游戏内日期],812)="","",INDEX(DGArchive[游戏内日期],812)))</f>
        <v/>
      </c>
      <c r="CD1011" t="str">
        <f>IF(812&gt;ROWS(DGArchive[目标]),"",IF(INDEX(DGArchive[目标],812)="","",INDEX(DGArchive[目标],812)))</f>
        <v/>
      </c>
      <c r="CE1011" t="str">
        <f>IF(812&gt;ROWS(DGArchive[变更前]),"",IF(INDEX(DGArchive[变更前],812)="","",INDEX(DGArchive[变更前],812)))</f>
        <v/>
      </c>
      <c r="CF1011" t="str">
        <f>IF(812&gt;ROWS(DGArchive[增减]),"",IF(INDEX(DGArchive[增减],812)="","",INDEX(DGArchive[增减],812)))</f>
        <v/>
      </c>
      <c r="CG1011" t="str">
        <f>IF(812&gt;ROWS(DGArchive[变更后]),"",IF(INDEX(DGArchive[变更后],812)="","",INDEX(DGArchive[变更后],812)))</f>
        <v/>
      </c>
      <c r="CH1011" t="str">
        <f>IF(812&gt;ROWS(DGArchive[事件／活动]),"",IF(INDEX(DGArchive[事件／活动],812)="","",INDEX(DGArchive[事件／活动],812)))</f>
        <v/>
      </c>
      <c r="CI1011" t="str">
        <f>IF(812&gt;ROWS(DGArchive[记录编号]),"",IF(INDEX(DGArchive[记录编号],812)="","",INDEX(DGArchive[记录编号],812)))</f>
        <v/>
      </c>
      <c r="CL1011">
        <f t="shared" si="374"/>
        <v>0</v>
      </c>
      <c r="CM1011">
        <f>IF(AND(A1011=$AO$5,B1011=$AQ$3,H1011=1),COUNTIFS($A$200:A1011,$AO$5,$B$200:B1011,$AQ$3,$H$200:H1011,1),0)</f>
        <v>0</v>
      </c>
      <c r="CN1011">
        <f>IF(CA1011="",812,1001)</f>
        <v>812</v>
      </c>
      <c r="GA1011">
        <f t="shared" si="394"/>
        <v>0</v>
      </c>
      <c r="GB1011">
        <f t="shared" si="395"/>
        <v>0</v>
      </c>
      <c r="GC1011">
        <f>IF(AND(C1011="事件记录",H1011=1),COUNTIFS($C$200:C1011,"事件记录",$H$200:H1011,1),0)</f>
        <v>0</v>
      </c>
      <c r="GD1011">
        <f t="shared" si="375"/>
        <v>0</v>
      </c>
      <c r="GH1011">
        <f>IF(AND(H1011=1,A1011=$GA$10,B1011=$GA$11),COUNTIFS($A$200:A1011,$GA$10,$B$200:B1011,$GA$11,$H$200:H1011,1),0)</f>
        <v>0</v>
      </c>
    </row>
    <row r="1012" spans="1:190">
      <c r="A1012" t="str">
        <f t="shared" si="366"/>
        <v/>
      </c>
      <c r="B1012" t="str">
        <f t="shared" si="367"/>
        <v/>
      </c>
      <c r="C1012" t="str">
        <f t="shared" si="368"/>
        <v/>
      </c>
      <c r="D1012" t="str">
        <f t="shared" si="369"/>
        <v/>
      </c>
      <c r="E1012">
        <f t="shared" si="370"/>
        <v>0</v>
      </c>
      <c r="F1012" t="str">
        <f t="shared" si="371"/>
        <v/>
      </c>
      <c r="G1012">
        <f t="shared" si="372"/>
        <v>0</v>
      </c>
      <c r="H1012">
        <f>IF(AND(G1012=1,COUNTIFS($I$200:I1012,I1012,$G$200:G1012,1)=1),1,0)</f>
        <v>0</v>
      </c>
      <c r="I1012" t="str">
        <f t="shared" si="373"/>
        <v/>
      </c>
      <c r="BF1012">
        <f t="shared" si="376"/>
        <v>0</v>
      </c>
      <c r="BG1012">
        <f t="shared" si="377"/>
        <v>0</v>
      </c>
      <c r="BH1012">
        <f t="shared" si="378"/>
        <v>0</v>
      </c>
      <c r="BI1012">
        <f t="shared" si="379"/>
        <v>0</v>
      </c>
      <c r="BJ1012">
        <f t="shared" si="380"/>
        <v>0</v>
      </c>
      <c r="BK1012">
        <f t="shared" si="381"/>
        <v>0</v>
      </c>
      <c r="BL1012">
        <f t="shared" si="382"/>
        <v>0</v>
      </c>
      <c r="BM1012">
        <f t="shared" si="383"/>
        <v>0</v>
      </c>
      <c r="BN1012">
        <f t="shared" si="384"/>
        <v>0</v>
      </c>
      <c r="BO1012">
        <f t="shared" si="385"/>
        <v>0</v>
      </c>
      <c r="BP1012">
        <f t="shared" si="386"/>
        <v>0</v>
      </c>
      <c r="BQ1012">
        <f t="shared" si="387"/>
        <v>0</v>
      </c>
      <c r="BR1012">
        <f t="shared" si="388"/>
        <v>0</v>
      </c>
      <c r="BS1012">
        <f t="shared" si="389"/>
        <v>0</v>
      </c>
      <c r="BT1012">
        <f t="shared" si="390"/>
        <v>0</v>
      </c>
      <c r="BU1012">
        <f t="shared" si="391"/>
        <v>0</v>
      </c>
      <c r="BV1012">
        <f t="shared" si="392"/>
        <v>0</v>
      </c>
      <c r="BW1012">
        <f t="shared" si="393"/>
        <v>0</v>
      </c>
      <c r="CA1012" t="str">
        <f>IF(813&gt;ROWS(DGArchive[模组]),"",IF(INDEX(DGArchive[模组],813)="","",INDEX(DGArchive[模组],813)))</f>
        <v/>
      </c>
      <c r="CB1012" t="str">
        <f>IF(813&gt;ROWS(DGArchive[阶段]),"",IF(INDEX(DGArchive[阶段],813)="","",INDEX(DGArchive[阶段],813)))</f>
        <v/>
      </c>
      <c r="CC1012" t="str">
        <f>IF(813&gt;ROWS(DGArchive[游戏内日期]),"",IF(INDEX(DGArchive[游戏内日期],813)="","",INDEX(DGArchive[游戏内日期],813)))</f>
        <v/>
      </c>
      <c r="CD1012" t="str">
        <f>IF(813&gt;ROWS(DGArchive[目标]),"",IF(INDEX(DGArchive[目标],813)="","",INDEX(DGArchive[目标],813)))</f>
        <v/>
      </c>
      <c r="CE1012" t="str">
        <f>IF(813&gt;ROWS(DGArchive[变更前]),"",IF(INDEX(DGArchive[变更前],813)="","",INDEX(DGArchive[变更前],813)))</f>
        <v/>
      </c>
      <c r="CF1012" t="str">
        <f>IF(813&gt;ROWS(DGArchive[增减]),"",IF(INDEX(DGArchive[增减],813)="","",INDEX(DGArchive[增减],813)))</f>
        <v/>
      </c>
      <c r="CG1012" t="str">
        <f>IF(813&gt;ROWS(DGArchive[变更后]),"",IF(INDEX(DGArchive[变更后],813)="","",INDEX(DGArchive[变更后],813)))</f>
        <v/>
      </c>
      <c r="CH1012" t="str">
        <f>IF(813&gt;ROWS(DGArchive[事件／活动]),"",IF(INDEX(DGArchive[事件／活动],813)="","",INDEX(DGArchive[事件／活动],813)))</f>
        <v/>
      </c>
      <c r="CI1012" t="str">
        <f>IF(813&gt;ROWS(DGArchive[记录编号]),"",IF(INDEX(DGArchive[记录编号],813)="","",INDEX(DGArchive[记录编号],813)))</f>
        <v/>
      </c>
      <c r="CL1012">
        <f t="shared" si="374"/>
        <v>0</v>
      </c>
      <c r="CM1012">
        <f>IF(AND(A1012=$AO$5,B1012=$AQ$3,H1012=1),COUNTIFS($A$200:A1012,$AO$5,$B$200:B1012,$AQ$3,$H$200:H1012,1),0)</f>
        <v>0</v>
      </c>
      <c r="CN1012">
        <f>IF(CA1012="",813,1001)</f>
        <v>813</v>
      </c>
      <c r="GA1012">
        <f t="shared" si="394"/>
        <v>0</v>
      </c>
      <c r="GB1012">
        <f t="shared" si="395"/>
        <v>0</v>
      </c>
      <c r="GC1012">
        <f>IF(AND(C1012="事件记录",H1012=1),COUNTIFS($C$200:C1012,"事件记录",$H$200:H1012,1),0)</f>
        <v>0</v>
      </c>
      <c r="GD1012">
        <f t="shared" si="375"/>
        <v>0</v>
      </c>
      <c r="GH1012">
        <f>IF(AND(H1012=1,A1012=$GA$10,B1012=$GA$11),COUNTIFS($A$200:A1012,$GA$10,$B$200:B1012,$GA$11,$H$200:H1012,1),0)</f>
        <v>0</v>
      </c>
    </row>
    <row r="1013" spans="1:190">
      <c r="A1013" t="str">
        <f t="shared" si="366"/>
        <v/>
      </c>
      <c r="B1013" t="str">
        <f t="shared" si="367"/>
        <v/>
      </c>
      <c r="C1013" t="str">
        <f t="shared" si="368"/>
        <v/>
      </c>
      <c r="D1013" t="str">
        <f t="shared" si="369"/>
        <v/>
      </c>
      <c r="E1013">
        <f t="shared" si="370"/>
        <v>0</v>
      </c>
      <c r="F1013" t="str">
        <f t="shared" si="371"/>
        <v/>
      </c>
      <c r="G1013">
        <f t="shared" si="372"/>
        <v>0</v>
      </c>
      <c r="H1013">
        <f>IF(AND(G1013=1,COUNTIFS($I$200:I1013,I1013,$G$200:G1013,1)=1),1,0)</f>
        <v>0</v>
      </c>
      <c r="I1013" t="str">
        <f t="shared" si="373"/>
        <v/>
      </c>
      <c r="BF1013">
        <f t="shared" si="376"/>
        <v>0</v>
      </c>
      <c r="BG1013">
        <f t="shared" si="377"/>
        <v>0</v>
      </c>
      <c r="BH1013">
        <f t="shared" si="378"/>
        <v>0</v>
      </c>
      <c r="BI1013">
        <f t="shared" si="379"/>
        <v>0</v>
      </c>
      <c r="BJ1013">
        <f t="shared" si="380"/>
        <v>0</v>
      </c>
      <c r="BK1013">
        <f t="shared" si="381"/>
        <v>0</v>
      </c>
      <c r="BL1013">
        <f t="shared" si="382"/>
        <v>0</v>
      </c>
      <c r="BM1013">
        <f t="shared" si="383"/>
        <v>0</v>
      </c>
      <c r="BN1013">
        <f t="shared" si="384"/>
        <v>0</v>
      </c>
      <c r="BO1013">
        <f t="shared" si="385"/>
        <v>0</v>
      </c>
      <c r="BP1013">
        <f t="shared" si="386"/>
        <v>0</v>
      </c>
      <c r="BQ1013">
        <f t="shared" si="387"/>
        <v>0</v>
      </c>
      <c r="BR1013">
        <f t="shared" si="388"/>
        <v>0</v>
      </c>
      <c r="BS1013">
        <f t="shared" si="389"/>
        <v>0</v>
      </c>
      <c r="BT1013">
        <f t="shared" si="390"/>
        <v>0</v>
      </c>
      <c r="BU1013">
        <f t="shared" si="391"/>
        <v>0</v>
      </c>
      <c r="BV1013">
        <f t="shared" si="392"/>
        <v>0</v>
      </c>
      <c r="BW1013">
        <f t="shared" si="393"/>
        <v>0</v>
      </c>
      <c r="CA1013" t="str">
        <f>IF(814&gt;ROWS(DGArchive[模组]),"",IF(INDEX(DGArchive[模组],814)="","",INDEX(DGArchive[模组],814)))</f>
        <v/>
      </c>
      <c r="CB1013" t="str">
        <f>IF(814&gt;ROWS(DGArchive[阶段]),"",IF(INDEX(DGArchive[阶段],814)="","",INDEX(DGArchive[阶段],814)))</f>
        <v/>
      </c>
      <c r="CC1013" t="str">
        <f>IF(814&gt;ROWS(DGArchive[游戏内日期]),"",IF(INDEX(DGArchive[游戏内日期],814)="","",INDEX(DGArchive[游戏内日期],814)))</f>
        <v/>
      </c>
      <c r="CD1013" t="str">
        <f>IF(814&gt;ROWS(DGArchive[目标]),"",IF(INDEX(DGArchive[目标],814)="","",INDEX(DGArchive[目标],814)))</f>
        <v/>
      </c>
      <c r="CE1013" t="str">
        <f>IF(814&gt;ROWS(DGArchive[变更前]),"",IF(INDEX(DGArchive[变更前],814)="","",INDEX(DGArchive[变更前],814)))</f>
        <v/>
      </c>
      <c r="CF1013" t="str">
        <f>IF(814&gt;ROWS(DGArchive[增减]),"",IF(INDEX(DGArchive[增减],814)="","",INDEX(DGArchive[增减],814)))</f>
        <v/>
      </c>
      <c r="CG1013" t="str">
        <f>IF(814&gt;ROWS(DGArchive[变更后]),"",IF(INDEX(DGArchive[变更后],814)="","",INDEX(DGArchive[变更后],814)))</f>
        <v/>
      </c>
      <c r="CH1013" t="str">
        <f>IF(814&gt;ROWS(DGArchive[事件／活动]),"",IF(INDEX(DGArchive[事件／活动],814)="","",INDEX(DGArchive[事件／活动],814)))</f>
        <v/>
      </c>
      <c r="CI1013" t="str">
        <f>IF(814&gt;ROWS(DGArchive[记录编号]),"",IF(INDEX(DGArchive[记录编号],814)="","",INDEX(DGArchive[记录编号],814)))</f>
        <v/>
      </c>
      <c r="CL1013">
        <f t="shared" si="374"/>
        <v>0</v>
      </c>
      <c r="CM1013">
        <f>IF(AND(A1013=$AO$5,B1013=$AQ$3,H1013=1),COUNTIFS($A$200:A1013,$AO$5,$B$200:B1013,$AQ$3,$H$200:H1013,1),0)</f>
        <v>0</v>
      </c>
      <c r="CN1013">
        <f>IF(CA1013="",814,1001)</f>
        <v>814</v>
      </c>
      <c r="GA1013">
        <f t="shared" si="394"/>
        <v>0</v>
      </c>
      <c r="GB1013">
        <f t="shared" si="395"/>
        <v>0</v>
      </c>
      <c r="GC1013">
        <f>IF(AND(C1013="事件记录",H1013=1),COUNTIFS($C$200:C1013,"事件记录",$H$200:H1013,1),0)</f>
        <v>0</v>
      </c>
      <c r="GD1013">
        <f t="shared" si="375"/>
        <v>0</v>
      </c>
      <c r="GH1013">
        <f>IF(AND(H1013=1,A1013=$GA$10,B1013=$GA$11),COUNTIFS($A$200:A1013,$GA$10,$B$200:B1013,$GA$11,$H$200:H1013,1),0)</f>
        <v>0</v>
      </c>
    </row>
    <row r="1014" spans="1:190">
      <c r="A1014" t="str">
        <f t="shared" si="366"/>
        <v/>
      </c>
      <c r="B1014" t="str">
        <f t="shared" si="367"/>
        <v/>
      </c>
      <c r="C1014" t="str">
        <f t="shared" si="368"/>
        <v/>
      </c>
      <c r="D1014" t="str">
        <f t="shared" si="369"/>
        <v/>
      </c>
      <c r="E1014">
        <f t="shared" si="370"/>
        <v>0</v>
      </c>
      <c r="F1014" t="str">
        <f t="shared" si="371"/>
        <v/>
      </c>
      <c r="G1014">
        <f t="shared" si="372"/>
        <v>0</v>
      </c>
      <c r="H1014">
        <f>IF(AND(G1014=1,COUNTIFS($I$200:I1014,I1014,$G$200:G1014,1)=1),1,0)</f>
        <v>0</v>
      </c>
      <c r="I1014" t="str">
        <f t="shared" si="373"/>
        <v/>
      </c>
      <c r="BF1014">
        <f t="shared" si="376"/>
        <v>0</v>
      </c>
      <c r="BG1014">
        <f t="shared" si="377"/>
        <v>0</v>
      </c>
      <c r="BH1014">
        <f t="shared" si="378"/>
        <v>0</v>
      </c>
      <c r="BI1014">
        <f t="shared" si="379"/>
        <v>0</v>
      </c>
      <c r="BJ1014">
        <f t="shared" si="380"/>
        <v>0</v>
      </c>
      <c r="BK1014">
        <f t="shared" si="381"/>
        <v>0</v>
      </c>
      <c r="BL1014">
        <f t="shared" si="382"/>
        <v>0</v>
      </c>
      <c r="BM1014">
        <f t="shared" si="383"/>
        <v>0</v>
      </c>
      <c r="BN1014">
        <f t="shared" si="384"/>
        <v>0</v>
      </c>
      <c r="BO1014">
        <f t="shared" si="385"/>
        <v>0</v>
      </c>
      <c r="BP1014">
        <f t="shared" si="386"/>
        <v>0</v>
      </c>
      <c r="BQ1014">
        <f t="shared" si="387"/>
        <v>0</v>
      </c>
      <c r="BR1014">
        <f t="shared" si="388"/>
        <v>0</v>
      </c>
      <c r="BS1014">
        <f t="shared" si="389"/>
        <v>0</v>
      </c>
      <c r="BT1014">
        <f t="shared" si="390"/>
        <v>0</v>
      </c>
      <c r="BU1014">
        <f t="shared" si="391"/>
        <v>0</v>
      </c>
      <c r="BV1014">
        <f t="shared" si="392"/>
        <v>0</v>
      </c>
      <c r="BW1014">
        <f t="shared" si="393"/>
        <v>0</v>
      </c>
      <c r="CA1014" t="str">
        <f>IF(815&gt;ROWS(DGArchive[模组]),"",IF(INDEX(DGArchive[模组],815)="","",INDEX(DGArchive[模组],815)))</f>
        <v/>
      </c>
      <c r="CB1014" t="str">
        <f>IF(815&gt;ROWS(DGArchive[阶段]),"",IF(INDEX(DGArchive[阶段],815)="","",INDEX(DGArchive[阶段],815)))</f>
        <v/>
      </c>
      <c r="CC1014" t="str">
        <f>IF(815&gt;ROWS(DGArchive[游戏内日期]),"",IF(INDEX(DGArchive[游戏内日期],815)="","",INDEX(DGArchive[游戏内日期],815)))</f>
        <v/>
      </c>
      <c r="CD1014" t="str">
        <f>IF(815&gt;ROWS(DGArchive[目标]),"",IF(INDEX(DGArchive[目标],815)="","",INDEX(DGArchive[目标],815)))</f>
        <v/>
      </c>
      <c r="CE1014" t="str">
        <f>IF(815&gt;ROWS(DGArchive[变更前]),"",IF(INDEX(DGArchive[变更前],815)="","",INDEX(DGArchive[变更前],815)))</f>
        <v/>
      </c>
      <c r="CF1014" t="str">
        <f>IF(815&gt;ROWS(DGArchive[增减]),"",IF(INDEX(DGArchive[增减],815)="","",INDEX(DGArchive[增减],815)))</f>
        <v/>
      </c>
      <c r="CG1014" t="str">
        <f>IF(815&gt;ROWS(DGArchive[变更后]),"",IF(INDEX(DGArchive[变更后],815)="","",INDEX(DGArchive[变更后],815)))</f>
        <v/>
      </c>
      <c r="CH1014" t="str">
        <f>IF(815&gt;ROWS(DGArchive[事件／活动]),"",IF(INDEX(DGArchive[事件／活动],815)="","",INDEX(DGArchive[事件／活动],815)))</f>
        <v/>
      </c>
      <c r="CI1014" t="str">
        <f>IF(815&gt;ROWS(DGArchive[记录编号]),"",IF(INDEX(DGArchive[记录编号],815)="","",INDEX(DGArchive[记录编号],815)))</f>
        <v/>
      </c>
      <c r="CL1014">
        <f t="shared" si="374"/>
        <v>0</v>
      </c>
      <c r="CM1014">
        <f>IF(AND(A1014=$AO$5,B1014=$AQ$3,H1014=1),COUNTIFS($A$200:A1014,$AO$5,$B$200:B1014,$AQ$3,$H$200:H1014,1),0)</f>
        <v>0</v>
      </c>
      <c r="CN1014">
        <f>IF(CA1014="",815,1001)</f>
        <v>815</v>
      </c>
      <c r="GA1014">
        <f t="shared" si="394"/>
        <v>0</v>
      </c>
      <c r="GB1014">
        <f t="shared" si="395"/>
        <v>0</v>
      </c>
      <c r="GC1014">
        <f>IF(AND(C1014="事件记录",H1014=1),COUNTIFS($C$200:C1014,"事件记录",$H$200:H1014,1),0)</f>
        <v>0</v>
      </c>
      <c r="GD1014">
        <f t="shared" si="375"/>
        <v>0</v>
      </c>
      <c r="GH1014">
        <f>IF(AND(H1014=1,A1014=$GA$10,B1014=$GA$11),COUNTIFS($A$200:A1014,$GA$10,$B$200:B1014,$GA$11,$H$200:H1014,1),0)</f>
        <v>0</v>
      </c>
    </row>
    <row r="1015" spans="1:190">
      <c r="A1015" t="str">
        <f t="shared" si="366"/>
        <v/>
      </c>
      <c r="B1015" t="str">
        <f t="shared" si="367"/>
        <v/>
      </c>
      <c r="C1015" t="str">
        <f t="shared" si="368"/>
        <v/>
      </c>
      <c r="D1015" t="str">
        <f t="shared" si="369"/>
        <v/>
      </c>
      <c r="E1015">
        <f t="shared" si="370"/>
        <v>0</v>
      </c>
      <c r="F1015" t="str">
        <f t="shared" si="371"/>
        <v/>
      </c>
      <c r="G1015">
        <f t="shared" si="372"/>
        <v>0</v>
      </c>
      <c r="H1015">
        <f>IF(AND(G1015=1,COUNTIFS($I$200:I1015,I1015,$G$200:G1015,1)=1),1,0)</f>
        <v>0</v>
      </c>
      <c r="I1015" t="str">
        <f t="shared" si="373"/>
        <v/>
      </c>
      <c r="BF1015">
        <f t="shared" si="376"/>
        <v>0</v>
      </c>
      <c r="BG1015">
        <f t="shared" si="377"/>
        <v>0</v>
      </c>
      <c r="BH1015">
        <f t="shared" si="378"/>
        <v>0</v>
      </c>
      <c r="BI1015">
        <f t="shared" si="379"/>
        <v>0</v>
      </c>
      <c r="BJ1015">
        <f t="shared" si="380"/>
        <v>0</v>
      </c>
      <c r="BK1015">
        <f t="shared" si="381"/>
        <v>0</v>
      </c>
      <c r="BL1015">
        <f t="shared" si="382"/>
        <v>0</v>
      </c>
      <c r="BM1015">
        <f t="shared" si="383"/>
        <v>0</v>
      </c>
      <c r="BN1015">
        <f t="shared" si="384"/>
        <v>0</v>
      </c>
      <c r="BO1015">
        <f t="shared" si="385"/>
        <v>0</v>
      </c>
      <c r="BP1015">
        <f t="shared" si="386"/>
        <v>0</v>
      </c>
      <c r="BQ1015">
        <f t="shared" si="387"/>
        <v>0</v>
      </c>
      <c r="BR1015">
        <f t="shared" si="388"/>
        <v>0</v>
      </c>
      <c r="BS1015">
        <f t="shared" si="389"/>
        <v>0</v>
      </c>
      <c r="BT1015">
        <f t="shared" si="390"/>
        <v>0</v>
      </c>
      <c r="BU1015">
        <f t="shared" si="391"/>
        <v>0</v>
      </c>
      <c r="BV1015">
        <f t="shared" si="392"/>
        <v>0</v>
      </c>
      <c r="BW1015">
        <f t="shared" si="393"/>
        <v>0</v>
      </c>
      <c r="CA1015" t="str">
        <f>IF(816&gt;ROWS(DGArchive[模组]),"",IF(INDEX(DGArchive[模组],816)="","",INDEX(DGArchive[模组],816)))</f>
        <v/>
      </c>
      <c r="CB1015" t="str">
        <f>IF(816&gt;ROWS(DGArchive[阶段]),"",IF(INDEX(DGArchive[阶段],816)="","",INDEX(DGArchive[阶段],816)))</f>
        <v/>
      </c>
      <c r="CC1015" t="str">
        <f>IF(816&gt;ROWS(DGArchive[游戏内日期]),"",IF(INDEX(DGArchive[游戏内日期],816)="","",INDEX(DGArchive[游戏内日期],816)))</f>
        <v/>
      </c>
      <c r="CD1015" t="str">
        <f>IF(816&gt;ROWS(DGArchive[目标]),"",IF(INDEX(DGArchive[目标],816)="","",INDEX(DGArchive[目标],816)))</f>
        <v/>
      </c>
      <c r="CE1015" t="str">
        <f>IF(816&gt;ROWS(DGArchive[变更前]),"",IF(INDEX(DGArchive[变更前],816)="","",INDEX(DGArchive[变更前],816)))</f>
        <v/>
      </c>
      <c r="CF1015" t="str">
        <f>IF(816&gt;ROWS(DGArchive[增减]),"",IF(INDEX(DGArchive[增减],816)="","",INDEX(DGArchive[增减],816)))</f>
        <v/>
      </c>
      <c r="CG1015" t="str">
        <f>IF(816&gt;ROWS(DGArchive[变更后]),"",IF(INDEX(DGArchive[变更后],816)="","",INDEX(DGArchive[变更后],816)))</f>
        <v/>
      </c>
      <c r="CH1015" t="str">
        <f>IF(816&gt;ROWS(DGArchive[事件／活动]),"",IF(INDEX(DGArchive[事件／活动],816)="","",INDEX(DGArchive[事件／活动],816)))</f>
        <v/>
      </c>
      <c r="CI1015" t="str">
        <f>IF(816&gt;ROWS(DGArchive[记录编号]),"",IF(INDEX(DGArchive[记录编号],816)="","",INDEX(DGArchive[记录编号],816)))</f>
        <v/>
      </c>
      <c r="CL1015">
        <f t="shared" si="374"/>
        <v>0</v>
      </c>
      <c r="CM1015">
        <f>IF(AND(A1015=$AO$5,B1015=$AQ$3,H1015=1),COUNTIFS($A$200:A1015,$AO$5,$B$200:B1015,$AQ$3,$H$200:H1015,1),0)</f>
        <v>0</v>
      </c>
      <c r="CN1015">
        <f>IF(CA1015="",816,1001)</f>
        <v>816</v>
      </c>
      <c r="GA1015">
        <f t="shared" si="394"/>
        <v>0</v>
      </c>
      <c r="GB1015">
        <f t="shared" si="395"/>
        <v>0</v>
      </c>
      <c r="GC1015">
        <f>IF(AND(C1015="事件记录",H1015=1),COUNTIFS($C$200:C1015,"事件记录",$H$200:H1015,1),0)</f>
        <v>0</v>
      </c>
      <c r="GD1015">
        <f t="shared" si="375"/>
        <v>0</v>
      </c>
      <c r="GH1015">
        <f>IF(AND(H1015=1,A1015=$GA$10,B1015=$GA$11),COUNTIFS($A$200:A1015,$GA$10,$B$200:B1015,$GA$11,$H$200:H1015,1),0)</f>
        <v>0</v>
      </c>
    </row>
    <row r="1016" spans="1:190">
      <c r="A1016" t="str">
        <f t="shared" si="366"/>
        <v/>
      </c>
      <c r="B1016" t="str">
        <f t="shared" si="367"/>
        <v/>
      </c>
      <c r="C1016" t="str">
        <f t="shared" si="368"/>
        <v/>
      </c>
      <c r="D1016" t="str">
        <f t="shared" si="369"/>
        <v/>
      </c>
      <c r="E1016">
        <f t="shared" si="370"/>
        <v>0</v>
      </c>
      <c r="F1016" t="str">
        <f t="shared" si="371"/>
        <v/>
      </c>
      <c r="G1016">
        <f t="shared" si="372"/>
        <v>0</v>
      </c>
      <c r="H1016">
        <f>IF(AND(G1016=1,COUNTIFS($I$200:I1016,I1016,$G$200:G1016,1)=1),1,0)</f>
        <v>0</v>
      </c>
      <c r="I1016" t="str">
        <f t="shared" si="373"/>
        <v/>
      </c>
      <c r="BF1016">
        <f t="shared" si="376"/>
        <v>0</v>
      </c>
      <c r="BG1016">
        <f t="shared" si="377"/>
        <v>0</v>
      </c>
      <c r="BH1016">
        <f t="shared" si="378"/>
        <v>0</v>
      </c>
      <c r="BI1016">
        <f t="shared" si="379"/>
        <v>0</v>
      </c>
      <c r="BJ1016">
        <f t="shared" si="380"/>
        <v>0</v>
      </c>
      <c r="BK1016">
        <f t="shared" si="381"/>
        <v>0</v>
      </c>
      <c r="BL1016">
        <f t="shared" si="382"/>
        <v>0</v>
      </c>
      <c r="BM1016">
        <f t="shared" si="383"/>
        <v>0</v>
      </c>
      <c r="BN1016">
        <f t="shared" si="384"/>
        <v>0</v>
      </c>
      <c r="BO1016">
        <f t="shared" si="385"/>
        <v>0</v>
      </c>
      <c r="BP1016">
        <f t="shared" si="386"/>
        <v>0</v>
      </c>
      <c r="BQ1016">
        <f t="shared" si="387"/>
        <v>0</v>
      </c>
      <c r="BR1016">
        <f t="shared" si="388"/>
        <v>0</v>
      </c>
      <c r="BS1016">
        <f t="shared" si="389"/>
        <v>0</v>
      </c>
      <c r="BT1016">
        <f t="shared" si="390"/>
        <v>0</v>
      </c>
      <c r="BU1016">
        <f t="shared" si="391"/>
        <v>0</v>
      </c>
      <c r="BV1016">
        <f t="shared" si="392"/>
        <v>0</v>
      </c>
      <c r="BW1016">
        <f t="shared" si="393"/>
        <v>0</v>
      </c>
      <c r="CA1016" t="str">
        <f>IF(817&gt;ROWS(DGArchive[模组]),"",IF(INDEX(DGArchive[模组],817)="","",INDEX(DGArchive[模组],817)))</f>
        <v/>
      </c>
      <c r="CB1016" t="str">
        <f>IF(817&gt;ROWS(DGArchive[阶段]),"",IF(INDEX(DGArchive[阶段],817)="","",INDEX(DGArchive[阶段],817)))</f>
        <v/>
      </c>
      <c r="CC1016" t="str">
        <f>IF(817&gt;ROWS(DGArchive[游戏内日期]),"",IF(INDEX(DGArchive[游戏内日期],817)="","",INDEX(DGArchive[游戏内日期],817)))</f>
        <v/>
      </c>
      <c r="CD1016" t="str">
        <f>IF(817&gt;ROWS(DGArchive[目标]),"",IF(INDEX(DGArchive[目标],817)="","",INDEX(DGArchive[目标],817)))</f>
        <v/>
      </c>
      <c r="CE1016" t="str">
        <f>IF(817&gt;ROWS(DGArchive[变更前]),"",IF(INDEX(DGArchive[变更前],817)="","",INDEX(DGArchive[变更前],817)))</f>
        <v/>
      </c>
      <c r="CF1016" t="str">
        <f>IF(817&gt;ROWS(DGArchive[增减]),"",IF(INDEX(DGArchive[增减],817)="","",INDEX(DGArchive[增减],817)))</f>
        <v/>
      </c>
      <c r="CG1016" t="str">
        <f>IF(817&gt;ROWS(DGArchive[变更后]),"",IF(INDEX(DGArchive[变更后],817)="","",INDEX(DGArchive[变更后],817)))</f>
        <v/>
      </c>
      <c r="CH1016" t="str">
        <f>IF(817&gt;ROWS(DGArchive[事件／活动]),"",IF(INDEX(DGArchive[事件／活动],817)="","",INDEX(DGArchive[事件／活动],817)))</f>
        <v/>
      </c>
      <c r="CI1016" t="str">
        <f>IF(817&gt;ROWS(DGArchive[记录编号]),"",IF(INDEX(DGArchive[记录编号],817)="","",INDEX(DGArchive[记录编号],817)))</f>
        <v/>
      </c>
      <c r="CL1016">
        <f t="shared" si="374"/>
        <v>0</v>
      </c>
      <c r="CM1016">
        <f>IF(AND(A1016=$AO$5,B1016=$AQ$3,H1016=1),COUNTIFS($A$200:A1016,$AO$5,$B$200:B1016,$AQ$3,$H$200:H1016,1),0)</f>
        <v>0</v>
      </c>
      <c r="CN1016">
        <f>IF(CA1016="",817,1001)</f>
        <v>817</v>
      </c>
      <c r="GA1016">
        <f t="shared" si="394"/>
        <v>0</v>
      </c>
      <c r="GB1016">
        <f t="shared" si="395"/>
        <v>0</v>
      </c>
      <c r="GC1016">
        <f>IF(AND(C1016="事件记录",H1016=1),COUNTIFS($C$200:C1016,"事件记录",$H$200:H1016,1),0)</f>
        <v>0</v>
      </c>
      <c r="GD1016">
        <f t="shared" si="375"/>
        <v>0</v>
      </c>
      <c r="GH1016">
        <f>IF(AND(H1016=1,A1016=$GA$10,B1016=$GA$11),COUNTIFS($A$200:A1016,$GA$10,$B$200:B1016,$GA$11,$H$200:H1016,1),0)</f>
        <v>0</v>
      </c>
    </row>
    <row r="1017" spans="1:190">
      <c r="A1017" t="str">
        <f t="shared" si="366"/>
        <v/>
      </c>
      <c r="B1017" t="str">
        <f t="shared" si="367"/>
        <v/>
      </c>
      <c r="C1017" t="str">
        <f t="shared" si="368"/>
        <v/>
      </c>
      <c r="D1017" t="str">
        <f t="shared" si="369"/>
        <v/>
      </c>
      <c r="E1017">
        <f t="shared" si="370"/>
        <v>0</v>
      </c>
      <c r="F1017" t="str">
        <f t="shared" si="371"/>
        <v/>
      </c>
      <c r="G1017">
        <f t="shared" si="372"/>
        <v>0</v>
      </c>
      <c r="H1017">
        <f>IF(AND(G1017=1,COUNTIFS($I$200:I1017,I1017,$G$200:G1017,1)=1),1,0)</f>
        <v>0</v>
      </c>
      <c r="I1017" t="str">
        <f t="shared" si="373"/>
        <v/>
      </c>
      <c r="BF1017">
        <f t="shared" si="376"/>
        <v>0</v>
      </c>
      <c r="BG1017">
        <f t="shared" si="377"/>
        <v>0</v>
      </c>
      <c r="BH1017">
        <f t="shared" si="378"/>
        <v>0</v>
      </c>
      <c r="BI1017">
        <f t="shared" si="379"/>
        <v>0</v>
      </c>
      <c r="BJ1017">
        <f t="shared" si="380"/>
        <v>0</v>
      </c>
      <c r="BK1017">
        <f t="shared" si="381"/>
        <v>0</v>
      </c>
      <c r="BL1017">
        <f t="shared" si="382"/>
        <v>0</v>
      </c>
      <c r="BM1017">
        <f t="shared" si="383"/>
        <v>0</v>
      </c>
      <c r="BN1017">
        <f t="shared" si="384"/>
        <v>0</v>
      </c>
      <c r="BO1017">
        <f t="shared" si="385"/>
        <v>0</v>
      </c>
      <c r="BP1017">
        <f t="shared" si="386"/>
        <v>0</v>
      </c>
      <c r="BQ1017">
        <f t="shared" si="387"/>
        <v>0</v>
      </c>
      <c r="BR1017">
        <f t="shared" si="388"/>
        <v>0</v>
      </c>
      <c r="BS1017">
        <f t="shared" si="389"/>
        <v>0</v>
      </c>
      <c r="BT1017">
        <f t="shared" si="390"/>
        <v>0</v>
      </c>
      <c r="BU1017">
        <f t="shared" si="391"/>
        <v>0</v>
      </c>
      <c r="BV1017">
        <f t="shared" si="392"/>
        <v>0</v>
      </c>
      <c r="BW1017">
        <f t="shared" si="393"/>
        <v>0</v>
      </c>
      <c r="CA1017" t="str">
        <f>IF(818&gt;ROWS(DGArchive[模组]),"",IF(INDEX(DGArchive[模组],818)="","",INDEX(DGArchive[模组],818)))</f>
        <v/>
      </c>
      <c r="CB1017" t="str">
        <f>IF(818&gt;ROWS(DGArchive[阶段]),"",IF(INDEX(DGArchive[阶段],818)="","",INDEX(DGArchive[阶段],818)))</f>
        <v/>
      </c>
      <c r="CC1017" t="str">
        <f>IF(818&gt;ROWS(DGArchive[游戏内日期]),"",IF(INDEX(DGArchive[游戏内日期],818)="","",INDEX(DGArchive[游戏内日期],818)))</f>
        <v/>
      </c>
      <c r="CD1017" t="str">
        <f>IF(818&gt;ROWS(DGArchive[目标]),"",IF(INDEX(DGArchive[目标],818)="","",INDEX(DGArchive[目标],818)))</f>
        <v/>
      </c>
      <c r="CE1017" t="str">
        <f>IF(818&gt;ROWS(DGArchive[变更前]),"",IF(INDEX(DGArchive[变更前],818)="","",INDEX(DGArchive[变更前],818)))</f>
        <v/>
      </c>
      <c r="CF1017" t="str">
        <f>IF(818&gt;ROWS(DGArchive[增减]),"",IF(INDEX(DGArchive[增减],818)="","",INDEX(DGArchive[增减],818)))</f>
        <v/>
      </c>
      <c r="CG1017" t="str">
        <f>IF(818&gt;ROWS(DGArchive[变更后]),"",IF(INDEX(DGArchive[变更后],818)="","",INDEX(DGArchive[变更后],818)))</f>
        <v/>
      </c>
      <c r="CH1017" t="str">
        <f>IF(818&gt;ROWS(DGArchive[事件／活动]),"",IF(INDEX(DGArchive[事件／活动],818)="","",INDEX(DGArchive[事件／活动],818)))</f>
        <v/>
      </c>
      <c r="CI1017" t="str">
        <f>IF(818&gt;ROWS(DGArchive[记录编号]),"",IF(INDEX(DGArchive[记录编号],818)="","",INDEX(DGArchive[记录编号],818)))</f>
        <v/>
      </c>
      <c r="CL1017">
        <f t="shared" si="374"/>
        <v>0</v>
      </c>
      <c r="CM1017">
        <f>IF(AND(A1017=$AO$5,B1017=$AQ$3,H1017=1),COUNTIFS($A$200:A1017,$AO$5,$B$200:B1017,$AQ$3,$H$200:H1017,1),0)</f>
        <v>0</v>
      </c>
      <c r="CN1017">
        <f>IF(CA1017="",818,1001)</f>
        <v>818</v>
      </c>
      <c r="GA1017">
        <f t="shared" si="394"/>
        <v>0</v>
      </c>
      <c r="GB1017">
        <f t="shared" si="395"/>
        <v>0</v>
      </c>
      <c r="GC1017">
        <f>IF(AND(C1017="事件记录",H1017=1),COUNTIFS($C$200:C1017,"事件记录",$H$200:H1017,1),0)</f>
        <v>0</v>
      </c>
      <c r="GD1017">
        <f t="shared" si="375"/>
        <v>0</v>
      </c>
      <c r="GH1017">
        <f>IF(AND(H1017=1,A1017=$GA$10,B1017=$GA$11),COUNTIFS($A$200:A1017,$GA$10,$B$200:B1017,$GA$11,$H$200:H1017,1),0)</f>
        <v>0</v>
      </c>
    </row>
    <row r="1018" spans="1:190">
      <c r="A1018" t="str">
        <f t="shared" si="366"/>
        <v/>
      </c>
      <c r="B1018" t="str">
        <f t="shared" si="367"/>
        <v/>
      </c>
      <c r="C1018" t="str">
        <f t="shared" si="368"/>
        <v/>
      </c>
      <c r="D1018" t="str">
        <f t="shared" si="369"/>
        <v/>
      </c>
      <c r="E1018">
        <f t="shared" si="370"/>
        <v>0</v>
      </c>
      <c r="F1018" t="str">
        <f t="shared" si="371"/>
        <v/>
      </c>
      <c r="G1018">
        <f t="shared" si="372"/>
        <v>0</v>
      </c>
      <c r="H1018">
        <f>IF(AND(G1018=1,COUNTIFS($I$200:I1018,I1018,$G$200:G1018,1)=1),1,0)</f>
        <v>0</v>
      </c>
      <c r="I1018" t="str">
        <f t="shared" si="373"/>
        <v/>
      </c>
      <c r="BF1018">
        <f t="shared" si="376"/>
        <v>0</v>
      </c>
      <c r="BG1018">
        <f t="shared" si="377"/>
        <v>0</v>
      </c>
      <c r="BH1018">
        <f t="shared" si="378"/>
        <v>0</v>
      </c>
      <c r="BI1018">
        <f t="shared" si="379"/>
        <v>0</v>
      </c>
      <c r="BJ1018">
        <f t="shared" si="380"/>
        <v>0</v>
      </c>
      <c r="BK1018">
        <f t="shared" si="381"/>
        <v>0</v>
      </c>
      <c r="BL1018">
        <f t="shared" si="382"/>
        <v>0</v>
      </c>
      <c r="BM1018">
        <f t="shared" si="383"/>
        <v>0</v>
      </c>
      <c r="BN1018">
        <f t="shared" si="384"/>
        <v>0</v>
      </c>
      <c r="BO1018">
        <f t="shared" si="385"/>
        <v>0</v>
      </c>
      <c r="BP1018">
        <f t="shared" si="386"/>
        <v>0</v>
      </c>
      <c r="BQ1018">
        <f t="shared" si="387"/>
        <v>0</v>
      </c>
      <c r="BR1018">
        <f t="shared" si="388"/>
        <v>0</v>
      </c>
      <c r="BS1018">
        <f t="shared" si="389"/>
        <v>0</v>
      </c>
      <c r="BT1018">
        <f t="shared" si="390"/>
        <v>0</v>
      </c>
      <c r="BU1018">
        <f t="shared" si="391"/>
        <v>0</v>
      </c>
      <c r="BV1018">
        <f t="shared" si="392"/>
        <v>0</v>
      </c>
      <c r="BW1018">
        <f t="shared" si="393"/>
        <v>0</v>
      </c>
      <c r="CA1018" t="str">
        <f>IF(819&gt;ROWS(DGArchive[模组]),"",IF(INDEX(DGArchive[模组],819)="","",INDEX(DGArchive[模组],819)))</f>
        <v/>
      </c>
      <c r="CB1018" t="str">
        <f>IF(819&gt;ROWS(DGArchive[阶段]),"",IF(INDEX(DGArchive[阶段],819)="","",INDEX(DGArchive[阶段],819)))</f>
        <v/>
      </c>
      <c r="CC1018" t="str">
        <f>IF(819&gt;ROWS(DGArchive[游戏内日期]),"",IF(INDEX(DGArchive[游戏内日期],819)="","",INDEX(DGArchive[游戏内日期],819)))</f>
        <v/>
      </c>
      <c r="CD1018" t="str">
        <f>IF(819&gt;ROWS(DGArchive[目标]),"",IF(INDEX(DGArchive[目标],819)="","",INDEX(DGArchive[目标],819)))</f>
        <v/>
      </c>
      <c r="CE1018" t="str">
        <f>IF(819&gt;ROWS(DGArchive[变更前]),"",IF(INDEX(DGArchive[变更前],819)="","",INDEX(DGArchive[变更前],819)))</f>
        <v/>
      </c>
      <c r="CF1018" t="str">
        <f>IF(819&gt;ROWS(DGArchive[增减]),"",IF(INDEX(DGArchive[增减],819)="","",INDEX(DGArchive[增减],819)))</f>
        <v/>
      </c>
      <c r="CG1018" t="str">
        <f>IF(819&gt;ROWS(DGArchive[变更后]),"",IF(INDEX(DGArchive[变更后],819)="","",INDEX(DGArchive[变更后],819)))</f>
        <v/>
      </c>
      <c r="CH1018" t="str">
        <f>IF(819&gt;ROWS(DGArchive[事件／活动]),"",IF(INDEX(DGArchive[事件／活动],819)="","",INDEX(DGArchive[事件／活动],819)))</f>
        <v/>
      </c>
      <c r="CI1018" t="str">
        <f>IF(819&gt;ROWS(DGArchive[记录编号]),"",IF(INDEX(DGArchive[记录编号],819)="","",INDEX(DGArchive[记录编号],819)))</f>
        <v/>
      </c>
      <c r="CL1018">
        <f t="shared" si="374"/>
        <v>0</v>
      </c>
      <c r="CM1018">
        <f>IF(AND(A1018=$AO$5,B1018=$AQ$3,H1018=1),COUNTIFS($A$200:A1018,$AO$5,$B$200:B1018,$AQ$3,$H$200:H1018,1),0)</f>
        <v>0</v>
      </c>
      <c r="CN1018">
        <f>IF(CA1018="",819,1001)</f>
        <v>819</v>
      </c>
      <c r="GA1018">
        <f t="shared" si="394"/>
        <v>0</v>
      </c>
      <c r="GB1018">
        <f t="shared" si="395"/>
        <v>0</v>
      </c>
      <c r="GC1018">
        <f>IF(AND(C1018="事件记录",H1018=1),COUNTIFS($C$200:C1018,"事件记录",$H$200:H1018,1),0)</f>
        <v>0</v>
      </c>
      <c r="GD1018">
        <f t="shared" si="375"/>
        <v>0</v>
      </c>
      <c r="GH1018">
        <f>IF(AND(H1018=1,A1018=$GA$10,B1018=$GA$11),COUNTIFS($A$200:A1018,$GA$10,$B$200:B1018,$GA$11,$H$200:H1018,1),0)</f>
        <v>0</v>
      </c>
    </row>
    <row r="1019" spans="1:190">
      <c r="A1019" t="str">
        <f t="shared" si="366"/>
        <v/>
      </c>
      <c r="B1019" t="str">
        <f t="shared" si="367"/>
        <v/>
      </c>
      <c r="C1019" t="str">
        <f t="shared" si="368"/>
        <v/>
      </c>
      <c r="D1019" t="str">
        <f t="shared" si="369"/>
        <v/>
      </c>
      <c r="E1019">
        <f t="shared" si="370"/>
        <v>0</v>
      </c>
      <c r="F1019" t="str">
        <f t="shared" si="371"/>
        <v/>
      </c>
      <c r="G1019">
        <f t="shared" si="372"/>
        <v>0</v>
      </c>
      <c r="H1019">
        <f>IF(AND(G1019=1,COUNTIFS($I$200:I1019,I1019,$G$200:G1019,1)=1),1,0)</f>
        <v>0</v>
      </c>
      <c r="I1019" t="str">
        <f t="shared" si="373"/>
        <v/>
      </c>
      <c r="BF1019">
        <f t="shared" si="376"/>
        <v>0</v>
      </c>
      <c r="BG1019">
        <f t="shared" si="377"/>
        <v>0</v>
      </c>
      <c r="BH1019">
        <f t="shared" si="378"/>
        <v>0</v>
      </c>
      <c r="BI1019">
        <f t="shared" si="379"/>
        <v>0</v>
      </c>
      <c r="BJ1019">
        <f t="shared" si="380"/>
        <v>0</v>
      </c>
      <c r="BK1019">
        <f t="shared" si="381"/>
        <v>0</v>
      </c>
      <c r="BL1019">
        <f t="shared" si="382"/>
        <v>0</v>
      </c>
      <c r="BM1019">
        <f t="shared" si="383"/>
        <v>0</v>
      </c>
      <c r="BN1019">
        <f t="shared" si="384"/>
        <v>0</v>
      </c>
      <c r="BO1019">
        <f t="shared" si="385"/>
        <v>0</v>
      </c>
      <c r="BP1019">
        <f t="shared" si="386"/>
        <v>0</v>
      </c>
      <c r="BQ1019">
        <f t="shared" si="387"/>
        <v>0</v>
      </c>
      <c r="BR1019">
        <f t="shared" si="388"/>
        <v>0</v>
      </c>
      <c r="BS1019">
        <f t="shared" si="389"/>
        <v>0</v>
      </c>
      <c r="BT1019">
        <f t="shared" si="390"/>
        <v>0</v>
      </c>
      <c r="BU1019">
        <f t="shared" si="391"/>
        <v>0</v>
      </c>
      <c r="BV1019">
        <f t="shared" si="392"/>
        <v>0</v>
      </c>
      <c r="BW1019">
        <f t="shared" si="393"/>
        <v>0</v>
      </c>
      <c r="CA1019" t="str">
        <f>IF(820&gt;ROWS(DGArchive[模组]),"",IF(INDEX(DGArchive[模组],820)="","",INDEX(DGArchive[模组],820)))</f>
        <v/>
      </c>
      <c r="CB1019" t="str">
        <f>IF(820&gt;ROWS(DGArchive[阶段]),"",IF(INDEX(DGArchive[阶段],820)="","",INDEX(DGArchive[阶段],820)))</f>
        <v/>
      </c>
      <c r="CC1019" t="str">
        <f>IF(820&gt;ROWS(DGArchive[游戏内日期]),"",IF(INDEX(DGArchive[游戏内日期],820)="","",INDEX(DGArchive[游戏内日期],820)))</f>
        <v/>
      </c>
      <c r="CD1019" t="str">
        <f>IF(820&gt;ROWS(DGArchive[目标]),"",IF(INDEX(DGArchive[目标],820)="","",INDEX(DGArchive[目标],820)))</f>
        <v/>
      </c>
      <c r="CE1019" t="str">
        <f>IF(820&gt;ROWS(DGArchive[变更前]),"",IF(INDEX(DGArchive[变更前],820)="","",INDEX(DGArchive[变更前],820)))</f>
        <v/>
      </c>
      <c r="CF1019" t="str">
        <f>IF(820&gt;ROWS(DGArchive[增减]),"",IF(INDEX(DGArchive[增减],820)="","",INDEX(DGArchive[增减],820)))</f>
        <v/>
      </c>
      <c r="CG1019" t="str">
        <f>IF(820&gt;ROWS(DGArchive[变更后]),"",IF(INDEX(DGArchive[变更后],820)="","",INDEX(DGArchive[变更后],820)))</f>
        <v/>
      </c>
      <c r="CH1019" t="str">
        <f>IF(820&gt;ROWS(DGArchive[事件／活动]),"",IF(INDEX(DGArchive[事件／活动],820)="","",INDEX(DGArchive[事件／活动],820)))</f>
        <v/>
      </c>
      <c r="CI1019" t="str">
        <f>IF(820&gt;ROWS(DGArchive[记录编号]),"",IF(INDEX(DGArchive[记录编号],820)="","",INDEX(DGArchive[记录编号],820)))</f>
        <v/>
      </c>
      <c r="CL1019">
        <f t="shared" si="374"/>
        <v>0</v>
      </c>
      <c r="CM1019">
        <f>IF(AND(A1019=$AO$5,B1019=$AQ$3,H1019=1),COUNTIFS($A$200:A1019,$AO$5,$B$200:B1019,$AQ$3,$H$200:H1019,1),0)</f>
        <v>0</v>
      </c>
      <c r="CN1019">
        <f>IF(CA1019="",820,1001)</f>
        <v>820</v>
      </c>
      <c r="GA1019">
        <f t="shared" si="394"/>
        <v>0</v>
      </c>
      <c r="GB1019">
        <f t="shared" si="395"/>
        <v>0</v>
      </c>
      <c r="GC1019">
        <f>IF(AND(C1019="事件记录",H1019=1),COUNTIFS($C$200:C1019,"事件记录",$H$200:H1019,1),0)</f>
        <v>0</v>
      </c>
      <c r="GD1019">
        <f t="shared" si="375"/>
        <v>0</v>
      </c>
      <c r="GH1019">
        <f>IF(AND(H1019=1,A1019=$GA$10,B1019=$GA$11),COUNTIFS($A$200:A1019,$GA$10,$B$200:B1019,$GA$11,$H$200:H1019,1),0)</f>
        <v>0</v>
      </c>
    </row>
    <row r="1020" spans="1:190">
      <c r="A1020" t="str">
        <f t="shared" si="366"/>
        <v/>
      </c>
      <c r="B1020" t="str">
        <f t="shared" si="367"/>
        <v/>
      </c>
      <c r="C1020" t="str">
        <f t="shared" si="368"/>
        <v/>
      </c>
      <c r="D1020" t="str">
        <f t="shared" si="369"/>
        <v/>
      </c>
      <c r="E1020">
        <f t="shared" si="370"/>
        <v>0</v>
      </c>
      <c r="F1020" t="str">
        <f t="shared" si="371"/>
        <v/>
      </c>
      <c r="G1020">
        <f t="shared" si="372"/>
        <v>0</v>
      </c>
      <c r="H1020">
        <f>IF(AND(G1020=1,COUNTIFS($I$200:I1020,I1020,$G$200:G1020,1)=1),1,0)</f>
        <v>0</v>
      </c>
      <c r="I1020" t="str">
        <f t="shared" si="373"/>
        <v/>
      </c>
      <c r="BF1020">
        <f t="shared" si="376"/>
        <v>0</v>
      </c>
      <c r="BG1020">
        <f t="shared" si="377"/>
        <v>0</v>
      </c>
      <c r="BH1020">
        <f t="shared" si="378"/>
        <v>0</v>
      </c>
      <c r="BI1020">
        <f t="shared" si="379"/>
        <v>0</v>
      </c>
      <c r="BJ1020">
        <f t="shared" si="380"/>
        <v>0</v>
      </c>
      <c r="BK1020">
        <f t="shared" si="381"/>
        <v>0</v>
      </c>
      <c r="BL1020">
        <f t="shared" si="382"/>
        <v>0</v>
      </c>
      <c r="BM1020">
        <f t="shared" si="383"/>
        <v>0</v>
      </c>
      <c r="BN1020">
        <f t="shared" si="384"/>
        <v>0</v>
      </c>
      <c r="BO1020">
        <f t="shared" si="385"/>
        <v>0</v>
      </c>
      <c r="BP1020">
        <f t="shared" si="386"/>
        <v>0</v>
      </c>
      <c r="BQ1020">
        <f t="shared" si="387"/>
        <v>0</v>
      </c>
      <c r="BR1020">
        <f t="shared" si="388"/>
        <v>0</v>
      </c>
      <c r="BS1020">
        <f t="shared" si="389"/>
        <v>0</v>
      </c>
      <c r="BT1020">
        <f t="shared" si="390"/>
        <v>0</v>
      </c>
      <c r="BU1020">
        <f t="shared" si="391"/>
        <v>0</v>
      </c>
      <c r="BV1020">
        <f t="shared" si="392"/>
        <v>0</v>
      </c>
      <c r="BW1020">
        <f t="shared" si="393"/>
        <v>0</v>
      </c>
      <c r="CA1020" t="str">
        <f>IF(821&gt;ROWS(DGArchive[模组]),"",IF(INDEX(DGArchive[模组],821)="","",INDEX(DGArchive[模组],821)))</f>
        <v/>
      </c>
      <c r="CB1020" t="str">
        <f>IF(821&gt;ROWS(DGArchive[阶段]),"",IF(INDEX(DGArchive[阶段],821)="","",INDEX(DGArchive[阶段],821)))</f>
        <v/>
      </c>
      <c r="CC1020" t="str">
        <f>IF(821&gt;ROWS(DGArchive[游戏内日期]),"",IF(INDEX(DGArchive[游戏内日期],821)="","",INDEX(DGArchive[游戏内日期],821)))</f>
        <v/>
      </c>
      <c r="CD1020" t="str">
        <f>IF(821&gt;ROWS(DGArchive[目标]),"",IF(INDEX(DGArchive[目标],821)="","",INDEX(DGArchive[目标],821)))</f>
        <v/>
      </c>
      <c r="CE1020" t="str">
        <f>IF(821&gt;ROWS(DGArchive[变更前]),"",IF(INDEX(DGArchive[变更前],821)="","",INDEX(DGArchive[变更前],821)))</f>
        <v/>
      </c>
      <c r="CF1020" t="str">
        <f>IF(821&gt;ROWS(DGArchive[增减]),"",IF(INDEX(DGArchive[增减],821)="","",INDEX(DGArchive[增减],821)))</f>
        <v/>
      </c>
      <c r="CG1020" t="str">
        <f>IF(821&gt;ROWS(DGArchive[变更后]),"",IF(INDEX(DGArchive[变更后],821)="","",INDEX(DGArchive[变更后],821)))</f>
        <v/>
      </c>
      <c r="CH1020" t="str">
        <f>IF(821&gt;ROWS(DGArchive[事件／活动]),"",IF(INDEX(DGArchive[事件／活动],821)="","",INDEX(DGArchive[事件／活动],821)))</f>
        <v/>
      </c>
      <c r="CI1020" t="str">
        <f>IF(821&gt;ROWS(DGArchive[记录编号]),"",IF(INDEX(DGArchive[记录编号],821)="","",INDEX(DGArchive[记录编号],821)))</f>
        <v/>
      </c>
      <c r="CL1020">
        <f t="shared" si="374"/>
        <v>0</v>
      </c>
      <c r="CM1020">
        <f>IF(AND(A1020=$AO$5,B1020=$AQ$3,H1020=1),COUNTIFS($A$200:A1020,$AO$5,$B$200:B1020,$AQ$3,$H$200:H1020,1),0)</f>
        <v>0</v>
      </c>
      <c r="CN1020">
        <f>IF(CA1020="",821,1001)</f>
        <v>821</v>
      </c>
      <c r="GA1020">
        <f t="shared" si="394"/>
        <v>0</v>
      </c>
      <c r="GB1020">
        <f t="shared" si="395"/>
        <v>0</v>
      </c>
      <c r="GC1020">
        <f>IF(AND(C1020="事件记录",H1020=1),COUNTIFS($C$200:C1020,"事件记录",$H$200:H1020,1),0)</f>
        <v>0</v>
      </c>
      <c r="GD1020">
        <f t="shared" si="375"/>
        <v>0</v>
      </c>
      <c r="GH1020">
        <f>IF(AND(H1020=1,A1020=$GA$10,B1020=$GA$11),COUNTIFS($A$200:A1020,$GA$10,$B$200:B1020,$GA$11,$H$200:H1020,1),0)</f>
        <v>0</v>
      </c>
    </row>
    <row r="1021" spans="1:190">
      <c r="A1021" t="str">
        <f t="shared" si="366"/>
        <v/>
      </c>
      <c r="B1021" t="str">
        <f t="shared" si="367"/>
        <v/>
      </c>
      <c r="C1021" t="str">
        <f t="shared" si="368"/>
        <v/>
      </c>
      <c r="D1021" t="str">
        <f t="shared" si="369"/>
        <v/>
      </c>
      <c r="E1021">
        <f t="shared" si="370"/>
        <v>0</v>
      </c>
      <c r="F1021" t="str">
        <f t="shared" si="371"/>
        <v/>
      </c>
      <c r="G1021">
        <f t="shared" si="372"/>
        <v>0</v>
      </c>
      <c r="H1021">
        <f>IF(AND(G1021=1,COUNTIFS($I$200:I1021,I1021,$G$200:G1021,1)=1),1,0)</f>
        <v>0</v>
      </c>
      <c r="I1021" t="str">
        <f t="shared" si="373"/>
        <v/>
      </c>
      <c r="BF1021">
        <f t="shared" si="376"/>
        <v>0</v>
      </c>
      <c r="BG1021">
        <f t="shared" si="377"/>
        <v>0</v>
      </c>
      <c r="BH1021">
        <f t="shared" si="378"/>
        <v>0</v>
      </c>
      <c r="BI1021">
        <f t="shared" si="379"/>
        <v>0</v>
      </c>
      <c r="BJ1021">
        <f t="shared" si="380"/>
        <v>0</v>
      </c>
      <c r="BK1021">
        <f t="shared" si="381"/>
        <v>0</v>
      </c>
      <c r="BL1021">
        <f t="shared" si="382"/>
        <v>0</v>
      </c>
      <c r="BM1021">
        <f t="shared" si="383"/>
        <v>0</v>
      </c>
      <c r="BN1021">
        <f t="shared" si="384"/>
        <v>0</v>
      </c>
      <c r="BO1021">
        <f t="shared" si="385"/>
        <v>0</v>
      </c>
      <c r="BP1021">
        <f t="shared" si="386"/>
        <v>0</v>
      </c>
      <c r="BQ1021">
        <f t="shared" si="387"/>
        <v>0</v>
      </c>
      <c r="BR1021">
        <f t="shared" si="388"/>
        <v>0</v>
      </c>
      <c r="BS1021">
        <f t="shared" si="389"/>
        <v>0</v>
      </c>
      <c r="BT1021">
        <f t="shared" si="390"/>
        <v>0</v>
      </c>
      <c r="BU1021">
        <f t="shared" si="391"/>
        <v>0</v>
      </c>
      <c r="BV1021">
        <f t="shared" si="392"/>
        <v>0</v>
      </c>
      <c r="BW1021">
        <f t="shared" si="393"/>
        <v>0</v>
      </c>
      <c r="CA1021" t="str">
        <f>IF(822&gt;ROWS(DGArchive[模组]),"",IF(INDEX(DGArchive[模组],822)="","",INDEX(DGArchive[模组],822)))</f>
        <v/>
      </c>
      <c r="CB1021" t="str">
        <f>IF(822&gt;ROWS(DGArchive[阶段]),"",IF(INDEX(DGArchive[阶段],822)="","",INDEX(DGArchive[阶段],822)))</f>
        <v/>
      </c>
      <c r="CC1021" t="str">
        <f>IF(822&gt;ROWS(DGArchive[游戏内日期]),"",IF(INDEX(DGArchive[游戏内日期],822)="","",INDEX(DGArchive[游戏内日期],822)))</f>
        <v/>
      </c>
      <c r="CD1021" t="str">
        <f>IF(822&gt;ROWS(DGArchive[目标]),"",IF(INDEX(DGArchive[目标],822)="","",INDEX(DGArchive[目标],822)))</f>
        <v/>
      </c>
      <c r="CE1021" t="str">
        <f>IF(822&gt;ROWS(DGArchive[变更前]),"",IF(INDEX(DGArchive[变更前],822)="","",INDEX(DGArchive[变更前],822)))</f>
        <v/>
      </c>
      <c r="CF1021" t="str">
        <f>IF(822&gt;ROWS(DGArchive[增减]),"",IF(INDEX(DGArchive[增减],822)="","",INDEX(DGArchive[增减],822)))</f>
        <v/>
      </c>
      <c r="CG1021" t="str">
        <f>IF(822&gt;ROWS(DGArchive[变更后]),"",IF(INDEX(DGArchive[变更后],822)="","",INDEX(DGArchive[变更后],822)))</f>
        <v/>
      </c>
      <c r="CH1021" t="str">
        <f>IF(822&gt;ROWS(DGArchive[事件／活动]),"",IF(INDEX(DGArchive[事件／活动],822)="","",INDEX(DGArchive[事件／活动],822)))</f>
        <v/>
      </c>
      <c r="CI1021" t="str">
        <f>IF(822&gt;ROWS(DGArchive[记录编号]),"",IF(INDEX(DGArchive[记录编号],822)="","",INDEX(DGArchive[记录编号],822)))</f>
        <v/>
      </c>
      <c r="CL1021">
        <f t="shared" si="374"/>
        <v>0</v>
      </c>
      <c r="CM1021">
        <f>IF(AND(A1021=$AO$5,B1021=$AQ$3,H1021=1),COUNTIFS($A$200:A1021,$AO$5,$B$200:B1021,$AQ$3,$H$200:H1021,1),0)</f>
        <v>0</v>
      </c>
      <c r="CN1021">
        <f>IF(CA1021="",822,1001)</f>
        <v>822</v>
      </c>
      <c r="GA1021">
        <f t="shared" si="394"/>
        <v>0</v>
      </c>
      <c r="GB1021">
        <f t="shared" si="395"/>
        <v>0</v>
      </c>
      <c r="GC1021">
        <f>IF(AND(C1021="事件记录",H1021=1),COUNTIFS($C$200:C1021,"事件记录",$H$200:H1021,1),0)</f>
        <v>0</v>
      </c>
      <c r="GD1021">
        <f t="shared" si="375"/>
        <v>0</v>
      </c>
      <c r="GH1021">
        <f>IF(AND(H1021=1,A1021=$GA$10,B1021=$GA$11),COUNTIFS($A$200:A1021,$GA$10,$B$200:B1021,$GA$11,$H$200:H1021,1),0)</f>
        <v>0</v>
      </c>
    </row>
    <row r="1022" spans="1:190">
      <c r="A1022" t="str">
        <f t="shared" si="366"/>
        <v/>
      </c>
      <c r="B1022" t="str">
        <f t="shared" si="367"/>
        <v/>
      </c>
      <c r="C1022" t="str">
        <f t="shared" si="368"/>
        <v/>
      </c>
      <c r="D1022" t="str">
        <f t="shared" si="369"/>
        <v/>
      </c>
      <c r="E1022">
        <f t="shared" si="370"/>
        <v>0</v>
      </c>
      <c r="F1022" t="str">
        <f t="shared" si="371"/>
        <v/>
      </c>
      <c r="G1022">
        <f t="shared" si="372"/>
        <v>0</v>
      </c>
      <c r="H1022">
        <f>IF(AND(G1022=1,COUNTIFS($I$200:I1022,I1022,$G$200:G1022,1)=1),1,0)</f>
        <v>0</v>
      </c>
      <c r="I1022" t="str">
        <f t="shared" si="373"/>
        <v/>
      </c>
      <c r="BF1022">
        <f t="shared" si="376"/>
        <v>0</v>
      </c>
      <c r="BG1022">
        <f t="shared" si="377"/>
        <v>0</v>
      </c>
      <c r="BH1022">
        <f t="shared" si="378"/>
        <v>0</v>
      </c>
      <c r="BI1022">
        <f t="shared" si="379"/>
        <v>0</v>
      </c>
      <c r="BJ1022">
        <f t="shared" si="380"/>
        <v>0</v>
      </c>
      <c r="BK1022">
        <f t="shared" si="381"/>
        <v>0</v>
      </c>
      <c r="BL1022">
        <f t="shared" si="382"/>
        <v>0</v>
      </c>
      <c r="BM1022">
        <f t="shared" si="383"/>
        <v>0</v>
      </c>
      <c r="BN1022">
        <f t="shared" si="384"/>
        <v>0</v>
      </c>
      <c r="BO1022">
        <f t="shared" si="385"/>
        <v>0</v>
      </c>
      <c r="BP1022">
        <f t="shared" si="386"/>
        <v>0</v>
      </c>
      <c r="BQ1022">
        <f t="shared" si="387"/>
        <v>0</v>
      </c>
      <c r="BR1022">
        <f t="shared" si="388"/>
        <v>0</v>
      </c>
      <c r="BS1022">
        <f t="shared" si="389"/>
        <v>0</v>
      </c>
      <c r="BT1022">
        <f t="shared" si="390"/>
        <v>0</v>
      </c>
      <c r="BU1022">
        <f t="shared" si="391"/>
        <v>0</v>
      </c>
      <c r="BV1022">
        <f t="shared" si="392"/>
        <v>0</v>
      </c>
      <c r="BW1022">
        <f t="shared" si="393"/>
        <v>0</v>
      </c>
      <c r="CA1022" t="str">
        <f>IF(823&gt;ROWS(DGArchive[模组]),"",IF(INDEX(DGArchive[模组],823)="","",INDEX(DGArchive[模组],823)))</f>
        <v/>
      </c>
      <c r="CB1022" t="str">
        <f>IF(823&gt;ROWS(DGArchive[阶段]),"",IF(INDEX(DGArchive[阶段],823)="","",INDEX(DGArchive[阶段],823)))</f>
        <v/>
      </c>
      <c r="CC1022" t="str">
        <f>IF(823&gt;ROWS(DGArchive[游戏内日期]),"",IF(INDEX(DGArchive[游戏内日期],823)="","",INDEX(DGArchive[游戏内日期],823)))</f>
        <v/>
      </c>
      <c r="CD1022" t="str">
        <f>IF(823&gt;ROWS(DGArchive[目标]),"",IF(INDEX(DGArchive[目标],823)="","",INDEX(DGArchive[目标],823)))</f>
        <v/>
      </c>
      <c r="CE1022" t="str">
        <f>IF(823&gt;ROWS(DGArchive[变更前]),"",IF(INDEX(DGArchive[变更前],823)="","",INDEX(DGArchive[变更前],823)))</f>
        <v/>
      </c>
      <c r="CF1022" t="str">
        <f>IF(823&gt;ROWS(DGArchive[增减]),"",IF(INDEX(DGArchive[增减],823)="","",INDEX(DGArchive[增减],823)))</f>
        <v/>
      </c>
      <c r="CG1022" t="str">
        <f>IF(823&gt;ROWS(DGArchive[变更后]),"",IF(INDEX(DGArchive[变更后],823)="","",INDEX(DGArchive[变更后],823)))</f>
        <v/>
      </c>
      <c r="CH1022" t="str">
        <f>IF(823&gt;ROWS(DGArchive[事件／活动]),"",IF(INDEX(DGArchive[事件／活动],823)="","",INDEX(DGArchive[事件／活动],823)))</f>
        <v/>
      </c>
      <c r="CI1022" t="str">
        <f>IF(823&gt;ROWS(DGArchive[记录编号]),"",IF(INDEX(DGArchive[记录编号],823)="","",INDEX(DGArchive[记录编号],823)))</f>
        <v/>
      </c>
      <c r="CL1022">
        <f t="shared" si="374"/>
        <v>0</v>
      </c>
      <c r="CM1022">
        <f>IF(AND(A1022=$AO$5,B1022=$AQ$3,H1022=1),COUNTIFS($A$200:A1022,$AO$5,$B$200:B1022,$AQ$3,$H$200:H1022,1),0)</f>
        <v>0</v>
      </c>
      <c r="CN1022">
        <f>IF(CA1022="",823,1001)</f>
        <v>823</v>
      </c>
      <c r="GA1022">
        <f t="shared" si="394"/>
        <v>0</v>
      </c>
      <c r="GB1022">
        <f t="shared" si="395"/>
        <v>0</v>
      </c>
      <c r="GC1022">
        <f>IF(AND(C1022="事件记录",H1022=1),COUNTIFS($C$200:C1022,"事件记录",$H$200:H1022,1),0)</f>
        <v>0</v>
      </c>
      <c r="GD1022">
        <f t="shared" si="375"/>
        <v>0</v>
      </c>
      <c r="GH1022">
        <f>IF(AND(H1022=1,A1022=$GA$10,B1022=$GA$11),COUNTIFS($A$200:A1022,$GA$10,$B$200:B1022,$GA$11,$H$200:H1022,1),0)</f>
        <v>0</v>
      </c>
    </row>
    <row r="1023" spans="1:190">
      <c r="A1023" t="str">
        <f t="shared" si="366"/>
        <v/>
      </c>
      <c r="B1023" t="str">
        <f t="shared" si="367"/>
        <v/>
      </c>
      <c r="C1023" t="str">
        <f t="shared" si="368"/>
        <v/>
      </c>
      <c r="D1023" t="str">
        <f t="shared" si="369"/>
        <v/>
      </c>
      <c r="E1023">
        <f t="shared" si="370"/>
        <v>0</v>
      </c>
      <c r="F1023" t="str">
        <f t="shared" si="371"/>
        <v/>
      </c>
      <c r="G1023">
        <f t="shared" si="372"/>
        <v>0</v>
      </c>
      <c r="H1023">
        <f>IF(AND(G1023=1,COUNTIFS($I$200:I1023,I1023,$G$200:G1023,1)=1),1,0)</f>
        <v>0</v>
      </c>
      <c r="I1023" t="str">
        <f t="shared" si="373"/>
        <v/>
      </c>
      <c r="BF1023">
        <f t="shared" si="376"/>
        <v>0</v>
      </c>
      <c r="BG1023">
        <f t="shared" si="377"/>
        <v>0</v>
      </c>
      <c r="BH1023">
        <f t="shared" si="378"/>
        <v>0</v>
      </c>
      <c r="BI1023">
        <f t="shared" si="379"/>
        <v>0</v>
      </c>
      <c r="BJ1023">
        <f t="shared" si="380"/>
        <v>0</v>
      </c>
      <c r="BK1023">
        <f t="shared" si="381"/>
        <v>0</v>
      </c>
      <c r="BL1023">
        <f t="shared" si="382"/>
        <v>0</v>
      </c>
      <c r="BM1023">
        <f t="shared" si="383"/>
        <v>0</v>
      </c>
      <c r="BN1023">
        <f t="shared" si="384"/>
        <v>0</v>
      </c>
      <c r="BO1023">
        <f t="shared" si="385"/>
        <v>0</v>
      </c>
      <c r="BP1023">
        <f t="shared" si="386"/>
        <v>0</v>
      </c>
      <c r="BQ1023">
        <f t="shared" si="387"/>
        <v>0</v>
      </c>
      <c r="BR1023">
        <f t="shared" si="388"/>
        <v>0</v>
      </c>
      <c r="BS1023">
        <f t="shared" si="389"/>
        <v>0</v>
      </c>
      <c r="BT1023">
        <f t="shared" si="390"/>
        <v>0</v>
      </c>
      <c r="BU1023">
        <f t="shared" si="391"/>
        <v>0</v>
      </c>
      <c r="BV1023">
        <f t="shared" si="392"/>
        <v>0</v>
      </c>
      <c r="BW1023">
        <f t="shared" si="393"/>
        <v>0</v>
      </c>
      <c r="CA1023" t="str">
        <f>IF(824&gt;ROWS(DGArchive[模组]),"",IF(INDEX(DGArchive[模组],824)="","",INDEX(DGArchive[模组],824)))</f>
        <v/>
      </c>
      <c r="CB1023" t="str">
        <f>IF(824&gt;ROWS(DGArchive[阶段]),"",IF(INDEX(DGArchive[阶段],824)="","",INDEX(DGArchive[阶段],824)))</f>
        <v/>
      </c>
      <c r="CC1023" t="str">
        <f>IF(824&gt;ROWS(DGArchive[游戏内日期]),"",IF(INDEX(DGArchive[游戏内日期],824)="","",INDEX(DGArchive[游戏内日期],824)))</f>
        <v/>
      </c>
      <c r="CD1023" t="str">
        <f>IF(824&gt;ROWS(DGArchive[目标]),"",IF(INDEX(DGArchive[目标],824)="","",INDEX(DGArchive[目标],824)))</f>
        <v/>
      </c>
      <c r="CE1023" t="str">
        <f>IF(824&gt;ROWS(DGArchive[变更前]),"",IF(INDEX(DGArchive[变更前],824)="","",INDEX(DGArchive[变更前],824)))</f>
        <v/>
      </c>
      <c r="CF1023" t="str">
        <f>IF(824&gt;ROWS(DGArchive[增减]),"",IF(INDEX(DGArchive[增减],824)="","",INDEX(DGArchive[增减],824)))</f>
        <v/>
      </c>
      <c r="CG1023" t="str">
        <f>IF(824&gt;ROWS(DGArchive[变更后]),"",IF(INDEX(DGArchive[变更后],824)="","",INDEX(DGArchive[变更后],824)))</f>
        <v/>
      </c>
      <c r="CH1023" t="str">
        <f>IF(824&gt;ROWS(DGArchive[事件／活动]),"",IF(INDEX(DGArchive[事件／活动],824)="","",INDEX(DGArchive[事件／活动],824)))</f>
        <v/>
      </c>
      <c r="CI1023" t="str">
        <f>IF(824&gt;ROWS(DGArchive[记录编号]),"",IF(INDEX(DGArchive[记录编号],824)="","",INDEX(DGArchive[记录编号],824)))</f>
        <v/>
      </c>
      <c r="CL1023">
        <f t="shared" si="374"/>
        <v>0</v>
      </c>
      <c r="CM1023">
        <f>IF(AND(A1023=$AO$5,B1023=$AQ$3,H1023=1),COUNTIFS($A$200:A1023,$AO$5,$B$200:B1023,$AQ$3,$H$200:H1023,1),0)</f>
        <v>0</v>
      </c>
      <c r="CN1023">
        <f>IF(CA1023="",824,1001)</f>
        <v>824</v>
      </c>
      <c r="GA1023">
        <f t="shared" si="394"/>
        <v>0</v>
      </c>
      <c r="GB1023">
        <f t="shared" si="395"/>
        <v>0</v>
      </c>
      <c r="GC1023">
        <f>IF(AND(C1023="事件记录",H1023=1),COUNTIFS($C$200:C1023,"事件记录",$H$200:H1023,1),0)</f>
        <v>0</v>
      </c>
      <c r="GD1023">
        <f t="shared" si="375"/>
        <v>0</v>
      </c>
      <c r="GH1023">
        <f>IF(AND(H1023=1,A1023=$GA$10,B1023=$GA$11),COUNTIFS($A$200:A1023,$GA$10,$B$200:B1023,$GA$11,$H$200:H1023,1),0)</f>
        <v>0</v>
      </c>
    </row>
    <row r="1024" spans="1:190">
      <c r="A1024" t="str">
        <f t="shared" si="366"/>
        <v/>
      </c>
      <c r="B1024" t="str">
        <f t="shared" si="367"/>
        <v/>
      </c>
      <c r="C1024" t="str">
        <f t="shared" si="368"/>
        <v/>
      </c>
      <c r="D1024" t="str">
        <f t="shared" si="369"/>
        <v/>
      </c>
      <c r="E1024">
        <f t="shared" si="370"/>
        <v>0</v>
      </c>
      <c r="F1024" t="str">
        <f t="shared" si="371"/>
        <v/>
      </c>
      <c r="G1024">
        <f t="shared" si="372"/>
        <v>0</v>
      </c>
      <c r="H1024">
        <f>IF(AND(G1024=1,COUNTIFS($I$200:I1024,I1024,$G$200:G1024,1)=1),1,0)</f>
        <v>0</v>
      </c>
      <c r="I1024" t="str">
        <f t="shared" si="373"/>
        <v/>
      </c>
      <c r="BF1024">
        <f t="shared" si="376"/>
        <v>0</v>
      </c>
      <c r="BG1024">
        <f t="shared" si="377"/>
        <v>0</v>
      </c>
      <c r="BH1024">
        <f t="shared" si="378"/>
        <v>0</v>
      </c>
      <c r="BI1024">
        <f t="shared" si="379"/>
        <v>0</v>
      </c>
      <c r="BJ1024">
        <f t="shared" si="380"/>
        <v>0</v>
      </c>
      <c r="BK1024">
        <f t="shared" si="381"/>
        <v>0</v>
      </c>
      <c r="BL1024">
        <f t="shared" si="382"/>
        <v>0</v>
      </c>
      <c r="BM1024">
        <f t="shared" si="383"/>
        <v>0</v>
      </c>
      <c r="BN1024">
        <f t="shared" si="384"/>
        <v>0</v>
      </c>
      <c r="BO1024">
        <f t="shared" si="385"/>
        <v>0</v>
      </c>
      <c r="BP1024">
        <f t="shared" si="386"/>
        <v>0</v>
      </c>
      <c r="BQ1024">
        <f t="shared" si="387"/>
        <v>0</v>
      </c>
      <c r="BR1024">
        <f t="shared" si="388"/>
        <v>0</v>
      </c>
      <c r="BS1024">
        <f t="shared" si="389"/>
        <v>0</v>
      </c>
      <c r="BT1024">
        <f t="shared" si="390"/>
        <v>0</v>
      </c>
      <c r="BU1024">
        <f t="shared" si="391"/>
        <v>0</v>
      </c>
      <c r="BV1024">
        <f t="shared" si="392"/>
        <v>0</v>
      </c>
      <c r="BW1024">
        <f t="shared" si="393"/>
        <v>0</v>
      </c>
      <c r="CA1024" t="str">
        <f>IF(825&gt;ROWS(DGArchive[模组]),"",IF(INDEX(DGArchive[模组],825)="","",INDEX(DGArchive[模组],825)))</f>
        <v/>
      </c>
      <c r="CB1024" t="str">
        <f>IF(825&gt;ROWS(DGArchive[阶段]),"",IF(INDEX(DGArchive[阶段],825)="","",INDEX(DGArchive[阶段],825)))</f>
        <v/>
      </c>
      <c r="CC1024" t="str">
        <f>IF(825&gt;ROWS(DGArchive[游戏内日期]),"",IF(INDEX(DGArchive[游戏内日期],825)="","",INDEX(DGArchive[游戏内日期],825)))</f>
        <v/>
      </c>
      <c r="CD1024" t="str">
        <f>IF(825&gt;ROWS(DGArchive[目标]),"",IF(INDEX(DGArchive[目标],825)="","",INDEX(DGArchive[目标],825)))</f>
        <v/>
      </c>
      <c r="CE1024" t="str">
        <f>IF(825&gt;ROWS(DGArchive[变更前]),"",IF(INDEX(DGArchive[变更前],825)="","",INDEX(DGArchive[变更前],825)))</f>
        <v/>
      </c>
      <c r="CF1024" t="str">
        <f>IF(825&gt;ROWS(DGArchive[增减]),"",IF(INDEX(DGArchive[增减],825)="","",INDEX(DGArchive[增减],825)))</f>
        <v/>
      </c>
      <c r="CG1024" t="str">
        <f>IF(825&gt;ROWS(DGArchive[变更后]),"",IF(INDEX(DGArchive[变更后],825)="","",INDEX(DGArchive[变更后],825)))</f>
        <v/>
      </c>
      <c r="CH1024" t="str">
        <f>IF(825&gt;ROWS(DGArchive[事件／活动]),"",IF(INDEX(DGArchive[事件／活动],825)="","",INDEX(DGArchive[事件／活动],825)))</f>
        <v/>
      </c>
      <c r="CI1024" t="str">
        <f>IF(825&gt;ROWS(DGArchive[记录编号]),"",IF(INDEX(DGArchive[记录编号],825)="","",INDEX(DGArchive[记录编号],825)))</f>
        <v/>
      </c>
      <c r="CL1024">
        <f t="shared" si="374"/>
        <v>0</v>
      </c>
      <c r="CM1024">
        <f>IF(AND(A1024=$AO$5,B1024=$AQ$3,H1024=1),COUNTIFS($A$200:A1024,$AO$5,$B$200:B1024,$AQ$3,$H$200:H1024,1),0)</f>
        <v>0</v>
      </c>
      <c r="CN1024">
        <f>IF(CA1024="",825,1001)</f>
        <v>825</v>
      </c>
      <c r="GA1024">
        <f t="shared" si="394"/>
        <v>0</v>
      </c>
      <c r="GB1024">
        <f t="shared" si="395"/>
        <v>0</v>
      </c>
      <c r="GC1024">
        <f>IF(AND(C1024="事件记录",H1024=1),COUNTIFS($C$200:C1024,"事件记录",$H$200:H1024,1),0)</f>
        <v>0</v>
      </c>
      <c r="GD1024">
        <f t="shared" si="375"/>
        <v>0</v>
      </c>
      <c r="GH1024">
        <f>IF(AND(H1024=1,A1024=$GA$10,B1024=$GA$11),COUNTIFS($A$200:A1024,$GA$10,$B$200:B1024,$GA$11,$H$200:H1024,1),0)</f>
        <v>0</v>
      </c>
    </row>
    <row r="1025" spans="1:190">
      <c r="A1025" t="str">
        <f t="shared" si="366"/>
        <v/>
      </c>
      <c r="B1025" t="str">
        <f t="shared" si="367"/>
        <v/>
      </c>
      <c r="C1025" t="str">
        <f t="shared" si="368"/>
        <v/>
      </c>
      <c r="D1025" t="str">
        <f t="shared" si="369"/>
        <v/>
      </c>
      <c r="E1025">
        <f t="shared" si="370"/>
        <v>0</v>
      </c>
      <c r="F1025" t="str">
        <f t="shared" si="371"/>
        <v/>
      </c>
      <c r="G1025">
        <f t="shared" si="372"/>
        <v>0</v>
      </c>
      <c r="H1025">
        <f>IF(AND(G1025=1,COUNTIFS($I$200:I1025,I1025,$G$200:G1025,1)=1),1,0)</f>
        <v>0</v>
      </c>
      <c r="I1025" t="str">
        <f t="shared" si="373"/>
        <v/>
      </c>
      <c r="BF1025">
        <f t="shared" si="376"/>
        <v>0</v>
      </c>
      <c r="BG1025">
        <f t="shared" si="377"/>
        <v>0</v>
      </c>
      <c r="BH1025">
        <f t="shared" si="378"/>
        <v>0</v>
      </c>
      <c r="BI1025">
        <f t="shared" si="379"/>
        <v>0</v>
      </c>
      <c r="BJ1025">
        <f t="shared" si="380"/>
        <v>0</v>
      </c>
      <c r="BK1025">
        <f t="shared" si="381"/>
        <v>0</v>
      </c>
      <c r="BL1025">
        <f t="shared" si="382"/>
        <v>0</v>
      </c>
      <c r="BM1025">
        <f t="shared" si="383"/>
        <v>0</v>
      </c>
      <c r="BN1025">
        <f t="shared" si="384"/>
        <v>0</v>
      </c>
      <c r="BO1025">
        <f t="shared" si="385"/>
        <v>0</v>
      </c>
      <c r="BP1025">
        <f t="shared" si="386"/>
        <v>0</v>
      </c>
      <c r="BQ1025">
        <f t="shared" si="387"/>
        <v>0</v>
      </c>
      <c r="BR1025">
        <f t="shared" si="388"/>
        <v>0</v>
      </c>
      <c r="BS1025">
        <f t="shared" si="389"/>
        <v>0</v>
      </c>
      <c r="BT1025">
        <f t="shared" si="390"/>
        <v>0</v>
      </c>
      <c r="BU1025">
        <f t="shared" si="391"/>
        <v>0</v>
      </c>
      <c r="BV1025">
        <f t="shared" si="392"/>
        <v>0</v>
      </c>
      <c r="BW1025">
        <f t="shared" si="393"/>
        <v>0</v>
      </c>
      <c r="CA1025" t="str">
        <f>IF(826&gt;ROWS(DGArchive[模组]),"",IF(INDEX(DGArchive[模组],826)="","",INDEX(DGArchive[模组],826)))</f>
        <v/>
      </c>
      <c r="CB1025" t="str">
        <f>IF(826&gt;ROWS(DGArchive[阶段]),"",IF(INDEX(DGArchive[阶段],826)="","",INDEX(DGArchive[阶段],826)))</f>
        <v/>
      </c>
      <c r="CC1025" t="str">
        <f>IF(826&gt;ROWS(DGArchive[游戏内日期]),"",IF(INDEX(DGArchive[游戏内日期],826)="","",INDEX(DGArchive[游戏内日期],826)))</f>
        <v/>
      </c>
      <c r="CD1025" t="str">
        <f>IF(826&gt;ROWS(DGArchive[目标]),"",IF(INDEX(DGArchive[目标],826)="","",INDEX(DGArchive[目标],826)))</f>
        <v/>
      </c>
      <c r="CE1025" t="str">
        <f>IF(826&gt;ROWS(DGArchive[变更前]),"",IF(INDEX(DGArchive[变更前],826)="","",INDEX(DGArchive[变更前],826)))</f>
        <v/>
      </c>
      <c r="CF1025" t="str">
        <f>IF(826&gt;ROWS(DGArchive[增减]),"",IF(INDEX(DGArchive[增减],826)="","",INDEX(DGArchive[增减],826)))</f>
        <v/>
      </c>
      <c r="CG1025" t="str">
        <f>IF(826&gt;ROWS(DGArchive[变更后]),"",IF(INDEX(DGArchive[变更后],826)="","",INDEX(DGArchive[变更后],826)))</f>
        <v/>
      </c>
      <c r="CH1025" t="str">
        <f>IF(826&gt;ROWS(DGArchive[事件／活动]),"",IF(INDEX(DGArchive[事件／活动],826)="","",INDEX(DGArchive[事件／活动],826)))</f>
        <v/>
      </c>
      <c r="CI1025" t="str">
        <f>IF(826&gt;ROWS(DGArchive[记录编号]),"",IF(INDEX(DGArchive[记录编号],826)="","",INDEX(DGArchive[记录编号],826)))</f>
        <v/>
      </c>
      <c r="CL1025">
        <f t="shared" si="374"/>
        <v>0</v>
      </c>
      <c r="CM1025">
        <f>IF(AND(A1025=$AO$5,B1025=$AQ$3,H1025=1),COUNTIFS($A$200:A1025,$AO$5,$B$200:B1025,$AQ$3,$H$200:H1025,1),0)</f>
        <v>0</v>
      </c>
      <c r="CN1025">
        <f>IF(CA1025="",826,1001)</f>
        <v>826</v>
      </c>
      <c r="GA1025">
        <f t="shared" si="394"/>
        <v>0</v>
      </c>
      <c r="GB1025">
        <f t="shared" si="395"/>
        <v>0</v>
      </c>
      <c r="GC1025">
        <f>IF(AND(C1025="事件记录",H1025=1),COUNTIFS($C$200:C1025,"事件记录",$H$200:H1025,1),0)</f>
        <v>0</v>
      </c>
      <c r="GD1025">
        <f t="shared" si="375"/>
        <v>0</v>
      </c>
      <c r="GH1025">
        <f>IF(AND(H1025=1,A1025=$GA$10,B1025=$GA$11),COUNTIFS($A$200:A1025,$GA$10,$B$200:B1025,$GA$11,$H$200:H1025,1),0)</f>
        <v>0</v>
      </c>
    </row>
    <row r="1026" spans="1:190">
      <c r="A1026" t="str">
        <f t="shared" si="366"/>
        <v/>
      </c>
      <c r="B1026" t="str">
        <f t="shared" si="367"/>
        <v/>
      </c>
      <c r="C1026" t="str">
        <f t="shared" si="368"/>
        <v/>
      </c>
      <c r="D1026" t="str">
        <f t="shared" si="369"/>
        <v/>
      </c>
      <c r="E1026">
        <f t="shared" si="370"/>
        <v>0</v>
      </c>
      <c r="F1026" t="str">
        <f t="shared" si="371"/>
        <v/>
      </c>
      <c r="G1026">
        <f t="shared" si="372"/>
        <v>0</v>
      </c>
      <c r="H1026">
        <f>IF(AND(G1026=1,COUNTIFS($I$200:I1026,I1026,$G$200:G1026,1)=1),1,0)</f>
        <v>0</v>
      </c>
      <c r="I1026" t="str">
        <f t="shared" si="373"/>
        <v/>
      </c>
      <c r="BF1026">
        <f t="shared" si="376"/>
        <v>0</v>
      </c>
      <c r="BG1026">
        <f t="shared" si="377"/>
        <v>0</v>
      </c>
      <c r="BH1026">
        <f t="shared" si="378"/>
        <v>0</v>
      </c>
      <c r="BI1026">
        <f t="shared" si="379"/>
        <v>0</v>
      </c>
      <c r="BJ1026">
        <f t="shared" si="380"/>
        <v>0</v>
      </c>
      <c r="BK1026">
        <f t="shared" si="381"/>
        <v>0</v>
      </c>
      <c r="BL1026">
        <f t="shared" si="382"/>
        <v>0</v>
      </c>
      <c r="BM1026">
        <f t="shared" si="383"/>
        <v>0</v>
      </c>
      <c r="BN1026">
        <f t="shared" si="384"/>
        <v>0</v>
      </c>
      <c r="BO1026">
        <f t="shared" si="385"/>
        <v>0</v>
      </c>
      <c r="BP1026">
        <f t="shared" si="386"/>
        <v>0</v>
      </c>
      <c r="BQ1026">
        <f t="shared" si="387"/>
        <v>0</v>
      </c>
      <c r="BR1026">
        <f t="shared" si="388"/>
        <v>0</v>
      </c>
      <c r="BS1026">
        <f t="shared" si="389"/>
        <v>0</v>
      </c>
      <c r="BT1026">
        <f t="shared" si="390"/>
        <v>0</v>
      </c>
      <c r="BU1026">
        <f t="shared" si="391"/>
        <v>0</v>
      </c>
      <c r="BV1026">
        <f t="shared" si="392"/>
        <v>0</v>
      </c>
      <c r="BW1026">
        <f t="shared" si="393"/>
        <v>0</v>
      </c>
      <c r="CA1026" t="str">
        <f>IF(827&gt;ROWS(DGArchive[模组]),"",IF(INDEX(DGArchive[模组],827)="","",INDEX(DGArchive[模组],827)))</f>
        <v/>
      </c>
      <c r="CB1026" t="str">
        <f>IF(827&gt;ROWS(DGArchive[阶段]),"",IF(INDEX(DGArchive[阶段],827)="","",INDEX(DGArchive[阶段],827)))</f>
        <v/>
      </c>
      <c r="CC1026" t="str">
        <f>IF(827&gt;ROWS(DGArchive[游戏内日期]),"",IF(INDEX(DGArchive[游戏内日期],827)="","",INDEX(DGArchive[游戏内日期],827)))</f>
        <v/>
      </c>
      <c r="CD1026" t="str">
        <f>IF(827&gt;ROWS(DGArchive[目标]),"",IF(INDEX(DGArchive[目标],827)="","",INDEX(DGArchive[目标],827)))</f>
        <v/>
      </c>
      <c r="CE1026" t="str">
        <f>IF(827&gt;ROWS(DGArchive[变更前]),"",IF(INDEX(DGArchive[变更前],827)="","",INDEX(DGArchive[变更前],827)))</f>
        <v/>
      </c>
      <c r="CF1026" t="str">
        <f>IF(827&gt;ROWS(DGArchive[增减]),"",IF(INDEX(DGArchive[增减],827)="","",INDEX(DGArchive[增减],827)))</f>
        <v/>
      </c>
      <c r="CG1026" t="str">
        <f>IF(827&gt;ROWS(DGArchive[变更后]),"",IF(INDEX(DGArchive[变更后],827)="","",INDEX(DGArchive[变更后],827)))</f>
        <v/>
      </c>
      <c r="CH1026" t="str">
        <f>IF(827&gt;ROWS(DGArchive[事件／活动]),"",IF(INDEX(DGArchive[事件／活动],827)="","",INDEX(DGArchive[事件／活动],827)))</f>
        <v/>
      </c>
      <c r="CI1026" t="str">
        <f>IF(827&gt;ROWS(DGArchive[记录编号]),"",IF(INDEX(DGArchive[记录编号],827)="","",INDEX(DGArchive[记录编号],827)))</f>
        <v/>
      </c>
      <c r="CL1026">
        <f t="shared" si="374"/>
        <v>0</v>
      </c>
      <c r="CM1026">
        <f>IF(AND(A1026=$AO$5,B1026=$AQ$3,H1026=1),COUNTIFS($A$200:A1026,$AO$5,$B$200:B1026,$AQ$3,$H$200:H1026,1),0)</f>
        <v>0</v>
      </c>
      <c r="CN1026">
        <f>IF(CA1026="",827,1001)</f>
        <v>827</v>
      </c>
      <c r="GA1026">
        <f t="shared" si="394"/>
        <v>0</v>
      </c>
      <c r="GB1026">
        <f t="shared" si="395"/>
        <v>0</v>
      </c>
      <c r="GC1026">
        <f>IF(AND(C1026="事件记录",H1026=1),COUNTIFS($C$200:C1026,"事件记录",$H$200:H1026,1),0)</f>
        <v>0</v>
      </c>
      <c r="GD1026">
        <f t="shared" si="375"/>
        <v>0</v>
      </c>
      <c r="GH1026">
        <f>IF(AND(H1026=1,A1026=$GA$10,B1026=$GA$11),COUNTIFS($A$200:A1026,$GA$10,$B$200:B1026,$GA$11,$H$200:H1026,1),0)</f>
        <v>0</v>
      </c>
    </row>
    <row r="1027" spans="1:190">
      <c r="A1027" t="str">
        <f t="shared" si="366"/>
        <v/>
      </c>
      <c r="B1027" t="str">
        <f t="shared" si="367"/>
        <v/>
      </c>
      <c r="C1027" t="str">
        <f t="shared" si="368"/>
        <v/>
      </c>
      <c r="D1027" t="str">
        <f t="shared" si="369"/>
        <v/>
      </c>
      <c r="E1027">
        <f t="shared" si="370"/>
        <v>0</v>
      </c>
      <c r="F1027" t="str">
        <f t="shared" si="371"/>
        <v/>
      </c>
      <c r="G1027">
        <f t="shared" si="372"/>
        <v>0</v>
      </c>
      <c r="H1027">
        <f>IF(AND(G1027=1,COUNTIFS($I$200:I1027,I1027,$G$200:G1027,1)=1),1,0)</f>
        <v>0</v>
      </c>
      <c r="I1027" t="str">
        <f t="shared" si="373"/>
        <v/>
      </c>
      <c r="BF1027">
        <f t="shared" si="376"/>
        <v>0</v>
      </c>
      <c r="BG1027">
        <f t="shared" si="377"/>
        <v>0</v>
      </c>
      <c r="BH1027">
        <f t="shared" si="378"/>
        <v>0</v>
      </c>
      <c r="BI1027">
        <f t="shared" si="379"/>
        <v>0</v>
      </c>
      <c r="BJ1027">
        <f t="shared" si="380"/>
        <v>0</v>
      </c>
      <c r="BK1027">
        <f t="shared" si="381"/>
        <v>0</v>
      </c>
      <c r="BL1027">
        <f t="shared" si="382"/>
        <v>0</v>
      </c>
      <c r="BM1027">
        <f t="shared" si="383"/>
        <v>0</v>
      </c>
      <c r="BN1027">
        <f t="shared" si="384"/>
        <v>0</v>
      </c>
      <c r="BO1027">
        <f t="shared" si="385"/>
        <v>0</v>
      </c>
      <c r="BP1027">
        <f t="shared" si="386"/>
        <v>0</v>
      </c>
      <c r="BQ1027">
        <f t="shared" si="387"/>
        <v>0</v>
      </c>
      <c r="BR1027">
        <f t="shared" si="388"/>
        <v>0</v>
      </c>
      <c r="BS1027">
        <f t="shared" si="389"/>
        <v>0</v>
      </c>
      <c r="BT1027">
        <f t="shared" si="390"/>
        <v>0</v>
      </c>
      <c r="BU1027">
        <f t="shared" si="391"/>
        <v>0</v>
      </c>
      <c r="BV1027">
        <f t="shared" si="392"/>
        <v>0</v>
      </c>
      <c r="BW1027">
        <f t="shared" si="393"/>
        <v>0</v>
      </c>
      <c r="CA1027" t="str">
        <f>IF(828&gt;ROWS(DGArchive[模组]),"",IF(INDEX(DGArchive[模组],828)="","",INDEX(DGArchive[模组],828)))</f>
        <v/>
      </c>
      <c r="CB1027" t="str">
        <f>IF(828&gt;ROWS(DGArchive[阶段]),"",IF(INDEX(DGArchive[阶段],828)="","",INDEX(DGArchive[阶段],828)))</f>
        <v/>
      </c>
      <c r="CC1027" t="str">
        <f>IF(828&gt;ROWS(DGArchive[游戏内日期]),"",IF(INDEX(DGArchive[游戏内日期],828)="","",INDEX(DGArchive[游戏内日期],828)))</f>
        <v/>
      </c>
      <c r="CD1027" t="str">
        <f>IF(828&gt;ROWS(DGArchive[目标]),"",IF(INDEX(DGArchive[目标],828)="","",INDEX(DGArchive[目标],828)))</f>
        <v/>
      </c>
      <c r="CE1027" t="str">
        <f>IF(828&gt;ROWS(DGArchive[变更前]),"",IF(INDEX(DGArchive[变更前],828)="","",INDEX(DGArchive[变更前],828)))</f>
        <v/>
      </c>
      <c r="CF1027" t="str">
        <f>IF(828&gt;ROWS(DGArchive[增减]),"",IF(INDEX(DGArchive[增减],828)="","",INDEX(DGArchive[增减],828)))</f>
        <v/>
      </c>
      <c r="CG1027" t="str">
        <f>IF(828&gt;ROWS(DGArchive[变更后]),"",IF(INDEX(DGArchive[变更后],828)="","",INDEX(DGArchive[变更后],828)))</f>
        <v/>
      </c>
      <c r="CH1027" t="str">
        <f>IF(828&gt;ROWS(DGArchive[事件／活动]),"",IF(INDEX(DGArchive[事件／活动],828)="","",INDEX(DGArchive[事件／活动],828)))</f>
        <v/>
      </c>
      <c r="CI1027" t="str">
        <f>IF(828&gt;ROWS(DGArchive[记录编号]),"",IF(INDEX(DGArchive[记录编号],828)="","",INDEX(DGArchive[记录编号],828)))</f>
        <v/>
      </c>
      <c r="CL1027">
        <f t="shared" si="374"/>
        <v>0</v>
      </c>
      <c r="CM1027">
        <f>IF(AND(A1027=$AO$5,B1027=$AQ$3,H1027=1),COUNTIFS($A$200:A1027,$AO$5,$B$200:B1027,$AQ$3,$H$200:H1027,1),0)</f>
        <v>0</v>
      </c>
      <c r="CN1027">
        <f>IF(CA1027="",828,1001)</f>
        <v>828</v>
      </c>
      <c r="GA1027">
        <f t="shared" si="394"/>
        <v>0</v>
      </c>
      <c r="GB1027">
        <f t="shared" si="395"/>
        <v>0</v>
      </c>
      <c r="GC1027">
        <f>IF(AND(C1027="事件记录",H1027=1),COUNTIFS($C$200:C1027,"事件记录",$H$200:H1027,1),0)</f>
        <v>0</v>
      </c>
      <c r="GD1027">
        <f t="shared" si="375"/>
        <v>0</v>
      </c>
      <c r="GH1027">
        <f>IF(AND(H1027=1,A1027=$GA$10,B1027=$GA$11),COUNTIFS($A$200:A1027,$GA$10,$B$200:B1027,$GA$11,$H$200:H1027,1),0)</f>
        <v>0</v>
      </c>
    </row>
    <row r="1028" spans="1:190">
      <c r="A1028" t="str">
        <f t="shared" si="366"/>
        <v/>
      </c>
      <c r="B1028" t="str">
        <f t="shared" si="367"/>
        <v/>
      </c>
      <c r="C1028" t="str">
        <f t="shared" si="368"/>
        <v/>
      </c>
      <c r="D1028" t="str">
        <f t="shared" si="369"/>
        <v/>
      </c>
      <c r="E1028">
        <f t="shared" si="370"/>
        <v>0</v>
      </c>
      <c r="F1028" t="str">
        <f t="shared" si="371"/>
        <v/>
      </c>
      <c r="G1028">
        <f t="shared" si="372"/>
        <v>0</v>
      </c>
      <c r="H1028">
        <f>IF(AND(G1028=1,COUNTIFS($I$200:I1028,I1028,$G$200:G1028,1)=1),1,0)</f>
        <v>0</v>
      </c>
      <c r="I1028" t="str">
        <f t="shared" si="373"/>
        <v/>
      </c>
      <c r="BF1028">
        <f t="shared" si="376"/>
        <v>0</v>
      </c>
      <c r="BG1028">
        <f t="shared" si="377"/>
        <v>0</v>
      </c>
      <c r="BH1028">
        <f t="shared" si="378"/>
        <v>0</v>
      </c>
      <c r="BI1028">
        <f t="shared" si="379"/>
        <v>0</v>
      </c>
      <c r="BJ1028">
        <f t="shared" si="380"/>
        <v>0</v>
      </c>
      <c r="BK1028">
        <f t="shared" si="381"/>
        <v>0</v>
      </c>
      <c r="BL1028">
        <f t="shared" si="382"/>
        <v>0</v>
      </c>
      <c r="BM1028">
        <f t="shared" si="383"/>
        <v>0</v>
      </c>
      <c r="BN1028">
        <f t="shared" si="384"/>
        <v>0</v>
      </c>
      <c r="BO1028">
        <f t="shared" si="385"/>
        <v>0</v>
      </c>
      <c r="BP1028">
        <f t="shared" si="386"/>
        <v>0</v>
      </c>
      <c r="BQ1028">
        <f t="shared" si="387"/>
        <v>0</v>
      </c>
      <c r="BR1028">
        <f t="shared" si="388"/>
        <v>0</v>
      </c>
      <c r="BS1028">
        <f t="shared" si="389"/>
        <v>0</v>
      </c>
      <c r="BT1028">
        <f t="shared" si="390"/>
        <v>0</v>
      </c>
      <c r="BU1028">
        <f t="shared" si="391"/>
        <v>0</v>
      </c>
      <c r="BV1028">
        <f t="shared" si="392"/>
        <v>0</v>
      </c>
      <c r="BW1028">
        <f t="shared" si="393"/>
        <v>0</v>
      </c>
      <c r="CA1028" t="str">
        <f>IF(829&gt;ROWS(DGArchive[模组]),"",IF(INDEX(DGArchive[模组],829)="","",INDEX(DGArchive[模组],829)))</f>
        <v/>
      </c>
      <c r="CB1028" t="str">
        <f>IF(829&gt;ROWS(DGArchive[阶段]),"",IF(INDEX(DGArchive[阶段],829)="","",INDEX(DGArchive[阶段],829)))</f>
        <v/>
      </c>
      <c r="CC1028" t="str">
        <f>IF(829&gt;ROWS(DGArchive[游戏内日期]),"",IF(INDEX(DGArchive[游戏内日期],829)="","",INDEX(DGArchive[游戏内日期],829)))</f>
        <v/>
      </c>
      <c r="CD1028" t="str">
        <f>IF(829&gt;ROWS(DGArchive[目标]),"",IF(INDEX(DGArchive[目标],829)="","",INDEX(DGArchive[目标],829)))</f>
        <v/>
      </c>
      <c r="CE1028" t="str">
        <f>IF(829&gt;ROWS(DGArchive[变更前]),"",IF(INDEX(DGArchive[变更前],829)="","",INDEX(DGArchive[变更前],829)))</f>
        <v/>
      </c>
      <c r="CF1028" t="str">
        <f>IF(829&gt;ROWS(DGArchive[增减]),"",IF(INDEX(DGArchive[增减],829)="","",INDEX(DGArchive[增减],829)))</f>
        <v/>
      </c>
      <c r="CG1028" t="str">
        <f>IF(829&gt;ROWS(DGArchive[变更后]),"",IF(INDEX(DGArchive[变更后],829)="","",INDEX(DGArchive[变更后],829)))</f>
        <v/>
      </c>
      <c r="CH1028" t="str">
        <f>IF(829&gt;ROWS(DGArchive[事件／活动]),"",IF(INDEX(DGArchive[事件／活动],829)="","",INDEX(DGArchive[事件／活动],829)))</f>
        <v/>
      </c>
      <c r="CI1028" t="str">
        <f>IF(829&gt;ROWS(DGArchive[记录编号]),"",IF(INDEX(DGArchive[记录编号],829)="","",INDEX(DGArchive[记录编号],829)))</f>
        <v/>
      </c>
      <c r="CL1028">
        <f t="shared" si="374"/>
        <v>0</v>
      </c>
      <c r="CM1028">
        <f>IF(AND(A1028=$AO$5,B1028=$AQ$3,H1028=1),COUNTIFS($A$200:A1028,$AO$5,$B$200:B1028,$AQ$3,$H$200:H1028,1),0)</f>
        <v>0</v>
      </c>
      <c r="CN1028">
        <f>IF(CA1028="",829,1001)</f>
        <v>829</v>
      </c>
      <c r="GA1028">
        <f t="shared" si="394"/>
        <v>0</v>
      </c>
      <c r="GB1028">
        <f t="shared" si="395"/>
        <v>0</v>
      </c>
      <c r="GC1028">
        <f>IF(AND(C1028="事件记录",H1028=1),COUNTIFS($C$200:C1028,"事件记录",$H$200:H1028,1),0)</f>
        <v>0</v>
      </c>
      <c r="GD1028">
        <f t="shared" si="375"/>
        <v>0</v>
      </c>
      <c r="GH1028">
        <f>IF(AND(H1028=1,A1028=$GA$10,B1028=$GA$11),COUNTIFS($A$200:A1028,$GA$10,$B$200:B1028,$GA$11,$H$200:H1028,1),0)</f>
        <v>0</v>
      </c>
    </row>
    <row r="1029" spans="1:190">
      <c r="A1029" t="str">
        <f t="shared" si="366"/>
        <v/>
      </c>
      <c r="B1029" t="str">
        <f t="shared" si="367"/>
        <v/>
      </c>
      <c r="C1029" t="str">
        <f t="shared" si="368"/>
        <v/>
      </c>
      <c r="D1029" t="str">
        <f t="shared" si="369"/>
        <v/>
      </c>
      <c r="E1029">
        <f t="shared" si="370"/>
        <v>0</v>
      </c>
      <c r="F1029" t="str">
        <f t="shared" si="371"/>
        <v/>
      </c>
      <c r="G1029">
        <f t="shared" si="372"/>
        <v>0</v>
      </c>
      <c r="H1029">
        <f>IF(AND(G1029=1,COUNTIFS($I$200:I1029,I1029,$G$200:G1029,1)=1),1,0)</f>
        <v>0</v>
      </c>
      <c r="I1029" t="str">
        <f t="shared" si="373"/>
        <v/>
      </c>
      <c r="BF1029">
        <f t="shared" si="376"/>
        <v>0</v>
      </c>
      <c r="BG1029">
        <f t="shared" si="377"/>
        <v>0</v>
      </c>
      <c r="BH1029">
        <f t="shared" si="378"/>
        <v>0</v>
      </c>
      <c r="BI1029">
        <f t="shared" si="379"/>
        <v>0</v>
      </c>
      <c r="BJ1029">
        <f t="shared" si="380"/>
        <v>0</v>
      </c>
      <c r="BK1029">
        <f t="shared" si="381"/>
        <v>0</v>
      </c>
      <c r="BL1029">
        <f t="shared" si="382"/>
        <v>0</v>
      </c>
      <c r="BM1029">
        <f t="shared" si="383"/>
        <v>0</v>
      </c>
      <c r="BN1029">
        <f t="shared" si="384"/>
        <v>0</v>
      </c>
      <c r="BO1029">
        <f t="shared" si="385"/>
        <v>0</v>
      </c>
      <c r="BP1029">
        <f t="shared" si="386"/>
        <v>0</v>
      </c>
      <c r="BQ1029">
        <f t="shared" si="387"/>
        <v>0</v>
      </c>
      <c r="BR1029">
        <f t="shared" si="388"/>
        <v>0</v>
      </c>
      <c r="BS1029">
        <f t="shared" si="389"/>
        <v>0</v>
      </c>
      <c r="BT1029">
        <f t="shared" si="390"/>
        <v>0</v>
      </c>
      <c r="BU1029">
        <f t="shared" si="391"/>
        <v>0</v>
      </c>
      <c r="BV1029">
        <f t="shared" si="392"/>
        <v>0</v>
      </c>
      <c r="BW1029">
        <f t="shared" si="393"/>
        <v>0</v>
      </c>
      <c r="CA1029" t="str">
        <f>IF(830&gt;ROWS(DGArchive[模组]),"",IF(INDEX(DGArchive[模组],830)="","",INDEX(DGArchive[模组],830)))</f>
        <v/>
      </c>
      <c r="CB1029" t="str">
        <f>IF(830&gt;ROWS(DGArchive[阶段]),"",IF(INDEX(DGArchive[阶段],830)="","",INDEX(DGArchive[阶段],830)))</f>
        <v/>
      </c>
      <c r="CC1029" t="str">
        <f>IF(830&gt;ROWS(DGArchive[游戏内日期]),"",IF(INDEX(DGArchive[游戏内日期],830)="","",INDEX(DGArchive[游戏内日期],830)))</f>
        <v/>
      </c>
      <c r="CD1029" t="str">
        <f>IF(830&gt;ROWS(DGArchive[目标]),"",IF(INDEX(DGArchive[目标],830)="","",INDEX(DGArchive[目标],830)))</f>
        <v/>
      </c>
      <c r="CE1029" t="str">
        <f>IF(830&gt;ROWS(DGArchive[变更前]),"",IF(INDEX(DGArchive[变更前],830)="","",INDEX(DGArchive[变更前],830)))</f>
        <v/>
      </c>
      <c r="CF1029" t="str">
        <f>IF(830&gt;ROWS(DGArchive[增减]),"",IF(INDEX(DGArchive[增减],830)="","",INDEX(DGArchive[增减],830)))</f>
        <v/>
      </c>
      <c r="CG1029" t="str">
        <f>IF(830&gt;ROWS(DGArchive[变更后]),"",IF(INDEX(DGArchive[变更后],830)="","",INDEX(DGArchive[变更后],830)))</f>
        <v/>
      </c>
      <c r="CH1029" t="str">
        <f>IF(830&gt;ROWS(DGArchive[事件／活动]),"",IF(INDEX(DGArchive[事件／活动],830)="","",INDEX(DGArchive[事件／活动],830)))</f>
        <v/>
      </c>
      <c r="CI1029" t="str">
        <f>IF(830&gt;ROWS(DGArchive[记录编号]),"",IF(INDEX(DGArchive[记录编号],830)="","",INDEX(DGArchive[记录编号],830)))</f>
        <v/>
      </c>
      <c r="CL1029">
        <f t="shared" si="374"/>
        <v>0</v>
      </c>
      <c r="CM1029">
        <f>IF(AND(A1029=$AO$5,B1029=$AQ$3,H1029=1),COUNTIFS($A$200:A1029,$AO$5,$B$200:B1029,$AQ$3,$H$200:H1029,1),0)</f>
        <v>0</v>
      </c>
      <c r="CN1029">
        <f>IF(CA1029="",830,1001)</f>
        <v>830</v>
      </c>
      <c r="GA1029">
        <f t="shared" si="394"/>
        <v>0</v>
      </c>
      <c r="GB1029">
        <f t="shared" si="395"/>
        <v>0</v>
      </c>
      <c r="GC1029">
        <f>IF(AND(C1029="事件记录",H1029=1),COUNTIFS($C$200:C1029,"事件记录",$H$200:H1029,1),0)</f>
        <v>0</v>
      </c>
      <c r="GD1029">
        <f t="shared" si="375"/>
        <v>0</v>
      </c>
      <c r="GH1029">
        <f>IF(AND(H1029=1,A1029=$GA$10,B1029=$GA$11),COUNTIFS($A$200:A1029,$GA$10,$B$200:B1029,$GA$11,$H$200:H1029,1),0)</f>
        <v>0</v>
      </c>
    </row>
    <row r="1030" spans="1:190">
      <c r="A1030" t="str">
        <f t="shared" si="366"/>
        <v/>
      </c>
      <c r="B1030" t="str">
        <f t="shared" si="367"/>
        <v/>
      </c>
      <c r="C1030" t="str">
        <f t="shared" si="368"/>
        <v/>
      </c>
      <c r="D1030" t="str">
        <f t="shared" si="369"/>
        <v/>
      </c>
      <c r="E1030">
        <f t="shared" si="370"/>
        <v>0</v>
      </c>
      <c r="F1030" t="str">
        <f t="shared" si="371"/>
        <v/>
      </c>
      <c r="G1030">
        <f t="shared" si="372"/>
        <v>0</v>
      </c>
      <c r="H1030">
        <f>IF(AND(G1030=1,COUNTIFS($I$200:I1030,I1030,$G$200:G1030,1)=1),1,0)</f>
        <v>0</v>
      </c>
      <c r="I1030" t="str">
        <f t="shared" si="373"/>
        <v/>
      </c>
      <c r="BF1030">
        <f t="shared" si="376"/>
        <v>0</v>
      </c>
      <c r="BG1030">
        <f t="shared" si="377"/>
        <v>0</v>
      </c>
      <c r="BH1030">
        <f t="shared" si="378"/>
        <v>0</v>
      </c>
      <c r="BI1030">
        <f t="shared" si="379"/>
        <v>0</v>
      </c>
      <c r="BJ1030">
        <f t="shared" si="380"/>
        <v>0</v>
      </c>
      <c r="BK1030">
        <f t="shared" si="381"/>
        <v>0</v>
      </c>
      <c r="BL1030">
        <f t="shared" si="382"/>
        <v>0</v>
      </c>
      <c r="BM1030">
        <f t="shared" si="383"/>
        <v>0</v>
      </c>
      <c r="BN1030">
        <f t="shared" si="384"/>
        <v>0</v>
      </c>
      <c r="BO1030">
        <f t="shared" si="385"/>
        <v>0</v>
      </c>
      <c r="BP1030">
        <f t="shared" si="386"/>
        <v>0</v>
      </c>
      <c r="BQ1030">
        <f t="shared" si="387"/>
        <v>0</v>
      </c>
      <c r="BR1030">
        <f t="shared" si="388"/>
        <v>0</v>
      </c>
      <c r="BS1030">
        <f t="shared" si="389"/>
        <v>0</v>
      </c>
      <c r="BT1030">
        <f t="shared" si="390"/>
        <v>0</v>
      </c>
      <c r="BU1030">
        <f t="shared" si="391"/>
        <v>0</v>
      </c>
      <c r="BV1030">
        <f t="shared" si="392"/>
        <v>0</v>
      </c>
      <c r="BW1030">
        <f t="shared" si="393"/>
        <v>0</v>
      </c>
      <c r="CA1030" t="str">
        <f>IF(831&gt;ROWS(DGArchive[模组]),"",IF(INDEX(DGArchive[模组],831)="","",INDEX(DGArchive[模组],831)))</f>
        <v/>
      </c>
      <c r="CB1030" t="str">
        <f>IF(831&gt;ROWS(DGArchive[阶段]),"",IF(INDEX(DGArchive[阶段],831)="","",INDEX(DGArchive[阶段],831)))</f>
        <v/>
      </c>
      <c r="CC1030" t="str">
        <f>IF(831&gt;ROWS(DGArchive[游戏内日期]),"",IF(INDEX(DGArchive[游戏内日期],831)="","",INDEX(DGArchive[游戏内日期],831)))</f>
        <v/>
      </c>
      <c r="CD1030" t="str">
        <f>IF(831&gt;ROWS(DGArchive[目标]),"",IF(INDEX(DGArchive[目标],831)="","",INDEX(DGArchive[目标],831)))</f>
        <v/>
      </c>
      <c r="CE1030" t="str">
        <f>IF(831&gt;ROWS(DGArchive[变更前]),"",IF(INDEX(DGArchive[变更前],831)="","",INDEX(DGArchive[变更前],831)))</f>
        <v/>
      </c>
      <c r="CF1030" t="str">
        <f>IF(831&gt;ROWS(DGArchive[增减]),"",IF(INDEX(DGArchive[增减],831)="","",INDEX(DGArchive[增减],831)))</f>
        <v/>
      </c>
      <c r="CG1030" t="str">
        <f>IF(831&gt;ROWS(DGArchive[变更后]),"",IF(INDEX(DGArchive[变更后],831)="","",INDEX(DGArchive[变更后],831)))</f>
        <v/>
      </c>
      <c r="CH1030" t="str">
        <f>IF(831&gt;ROWS(DGArchive[事件／活动]),"",IF(INDEX(DGArchive[事件／活动],831)="","",INDEX(DGArchive[事件／活动],831)))</f>
        <v/>
      </c>
      <c r="CI1030" t="str">
        <f>IF(831&gt;ROWS(DGArchive[记录编号]),"",IF(INDEX(DGArchive[记录编号],831)="","",INDEX(DGArchive[记录编号],831)))</f>
        <v/>
      </c>
      <c r="CL1030">
        <f t="shared" si="374"/>
        <v>0</v>
      </c>
      <c r="CM1030">
        <f>IF(AND(A1030=$AO$5,B1030=$AQ$3,H1030=1),COUNTIFS($A$200:A1030,$AO$5,$B$200:B1030,$AQ$3,$H$200:H1030,1),0)</f>
        <v>0</v>
      </c>
      <c r="CN1030">
        <f>IF(CA1030="",831,1001)</f>
        <v>831</v>
      </c>
      <c r="GA1030">
        <f t="shared" si="394"/>
        <v>0</v>
      </c>
      <c r="GB1030">
        <f t="shared" si="395"/>
        <v>0</v>
      </c>
      <c r="GC1030">
        <f>IF(AND(C1030="事件记录",H1030=1),COUNTIFS($C$200:C1030,"事件记录",$H$200:H1030,1),0)</f>
        <v>0</v>
      </c>
      <c r="GD1030">
        <f t="shared" si="375"/>
        <v>0</v>
      </c>
      <c r="GH1030">
        <f>IF(AND(H1030=1,A1030=$GA$10,B1030=$GA$11),COUNTIFS($A$200:A1030,$GA$10,$B$200:B1030,$GA$11,$H$200:H1030,1),0)</f>
        <v>0</v>
      </c>
    </row>
    <row r="1031" spans="1:190">
      <c r="A1031" t="str">
        <f t="shared" si="366"/>
        <v/>
      </c>
      <c r="B1031" t="str">
        <f t="shared" si="367"/>
        <v/>
      </c>
      <c r="C1031" t="str">
        <f t="shared" si="368"/>
        <v/>
      </c>
      <c r="D1031" t="str">
        <f t="shared" si="369"/>
        <v/>
      </c>
      <c r="E1031">
        <f t="shared" si="370"/>
        <v>0</v>
      </c>
      <c r="F1031" t="str">
        <f t="shared" si="371"/>
        <v/>
      </c>
      <c r="G1031">
        <f t="shared" si="372"/>
        <v>0</v>
      </c>
      <c r="H1031">
        <f>IF(AND(G1031=1,COUNTIFS($I$200:I1031,I1031,$G$200:G1031,1)=1),1,0)</f>
        <v>0</v>
      </c>
      <c r="I1031" t="str">
        <f t="shared" si="373"/>
        <v/>
      </c>
      <c r="BF1031">
        <f t="shared" si="376"/>
        <v>0</v>
      </c>
      <c r="BG1031">
        <f t="shared" si="377"/>
        <v>0</v>
      </c>
      <c r="BH1031">
        <f t="shared" si="378"/>
        <v>0</v>
      </c>
      <c r="BI1031">
        <f t="shared" si="379"/>
        <v>0</v>
      </c>
      <c r="BJ1031">
        <f t="shared" si="380"/>
        <v>0</v>
      </c>
      <c r="BK1031">
        <f t="shared" si="381"/>
        <v>0</v>
      </c>
      <c r="BL1031">
        <f t="shared" si="382"/>
        <v>0</v>
      </c>
      <c r="BM1031">
        <f t="shared" si="383"/>
        <v>0</v>
      </c>
      <c r="BN1031">
        <f t="shared" si="384"/>
        <v>0</v>
      </c>
      <c r="BO1031">
        <f t="shared" si="385"/>
        <v>0</v>
      </c>
      <c r="BP1031">
        <f t="shared" si="386"/>
        <v>0</v>
      </c>
      <c r="BQ1031">
        <f t="shared" si="387"/>
        <v>0</v>
      </c>
      <c r="BR1031">
        <f t="shared" si="388"/>
        <v>0</v>
      </c>
      <c r="BS1031">
        <f t="shared" si="389"/>
        <v>0</v>
      </c>
      <c r="BT1031">
        <f t="shared" si="390"/>
        <v>0</v>
      </c>
      <c r="BU1031">
        <f t="shared" si="391"/>
        <v>0</v>
      </c>
      <c r="BV1031">
        <f t="shared" si="392"/>
        <v>0</v>
      </c>
      <c r="BW1031">
        <f t="shared" si="393"/>
        <v>0</v>
      </c>
      <c r="CA1031" t="str">
        <f>IF(832&gt;ROWS(DGArchive[模组]),"",IF(INDEX(DGArchive[模组],832)="","",INDEX(DGArchive[模组],832)))</f>
        <v/>
      </c>
      <c r="CB1031" t="str">
        <f>IF(832&gt;ROWS(DGArchive[阶段]),"",IF(INDEX(DGArchive[阶段],832)="","",INDEX(DGArchive[阶段],832)))</f>
        <v/>
      </c>
      <c r="CC1031" t="str">
        <f>IF(832&gt;ROWS(DGArchive[游戏内日期]),"",IF(INDEX(DGArchive[游戏内日期],832)="","",INDEX(DGArchive[游戏内日期],832)))</f>
        <v/>
      </c>
      <c r="CD1031" t="str">
        <f>IF(832&gt;ROWS(DGArchive[目标]),"",IF(INDEX(DGArchive[目标],832)="","",INDEX(DGArchive[目标],832)))</f>
        <v/>
      </c>
      <c r="CE1031" t="str">
        <f>IF(832&gt;ROWS(DGArchive[变更前]),"",IF(INDEX(DGArchive[变更前],832)="","",INDEX(DGArchive[变更前],832)))</f>
        <v/>
      </c>
      <c r="CF1031" t="str">
        <f>IF(832&gt;ROWS(DGArchive[增减]),"",IF(INDEX(DGArchive[增减],832)="","",INDEX(DGArchive[增减],832)))</f>
        <v/>
      </c>
      <c r="CG1031" t="str">
        <f>IF(832&gt;ROWS(DGArchive[变更后]),"",IF(INDEX(DGArchive[变更后],832)="","",INDEX(DGArchive[变更后],832)))</f>
        <v/>
      </c>
      <c r="CH1031" t="str">
        <f>IF(832&gt;ROWS(DGArchive[事件／活动]),"",IF(INDEX(DGArchive[事件／活动],832)="","",INDEX(DGArchive[事件／活动],832)))</f>
        <v/>
      </c>
      <c r="CI1031" t="str">
        <f>IF(832&gt;ROWS(DGArchive[记录编号]),"",IF(INDEX(DGArchive[记录编号],832)="","",INDEX(DGArchive[记录编号],832)))</f>
        <v/>
      </c>
      <c r="CL1031">
        <f t="shared" si="374"/>
        <v>0</v>
      </c>
      <c r="CM1031">
        <f>IF(AND(A1031=$AO$5,B1031=$AQ$3,H1031=1),COUNTIFS($A$200:A1031,$AO$5,$B$200:B1031,$AQ$3,$H$200:H1031,1),0)</f>
        <v>0</v>
      </c>
      <c r="CN1031">
        <f>IF(CA1031="",832,1001)</f>
        <v>832</v>
      </c>
      <c r="GA1031">
        <f t="shared" si="394"/>
        <v>0</v>
      </c>
      <c r="GB1031">
        <f t="shared" si="395"/>
        <v>0</v>
      </c>
      <c r="GC1031">
        <f>IF(AND(C1031="事件记录",H1031=1),COUNTIFS($C$200:C1031,"事件记录",$H$200:H1031,1),0)</f>
        <v>0</v>
      </c>
      <c r="GD1031">
        <f t="shared" si="375"/>
        <v>0</v>
      </c>
      <c r="GH1031">
        <f>IF(AND(H1031=1,A1031=$GA$10,B1031=$GA$11),COUNTIFS($A$200:A1031,$GA$10,$B$200:B1031,$GA$11,$H$200:H1031,1),0)</f>
        <v>0</v>
      </c>
    </row>
    <row r="1032" spans="1:190">
      <c r="A1032" t="str">
        <f t="shared" ref="A1032:A1095" si="396">IFERROR(TEXT(VALUE(CA1032),"00"),"")</f>
        <v/>
      </c>
      <c r="B1032" t="str">
        <f t="shared" ref="B1032:B1095" si="397">CB1032</f>
        <v/>
      </c>
      <c r="C1032" t="str">
        <f t="shared" ref="C1032:C1095" si="398">CD1032</f>
        <v/>
      </c>
      <c r="D1032" t="str">
        <f t="shared" ref="D1032:D1095" si="399">CF1032</f>
        <v/>
      </c>
      <c r="E1032">
        <f t="shared" ref="E1032:E1095" si="400">IF(H1032=1,MAX(-CE1032,MIN(D1032,IF(LEFT(C1032,3)="技能：",99,IF(COUNTIF($L$2:$L$7,C1032)&gt;0,18,999))-CE1032)),0)</f>
        <v>0</v>
      </c>
      <c r="F1032" t="str">
        <f t="shared" ref="F1032:F1095" si="401">IF(OR(C1032=0,C1032=""),"",IF(G1032=0,"记录不完整",IF(H1032=0,"重复未计","已计入")))</f>
        <v/>
      </c>
      <c r="G1032">
        <f t="shared" ref="G1032:G1095" si="402">IF(AND(AND(CA1032&lt;&gt;"",CB1032&lt;&gt;"",CI1032&lt;&gt;"",OR(LEFT(C1032,3)="技能：",COUNTIF($L$2:$L$19,C1032)&gt;0,C1032="事件记录",C1032="暴力进度",C1032="无力进度"),ISNUMBER(CE1032),ISNUMBER(CF1032),ISNUMBER(CG1032),CE1032&gt;=0,CG1032=SUM(CE1032,CF1032)),OR(B1032&lt;&gt;"成长",AND(LEFT(C1032,3)="技能：",C1032&lt;&gt;"技能：非自然知识",CE1032&gt;=1,CE1032&lt;=99,CF1032&gt;=0,CF1032&lt;=4,CG1032&lt;=99))),1,0)</f>
        <v>0</v>
      </c>
      <c r="H1032">
        <f>IF(AND(G1032=1,COUNTIFS($I$200:I1032,I1032,$G$200:G1032,1)=1),1,0)</f>
        <v>0</v>
      </c>
      <c r="I1032" t="str">
        <f t="shared" ref="I1032:I1095" si="403">IF(G1032=1,IF(B1032="成长",A1032&amp;"-成长-"&amp;C1032,CI1032),"")</f>
        <v/>
      </c>
      <c r="BF1032">
        <f t="shared" si="376"/>
        <v>0</v>
      </c>
      <c r="BG1032">
        <f t="shared" si="377"/>
        <v>0</v>
      </c>
      <c r="BH1032">
        <f t="shared" si="378"/>
        <v>0</v>
      </c>
      <c r="BI1032">
        <f t="shared" si="379"/>
        <v>0</v>
      </c>
      <c r="BJ1032">
        <f t="shared" si="380"/>
        <v>0</v>
      </c>
      <c r="BK1032">
        <f t="shared" si="381"/>
        <v>0</v>
      </c>
      <c r="BL1032">
        <f t="shared" si="382"/>
        <v>0</v>
      </c>
      <c r="BM1032">
        <f t="shared" si="383"/>
        <v>0</v>
      </c>
      <c r="BN1032">
        <f t="shared" si="384"/>
        <v>0</v>
      </c>
      <c r="BO1032">
        <f t="shared" si="385"/>
        <v>0</v>
      </c>
      <c r="BP1032">
        <f t="shared" si="386"/>
        <v>0</v>
      </c>
      <c r="BQ1032">
        <f t="shared" si="387"/>
        <v>0</v>
      </c>
      <c r="BR1032">
        <f t="shared" si="388"/>
        <v>0</v>
      </c>
      <c r="BS1032">
        <f t="shared" si="389"/>
        <v>0</v>
      </c>
      <c r="BT1032">
        <f t="shared" si="390"/>
        <v>0</v>
      </c>
      <c r="BU1032">
        <f t="shared" si="391"/>
        <v>0</v>
      </c>
      <c r="BV1032">
        <f t="shared" si="392"/>
        <v>0</v>
      </c>
      <c r="BW1032">
        <f t="shared" si="393"/>
        <v>0</v>
      </c>
      <c r="CA1032" t="str">
        <f>IF(833&gt;ROWS(DGArchive[模组]),"",IF(INDEX(DGArchive[模组],833)="","",INDEX(DGArchive[模组],833)))</f>
        <v/>
      </c>
      <c r="CB1032" t="str">
        <f>IF(833&gt;ROWS(DGArchive[阶段]),"",IF(INDEX(DGArchive[阶段],833)="","",INDEX(DGArchive[阶段],833)))</f>
        <v/>
      </c>
      <c r="CC1032" t="str">
        <f>IF(833&gt;ROWS(DGArchive[游戏内日期]),"",IF(INDEX(DGArchive[游戏内日期],833)="","",INDEX(DGArchive[游戏内日期],833)))</f>
        <v/>
      </c>
      <c r="CD1032" t="str">
        <f>IF(833&gt;ROWS(DGArchive[目标]),"",IF(INDEX(DGArchive[目标],833)="","",INDEX(DGArchive[目标],833)))</f>
        <v/>
      </c>
      <c r="CE1032" t="str">
        <f>IF(833&gt;ROWS(DGArchive[变更前]),"",IF(INDEX(DGArchive[变更前],833)="","",INDEX(DGArchive[变更前],833)))</f>
        <v/>
      </c>
      <c r="CF1032" t="str">
        <f>IF(833&gt;ROWS(DGArchive[增减]),"",IF(INDEX(DGArchive[增减],833)="","",INDEX(DGArchive[增减],833)))</f>
        <v/>
      </c>
      <c r="CG1032" t="str">
        <f>IF(833&gt;ROWS(DGArchive[变更后]),"",IF(INDEX(DGArchive[变更后],833)="","",INDEX(DGArchive[变更后],833)))</f>
        <v/>
      </c>
      <c r="CH1032" t="str">
        <f>IF(833&gt;ROWS(DGArchive[事件／活动]),"",IF(INDEX(DGArchive[事件／活动],833)="","",INDEX(DGArchive[事件／活动],833)))</f>
        <v/>
      </c>
      <c r="CI1032" t="str">
        <f>IF(833&gt;ROWS(DGArchive[记录编号]),"",IF(INDEX(DGArchive[记录编号],833)="","",INDEX(DGArchive[记录编号],833)))</f>
        <v/>
      </c>
      <c r="CL1032">
        <f t="shared" ref="CL1032:CL1095" si="404">IF(AND(A1032=$AO$5,H1032=1,LEFT(B1032,2)="幕间"),IFERROR(VALUE(MID(B1032,3,20)),0),0)</f>
        <v>0</v>
      </c>
      <c r="CM1032">
        <f>IF(AND(A1032=$AO$5,B1032=$AQ$3,H1032=1),COUNTIFS($A$200:A1032,$AO$5,$B$200:B1032,$AQ$3,$H$200:H1032,1),0)</f>
        <v>0</v>
      </c>
      <c r="CN1032">
        <f>IF(CA1032="",833,1001)</f>
        <v>833</v>
      </c>
      <c r="GA1032">
        <f t="shared" si="394"/>
        <v>0</v>
      </c>
      <c r="GB1032">
        <f t="shared" si="395"/>
        <v>0</v>
      </c>
      <c r="GC1032">
        <f>IF(AND(C1032="事件记录",H1032=1),COUNTIFS($C$200:C1032,"事件记录",$H$200:H1032,1),0)</f>
        <v>0</v>
      </c>
      <c r="GD1032">
        <f t="shared" ref="GD1032:GD1095" si="405">IF(AND(H1032=1,A1032=$GA$10,LEFT(B1032,2)="事件"),IFERROR(VALUE(MID(B1032,3,20)),0),0)</f>
        <v>0</v>
      </c>
      <c r="GH1032">
        <f>IF(AND(H1032=1,A1032=$GA$10,B1032=$GA$11),COUNTIFS($A$200:A1032,$GA$10,$B$200:B1032,$GA$11,$H$200:H1032,1),0)</f>
        <v>0</v>
      </c>
    </row>
    <row r="1033" spans="1:190">
      <c r="A1033" t="str">
        <f t="shared" si="396"/>
        <v/>
      </c>
      <c r="B1033" t="str">
        <f t="shared" si="397"/>
        <v/>
      </c>
      <c r="C1033" t="str">
        <f t="shared" si="398"/>
        <v/>
      </c>
      <c r="D1033" t="str">
        <f t="shared" si="399"/>
        <v/>
      </c>
      <c r="E1033">
        <f t="shared" si="400"/>
        <v>0</v>
      </c>
      <c r="F1033" t="str">
        <f t="shared" si="401"/>
        <v/>
      </c>
      <c r="G1033">
        <f t="shared" si="402"/>
        <v>0</v>
      </c>
      <c r="H1033">
        <f>IF(AND(G1033=1,COUNTIFS($I$200:I1033,I1033,$G$200:G1033,1)=1),1,0)</f>
        <v>0</v>
      </c>
      <c r="I1033" t="str">
        <f t="shared" si="403"/>
        <v/>
      </c>
      <c r="BF1033">
        <f t="shared" ref="BF1033:BF1096" si="406">MAX(0,MIN(18,BF1032+IF(C1033="力量",E1033,0)))</f>
        <v>0</v>
      </c>
      <c r="BG1033">
        <f t="shared" ref="BG1033:BG1096" si="407">MAX(0,MIN(18,BG1032+IF(C1033="体质",E1033,0)))</f>
        <v>0</v>
      </c>
      <c r="BH1033">
        <f t="shared" ref="BH1033:BH1096" si="408">MAX(0,MIN(18,BH1032+IF(C1033="敏捷",E1033,0)))</f>
        <v>0</v>
      </c>
      <c r="BI1033">
        <f t="shared" ref="BI1033:BI1096" si="409">MAX(0,MIN(18,BI1032+IF(C1033="智力",E1033,0)))</f>
        <v>0</v>
      </c>
      <c r="BJ1033">
        <f t="shared" ref="BJ1033:BJ1096" si="410">MAX(0,MIN(18,BJ1032+IF(C1033="意志",E1033,0)))</f>
        <v>0</v>
      </c>
      <c r="BK1033">
        <f t="shared" ref="BK1033:BK1096" si="411">MAX(0,MIN(18,BK1032+IF(C1033="魅力",E1033,0)))</f>
        <v>0</v>
      </c>
      <c r="BL1033">
        <f t="shared" ref="BL1033:BL1096" si="412">MAX(0,MIN(99,BL1032+IF(C1033="技能：非自然知识",E1033,0)))</f>
        <v>0</v>
      </c>
      <c r="BM1033">
        <f t="shared" ref="BM1033:BM1096" si="413">MAX(0,MIN(CEILING((BF1033+BG1033)/2,1),BM1032+IF(C1033="体力",E1033,0)))</f>
        <v>0</v>
      </c>
      <c r="BN1033">
        <f t="shared" ref="BN1033:BN1096" si="414">MAX(0,MIN(BJ1033,BN1032+IF(C1033="毅力",E1033,0)))</f>
        <v>0</v>
      </c>
      <c r="BO1033">
        <f t="shared" ref="BO1033:BO1096" si="415">MAX(0,MIN(99-BL1033,BO1032+IF(C1033="理智",E1033,0)))</f>
        <v>0</v>
      </c>
      <c r="BP1033">
        <f t="shared" ref="BP1033:BP1096" si="416">MAX(0,MIN(99,BP1032+IF(C1033="崩溃点",E1033,0)))</f>
        <v>0</v>
      </c>
      <c r="BQ1033">
        <f t="shared" ref="BQ1033:BQ1096" si="417">MAX(0,MIN(BK1033,IF(AND(H1033=1,C1033="重要关系1",LEFT(CH1033,8)="建立新的重要关系"),CE1033+E1033,IF(BQ1032=0,0,BQ1032+IF(C1033="重要关系1",E1033,0))+IF(AND(C1033="魅力",E1033&lt;0),E1033,0))))</f>
        <v>0</v>
      </c>
      <c r="BR1033">
        <f t="shared" ref="BR1033:BR1096" si="418">MAX(0,MIN(BK1033,IF(AND(H1033=1,C1033="重要关系2",LEFT(CH1033,8)="建立新的重要关系"),CE1033+E1033,IF(BR1032=0,0,BR1032+IF(C1033="重要关系2",E1033,0))+IF(AND(C1033="魅力",E1033&lt;0),E1033,0))))</f>
        <v>0</v>
      </c>
      <c r="BS1033">
        <f t="shared" ref="BS1033:BS1096" si="419">MAX(0,MIN(BK1033,IF(AND(H1033=1,C1033="重要关系3",LEFT(CH1033,8)="建立新的重要关系"),CE1033+E1033,IF(BS1032=0,0,BS1032+IF(C1033="重要关系3",E1033,0))+IF(AND(C1033="魅力",E1033&lt;0),E1033,0))))</f>
        <v>0</v>
      </c>
      <c r="BT1033">
        <f t="shared" ref="BT1033:BT1096" si="420">MAX(0,MIN(BK1033,IF(AND(H1033=1,C1033="重要关系4",LEFT(CH1033,8)="建立新的重要关系"),CE1033+E1033,IF(BT1032=0,0,BT1032+IF(C1033="重要关系4",E1033,0))+IF(AND(C1033="魅力",E1033&lt;0),E1033,0))))</f>
        <v>0</v>
      </c>
      <c r="BU1033">
        <f t="shared" ref="BU1033:BU1096" si="421">MAX(0,MIN(BK1033,IF(AND(H1033=1,C1033="重要关系5",LEFT(CH1033,8)="建立新的重要关系"),CE1033+E1033,IF(BU1032=0,0,BU1032+IF(C1033="重要关系5",E1033,0))+IF(AND(C1033="魅力",E1033&lt;0),E1033,0))))</f>
        <v>0</v>
      </c>
      <c r="BV1033">
        <f t="shared" ref="BV1033:BV1096" si="422">MAX(0,MIN(BK1033,IF(AND(H1033=1,C1033="重要关系6",LEFT(CH1033,8)="建立新的重要关系"),CE1033+E1033,IF(BV1032=0,0,BV1032+IF(C1033="重要关系6",E1033,0))+IF(AND(C1033="魅力",E1033&lt;0),E1033,0))))</f>
        <v>0</v>
      </c>
      <c r="BW1033">
        <f t="shared" ref="BW1033:BW1096" si="423">MAX(0,MIN(BK1033,IF(AND(H1033=1,C1033="重要关系7",LEFT(CH1033,8)="建立新的重要关系"),CE1033+E1033,IF(BW1032=0,0,BW1032+IF(C1033="重要关系7",E1033,0))+IF(AND(C1033="魅力",E1033&lt;0),E1033,0))))</f>
        <v>0</v>
      </c>
      <c r="CA1033" t="str">
        <f>IF(834&gt;ROWS(DGArchive[模组]),"",IF(INDEX(DGArchive[模组],834)="","",INDEX(DGArchive[模组],834)))</f>
        <v/>
      </c>
      <c r="CB1033" t="str">
        <f>IF(834&gt;ROWS(DGArchive[阶段]),"",IF(INDEX(DGArchive[阶段],834)="","",INDEX(DGArchive[阶段],834)))</f>
        <v/>
      </c>
      <c r="CC1033" t="str">
        <f>IF(834&gt;ROWS(DGArchive[游戏内日期]),"",IF(INDEX(DGArchive[游戏内日期],834)="","",INDEX(DGArchive[游戏内日期],834)))</f>
        <v/>
      </c>
      <c r="CD1033" t="str">
        <f>IF(834&gt;ROWS(DGArchive[目标]),"",IF(INDEX(DGArchive[目标],834)="","",INDEX(DGArchive[目标],834)))</f>
        <v/>
      </c>
      <c r="CE1033" t="str">
        <f>IF(834&gt;ROWS(DGArchive[变更前]),"",IF(INDEX(DGArchive[变更前],834)="","",INDEX(DGArchive[变更前],834)))</f>
        <v/>
      </c>
      <c r="CF1033" t="str">
        <f>IF(834&gt;ROWS(DGArchive[增减]),"",IF(INDEX(DGArchive[增减],834)="","",INDEX(DGArchive[增减],834)))</f>
        <v/>
      </c>
      <c r="CG1033" t="str">
        <f>IF(834&gt;ROWS(DGArchive[变更后]),"",IF(INDEX(DGArchive[变更后],834)="","",INDEX(DGArchive[变更后],834)))</f>
        <v/>
      </c>
      <c r="CH1033" t="str">
        <f>IF(834&gt;ROWS(DGArchive[事件／活动]),"",IF(INDEX(DGArchive[事件／活动],834)="","",INDEX(DGArchive[事件／活动],834)))</f>
        <v/>
      </c>
      <c r="CI1033" t="str">
        <f>IF(834&gt;ROWS(DGArchive[记录编号]),"",IF(INDEX(DGArchive[记录编号],834)="","",INDEX(DGArchive[记录编号],834)))</f>
        <v/>
      </c>
      <c r="CL1033">
        <f t="shared" si="404"/>
        <v>0</v>
      </c>
      <c r="CM1033">
        <f>IF(AND(A1033=$AO$5,B1033=$AQ$3,H1033=1),COUNTIFS($A$200:A1033,$AO$5,$B$200:B1033,$AQ$3,$H$200:H1033,1),0)</f>
        <v>0</v>
      </c>
      <c r="CN1033">
        <f>IF(CA1033="",834,1001)</f>
        <v>834</v>
      </c>
      <c r="GA1033">
        <f t="shared" ref="GA1033:GA1096" si="424">MAX(0,MIN(3,GA1032+IF(C1033="暴力进度",E1033,0)))</f>
        <v>0</v>
      </c>
      <c r="GB1033">
        <f t="shared" ref="GB1033:GB1096" si="425">MAX(0,MIN(3,GB1032+IF(C1033="无力进度",E1033,0)))</f>
        <v>0</v>
      </c>
      <c r="GC1033">
        <f>IF(AND(C1033="事件记录",H1033=1),COUNTIFS($C$200:C1033,"事件记录",$H$200:H1033,1),0)</f>
        <v>0</v>
      </c>
      <c r="GD1033">
        <f t="shared" si="405"/>
        <v>0</v>
      </c>
      <c r="GH1033">
        <f>IF(AND(H1033=1,A1033=$GA$10,B1033=$GA$11),COUNTIFS($A$200:A1033,$GA$10,$B$200:B1033,$GA$11,$H$200:H1033,1),0)</f>
        <v>0</v>
      </c>
    </row>
    <row r="1034" spans="1:190">
      <c r="A1034" t="str">
        <f t="shared" si="396"/>
        <v/>
      </c>
      <c r="B1034" t="str">
        <f t="shared" si="397"/>
        <v/>
      </c>
      <c r="C1034" t="str">
        <f t="shared" si="398"/>
        <v/>
      </c>
      <c r="D1034" t="str">
        <f t="shared" si="399"/>
        <v/>
      </c>
      <c r="E1034">
        <f t="shared" si="400"/>
        <v>0</v>
      </c>
      <c r="F1034" t="str">
        <f t="shared" si="401"/>
        <v/>
      </c>
      <c r="G1034">
        <f t="shared" si="402"/>
        <v>0</v>
      </c>
      <c r="H1034">
        <f>IF(AND(G1034=1,COUNTIFS($I$200:I1034,I1034,$G$200:G1034,1)=1),1,0)</f>
        <v>0</v>
      </c>
      <c r="I1034" t="str">
        <f t="shared" si="403"/>
        <v/>
      </c>
      <c r="BF1034">
        <f t="shared" si="406"/>
        <v>0</v>
      </c>
      <c r="BG1034">
        <f t="shared" si="407"/>
        <v>0</v>
      </c>
      <c r="BH1034">
        <f t="shared" si="408"/>
        <v>0</v>
      </c>
      <c r="BI1034">
        <f t="shared" si="409"/>
        <v>0</v>
      </c>
      <c r="BJ1034">
        <f t="shared" si="410"/>
        <v>0</v>
      </c>
      <c r="BK1034">
        <f t="shared" si="411"/>
        <v>0</v>
      </c>
      <c r="BL1034">
        <f t="shared" si="412"/>
        <v>0</v>
      </c>
      <c r="BM1034">
        <f t="shared" si="413"/>
        <v>0</v>
      </c>
      <c r="BN1034">
        <f t="shared" si="414"/>
        <v>0</v>
      </c>
      <c r="BO1034">
        <f t="shared" si="415"/>
        <v>0</v>
      </c>
      <c r="BP1034">
        <f t="shared" si="416"/>
        <v>0</v>
      </c>
      <c r="BQ1034">
        <f t="shared" si="417"/>
        <v>0</v>
      </c>
      <c r="BR1034">
        <f t="shared" si="418"/>
        <v>0</v>
      </c>
      <c r="BS1034">
        <f t="shared" si="419"/>
        <v>0</v>
      </c>
      <c r="BT1034">
        <f t="shared" si="420"/>
        <v>0</v>
      </c>
      <c r="BU1034">
        <f t="shared" si="421"/>
        <v>0</v>
      </c>
      <c r="BV1034">
        <f t="shared" si="422"/>
        <v>0</v>
      </c>
      <c r="BW1034">
        <f t="shared" si="423"/>
        <v>0</v>
      </c>
      <c r="CA1034" t="str">
        <f>IF(835&gt;ROWS(DGArchive[模组]),"",IF(INDEX(DGArchive[模组],835)="","",INDEX(DGArchive[模组],835)))</f>
        <v/>
      </c>
      <c r="CB1034" t="str">
        <f>IF(835&gt;ROWS(DGArchive[阶段]),"",IF(INDEX(DGArchive[阶段],835)="","",INDEX(DGArchive[阶段],835)))</f>
        <v/>
      </c>
      <c r="CC1034" t="str">
        <f>IF(835&gt;ROWS(DGArchive[游戏内日期]),"",IF(INDEX(DGArchive[游戏内日期],835)="","",INDEX(DGArchive[游戏内日期],835)))</f>
        <v/>
      </c>
      <c r="CD1034" t="str">
        <f>IF(835&gt;ROWS(DGArchive[目标]),"",IF(INDEX(DGArchive[目标],835)="","",INDEX(DGArchive[目标],835)))</f>
        <v/>
      </c>
      <c r="CE1034" t="str">
        <f>IF(835&gt;ROWS(DGArchive[变更前]),"",IF(INDEX(DGArchive[变更前],835)="","",INDEX(DGArchive[变更前],835)))</f>
        <v/>
      </c>
      <c r="CF1034" t="str">
        <f>IF(835&gt;ROWS(DGArchive[增减]),"",IF(INDEX(DGArchive[增减],835)="","",INDEX(DGArchive[增减],835)))</f>
        <v/>
      </c>
      <c r="CG1034" t="str">
        <f>IF(835&gt;ROWS(DGArchive[变更后]),"",IF(INDEX(DGArchive[变更后],835)="","",INDEX(DGArchive[变更后],835)))</f>
        <v/>
      </c>
      <c r="CH1034" t="str">
        <f>IF(835&gt;ROWS(DGArchive[事件／活动]),"",IF(INDEX(DGArchive[事件／活动],835)="","",INDEX(DGArchive[事件／活动],835)))</f>
        <v/>
      </c>
      <c r="CI1034" t="str">
        <f>IF(835&gt;ROWS(DGArchive[记录编号]),"",IF(INDEX(DGArchive[记录编号],835)="","",INDEX(DGArchive[记录编号],835)))</f>
        <v/>
      </c>
      <c r="CL1034">
        <f t="shared" si="404"/>
        <v>0</v>
      </c>
      <c r="CM1034">
        <f>IF(AND(A1034=$AO$5,B1034=$AQ$3,H1034=1),COUNTIFS($A$200:A1034,$AO$5,$B$200:B1034,$AQ$3,$H$200:H1034,1),0)</f>
        <v>0</v>
      </c>
      <c r="CN1034">
        <f>IF(CA1034="",835,1001)</f>
        <v>835</v>
      </c>
      <c r="GA1034">
        <f t="shared" si="424"/>
        <v>0</v>
      </c>
      <c r="GB1034">
        <f t="shared" si="425"/>
        <v>0</v>
      </c>
      <c r="GC1034">
        <f>IF(AND(C1034="事件记录",H1034=1),COUNTIFS($C$200:C1034,"事件记录",$H$200:H1034,1),0)</f>
        <v>0</v>
      </c>
      <c r="GD1034">
        <f t="shared" si="405"/>
        <v>0</v>
      </c>
      <c r="GH1034">
        <f>IF(AND(H1034=1,A1034=$GA$10,B1034=$GA$11),COUNTIFS($A$200:A1034,$GA$10,$B$200:B1034,$GA$11,$H$200:H1034,1),0)</f>
        <v>0</v>
      </c>
    </row>
    <row r="1035" spans="1:190">
      <c r="A1035" t="str">
        <f t="shared" si="396"/>
        <v/>
      </c>
      <c r="B1035" t="str">
        <f t="shared" si="397"/>
        <v/>
      </c>
      <c r="C1035" t="str">
        <f t="shared" si="398"/>
        <v/>
      </c>
      <c r="D1035" t="str">
        <f t="shared" si="399"/>
        <v/>
      </c>
      <c r="E1035">
        <f t="shared" si="400"/>
        <v>0</v>
      </c>
      <c r="F1035" t="str">
        <f t="shared" si="401"/>
        <v/>
      </c>
      <c r="G1035">
        <f t="shared" si="402"/>
        <v>0</v>
      </c>
      <c r="H1035">
        <f>IF(AND(G1035=1,COUNTIFS($I$200:I1035,I1035,$G$200:G1035,1)=1),1,0)</f>
        <v>0</v>
      </c>
      <c r="I1035" t="str">
        <f t="shared" si="403"/>
        <v/>
      </c>
      <c r="BF1035">
        <f t="shared" si="406"/>
        <v>0</v>
      </c>
      <c r="BG1035">
        <f t="shared" si="407"/>
        <v>0</v>
      </c>
      <c r="BH1035">
        <f t="shared" si="408"/>
        <v>0</v>
      </c>
      <c r="BI1035">
        <f t="shared" si="409"/>
        <v>0</v>
      </c>
      <c r="BJ1035">
        <f t="shared" si="410"/>
        <v>0</v>
      </c>
      <c r="BK1035">
        <f t="shared" si="411"/>
        <v>0</v>
      </c>
      <c r="BL1035">
        <f t="shared" si="412"/>
        <v>0</v>
      </c>
      <c r="BM1035">
        <f t="shared" si="413"/>
        <v>0</v>
      </c>
      <c r="BN1035">
        <f t="shared" si="414"/>
        <v>0</v>
      </c>
      <c r="BO1035">
        <f t="shared" si="415"/>
        <v>0</v>
      </c>
      <c r="BP1035">
        <f t="shared" si="416"/>
        <v>0</v>
      </c>
      <c r="BQ1035">
        <f t="shared" si="417"/>
        <v>0</v>
      </c>
      <c r="BR1035">
        <f t="shared" si="418"/>
        <v>0</v>
      </c>
      <c r="BS1035">
        <f t="shared" si="419"/>
        <v>0</v>
      </c>
      <c r="BT1035">
        <f t="shared" si="420"/>
        <v>0</v>
      </c>
      <c r="BU1035">
        <f t="shared" si="421"/>
        <v>0</v>
      </c>
      <c r="BV1035">
        <f t="shared" si="422"/>
        <v>0</v>
      </c>
      <c r="BW1035">
        <f t="shared" si="423"/>
        <v>0</v>
      </c>
      <c r="CA1035" t="str">
        <f>IF(836&gt;ROWS(DGArchive[模组]),"",IF(INDEX(DGArchive[模组],836)="","",INDEX(DGArchive[模组],836)))</f>
        <v/>
      </c>
      <c r="CB1035" t="str">
        <f>IF(836&gt;ROWS(DGArchive[阶段]),"",IF(INDEX(DGArchive[阶段],836)="","",INDEX(DGArchive[阶段],836)))</f>
        <v/>
      </c>
      <c r="CC1035" t="str">
        <f>IF(836&gt;ROWS(DGArchive[游戏内日期]),"",IF(INDEX(DGArchive[游戏内日期],836)="","",INDEX(DGArchive[游戏内日期],836)))</f>
        <v/>
      </c>
      <c r="CD1035" t="str">
        <f>IF(836&gt;ROWS(DGArchive[目标]),"",IF(INDEX(DGArchive[目标],836)="","",INDEX(DGArchive[目标],836)))</f>
        <v/>
      </c>
      <c r="CE1035" t="str">
        <f>IF(836&gt;ROWS(DGArchive[变更前]),"",IF(INDEX(DGArchive[变更前],836)="","",INDEX(DGArchive[变更前],836)))</f>
        <v/>
      </c>
      <c r="CF1035" t="str">
        <f>IF(836&gt;ROWS(DGArchive[增减]),"",IF(INDEX(DGArchive[增减],836)="","",INDEX(DGArchive[增减],836)))</f>
        <v/>
      </c>
      <c r="CG1035" t="str">
        <f>IF(836&gt;ROWS(DGArchive[变更后]),"",IF(INDEX(DGArchive[变更后],836)="","",INDEX(DGArchive[变更后],836)))</f>
        <v/>
      </c>
      <c r="CH1035" t="str">
        <f>IF(836&gt;ROWS(DGArchive[事件／活动]),"",IF(INDEX(DGArchive[事件／活动],836)="","",INDEX(DGArchive[事件／活动],836)))</f>
        <v/>
      </c>
      <c r="CI1035" t="str">
        <f>IF(836&gt;ROWS(DGArchive[记录编号]),"",IF(INDEX(DGArchive[记录编号],836)="","",INDEX(DGArchive[记录编号],836)))</f>
        <v/>
      </c>
      <c r="CL1035">
        <f t="shared" si="404"/>
        <v>0</v>
      </c>
      <c r="CM1035">
        <f>IF(AND(A1035=$AO$5,B1035=$AQ$3,H1035=1),COUNTIFS($A$200:A1035,$AO$5,$B$200:B1035,$AQ$3,$H$200:H1035,1),0)</f>
        <v>0</v>
      </c>
      <c r="CN1035">
        <f>IF(CA1035="",836,1001)</f>
        <v>836</v>
      </c>
      <c r="GA1035">
        <f t="shared" si="424"/>
        <v>0</v>
      </c>
      <c r="GB1035">
        <f t="shared" si="425"/>
        <v>0</v>
      </c>
      <c r="GC1035">
        <f>IF(AND(C1035="事件记录",H1035=1),COUNTIFS($C$200:C1035,"事件记录",$H$200:H1035,1),0)</f>
        <v>0</v>
      </c>
      <c r="GD1035">
        <f t="shared" si="405"/>
        <v>0</v>
      </c>
      <c r="GH1035">
        <f>IF(AND(H1035=1,A1035=$GA$10,B1035=$GA$11),COUNTIFS($A$200:A1035,$GA$10,$B$200:B1035,$GA$11,$H$200:H1035,1),0)</f>
        <v>0</v>
      </c>
    </row>
    <row r="1036" spans="1:190">
      <c r="A1036" t="str">
        <f t="shared" si="396"/>
        <v/>
      </c>
      <c r="B1036" t="str">
        <f t="shared" si="397"/>
        <v/>
      </c>
      <c r="C1036" t="str">
        <f t="shared" si="398"/>
        <v/>
      </c>
      <c r="D1036" t="str">
        <f t="shared" si="399"/>
        <v/>
      </c>
      <c r="E1036">
        <f t="shared" si="400"/>
        <v>0</v>
      </c>
      <c r="F1036" t="str">
        <f t="shared" si="401"/>
        <v/>
      </c>
      <c r="G1036">
        <f t="shared" si="402"/>
        <v>0</v>
      </c>
      <c r="H1036">
        <f>IF(AND(G1036=1,COUNTIFS($I$200:I1036,I1036,$G$200:G1036,1)=1),1,0)</f>
        <v>0</v>
      </c>
      <c r="I1036" t="str">
        <f t="shared" si="403"/>
        <v/>
      </c>
      <c r="BF1036">
        <f t="shared" si="406"/>
        <v>0</v>
      </c>
      <c r="BG1036">
        <f t="shared" si="407"/>
        <v>0</v>
      </c>
      <c r="BH1036">
        <f t="shared" si="408"/>
        <v>0</v>
      </c>
      <c r="BI1036">
        <f t="shared" si="409"/>
        <v>0</v>
      </c>
      <c r="BJ1036">
        <f t="shared" si="410"/>
        <v>0</v>
      </c>
      <c r="BK1036">
        <f t="shared" si="411"/>
        <v>0</v>
      </c>
      <c r="BL1036">
        <f t="shared" si="412"/>
        <v>0</v>
      </c>
      <c r="BM1036">
        <f t="shared" si="413"/>
        <v>0</v>
      </c>
      <c r="BN1036">
        <f t="shared" si="414"/>
        <v>0</v>
      </c>
      <c r="BO1036">
        <f t="shared" si="415"/>
        <v>0</v>
      </c>
      <c r="BP1036">
        <f t="shared" si="416"/>
        <v>0</v>
      </c>
      <c r="BQ1036">
        <f t="shared" si="417"/>
        <v>0</v>
      </c>
      <c r="BR1036">
        <f t="shared" si="418"/>
        <v>0</v>
      </c>
      <c r="BS1036">
        <f t="shared" si="419"/>
        <v>0</v>
      </c>
      <c r="BT1036">
        <f t="shared" si="420"/>
        <v>0</v>
      </c>
      <c r="BU1036">
        <f t="shared" si="421"/>
        <v>0</v>
      </c>
      <c r="BV1036">
        <f t="shared" si="422"/>
        <v>0</v>
      </c>
      <c r="BW1036">
        <f t="shared" si="423"/>
        <v>0</v>
      </c>
      <c r="CA1036" t="str">
        <f>IF(837&gt;ROWS(DGArchive[模组]),"",IF(INDEX(DGArchive[模组],837)="","",INDEX(DGArchive[模组],837)))</f>
        <v/>
      </c>
      <c r="CB1036" t="str">
        <f>IF(837&gt;ROWS(DGArchive[阶段]),"",IF(INDEX(DGArchive[阶段],837)="","",INDEX(DGArchive[阶段],837)))</f>
        <v/>
      </c>
      <c r="CC1036" t="str">
        <f>IF(837&gt;ROWS(DGArchive[游戏内日期]),"",IF(INDEX(DGArchive[游戏内日期],837)="","",INDEX(DGArchive[游戏内日期],837)))</f>
        <v/>
      </c>
      <c r="CD1036" t="str">
        <f>IF(837&gt;ROWS(DGArchive[目标]),"",IF(INDEX(DGArchive[目标],837)="","",INDEX(DGArchive[目标],837)))</f>
        <v/>
      </c>
      <c r="CE1036" t="str">
        <f>IF(837&gt;ROWS(DGArchive[变更前]),"",IF(INDEX(DGArchive[变更前],837)="","",INDEX(DGArchive[变更前],837)))</f>
        <v/>
      </c>
      <c r="CF1036" t="str">
        <f>IF(837&gt;ROWS(DGArchive[增减]),"",IF(INDEX(DGArchive[增减],837)="","",INDEX(DGArchive[增减],837)))</f>
        <v/>
      </c>
      <c r="CG1036" t="str">
        <f>IF(837&gt;ROWS(DGArchive[变更后]),"",IF(INDEX(DGArchive[变更后],837)="","",INDEX(DGArchive[变更后],837)))</f>
        <v/>
      </c>
      <c r="CH1036" t="str">
        <f>IF(837&gt;ROWS(DGArchive[事件／活动]),"",IF(INDEX(DGArchive[事件／活动],837)="","",INDEX(DGArchive[事件／活动],837)))</f>
        <v/>
      </c>
      <c r="CI1036" t="str">
        <f>IF(837&gt;ROWS(DGArchive[记录编号]),"",IF(INDEX(DGArchive[记录编号],837)="","",INDEX(DGArchive[记录编号],837)))</f>
        <v/>
      </c>
      <c r="CL1036">
        <f t="shared" si="404"/>
        <v>0</v>
      </c>
      <c r="CM1036">
        <f>IF(AND(A1036=$AO$5,B1036=$AQ$3,H1036=1),COUNTIFS($A$200:A1036,$AO$5,$B$200:B1036,$AQ$3,$H$200:H1036,1),0)</f>
        <v>0</v>
      </c>
      <c r="CN1036">
        <f>IF(CA1036="",837,1001)</f>
        <v>837</v>
      </c>
      <c r="GA1036">
        <f t="shared" si="424"/>
        <v>0</v>
      </c>
      <c r="GB1036">
        <f t="shared" si="425"/>
        <v>0</v>
      </c>
      <c r="GC1036">
        <f>IF(AND(C1036="事件记录",H1036=1),COUNTIFS($C$200:C1036,"事件记录",$H$200:H1036,1),0)</f>
        <v>0</v>
      </c>
      <c r="GD1036">
        <f t="shared" si="405"/>
        <v>0</v>
      </c>
      <c r="GH1036">
        <f>IF(AND(H1036=1,A1036=$GA$10,B1036=$GA$11),COUNTIFS($A$200:A1036,$GA$10,$B$200:B1036,$GA$11,$H$200:H1036,1),0)</f>
        <v>0</v>
      </c>
    </row>
    <row r="1037" spans="1:190">
      <c r="A1037" t="str">
        <f t="shared" si="396"/>
        <v/>
      </c>
      <c r="B1037" t="str">
        <f t="shared" si="397"/>
        <v/>
      </c>
      <c r="C1037" t="str">
        <f t="shared" si="398"/>
        <v/>
      </c>
      <c r="D1037" t="str">
        <f t="shared" si="399"/>
        <v/>
      </c>
      <c r="E1037">
        <f t="shared" si="400"/>
        <v>0</v>
      </c>
      <c r="F1037" t="str">
        <f t="shared" si="401"/>
        <v/>
      </c>
      <c r="G1037">
        <f t="shared" si="402"/>
        <v>0</v>
      </c>
      <c r="H1037">
        <f>IF(AND(G1037=1,COUNTIFS($I$200:I1037,I1037,$G$200:G1037,1)=1),1,0)</f>
        <v>0</v>
      </c>
      <c r="I1037" t="str">
        <f t="shared" si="403"/>
        <v/>
      </c>
      <c r="BF1037">
        <f t="shared" si="406"/>
        <v>0</v>
      </c>
      <c r="BG1037">
        <f t="shared" si="407"/>
        <v>0</v>
      </c>
      <c r="BH1037">
        <f t="shared" si="408"/>
        <v>0</v>
      </c>
      <c r="BI1037">
        <f t="shared" si="409"/>
        <v>0</v>
      </c>
      <c r="BJ1037">
        <f t="shared" si="410"/>
        <v>0</v>
      </c>
      <c r="BK1037">
        <f t="shared" si="411"/>
        <v>0</v>
      </c>
      <c r="BL1037">
        <f t="shared" si="412"/>
        <v>0</v>
      </c>
      <c r="BM1037">
        <f t="shared" si="413"/>
        <v>0</v>
      </c>
      <c r="BN1037">
        <f t="shared" si="414"/>
        <v>0</v>
      </c>
      <c r="BO1037">
        <f t="shared" si="415"/>
        <v>0</v>
      </c>
      <c r="BP1037">
        <f t="shared" si="416"/>
        <v>0</v>
      </c>
      <c r="BQ1037">
        <f t="shared" si="417"/>
        <v>0</v>
      </c>
      <c r="BR1037">
        <f t="shared" si="418"/>
        <v>0</v>
      </c>
      <c r="BS1037">
        <f t="shared" si="419"/>
        <v>0</v>
      </c>
      <c r="BT1037">
        <f t="shared" si="420"/>
        <v>0</v>
      </c>
      <c r="BU1037">
        <f t="shared" si="421"/>
        <v>0</v>
      </c>
      <c r="BV1037">
        <f t="shared" si="422"/>
        <v>0</v>
      </c>
      <c r="BW1037">
        <f t="shared" si="423"/>
        <v>0</v>
      </c>
      <c r="CA1037" t="str">
        <f>IF(838&gt;ROWS(DGArchive[模组]),"",IF(INDEX(DGArchive[模组],838)="","",INDEX(DGArchive[模组],838)))</f>
        <v/>
      </c>
      <c r="CB1037" t="str">
        <f>IF(838&gt;ROWS(DGArchive[阶段]),"",IF(INDEX(DGArchive[阶段],838)="","",INDEX(DGArchive[阶段],838)))</f>
        <v/>
      </c>
      <c r="CC1037" t="str">
        <f>IF(838&gt;ROWS(DGArchive[游戏内日期]),"",IF(INDEX(DGArchive[游戏内日期],838)="","",INDEX(DGArchive[游戏内日期],838)))</f>
        <v/>
      </c>
      <c r="CD1037" t="str">
        <f>IF(838&gt;ROWS(DGArchive[目标]),"",IF(INDEX(DGArchive[目标],838)="","",INDEX(DGArchive[目标],838)))</f>
        <v/>
      </c>
      <c r="CE1037" t="str">
        <f>IF(838&gt;ROWS(DGArchive[变更前]),"",IF(INDEX(DGArchive[变更前],838)="","",INDEX(DGArchive[变更前],838)))</f>
        <v/>
      </c>
      <c r="CF1037" t="str">
        <f>IF(838&gt;ROWS(DGArchive[增减]),"",IF(INDEX(DGArchive[增减],838)="","",INDEX(DGArchive[增减],838)))</f>
        <v/>
      </c>
      <c r="CG1037" t="str">
        <f>IF(838&gt;ROWS(DGArchive[变更后]),"",IF(INDEX(DGArchive[变更后],838)="","",INDEX(DGArchive[变更后],838)))</f>
        <v/>
      </c>
      <c r="CH1037" t="str">
        <f>IF(838&gt;ROWS(DGArchive[事件／活动]),"",IF(INDEX(DGArchive[事件／活动],838)="","",INDEX(DGArchive[事件／活动],838)))</f>
        <v/>
      </c>
      <c r="CI1037" t="str">
        <f>IF(838&gt;ROWS(DGArchive[记录编号]),"",IF(INDEX(DGArchive[记录编号],838)="","",INDEX(DGArchive[记录编号],838)))</f>
        <v/>
      </c>
      <c r="CL1037">
        <f t="shared" si="404"/>
        <v>0</v>
      </c>
      <c r="CM1037">
        <f>IF(AND(A1037=$AO$5,B1037=$AQ$3,H1037=1),COUNTIFS($A$200:A1037,$AO$5,$B$200:B1037,$AQ$3,$H$200:H1037,1),0)</f>
        <v>0</v>
      </c>
      <c r="CN1037">
        <f>IF(CA1037="",838,1001)</f>
        <v>838</v>
      </c>
      <c r="GA1037">
        <f t="shared" si="424"/>
        <v>0</v>
      </c>
      <c r="GB1037">
        <f t="shared" si="425"/>
        <v>0</v>
      </c>
      <c r="GC1037">
        <f>IF(AND(C1037="事件记录",H1037=1),COUNTIFS($C$200:C1037,"事件记录",$H$200:H1037,1),0)</f>
        <v>0</v>
      </c>
      <c r="GD1037">
        <f t="shared" si="405"/>
        <v>0</v>
      </c>
      <c r="GH1037">
        <f>IF(AND(H1037=1,A1037=$GA$10,B1037=$GA$11),COUNTIFS($A$200:A1037,$GA$10,$B$200:B1037,$GA$11,$H$200:H1037,1),0)</f>
        <v>0</v>
      </c>
    </row>
    <row r="1038" spans="1:190">
      <c r="A1038" t="str">
        <f t="shared" si="396"/>
        <v/>
      </c>
      <c r="B1038" t="str">
        <f t="shared" si="397"/>
        <v/>
      </c>
      <c r="C1038" t="str">
        <f t="shared" si="398"/>
        <v/>
      </c>
      <c r="D1038" t="str">
        <f t="shared" si="399"/>
        <v/>
      </c>
      <c r="E1038">
        <f t="shared" si="400"/>
        <v>0</v>
      </c>
      <c r="F1038" t="str">
        <f t="shared" si="401"/>
        <v/>
      </c>
      <c r="G1038">
        <f t="shared" si="402"/>
        <v>0</v>
      </c>
      <c r="H1038">
        <f>IF(AND(G1038=1,COUNTIFS($I$200:I1038,I1038,$G$200:G1038,1)=1),1,0)</f>
        <v>0</v>
      </c>
      <c r="I1038" t="str">
        <f t="shared" si="403"/>
        <v/>
      </c>
      <c r="BF1038">
        <f t="shared" si="406"/>
        <v>0</v>
      </c>
      <c r="BG1038">
        <f t="shared" si="407"/>
        <v>0</v>
      </c>
      <c r="BH1038">
        <f t="shared" si="408"/>
        <v>0</v>
      </c>
      <c r="BI1038">
        <f t="shared" si="409"/>
        <v>0</v>
      </c>
      <c r="BJ1038">
        <f t="shared" si="410"/>
        <v>0</v>
      </c>
      <c r="BK1038">
        <f t="shared" si="411"/>
        <v>0</v>
      </c>
      <c r="BL1038">
        <f t="shared" si="412"/>
        <v>0</v>
      </c>
      <c r="BM1038">
        <f t="shared" si="413"/>
        <v>0</v>
      </c>
      <c r="BN1038">
        <f t="shared" si="414"/>
        <v>0</v>
      </c>
      <c r="BO1038">
        <f t="shared" si="415"/>
        <v>0</v>
      </c>
      <c r="BP1038">
        <f t="shared" si="416"/>
        <v>0</v>
      </c>
      <c r="BQ1038">
        <f t="shared" si="417"/>
        <v>0</v>
      </c>
      <c r="BR1038">
        <f t="shared" si="418"/>
        <v>0</v>
      </c>
      <c r="BS1038">
        <f t="shared" si="419"/>
        <v>0</v>
      </c>
      <c r="BT1038">
        <f t="shared" si="420"/>
        <v>0</v>
      </c>
      <c r="BU1038">
        <f t="shared" si="421"/>
        <v>0</v>
      </c>
      <c r="BV1038">
        <f t="shared" si="422"/>
        <v>0</v>
      </c>
      <c r="BW1038">
        <f t="shared" si="423"/>
        <v>0</v>
      </c>
      <c r="CA1038" t="str">
        <f>IF(839&gt;ROWS(DGArchive[模组]),"",IF(INDEX(DGArchive[模组],839)="","",INDEX(DGArchive[模组],839)))</f>
        <v/>
      </c>
      <c r="CB1038" t="str">
        <f>IF(839&gt;ROWS(DGArchive[阶段]),"",IF(INDEX(DGArchive[阶段],839)="","",INDEX(DGArchive[阶段],839)))</f>
        <v/>
      </c>
      <c r="CC1038" t="str">
        <f>IF(839&gt;ROWS(DGArchive[游戏内日期]),"",IF(INDEX(DGArchive[游戏内日期],839)="","",INDEX(DGArchive[游戏内日期],839)))</f>
        <v/>
      </c>
      <c r="CD1038" t="str">
        <f>IF(839&gt;ROWS(DGArchive[目标]),"",IF(INDEX(DGArchive[目标],839)="","",INDEX(DGArchive[目标],839)))</f>
        <v/>
      </c>
      <c r="CE1038" t="str">
        <f>IF(839&gt;ROWS(DGArchive[变更前]),"",IF(INDEX(DGArchive[变更前],839)="","",INDEX(DGArchive[变更前],839)))</f>
        <v/>
      </c>
      <c r="CF1038" t="str">
        <f>IF(839&gt;ROWS(DGArchive[增减]),"",IF(INDEX(DGArchive[增减],839)="","",INDEX(DGArchive[增减],839)))</f>
        <v/>
      </c>
      <c r="CG1038" t="str">
        <f>IF(839&gt;ROWS(DGArchive[变更后]),"",IF(INDEX(DGArchive[变更后],839)="","",INDEX(DGArchive[变更后],839)))</f>
        <v/>
      </c>
      <c r="CH1038" t="str">
        <f>IF(839&gt;ROWS(DGArchive[事件／活动]),"",IF(INDEX(DGArchive[事件／活动],839)="","",INDEX(DGArchive[事件／活动],839)))</f>
        <v/>
      </c>
      <c r="CI1038" t="str">
        <f>IF(839&gt;ROWS(DGArchive[记录编号]),"",IF(INDEX(DGArchive[记录编号],839)="","",INDEX(DGArchive[记录编号],839)))</f>
        <v/>
      </c>
      <c r="CL1038">
        <f t="shared" si="404"/>
        <v>0</v>
      </c>
      <c r="CM1038">
        <f>IF(AND(A1038=$AO$5,B1038=$AQ$3,H1038=1),COUNTIFS($A$200:A1038,$AO$5,$B$200:B1038,$AQ$3,$H$200:H1038,1),0)</f>
        <v>0</v>
      </c>
      <c r="CN1038">
        <f>IF(CA1038="",839,1001)</f>
        <v>839</v>
      </c>
      <c r="GA1038">
        <f t="shared" si="424"/>
        <v>0</v>
      </c>
      <c r="GB1038">
        <f t="shared" si="425"/>
        <v>0</v>
      </c>
      <c r="GC1038">
        <f>IF(AND(C1038="事件记录",H1038=1),COUNTIFS($C$200:C1038,"事件记录",$H$200:H1038,1),0)</f>
        <v>0</v>
      </c>
      <c r="GD1038">
        <f t="shared" si="405"/>
        <v>0</v>
      </c>
      <c r="GH1038">
        <f>IF(AND(H1038=1,A1038=$GA$10,B1038=$GA$11),COUNTIFS($A$200:A1038,$GA$10,$B$200:B1038,$GA$11,$H$200:H1038,1),0)</f>
        <v>0</v>
      </c>
    </row>
    <row r="1039" spans="1:190">
      <c r="A1039" t="str">
        <f t="shared" si="396"/>
        <v/>
      </c>
      <c r="B1039" t="str">
        <f t="shared" si="397"/>
        <v/>
      </c>
      <c r="C1039" t="str">
        <f t="shared" si="398"/>
        <v/>
      </c>
      <c r="D1039" t="str">
        <f t="shared" si="399"/>
        <v/>
      </c>
      <c r="E1039">
        <f t="shared" si="400"/>
        <v>0</v>
      </c>
      <c r="F1039" t="str">
        <f t="shared" si="401"/>
        <v/>
      </c>
      <c r="G1039">
        <f t="shared" si="402"/>
        <v>0</v>
      </c>
      <c r="H1039">
        <f>IF(AND(G1039=1,COUNTIFS($I$200:I1039,I1039,$G$200:G1039,1)=1),1,0)</f>
        <v>0</v>
      </c>
      <c r="I1039" t="str">
        <f t="shared" si="403"/>
        <v/>
      </c>
      <c r="BF1039">
        <f t="shared" si="406"/>
        <v>0</v>
      </c>
      <c r="BG1039">
        <f t="shared" si="407"/>
        <v>0</v>
      </c>
      <c r="BH1039">
        <f t="shared" si="408"/>
        <v>0</v>
      </c>
      <c r="BI1039">
        <f t="shared" si="409"/>
        <v>0</v>
      </c>
      <c r="BJ1039">
        <f t="shared" si="410"/>
        <v>0</v>
      </c>
      <c r="BK1039">
        <f t="shared" si="411"/>
        <v>0</v>
      </c>
      <c r="BL1039">
        <f t="shared" si="412"/>
        <v>0</v>
      </c>
      <c r="BM1039">
        <f t="shared" si="413"/>
        <v>0</v>
      </c>
      <c r="BN1039">
        <f t="shared" si="414"/>
        <v>0</v>
      </c>
      <c r="BO1039">
        <f t="shared" si="415"/>
        <v>0</v>
      </c>
      <c r="BP1039">
        <f t="shared" si="416"/>
        <v>0</v>
      </c>
      <c r="BQ1039">
        <f t="shared" si="417"/>
        <v>0</v>
      </c>
      <c r="BR1039">
        <f t="shared" si="418"/>
        <v>0</v>
      </c>
      <c r="BS1039">
        <f t="shared" si="419"/>
        <v>0</v>
      </c>
      <c r="BT1039">
        <f t="shared" si="420"/>
        <v>0</v>
      </c>
      <c r="BU1039">
        <f t="shared" si="421"/>
        <v>0</v>
      </c>
      <c r="BV1039">
        <f t="shared" si="422"/>
        <v>0</v>
      </c>
      <c r="BW1039">
        <f t="shared" si="423"/>
        <v>0</v>
      </c>
      <c r="CA1039" t="str">
        <f>IF(840&gt;ROWS(DGArchive[模组]),"",IF(INDEX(DGArchive[模组],840)="","",INDEX(DGArchive[模组],840)))</f>
        <v/>
      </c>
      <c r="CB1039" t="str">
        <f>IF(840&gt;ROWS(DGArchive[阶段]),"",IF(INDEX(DGArchive[阶段],840)="","",INDEX(DGArchive[阶段],840)))</f>
        <v/>
      </c>
      <c r="CC1039" t="str">
        <f>IF(840&gt;ROWS(DGArchive[游戏内日期]),"",IF(INDEX(DGArchive[游戏内日期],840)="","",INDEX(DGArchive[游戏内日期],840)))</f>
        <v/>
      </c>
      <c r="CD1039" t="str">
        <f>IF(840&gt;ROWS(DGArchive[目标]),"",IF(INDEX(DGArchive[目标],840)="","",INDEX(DGArchive[目标],840)))</f>
        <v/>
      </c>
      <c r="CE1039" t="str">
        <f>IF(840&gt;ROWS(DGArchive[变更前]),"",IF(INDEX(DGArchive[变更前],840)="","",INDEX(DGArchive[变更前],840)))</f>
        <v/>
      </c>
      <c r="CF1039" t="str">
        <f>IF(840&gt;ROWS(DGArchive[增减]),"",IF(INDEX(DGArchive[增减],840)="","",INDEX(DGArchive[增减],840)))</f>
        <v/>
      </c>
      <c r="CG1039" t="str">
        <f>IF(840&gt;ROWS(DGArchive[变更后]),"",IF(INDEX(DGArchive[变更后],840)="","",INDEX(DGArchive[变更后],840)))</f>
        <v/>
      </c>
      <c r="CH1039" t="str">
        <f>IF(840&gt;ROWS(DGArchive[事件／活动]),"",IF(INDEX(DGArchive[事件／活动],840)="","",INDEX(DGArchive[事件／活动],840)))</f>
        <v/>
      </c>
      <c r="CI1039" t="str">
        <f>IF(840&gt;ROWS(DGArchive[记录编号]),"",IF(INDEX(DGArchive[记录编号],840)="","",INDEX(DGArchive[记录编号],840)))</f>
        <v/>
      </c>
      <c r="CL1039">
        <f t="shared" si="404"/>
        <v>0</v>
      </c>
      <c r="CM1039">
        <f>IF(AND(A1039=$AO$5,B1039=$AQ$3,H1039=1),COUNTIFS($A$200:A1039,$AO$5,$B$200:B1039,$AQ$3,$H$200:H1039,1),0)</f>
        <v>0</v>
      </c>
      <c r="CN1039">
        <f>IF(CA1039="",840,1001)</f>
        <v>840</v>
      </c>
      <c r="GA1039">
        <f t="shared" si="424"/>
        <v>0</v>
      </c>
      <c r="GB1039">
        <f t="shared" si="425"/>
        <v>0</v>
      </c>
      <c r="GC1039">
        <f>IF(AND(C1039="事件记录",H1039=1),COUNTIFS($C$200:C1039,"事件记录",$H$200:H1039,1),0)</f>
        <v>0</v>
      </c>
      <c r="GD1039">
        <f t="shared" si="405"/>
        <v>0</v>
      </c>
      <c r="GH1039">
        <f>IF(AND(H1039=1,A1039=$GA$10,B1039=$GA$11),COUNTIFS($A$200:A1039,$GA$10,$B$200:B1039,$GA$11,$H$200:H1039,1),0)</f>
        <v>0</v>
      </c>
    </row>
    <row r="1040" spans="1:190">
      <c r="A1040" t="str">
        <f t="shared" si="396"/>
        <v/>
      </c>
      <c r="B1040" t="str">
        <f t="shared" si="397"/>
        <v/>
      </c>
      <c r="C1040" t="str">
        <f t="shared" si="398"/>
        <v/>
      </c>
      <c r="D1040" t="str">
        <f t="shared" si="399"/>
        <v/>
      </c>
      <c r="E1040">
        <f t="shared" si="400"/>
        <v>0</v>
      </c>
      <c r="F1040" t="str">
        <f t="shared" si="401"/>
        <v/>
      </c>
      <c r="G1040">
        <f t="shared" si="402"/>
        <v>0</v>
      </c>
      <c r="H1040">
        <f>IF(AND(G1040=1,COUNTIFS($I$200:I1040,I1040,$G$200:G1040,1)=1),1,0)</f>
        <v>0</v>
      </c>
      <c r="I1040" t="str">
        <f t="shared" si="403"/>
        <v/>
      </c>
      <c r="BF1040">
        <f t="shared" si="406"/>
        <v>0</v>
      </c>
      <c r="BG1040">
        <f t="shared" si="407"/>
        <v>0</v>
      </c>
      <c r="BH1040">
        <f t="shared" si="408"/>
        <v>0</v>
      </c>
      <c r="BI1040">
        <f t="shared" si="409"/>
        <v>0</v>
      </c>
      <c r="BJ1040">
        <f t="shared" si="410"/>
        <v>0</v>
      </c>
      <c r="BK1040">
        <f t="shared" si="411"/>
        <v>0</v>
      </c>
      <c r="BL1040">
        <f t="shared" si="412"/>
        <v>0</v>
      </c>
      <c r="BM1040">
        <f t="shared" si="413"/>
        <v>0</v>
      </c>
      <c r="BN1040">
        <f t="shared" si="414"/>
        <v>0</v>
      </c>
      <c r="BO1040">
        <f t="shared" si="415"/>
        <v>0</v>
      </c>
      <c r="BP1040">
        <f t="shared" si="416"/>
        <v>0</v>
      </c>
      <c r="BQ1040">
        <f t="shared" si="417"/>
        <v>0</v>
      </c>
      <c r="BR1040">
        <f t="shared" si="418"/>
        <v>0</v>
      </c>
      <c r="BS1040">
        <f t="shared" si="419"/>
        <v>0</v>
      </c>
      <c r="BT1040">
        <f t="shared" si="420"/>
        <v>0</v>
      </c>
      <c r="BU1040">
        <f t="shared" si="421"/>
        <v>0</v>
      </c>
      <c r="BV1040">
        <f t="shared" si="422"/>
        <v>0</v>
      </c>
      <c r="BW1040">
        <f t="shared" si="423"/>
        <v>0</v>
      </c>
      <c r="CA1040" t="str">
        <f>IF(841&gt;ROWS(DGArchive[模组]),"",IF(INDEX(DGArchive[模组],841)="","",INDEX(DGArchive[模组],841)))</f>
        <v/>
      </c>
      <c r="CB1040" t="str">
        <f>IF(841&gt;ROWS(DGArchive[阶段]),"",IF(INDEX(DGArchive[阶段],841)="","",INDEX(DGArchive[阶段],841)))</f>
        <v/>
      </c>
      <c r="CC1040" t="str">
        <f>IF(841&gt;ROWS(DGArchive[游戏内日期]),"",IF(INDEX(DGArchive[游戏内日期],841)="","",INDEX(DGArchive[游戏内日期],841)))</f>
        <v/>
      </c>
      <c r="CD1040" t="str">
        <f>IF(841&gt;ROWS(DGArchive[目标]),"",IF(INDEX(DGArchive[目标],841)="","",INDEX(DGArchive[目标],841)))</f>
        <v/>
      </c>
      <c r="CE1040" t="str">
        <f>IF(841&gt;ROWS(DGArchive[变更前]),"",IF(INDEX(DGArchive[变更前],841)="","",INDEX(DGArchive[变更前],841)))</f>
        <v/>
      </c>
      <c r="CF1040" t="str">
        <f>IF(841&gt;ROWS(DGArchive[增减]),"",IF(INDEX(DGArchive[增减],841)="","",INDEX(DGArchive[增减],841)))</f>
        <v/>
      </c>
      <c r="CG1040" t="str">
        <f>IF(841&gt;ROWS(DGArchive[变更后]),"",IF(INDEX(DGArchive[变更后],841)="","",INDEX(DGArchive[变更后],841)))</f>
        <v/>
      </c>
      <c r="CH1040" t="str">
        <f>IF(841&gt;ROWS(DGArchive[事件／活动]),"",IF(INDEX(DGArchive[事件／活动],841)="","",INDEX(DGArchive[事件／活动],841)))</f>
        <v/>
      </c>
      <c r="CI1040" t="str">
        <f>IF(841&gt;ROWS(DGArchive[记录编号]),"",IF(INDEX(DGArchive[记录编号],841)="","",INDEX(DGArchive[记录编号],841)))</f>
        <v/>
      </c>
      <c r="CL1040">
        <f t="shared" si="404"/>
        <v>0</v>
      </c>
      <c r="CM1040">
        <f>IF(AND(A1040=$AO$5,B1040=$AQ$3,H1040=1),COUNTIFS($A$200:A1040,$AO$5,$B$200:B1040,$AQ$3,$H$200:H1040,1),0)</f>
        <v>0</v>
      </c>
      <c r="CN1040">
        <f>IF(CA1040="",841,1001)</f>
        <v>841</v>
      </c>
      <c r="GA1040">
        <f t="shared" si="424"/>
        <v>0</v>
      </c>
      <c r="GB1040">
        <f t="shared" si="425"/>
        <v>0</v>
      </c>
      <c r="GC1040">
        <f>IF(AND(C1040="事件记录",H1040=1),COUNTIFS($C$200:C1040,"事件记录",$H$200:H1040,1),0)</f>
        <v>0</v>
      </c>
      <c r="GD1040">
        <f t="shared" si="405"/>
        <v>0</v>
      </c>
      <c r="GH1040">
        <f>IF(AND(H1040=1,A1040=$GA$10,B1040=$GA$11),COUNTIFS($A$200:A1040,$GA$10,$B$200:B1040,$GA$11,$H$200:H1040,1),0)</f>
        <v>0</v>
      </c>
    </row>
    <row r="1041" spans="1:190">
      <c r="A1041" t="str">
        <f t="shared" si="396"/>
        <v/>
      </c>
      <c r="B1041" t="str">
        <f t="shared" si="397"/>
        <v/>
      </c>
      <c r="C1041" t="str">
        <f t="shared" si="398"/>
        <v/>
      </c>
      <c r="D1041" t="str">
        <f t="shared" si="399"/>
        <v/>
      </c>
      <c r="E1041">
        <f t="shared" si="400"/>
        <v>0</v>
      </c>
      <c r="F1041" t="str">
        <f t="shared" si="401"/>
        <v/>
      </c>
      <c r="G1041">
        <f t="shared" si="402"/>
        <v>0</v>
      </c>
      <c r="H1041">
        <f>IF(AND(G1041=1,COUNTIFS($I$200:I1041,I1041,$G$200:G1041,1)=1),1,0)</f>
        <v>0</v>
      </c>
      <c r="I1041" t="str">
        <f t="shared" si="403"/>
        <v/>
      </c>
      <c r="BF1041">
        <f t="shared" si="406"/>
        <v>0</v>
      </c>
      <c r="BG1041">
        <f t="shared" si="407"/>
        <v>0</v>
      </c>
      <c r="BH1041">
        <f t="shared" si="408"/>
        <v>0</v>
      </c>
      <c r="BI1041">
        <f t="shared" si="409"/>
        <v>0</v>
      </c>
      <c r="BJ1041">
        <f t="shared" si="410"/>
        <v>0</v>
      </c>
      <c r="BK1041">
        <f t="shared" si="411"/>
        <v>0</v>
      </c>
      <c r="BL1041">
        <f t="shared" si="412"/>
        <v>0</v>
      </c>
      <c r="BM1041">
        <f t="shared" si="413"/>
        <v>0</v>
      </c>
      <c r="BN1041">
        <f t="shared" si="414"/>
        <v>0</v>
      </c>
      <c r="BO1041">
        <f t="shared" si="415"/>
        <v>0</v>
      </c>
      <c r="BP1041">
        <f t="shared" si="416"/>
        <v>0</v>
      </c>
      <c r="BQ1041">
        <f t="shared" si="417"/>
        <v>0</v>
      </c>
      <c r="BR1041">
        <f t="shared" si="418"/>
        <v>0</v>
      </c>
      <c r="BS1041">
        <f t="shared" si="419"/>
        <v>0</v>
      </c>
      <c r="BT1041">
        <f t="shared" si="420"/>
        <v>0</v>
      </c>
      <c r="BU1041">
        <f t="shared" si="421"/>
        <v>0</v>
      </c>
      <c r="BV1041">
        <f t="shared" si="422"/>
        <v>0</v>
      </c>
      <c r="BW1041">
        <f t="shared" si="423"/>
        <v>0</v>
      </c>
      <c r="CA1041" t="str">
        <f>IF(842&gt;ROWS(DGArchive[模组]),"",IF(INDEX(DGArchive[模组],842)="","",INDEX(DGArchive[模组],842)))</f>
        <v/>
      </c>
      <c r="CB1041" t="str">
        <f>IF(842&gt;ROWS(DGArchive[阶段]),"",IF(INDEX(DGArchive[阶段],842)="","",INDEX(DGArchive[阶段],842)))</f>
        <v/>
      </c>
      <c r="CC1041" t="str">
        <f>IF(842&gt;ROWS(DGArchive[游戏内日期]),"",IF(INDEX(DGArchive[游戏内日期],842)="","",INDEX(DGArchive[游戏内日期],842)))</f>
        <v/>
      </c>
      <c r="CD1041" t="str">
        <f>IF(842&gt;ROWS(DGArchive[目标]),"",IF(INDEX(DGArchive[目标],842)="","",INDEX(DGArchive[目标],842)))</f>
        <v/>
      </c>
      <c r="CE1041" t="str">
        <f>IF(842&gt;ROWS(DGArchive[变更前]),"",IF(INDEX(DGArchive[变更前],842)="","",INDEX(DGArchive[变更前],842)))</f>
        <v/>
      </c>
      <c r="CF1041" t="str">
        <f>IF(842&gt;ROWS(DGArchive[增减]),"",IF(INDEX(DGArchive[增减],842)="","",INDEX(DGArchive[增减],842)))</f>
        <v/>
      </c>
      <c r="CG1041" t="str">
        <f>IF(842&gt;ROWS(DGArchive[变更后]),"",IF(INDEX(DGArchive[变更后],842)="","",INDEX(DGArchive[变更后],842)))</f>
        <v/>
      </c>
      <c r="CH1041" t="str">
        <f>IF(842&gt;ROWS(DGArchive[事件／活动]),"",IF(INDEX(DGArchive[事件／活动],842)="","",INDEX(DGArchive[事件／活动],842)))</f>
        <v/>
      </c>
      <c r="CI1041" t="str">
        <f>IF(842&gt;ROWS(DGArchive[记录编号]),"",IF(INDEX(DGArchive[记录编号],842)="","",INDEX(DGArchive[记录编号],842)))</f>
        <v/>
      </c>
      <c r="CL1041">
        <f t="shared" si="404"/>
        <v>0</v>
      </c>
      <c r="CM1041">
        <f>IF(AND(A1041=$AO$5,B1041=$AQ$3,H1041=1),COUNTIFS($A$200:A1041,$AO$5,$B$200:B1041,$AQ$3,$H$200:H1041,1),0)</f>
        <v>0</v>
      </c>
      <c r="CN1041">
        <f>IF(CA1041="",842,1001)</f>
        <v>842</v>
      </c>
      <c r="GA1041">
        <f t="shared" si="424"/>
        <v>0</v>
      </c>
      <c r="GB1041">
        <f t="shared" si="425"/>
        <v>0</v>
      </c>
      <c r="GC1041">
        <f>IF(AND(C1041="事件记录",H1041=1),COUNTIFS($C$200:C1041,"事件记录",$H$200:H1041,1),0)</f>
        <v>0</v>
      </c>
      <c r="GD1041">
        <f t="shared" si="405"/>
        <v>0</v>
      </c>
      <c r="GH1041">
        <f>IF(AND(H1041=1,A1041=$GA$10,B1041=$GA$11),COUNTIFS($A$200:A1041,$GA$10,$B$200:B1041,$GA$11,$H$200:H1041,1),0)</f>
        <v>0</v>
      </c>
    </row>
    <row r="1042" spans="1:190">
      <c r="A1042" t="str">
        <f t="shared" si="396"/>
        <v/>
      </c>
      <c r="B1042" t="str">
        <f t="shared" si="397"/>
        <v/>
      </c>
      <c r="C1042" t="str">
        <f t="shared" si="398"/>
        <v/>
      </c>
      <c r="D1042" t="str">
        <f t="shared" si="399"/>
        <v/>
      </c>
      <c r="E1042">
        <f t="shared" si="400"/>
        <v>0</v>
      </c>
      <c r="F1042" t="str">
        <f t="shared" si="401"/>
        <v/>
      </c>
      <c r="G1042">
        <f t="shared" si="402"/>
        <v>0</v>
      </c>
      <c r="H1042">
        <f>IF(AND(G1042=1,COUNTIFS($I$200:I1042,I1042,$G$200:G1042,1)=1),1,0)</f>
        <v>0</v>
      </c>
      <c r="I1042" t="str">
        <f t="shared" si="403"/>
        <v/>
      </c>
      <c r="BF1042">
        <f t="shared" si="406"/>
        <v>0</v>
      </c>
      <c r="BG1042">
        <f t="shared" si="407"/>
        <v>0</v>
      </c>
      <c r="BH1042">
        <f t="shared" si="408"/>
        <v>0</v>
      </c>
      <c r="BI1042">
        <f t="shared" si="409"/>
        <v>0</v>
      </c>
      <c r="BJ1042">
        <f t="shared" si="410"/>
        <v>0</v>
      </c>
      <c r="BK1042">
        <f t="shared" si="411"/>
        <v>0</v>
      </c>
      <c r="BL1042">
        <f t="shared" si="412"/>
        <v>0</v>
      </c>
      <c r="BM1042">
        <f t="shared" si="413"/>
        <v>0</v>
      </c>
      <c r="BN1042">
        <f t="shared" si="414"/>
        <v>0</v>
      </c>
      <c r="BO1042">
        <f t="shared" si="415"/>
        <v>0</v>
      </c>
      <c r="BP1042">
        <f t="shared" si="416"/>
        <v>0</v>
      </c>
      <c r="BQ1042">
        <f t="shared" si="417"/>
        <v>0</v>
      </c>
      <c r="BR1042">
        <f t="shared" si="418"/>
        <v>0</v>
      </c>
      <c r="BS1042">
        <f t="shared" si="419"/>
        <v>0</v>
      </c>
      <c r="BT1042">
        <f t="shared" si="420"/>
        <v>0</v>
      </c>
      <c r="BU1042">
        <f t="shared" si="421"/>
        <v>0</v>
      </c>
      <c r="BV1042">
        <f t="shared" si="422"/>
        <v>0</v>
      </c>
      <c r="BW1042">
        <f t="shared" si="423"/>
        <v>0</v>
      </c>
      <c r="CA1042" t="str">
        <f>IF(843&gt;ROWS(DGArchive[模组]),"",IF(INDEX(DGArchive[模组],843)="","",INDEX(DGArchive[模组],843)))</f>
        <v/>
      </c>
      <c r="CB1042" t="str">
        <f>IF(843&gt;ROWS(DGArchive[阶段]),"",IF(INDEX(DGArchive[阶段],843)="","",INDEX(DGArchive[阶段],843)))</f>
        <v/>
      </c>
      <c r="CC1042" t="str">
        <f>IF(843&gt;ROWS(DGArchive[游戏内日期]),"",IF(INDEX(DGArchive[游戏内日期],843)="","",INDEX(DGArchive[游戏内日期],843)))</f>
        <v/>
      </c>
      <c r="CD1042" t="str">
        <f>IF(843&gt;ROWS(DGArchive[目标]),"",IF(INDEX(DGArchive[目标],843)="","",INDEX(DGArchive[目标],843)))</f>
        <v/>
      </c>
      <c r="CE1042" t="str">
        <f>IF(843&gt;ROWS(DGArchive[变更前]),"",IF(INDEX(DGArchive[变更前],843)="","",INDEX(DGArchive[变更前],843)))</f>
        <v/>
      </c>
      <c r="CF1042" t="str">
        <f>IF(843&gt;ROWS(DGArchive[增减]),"",IF(INDEX(DGArchive[增减],843)="","",INDEX(DGArchive[增减],843)))</f>
        <v/>
      </c>
      <c r="CG1042" t="str">
        <f>IF(843&gt;ROWS(DGArchive[变更后]),"",IF(INDEX(DGArchive[变更后],843)="","",INDEX(DGArchive[变更后],843)))</f>
        <v/>
      </c>
      <c r="CH1042" t="str">
        <f>IF(843&gt;ROWS(DGArchive[事件／活动]),"",IF(INDEX(DGArchive[事件／活动],843)="","",INDEX(DGArchive[事件／活动],843)))</f>
        <v/>
      </c>
      <c r="CI1042" t="str">
        <f>IF(843&gt;ROWS(DGArchive[记录编号]),"",IF(INDEX(DGArchive[记录编号],843)="","",INDEX(DGArchive[记录编号],843)))</f>
        <v/>
      </c>
      <c r="CL1042">
        <f t="shared" si="404"/>
        <v>0</v>
      </c>
      <c r="CM1042">
        <f>IF(AND(A1042=$AO$5,B1042=$AQ$3,H1042=1),COUNTIFS($A$200:A1042,$AO$5,$B$200:B1042,$AQ$3,$H$200:H1042,1),0)</f>
        <v>0</v>
      </c>
      <c r="CN1042">
        <f>IF(CA1042="",843,1001)</f>
        <v>843</v>
      </c>
      <c r="GA1042">
        <f t="shared" si="424"/>
        <v>0</v>
      </c>
      <c r="GB1042">
        <f t="shared" si="425"/>
        <v>0</v>
      </c>
      <c r="GC1042">
        <f>IF(AND(C1042="事件记录",H1042=1),COUNTIFS($C$200:C1042,"事件记录",$H$200:H1042,1),0)</f>
        <v>0</v>
      </c>
      <c r="GD1042">
        <f t="shared" si="405"/>
        <v>0</v>
      </c>
      <c r="GH1042">
        <f>IF(AND(H1042=1,A1042=$GA$10,B1042=$GA$11),COUNTIFS($A$200:A1042,$GA$10,$B$200:B1042,$GA$11,$H$200:H1042,1),0)</f>
        <v>0</v>
      </c>
    </row>
    <row r="1043" spans="1:190">
      <c r="A1043" t="str">
        <f t="shared" si="396"/>
        <v/>
      </c>
      <c r="B1043" t="str">
        <f t="shared" si="397"/>
        <v/>
      </c>
      <c r="C1043" t="str">
        <f t="shared" si="398"/>
        <v/>
      </c>
      <c r="D1043" t="str">
        <f t="shared" si="399"/>
        <v/>
      </c>
      <c r="E1043">
        <f t="shared" si="400"/>
        <v>0</v>
      </c>
      <c r="F1043" t="str">
        <f t="shared" si="401"/>
        <v/>
      </c>
      <c r="G1043">
        <f t="shared" si="402"/>
        <v>0</v>
      </c>
      <c r="H1043">
        <f>IF(AND(G1043=1,COUNTIFS($I$200:I1043,I1043,$G$200:G1043,1)=1),1,0)</f>
        <v>0</v>
      </c>
      <c r="I1043" t="str">
        <f t="shared" si="403"/>
        <v/>
      </c>
      <c r="BF1043">
        <f t="shared" si="406"/>
        <v>0</v>
      </c>
      <c r="BG1043">
        <f t="shared" si="407"/>
        <v>0</v>
      </c>
      <c r="BH1043">
        <f t="shared" si="408"/>
        <v>0</v>
      </c>
      <c r="BI1043">
        <f t="shared" si="409"/>
        <v>0</v>
      </c>
      <c r="BJ1043">
        <f t="shared" si="410"/>
        <v>0</v>
      </c>
      <c r="BK1043">
        <f t="shared" si="411"/>
        <v>0</v>
      </c>
      <c r="BL1043">
        <f t="shared" si="412"/>
        <v>0</v>
      </c>
      <c r="BM1043">
        <f t="shared" si="413"/>
        <v>0</v>
      </c>
      <c r="BN1043">
        <f t="shared" si="414"/>
        <v>0</v>
      </c>
      <c r="BO1043">
        <f t="shared" si="415"/>
        <v>0</v>
      </c>
      <c r="BP1043">
        <f t="shared" si="416"/>
        <v>0</v>
      </c>
      <c r="BQ1043">
        <f t="shared" si="417"/>
        <v>0</v>
      </c>
      <c r="BR1043">
        <f t="shared" si="418"/>
        <v>0</v>
      </c>
      <c r="BS1043">
        <f t="shared" si="419"/>
        <v>0</v>
      </c>
      <c r="BT1043">
        <f t="shared" si="420"/>
        <v>0</v>
      </c>
      <c r="BU1043">
        <f t="shared" si="421"/>
        <v>0</v>
      </c>
      <c r="BV1043">
        <f t="shared" si="422"/>
        <v>0</v>
      </c>
      <c r="BW1043">
        <f t="shared" si="423"/>
        <v>0</v>
      </c>
      <c r="CA1043" t="str">
        <f>IF(844&gt;ROWS(DGArchive[模组]),"",IF(INDEX(DGArchive[模组],844)="","",INDEX(DGArchive[模组],844)))</f>
        <v/>
      </c>
      <c r="CB1043" t="str">
        <f>IF(844&gt;ROWS(DGArchive[阶段]),"",IF(INDEX(DGArchive[阶段],844)="","",INDEX(DGArchive[阶段],844)))</f>
        <v/>
      </c>
      <c r="CC1043" t="str">
        <f>IF(844&gt;ROWS(DGArchive[游戏内日期]),"",IF(INDEX(DGArchive[游戏内日期],844)="","",INDEX(DGArchive[游戏内日期],844)))</f>
        <v/>
      </c>
      <c r="CD1043" t="str">
        <f>IF(844&gt;ROWS(DGArchive[目标]),"",IF(INDEX(DGArchive[目标],844)="","",INDEX(DGArchive[目标],844)))</f>
        <v/>
      </c>
      <c r="CE1043" t="str">
        <f>IF(844&gt;ROWS(DGArchive[变更前]),"",IF(INDEX(DGArchive[变更前],844)="","",INDEX(DGArchive[变更前],844)))</f>
        <v/>
      </c>
      <c r="CF1043" t="str">
        <f>IF(844&gt;ROWS(DGArchive[增减]),"",IF(INDEX(DGArchive[增减],844)="","",INDEX(DGArchive[增减],844)))</f>
        <v/>
      </c>
      <c r="CG1043" t="str">
        <f>IF(844&gt;ROWS(DGArchive[变更后]),"",IF(INDEX(DGArchive[变更后],844)="","",INDEX(DGArchive[变更后],844)))</f>
        <v/>
      </c>
      <c r="CH1043" t="str">
        <f>IF(844&gt;ROWS(DGArchive[事件／活动]),"",IF(INDEX(DGArchive[事件／活动],844)="","",INDEX(DGArchive[事件／活动],844)))</f>
        <v/>
      </c>
      <c r="CI1043" t="str">
        <f>IF(844&gt;ROWS(DGArchive[记录编号]),"",IF(INDEX(DGArchive[记录编号],844)="","",INDEX(DGArchive[记录编号],844)))</f>
        <v/>
      </c>
      <c r="CL1043">
        <f t="shared" si="404"/>
        <v>0</v>
      </c>
      <c r="CM1043">
        <f>IF(AND(A1043=$AO$5,B1043=$AQ$3,H1043=1),COUNTIFS($A$200:A1043,$AO$5,$B$200:B1043,$AQ$3,$H$200:H1043,1),0)</f>
        <v>0</v>
      </c>
      <c r="CN1043">
        <f>IF(CA1043="",844,1001)</f>
        <v>844</v>
      </c>
      <c r="GA1043">
        <f t="shared" si="424"/>
        <v>0</v>
      </c>
      <c r="GB1043">
        <f t="shared" si="425"/>
        <v>0</v>
      </c>
      <c r="GC1043">
        <f>IF(AND(C1043="事件记录",H1043=1),COUNTIFS($C$200:C1043,"事件记录",$H$200:H1043,1),0)</f>
        <v>0</v>
      </c>
      <c r="GD1043">
        <f t="shared" si="405"/>
        <v>0</v>
      </c>
      <c r="GH1043">
        <f>IF(AND(H1043=1,A1043=$GA$10,B1043=$GA$11),COUNTIFS($A$200:A1043,$GA$10,$B$200:B1043,$GA$11,$H$200:H1043,1),0)</f>
        <v>0</v>
      </c>
    </row>
    <row r="1044" spans="1:190">
      <c r="A1044" t="str">
        <f t="shared" si="396"/>
        <v/>
      </c>
      <c r="B1044" t="str">
        <f t="shared" si="397"/>
        <v/>
      </c>
      <c r="C1044" t="str">
        <f t="shared" si="398"/>
        <v/>
      </c>
      <c r="D1044" t="str">
        <f t="shared" si="399"/>
        <v/>
      </c>
      <c r="E1044">
        <f t="shared" si="400"/>
        <v>0</v>
      </c>
      <c r="F1044" t="str">
        <f t="shared" si="401"/>
        <v/>
      </c>
      <c r="G1044">
        <f t="shared" si="402"/>
        <v>0</v>
      </c>
      <c r="H1044">
        <f>IF(AND(G1044=1,COUNTIFS($I$200:I1044,I1044,$G$200:G1044,1)=1),1,0)</f>
        <v>0</v>
      </c>
      <c r="I1044" t="str">
        <f t="shared" si="403"/>
        <v/>
      </c>
      <c r="BF1044">
        <f t="shared" si="406"/>
        <v>0</v>
      </c>
      <c r="BG1044">
        <f t="shared" si="407"/>
        <v>0</v>
      </c>
      <c r="BH1044">
        <f t="shared" si="408"/>
        <v>0</v>
      </c>
      <c r="BI1044">
        <f t="shared" si="409"/>
        <v>0</v>
      </c>
      <c r="BJ1044">
        <f t="shared" si="410"/>
        <v>0</v>
      </c>
      <c r="BK1044">
        <f t="shared" si="411"/>
        <v>0</v>
      </c>
      <c r="BL1044">
        <f t="shared" si="412"/>
        <v>0</v>
      </c>
      <c r="BM1044">
        <f t="shared" si="413"/>
        <v>0</v>
      </c>
      <c r="BN1044">
        <f t="shared" si="414"/>
        <v>0</v>
      </c>
      <c r="BO1044">
        <f t="shared" si="415"/>
        <v>0</v>
      </c>
      <c r="BP1044">
        <f t="shared" si="416"/>
        <v>0</v>
      </c>
      <c r="BQ1044">
        <f t="shared" si="417"/>
        <v>0</v>
      </c>
      <c r="BR1044">
        <f t="shared" si="418"/>
        <v>0</v>
      </c>
      <c r="BS1044">
        <f t="shared" si="419"/>
        <v>0</v>
      </c>
      <c r="BT1044">
        <f t="shared" si="420"/>
        <v>0</v>
      </c>
      <c r="BU1044">
        <f t="shared" si="421"/>
        <v>0</v>
      </c>
      <c r="BV1044">
        <f t="shared" si="422"/>
        <v>0</v>
      </c>
      <c r="BW1044">
        <f t="shared" si="423"/>
        <v>0</v>
      </c>
      <c r="CA1044" t="str">
        <f>IF(845&gt;ROWS(DGArchive[模组]),"",IF(INDEX(DGArchive[模组],845)="","",INDEX(DGArchive[模组],845)))</f>
        <v/>
      </c>
      <c r="CB1044" t="str">
        <f>IF(845&gt;ROWS(DGArchive[阶段]),"",IF(INDEX(DGArchive[阶段],845)="","",INDEX(DGArchive[阶段],845)))</f>
        <v/>
      </c>
      <c r="CC1044" t="str">
        <f>IF(845&gt;ROWS(DGArchive[游戏内日期]),"",IF(INDEX(DGArchive[游戏内日期],845)="","",INDEX(DGArchive[游戏内日期],845)))</f>
        <v/>
      </c>
      <c r="CD1044" t="str">
        <f>IF(845&gt;ROWS(DGArchive[目标]),"",IF(INDEX(DGArchive[目标],845)="","",INDEX(DGArchive[目标],845)))</f>
        <v/>
      </c>
      <c r="CE1044" t="str">
        <f>IF(845&gt;ROWS(DGArchive[变更前]),"",IF(INDEX(DGArchive[变更前],845)="","",INDEX(DGArchive[变更前],845)))</f>
        <v/>
      </c>
      <c r="CF1044" t="str">
        <f>IF(845&gt;ROWS(DGArchive[增减]),"",IF(INDEX(DGArchive[增减],845)="","",INDEX(DGArchive[增减],845)))</f>
        <v/>
      </c>
      <c r="CG1044" t="str">
        <f>IF(845&gt;ROWS(DGArchive[变更后]),"",IF(INDEX(DGArchive[变更后],845)="","",INDEX(DGArchive[变更后],845)))</f>
        <v/>
      </c>
      <c r="CH1044" t="str">
        <f>IF(845&gt;ROWS(DGArchive[事件／活动]),"",IF(INDEX(DGArchive[事件／活动],845)="","",INDEX(DGArchive[事件／活动],845)))</f>
        <v/>
      </c>
      <c r="CI1044" t="str">
        <f>IF(845&gt;ROWS(DGArchive[记录编号]),"",IF(INDEX(DGArchive[记录编号],845)="","",INDEX(DGArchive[记录编号],845)))</f>
        <v/>
      </c>
      <c r="CL1044">
        <f t="shared" si="404"/>
        <v>0</v>
      </c>
      <c r="CM1044">
        <f>IF(AND(A1044=$AO$5,B1044=$AQ$3,H1044=1),COUNTIFS($A$200:A1044,$AO$5,$B$200:B1044,$AQ$3,$H$200:H1044,1),0)</f>
        <v>0</v>
      </c>
      <c r="CN1044">
        <f>IF(CA1044="",845,1001)</f>
        <v>845</v>
      </c>
      <c r="GA1044">
        <f t="shared" si="424"/>
        <v>0</v>
      </c>
      <c r="GB1044">
        <f t="shared" si="425"/>
        <v>0</v>
      </c>
      <c r="GC1044">
        <f>IF(AND(C1044="事件记录",H1044=1),COUNTIFS($C$200:C1044,"事件记录",$H$200:H1044,1),0)</f>
        <v>0</v>
      </c>
      <c r="GD1044">
        <f t="shared" si="405"/>
        <v>0</v>
      </c>
      <c r="GH1044">
        <f>IF(AND(H1044=1,A1044=$GA$10,B1044=$GA$11),COUNTIFS($A$200:A1044,$GA$10,$B$200:B1044,$GA$11,$H$200:H1044,1),0)</f>
        <v>0</v>
      </c>
    </row>
    <row r="1045" spans="1:190">
      <c r="A1045" t="str">
        <f t="shared" si="396"/>
        <v/>
      </c>
      <c r="B1045" t="str">
        <f t="shared" si="397"/>
        <v/>
      </c>
      <c r="C1045" t="str">
        <f t="shared" si="398"/>
        <v/>
      </c>
      <c r="D1045" t="str">
        <f t="shared" si="399"/>
        <v/>
      </c>
      <c r="E1045">
        <f t="shared" si="400"/>
        <v>0</v>
      </c>
      <c r="F1045" t="str">
        <f t="shared" si="401"/>
        <v/>
      </c>
      <c r="G1045">
        <f t="shared" si="402"/>
        <v>0</v>
      </c>
      <c r="H1045">
        <f>IF(AND(G1045=1,COUNTIFS($I$200:I1045,I1045,$G$200:G1045,1)=1),1,0)</f>
        <v>0</v>
      </c>
      <c r="I1045" t="str">
        <f t="shared" si="403"/>
        <v/>
      </c>
      <c r="BF1045">
        <f t="shared" si="406"/>
        <v>0</v>
      </c>
      <c r="BG1045">
        <f t="shared" si="407"/>
        <v>0</v>
      </c>
      <c r="BH1045">
        <f t="shared" si="408"/>
        <v>0</v>
      </c>
      <c r="BI1045">
        <f t="shared" si="409"/>
        <v>0</v>
      </c>
      <c r="BJ1045">
        <f t="shared" si="410"/>
        <v>0</v>
      </c>
      <c r="BK1045">
        <f t="shared" si="411"/>
        <v>0</v>
      </c>
      <c r="BL1045">
        <f t="shared" si="412"/>
        <v>0</v>
      </c>
      <c r="BM1045">
        <f t="shared" si="413"/>
        <v>0</v>
      </c>
      <c r="BN1045">
        <f t="shared" si="414"/>
        <v>0</v>
      </c>
      <c r="BO1045">
        <f t="shared" si="415"/>
        <v>0</v>
      </c>
      <c r="BP1045">
        <f t="shared" si="416"/>
        <v>0</v>
      </c>
      <c r="BQ1045">
        <f t="shared" si="417"/>
        <v>0</v>
      </c>
      <c r="BR1045">
        <f t="shared" si="418"/>
        <v>0</v>
      </c>
      <c r="BS1045">
        <f t="shared" si="419"/>
        <v>0</v>
      </c>
      <c r="BT1045">
        <f t="shared" si="420"/>
        <v>0</v>
      </c>
      <c r="BU1045">
        <f t="shared" si="421"/>
        <v>0</v>
      </c>
      <c r="BV1045">
        <f t="shared" si="422"/>
        <v>0</v>
      </c>
      <c r="BW1045">
        <f t="shared" si="423"/>
        <v>0</v>
      </c>
      <c r="CA1045" t="str">
        <f>IF(846&gt;ROWS(DGArchive[模组]),"",IF(INDEX(DGArchive[模组],846)="","",INDEX(DGArchive[模组],846)))</f>
        <v/>
      </c>
      <c r="CB1045" t="str">
        <f>IF(846&gt;ROWS(DGArchive[阶段]),"",IF(INDEX(DGArchive[阶段],846)="","",INDEX(DGArchive[阶段],846)))</f>
        <v/>
      </c>
      <c r="CC1045" t="str">
        <f>IF(846&gt;ROWS(DGArchive[游戏内日期]),"",IF(INDEX(DGArchive[游戏内日期],846)="","",INDEX(DGArchive[游戏内日期],846)))</f>
        <v/>
      </c>
      <c r="CD1045" t="str">
        <f>IF(846&gt;ROWS(DGArchive[目标]),"",IF(INDEX(DGArchive[目标],846)="","",INDEX(DGArchive[目标],846)))</f>
        <v/>
      </c>
      <c r="CE1045" t="str">
        <f>IF(846&gt;ROWS(DGArchive[变更前]),"",IF(INDEX(DGArchive[变更前],846)="","",INDEX(DGArchive[变更前],846)))</f>
        <v/>
      </c>
      <c r="CF1045" t="str">
        <f>IF(846&gt;ROWS(DGArchive[增减]),"",IF(INDEX(DGArchive[增减],846)="","",INDEX(DGArchive[增减],846)))</f>
        <v/>
      </c>
      <c r="CG1045" t="str">
        <f>IF(846&gt;ROWS(DGArchive[变更后]),"",IF(INDEX(DGArchive[变更后],846)="","",INDEX(DGArchive[变更后],846)))</f>
        <v/>
      </c>
      <c r="CH1045" t="str">
        <f>IF(846&gt;ROWS(DGArchive[事件／活动]),"",IF(INDEX(DGArchive[事件／活动],846)="","",INDEX(DGArchive[事件／活动],846)))</f>
        <v/>
      </c>
      <c r="CI1045" t="str">
        <f>IF(846&gt;ROWS(DGArchive[记录编号]),"",IF(INDEX(DGArchive[记录编号],846)="","",INDEX(DGArchive[记录编号],846)))</f>
        <v/>
      </c>
      <c r="CL1045">
        <f t="shared" si="404"/>
        <v>0</v>
      </c>
      <c r="CM1045">
        <f>IF(AND(A1045=$AO$5,B1045=$AQ$3,H1045=1),COUNTIFS($A$200:A1045,$AO$5,$B$200:B1045,$AQ$3,$H$200:H1045,1),0)</f>
        <v>0</v>
      </c>
      <c r="CN1045">
        <f>IF(CA1045="",846,1001)</f>
        <v>846</v>
      </c>
      <c r="GA1045">
        <f t="shared" si="424"/>
        <v>0</v>
      </c>
      <c r="GB1045">
        <f t="shared" si="425"/>
        <v>0</v>
      </c>
      <c r="GC1045">
        <f>IF(AND(C1045="事件记录",H1045=1),COUNTIFS($C$200:C1045,"事件记录",$H$200:H1045,1),0)</f>
        <v>0</v>
      </c>
      <c r="GD1045">
        <f t="shared" si="405"/>
        <v>0</v>
      </c>
      <c r="GH1045">
        <f>IF(AND(H1045=1,A1045=$GA$10,B1045=$GA$11),COUNTIFS($A$200:A1045,$GA$10,$B$200:B1045,$GA$11,$H$200:H1045,1),0)</f>
        <v>0</v>
      </c>
    </row>
    <row r="1046" spans="1:190">
      <c r="A1046" t="str">
        <f t="shared" si="396"/>
        <v/>
      </c>
      <c r="B1046" t="str">
        <f t="shared" si="397"/>
        <v/>
      </c>
      <c r="C1046" t="str">
        <f t="shared" si="398"/>
        <v/>
      </c>
      <c r="D1046" t="str">
        <f t="shared" si="399"/>
        <v/>
      </c>
      <c r="E1046">
        <f t="shared" si="400"/>
        <v>0</v>
      </c>
      <c r="F1046" t="str">
        <f t="shared" si="401"/>
        <v/>
      </c>
      <c r="G1046">
        <f t="shared" si="402"/>
        <v>0</v>
      </c>
      <c r="H1046">
        <f>IF(AND(G1046=1,COUNTIFS($I$200:I1046,I1046,$G$200:G1046,1)=1),1,0)</f>
        <v>0</v>
      </c>
      <c r="I1046" t="str">
        <f t="shared" si="403"/>
        <v/>
      </c>
      <c r="BF1046">
        <f t="shared" si="406"/>
        <v>0</v>
      </c>
      <c r="BG1046">
        <f t="shared" si="407"/>
        <v>0</v>
      </c>
      <c r="BH1046">
        <f t="shared" si="408"/>
        <v>0</v>
      </c>
      <c r="BI1046">
        <f t="shared" si="409"/>
        <v>0</v>
      </c>
      <c r="BJ1046">
        <f t="shared" si="410"/>
        <v>0</v>
      </c>
      <c r="BK1046">
        <f t="shared" si="411"/>
        <v>0</v>
      </c>
      <c r="BL1046">
        <f t="shared" si="412"/>
        <v>0</v>
      </c>
      <c r="BM1046">
        <f t="shared" si="413"/>
        <v>0</v>
      </c>
      <c r="BN1046">
        <f t="shared" si="414"/>
        <v>0</v>
      </c>
      <c r="BO1046">
        <f t="shared" si="415"/>
        <v>0</v>
      </c>
      <c r="BP1046">
        <f t="shared" si="416"/>
        <v>0</v>
      </c>
      <c r="BQ1046">
        <f t="shared" si="417"/>
        <v>0</v>
      </c>
      <c r="BR1046">
        <f t="shared" si="418"/>
        <v>0</v>
      </c>
      <c r="BS1046">
        <f t="shared" si="419"/>
        <v>0</v>
      </c>
      <c r="BT1046">
        <f t="shared" si="420"/>
        <v>0</v>
      </c>
      <c r="BU1046">
        <f t="shared" si="421"/>
        <v>0</v>
      </c>
      <c r="BV1046">
        <f t="shared" si="422"/>
        <v>0</v>
      </c>
      <c r="BW1046">
        <f t="shared" si="423"/>
        <v>0</v>
      </c>
      <c r="CA1046" t="str">
        <f>IF(847&gt;ROWS(DGArchive[模组]),"",IF(INDEX(DGArchive[模组],847)="","",INDEX(DGArchive[模组],847)))</f>
        <v/>
      </c>
      <c r="CB1046" t="str">
        <f>IF(847&gt;ROWS(DGArchive[阶段]),"",IF(INDEX(DGArchive[阶段],847)="","",INDEX(DGArchive[阶段],847)))</f>
        <v/>
      </c>
      <c r="CC1046" t="str">
        <f>IF(847&gt;ROWS(DGArchive[游戏内日期]),"",IF(INDEX(DGArchive[游戏内日期],847)="","",INDEX(DGArchive[游戏内日期],847)))</f>
        <v/>
      </c>
      <c r="CD1046" t="str">
        <f>IF(847&gt;ROWS(DGArchive[目标]),"",IF(INDEX(DGArchive[目标],847)="","",INDEX(DGArchive[目标],847)))</f>
        <v/>
      </c>
      <c r="CE1046" t="str">
        <f>IF(847&gt;ROWS(DGArchive[变更前]),"",IF(INDEX(DGArchive[变更前],847)="","",INDEX(DGArchive[变更前],847)))</f>
        <v/>
      </c>
      <c r="CF1046" t="str">
        <f>IF(847&gt;ROWS(DGArchive[增减]),"",IF(INDEX(DGArchive[增减],847)="","",INDEX(DGArchive[增减],847)))</f>
        <v/>
      </c>
      <c r="CG1046" t="str">
        <f>IF(847&gt;ROWS(DGArchive[变更后]),"",IF(INDEX(DGArchive[变更后],847)="","",INDEX(DGArchive[变更后],847)))</f>
        <v/>
      </c>
      <c r="CH1046" t="str">
        <f>IF(847&gt;ROWS(DGArchive[事件／活动]),"",IF(INDEX(DGArchive[事件／活动],847)="","",INDEX(DGArchive[事件／活动],847)))</f>
        <v/>
      </c>
      <c r="CI1046" t="str">
        <f>IF(847&gt;ROWS(DGArchive[记录编号]),"",IF(INDEX(DGArchive[记录编号],847)="","",INDEX(DGArchive[记录编号],847)))</f>
        <v/>
      </c>
      <c r="CL1046">
        <f t="shared" si="404"/>
        <v>0</v>
      </c>
      <c r="CM1046">
        <f>IF(AND(A1046=$AO$5,B1046=$AQ$3,H1046=1),COUNTIFS($A$200:A1046,$AO$5,$B$200:B1046,$AQ$3,$H$200:H1046,1),0)</f>
        <v>0</v>
      </c>
      <c r="CN1046">
        <f>IF(CA1046="",847,1001)</f>
        <v>847</v>
      </c>
      <c r="GA1046">
        <f t="shared" si="424"/>
        <v>0</v>
      </c>
      <c r="GB1046">
        <f t="shared" si="425"/>
        <v>0</v>
      </c>
      <c r="GC1046">
        <f>IF(AND(C1046="事件记录",H1046=1),COUNTIFS($C$200:C1046,"事件记录",$H$200:H1046,1),0)</f>
        <v>0</v>
      </c>
      <c r="GD1046">
        <f t="shared" si="405"/>
        <v>0</v>
      </c>
      <c r="GH1046">
        <f>IF(AND(H1046=1,A1046=$GA$10,B1046=$GA$11),COUNTIFS($A$200:A1046,$GA$10,$B$200:B1046,$GA$11,$H$200:H1046,1),0)</f>
        <v>0</v>
      </c>
    </row>
    <row r="1047" spans="1:190">
      <c r="A1047" t="str">
        <f t="shared" si="396"/>
        <v/>
      </c>
      <c r="B1047" t="str">
        <f t="shared" si="397"/>
        <v/>
      </c>
      <c r="C1047" t="str">
        <f t="shared" si="398"/>
        <v/>
      </c>
      <c r="D1047" t="str">
        <f t="shared" si="399"/>
        <v/>
      </c>
      <c r="E1047">
        <f t="shared" si="400"/>
        <v>0</v>
      </c>
      <c r="F1047" t="str">
        <f t="shared" si="401"/>
        <v/>
      </c>
      <c r="G1047">
        <f t="shared" si="402"/>
        <v>0</v>
      </c>
      <c r="H1047">
        <f>IF(AND(G1047=1,COUNTIFS($I$200:I1047,I1047,$G$200:G1047,1)=1),1,0)</f>
        <v>0</v>
      </c>
      <c r="I1047" t="str">
        <f t="shared" si="403"/>
        <v/>
      </c>
      <c r="BF1047">
        <f t="shared" si="406"/>
        <v>0</v>
      </c>
      <c r="BG1047">
        <f t="shared" si="407"/>
        <v>0</v>
      </c>
      <c r="BH1047">
        <f t="shared" si="408"/>
        <v>0</v>
      </c>
      <c r="BI1047">
        <f t="shared" si="409"/>
        <v>0</v>
      </c>
      <c r="BJ1047">
        <f t="shared" si="410"/>
        <v>0</v>
      </c>
      <c r="BK1047">
        <f t="shared" si="411"/>
        <v>0</v>
      </c>
      <c r="BL1047">
        <f t="shared" si="412"/>
        <v>0</v>
      </c>
      <c r="BM1047">
        <f t="shared" si="413"/>
        <v>0</v>
      </c>
      <c r="BN1047">
        <f t="shared" si="414"/>
        <v>0</v>
      </c>
      <c r="BO1047">
        <f t="shared" si="415"/>
        <v>0</v>
      </c>
      <c r="BP1047">
        <f t="shared" si="416"/>
        <v>0</v>
      </c>
      <c r="BQ1047">
        <f t="shared" si="417"/>
        <v>0</v>
      </c>
      <c r="BR1047">
        <f t="shared" si="418"/>
        <v>0</v>
      </c>
      <c r="BS1047">
        <f t="shared" si="419"/>
        <v>0</v>
      </c>
      <c r="BT1047">
        <f t="shared" si="420"/>
        <v>0</v>
      </c>
      <c r="BU1047">
        <f t="shared" si="421"/>
        <v>0</v>
      </c>
      <c r="BV1047">
        <f t="shared" si="422"/>
        <v>0</v>
      </c>
      <c r="BW1047">
        <f t="shared" si="423"/>
        <v>0</v>
      </c>
      <c r="CA1047" t="str">
        <f>IF(848&gt;ROWS(DGArchive[模组]),"",IF(INDEX(DGArchive[模组],848)="","",INDEX(DGArchive[模组],848)))</f>
        <v/>
      </c>
      <c r="CB1047" t="str">
        <f>IF(848&gt;ROWS(DGArchive[阶段]),"",IF(INDEX(DGArchive[阶段],848)="","",INDEX(DGArchive[阶段],848)))</f>
        <v/>
      </c>
      <c r="CC1047" t="str">
        <f>IF(848&gt;ROWS(DGArchive[游戏内日期]),"",IF(INDEX(DGArchive[游戏内日期],848)="","",INDEX(DGArchive[游戏内日期],848)))</f>
        <v/>
      </c>
      <c r="CD1047" t="str">
        <f>IF(848&gt;ROWS(DGArchive[目标]),"",IF(INDEX(DGArchive[目标],848)="","",INDEX(DGArchive[目标],848)))</f>
        <v/>
      </c>
      <c r="CE1047" t="str">
        <f>IF(848&gt;ROWS(DGArchive[变更前]),"",IF(INDEX(DGArchive[变更前],848)="","",INDEX(DGArchive[变更前],848)))</f>
        <v/>
      </c>
      <c r="CF1047" t="str">
        <f>IF(848&gt;ROWS(DGArchive[增减]),"",IF(INDEX(DGArchive[增减],848)="","",INDEX(DGArchive[增减],848)))</f>
        <v/>
      </c>
      <c r="CG1047" t="str">
        <f>IF(848&gt;ROWS(DGArchive[变更后]),"",IF(INDEX(DGArchive[变更后],848)="","",INDEX(DGArchive[变更后],848)))</f>
        <v/>
      </c>
      <c r="CH1047" t="str">
        <f>IF(848&gt;ROWS(DGArchive[事件／活动]),"",IF(INDEX(DGArchive[事件／活动],848)="","",INDEX(DGArchive[事件／活动],848)))</f>
        <v/>
      </c>
      <c r="CI1047" t="str">
        <f>IF(848&gt;ROWS(DGArchive[记录编号]),"",IF(INDEX(DGArchive[记录编号],848)="","",INDEX(DGArchive[记录编号],848)))</f>
        <v/>
      </c>
      <c r="CL1047">
        <f t="shared" si="404"/>
        <v>0</v>
      </c>
      <c r="CM1047">
        <f>IF(AND(A1047=$AO$5,B1047=$AQ$3,H1047=1),COUNTIFS($A$200:A1047,$AO$5,$B$200:B1047,$AQ$3,$H$200:H1047,1),0)</f>
        <v>0</v>
      </c>
      <c r="CN1047">
        <f>IF(CA1047="",848,1001)</f>
        <v>848</v>
      </c>
      <c r="GA1047">
        <f t="shared" si="424"/>
        <v>0</v>
      </c>
      <c r="GB1047">
        <f t="shared" si="425"/>
        <v>0</v>
      </c>
      <c r="GC1047">
        <f>IF(AND(C1047="事件记录",H1047=1),COUNTIFS($C$200:C1047,"事件记录",$H$200:H1047,1),0)</f>
        <v>0</v>
      </c>
      <c r="GD1047">
        <f t="shared" si="405"/>
        <v>0</v>
      </c>
      <c r="GH1047">
        <f>IF(AND(H1047=1,A1047=$GA$10,B1047=$GA$11),COUNTIFS($A$200:A1047,$GA$10,$B$200:B1047,$GA$11,$H$200:H1047,1),0)</f>
        <v>0</v>
      </c>
    </row>
    <row r="1048" spans="1:190">
      <c r="A1048" t="str">
        <f t="shared" si="396"/>
        <v/>
      </c>
      <c r="B1048" t="str">
        <f t="shared" si="397"/>
        <v/>
      </c>
      <c r="C1048" t="str">
        <f t="shared" si="398"/>
        <v/>
      </c>
      <c r="D1048" t="str">
        <f t="shared" si="399"/>
        <v/>
      </c>
      <c r="E1048">
        <f t="shared" si="400"/>
        <v>0</v>
      </c>
      <c r="F1048" t="str">
        <f t="shared" si="401"/>
        <v/>
      </c>
      <c r="G1048">
        <f t="shared" si="402"/>
        <v>0</v>
      </c>
      <c r="H1048">
        <f>IF(AND(G1048=1,COUNTIFS($I$200:I1048,I1048,$G$200:G1048,1)=1),1,0)</f>
        <v>0</v>
      </c>
      <c r="I1048" t="str">
        <f t="shared" si="403"/>
        <v/>
      </c>
      <c r="BF1048">
        <f t="shared" si="406"/>
        <v>0</v>
      </c>
      <c r="BG1048">
        <f t="shared" si="407"/>
        <v>0</v>
      </c>
      <c r="BH1048">
        <f t="shared" si="408"/>
        <v>0</v>
      </c>
      <c r="BI1048">
        <f t="shared" si="409"/>
        <v>0</v>
      </c>
      <c r="BJ1048">
        <f t="shared" si="410"/>
        <v>0</v>
      </c>
      <c r="BK1048">
        <f t="shared" si="411"/>
        <v>0</v>
      </c>
      <c r="BL1048">
        <f t="shared" si="412"/>
        <v>0</v>
      </c>
      <c r="BM1048">
        <f t="shared" si="413"/>
        <v>0</v>
      </c>
      <c r="BN1048">
        <f t="shared" si="414"/>
        <v>0</v>
      </c>
      <c r="BO1048">
        <f t="shared" si="415"/>
        <v>0</v>
      </c>
      <c r="BP1048">
        <f t="shared" si="416"/>
        <v>0</v>
      </c>
      <c r="BQ1048">
        <f t="shared" si="417"/>
        <v>0</v>
      </c>
      <c r="BR1048">
        <f t="shared" si="418"/>
        <v>0</v>
      </c>
      <c r="BS1048">
        <f t="shared" si="419"/>
        <v>0</v>
      </c>
      <c r="BT1048">
        <f t="shared" si="420"/>
        <v>0</v>
      </c>
      <c r="BU1048">
        <f t="shared" si="421"/>
        <v>0</v>
      </c>
      <c r="BV1048">
        <f t="shared" si="422"/>
        <v>0</v>
      </c>
      <c r="BW1048">
        <f t="shared" si="423"/>
        <v>0</v>
      </c>
      <c r="CA1048" t="str">
        <f>IF(849&gt;ROWS(DGArchive[模组]),"",IF(INDEX(DGArchive[模组],849)="","",INDEX(DGArchive[模组],849)))</f>
        <v/>
      </c>
      <c r="CB1048" t="str">
        <f>IF(849&gt;ROWS(DGArchive[阶段]),"",IF(INDEX(DGArchive[阶段],849)="","",INDEX(DGArchive[阶段],849)))</f>
        <v/>
      </c>
      <c r="CC1048" t="str">
        <f>IF(849&gt;ROWS(DGArchive[游戏内日期]),"",IF(INDEX(DGArchive[游戏内日期],849)="","",INDEX(DGArchive[游戏内日期],849)))</f>
        <v/>
      </c>
      <c r="CD1048" t="str">
        <f>IF(849&gt;ROWS(DGArchive[目标]),"",IF(INDEX(DGArchive[目标],849)="","",INDEX(DGArchive[目标],849)))</f>
        <v/>
      </c>
      <c r="CE1048" t="str">
        <f>IF(849&gt;ROWS(DGArchive[变更前]),"",IF(INDEX(DGArchive[变更前],849)="","",INDEX(DGArchive[变更前],849)))</f>
        <v/>
      </c>
      <c r="CF1048" t="str">
        <f>IF(849&gt;ROWS(DGArchive[增减]),"",IF(INDEX(DGArchive[增减],849)="","",INDEX(DGArchive[增减],849)))</f>
        <v/>
      </c>
      <c r="CG1048" t="str">
        <f>IF(849&gt;ROWS(DGArchive[变更后]),"",IF(INDEX(DGArchive[变更后],849)="","",INDEX(DGArchive[变更后],849)))</f>
        <v/>
      </c>
      <c r="CH1048" t="str">
        <f>IF(849&gt;ROWS(DGArchive[事件／活动]),"",IF(INDEX(DGArchive[事件／活动],849)="","",INDEX(DGArchive[事件／活动],849)))</f>
        <v/>
      </c>
      <c r="CI1048" t="str">
        <f>IF(849&gt;ROWS(DGArchive[记录编号]),"",IF(INDEX(DGArchive[记录编号],849)="","",INDEX(DGArchive[记录编号],849)))</f>
        <v/>
      </c>
      <c r="CL1048">
        <f t="shared" si="404"/>
        <v>0</v>
      </c>
      <c r="CM1048">
        <f>IF(AND(A1048=$AO$5,B1048=$AQ$3,H1048=1),COUNTIFS($A$200:A1048,$AO$5,$B$200:B1048,$AQ$3,$H$200:H1048,1),0)</f>
        <v>0</v>
      </c>
      <c r="CN1048">
        <f>IF(CA1048="",849,1001)</f>
        <v>849</v>
      </c>
      <c r="GA1048">
        <f t="shared" si="424"/>
        <v>0</v>
      </c>
      <c r="GB1048">
        <f t="shared" si="425"/>
        <v>0</v>
      </c>
      <c r="GC1048">
        <f>IF(AND(C1048="事件记录",H1048=1),COUNTIFS($C$200:C1048,"事件记录",$H$200:H1048,1),0)</f>
        <v>0</v>
      </c>
      <c r="GD1048">
        <f t="shared" si="405"/>
        <v>0</v>
      </c>
      <c r="GH1048">
        <f>IF(AND(H1048=1,A1048=$GA$10,B1048=$GA$11),COUNTIFS($A$200:A1048,$GA$10,$B$200:B1048,$GA$11,$H$200:H1048,1),0)</f>
        <v>0</v>
      </c>
    </row>
    <row r="1049" spans="1:190">
      <c r="A1049" t="str">
        <f t="shared" si="396"/>
        <v/>
      </c>
      <c r="B1049" t="str">
        <f t="shared" si="397"/>
        <v/>
      </c>
      <c r="C1049" t="str">
        <f t="shared" si="398"/>
        <v/>
      </c>
      <c r="D1049" t="str">
        <f t="shared" si="399"/>
        <v/>
      </c>
      <c r="E1049">
        <f t="shared" si="400"/>
        <v>0</v>
      </c>
      <c r="F1049" t="str">
        <f t="shared" si="401"/>
        <v/>
      </c>
      <c r="G1049">
        <f t="shared" si="402"/>
        <v>0</v>
      </c>
      <c r="H1049">
        <f>IF(AND(G1049=1,COUNTIFS($I$200:I1049,I1049,$G$200:G1049,1)=1),1,0)</f>
        <v>0</v>
      </c>
      <c r="I1049" t="str">
        <f t="shared" si="403"/>
        <v/>
      </c>
      <c r="BF1049">
        <f t="shared" si="406"/>
        <v>0</v>
      </c>
      <c r="BG1049">
        <f t="shared" si="407"/>
        <v>0</v>
      </c>
      <c r="BH1049">
        <f t="shared" si="408"/>
        <v>0</v>
      </c>
      <c r="BI1049">
        <f t="shared" si="409"/>
        <v>0</v>
      </c>
      <c r="BJ1049">
        <f t="shared" si="410"/>
        <v>0</v>
      </c>
      <c r="BK1049">
        <f t="shared" si="411"/>
        <v>0</v>
      </c>
      <c r="BL1049">
        <f t="shared" si="412"/>
        <v>0</v>
      </c>
      <c r="BM1049">
        <f t="shared" si="413"/>
        <v>0</v>
      </c>
      <c r="BN1049">
        <f t="shared" si="414"/>
        <v>0</v>
      </c>
      <c r="BO1049">
        <f t="shared" si="415"/>
        <v>0</v>
      </c>
      <c r="BP1049">
        <f t="shared" si="416"/>
        <v>0</v>
      </c>
      <c r="BQ1049">
        <f t="shared" si="417"/>
        <v>0</v>
      </c>
      <c r="BR1049">
        <f t="shared" si="418"/>
        <v>0</v>
      </c>
      <c r="BS1049">
        <f t="shared" si="419"/>
        <v>0</v>
      </c>
      <c r="BT1049">
        <f t="shared" si="420"/>
        <v>0</v>
      </c>
      <c r="BU1049">
        <f t="shared" si="421"/>
        <v>0</v>
      </c>
      <c r="BV1049">
        <f t="shared" si="422"/>
        <v>0</v>
      </c>
      <c r="BW1049">
        <f t="shared" si="423"/>
        <v>0</v>
      </c>
      <c r="CA1049" t="str">
        <f>IF(850&gt;ROWS(DGArchive[模组]),"",IF(INDEX(DGArchive[模组],850)="","",INDEX(DGArchive[模组],850)))</f>
        <v/>
      </c>
      <c r="CB1049" t="str">
        <f>IF(850&gt;ROWS(DGArchive[阶段]),"",IF(INDEX(DGArchive[阶段],850)="","",INDEX(DGArchive[阶段],850)))</f>
        <v/>
      </c>
      <c r="CC1049" t="str">
        <f>IF(850&gt;ROWS(DGArchive[游戏内日期]),"",IF(INDEX(DGArchive[游戏内日期],850)="","",INDEX(DGArchive[游戏内日期],850)))</f>
        <v/>
      </c>
      <c r="CD1049" t="str">
        <f>IF(850&gt;ROWS(DGArchive[目标]),"",IF(INDEX(DGArchive[目标],850)="","",INDEX(DGArchive[目标],850)))</f>
        <v/>
      </c>
      <c r="CE1049" t="str">
        <f>IF(850&gt;ROWS(DGArchive[变更前]),"",IF(INDEX(DGArchive[变更前],850)="","",INDEX(DGArchive[变更前],850)))</f>
        <v/>
      </c>
      <c r="CF1049" t="str">
        <f>IF(850&gt;ROWS(DGArchive[增减]),"",IF(INDEX(DGArchive[增减],850)="","",INDEX(DGArchive[增减],850)))</f>
        <v/>
      </c>
      <c r="CG1049" t="str">
        <f>IF(850&gt;ROWS(DGArchive[变更后]),"",IF(INDEX(DGArchive[变更后],850)="","",INDEX(DGArchive[变更后],850)))</f>
        <v/>
      </c>
      <c r="CH1049" t="str">
        <f>IF(850&gt;ROWS(DGArchive[事件／活动]),"",IF(INDEX(DGArchive[事件／活动],850)="","",INDEX(DGArchive[事件／活动],850)))</f>
        <v/>
      </c>
      <c r="CI1049" t="str">
        <f>IF(850&gt;ROWS(DGArchive[记录编号]),"",IF(INDEX(DGArchive[记录编号],850)="","",INDEX(DGArchive[记录编号],850)))</f>
        <v/>
      </c>
      <c r="CL1049">
        <f t="shared" si="404"/>
        <v>0</v>
      </c>
      <c r="CM1049">
        <f>IF(AND(A1049=$AO$5,B1049=$AQ$3,H1049=1),COUNTIFS($A$200:A1049,$AO$5,$B$200:B1049,$AQ$3,$H$200:H1049,1),0)</f>
        <v>0</v>
      </c>
      <c r="CN1049">
        <f>IF(CA1049="",850,1001)</f>
        <v>850</v>
      </c>
      <c r="GA1049">
        <f t="shared" si="424"/>
        <v>0</v>
      </c>
      <c r="GB1049">
        <f t="shared" si="425"/>
        <v>0</v>
      </c>
      <c r="GC1049">
        <f>IF(AND(C1049="事件记录",H1049=1),COUNTIFS($C$200:C1049,"事件记录",$H$200:H1049,1),0)</f>
        <v>0</v>
      </c>
      <c r="GD1049">
        <f t="shared" si="405"/>
        <v>0</v>
      </c>
      <c r="GH1049">
        <f>IF(AND(H1049=1,A1049=$GA$10,B1049=$GA$11),COUNTIFS($A$200:A1049,$GA$10,$B$200:B1049,$GA$11,$H$200:H1049,1),0)</f>
        <v>0</v>
      </c>
    </row>
    <row r="1050" spans="1:190">
      <c r="A1050" t="str">
        <f t="shared" si="396"/>
        <v/>
      </c>
      <c r="B1050" t="str">
        <f t="shared" si="397"/>
        <v/>
      </c>
      <c r="C1050" t="str">
        <f t="shared" si="398"/>
        <v/>
      </c>
      <c r="D1050" t="str">
        <f t="shared" si="399"/>
        <v/>
      </c>
      <c r="E1050">
        <f t="shared" si="400"/>
        <v>0</v>
      </c>
      <c r="F1050" t="str">
        <f t="shared" si="401"/>
        <v/>
      </c>
      <c r="G1050">
        <f t="shared" si="402"/>
        <v>0</v>
      </c>
      <c r="H1050">
        <f>IF(AND(G1050=1,COUNTIFS($I$200:I1050,I1050,$G$200:G1050,1)=1),1,0)</f>
        <v>0</v>
      </c>
      <c r="I1050" t="str">
        <f t="shared" si="403"/>
        <v/>
      </c>
      <c r="BF1050">
        <f t="shared" si="406"/>
        <v>0</v>
      </c>
      <c r="BG1050">
        <f t="shared" si="407"/>
        <v>0</v>
      </c>
      <c r="BH1050">
        <f t="shared" si="408"/>
        <v>0</v>
      </c>
      <c r="BI1050">
        <f t="shared" si="409"/>
        <v>0</v>
      </c>
      <c r="BJ1050">
        <f t="shared" si="410"/>
        <v>0</v>
      </c>
      <c r="BK1050">
        <f t="shared" si="411"/>
        <v>0</v>
      </c>
      <c r="BL1050">
        <f t="shared" si="412"/>
        <v>0</v>
      </c>
      <c r="BM1050">
        <f t="shared" si="413"/>
        <v>0</v>
      </c>
      <c r="BN1050">
        <f t="shared" si="414"/>
        <v>0</v>
      </c>
      <c r="BO1050">
        <f t="shared" si="415"/>
        <v>0</v>
      </c>
      <c r="BP1050">
        <f t="shared" si="416"/>
        <v>0</v>
      </c>
      <c r="BQ1050">
        <f t="shared" si="417"/>
        <v>0</v>
      </c>
      <c r="BR1050">
        <f t="shared" si="418"/>
        <v>0</v>
      </c>
      <c r="BS1050">
        <f t="shared" si="419"/>
        <v>0</v>
      </c>
      <c r="BT1050">
        <f t="shared" si="420"/>
        <v>0</v>
      </c>
      <c r="BU1050">
        <f t="shared" si="421"/>
        <v>0</v>
      </c>
      <c r="BV1050">
        <f t="shared" si="422"/>
        <v>0</v>
      </c>
      <c r="BW1050">
        <f t="shared" si="423"/>
        <v>0</v>
      </c>
      <c r="CA1050" t="str">
        <f>IF(851&gt;ROWS(DGArchive[模组]),"",IF(INDEX(DGArchive[模组],851)="","",INDEX(DGArchive[模组],851)))</f>
        <v/>
      </c>
      <c r="CB1050" t="str">
        <f>IF(851&gt;ROWS(DGArchive[阶段]),"",IF(INDEX(DGArchive[阶段],851)="","",INDEX(DGArchive[阶段],851)))</f>
        <v/>
      </c>
      <c r="CC1050" t="str">
        <f>IF(851&gt;ROWS(DGArchive[游戏内日期]),"",IF(INDEX(DGArchive[游戏内日期],851)="","",INDEX(DGArchive[游戏内日期],851)))</f>
        <v/>
      </c>
      <c r="CD1050" t="str">
        <f>IF(851&gt;ROWS(DGArchive[目标]),"",IF(INDEX(DGArchive[目标],851)="","",INDEX(DGArchive[目标],851)))</f>
        <v/>
      </c>
      <c r="CE1050" t="str">
        <f>IF(851&gt;ROWS(DGArchive[变更前]),"",IF(INDEX(DGArchive[变更前],851)="","",INDEX(DGArchive[变更前],851)))</f>
        <v/>
      </c>
      <c r="CF1050" t="str">
        <f>IF(851&gt;ROWS(DGArchive[增减]),"",IF(INDEX(DGArchive[增减],851)="","",INDEX(DGArchive[增减],851)))</f>
        <v/>
      </c>
      <c r="CG1050" t="str">
        <f>IF(851&gt;ROWS(DGArchive[变更后]),"",IF(INDEX(DGArchive[变更后],851)="","",INDEX(DGArchive[变更后],851)))</f>
        <v/>
      </c>
      <c r="CH1050" t="str">
        <f>IF(851&gt;ROWS(DGArchive[事件／活动]),"",IF(INDEX(DGArchive[事件／活动],851)="","",INDEX(DGArchive[事件／活动],851)))</f>
        <v/>
      </c>
      <c r="CI1050" t="str">
        <f>IF(851&gt;ROWS(DGArchive[记录编号]),"",IF(INDEX(DGArchive[记录编号],851)="","",INDEX(DGArchive[记录编号],851)))</f>
        <v/>
      </c>
      <c r="CL1050">
        <f t="shared" si="404"/>
        <v>0</v>
      </c>
      <c r="CM1050">
        <f>IF(AND(A1050=$AO$5,B1050=$AQ$3,H1050=1),COUNTIFS($A$200:A1050,$AO$5,$B$200:B1050,$AQ$3,$H$200:H1050,1),0)</f>
        <v>0</v>
      </c>
      <c r="CN1050">
        <f>IF(CA1050="",851,1001)</f>
        <v>851</v>
      </c>
      <c r="GA1050">
        <f t="shared" si="424"/>
        <v>0</v>
      </c>
      <c r="GB1050">
        <f t="shared" si="425"/>
        <v>0</v>
      </c>
      <c r="GC1050">
        <f>IF(AND(C1050="事件记录",H1050=1),COUNTIFS($C$200:C1050,"事件记录",$H$200:H1050,1),0)</f>
        <v>0</v>
      </c>
      <c r="GD1050">
        <f t="shared" si="405"/>
        <v>0</v>
      </c>
      <c r="GH1050">
        <f>IF(AND(H1050=1,A1050=$GA$10,B1050=$GA$11),COUNTIFS($A$200:A1050,$GA$10,$B$200:B1050,$GA$11,$H$200:H1050,1),0)</f>
        <v>0</v>
      </c>
    </row>
    <row r="1051" spans="1:190">
      <c r="A1051" t="str">
        <f t="shared" si="396"/>
        <v/>
      </c>
      <c r="B1051" t="str">
        <f t="shared" si="397"/>
        <v/>
      </c>
      <c r="C1051" t="str">
        <f t="shared" si="398"/>
        <v/>
      </c>
      <c r="D1051" t="str">
        <f t="shared" si="399"/>
        <v/>
      </c>
      <c r="E1051">
        <f t="shared" si="400"/>
        <v>0</v>
      </c>
      <c r="F1051" t="str">
        <f t="shared" si="401"/>
        <v/>
      </c>
      <c r="G1051">
        <f t="shared" si="402"/>
        <v>0</v>
      </c>
      <c r="H1051">
        <f>IF(AND(G1051=1,COUNTIFS($I$200:I1051,I1051,$G$200:G1051,1)=1),1,0)</f>
        <v>0</v>
      </c>
      <c r="I1051" t="str">
        <f t="shared" si="403"/>
        <v/>
      </c>
      <c r="BF1051">
        <f t="shared" si="406"/>
        <v>0</v>
      </c>
      <c r="BG1051">
        <f t="shared" si="407"/>
        <v>0</v>
      </c>
      <c r="BH1051">
        <f t="shared" si="408"/>
        <v>0</v>
      </c>
      <c r="BI1051">
        <f t="shared" si="409"/>
        <v>0</v>
      </c>
      <c r="BJ1051">
        <f t="shared" si="410"/>
        <v>0</v>
      </c>
      <c r="BK1051">
        <f t="shared" si="411"/>
        <v>0</v>
      </c>
      <c r="BL1051">
        <f t="shared" si="412"/>
        <v>0</v>
      </c>
      <c r="BM1051">
        <f t="shared" si="413"/>
        <v>0</v>
      </c>
      <c r="BN1051">
        <f t="shared" si="414"/>
        <v>0</v>
      </c>
      <c r="BO1051">
        <f t="shared" si="415"/>
        <v>0</v>
      </c>
      <c r="BP1051">
        <f t="shared" si="416"/>
        <v>0</v>
      </c>
      <c r="BQ1051">
        <f t="shared" si="417"/>
        <v>0</v>
      </c>
      <c r="BR1051">
        <f t="shared" si="418"/>
        <v>0</v>
      </c>
      <c r="BS1051">
        <f t="shared" si="419"/>
        <v>0</v>
      </c>
      <c r="BT1051">
        <f t="shared" si="420"/>
        <v>0</v>
      </c>
      <c r="BU1051">
        <f t="shared" si="421"/>
        <v>0</v>
      </c>
      <c r="BV1051">
        <f t="shared" si="422"/>
        <v>0</v>
      </c>
      <c r="BW1051">
        <f t="shared" si="423"/>
        <v>0</v>
      </c>
      <c r="CA1051" t="str">
        <f>IF(852&gt;ROWS(DGArchive[模组]),"",IF(INDEX(DGArchive[模组],852)="","",INDEX(DGArchive[模组],852)))</f>
        <v/>
      </c>
      <c r="CB1051" t="str">
        <f>IF(852&gt;ROWS(DGArchive[阶段]),"",IF(INDEX(DGArchive[阶段],852)="","",INDEX(DGArchive[阶段],852)))</f>
        <v/>
      </c>
      <c r="CC1051" t="str">
        <f>IF(852&gt;ROWS(DGArchive[游戏内日期]),"",IF(INDEX(DGArchive[游戏内日期],852)="","",INDEX(DGArchive[游戏内日期],852)))</f>
        <v/>
      </c>
      <c r="CD1051" t="str">
        <f>IF(852&gt;ROWS(DGArchive[目标]),"",IF(INDEX(DGArchive[目标],852)="","",INDEX(DGArchive[目标],852)))</f>
        <v/>
      </c>
      <c r="CE1051" t="str">
        <f>IF(852&gt;ROWS(DGArchive[变更前]),"",IF(INDEX(DGArchive[变更前],852)="","",INDEX(DGArchive[变更前],852)))</f>
        <v/>
      </c>
      <c r="CF1051" t="str">
        <f>IF(852&gt;ROWS(DGArchive[增减]),"",IF(INDEX(DGArchive[增减],852)="","",INDEX(DGArchive[增减],852)))</f>
        <v/>
      </c>
      <c r="CG1051" t="str">
        <f>IF(852&gt;ROWS(DGArchive[变更后]),"",IF(INDEX(DGArchive[变更后],852)="","",INDEX(DGArchive[变更后],852)))</f>
        <v/>
      </c>
      <c r="CH1051" t="str">
        <f>IF(852&gt;ROWS(DGArchive[事件／活动]),"",IF(INDEX(DGArchive[事件／活动],852)="","",INDEX(DGArchive[事件／活动],852)))</f>
        <v/>
      </c>
      <c r="CI1051" t="str">
        <f>IF(852&gt;ROWS(DGArchive[记录编号]),"",IF(INDEX(DGArchive[记录编号],852)="","",INDEX(DGArchive[记录编号],852)))</f>
        <v/>
      </c>
      <c r="CL1051">
        <f t="shared" si="404"/>
        <v>0</v>
      </c>
      <c r="CM1051">
        <f>IF(AND(A1051=$AO$5,B1051=$AQ$3,H1051=1),COUNTIFS($A$200:A1051,$AO$5,$B$200:B1051,$AQ$3,$H$200:H1051,1),0)</f>
        <v>0</v>
      </c>
      <c r="CN1051">
        <f>IF(CA1051="",852,1001)</f>
        <v>852</v>
      </c>
      <c r="GA1051">
        <f t="shared" si="424"/>
        <v>0</v>
      </c>
      <c r="GB1051">
        <f t="shared" si="425"/>
        <v>0</v>
      </c>
      <c r="GC1051">
        <f>IF(AND(C1051="事件记录",H1051=1),COUNTIFS($C$200:C1051,"事件记录",$H$200:H1051,1),0)</f>
        <v>0</v>
      </c>
      <c r="GD1051">
        <f t="shared" si="405"/>
        <v>0</v>
      </c>
      <c r="GH1051">
        <f>IF(AND(H1051=1,A1051=$GA$10,B1051=$GA$11),COUNTIFS($A$200:A1051,$GA$10,$B$200:B1051,$GA$11,$H$200:H1051,1),0)</f>
        <v>0</v>
      </c>
    </row>
    <row r="1052" spans="1:190">
      <c r="A1052" t="str">
        <f t="shared" si="396"/>
        <v/>
      </c>
      <c r="B1052" t="str">
        <f t="shared" si="397"/>
        <v/>
      </c>
      <c r="C1052" t="str">
        <f t="shared" si="398"/>
        <v/>
      </c>
      <c r="D1052" t="str">
        <f t="shared" si="399"/>
        <v/>
      </c>
      <c r="E1052">
        <f t="shared" si="400"/>
        <v>0</v>
      </c>
      <c r="F1052" t="str">
        <f t="shared" si="401"/>
        <v/>
      </c>
      <c r="G1052">
        <f t="shared" si="402"/>
        <v>0</v>
      </c>
      <c r="H1052">
        <f>IF(AND(G1052=1,COUNTIFS($I$200:I1052,I1052,$G$200:G1052,1)=1),1,0)</f>
        <v>0</v>
      </c>
      <c r="I1052" t="str">
        <f t="shared" si="403"/>
        <v/>
      </c>
      <c r="BF1052">
        <f t="shared" si="406"/>
        <v>0</v>
      </c>
      <c r="BG1052">
        <f t="shared" si="407"/>
        <v>0</v>
      </c>
      <c r="BH1052">
        <f t="shared" si="408"/>
        <v>0</v>
      </c>
      <c r="BI1052">
        <f t="shared" si="409"/>
        <v>0</v>
      </c>
      <c r="BJ1052">
        <f t="shared" si="410"/>
        <v>0</v>
      </c>
      <c r="BK1052">
        <f t="shared" si="411"/>
        <v>0</v>
      </c>
      <c r="BL1052">
        <f t="shared" si="412"/>
        <v>0</v>
      </c>
      <c r="BM1052">
        <f t="shared" si="413"/>
        <v>0</v>
      </c>
      <c r="BN1052">
        <f t="shared" si="414"/>
        <v>0</v>
      </c>
      <c r="BO1052">
        <f t="shared" si="415"/>
        <v>0</v>
      </c>
      <c r="BP1052">
        <f t="shared" si="416"/>
        <v>0</v>
      </c>
      <c r="BQ1052">
        <f t="shared" si="417"/>
        <v>0</v>
      </c>
      <c r="BR1052">
        <f t="shared" si="418"/>
        <v>0</v>
      </c>
      <c r="BS1052">
        <f t="shared" si="419"/>
        <v>0</v>
      </c>
      <c r="BT1052">
        <f t="shared" si="420"/>
        <v>0</v>
      </c>
      <c r="BU1052">
        <f t="shared" si="421"/>
        <v>0</v>
      </c>
      <c r="BV1052">
        <f t="shared" si="422"/>
        <v>0</v>
      </c>
      <c r="BW1052">
        <f t="shared" si="423"/>
        <v>0</v>
      </c>
      <c r="CA1052" t="str">
        <f>IF(853&gt;ROWS(DGArchive[模组]),"",IF(INDEX(DGArchive[模组],853)="","",INDEX(DGArchive[模组],853)))</f>
        <v/>
      </c>
      <c r="CB1052" t="str">
        <f>IF(853&gt;ROWS(DGArchive[阶段]),"",IF(INDEX(DGArchive[阶段],853)="","",INDEX(DGArchive[阶段],853)))</f>
        <v/>
      </c>
      <c r="CC1052" t="str">
        <f>IF(853&gt;ROWS(DGArchive[游戏内日期]),"",IF(INDEX(DGArchive[游戏内日期],853)="","",INDEX(DGArchive[游戏内日期],853)))</f>
        <v/>
      </c>
      <c r="CD1052" t="str">
        <f>IF(853&gt;ROWS(DGArchive[目标]),"",IF(INDEX(DGArchive[目标],853)="","",INDEX(DGArchive[目标],853)))</f>
        <v/>
      </c>
      <c r="CE1052" t="str">
        <f>IF(853&gt;ROWS(DGArchive[变更前]),"",IF(INDEX(DGArchive[变更前],853)="","",INDEX(DGArchive[变更前],853)))</f>
        <v/>
      </c>
      <c r="CF1052" t="str">
        <f>IF(853&gt;ROWS(DGArchive[增减]),"",IF(INDEX(DGArchive[增减],853)="","",INDEX(DGArchive[增减],853)))</f>
        <v/>
      </c>
      <c r="CG1052" t="str">
        <f>IF(853&gt;ROWS(DGArchive[变更后]),"",IF(INDEX(DGArchive[变更后],853)="","",INDEX(DGArchive[变更后],853)))</f>
        <v/>
      </c>
      <c r="CH1052" t="str">
        <f>IF(853&gt;ROWS(DGArchive[事件／活动]),"",IF(INDEX(DGArchive[事件／活动],853)="","",INDEX(DGArchive[事件／活动],853)))</f>
        <v/>
      </c>
      <c r="CI1052" t="str">
        <f>IF(853&gt;ROWS(DGArchive[记录编号]),"",IF(INDEX(DGArchive[记录编号],853)="","",INDEX(DGArchive[记录编号],853)))</f>
        <v/>
      </c>
      <c r="CL1052">
        <f t="shared" si="404"/>
        <v>0</v>
      </c>
      <c r="CM1052">
        <f>IF(AND(A1052=$AO$5,B1052=$AQ$3,H1052=1),COUNTIFS($A$200:A1052,$AO$5,$B$200:B1052,$AQ$3,$H$200:H1052,1),0)</f>
        <v>0</v>
      </c>
      <c r="CN1052">
        <f>IF(CA1052="",853,1001)</f>
        <v>853</v>
      </c>
      <c r="GA1052">
        <f t="shared" si="424"/>
        <v>0</v>
      </c>
      <c r="GB1052">
        <f t="shared" si="425"/>
        <v>0</v>
      </c>
      <c r="GC1052">
        <f>IF(AND(C1052="事件记录",H1052=1),COUNTIFS($C$200:C1052,"事件记录",$H$200:H1052,1),0)</f>
        <v>0</v>
      </c>
      <c r="GD1052">
        <f t="shared" si="405"/>
        <v>0</v>
      </c>
      <c r="GH1052">
        <f>IF(AND(H1052=1,A1052=$GA$10,B1052=$GA$11),COUNTIFS($A$200:A1052,$GA$10,$B$200:B1052,$GA$11,$H$200:H1052,1),0)</f>
        <v>0</v>
      </c>
    </row>
    <row r="1053" spans="1:190">
      <c r="A1053" t="str">
        <f t="shared" si="396"/>
        <v/>
      </c>
      <c r="B1053" t="str">
        <f t="shared" si="397"/>
        <v/>
      </c>
      <c r="C1053" t="str">
        <f t="shared" si="398"/>
        <v/>
      </c>
      <c r="D1053" t="str">
        <f t="shared" si="399"/>
        <v/>
      </c>
      <c r="E1053">
        <f t="shared" si="400"/>
        <v>0</v>
      </c>
      <c r="F1053" t="str">
        <f t="shared" si="401"/>
        <v/>
      </c>
      <c r="G1053">
        <f t="shared" si="402"/>
        <v>0</v>
      </c>
      <c r="H1053">
        <f>IF(AND(G1053=1,COUNTIFS($I$200:I1053,I1053,$G$200:G1053,1)=1),1,0)</f>
        <v>0</v>
      </c>
      <c r="I1053" t="str">
        <f t="shared" si="403"/>
        <v/>
      </c>
      <c r="BF1053">
        <f t="shared" si="406"/>
        <v>0</v>
      </c>
      <c r="BG1053">
        <f t="shared" si="407"/>
        <v>0</v>
      </c>
      <c r="BH1053">
        <f t="shared" si="408"/>
        <v>0</v>
      </c>
      <c r="BI1053">
        <f t="shared" si="409"/>
        <v>0</v>
      </c>
      <c r="BJ1053">
        <f t="shared" si="410"/>
        <v>0</v>
      </c>
      <c r="BK1053">
        <f t="shared" si="411"/>
        <v>0</v>
      </c>
      <c r="BL1053">
        <f t="shared" si="412"/>
        <v>0</v>
      </c>
      <c r="BM1053">
        <f t="shared" si="413"/>
        <v>0</v>
      </c>
      <c r="BN1053">
        <f t="shared" si="414"/>
        <v>0</v>
      </c>
      <c r="BO1053">
        <f t="shared" si="415"/>
        <v>0</v>
      </c>
      <c r="BP1053">
        <f t="shared" si="416"/>
        <v>0</v>
      </c>
      <c r="BQ1053">
        <f t="shared" si="417"/>
        <v>0</v>
      </c>
      <c r="BR1053">
        <f t="shared" si="418"/>
        <v>0</v>
      </c>
      <c r="BS1053">
        <f t="shared" si="419"/>
        <v>0</v>
      </c>
      <c r="BT1053">
        <f t="shared" si="420"/>
        <v>0</v>
      </c>
      <c r="BU1053">
        <f t="shared" si="421"/>
        <v>0</v>
      </c>
      <c r="BV1053">
        <f t="shared" si="422"/>
        <v>0</v>
      </c>
      <c r="BW1053">
        <f t="shared" si="423"/>
        <v>0</v>
      </c>
      <c r="CA1053" t="str">
        <f>IF(854&gt;ROWS(DGArchive[模组]),"",IF(INDEX(DGArchive[模组],854)="","",INDEX(DGArchive[模组],854)))</f>
        <v/>
      </c>
      <c r="CB1053" t="str">
        <f>IF(854&gt;ROWS(DGArchive[阶段]),"",IF(INDEX(DGArchive[阶段],854)="","",INDEX(DGArchive[阶段],854)))</f>
        <v/>
      </c>
      <c r="CC1053" t="str">
        <f>IF(854&gt;ROWS(DGArchive[游戏内日期]),"",IF(INDEX(DGArchive[游戏内日期],854)="","",INDEX(DGArchive[游戏内日期],854)))</f>
        <v/>
      </c>
      <c r="CD1053" t="str">
        <f>IF(854&gt;ROWS(DGArchive[目标]),"",IF(INDEX(DGArchive[目标],854)="","",INDEX(DGArchive[目标],854)))</f>
        <v/>
      </c>
      <c r="CE1053" t="str">
        <f>IF(854&gt;ROWS(DGArchive[变更前]),"",IF(INDEX(DGArchive[变更前],854)="","",INDEX(DGArchive[变更前],854)))</f>
        <v/>
      </c>
      <c r="CF1053" t="str">
        <f>IF(854&gt;ROWS(DGArchive[增减]),"",IF(INDEX(DGArchive[增减],854)="","",INDEX(DGArchive[增减],854)))</f>
        <v/>
      </c>
      <c r="CG1053" t="str">
        <f>IF(854&gt;ROWS(DGArchive[变更后]),"",IF(INDEX(DGArchive[变更后],854)="","",INDEX(DGArchive[变更后],854)))</f>
        <v/>
      </c>
      <c r="CH1053" t="str">
        <f>IF(854&gt;ROWS(DGArchive[事件／活动]),"",IF(INDEX(DGArchive[事件／活动],854)="","",INDEX(DGArchive[事件／活动],854)))</f>
        <v/>
      </c>
      <c r="CI1053" t="str">
        <f>IF(854&gt;ROWS(DGArchive[记录编号]),"",IF(INDEX(DGArchive[记录编号],854)="","",INDEX(DGArchive[记录编号],854)))</f>
        <v/>
      </c>
      <c r="CL1053">
        <f t="shared" si="404"/>
        <v>0</v>
      </c>
      <c r="CM1053">
        <f>IF(AND(A1053=$AO$5,B1053=$AQ$3,H1053=1),COUNTIFS($A$200:A1053,$AO$5,$B$200:B1053,$AQ$3,$H$200:H1053,1),0)</f>
        <v>0</v>
      </c>
      <c r="CN1053">
        <f>IF(CA1053="",854,1001)</f>
        <v>854</v>
      </c>
      <c r="GA1053">
        <f t="shared" si="424"/>
        <v>0</v>
      </c>
      <c r="GB1053">
        <f t="shared" si="425"/>
        <v>0</v>
      </c>
      <c r="GC1053">
        <f>IF(AND(C1053="事件记录",H1053=1),COUNTIFS($C$200:C1053,"事件记录",$H$200:H1053,1),0)</f>
        <v>0</v>
      </c>
      <c r="GD1053">
        <f t="shared" si="405"/>
        <v>0</v>
      </c>
      <c r="GH1053">
        <f>IF(AND(H1053=1,A1053=$GA$10,B1053=$GA$11),COUNTIFS($A$200:A1053,$GA$10,$B$200:B1053,$GA$11,$H$200:H1053,1),0)</f>
        <v>0</v>
      </c>
    </row>
    <row r="1054" spans="1:190">
      <c r="A1054" t="str">
        <f t="shared" si="396"/>
        <v/>
      </c>
      <c r="B1054" t="str">
        <f t="shared" si="397"/>
        <v/>
      </c>
      <c r="C1054" t="str">
        <f t="shared" si="398"/>
        <v/>
      </c>
      <c r="D1054" t="str">
        <f t="shared" si="399"/>
        <v/>
      </c>
      <c r="E1054">
        <f t="shared" si="400"/>
        <v>0</v>
      </c>
      <c r="F1054" t="str">
        <f t="shared" si="401"/>
        <v/>
      </c>
      <c r="G1054">
        <f t="shared" si="402"/>
        <v>0</v>
      </c>
      <c r="H1054">
        <f>IF(AND(G1054=1,COUNTIFS($I$200:I1054,I1054,$G$200:G1054,1)=1),1,0)</f>
        <v>0</v>
      </c>
      <c r="I1054" t="str">
        <f t="shared" si="403"/>
        <v/>
      </c>
      <c r="BF1054">
        <f t="shared" si="406"/>
        <v>0</v>
      </c>
      <c r="BG1054">
        <f t="shared" si="407"/>
        <v>0</v>
      </c>
      <c r="BH1054">
        <f t="shared" si="408"/>
        <v>0</v>
      </c>
      <c r="BI1054">
        <f t="shared" si="409"/>
        <v>0</v>
      </c>
      <c r="BJ1054">
        <f t="shared" si="410"/>
        <v>0</v>
      </c>
      <c r="BK1054">
        <f t="shared" si="411"/>
        <v>0</v>
      </c>
      <c r="BL1054">
        <f t="shared" si="412"/>
        <v>0</v>
      </c>
      <c r="BM1054">
        <f t="shared" si="413"/>
        <v>0</v>
      </c>
      <c r="BN1054">
        <f t="shared" si="414"/>
        <v>0</v>
      </c>
      <c r="BO1054">
        <f t="shared" si="415"/>
        <v>0</v>
      </c>
      <c r="BP1054">
        <f t="shared" si="416"/>
        <v>0</v>
      </c>
      <c r="BQ1054">
        <f t="shared" si="417"/>
        <v>0</v>
      </c>
      <c r="BR1054">
        <f t="shared" si="418"/>
        <v>0</v>
      </c>
      <c r="BS1054">
        <f t="shared" si="419"/>
        <v>0</v>
      </c>
      <c r="BT1054">
        <f t="shared" si="420"/>
        <v>0</v>
      </c>
      <c r="BU1054">
        <f t="shared" si="421"/>
        <v>0</v>
      </c>
      <c r="BV1054">
        <f t="shared" si="422"/>
        <v>0</v>
      </c>
      <c r="BW1054">
        <f t="shared" si="423"/>
        <v>0</v>
      </c>
      <c r="CA1054" t="str">
        <f>IF(855&gt;ROWS(DGArchive[模组]),"",IF(INDEX(DGArchive[模组],855)="","",INDEX(DGArchive[模组],855)))</f>
        <v/>
      </c>
      <c r="CB1054" t="str">
        <f>IF(855&gt;ROWS(DGArchive[阶段]),"",IF(INDEX(DGArchive[阶段],855)="","",INDEX(DGArchive[阶段],855)))</f>
        <v/>
      </c>
      <c r="CC1054" t="str">
        <f>IF(855&gt;ROWS(DGArchive[游戏内日期]),"",IF(INDEX(DGArchive[游戏内日期],855)="","",INDEX(DGArchive[游戏内日期],855)))</f>
        <v/>
      </c>
      <c r="CD1054" t="str">
        <f>IF(855&gt;ROWS(DGArchive[目标]),"",IF(INDEX(DGArchive[目标],855)="","",INDEX(DGArchive[目标],855)))</f>
        <v/>
      </c>
      <c r="CE1054" t="str">
        <f>IF(855&gt;ROWS(DGArchive[变更前]),"",IF(INDEX(DGArchive[变更前],855)="","",INDEX(DGArchive[变更前],855)))</f>
        <v/>
      </c>
      <c r="CF1054" t="str">
        <f>IF(855&gt;ROWS(DGArchive[增减]),"",IF(INDEX(DGArchive[增减],855)="","",INDEX(DGArchive[增减],855)))</f>
        <v/>
      </c>
      <c r="CG1054" t="str">
        <f>IF(855&gt;ROWS(DGArchive[变更后]),"",IF(INDEX(DGArchive[变更后],855)="","",INDEX(DGArchive[变更后],855)))</f>
        <v/>
      </c>
      <c r="CH1054" t="str">
        <f>IF(855&gt;ROWS(DGArchive[事件／活动]),"",IF(INDEX(DGArchive[事件／活动],855)="","",INDEX(DGArchive[事件／活动],855)))</f>
        <v/>
      </c>
      <c r="CI1054" t="str">
        <f>IF(855&gt;ROWS(DGArchive[记录编号]),"",IF(INDEX(DGArchive[记录编号],855)="","",INDEX(DGArchive[记录编号],855)))</f>
        <v/>
      </c>
      <c r="CL1054">
        <f t="shared" si="404"/>
        <v>0</v>
      </c>
      <c r="CM1054">
        <f>IF(AND(A1054=$AO$5,B1054=$AQ$3,H1054=1),COUNTIFS($A$200:A1054,$AO$5,$B$200:B1054,$AQ$3,$H$200:H1054,1),0)</f>
        <v>0</v>
      </c>
      <c r="CN1054">
        <f>IF(CA1054="",855,1001)</f>
        <v>855</v>
      </c>
      <c r="GA1054">
        <f t="shared" si="424"/>
        <v>0</v>
      </c>
      <c r="GB1054">
        <f t="shared" si="425"/>
        <v>0</v>
      </c>
      <c r="GC1054">
        <f>IF(AND(C1054="事件记录",H1054=1),COUNTIFS($C$200:C1054,"事件记录",$H$200:H1054,1),0)</f>
        <v>0</v>
      </c>
      <c r="GD1054">
        <f t="shared" si="405"/>
        <v>0</v>
      </c>
      <c r="GH1054">
        <f>IF(AND(H1054=1,A1054=$GA$10,B1054=$GA$11),COUNTIFS($A$200:A1054,$GA$10,$B$200:B1054,$GA$11,$H$200:H1054,1),0)</f>
        <v>0</v>
      </c>
    </row>
    <row r="1055" spans="1:190">
      <c r="A1055" t="str">
        <f t="shared" si="396"/>
        <v/>
      </c>
      <c r="B1055" t="str">
        <f t="shared" si="397"/>
        <v/>
      </c>
      <c r="C1055" t="str">
        <f t="shared" si="398"/>
        <v/>
      </c>
      <c r="D1055" t="str">
        <f t="shared" si="399"/>
        <v/>
      </c>
      <c r="E1055">
        <f t="shared" si="400"/>
        <v>0</v>
      </c>
      <c r="F1055" t="str">
        <f t="shared" si="401"/>
        <v/>
      </c>
      <c r="G1055">
        <f t="shared" si="402"/>
        <v>0</v>
      </c>
      <c r="H1055">
        <f>IF(AND(G1055=1,COUNTIFS($I$200:I1055,I1055,$G$200:G1055,1)=1),1,0)</f>
        <v>0</v>
      </c>
      <c r="I1055" t="str">
        <f t="shared" si="403"/>
        <v/>
      </c>
      <c r="BF1055">
        <f t="shared" si="406"/>
        <v>0</v>
      </c>
      <c r="BG1055">
        <f t="shared" si="407"/>
        <v>0</v>
      </c>
      <c r="BH1055">
        <f t="shared" si="408"/>
        <v>0</v>
      </c>
      <c r="BI1055">
        <f t="shared" si="409"/>
        <v>0</v>
      </c>
      <c r="BJ1055">
        <f t="shared" si="410"/>
        <v>0</v>
      </c>
      <c r="BK1055">
        <f t="shared" si="411"/>
        <v>0</v>
      </c>
      <c r="BL1055">
        <f t="shared" si="412"/>
        <v>0</v>
      </c>
      <c r="BM1055">
        <f t="shared" si="413"/>
        <v>0</v>
      </c>
      <c r="BN1055">
        <f t="shared" si="414"/>
        <v>0</v>
      </c>
      <c r="BO1055">
        <f t="shared" si="415"/>
        <v>0</v>
      </c>
      <c r="BP1055">
        <f t="shared" si="416"/>
        <v>0</v>
      </c>
      <c r="BQ1055">
        <f t="shared" si="417"/>
        <v>0</v>
      </c>
      <c r="BR1055">
        <f t="shared" si="418"/>
        <v>0</v>
      </c>
      <c r="BS1055">
        <f t="shared" si="419"/>
        <v>0</v>
      </c>
      <c r="BT1055">
        <f t="shared" si="420"/>
        <v>0</v>
      </c>
      <c r="BU1055">
        <f t="shared" si="421"/>
        <v>0</v>
      </c>
      <c r="BV1055">
        <f t="shared" si="422"/>
        <v>0</v>
      </c>
      <c r="BW1055">
        <f t="shared" si="423"/>
        <v>0</v>
      </c>
      <c r="CA1055" t="str">
        <f>IF(856&gt;ROWS(DGArchive[模组]),"",IF(INDEX(DGArchive[模组],856)="","",INDEX(DGArchive[模组],856)))</f>
        <v/>
      </c>
      <c r="CB1055" t="str">
        <f>IF(856&gt;ROWS(DGArchive[阶段]),"",IF(INDEX(DGArchive[阶段],856)="","",INDEX(DGArchive[阶段],856)))</f>
        <v/>
      </c>
      <c r="CC1055" t="str">
        <f>IF(856&gt;ROWS(DGArchive[游戏内日期]),"",IF(INDEX(DGArchive[游戏内日期],856)="","",INDEX(DGArchive[游戏内日期],856)))</f>
        <v/>
      </c>
      <c r="CD1055" t="str">
        <f>IF(856&gt;ROWS(DGArchive[目标]),"",IF(INDEX(DGArchive[目标],856)="","",INDEX(DGArchive[目标],856)))</f>
        <v/>
      </c>
      <c r="CE1055" t="str">
        <f>IF(856&gt;ROWS(DGArchive[变更前]),"",IF(INDEX(DGArchive[变更前],856)="","",INDEX(DGArchive[变更前],856)))</f>
        <v/>
      </c>
      <c r="CF1055" t="str">
        <f>IF(856&gt;ROWS(DGArchive[增减]),"",IF(INDEX(DGArchive[增减],856)="","",INDEX(DGArchive[增减],856)))</f>
        <v/>
      </c>
      <c r="CG1055" t="str">
        <f>IF(856&gt;ROWS(DGArchive[变更后]),"",IF(INDEX(DGArchive[变更后],856)="","",INDEX(DGArchive[变更后],856)))</f>
        <v/>
      </c>
      <c r="CH1055" t="str">
        <f>IF(856&gt;ROWS(DGArchive[事件／活动]),"",IF(INDEX(DGArchive[事件／活动],856)="","",INDEX(DGArchive[事件／活动],856)))</f>
        <v/>
      </c>
      <c r="CI1055" t="str">
        <f>IF(856&gt;ROWS(DGArchive[记录编号]),"",IF(INDEX(DGArchive[记录编号],856)="","",INDEX(DGArchive[记录编号],856)))</f>
        <v/>
      </c>
      <c r="CL1055">
        <f t="shared" si="404"/>
        <v>0</v>
      </c>
      <c r="CM1055">
        <f>IF(AND(A1055=$AO$5,B1055=$AQ$3,H1055=1),COUNTIFS($A$200:A1055,$AO$5,$B$200:B1055,$AQ$3,$H$200:H1055,1),0)</f>
        <v>0</v>
      </c>
      <c r="CN1055">
        <f>IF(CA1055="",856,1001)</f>
        <v>856</v>
      </c>
      <c r="GA1055">
        <f t="shared" si="424"/>
        <v>0</v>
      </c>
      <c r="GB1055">
        <f t="shared" si="425"/>
        <v>0</v>
      </c>
      <c r="GC1055">
        <f>IF(AND(C1055="事件记录",H1055=1),COUNTIFS($C$200:C1055,"事件记录",$H$200:H1055,1),0)</f>
        <v>0</v>
      </c>
      <c r="GD1055">
        <f t="shared" si="405"/>
        <v>0</v>
      </c>
      <c r="GH1055">
        <f>IF(AND(H1055=1,A1055=$GA$10,B1055=$GA$11),COUNTIFS($A$200:A1055,$GA$10,$B$200:B1055,$GA$11,$H$200:H1055,1),0)</f>
        <v>0</v>
      </c>
    </row>
    <row r="1056" spans="1:190">
      <c r="A1056" t="str">
        <f t="shared" si="396"/>
        <v/>
      </c>
      <c r="B1056" t="str">
        <f t="shared" si="397"/>
        <v/>
      </c>
      <c r="C1056" t="str">
        <f t="shared" si="398"/>
        <v/>
      </c>
      <c r="D1056" t="str">
        <f t="shared" si="399"/>
        <v/>
      </c>
      <c r="E1056">
        <f t="shared" si="400"/>
        <v>0</v>
      </c>
      <c r="F1056" t="str">
        <f t="shared" si="401"/>
        <v/>
      </c>
      <c r="G1056">
        <f t="shared" si="402"/>
        <v>0</v>
      </c>
      <c r="H1056">
        <f>IF(AND(G1056=1,COUNTIFS($I$200:I1056,I1056,$G$200:G1056,1)=1),1,0)</f>
        <v>0</v>
      </c>
      <c r="I1056" t="str">
        <f t="shared" si="403"/>
        <v/>
      </c>
      <c r="BF1056">
        <f t="shared" si="406"/>
        <v>0</v>
      </c>
      <c r="BG1056">
        <f t="shared" si="407"/>
        <v>0</v>
      </c>
      <c r="BH1056">
        <f t="shared" si="408"/>
        <v>0</v>
      </c>
      <c r="BI1056">
        <f t="shared" si="409"/>
        <v>0</v>
      </c>
      <c r="BJ1056">
        <f t="shared" si="410"/>
        <v>0</v>
      </c>
      <c r="BK1056">
        <f t="shared" si="411"/>
        <v>0</v>
      </c>
      <c r="BL1056">
        <f t="shared" si="412"/>
        <v>0</v>
      </c>
      <c r="BM1056">
        <f t="shared" si="413"/>
        <v>0</v>
      </c>
      <c r="BN1056">
        <f t="shared" si="414"/>
        <v>0</v>
      </c>
      <c r="BO1056">
        <f t="shared" si="415"/>
        <v>0</v>
      </c>
      <c r="BP1056">
        <f t="shared" si="416"/>
        <v>0</v>
      </c>
      <c r="BQ1056">
        <f t="shared" si="417"/>
        <v>0</v>
      </c>
      <c r="BR1056">
        <f t="shared" si="418"/>
        <v>0</v>
      </c>
      <c r="BS1056">
        <f t="shared" si="419"/>
        <v>0</v>
      </c>
      <c r="BT1056">
        <f t="shared" si="420"/>
        <v>0</v>
      </c>
      <c r="BU1056">
        <f t="shared" si="421"/>
        <v>0</v>
      </c>
      <c r="BV1056">
        <f t="shared" si="422"/>
        <v>0</v>
      </c>
      <c r="BW1056">
        <f t="shared" si="423"/>
        <v>0</v>
      </c>
      <c r="CA1056" t="str">
        <f>IF(857&gt;ROWS(DGArchive[模组]),"",IF(INDEX(DGArchive[模组],857)="","",INDEX(DGArchive[模组],857)))</f>
        <v/>
      </c>
      <c r="CB1056" t="str">
        <f>IF(857&gt;ROWS(DGArchive[阶段]),"",IF(INDEX(DGArchive[阶段],857)="","",INDEX(DGArchive[阶段],857)))</f>
        <v/>
      </c>
      <c r="CC1056" t="str">
        <f>IF(857&gt;ROWS(DGArchive[游戏内日期]),"",IF(INDEX(DGArchive[游戏内日期],857)="","",INDEX(DGArchive[游戏内日期],857)))</f>
        <v/>
      </c>
      <c r="CD1056" t="str">
        <f>IF(857&gt;ROWS(DGArchive[目标]),"",IF(INDEX(DGArchive[目标],857)="","",INDEX(DGArchive[目标],857)))</f>
        <v/>
      </c>
      <c r="CE1056" t="str">
        <f>IF(857&gt;ROWS(DGArchive[变更前]),"",IF(INDEX(DGArchive[变更前],857)="","",INDEX(DGArchive[变更前],857)))</f>
        <v/>
      </c>
      <c r="CF1056" t="str">
        <f>IF(857&gt;ROWS(DGArchive[增减]),"",IF(INDEX(DGArchive[增减],857)="","",INDEX(DGArchive[增减],857)))</f>
        <v/>
      </c>
      <c r="CG1056" t="str">
        <f>IF(857&gt;ROWS(DGArchive[变更后]),"",IF(INDEX(DGArchive[变更后],857)="","",INDEX(DGArchive[变更后],857)))</f>
        <v/>
      </c>
      <c r="CH1056" t="str">
        <f>IF(857&gt;ROWS(DGArchive[事件／活动]),"",IF(INDEX(DGArchive[事件／活动],857)="","",INDEX(DGArchive[事件／活动],857)))</f>
        <v/>
      </c>
      <c r="CI1056" t="str">
        <f>IF(857&gt;ROWS(DGArchive[记录编号]),"",IF(INDEX(DGArchive[记录编号],857)="","",INDEX(DGArchive[记录编号],857)))</f>
        <v/>
      </c>
      <c r="CL1056">
        <f t="shared" si="404"/>
        <v>0</v>
      </c>
      <c r="CM1056">
        <f>IF(AND(A1056=$AO$5,B1056=$AQ$3,H1056=1),COUNTIFS($A$200:A1056,$AO$5,$B$200:B1056,$AQ$3,$H$200:H1056,1),0)</f>
        <v>0</v>
      </c>
      <c r="CN1056">
        <f>IF(CA1056="",857,1001)</f>
        <v>857</v>
      </c>
      <c r="GA1056">
        <f t="shared" si="424"/>
        <v>0</v>
      </c>
      <c r="GB1056">
        <f t="shared" si="425"/>
        <v>0</v>
      </c>
      <c r="GC1056">
        <f>IF(AND(C1056="事件记录",H1056=1),COUNTIFS($C$200:C1056,"事件记录",$H$200:H1056,1),0)</f>
        <v>0</v>
      </c>
      <c r="GD1056">
        <f t="shared" si="405"/>
        <v>0</v>
      </c>
      <c r="GH1056">
        <f>IF(AND(H1056=1,A1056=$GA$10,B1056=$GA$11),COUNTIFS($A$200:A1056,$GA$10,$B$200:B1056,$GA$11,$H$200:H1056,1),0)</f>
        <v>0</v>
      </c>
    </row>
    <row r="1057" spans="1:190">
      <c r="A1057" t="str">
        <f t="shared" si="396"/>
        <v/>
      </c>
      <c r="B1057" t="str">
        <f t="shared" si="397"/>
        <v/>
      </c>
      <c r="C1057" t="str">
        <f t="shared" si="398"/>
        <v/>
      </c>
      <c r="D1057" t="str">
        <f t="shared" si="399"/>
        <v/>
      </c>
      <c r="E1057">
        <f t="shared" si="400"/>
        <v>0</v>
      </c>
      <c r="F1057" t="str">
        <f t="shared" si="401"/>
        <v/>
      </c>
      <c r="G1057">
        <f t="shared" si="402"/>
        <v>0</v>
      </c>
      <c r="H1057">
        <f>IF(AND(G1057=1,COUNTIFS($I$200:I1057,I1057,$G$200:G1057,1)=1),1,0)</f>
        <v>0</v>
      </c>
      <c r="I1057" t="str">
        <f t="shared" si="403"/>
        <v/>
      </c>
      <c r="BF1057">
        <f t="shared" si="406"/>
        <v>0</v>
      </c>
      <c r="BG1057">
        <f t="shared" si="407"/>
        <v>0</v>
      </c>
      <c r="BH1057">
        <f t="shared" si="408"/>
        <v>0</v>
      </c>
      <c r="BI1057">
        <f t="shared" si="409"/>
        <v>0</v>
      </c>
      <c r="BJ1057">
        <f t="shared" si="410"/>
        <v>0</v>
      </c>
      <c r="BK1057">
        <f t="shared" si="411"/>
        <v>0</v>
      </c>
      <c r="BL1057">
        <f t="shared" si="412"/>
        <v>0</v>
      </c>
      <c r="BM1057">
        <f t="shared" si="413"/>
        <v>0</v>
      </c>
      <c r="BN1057">
        <f t="shared" si="414"/>
        <v>0</v>
      </c>
      <c r="BO1057">
        <f t="shared" si="415"/>
        <v>0</v>
      </c>
      <c r="BP1057">
        <f t="shared" si="416"/>
        <v>0</v>
      </c>
      <c r="BQ1057">
        <f t="shared" si="417"/>
        <v>0</v>
      </c>
      <c r="BR1057">
        <f t="shared" si="418"/>
        <v>0</v>
      </c>
      <c r="BS1057">
        <f t="shared" si="419"/>
        <v>0</v>
      </c>
      <c r="BT1057">
        <f t="shared" si="420"/>
        <v>0</v>
      </c>
      <c r="BU1057">
        <f t="shared" si="421"/>
        <v>0</v>
      </c>
      <c r="BV1057">
        <f t="shared" si="422"/>
        <v>0</v>
      </c>
      <c r="BW1057">
        <f t="shared" si="423"/>
        <v>0</v>
      </c>
      <c r="CA1057" t="str">
        <f>IF(858&gt;ROWS(DGArchive[模组]),"",IF(INDEX(DGArchive[模组],858)="","",INDEX(DGArchive[模组],858)))</f>
        <v/>
      </c>
      <c r="CB1057" t="str">
        <f>IF(858&gt;ROWS(DGArchive[阶段]),"",IF(INDEX(DGArchive[阶段],858)="","",INDEX(DGArchive[阶段],858)))</f>
        <v/>
      </c>
      <c r="CC1057" t="str">
        <f>IF(858&gt;ROWS(DGArchive[游戏内日期]),"",IF(INDEX(DGArchive[游戏内日期],858)="","",INDEX(DGArchive[游戏内日期],858)))</f>
        <v/>
      </c>
      <c r="CD1057" t="str">
        <f>IF(858&gt;ROWS(DGArchive[目标]),"",IF(INDEX(DGArchive[目标],858)="","",INDEX(DGArchive[目标],858)))</f>
        <v/>
      </c>
      <c r="CE1057" t="str">
        <f>IF(858&gt;ROWS(DGArchive[变更前]),"",IF(INDEX(DGArchive[变更前],858)="","",INDEX(DGArchive[变更前],858)))</f>
        <v/>
      </c>
      <c r="CF1057" t="str">
        <f>IF(858&gt;ROWS(DGArchive[增减]),"",IF(INDEX(DGArchive[增减],858)="","",INDEX(DGArchive[增减],858)))</f>
        <v/>
      </c>
      <c r="CG1057" t="str">
        <f>IF(858&gt;ROWS(DGArchive[变更后]),"",IF(INDEX(DGArchive[变更后],858)="","",INDEX(DGArchive[变更后],858)))</f>
        <v/>
      </c>
      <c r="CH1057" t="str">
        <f>IF(858&gt;ROWS(DGArchive[事件／活动]),"",IF(INDEX(DGArchive[事件／活动],858)="","",INDEX(DGArchive[事件／活动],858)))</f>
        <v/>
      </c>
      <c r="CI1057" t="str">
        <f>IF(858&gt;ROWS(DGArchive[记录编号]),"",IF(INDEX(DGArchive[记录编号],858)="","",INDEX(DGArchive[记录编号],858)))</f>
        <v/>
      </c>
      <c r="CL1057">
        <f t="shared" si="404"/>
        <v>0</v>
      </c>
      <c r="CM1057">
        <f>IF(AND(A1057=$AO$5,B1057=$AQ$3,H1057=1),COUNTIFS($A$200:A1057,$AO$5,$B$200:B1057,$AQ$3,$H$200:H1057,1),0)</f>
        <v>0</v>
      </c>
      <c r="CN1057">
        <f>IF(CA1057="",858,1001)</f>
        <v>858</v>
      </c>
      <c r="GA1057">
        <f t="shared" si="424"/>
        <v>0</v>
      </c>
      <c r="GB1057">
        <f t="shared" si="425"/>
        <v>0</v>
      </c>
      <c r="GC1057">
        <f>IF(AND(C1057="事件记录",H1057=1),COUNTIFS($C$200:C1057,"事件记录",$H$200:H1057,1),0)</f>
        <v>0</v>
      </c>
      <c r="GD1057">
        <f t="shared" si="405"/>
        <v>0</v>
      </c>
      <c r="GH1057">
        <f>IF(AND(H1057=1,A1057=$GA$10,B1057=$GA$11),COUNTIFS($A$200:A1057,$GA$10,$B$200:B1057,$GA$11,$H$200:H1057,1),0)</f>
        <v>0</v>
      </c>
    </row>
    <row r="1058" spans="1:190">
      <c r="A1058" t="str">
        <f t="shared" si="396"/>
        <v/>
      </c>
      <c r="B1058" t="str">
        <f t="shared" si="397"/>
        <v/>
      </c>
      <c r="C1058" t="str">
        <f t="shared" si="398"/>
        <v/>
      </c>
      <c r="D1058" t="str">
        <f t="shared" si="399"/>
        <v/>
      </c>
      <c r="E1058">
        <f t="shared" si="400"/>
        <v>0</v>
      </c>
      <c r="F1058" t="str">
        <f t="shared" si="401"/>
        <v/>
      </c>
      <c r="G1058">
        <f t="shared" si="402"/>
        <v>0</v>
      </c>
      <c r="H1058">
        <f>IF(AND(G1058=1,COUNTIFS($I$200:I1058,I1058,$G$200:G1058,1)=1),1,0)</f>
        <v>0</v>
      </c>
      <c r="I1058" t="str">
        <f t="shared" si="403"/>
        <v/>
      </c>
      <c r="BF1058">
        <f t="shared" si="406"/>
        <v>0</v>
      </c>
      <c r="BG1058">
        <f t="shared" si="407"/>
        <v>0</v>
      </c>
      <c r="BH1058">
        <f t="shared" si="408"/>
        <v>0</v>
      </c>
      <c r="BI1058">
        <f t="shared" si="409"/>
        <v>0</v>
      </c>
      <c r="BJ1058">
        <f t="shared" si="410"/>
        <v>0</v>
      </c>
      <c r="BK1058">
        <f t="shared" si="411"/>
        <v>0</v>
      </c>
      <c r="BL1058">
        <f t="shared" si="412"/>
        <v>0</v>
      </c>
      <c r="BM1058">
        <f t="shared" si="413"/>
        <v>0</v>
      </c>
      <c r="BN1058">
        <f t="shared" si="414"/>
        <v>0</v>
      </c>
      <c r="BO1058">
        <f t="shared" si="415"/>
        <v>0</v>
      </c>
      <c r="BP1058">
        <f t="shared" si="416"/>
        <v>0</v>
      </c>
      <c r="BQ1058">
        <f t="shared" si="417"/>
        <v>0</v>
      </c>
      <c r="BR1058">
        <f t="shared" si="418"/>
        <v>0</v>
      </c>
      <c r="BS1058">
        <f t="shared" si="419"/>
        <v>0</v>
      </c>
      <c r="BT1058">
        <f t="shared" si="420"/>
        <v>0</v>
      </c>
      <c r="BU1058">
        <f t="shared" si="421"/>
        <v>0</v>
      </c>
      <c r="BV1058">
        <f t="shared" si="422"/>
        <v>0</v>
      </c>
      <c r="BW1058">
        <f t="shared" si="423"/>
        <v>0</v>
      </c>
      <c r="CA1058" t="str">
        <f>IF(859&gt;ROWS(DGArchive[模组]),"",IF(INDEX(DGArchive[模组],859)="","",INDEX(DGArchive[模组],859)))</f>
        <v/>
      </c>
      <c r="CB1058" t="str">
        <f>IF(859&gt;ROWS(DGArchive[阶段]),"",IF(INDEX(DGArchive[阶段],859)="","",INDEX(DGArchive[阶段],859)))</f>
        <v/>
      </c>
      <c r="CC1058" t="str">
        <f>IF(859&gt;ROWS(DGArchive[游戏内日期]),"",IF(INDEX(DGArchive[游戏内日期],859)="","",INDEX(DGArchive[游戏内日期],859)))</f>
        <v/>
      </c>
      <c r="CD1058" t="str">
        <f>IF(859&gt;ROWS(DGArchive[目标]),"",IF(INDEX(DGArchive[目标],859)="","",INDEX(DGArchive[目标],859)))</f>
        <v/>
      </c>
      <c r="CE1058" t="str">
        <f>IF(859&gt;ROWS(DGArchive[变更前]),"",IF(INDEX(DGArchive[变更前],859)="","",INDEX(DGArchive[变更前],859)))</f>
        <v/>
      </c>
      <c r="CF1058" t="str">
        <f>IF(859&gt;ROWS(DGArchive[增减]),"",IF(INDEX(DGArchive[增减],859)="","",INDEX(DGArchive[增减],859)))</f>
        <v/>
      </c>
      <c r="CG1058" t="str">
        <f>IF(859&gt;ROWS(DGArchive[变更后]),"",IF(INDEX(DGArchive[变更后],859)="","",INDEX(DGArchive[变更后],859)))</f>
        <v/>
      </c>
      <c r="CH1058" t="str">
        <f>IF(859&gt;ROWS(DGArchive[事件／活动]),"",IF(INDEX(DGArchive[事件／活动],859)="","",INDEX(DGArchive[事件／活动],859)))</f>
        <v/>
      </c>
      <c r="CI1058" t="str">
        <f>IF(859&gt;ROWS(DGArchive[记录编号]),"",IF(INDEX(DGArchive[记录编号],859)="","",INDEX(DGArchive[记录编号],859)))</f>
        <v/>
      </c>
      <c r="CL1058">
        <f t="shared" si="404"/>
        <v>0</v>
      </c>
      <c r="CM1058">
        <f>IF(AND(A1058=$AO$5,B1058=$AQ$3,H1058=1),COUNTIFS($A$200:A1058,$AO$5,$B$200:B1058,$AQ$3,$H$200:H1058,1),0)</f>
        <v>0</v>
      </c>
      <c r="CN1058">
        <f>IF(CA1058="",859,1001)</f>
        <v>859</v>
      </c>
      <c r="GA1058">
        <f t="shared" si="424"/>
        <v>0</v>
      </c>
      <c r="GB1058">
        <f t="shared" si="425"/>
        <v>0</v>
      </c>
      <c r="GC1058">
        <f>IF(AND(C1058="事件记录",H1058=1),COUNTIFS($C$200:C1058,"事件记录",$H$200:H1058,1),0)</f>
        <v>0</v>
      </c>
      <c r="GD1058">
        <f t="shared" si="405"/>
        <v>0</v>
      </c>
      <c r="GH1058">
        <f>IF(AND(H1058=1,A1058=$GA$10,B1058=$GA$11),COUNTIFS($A$200:A1058,$GA$10,$B$200:B1058,$GA$11,$H$200:H1058,1),0)</f>
        <v>0</v>
      </c>
    </row>
    <row r="1059" spans="1:190">
      <c r="A1059" t="str">
        <f t="shared" si="396"/>
        <v/>
      </c>
      <c r="B1059" t="str">
        <f t="shared" si="397"/>
        <v/>
      </c>
      <c r="C1059" t="str">
        <f t="shared" si="398"/>
        <v/>
      </c>
      <c r="D1059" t="str">
        <f t="shared" si="399"/>
        <v/>
      </c>
      <c r="E1059">
        <f t="shared" si="400"/>
        <v>0</v>
      </c>
      <c r="F1059" t="str">
        <f t="shared" si="401"/>
        <v/>
      </c>
      <c r="G1059">
        <f t="shared" si="402"/>
        <v>0</v>
      </c>
      <c r="H1059">
        <f>IF(AND(G1059=1,COUNTIFS($I$200:I1059,I1059,$G$200:G1059,1)=1),1,0)</f>
        <v>0</v>
      </c>
      <c r="I1059" t="str">
        <f t="shared" si="403"/>
        <v/>
      </c>
      <c r="BF1059">
        <f t="shared" si="406"/>
        <v>0</v>
      </c>
      <c r="BG1059">
        <f t="shared" si="407"/>
        <v>0</v>
      </c>
      <c r="BH1059">
        <f t="shared" si="408"/>
        <v>0</v>
      </c>
      <c r="BI1059">
        <f t="shared" si="409"/>
        <v>0</v>
      </c>
      <c r="BJ1059">
        <f t="shared" si="410"/>
        <v>0</v>
      </c>
      <c r="BK1059">
        <f t="shared" si="411"/>
        <v>0</v>
      </c>
      <c r="BL1059">
        <f t="shared" si="412"/>
        <v>0</v>
      </c>
      <c r="BM1059">
        <f t="shared" si="413"/>
        <v>0</v>
      </c>
      <c r="BN1059">
        <f t="shared" si="414"/>
        <v>0</v>
      </c>
      <c r="BO1059">
        <f t="shared" si="415"/>
        <v>0</v>
      </c>
      <c r="BP1059">
        <f t="shared" si="416"/>
        <v>0</v>
      </c>
      <c r="BQ1059">
        <f t="shared" si="417"/>
        <v>0</v>
      </c>
      <c r="BR1059">
        <f t="shared" si="418"/>
        <v>0</v>
      </c>
      <c r="BS1059">
        <f t="shared" si="419"/>
        <v>0</v>
      </c>
      <c r="BT1059">
        <f t="shared" si="420"/>
        <v>0</v>
      </c>
      <c r="BU1059">
        <f t="shared" si="421"/>
        <v>0</v>
      </c>
      <c r="BV1059">
        <f t="shared" si="422"/>
        <v>0</v>
      </c>
      <c r="BW1059">
        <f t="shared" si="423"/>
        <v>0</v>
      </c>
      <c r="CA1059" t="str">
        <f>IF(860&gt;ROWS(DGArchive[模组]),"",IF(INDEX(DGArchive[模组],860)="","",INDEX(DGArchive[模组],860)))</f>
        <v/>
      </c>
      <c r="CB1059" t="str">
        <f>IF(860&gt;ROWS(DGArchive[阶段]),"",IF(INDEX(DGArchive[阶段],860)="","",INDEX(DGArchive[阶段],860)))</f>
        <v/>
      </c>
      <c r="CC1059" t="str">
        <f>IF(860&gt;ROWS(DGArchive[游戏内日期]),"",IF(INDEX(DGArchive[游戏内日期],860)="","",INDEX(DGArchive[游戏内日期],860)))</f>
        <v/>
      </c>
      <c r="CD1059" t="str">
        <f>IF(860&gt;ROWS(DGArchive[目标]),"",IF(INDEX(DGArchive[目标],860)="","",INDEX(DGArchive[目标],860)))</f>
        <v/>
      </c>
      <c r="CE1059" t="str">
        <f>IF(860&gt;ROWS(DGArchive[变更前]),"",IF(INDEX(DGArchive[变更前],860)="","",INDEX(DGArchive[变更前],860)))</f>
        <v/>
      </c>
      <c r="CF1059" t="str">
        <f>IF(860&gt;ROWS(DGArchive[增减]),"",IF(INDEX(DGArchive[增减],860)="","",INDEX(DGArchive[增减],860)))</f>
        <v/>
      </c>
      <c r="CG1059" t="str">
        <f>IF(860&gt;ROWS(DGArchive[变更后]),"",IF(INDEX(DGArchive[变更后],860)="","",INDEX(DGArchive[变更后],860)))</f>
        <v/>
      </c>
      <c r="CH1059" t="str">
        <f>IF(860&gt;ROWS(DGArchive[事件／活动]),"",IF(INDEX(DGArchive[事件／活动],860)="","",INDEX(DGArchive[事件／活动],860)))</f>
        <v/>
      </c>
      <c r="CI1059" t="str">
        <f>IF(860&gt;ROWS(DGArchive[记录编号]),"",IF(INDEX(DGArchive[记录编号],860)="","",INDEX(DGArchive[记录编号],860)))</f>
        <v/>
      </c>
      <c r="CL1059">
        <f t="shared" si="404"/>
        <v>0</v>
      </c>
      <c r="CM1059">
        <f>IF(AND(A1059=$AO$5,B1059=$AQ$3,H1059=1),COUNTIFS($A$200:A1059,$AO$5,$B$200:B1059,$AQ$3,$H$200:H1059,1),0)</f>
        <v>0</v>
      </c>
      <c r="CN1059">
        <f>IF(CA1059="",860,1001)</f>
        <v>860</v>
      </c>
      <c r="GA1059">
        <f t="shared" si="424"/>
        <v>0</v>
      </c>
      <c r="GB1059">
        <f t="shared" si="425"/>
        <v>0</v>
      </c>
      <c r="GC1059">
        <f>IF(AND(C1059="事件记录",H1059=1),COUNTIFS($C$200:C1059,"事件记录",$H$200:H1059,1),0)</f>
        <v>0</v>
      </c>
      <c r="GD1059">
        <f t="shared" si="405"/>
        <v>0</v>
      </c>
      <c r="GH1059">
        <f>IF(AND(H1059=1,A1059=$GA$10,B1059=$GA$11),COUNTIFS($A$200:A1059,$GA$10,$B$200:B1059,$GA$11,$H$200:H1059,1),0)</f>
        <v>0</v>
      </c>
    </row>
    <row r="1060" spans="1:190">
      <c r="A1060" t="str">
        <f t="shared" si="396"/>
        <v/>
      </c>
      <c r="B1060" t="str">
        <f t="shared" si="397"/>
        <v/>
      </c>
      <c r="C1060" t="str">
        <f t="shared" si="398"/>
        <v/>
      </c>
      <c r="D1060" t="str">
        <f t="shared" si="399"/>
        <v/>
      </c>
      <c r="E1060">
        <f t="shared" si="400"/>
        <v>0</v>
      </c>
      <c r="F1060" t="str">
        <f t="shared" si="401"/>
        <v/>
      </c>
      <c r="G1060">
        <f t="shared" si="402"/>
        <v>0</v>
      </c>
      <c r="H1060">
        <f>IF(AND(G1060=1,COUNTIFS($I$200:I1060,I1060,$G$200:G1060,1)=1),1,0)</f>
        <v>0</v>
      </c>
      <c r="I1060" t="str">
        <f t="shared" si="403"/>
        <v/>
      </c>
      <c r="BF1060">
        <f t="shared" si="406"/>
        <v>0</v>
      </c>
      <c r="BG1060">
        <f t="shared" si="407"/>
        <v>0</v>
      </c>
      <c r="BH1060">
        <f t="shared" si="408"/>
        <v>0</v>
      </c>
      <c r="BI1060">
        <f t="shared" si="409"/>
        <v>0</v>
      </c>
      <c r="BJ1060">
        <f t="shared" si="410"/>
        <v>0</v>
      </c>
      <c r="BK1060">
        <f t="shared" si="411"/>
        <v>0</v>
      </c>
      <c r="BL1060">
        <f t="shared" si="412"/>
        <v>0</v>
      </c>
      <c r="BM1060">
        <f t="shared" si="413"/>
        <v>0</v>
      </c>
      <c r="BN1060">
        <f t="shared" si="414"/>
        <v>0</v>
      </c>
      <c r="BO1060">
        <f t="shared" si="415"/>
        <v>0</v>
      </c>
      <c r="BP1060">
        <f t="shared" si="416"/>
        <v>0</v>
      </c>
      <c r="BQ1060">
        <f t="shared" si="417"/>
        <v>0</v>
      </c>
      <c r="BR1060">
        <f t="shared" si="418"/>
        <v>0</v>
      </c>
      <c r="BS1060">
        <f t="shared" si="419"/>
        <v>0</v>
      </c>
      <c r="BT1060">
        <f t="shared" si="420"/>
        <v>0</v>
      </c>
      <c r="BU1060">
        <f t="shared" si="421"/>
        <v>0</v>
      </c>
      <c r="BV1060">
        <f t="shared" si="422"/>
        <v>0</v>
      </c>
      <c r="BW1060">
        <f t="shared" si="423"/>
        <v>0</v>
      </c>
      <c r="CA1060" t="str">
        <f>IF(861&gt;ROWS(DGArchive[模组]),"",IF(INDEX(DGArchive[模组],861)="","",INDEX(DGArchive[模组],861)))</f>
        <v/>
      </c>
      <c r="CB1060" t="str">
        <f>IF(861&gt;ROWS(DGArchive[阶段]),"",IF(INDEX(DGArchive[阶段],861)="","",INDEX(DGArchive[阶段],861)))</f>
        <v/>
      </c>
      <c r="CC1060" t="str">
        <f>IF(861&gt;ROWS(DGArchive[游戏内日期]),"",IF(INDEX(DGArchive[游戏内日期],861)="","",INDEX(DGArchive[游戏内日期],861)))</f>
        <v/>
      </c>
      <c r="CD1060" t="str">
        <f>IF(861&gt;ROWS(DGArchive[目标]),"",IF(INDEX(DGArchive[目标],861)="","",INDEX(DGArchive[目标],861)))</f>
        <v/>
      </c>
      <c r="CE1060" t="str">
        <f>IF(861&gt;ROWS(DGArchive[变更前]),"",IF(INDEX(DGArchive[变更前],861)="","",INDEX(DGArchive[变更前],861)))</f>
        <v/>
      </c>
      <c r="CF1060" t="str">
        <f>IF(861&gt;ROWS(DGArchive[增减]),"",IF(INDEX(DGArchive[增减],861)="","",INDEX(DGArchive[增减],861)))</f>
        <v/>
      </c>
      <c r="CG1060" t="str">
        <f>IF(861&gt;ROWS(DGArchive[变更后]),"",IF(INDEX(DGArchive[变更后],861)="","",INDEX(DGArchive[变更后],861)))</f>
        <v/>
      </c>
      <c r="CH1060" t="str">
        <f>IF(861&gt;ROWS(DGArchive[事件／活动]),"",IF(INDEX(DGArchive[事件／活动],861)="","",INDEX(DGArchive[事件／活动],861)))</f>
        <v/>
      </c>
      <c r="CI1060" t="str">
        <f>IF(861&gt;ROWS(DGArchive[记录编号]),"",IF(INDEX(DGArchive[记录编号],861)="","",INDEX(DGArchive[记录编号],861)))</f>
        <v/>
      </c>
      <c r="CL1060">
        <f t="shared" si="404"/>
        <v>0</v>
      </c>
      <c r="CM1060">
        <f>IF(AND(A1060=$AO$5,B1060=$AQ$3,H1060=1),COUNTIFS($A$200:A1060,$AO$5,$B$200:B1060,$AQ$3,$H$200:H1060,1),0)</f>
        <v>0</v>
      </c>
      <c r="CN1060">
        <f>IF(CA1060="",861,1001)</f>
        <v>861</v>
      </c>
      <c r="GA1060">
        <f t="shared" si="424"/>
        <v>0</v>
      </c>
      <c r="GB1060">
        <f t="shared" si="425"/>
        <v>0</v>
      </c>
      <c r="GC1060">
        <f>IF(AND(C1060="事件记录",H1060=1),COUNTIFS($C$200:C1060,"事件记录",$H$200:H1060,1),0)</f>
        <v>0</v>
      </c>
      <c r="GD1060">
        <f t="shared" si="405"/>
        <v>0</v>
      </c>
      <c r="GH1060">
        <f>IF(AND(H1060=1,A1060=$GA$10,B1060=$GA$11),COUNTIFS($A$200:A1060,$GA$10,$B$200:B1060,$GA$11,$H$200:H1060,1),0)</f>
        <v>0</v>
      </c>
    </row>
    <row r="1061" spans="1:190">
      <c r="A1061" t="str">
        <f t="shared" si="396"/>
        <v/>
      </c>
      <c r="B1061" t="str">
        <f t="shared" si="397"/>
        <v/>
      </c>
      <c r="C1061" t="str">
        <f t="shared" si="398"/>
        <v/>
      </c>
      <c r="D1061" t="str">
        <f t="shared" si="399"/>
        <v/>
      </c>
      <c r="E1061">
        <f t="shared" si="400"/>
        <v>0</v>
      </c>
      <c r="F1061" t="str">
        <f t="shared" si="401"/>
        <v/>
      </c>
      <c r="G1061">
        <f t="shared" si="402"/>
        <v>0</v>
      </c>
      <c r="H1061">
        <f>IF(AND(G1061=1,COUNTIFS($I$200:I1061,I1061,$G$200:G1061,1)=1),1,0)</f>
        <v>0</v>
      </c>
      <c r="I1061" t="str">
        <f t="shared" si="403"/>
        <v/>
      </c>
      <c r="BF1061">
        <f t="shared" si="406"/>
        <v>0</v>
      </c>
      <c r="BG1061">
        <f t="shared" si="407"/>
        <v>0</v>
      </c>
      <c r="BH1061">
        <f t="shared" si="408"/>
        <v>0</v>
      </c>
      <c r="BI1061">
        <f t="shared" si="409"/>
        <v>0</v>
      </c>
      <c r="BJ1061">
        <f t="shared" si="410"/>
        <v>0</v>
      </c>
      <c r="BK1061">
        <f t="shared" si="411"/>
        <v>0</v>
      </c>
      <c r="BL1061">
        <f t="shared" si="412"/>
        <v>0</v>
      </c>
      <c r="BM1061">
        <f t="shared" si="413"/>
        <v>0</v>
      </c>
      <c r="BN1061">
        <f t="shared" si="414"/>
        <v>0</v>
      </c>
      <c r="BO1061">
        <f t="shared" si="415"/>
        <v>0</v>
      </c>
      <c r="BP1061">
        <f t="shared" si="416"/>
        <v>0</v>
      </c>
      <c r="BQ1061">
        <f t="shared" si="417"/>
        <v>0</v>
      </c>
      <c r="BR1061">
        <f t="shared" si="418"/>
        <v>0</v>
      </c>
      <c r="BS1061">
        <f t="shared" si="419"/>
        <v>0</v>
      </c>
      <c r="BT1061">
        <f t="shared" si="420"/>
        <v>0</v>
      </c>
      <c r="BU1061">
        <f t="shared" si="421"/>
        <v>0</v>
      </c>
      <c r="BV1061">
        <f t="shared" si="422"/>
        <v>0</v>
      </c>
      <c r="BW1061">
        <f t="shared" si="423"/>
        <v>0</v>
      </c>
      <c r="CA1061" t="str">
        <f>IF(862&gt;ROWS(DGArchive[模组]),"",IF(INDEX(DGArchive[模组],862)="","",INDEX(DGArchive[模组],862)))</f>
        <v/>
      </c>
      <c r="CB1061" t="str">
        <f>IF(862&gt;ROWS(DGArchive[阶段]),"",IF(INDEX(DGArchive[阶段],862)="","",INDEX(DGArchive[阶段],862)))</f>
        <v/>
      </c>
      <c r="CC1061" t="str">
        <f>IF(862&gt;ROWS(DGArchive[游戏内日期]),"",IF(INDEX(DGArchive[游戏内日期],862)="","",INDEX(DGArchive[游戏内日期],862)))</f>
        <v/>
      </c>
      <c r="CD1061" t="str">
        <f>IF(862&gt;ROWS(DGArchive[目标]),"",IF(INDEX(DGArchive[目标],862)="","",INDEX(DGArchive[目标],862)))</f>
        <v/>
      </c>
      <c r="CE1061" t="str">
        <f>IF(862&gt;ROWS(DGArchive[变更前]),"",IF(INDEX(DGArchive[变更前],862)="","",INDEX(DGArchive[变更前],862)))</f>
        <v/>
      </c>
      <c r="CF1061" t="str">
        <f>IF(862&gt;ROWS(DGArchive[增减]),"",IF(INDEX(DGArchive[增减],862)="","",INDEX(DGArchive[增减],862)))</f>
        <v/>
      </c>
      <c r="CG1061" t="str">
        <f>IF(862&gt;ROWS(DGArchive[变更后]),"",IF(INDEX(DGArchive[变更后],862)="","",INDEX(DGArchive[变更后],862)))</f>
        <v/>
      </c>
      <c r="CH1061" t="str">
        <f>IF(862&gt;ROWS(DGArchive[事件／活动]),"",IF(INDEX(DGArchive[事件／活动],862)="","",INDEX(DGArchive[事件／活动],862)))</f>
        <v/>
      </c>
      <c r="CI1061" t="str">
        <f>IF(862&gt;ROWS(DGArchive[记录编号]),"",IF(INDEX(DGArchive[记录编号],862)="","",INDEX(DGArchive[记录编号],862)))</f>
        <v/>
      </c>
      <c r="CL1061">
        <f t="shared" si="404"/>
        <v>0</v>
      </c>
      <c r="CM1061">
        <f>IF(AND(A1061=$AO$5,B1061=$AQ$3,H1061=1),COUNTIFS($A$200:A1061,$AO$5,$B$200:B1061,$AQ$3,$H$200:H1061,1),0)</f>
        <v>0</v>
      </c>
      <c r="CN1061">
        <f>IF(CA1061="",862,1001)</f>
        <v>862</v>
      </c>
      <c r="GA1061">
        <f t="shared" si="424"/>
        <v>0</v>
      </c>
      <c r="GB1061">
        <f t="shared" si="425"/>
        <v>0</v>
      </c>
      <c r="GC1061">
        <f>IF(AND(C1061="事件记录",H1061=1),COUNTIFS($C$200:C1061,"事件记录",$H$200:H1061,1),0)</f>
        <v>0</v>
      </c>
      <c r="GD1061">
        <f t="shared" si="405"/>
        <v>0</v>
      </c>
      <c r="GH1061">
        <f>IF(AND(H1061=1,A1061=$GA$10,B1061=$GA$11),COUNTIFS($A$200:A1061,$GA$10,$B$200:B1061,$GA$11,$H$200:H1061,1),0)</f>
        <v>0</v>
      </c>
    </row>
    <row r="1062" spans="1:190">
      <c r="A1062" t="str">
        <f t="shared" si="396"/>
        <v/>
      </c>
      <c r="B1062" t="str">
        <f t="shared" si="397"/>
        <v/>
      </c>
      <c r="C1062" t="str">
        <f t="shared" si="398"/>
        <v/>
      </c>
      <c r="D1062" t="str">
        <f t="shared" si="399"/>
        <v/>
      </c>
      <c r="E1062">
        <f t="shared" si="400"/>
        <v>0</v>
      </c>
      <c r="F1062" t="str">
        <f t="shared" si="401"/>
        <v/>
      </c>
      <c r="G1062">
        <f t="shared" si="402"/>
        <v>0</v>
      </c>
      <c r="H1062">
        <f>IF(AND(G1062=1,COUNTIFS($I$200:I1062,I1062,$G$200:G1062,1)=1),1,0)</f>
        <v>0</v>
      </c>
      <c r="I1062" t="str">
        <f t="shared" si="403"/>
        <v/>
      </c>
      <c r="BF1062">
        <f t="shared" si="406"/>
        <v>0</v>
      </c>
      <c r="BG1062">
        <f t="shared" si="407"/>
        <v>0</v>
      </c>
      <c r="BH1062">
        <f t="shared" si="408"/>
        <v>0</v>
      </c>
      <c r="BI1062">
        <f t="shared" si="409"/>
        <v>0</v>
      </c>
      <c r="BJ1062">
        <f t="shared" si="410"/>
        <v>0</v>
      </c>
      <c r="BK1062">
        <f t="shared" si="411"/>
        <v>0</v>
      </c>
      <c r="BL1062">
        <f t="shared" si="412"/>
        <v>0</v>
      </c>
      <c r="BM1062">
        <f t="shared" si="413"/>
        <v>0</v>
      </c>
      <c r="BN1062">
        <f t="shared" si="414"/>
        <v>0</v>
      </c>
      <c r="BO1062">
        <f t="shared" si="415"/>
        <v>0</v>
      </c>
      <c r="BP1062">
        <f t="shared" si="416"/>
        <v>0</v>
      </c>
      <c r="BQ1062">
        <f t="shared" si="417"/>
        <v>0</v>
      </c>
      <c r="BR1062">
        <f t="shared" si="418"/>
        <v>0</v>
      </c>
      <c r="BS1062">
        <f t="shared" si="419"/>
        <v>0</v>
      </c>
      <c r="BT1062">
        <f t="shared" si="420"/>
        <v>0</v>
      </c>
      <c r="BU1062">
        <f t="shared" si="421"/>
        <v>0</v>
      </c>
      <c r="BV1062">
        <f t="shared" si="422"/>
        <v>0</v>
      </c>
      <c r="BW1062">
        <f t="shared" si="423"/>
        <v>0</v>
      </c>
      <c r="CA1062" t="str">
        <f>IF(863&gt;ROWS(DGArchive[模组]),"",IF(INDEX(DGArchive[模组],863)="","",INDEX(DGArchive[模组],863)))</f>
        <v/>
      </c>
      <c r="CB1062" t="str">
        <f>IF(863&gt;ROWS(DGArchive[阶段]),"",IF(INDEX(DGArchive[阶段],863)="","",INDEX(DGArchive[阶段],863)))</f>
        <v/>
      </c>
      <c r="CC1062" t="str">
        <f>IF(863&gt;ROWS(DGArchive[游戏内日期]),"",IF(INDEX(DGArchive[游戏内日期],863)="","",INDEX(DGArchive[游戏内日期],863)))</f>
        <v/>
      </c>
      <c r="CD1062" t="str">
        <f>IF(863&gt;ROWS(DGArchive[目标]),"",IF(INDEX(DGArchive[目标],863)="","",INDEX(DGArchive[目标],863)))</f>
        <v/>
      </c>
      <c r="CE1062" t="str">
        <f>IF(863&gt;ROWS(DGArchive[变更前]),"",IF(INDEX(DGArchive[变更前],863)="","",INDEX(DGArchive[变更前],863)))</f>
        <v/>
      </c>
      <c r="CF1062" t="str">
        <f>IF(863&gt;ROWS(DGArchive[增减]),"",IF(INDEX(DGArchive[增减],863)="","",INDEX(DGArchive[增减],863)))</f>
        <v/>
      </c>
      <c r="CG1062" t="str">
        <f>IF(863&gt;ROWS(DGArchive[变更后]),"",IF(INDEX(DGArchive[变更后],863)="","",INDEX(DGArchive[变更后],863)))</f>
        <v/>
      </c>
      <c r="CH1062" t="str">
        <f>IF(863&gt;ROWS(DGArchive[事件／活动]),"",IF(INDEX(DGArchive[事件／活动],863)="","",INDEX(DGArchive[事件／活动],863)))</f>
        <v/>
      </c>
      <c r="CI1062" t="str">
        <f>IF(863&gt;ROWS(DGArchive[记录编号]),"",IF(INDEX(DGArchive[记录编号],863)="","",INDEX(DGArchive[记录编号],863)))</f>
        <v/>
      </c>
      <c r="CL1062">
        <f t="shared" si="404"/>
        <v>0</v>
      </c>
      <c r="CM1062">
        <f>IF(AND(A1062=$AO$5,B1062=$AQ$3,H1062=1),COUNTIFS($A$200:A1062,$AO$5,$B$200:B1062,$AQ$3,$H$200:H1062,1),0)</f>
        <v>0</v>
      </c>
      <c r="CN1062">
        <f>IF(CA1062="",863,1001)</f>
        <v>863</v>
      </c>
      <c r="GA1062">
        <f t="shared" si="424"/>
        <v>0</v>
      </c>
      <c r="GB1062">
        <f t="shared" si="425"/>
        <v>0</v>
      </c>
      <c r="GC1062">
        <f>IF(AND(C1062="事件记录",H1062=1),COUNTIFS($C$200:C1062,"事件记录",$H$200:H1062,1),0)</f>
        <v>0</v>
      </c>
      <c r="GD1062">
        <f t="shared" si="405"/>
        <v>0</v>
      </c>
      <c r="GH1062">
        <f>IF(AND(H1062=1,A1062=$GA$10,B1062=$GA$11),COUNTIFS($A$200:A1062,$GA$10,$B$200:B1062,$GA$11,$H$200:H1062,1),0)</f>
        <v>0</v>
      </c>
    </row>
    <row r="1063" spans="1:190">
      <c r="A1063" t="str">
        <f t="shared" si="396"/>
        <v/>
      </c>
      <c r="B1063" t="str">
        <f t="shared" si="397"/>
        <v/>
      </c>
      <c r="C1063" t="str">
        <f t="shared" si="398"/>
        <v/>
      </c>
      <c r="D1063" t="str">
        <f t="shared" si="399"/>
        <v/>
      </c>
      <c r="E1063">
        <f t="shared" si="400"/>
        <v>0</v>
      </c>
      <c r="F1063" t="str">
        <f t="shared" si="401"/>
        <v/>
      </c>
      <c r="G1063">
        <f t="shared" si="402"/>
        <v>0</v>
      </c>
      <c r="H1063">
        <f>IF(AND(G1063=1,COUNTIFS($I$200:I1063,I1063,$G$200:G1063,1)=1),1,0)</f>
        <v>0</v>
      </c>
      <c r="I1063" t="str">
        <f t="shared" si="403"/>
        <v/>
      </c>
      <c r="BF1063">
        <f t="shared" si="406"/>
        <v>0</v>
      </c>
      <c r="BG1063">
        <f t="shared" si="407"/>
        <v>0</v>
      </c>
      <c r="BH1063">
        <f t="shared" si="408"/>
        <v>0</v>
      </c>
      <c r="BI1063">
        <f t="shared" si="409"/>
        <v>0</v>
      </c>
      <c r="BJ1063">
        <f t="shared" si="410"/>
        <v>0</v>
      </c>
      <c r="BK1063">
        <f t="shared" si="411"/>
        <v>0</v>
      </c>
      <c r="BL1063">
        <f t="shared" si="412"/>
        <v>0</v>
      </c>
      <c r="BM1063">
        <f t="shared" si="413"/>
        <v>0</v>
      </c>
      <c r="BN1063">
        <f t="shared" si="414"/>
        <v>0</v>
      </c>
      <c r="BO1063">
        <f t="shared" si="415"/>
        <v>0</v>
      </c>
      <c r="BP1063">
        <f t="shared" si="416"/>
        <v>0</v>
      </c>
      <c r="BQ1063">
        <f t="shared" si="417"/>
        <v>0</v>
      </c>
      <c r="BR1063">
        <f t="shared" si="418"/>
        <v>0</v>
      </c>
      <c r="BS1063">
        <f t="shared" si="419"/>
        <v>0</v>
      </c>
      <c r="BT1063">
        <f t="shared" si="420"/>
        <v>0</v>
      </c>
      <c r="BU1063">
        <f t="shared" si="421"/>
        <v>0</v>
      </c>
      <c r="BV1063">
        <f t="shared" si="422"/>
        <v>0</v>
      </c>
      <c r="BW1063">
        <f t="shared" si="423"/>
        <v>0</v>
      </c>
      <c r="CA1063" t="str">
        <f>IF(864&gt;ROWS(DGArchive[模组]),"",IF(INDEX(DGArchive[模组],864)="","",INDEX(DGArchive[模组],864)))</f>
        <v/>
      </c>
      <c r="CB1063" t="str">
        <f>IF(864&gt;ROWS(DGArchive[阶段]),"",IF(INDEX(DGArchive[阶段],864)="","",INDEX(DGArchive[阶段],864)))</f>
        <v/>
      </c>
      <c r="CC1063" t="str">
        <f>IF(864&gt;ROWS(DGArchive[游戏内日期]),"",IF(INDEX(DGArchive[游戏内日期],864)="","",INDEX(DGArchive[游戏内日期],864)))</f>
        <v/>
      </c>
      <c r="CD1063" t="str">
        <f>IF(864&gt;ROWS(DGArchive[目标]),"",IF(INDEX(DGArchive[目标],864)="","",INDEX(DGArchive[目标],864)))</f>
        <v/>
      </c>
      <c r="CE1063" t="str">
        <f>IF(864&gt;ROWS(DGArchive[变更前]),"",IF(INDEX(DGArchive[变更前],864)="","",INDEX(DGArchive[变更前],864)))</f>
        <v/>
      </c>
      <c r="CF1063" t="str">
        <f>IF(864&gt;ROWS(DGArchive[增减]),"",IF(INDEX(DGArchive[增减],864)="","",INDEX(DGArchive[增减],864)))</f>
        <v/>
      </c>
      <c r="CG1063" t="str">
        <f>IF(864&gt;ROWS(DGArchive[变更后]),"",IF(INDEX(DGArchive[变更后],864)="","",INDEX(DGArchive[变更后],864)))</f>
        <v/>
      </c>
      <c r="CH1063" t="str">
        <f>IF(864&gt;ROWS(DGArchive[事件／活动]),"",IF(INDEX(DGArchive[事件／活动],864)="","",INDEX(DGArchive[事件／活动],864)))</f>
        <v/>
      </c>
      <c r="CI1063" t="str">
        <f>IF(864&gt;ROWS(DGArchive[记录编号]),"",IF(INDEX(DGArchive[记录编号],864)="","",INDEX(DGArchive[记录编号],864)))</f>
        <v/>
      </c>
      <c r="CL1063">
        <f t="shared" si="404"/>
        <v>0</v>
      </c>
      <c r="CM1063">
        <f>IF(AND(A1063=$AO$5,B1063=$AQ$3,H1063=1),COUNTIFS($A$200:A1063,$AO$5,$B$200:B1063,$AQ$3,$H$200:H1063,1),0)</f>
        <v>0</v>
      </c>
      <c r="CN1063">
        <f>IF(CA1063="",864,1001)</f>
        <v>864</v>
      </c>
      <c r="GA1063">
        <f t="shared" si="424"/>
        <v>0</v>
      </c>
      <c r="GB1063">
        <f t="shared" si="425"/>
        <v>0</v>
      </c>
      <c r="GC1063">
        <f>IF(AND(C1063="事件记录",H1063=1),COUNTIFS($C$200:C1063,"事件记录",$H$200:H1063,1),0)</f>
        <v>0</v>
      </c>
      <c r="GD1063">
        <f t="shared" si="405"/>
        <v>0</v>
      </c>
      <c r="GH1063">
        <f>IF(AND(H1063=1,A1063=$GA$10,B1063=$GA$11),COUNTIFS($A$200:A1063,$GA$10,$B$200:B1063,$GA$11,$H$200:H1063,1),0)</f>
        <v>0</v>
      </c>
    </row>
    <row r="1064" spans="1:190">
      <c r="A1064" t="str">
        <f t="shared" si="396"/>
        <v/>
      </c>
      <c r="B1064" t="str">
        <f t="shared" si="397"/>
        <v/>
      </c>
      <c r="C1064" t="str">
        <f t="shared" si="398"/>
        <v/>
      </c>
      <c r="D1064" t="str">
        <f t="shared" si="399"/>
        <v/>
      </c>
      <c r="E1064">
        <f t="shared" si="400"/>
        <v>0</v>
      </c>
      <c r="F1064" t="str">
        <f t="shared" si="401"/>
        <v/>
      </c>
      <c r="G1064">
        <f t="shared" si="402"/>
        <v>0</v>
      </c>
      <c r="H1064">
        <f>IF(AND(G1064=1,COUNTIFS($I$200:I1064,I1064,$G$200:G1064,1)=1),1,0)</f>
        <v>0</v>
      </c>
      <c r="I1064" t="str">
        <f t="shared" si="403"/>
        <v/>
      </c>
      <c r="BF1064">
        <f t="shared" si="406"/>
        <v>0</v>
      </c>
      <c r="BG1064">
        <f t="shared" si="407"/>
        <v>0</v>
      </c>
      <c r="BH1064">
        <f t="shared" si="408"/>
        <v>0</v>
      </c>
      <c r="BI1064">
        <f t="shared" si="409"/>
        <v>0</v>
      </c>
      <c r="BJ1064">
        <f t="shared" si="410"/>
        <v>0</v>
      </c>
      <c r="BK1064">
        <f t="shared" si="411"/>
        <v>0</v>
      </c>
      <c r="BL1064">
        <f t="shared" si="412"/>
        <v>0</v>
      </c>
      <c r="BM1064">
        <f t="shared" si="413"/>
        <v>0</v>
      </c>
      <c r="BN1064">
        <f t="shared" si="414"/>
        <v>0</v>
      </c>
      <c r="BO1064">
        <f t="shared" si="415"/>
        <v>0</v>
      </c>
      <c r="BP1064">
        <f t="shared" si="416"/>
        <v>0</v>
      </c>
      <c r="BQ1064">
        <f t="shared" si="417"/>
        <v>0</v>
      </c>
      <c r="BR1064">
        <f t="shared" si="418"/>
        <v>0</v>
      </c>
      <c r="BS1064">
        <f t="shared" si="419"/>
        <v>0</v>
      </c>
      <c r="BT1064">
        <f t="shared" si="420"/>
        <v>0</v>
      </c>
      <c r="BU1064">
        <f t="shared" si="421"/>
        <v>0</v>
      </c>
      <c r="BV1064">
        <f t="shared" si="422"/>
        <v>0</v>
      </c>
      <c r="BW1064">
        <f t="shared" si="423"/>
        <v>0</v>
      </c>
      <c r="CA1064" t="str">
        <f>IF(865&gt;ROWS(DGArchive[模组]),"",IF(INDEX(DGArchive[模组],865)="","",INDEX(DGArchive[模组],865)))</f>
        <v/>
      </c>
      <c r="CB1064" t="str">
        <f>IF(865&gt;ROWS(DGArchive[阶段]),"",IF(INDEX(DGArchive[阶段],865)="","",INDEX(DGArchive[阶段],865)))</f>
        <v/>
      </c>
      <c r="CC1064" t="str">
        <f>IF(865&gt;ROWS(DGArchive[游戏内日期]),"",IF(INDEX(DGArchive[游戏内日期],865)="","",INDEX(DGArchive[游戏内日期],865)))</f>
        <v/>
      </c>
      <c r="CD1064" t="str">
        <f>IF(865&gt;ROWS(DGArchive[目标]),"",IF(INDEX(DGArchive[目标],865)="","",INDEX(DGArchive[目标],865)))</f>
        <v/>
      </c>
      <c r="CE1064" t="str">
        <f>IF(865&gt;ROWS(DGArchive[变更前]),"",IF(INDEX(DGArchive[变更前],865)="","",INDEX(DGArchive[变更前],865)))</f>
        <v/>
      </c>
      <c r="CF1064" t="str">
        <f>IF(865&gt;ROWS(DGArchive[增减]),"",IF(INDEX(DGArchive[增减],865)="","",INDEX(DGArchive[增减],865)))</f>
        <v/>
      </c>
      <c r="CG1064" t="str">
        <f>IF(865&gt;ROWS(DGArchive[变更后]),"",IF(INDEX(DGArchive[变更后],865)="","",INDEX(DGArchive[变更后],865)))</f>
        <v/>
      </c>
      <c r="CH1064" t="str">
        <f>IF(865&gt;ROWS(DGArchive[事件／活动]),"",IF(INDEX(DGArchive[事件／活动],865)="","",INDEX(DGArchive[事件／活动],865)))</f>
        <v/>
      </c>
      <c r="CI1064" t="str">
        <f>IF(865&gt;ROWS(DGArchive[记录编号]),"",IF(INDEX(DGArchive[记录编号],865)="","",INDEX(DGArchive[记录编号],865)))</f>
        <v/>
      </c>
      <c r="CL1064">
        <f t="shared" si="404"/>
        <v>0</v>
      </c>
      <c r="CM1064">
        <f>IF(AND(A1064=$AO$5,B1064=$AQ$3,H1064=1),COUNTIFS($A$200:A1064,$AO$5,$B$200:B1064,$AQ$3,$H$200:H1064,1),0)</f>
        <v>0</v>
      </c>
      <c r="CN1064">
        <f>IF(CA1064="",865,1001)</f>
        <v>865</v>
      </c>
      <c r="GA1064">
        <f t="shared" si="424"/>
        <v>0</v>
      </c>
      <c r="GB1064">
        <f t="shared" si="425"/>
        <v>0</v>
      </c>
      <c r="GC1064">
        <f>IF(AND(C1064="事件记录",H1064=1),COUNTIFS($C$200:C1064,"事件记录",$H$200:H1064,1),0)</f>
        <v>0</v>
      </c>
      <c r="GD1064">
        <f t="shared" si="405"/>
        <v>0</v>
      </c>
      <c r="GH1064">
        <f>IF(AND(H1064=1,A1064=$GA$10,B1064=$GA$11),COUNTIFS($A$200:A1064,$GA$10,$B$200:B1064,$GA$11,$H$200:H1064,1),0)</f>
        <v>0</v>
      </c>
    </row>
    <row r="1065" spans="1:190">
      <c r="A1065" t="str">
        <f t="shared" si="396"/>
        <v/>
      </c>
      <c r="B1065" t="str">
        <f t="shared" si="397"/>
        <v/>
      </c>
      <c r="C1065" t="str">
        <f t="shared" si="398"/>
        <v/>
      </c>
      <c r="D1065" t="str">
        <f t="shared" si="399"/>
        <v/>
      </c>
      <c r="E1065">
        <f t="shared" si="400"/>
        <v>0</v>
      </c>
      <c r="F1065" t="str">
        <f t="shared" si="401"/>
        <v/>
      </c>
      <c r="G1065">
        <f t="shared" si="402"/>
        <v>0</v>
      </c>
      <c r="H1065">
        <f>IF(AND(G1065=1,COUNTIFS($I$200:I1065,I1065,$G$200:G1065,1)=1),1,0)</f>
        <v>0</v>
      </c>
      <c r="I1065" t="str">
        <f t="shared" si="403"/>
        <v/>
      </c>
      <c r="BF1065">
        <f t="shared" si="406"/>
        <v>0</v>
      </c>
      <c r="BG1065">
        <f t="shared" si="407"/>
        <v>0</v>
      </c>
      <c r="BH1065">
        <f t="shared" si="408"/>
        <v>0</v>
      </c>
      <c r="BI1065">
        <f t="shared" si="409"/>
        <v>0</v>
      </c>
      <c r="BJ1065">
        <f t="shared" si="410"/>
        <v>0</v>
      </c>
      <c r="BK1065">
        <f t="shared" si="411"/>
        <v>0</v>
      </c>
      <c r="BL1065">
        <f t="shared" si="412"/>
        <v>0</v>
      </c>
      <c r="BM1065">
        <f t="shared" si="413"/>
        <v>0</v>
      </c>
      <c r="BN1065">
        <f t="shared" si="414"/>
        <v>0</v>
      </c>
      <c r="BO1065">
        <f t="shared" si="415"/>
        <v>0</v>
      </c>
      <c r="BP1065">
        <f t="shared" si="416"/>
        <v>0</v>
      </c>
      <c r="BQ1065">
        <f t="shared" si="417"/>
        <v>0</v>
      </c>
      <c r="BR1065">
        <f t="shared" si="418"/>
        <v>0</v>
      </c>
      <c r="BS1065">
        <f t="shared" si="419"/>
        <v>0</v>
      </c>
      <c r="BT1065">
        <f t="shared" si="420"/>
        <v>0</v>
      </c>
      <c r="BU1065">
        <f t="shared" si="421"/>
        <v>0</v>
      </c>
      <c r="BV1065">
        <f t="shared" si="422"/>
        <v>0</v>
      </c>
      <c r="BW1065">
        <f t="shared" si="423"/>
        <v>0</v>
      </c>
      <c r="CA1065" t="str">
        <f>IF(866&gt;ROWS(DGArchive[模组]),"",IF(INDEX(DGArchive[模组],866)="","",INDEX(DGArchive[模组],866)))</f>
        <v/>
      </c>
      <c r="CB1065" t="str">
        <f>IF(866&gt;ROWS(DGArchive[阶段]),"",IF(INDEX(DGArchive[阶段],866)="","",INDEX(DGArchive[阶段],866)))</f>
        <v/>
      </c>
      <c r="CC1065" t="str">
        <f>IF(866&gt;ROWS(DGArchive[游戏内日期]),"",IF(INDEX(DGArchive[游戏内日期],866)="","",INDEX(DGArchive[游戏内日期],866)))</f>
        <v/>
      </c>
      <c r="CD1065" t="str">
        <f>IF(866&gt;ROWS(DGArchive[目标]),"",IF(INDEX(DGArchive[目标],866)="","",INDEX(DGArchive[目标],866)))</f>
        <v/>
      </c>
      <c r="CE1065" t="str">
        <f>IF(866&gt;ROWS(DGArchive[变更前]),"",IF(INDEX(DGArchive[变更前],866)="","",INDEX(DGArchive[变更前],866)))</f>
        <v/>
      </c>
      <c r="CF1065" t="str">
        <f>IF(866&gt;ROWS(DGArchive[增减]),"",IF(INDEX(DGArchive[增减],866)="","",INDEX(DGArchive[增减],866)))</f>
        <v/>
      </c>
      <c r="CG1065" t="str">
        <f>IF(866&gt;ROWS(DGArchive[变更后]),"",IF(INDEX(DGArchive[变更后],866)="","",INDEX(DGArchive[变更后],866)))</f>
        <v/>
      </c>
      <c r="CH1065" t="str">
        <f>IF(866&gt;ROWS(DGArchive[事件／活动]),"",IF(INDEX(DGArchive[事件／活动],866)="","",INDEX(DGArchive[事件／活动],866)))</f>
        <v/>
      </c>
      <c r="CI1065" t="str">
        <f>IF(866&gt;ROWS(DGArchive[记录编号]),"",IF(INDEX(DGArchive[记录编号],866)="","",INDEX(DGArchive[记录编号],866)))</f>
        <v/>
      </c>
      <c r="CL1065">
        <f t="shared" si="404"/>
        <v>0</v>
      </c>
      <c r="CM1065">
        <f>IF(AND(A1065=$AO$5,B1065=$AQ$3,H1065=1),COUNTIFS($A$200:A1065,$AO$5,$B$200:B1065,$AQ$3,$H$200:H1065,1),0)</f>
        <v>0</v>
      </c>
      <c r="CN1065">
        <f>IF(CA1065="",866,1001)</f>
        <v>866</v>
      </c>
      <c r="GA1065">
        <f t="shared" si="424"/>
        <v>0</v>
      </c>
      <c r="GB1065">
        <f t="shared" si="425"/>
        <v>0</v>
      </c>
      <c r="GC1065">
        <f>IF(AND(C1065="事件记录",H1065=1),COUNTIFS($C$200:C1065,"事件记录",$H$200:H1065,1),0)</f>
        <v>0</v>
      </c>
      <c r="GD1065">
        <f t="shared" si="405"/>
        <v>0</v>
      </c>
      <c r="GH1065">
        <f>IF(AND(H1065=1,A1065=$GA$10,B1065=$GA$11),COUNTIFS($A$200:A1065,$GA$10,$B$200:B1065,$GA$11,$H$200:H1065,1),0)</f>
        <v>0</v>
      </c>
    </row>
    <row r="1066" spans="1:190">
      <c r="A1066" t="str">
        <f t="shared" si="396"/>
        <v/>
      </c>
      <c r="B1066" t="str">
        <f t="shared" si="397"/>
        <v/>
      </c>
      <c r="C1066" t="str">
        <f t="shared" si="398"/>
        <v/>
      </c>
      <c r="D1066" t="str">
        <f t="shared" si="399"/>
        <v/>
      </c>
      <c r="E1066">
        <f t="shared" si="400"/>
        <v>0</v>
      </c>
      <c r="F1066" t="str">
        <f t="shared" si="401"/>
        <v/>
      </c>
      <c r="G1066">
        <f t="shared" si="402"/>
        <v>0</v>
      </c>
      <c r="H1066">
        <f>IF(AND(G1066=1,COUNTIFS($I$200:I1066,I1066,$G$200:G1066,1)=1),1,0)</f>
        <v>0</v>
      </c>
      <c r="I1066" t="str">
        <f t="shared" si="403"/>
        <v/>
      </c>
      <c r="BF1066">
        <f t="shared" si="406"/>
        <v>0</v>
      </c>
      <c r="BG1066">
        <f t="shared" si="407"/>
        <v>0</v>
      </c>
      <c r="BH1066">
        <f t="shared" si="408"/>
        <v>0</v>
      </c>
      <c r="BI1066">
        <f t="shared" si="409"/>
        <v>0</v>
      </c>
      <c r="BJ1066">
        <f t="shared" si="410"/>
        <v>0</v>
      </c>
      <c r="BK1066">
        <f t="shared" si="411"/>
        <v>0</v>
      </c>
      <c r="BL1066">
        <f t="shared" si="412"/>
        <v>0</v>
      </c>
      <c r="BM1066">
        <f t="shared" si="413"/>
        <v>0</v>
      </c>
      <c r="BN1066">
        <f t="shared" si="414"/>
        <v>0</v>
      </c>
      <c r="BO1066">
        <f t="shared" si="415"/>
        <v>0</v>
      </c>
      <c r="BP1066">
        <f t="shared" si="416"/>
        <v>0</v>
      </c>
      <c r="BQ1066">
        <f t="shared" si="417"/>
        <v>0</v>
      </c>
      <c r="BR1066">
        <f t="shared" si="418"/>
        <v>0</v>
      </c>
      <c r="BS1066">
        <f t="shared" si="419"/>
        <v>0</v>
      </c>
      <c r="BT1066">
        <f t="shared" si="420"/>
        <v>0</v>
      </c>
      <c r="BU1066">
        <f t="shared" si="421"/>
        <v>0</v>
      </c>
      <c r="BV1066">
        <f t="shared" si="422"/>
        <v>0</v>
      </c>
      <c r="BW1066">
        <f t="shared" si="423"/>
        <v>0</v>
      </c>
      <c r="CA1066" t="str">
        <f>IF(867&gt;ROWS(DGArchive[模组]),"",IF(INDEX(DGArchive[模组],867)="","",INDEX(DGArchive[模组],867)))</f>
        <v/>
      </c>
      <c r="CB1066" t="str">
        <f>IF(867&gt;ROWS(DGArchive[阶段]),"",IF(INDEX(DGArchive[阶段],867)="","",INDEX(DGArchive[阶段],867)))</f>
        <v/>
      </c>
      <c r="CC1066" t="str">
        <f>IF(867&gt;ROWS(DGArchive[游戏内日期]),"",IF(INDEX(DGArchive[游戏内日期],867)="","",INDEX(DGArchive[游戏内日期],867)))</f>
        <v/>
      </c>
      <c r="CD1066" t="str">
        <f>IF(867&gt;ROWS(DGArchive[目标]),"",IF(INDEX(DGArchive[目标],867)="","",INDEX(DGArchive[目标],867)))</f>
        <v/>
      </c>
      <c r="CE1066" t="str">
        <f>IF(867&gt;ROWS(DGArchive[变更前]),"",IF(INDEX(DGArchive[变更前],867)="","",INDEX(DGArchive[变更前],867)))</f>
        <v/>
      </c>
      <c r="CF1066" t="str">
        <f>IF(867&gt;ROWS(DGArchive[增减]),"",IF(INDEX(DGArchive[增减],867)="","",INDEX(DGArchive[增减],867)))</f>
        <v/>
      </c>
      <c r="CG1066" t="str">
        <f>IF(867&gt;ROWS(DGArchive[变更后]),"",IF(INDEX(DGArchive[变更后],867)="","",INDEX(DGArchive[变更后],867)))</f>
        <v/>
      </c>
      <c r="CH1066" t="str">
        <f>IF(867&gt;ROWS(DGArchive[事件／活动]),"",IF(INDEX(DGArchive[事件／活动],867)="","",INDEX(DGArchive[事件／活动],867)))</f>
        <v/>
      </c>
      <c r="CI1066" t="str">
        <f>IF(867&gt;ROWS(DGArchive[记录编号]),"",IF(INDEX(DGArchive[记录编号],867)="","",INDEX(DGArchive[记录编号],867)))</f>
        <v/>
      </c>
      <c r="CL1066">
        <f t="shared" si="404"/>
        <v>0</v>
      </c>
      <c r="CM1066">
        <f>IF(AND(A1066=$AO$5,B1066=$AQ$3,H1066=1),COUNTIFS($A$200:A1066,$AO$5,$B$200:B1066,$AQ$3,$H$200:H1066,1),0)</f>
        <v>0</v>
      </c>
      <c r="CN1066">
        <f>IF(CA1066="",867,1001)</f>
        <v>867</v>
      </c>
      <c r="GA1066">
        <f t="shared" si="424"/>
        <v>0</v>
      </c>
      <c r="GB1066">
        <f t="shared" si="425"/>
        <v>0</v>
      </c>
      <c r="GC1066">
        <f>IF(AND(C1066="事件记录",H1066=1),COUNTIFS($C$200:C1066,"事件记录",$H$200:H1066,1),0)</f>
        <v>0</v>
      </c>
      <c r="GD1066">
        <f t="shared" si="405"/>
        <v>0</v>
      </c>
      <c r="GH1066">
        <f>IF(AND(H1066=1,A1066=$GA$10,B1066=$GA$11),COUNTIFS($A$200:A1066,$GA$10,$B$200:B1066,$GA$11,$H$200:H1066,1),0)</f>
        <v>0</v>
      </c>
    </row>
    <row r="1067" spans="1:190">
      <c r="A1067" t="str">
        <f t="shared" si="396"/>
        <v/>
      </c>
      <c r="B1067" t="str">
        <f t="shared" si="397"/>
        <v/>
      </c>
      <c r="C1067" t="str">
        <f t="shared" si="398"/>
        <v/>
      </c>
      <c r="D1067" t="str">
        <f t="shared" si="399"/>
        <v/>
      </c>
      <c r="E1067">
        <f t="shared" si="400"/>
        <v>0</v>
      </c>
      <c r="F1067" t="str">
        <f t="shared" si="401"/>
        <v/>
      </c>
      <c r="G1067">
        <f t="shared" si="402"/>
        <v>0</v>
      </c>
      <c r="H1067">
        <f>IF(AND(G1067=1,COUNTIFS($I$200:I1067,I1067,$G$200:G1067,1)=1),1,0)</f>
        <v>0</v>
      </c>
      <c r="I1067" t="str">
        <f t="shared" si="403"/>
        <v/>
      </c>
      <c r="BF1067">
        <f t="shared" si="406"/>
        <v>0</v>
      </c>
      <c r="BG1067">
        <f t="shared" si="407"/>
        <v>0</v>
      </c>
      <c r="BH1067">
        <f t="shared" si="408"/>
        <v>0</v>
      </c>
      <c r="BI1067">
        <f t="shared" si="409"/>
        <v>0</v>
      </c>
      <c r="BJ1067">
        <f t="shared" si="410"/>
        <v>0</v>
      </c>
      <c r="BK1067">
        <f t="shared" si="411"/>
        <v>0</v>
      </c>
      <c r="BL1067">
        <f t="shared" si="412"/>
        <v>0</v>
      </c>
      <c r="BM1067">
        <f t="shared" si="413"/>
        <v>0</v>
      </c>
      <c r="BN1067">
        <f t="shared" si="414"/>
        <v>0</v>
      </c>
      <c r="BO1067">
        <f t="shared" si="415"/>
        <v>0</v>
      </c>
      <c r="BP1067">
        <f t="shared" si="416"/>
        <v>0</v>
      </c>
      <c r="BQ1067">
        <f t="shared" si="417"/>
        <v>0</v>
      </c>
      <c r="BR1067">
        <f t="shared" si="418"/>
        <v>0</v>
      </c>
      <c r="BS1067">
        <f t="shared" si="419"/>
        <v>0</v>
      </c>
      <c r="BT1067">
        <f t="shared" si="420"/>
        <v>0</v>
      </c>
      <c r="BU1067">
        <f t="shared" si="421"/>
        <v>0</v>
      </c>
      <c r="BV1067">
        <f t="shared" si="422"/>
        <v>0</v>
      </c>
      <c r="BW1067">
        <f t="shared" si="423"/>
        <v>0</v>
      </c>
      <c r="CA1067" t="str">
        <f>IF(868&gt;ROWS(DGArchive[模组]),"",IF(INDEX(DGArchive[模组],868)="","",INDEX(DGArchive[模组],868)))</f>
        <v/>
      </c>
      <c r="CB1067" t="str">
        <f>IF(868&gt;ROWS(DGArchive[阶段]),"",IF(INDEX(DGArchive[阶段],868)="","",INDEX(DGArchive[阶段],868)))</f>
        <v/>
      </c>
      <c r="CC1067" t="str">
        <f>IF(868&gt;ROWS(DGArchive[游戏内日期]),"",IF(INDEX(DGArchive[游戏内日期],868)="","",INDEX(DGArchive[游戏内日期],868)))</f>
        <v/>
      </c>
      <c r="CD1067" t="str">
        <f>IF(868&gt;ROWS(DGArchive[目标]),"",IF(INDEX(DGArchive[目标],868)="","",INDEX(DGArchive[目标],868)))</f>
        <v/>
      </c>
      <c r="CE1067" t="str">
        <f>IF(868&gt;ROWS(DGArchive[变更前]),"",IF(INDEX(DGArchive[变更前],868)="","",INDEX(DGArchive[变更前],868)))</f>
        <v/>
      </c>
      <c r="CF1067" t="str">
        <f>IF(868&gt;ROWS(DGArchive[增减]),"",IF(INDEX(DGArchive[增减],868)="","",INDEX(DGArchive[增减],868)))</f>
        <v/>
      </c>
      <c r="CG1067" t="str">
        <f>IF(868&gt;ROWS(DGArchive[变更后]),"",IF(INDEX(DGArchive[变更后],868)="","",INDEX(DGArchive[变更后],868)))</f>
        <v/>
      </c>
      <c r="CH1067" t="str">
        <f>IF(868&gt;ROWS(DGArchive[事件／活动]),"",IF(INDEX(DGArchive[事件／活动],868)="","",INDEX(DGArchive[事件／活动],868)))</f>
        <v/>
      </c>
      <c r="CI1067" t="str">
        <f>IF(868&gt;ROWS(DGArchive[记录编号]),"",IF(INDEX(DGArchive[记录编号],868)="","",INDEX(DGArchive[记录编号],868)))</f>
        <v/>
      </c>
      <c r="CL1067">
        <f t="shared" si="404"/>
        <v>0</v>
      </c>
      <c r="CM1067">
        <f>IF(AND(A1067=$AO$5,B1067=$AQ$3,H1067=1),COUNTIFS($A$200:A1067,$AO$5,$B$200:B1067,$AQ$3,$H$200:H1067,1),0)</f>
        <v>0</v>
      </c>
      <c r="CN1067">
        <f>IF(CA1067="",868,1001)</f>
        <v>868</v>
      </c>
      <c r="GA1067">
        <f t="shared" si="424"/>
        <v>0</v>
      </c>
      <c r="GB1067">
        <f t="shared" si="425"/>
        <v>0</v>
      </c>
      <c r="GC1067">
        <f>IF(AND(C1067="事件记录",H1067=1),COUNTIFS($C$200:C1067,"事件记录",$H$200:H1067,1),0)</f>
        <v>0</v>
      </c>
      <c r="GD1067">
        <f t="shared" si="405"/>
        <v>0</v>
      </c>
      <c r="GH1067">
        <f>IF(AND(H1067=1,A1067=$GA$10,B1067=$GA$11),COUNTIFS($A$200:A1067,$GA$10,$B$200:B1067,$GA$11,$H$200:H1067,1),0)</f>
        <v>0</v>
      </c>
    </row>
    <row r="1068" spans="1:190">
      <c r="A1068" t="str">
        <f t="shared" si="396"/>
        <v/>
      </c>
      <c r="B1068" t="str">
        <f t="shared" si="397"/>
        <v/>
      </c>
      <c r="C1068" t="str">
        <f t="shared" si="398"/>
        <v/>
      </c>
      <c r="D1068" t="str">
        <f t="shared" si="399"/>
        <v/>
      </c>
      <c r="E1068">
        <f t="shared" si="400"/>
        <v>0</v>
      </c>
      <c r="F1068" t="str">
        <f t="shared" si="401"/>
        <v/>
      </c>
      <c r="G1068">
        <f t="shared" si="402"/>
        <v>0</v>
      </c>
      <c r="H1068">
        <f>IF(AND(G1068=1,COUNTIFS($I$200:I1068,I1068,$G$200:G1068,1)=1),1,0)</f>
        <v>0</v>
      </c>
      <c r="I1068" t="str">
        <f t="shared" si="403"/>
        <v/>
      </c>
      <c r="BF1068">
        <f t="shared" si="406"/>
        <v>0</v>
      </c>
      <c r="BG1068">
        <f t="shared" si="407"/>
        <v>0</v>
      </c>
      <c r="BH1068">
        <f t="shared" si="408"/>
        <v>0</v>
      </c>
      <c r="BI1068">
        <f t="shared" si="409"/>
        <v>0</v>
      </c>
      <c r="BJ1068">
        <f t="shared" si="410"/>
        <v>0</v>
      </c>
      <c r="BK1068">
        <f t="shared" si="411"/>
        <v>0</v>
      </c>
      <c r="BL1068">
        <f t="shared" si="412"/>
        <v>0</v>
      </c>
      <c r="BM1068">
        <f t="shared" si="413"/>
        <v>0</v>
      </c>
      <c r="BN1068">
        <f t="shared" si="414"/>
        <v>0</v>
      </c>
      <c r="BO1068">
        <f t="shared" si="415"/>
        <v>0</v>
      </c>
      <c r="BP1068">
        <f t="shared" si="416"/>
        <v>0</v>
      </c>
      <c r="BQ1068">
        <f t="shared" si="417"/>
        <v>0</v>
      </c>
      <c r="BR1068">
        <f t="shared" si="418"/>
        <v>0</v>
      </c>
      <c r="BS1068">
        <f t="shared" si="419"/>
        <v>0</v>
      </c>
      <c r="BT1068">
        <f t="shared" si="420"/>
        <v>0</v>
      </c>
      <c r="BU1068">
        <f t="shared" si="421"/>
        <v>0</v>
      </c>
      <c r="BV1068">
        <f t="shared" si="422"/>
        <v>0</v>
      </c>
      <c r="BW1068">
        <f t="shared" si="423"/>
        <v>0</v>
      </c>
      <c r="CA1068" t="str">
        <f>IF(869&gt;ROWS(DGArchive[模组]),"",IF(INDEX(DGArchive[模组],869)="","",INDEX(DGArchive[模组],869)))</f>
        <v/>
      </c>
      <c r="CB1068" t="str">
        <f>IF(869&gt;ROWS(DGArchive[阶段]),"",IF(INDEX(DGArchive[阶段],869)="","",INDEX(DGArchive[阶段],869)))</f>
        <v/>
      </c>
      <c r="CC1068" t="str">
        <f>IF(869&gt;ROWS(DGArchive[游戏内日期]),"",IF(INDEX(DGArchive[游戏内日期],869)="","",INDEX(DGArchive[游戏内日期],869)))</f>
        <v/>
      </c>
      <c r="CD1068" t="str">
        <f>IF(869&gt;ROWS(DGArchive[目标]),"",IF(INDEX(DGArchive[目标],869)="","",INDEX(DGArchive[目标],869)))</f>
        <v/>
      </c>
      <c r="CE1068" t="str">
        <f>IF(869&gt;ROWS(DGArchive[变更前]),"",IF(INDEX(DGArchive[变更前],869)="","",INDEX(DGArchive[变更前],869)))</f>
        <v/>
      </c>
      <c r="CF1068" t="str">
        <f>IF(869&gt;ROWS(DGArchive[增减]),"",IF(INDEX(DGArchive[增减],869)="","",INDEX(DGArchive[增减],869)))</f>
        <v/>
      </c>
      <c r="CG1068" t="str">
        <f>IF(869&gt;ROWS(DGArchive[变更后]),"",IF(INDEX(DGArchive[变更后],869)="","",INDEX(DGArchive[变更后],869)))</f>
        <v/>
      </c>
      <c r="CH1068" t="str">
        <f>IF(869&gt;ROWS(DGArchive[事件／活动]),"",IF(INDEX(DGArchive[事件／活动],869)="","",INDEX(DGArchive[事件／活动],869)))</f>
        <v/>
      </c>
      <c r="CI1068" t="str">
        <f>IF(869&gt;ROWS(DGArchive[记录编号]),"",IF(INDEX(DGArchive[记录编号],869)="","",INDEX(DGArchive[记录编号],869)))</f>
        <v/>
      </c>
      <c r="CL1068">
        <f t="shared" si="404"/>
        <v>0</v>
      </c>
      <c r="CM1068">
        <f>IF(AND(A1068=$AO$5,B1068=$AQ$3,H1068=1),COUNTIFS($A$200:A1068,$AO$5,$B$200:B1068,$AQ$3,$H$200:H1068,1),0)</f>
        <v>0</v>
      </c>
      <c r="CN1068">
        <f>IF(CA1068="",869,1001)</f>
        <v>869</v>
      </c>
      <c r="GA1068">
        <f t="shared" si="424"/>
        <v>0</v>
      </c>
      <c r="GB1068">
        <f t="shared" si="425"/>
        <v>0</v>
      </c>
      <c r="GC1068">
        <f>IF(AND(C1068="事件记录",H1068=1),COUNTIFS($C$200:C1068,"事件记录",$H$200:H1068,1),0)</f>
        <v>0</v>
      </c>
      <c r="GD1068">
        <f t="shared" si="405"/>
        <v>0</v>
      </c>
      <c r="GH1068">
        <f>IF(AND(H1068=1,A1068=$GA$10,B1068=$GA$11),COUNTIFS($A$200:A1068,$GA$10,$B$200:B1068,$GA$11,$H$200:H1068,1),0)</f>
        <v>0</v>
      </c>
    </row>
    <row r="1069" spans="1:190">
      <c r="A1069" t="str">
        <f t="shared" si="396"/>
        <v/>
      </c>
      <c r="B1069" t="str">
        <f t="shared" si="397"/>
        <v/>
      </c>
      <c r="C1069" t="str">
        <f t="shared" si="398"/>
        <v/>
      </c>
      <c r="D1069" t="str">
        <f t="shared" si="399"/>
        <v/>
      </c>
      <c r="E1069">
        <f t="shared" si="400"/>
        <v>0</v>
      </c>
      <c r="F1069" t="str">
        <f t="shared" si="401"/>
        <v/>
      </c>
      <c r="G1069">
        <f t="shared" si="402"/>
        <v>0</v>
      </c>
      <c r="H1069">
        <f>IF(AND(G1069=1,COUNTIFS($I$200:I1069,I1069,$G$200:G1069,1)=1),1,0)</f>
        <v>0</v>
      </c>
      <c r="I1069" t="str">
        <f t="shared" si="403"/>
        <v/>
      </c>
      <c r="BF1069">
        <f t="shared" si="406"/>
        <v>0</v>
      </c>
      <c r="BG1069">
        <f t="shared" si="407"/>
        <v>0</v>
      </c>
      <c r="BH1069">
        <f t="shared" si="408"/>
        <v>0</v>
      </c>
      <c r="BI1069">
        <f t="shared" si="409"/>
        <v>0</v>
      </c>
      <c r="BJ1069">
        <f t="shared" si="410"/>
        <v>0</v>
      </c>
      <c r="BK1069">
        <f t="shared" si="411"/>
        <v>0</v>
      </c>
      <c r="BL1069">
        <f t="shared" si="412"/>
        <v>0</v>
      </c>
      <c r="BM1069">
        <f t="shared" si="413"/>
        <v>0</v>
      </c>
      <c r="BN1069">
        <f t="shared" si="414"/>
        <v>0</v>
      </c>
      <c r="BO1069">
        <f t="shared" si="415"/>
        <v>0</v>
      </c>
      <c r="BP1069">
        <f t="shared" si="416"/>
        <v>0</v>
      </c>
      <c r="BQ1069">
        <f t="shared" si="417"/>
        <v>0</v>
      </c>
      <c r="BR1069">
        <f t="shared" si="418"/>
        <v>0</v>
      </c>
      <c r="BS1069">
        <f t="shared" si="419"/>
        <v>0</v>
      </c>
      <c r="BT1069">
        <f t="shared" si="420"/>
        <v>0</v>
      </c>
      <c r="BU1069">
        <f t="shared" si="421"/>
        <v>0</v>
      </c>
      <c r="BV1069">
        <f t="shared" si="422"/>
        <v>0</v>
      </c>
      <c r="BW1069">
        <f t="shared" si="423"/>
        <v>0</v>
      </c>
      <c r="CA1069" t="str">
        <f>IF(870&gt;ROWS(DGArchive[模组]),"",IF(INDEX(DGArchive[模组],870)="","",INDEX(DGArchive[模组],870)))</f>
        <v/>
      </c>
      <c r="CB1069" t="str">
        <f>IF(870&gt;ROWS(DGArchive[阶段]),"",IF(INDEX(DGArchive[阶段],870)="","",INDEX(DGArchive[阶段],870)))</f>
        <v/>
      </c>
      <c r="CC1069" t="str">
        <f>IF(870&gt;ROWS(DGArchive[游戏内日期]),"",IF(INDEX(DGArchive[游戏内日期],870)="","",INDEX(DGArchive[游戏内日期],870)))</f>
        <v/>
      </c>
      <c r="CD1069" t="str">
        <f>IF(870&gt;ROWS(DGArchive[目标]),"",IF(INDEX(DGArchive[目标],870)="","",INDEX(DGArchive[目标],870)))</f>
        <v/>
      </c>
      <c r="CE1069" t="str">
        <f>IF(870&gt;ROWS(DGArchive[变更前]),"",IF(INDEX(DGArchive[变更前],870)="","",INDEX(DGArchive[变更前],870)))</f>
        <v/>
      </c>
      <c r="CF1069" t="str">
        <f>IF(870&gt;ROWS(DGArchive[增减]),"",IF(INDEX(DGArchive[增减],870)="","",INDEX(DGArchive[增减],870)))</f>
        <v/>
      </c>
      <c r="CG1069" t="str">
        <f>IF(870&gt;ROWS(DGArchive[变更后]),"",IF(INDEX(DGArchive[变更后],870)="","",INDEX(DGArchive[变更后],870)))</f>
        <v/>
      </c>
      <c r="CH1069" t="str">
        <f>IF(870&gt;ROWS(DGArchive[事件／活动]),"",IF(INDEX(DGArchive[事件／活动],870)="","",INDEX(DGArchive[事件／活动],870)))</f>
        <v/>
      </c>
      <c r="CI1069" t="str">
        <f>IF(870&gt;ROWS(DGArchive[记录编号]),"",IF(INDEX(DGArchive[记录编号],870)="","",INDEX(DGArchive[记录编号],870)))</f>
        <v/>
      </c>
      <c r="CL1069">
        <f t="shared" si="404"/>
        <v>0</v>
      </c>
      <c r="CM1069">
        <f>IF(AND(A1069=$AO$5,B1069=$AQ$3,H1069=1),COUNTIFS($A$200:A1069,$AO$5,$B$200:B1069,$AQ$3,$H$200:H1069,1),0)</f>
        <v>0</v>
      </c>
      <c r="CN1069">
        <f>IF(CA1069="",870,1001)</f>
        <v>870</v>
      </c>
      <c r="GA1069">
        <f t="shared" si="424"/>
        <v>0</v>
      </c>
      <c r="GB1069">
        <f t="shared" si="425"/>
        <v>0</v>
      </c>
      <c r="GC1069">
        <f>IF(AND(C1069="事件记录",H1069=1),COUNTIFS($C$200:C1069,"事件记录",$H$200:H1069,1),0)</f>
        <v>0</v>
      </c>
      <c r="GD1069">
        <f t="shared" si="405"/>
        <v>0</v>
      </c>
      <c r="GH1069">
        <f>IF(AND(H1069=1,A1069=$GA$10,B1069=$GA$11),COUNTIFS($A$200:A1069,$GA$10,$B$200:B1069,$GA$11,$H$200:H1069,1),0)</f>
        <v>0</v>
      </c>
    </row>
    <row r="1070" spans="1:190">
      <c r="A1070" t="str">
        <f t="shared" si="396"/>
        <v/>
      </c>
      <c r="B1070" t="str">
        <f t="shared" si="397"/>
        <v/>
      </c>
      <c r="C1070" t="str">
        <f t="shared" si="398"/>
        <v/>
      </c>
      <c r="D1070" t="str">
        <f t="shared" si="399"/>
        <v/>
      </c>
      <c r="E1070">
        <f t="shared" si="400"/>
        <v>0</v>
      </c>
      <c r="F1070" t="str">
        <f t="shared" si="401"/>
        <v/>
      </c>
      <c r="G1070">
        <f t="shared" si="402"/>
        <v>0</v>
      </c>
      <c r="H1070">
        <f>IF(AND(G1070=1,COUNTIFS($I$200:I1070,I1070,$G$200:G1070,1)=1),1,0)</f>
        <v>0</v>
      </c>
      <c r="I1070" t="str">
        <f t="shared" si="403"/>
        <v/>
      </c>
      <c r="BF1070">
        <f t="shared" si="406"/>
        <v>0</v>
      </c>
      <c r="BG1070">
        <f t="shared" si="407"/>
        <v>0</v>
      </c>
      <c r="BH1070">
        <f t="shared" si="408"/>
        <v>0</v>
      </c>
      <c r="BI1070">
        <f t="shared" si="409"/>
        <v>0</v>
      </c>
      <c r="BJ1070">
        <f t="shared" si="410"/>
        <v>0</v>
      </c>
      <c r="BK1070">
        <f t="shared" si="411"/>
        <v>0</v>
      </c>
      <c r="BL1070">
        <f t="shared" si="412"/>
        <v>0</v>
      </c>
      <c r="BM1070">
        <f t="shared" si="413"/>
        <v>0</v>
      </c>
      <c r="BN1070">
        <f t="shared" si="414"/>
        <v>0</v>
      </c>
      <c r="BO1070">
        <f t="shared" si="415"/>
        <v>0</v>
      </c>
      <c r="BP1070">
        <f t="shared" si="416"/>
        <v>0</v>
      </c>
      <c r="BQ1070">
        <f t="shared" si="417"/>
        <v>0</v>
      </c>
      <c r="BR1070">
        <f t="shared" si="418"/>
        <v>0</v>
      </c>
      <c r="BS1070">
        <f t="shared" si="419"/>
        <v>0</v>
      </c>
      <c r="BT1070">
        <f t="shared" si="420"/>
        <v>0</v>
      </c>
      <c r="BU1070">
        <f t="shared" si="421"/>
        <v>0</v>
      </c>
      <c r="BV1070">
        <f t="shared" si="422"/>
        <v>0</v>
      </c>
      <c r="BW1070">
        <f t="shared" si="423"/>
        <v>0</v>
      </c>
      <c r="CA1070" t="str">
        <f>IF(871&gt;ROWS(DGArchive[模组]),"",IF(INDEX(DGArchive[模组],871)="","",INDEX(DGArchive[模组],871)))</f>
        <v/>
      </c>
      <c r="CB1070" t="str">
        <f>IF(871&gt;ROWS(DGArchive[阶段]),"",IF(INDEX(DGArchive[阶段],871)="","",INDEX(DGArchive[阶段],871)))</f>
        <v/>
      </c>
      <c r="CC1070" t="str">
        <f>IF(871&gt;ROWS(DGArchive[游戏内日期]),"",IF(INDEX(DGArchive[游戏内日期],871)="","",INDEX(DGArchive[游戏内日期],871)))</f>
        <v/>
      </c>
      <c r="CD1070" t="str">
        <f>IF(871&gt;ROWS(DGArchive[目标]),"",IF(INDEX(DGArchive[目标],871)="","",INDEX(DGArchive[目标],871)))</f>
        <v/>
      </c>
      <c r="CE1070" t="str">
        <f>IF(871&gt;ROWS(DGArchive[变更前]),"",IF(INDEX(DGArchive[变更前],871)="","",INDEX(DGArchive[变更前],871)))</f>
        <v/>
      </c>
      <c r="CF1070" t="str">
        <f>IF(871&gt;ROWS(DGArchive[增减]),"",IF(INDEX(DGArchive[增减],871)="","",INDEX(DGArchive[增减],871)))</f>
        <v/>
      </c>
      <c r="CG1070" t="str">
        <f>IF(871&gt;ROWS(DGArchive[变更后]),"",IF(INDEX(DGArchive[变更后],871)="","",INDEX(DGArchive[变更后],871)))</f>
        <v/>
      </c>
      <c r="CH1070" t="str">
        <f>IF(871&gt;ROWS(DGArchive[事件／活动]),"",IF(INDEX(DGArchive[事件／活动],871)="","",INDEX(DGArchive[事件／活动],871)))</f>
        <v/>
      </c>
      <c r="CI1070" t="str">
        <f>IF(871&gt;ROWS(DGArchive[记录编号]),"",IF(INDEX(DGArchive[记录编号],871)="","",INDEX(DGArchive[记录编号],871)))</f>
        <v/>
      </c>
      <c r="CL1070">
        <f t="shared" si="404"/>
        <v>0</v>
      </c>
      <c r="CM1070">
        <f>IF(AND(A1070=$AO$5,B1070=$AQ$3,H1070=1),COUNTIFS($A$200:A1070,$AO$5,$B$200:B1070,$AQ$3,$H$200:H1070,1),0)</f>
        <v>0</v>
      </c>
      <c r="CN1070">
        <f>IF(CA1070="",871,1001)</f>
        <v>871</v>
      </c>
      <c r="GA1070">
        <f t="shared" si="424"/>
        <v>0</v>
      </c>
      <c r="GB1070">
        <f t="shared" si="425"/>
        <v>0</v>
      </c>
      <c r="GC1070">
        <f>IF(AND(C1070="事件记录",H1070=1),COUNTIFS($C$200:C1070,"事件记录",$H$200:H1070,1),0)</f>
        <v>0</v>
      </c>
      <c r="GD1070">
        <f t="shared" si="405"/>
        <v>0</v>
      </c>
      <c r="GH1070">
        <f>IF(AND(H1070=1,A1070=$GA$10,B1070=$GA$11),COUNTIFS($A$200:A1070,$GA$10,$B$200:B1070,$GA$11,$H$200:H1070,1),0)</f>
        <v>0</v>
      </c>
    </row>
    <row r="1071" spans="1:190">
      <c r="A1071" t="str">
        <f t="shared" si="396"/>
        <v/>
      </c>
      <c r="B1071" t="str">
        <f t="shared" si="397"/>
        <v/>
      </c>
      <c r="C1071" t="str">
        <f t="shared" si="398"/>
        <v/>
      </c>
      <c r="D1071" t="str">
        <f t="shared" si="399"/>
        <v/>
      </c>
      <c r="E1071">
        <f t="shared" si="400"/>
        <v>0</v>
      </c>
      <c r="F1071" t="str">
        <f t="shared" si="401"/>
        <v/>
      </c>
      <c r="G1071">
        <f t="shared" si="402"/>
        <v>0</v>
      </c>
      <c r="H1071">
        <f>IF(AND(G1071=1,COUNTIFS($I$200:I1071,I1071,$G$200:G1071,1)=1),1,0)</f>
        <v>0</v>
      </c>
      <c r="I1071" t="str">
        <f t="shared" si="403"/>
        <v/>
      </c>
      <c r="BF1071">
        <f t="shared" si="406"/>
        <v>0</v>
      </c>
      <c r="BG1071">
        <f t="shared" si="407"/>
        <v>0</v>
      </c>
      <c r="BH1071">
        <f t="shared" si="408"/>
        <v>0</v>
      </c>
      <c r="BI1071">
        <f t="shared" si="409"/>
        <v>0</v>
      </c>
      <c r="BJ1071">
        <f t="shared" si="410"/>
        <v>0</v>
      </c>
      <c r="BK1071">
        <f t="shared" si="411"/>
        <v>0</v>
      </c>
      <c r="BL1071">
        <f t="shared" si="412"/>
        <v>0</v>
      </c>
      <c r="BM1071">
        <f t="shared" si="413"/>
        <v>0</v>
      </c>
      <c r="BN1071">
        <f t="shared" si="414"/>
        <v>0</v>
      </c>
      <c r="BO1071">
        <f t="shared" si="415"/>
        <v>0</v>
      </c>
      <c r="BP1071">
        <f t="shared" si="416"/>
        <v>0</v>
      </c>
      <c r="BQ1071">
        <f t="shared" si="417"/>
        <v>0</v>
      </c>
      <c r="BR1071">
        <f t="shared" si="418"/>
        <v>0</v>
      </c>
      <c r="BS1071">
        <f t="shared" si="419"/>
        <v>0</v>
      </c>
      <c r="BT1071">
        <f t="shared" si="420"/>
        <v>0</v>
      </c>
      <c r="BU1071">
        <f t="shared" si="421"/>
        <v>0</v>
      </c>
      <c r="BV1071">
        <f t="shared" si="422"/>
        <v>0</v>
      </c>
      <c r="BW1071">
        <f t="shared" si="423"/>
        <v>0</v>
      </c>
      <c r="CA1071" t="str">
        <f>IF(872&gt;ROWS(DGArchive[模组]),"",IF(INDEX(DGArchive[模组],872)="","",INDEX(DGArchive[模组],872)))</f>
        <v/>
      </c>
      <c r="CB1071" t="str">
        <f>IF(872&gt;ROWS(DGArchive[阶段]),"",IF(INDEX(DGArchive[阶段],872)="","",INDEX(DGArchive[阶段],872)))</f>
        <v/>
      </c>
      <c r="CC1071" t="str">
        <f>IF(872&gt;ROWS(DGArchive[游戏内日期]),"",IF(INDEX(DGArchive[游戏内日期],872)="","",INDEX(DGArchive[游戏内日期],872)))</f>
        <v/>
      </c>
      <c r="CD1071" t="str">
        <f>IF(872&gt;ROWS(DGArchive[目标]),"",IF(INDEX(DGArchive[目标],872)="","",INDEX(DGArchive[目标],872)))</f>
        <v/>
      </c>
      <c r="CE1071" t="str">
        <f>IF(872&gt;ROWS(DGArchive[变更前]),"",IF(INDEX(DGArchive[变更前],872)="","",INDEX(DGArchive[变更前],872)))</f>
        <v/>
      </c>
      <c r="CF1071" t="str">
        <f>IF(872&gt;ROWS(DGArchive[增减]),"",IF(INDEX(DGArchive[增减],872)="","",INDEX(DGArchive[增减],872)))</f>
        <v/>
      </c>
      <c r="CG1071" t="str">
        <f>IF(872&gt;ROWS(DGArchive[变更后]),"",IF(INDEX(DGArchive[变更后],872)="","",INDEX(DGArchive[变更后],872)))</f>
        <v/>
      </c>
      <c r="CH1071" t="str">
        <f>IF(872&gt;ROWS(DGArchive[事件／活动]),"",IF(INDEX(DGArchive[事件／活动],872)="","",INDEX(DGArchive[事件／活动],872)))</f>
        <v/>
      </c>
      <c r="CI1071" t="str">
        <f>IF(872&gt;ROWS(DGArchive[记录编号]),"",IF(INDEX(DGArchive[记录编号],872)="","",INDEX(DGArchive[记录编号],872)))</f>
        <v/>
      </c>
      <c r="CL1071">
        <f t="shared" si="404"/>
        <v>0</v>
      </c>
      <c r="CM1071">
        <f>IF(AND(A1071=$AO$5,B1071=$AQ$3,H1071=1),COUNTIFS($A$200:A1071,$AO$5,$B$200:B1071,$AQ$3,$H$200:H1071,1),0)</f>
        <v>0</v>
      </c>
      <c r="CN1071">
        <f>IF(CA1071="",872,1001)</f>
        <v>872</v>
      </c>
      <c r="GA1071">
        <f t="shared" si="424"/>
        <v>0</v>
      </c>
      <c r="GB1071">
        <f t="shared" si="425"/>
        <v>0</v>
      </c>
      <c r="GC1071">
        <f>IF(AND(C1071="事件记录",H1071=1),COUNTIFS($C$200:C1071,"事件记录",$H$200:H1071,1),0)</f>
        <v>0</v>
      </c>
      <c r="GD1071">
        <f t="shared" si="405"/>
        <v>0</v>
      </c>
      <c r="GH1071">
        <f>IF(AND(H1071=1,A1071=$GA$10,B1071=$GA$11),COUNTIFS($A$200:A1071,$GA$10,$B$200:B1071,$GA$11,$H$200:H1071,1),0)</f>
        <v>0</v>
      </c>
    </row>
    <row r="1072" spans="1:190">
      <c r="A1072" t="str">
        <f t="shared" si="396"/>
        <v/>
      </c>
      <c r="B1072" t="str">
        <f t="shared" si="397"/>
        <v/>
      </c>
      <c r="C1072" t="str">
        <f t="shared" si="398"/>
        <v/>
      </c>
      <c r="D1072" t="str">
        <f t="shared" si="399"/>
        <v/>
      </c>
      <c r="E1072">
        <f t="shared" si="400"/>
        <v>0</v>
      </c>
      <c r="F1072" t="str">
        <f t="shared" si="401"/>
        <v/>
      </c>
      <c r="G1072">
        <f t="shared" si="402"/>
        <v>0</v>
      </c>
      <c r="H1072">
        <f>IF(AND(G1072=1,COUNTIFS($I$200:I1072,I1072,$G$200:G1072,1)=1),1,0)</f>
        <v>0</v>
      </c>
      <c r="I1072" t="str">
        <f t="shared" si="403"/>
        <v/>
      </c>
      <c r="BF1072">
        <f t="shared" si="406"/>
        <v>0</v>
      </c>
      <c r="BG1072">
        <f t="shared" si="407"/>
        <v>0</v>
      </c>
      <c r="BH1072">
        <f t="shared" si="408"/>
        <v>0</v>
      </c>
      <c r="BI1072">
        <f t="shared" si="409"/>
        <v>0</v>
      </c>
      <c r="BJ1072">
        <f t="shared" si="410"/>
        <v>0</v>
      </c>
      <c r="BK1072">
        <f t="shared" si="411"/>
        <v>0</v>
      </c>
      <c r="BL1072">
        <f t="shared" si="412"/>
        <v>0</v>
      </c>
      <c r="BM1072">
        <f t="shared" si="413"/>
        <v>0</v>
      </c>
      <c r="BN1072">
        <f t="shared" si="414"/>
        <v>0</v>
      </c>
      <c r="BO1072">
        <f t="shared" si="415"/>
        <v>0</v>
      </c>
      <c r="BP1072">
        <f t="shared" si="416"/>
        <v>0</v>
      </c>
      <c r="BQ1072">
        <f t="shared" si="417"/>
        <v>0</v>
      </c>
      <c r="BR1072">
        <f t="shared" si="418"/>
        <v>0</v>
      </c>
      <c r="BS1072">
        <f t="shared" si="419"/>
        <v>0</v>
      </c>
      <c r="BT1072">
        <f t="shared" si="420"/>
        <v>0</v>
      </c>
      <c r="BU1072">
        <f t="shared" si="421"/>
        <v>0</v>
      </c>
      <c r="BV1072">
        <f t="shared" si="422"/>
        <v>0</v>
      </c>
      <c r="BW1072">
        <f t="shared" si="423"/>
        <v>0</v>
      </c>
      <c r="CA1072" t="str">
        <f>IF(873&gt;ROWS(DGArchive[模组]),"",IF(INDEX(DGArchive[模组],873)="","",INDEX(DGArchive[模组],873)))</f>
        <v/>
      </c>
      <c r="CB1072" t="str">
        <f>IF(873&gt;ROWS(DGArchive[阶段]),"",IF(INDEX(DGArchive[阶段],873)="","",INDEX(DGArchive[阶段],873)))</f>
        <v/>
      </c>
      <c r="CC1072" t="str">
        <f>IF(873&gt;ROWS(DGArchive[游戏内日期]),"",IF(INDEX(DGArchive[游戏内日期],873)="","",INDEX(DGArchive[游戏内日期],873)))</f>
        <v/>
      </c>
      <c r="CD1072" t="str">
        <f>IF(873&gt;ROWS(DGArchive[目标]),"",IF(INDEX(DGArchive[目标],873)="","",INDEX(DGArchive[目标],873)))</f>
        <v/>
      </c>
      <c r="CE1072" t="str">
        <f>IF(873&gt;ROWS(DGArchive[变更前]),"",IF(INDEX(DGArchive[变更前],873)="","",INDEX(DGArchive[变更前],873)))</f>
        <v/>
      </c>
      <c r="CF1072" t="str">
        <f>IF(873&gt;ROWS(DGArchive[增减]),"",IF(INDEX(DGArchive[增减],873)="","",INDEX(DGArchive[增减],873)))</f>
        <v/>
      </c>
      <c r="CG1072" t="str">
        <f>IF(873&gt;ROWS(DGArchive[变更后]),"",IF(INDEX(DGArchive[变更后],873)="","",INDEX(DGArchive[变更后],873)))</f>
        <v/>
      </c>
      <c r="CH1072" t="str">
        <f>IF(873&gt;ROWS(DGArchive[事件／活动]),"",IF(INDEX(DGArchive[事件／活动],873)="","",INDEX(DGArchive[事件／活动],873)))</f>
        <v/>
      </c>
      <c r="CI1072" t="str">
        <f>IF(873&gt;ROWS(DGArchive[记录编号]),"",IF(INDEX(DGArchive[记录编号],873)="","",INDEX(DGArchive[记录编号],873)))</f>
        <v/>
      </c>
      <c r="CL1072">
        <f t="shared" si="404"/>
        <v>0</v>
      </c>
      <c r="CM1072">
        <f>IF(AND(A1072=$AO$5,B1072=$AQ$3,H1072=1),COUNTIFS($A$200:A1072,$AO$5,$B$200:B1072,$AQ$3,$H$200:H1072,1),0)</f>
        <v>0</v>
      </c>
      <c r="CN1072">
        <f>IF(CA1072="",873,1001)</f>
        <v>873</v>
      </c>
      <c r="GA1072">
        <f t="shared" si="424"/>
        <v>0</v>
      </c>
      <c r="GB1072">
        <f t="shared" si="425"/>
        <v>0</v>
      </c>
      <c r="GC1072">
        <f>IF(AND(C1072="事件记录",H1072=1),COUNTIFS($C$200:C1072,"事件记录",$H$200:H1072,1),0)</f>
        <v>0</v>
      </c>
      <c r="GD1072">
        <f t="shared" si="405"/>
        <v>0</v>
      </c>
      <c r="GH1072">
        <f>IF(AND(H1072=1,A1072=$GA$10,B1072=$GA$11),COUNTIFS($A$200:A1072,$GA$10,$B$200:B1072,$GA$11,$H$200:H1072,1),0)</f>
        <v>0</v>
      </c>
    </row>
    <row r="1073" spans="1:190">
      <c r="A1073" t="str">
        <f t="shared" si="396"/>
        <v/>
      </c>
      <c r="B1073" t="str">
        <f t="shared" si="397"/>
        <v/>
      </c>
      <c r="C1073" t="str">
        <f t="shared" si="398"/>
        <v/>
      </c>
      <c r="D1073" t="str">
        <f t="shared" si="399"/>
        <v/>
      </c>
      <c r="E1073">
        <f t="shared" si="400"/>
        <v>0</v>
      </c>
      <c r="F1073" t="str">
        <f t="shared" si="401"/>
        <v/>
      </c>
      <c r="G1073">
        <f t="shared" si="402"/>
        <v>0</v>
      </c>
      <c r="H1073">
        <f>IF(AND(G1073=1,COUNTIFS($I$200:I1073,I1073,$G$200:G1073,1)=1),1,0)</f>
        <v>0</v>
      </c>
      <c r="I1073" t="str">
        <f t="shared" si="403"/>
        <v/>
      </c>
      <c r="BF1073">
        <f t="shared" si="406"/>
        <v>0</v>
      </c>
      <c r="BG1073">
        <f t="shared" si="407"/>
        <v>0</v>
      </c>
      <c r="BH1073">
        <f t="shared" si="408"/>
        <v>0</v>
      </c>
      <c r="BI1073">
        <f t="shared" si="409"/>
        <v>0</v>
      </c>
      <c r="BJ1073">
        <f t="shared" si="410"/>
        <v>0</v>
      </c>
      <c r="BK1073">
        <f t="shared" si="411"/>
        <v>0</v>
      </c>
      <c r="BL1073">
        <f t="shared" si="412"/>
        <v>0</v>
      </c>
      <c r="BM1073">
        <f t="shared" si="413"/>
        <v>0</v>
      </c>
      <c r="BN1073">
        <f t="shared" si="414"/>
        <v>0</v>
      </c>
      <c r="BO1073">
        <f t="shared" si="415"/>
        <v>0</v>
      </c>
      <c r="BP1073">
        <f t="shared" si="416"/>
        <v>0</v>
      </c>
      <c r="BQ1073">
        <f t="shared" si="417"/>
        <v>0</v>
      </c>
      <c r="BR1073">
        <f t="shared" si="418"/>
        <v>0</v>
      </c>
      <c r="BS1073">
        <f t="shared" si="419"/>
        <v>0</v>
      </c>
      <c r="BT1073">
        <f t="shared" si="420"/>
        <v>0</v>
      </c>
      <c r="BU1073">
        <f t="shared" si="421"/>
        <v>0</v>
      </c>
      <c r="BV1073">
        <f t="shared" si="422"/>
        <v>0</v>
      </c>
      <c r="BW1073">
        <f t="shared" si="423"/>
        <v>0</v>
      </c>
      <c r="CA1073" t="str">
        <f>IF(874&gt;ROWS(DGArchive[模组]),"",IF(INDEX(DGArchive[模组],874)="","",INDEX(DGArchive[模组],874)))</f>
        <v/>
      </c>
      <c r="CB1073" t="str">
        <f>IF(874&gt;ROWS(DGArchive[阶段]),"",IF(INDEX(DGArchive[阶段],874)="","",INDEX(DGArchive[阶段],874)))</f>
        <v/>
      </c>
      <c r="CC1073" t="str">
        <f>IF(874&gt;ROWS(DGArchive[游戏内日期]),"",IF(INDEX(DGArchive[游戏内日期],874)="","",INDEX(DGArchive[游戏内日期],874)))</f>
        <v/>
      </c>
      <c r="CD1073" t="str">
        <f>IF(874&gt;ROWS(DGArchive[目标]),"",IF(INDEX(DGArchive[目标],874)="","",INDEX(DGArchive[目标],874)))</f>
        <v/>
      </c>
      <c r="CE1073" t="str">
        <f>IF(874&gt;ROWS(DGArchive[变更前]),"",IF(INDEX(DGArchive[变更前],874)="","",INDEX(DGArchive[变更前],874)))</f>
        <v/>
      </c>
      <c r="CF1073" t="str">
        <f>IF(874&gt;ROWS(DGArchive[增减]),"",IF(INDEX(DGArchive[增减],874)="","",INDEX(DGArchive[增减],874)))</f>
        <v/>
      </c>
      <c r="CG1073" t="str">
        <f>IF(874&gt;ROWS(DGArchive[变更后]),"",IF(INDEX(DGArchive[变更后],874)="","",INDEX(DGArchive[变更后],874)))</f>
        <v/>
      </c>
      <c r="CH1073" t="str">
        <f>IF(874&gt;ROWS(DGArchive[事件／活动]),"",IF(INDEX(DGArchive[事件／活动],874)="","",INDEX(DGArchive[事件／活动],874)))</f>
        <v/>
      </c>
      <c r="CI1073" t="str">
        <f>IF(874&gt;ROWS(DGArchive[记录编号]),"",IF(INDEX(DGArchive[记录编号],874)="","",INDEX(DGArchive[记录编号],874)))</f>
        <v/>
      </c>
      <c r="CL1073">
        <f t="shared" si="404"/>
        <v>0</v>
      </c>
      <c r="CM1073">
        <f>IF(AND(A1073=$AO$5,B1073=$AQ$3,H1073=1),COUNTIFS($A$200:A1073,$AO$5,$B$200:B1073,$AQ$3,$H$200:H1073,1),0)</f>
        <v>0</v>
      </c>
      <c r="CN1073">
        <f>IF(CA1073="",874,1001)</f>
        <v>874</v>
      </c>
      <c r="GA1073">
        <f t="shared" si="424"/>
        <v>0</v>
      </c>
      <c r="GB1073">
        <f t="shared" si="425"/>
        <v>0</v>
      </c>
      <c r="GC1073">
        <f>IF(AND(C1073="事件记录",H1073=1),COUNTIFS($C$200:C1073,"事件记录",$H$200:H1073,1),0)</f>
        <v>0</v>
      </c>
      <c r="GD1073">
        <f t="shared" si="405"/>
        <v>0</v>
      </c>
      <c r="GH1073">
        <f>IF(AND(H1073=1,A1073=$GA$10,B1073=$GA$11),COUNTIFS($A$200:A1073,$GA$10,$B$200:B1073,$GA$11,$H$200:H1073,1),0)</f>
        <v>0</v>
      </c>
    </row>
    <row r="1074" spans="1:190">
      <c r="A1074" t="str">
        <f t="shared" si="396"/>
        <v/>
      </c>
      <c r="B1074" t="str">
        <f t="shared" si="397"/>
        <v/>
      </c>
      <c r="C1074" t="str">
        <f t="shared" si="398"/>
        <v/>
      </c>
      <c r="D1074" t="str">
        <f t="shared" si="399"/>
        <v/>
      </c>
      <c r="E1074">
        <f t="shared" si="400"/>
        <v>0</v>
      </c>
      <c r="F1074" t="str">
        <f t="shared" si="401"/>
        <v/>
      </c>
      <c r="G1074">
        <f t="shared" si="402"/>
        <v>0</v>
      </c>
      <c r="H1074">
        <f>IF(AND(G1074=1,COUNTIFS($I$200:I1074,I1074,$G$200:G1074,1)=1),1,0)</f>
        <v>0</v>
      </c>
      <c r="I1074" t="str">
        <f t="shared" si="403"/>
        <v/>
      </c>
      <c r="BF1074">
        <f t="shared" si="406"/>
        <v>0</v>
      </c>
      <c r="BG1074">
        <f t="shared" si="407"/>
        <v>0</v>
      </c>
      <c r="BH1074">
        <f t="shared" si="408"/>
        <v>0</v>
      </c>
      <c r="BI1074">
        <f t="shared" si="409"/>
        <v>0</v>
      </c>
      <c r="BJ1074">
        <f t="shared" si="410"/>
        <v>0</v>
      </c>
      <c r="BK1074">
        <f t="shared" si="411"/>
        <v>0</v>
      </c>
      <c r="BL1074">
        <f t="shared" si="412"/>
        <v>0</v>
      </c>
      <c r="BM1074">
        <f t="shared" si="413"/>
        <v>0</v>
      </c>
      <c r="BN1074">
        <f t="shared" si="414"/>
        <v>0</v>
      </c>
      <c r="BO1074">
        <f t="shared" si="415"/>
        <v>0</v>
      </c>
      <c r="BP1074">
        <f t="shared" si="416"/>
        <v>0</v>
      </c>
      <c r="BQ1074">
        <f t="shared" si="417"/>
        <v>0</v>
      </c>
      <c r="BR1074">
        <f t="shared" si="418"/>
        <v>0</v>
      </c>
      <c r="BS1074">
        <f t="shared" si="419"/>
        <v>0</v>
      </c>
      <c r="BT1074">
        <f t="shared" si="420"/>
        <v>0</v>
      </c>
      <c r="BU1074">
        <f t="shared" si="421"/>
        <v>0</v>
      </c>
      <c r="BV1074">
        <f t="shared" si="422"/>
        <v>0</v>
      </c>
      <c r="BW1074">
        <f t="shared" si="423"/>
        <v>0</v>
      </c>
      <c r="CA1074" t="str">
        <f>IF(875&gt;ROWS(DGArchive[模组]),"",IF(INDEX(DGArchive[模组],875)="","",INDEX(DGArchive[模组],875)))</f>
        <v/>
      </c>
      <c r="CB1074" t="str">
        <f>IF(875&gt;ROWS(DGArchive[阶段]),"",IF(INDEX(DGArchive[阶段],875)="","",INDEX(DGArchive[阶段],875)))</f>
        <v/>
      </c>
      <c r="CC1074" t="str">
        <f>IF(875&gt;ROWS(DGArchive[游戏内日期]),"",IF(INDEX(DGArchive[游戏内日期],875)="","",INDEX(DGArchive[游戏内日期],875)))</f>
        <v/>
      </c>
      <c r="CD1074" t="str">
        <f>IF(875&gt;ROWS(DGArchive[目标]),"",IF(INDEX(DGArchive[目标],875)="","",INDEX(DGArchive[目标],875)))</f>
        <v/>
      </c>
      <c r="CE1074" t="str">
        <f>IF(875&gt;ROWS(DGArchive[变更前]),"",IF(INDEX(DGArchive[变更前],875)="","",INDEX(DGArchive[变更前],875)))</f>
        <v/>
      </c>
      <c r="CF1074" t="str">
        <f>IF(875&gt;ROWS(DGArchive[增减]),"",IF(INDEX(DGArchive[增减],875)="","",INDEX(DGArchive[增减],875)))</f>
        <v/>
      </c>
      <c r="CG1074" t="str">
        <f>IF(875&gt;ROWS(DGArchive[变更后]),"",IF(INDEX(DGArchive[变更后],875)="","",INDEX(DGArchive[变更后],875)))</f>
        <v/>
      </c>
      <c r="CH1074" t="str">
        <f>IF(875&gt;ROWS(DGArchive[事件／活动]),"",IF(INDEX(DGArchive[事件／活动],875)="","",INDEX(DGArchive[事件／活动],875)))</f>
        <v/>
      </c>
      <c r="CI1074" t="str">
        <f>IF(875&gt;ROWS(DGArchive[记录编号]),"",IF(INDEX(DGArchive[记录编号],875)="","",INDEX(DGArchive[记录编号],875)))</f>
        <v/>
      </c>
      <c r="CL1074">
        <f t="shared" si="404"/>
        <v>0</v>
      </c>
      <c r="CM1074">
        <f>IF(AND(A1074=$AO$5,B1074=$AQ$3,H1074=1),COUNTIFS($A$200:A1074,$AO$5,$B$200:B1074,$AQ$3,$H$200:H1074,1),0)</f>
        <v>0</v>
      </c>
      <c r="CN1074">
        <f>IF(CA1074="",875,1001)</f>
        <v>875</v>
      </c>
      <c r="GA1074">
        <f t="shared" si="424"/>
        <v>0</v>
      </c>
      <c r="GB1074">
        <f t="shared" si="425"/>
        <v>0</v>
      </c>
      <c r="GC1074">
        <f>IF(AND(C1074="事件记录",H1074=1),COUNTIFS($C$200:C1074,"事件记录",$H$200:H1074,1),0)</f>
        <v>0</v>
      </c>
      <c r="GD1074">
        <f t="shared" si="405"/>
        <v>0</v>
      </c>
      <c r="GH1074">
        <f>IF(AND(H1074=1,A1074=$GA$10,B1074=$GA$11),COUNTIFS($A$200:A1074,$GA$10,$B$200:B1074,$GA$11,$H$200:H1074,1),0)</f>
        <v>0</v>
      </c>
    </row>
    <row r="1075" spans="1:190">
      <c r="A1075" t="str">
        <f t="shared" si="396"/>
        <v/>
      </c>
      <c r="B1075" t="str">
        <f t="shared" si="397"/>
        <v/>
      </c>
      <c r="C1075" t="str">
        <f t="shared" si="398"/>
        <v/>
      </c>
      <c r="D1075" t="str">
        <f t="shared" si="399"/>
        <v/>
      </c>
      <c r="E1075">
        <f t="shared" si="400"/>
        <v>0</v>
      </c>
      <c r="F1075" t="str">
        <f t="shared" si="401"/>
        <v/>
      </c>
      <c r="G1075">
        <f t="shared" si="402"/>
        <v>0</v>
      </c>
      <c r="H1075">
        <f>IF(AND(G1075=1,COUNTIFS($I$200:I1075,I1075,$G$200:G1075,1)=1),1,0)</f>
        <v>0</v>
      </c>
      <c r="I1075" t="str">
        <f t="shared" si="403"/>
        <v/>
      </c>
      <c r="BF1075">
        <f t="shared" si="406"/>
        <v>0</v>
      </c>
      <c r="BG1075">
        <f t="shared" si="407"/>
        <v>0</v>
      </c>
      <c r="BH1075">
        <f t="shared" si="408"/>
        <v>0</v>
      </c>
      <c r="BI1075">
        <f t="shared" si="409"/>
        <v>0</v>
      </c>
      <c r="BJ1075">
        <f t="shared" si="410"/>
        <v>0</v>
      </c>
      <c r="BK1075">
        <f t="shared" si="411"/>
        <v>0</v>
      </c>
      <c r="BL1075">
        <f t="shared" si="412"/>
        <v>0</v>
      </c>
      <c r="BM1075">
        <f t="shared" si="413"/>
        <v>0</v>
      </c>
      <c r="BN1075">
        <f t="shared" si="414"/>
        <v>0</v>
      </c>
      <c r="BO1075">
        <f t="shared" si="415"/>
        <v>0</v>
      </c>
      <c r="BP1075">
        <f t="shared" si="416"/>
        <v>0</v>
      </c>
      <c r="BQ1075">
        <f t="shared" si="417"/>
        <v>0</v>
      </c>
      <c r="BR1075">
        <f t="shared" si="418"/>
        <v>0</v>
      </c>
      <c r="BS1075">
        <f t="shared" si="419"/>
        <v>0</v>
      </c>
      <c r="BT1075">
        <f t="shared" si="420"/>
        <v>0</v>
      </c>
      <c r="BU1075">
        <f t="shared" si="421"/>
        <v>0</v>
      </c>
      <c r="BV1075">
        <f t="shared" si="422"/>
        <v>0</v>
      </c>
      <c r="BW1075">
        <f t="shared" si="423"/>
        <v>0</v>
      </c>
      <c r="CA1075" t="str">
        <f>IF(876&gt;ROWS(DGArchive[模组]),"",IF(INDEX(DGArchive[模组],876)="","",INDEX(DGArchive[模组],876)))</f>
        <v/>
      </c>
      <c r="CB1075" t="str">
        <f>IF(876&gt;ROWS(DGArchive[阶段]),"",IF(INDEX(DGArchive[阶段],876)="","",INDEX(DGArchive[阶段],876)))</f>
        <v/>
      </c>
      <c r="CC1075" t="str">
        <f>IF(876&gt;ROWS(DGArchive[游戏内日期]),"",IF(INDEX(DGArchive[游戏内日期],876)="","",INDEX(DGArchive[游戏内日期],876)))</f>
        <v/>
      </c>
      <c r="CD1075" t="str">
        <f>IF(876&gt;ROWS(DGArchive[目标]),"",IF(INDEX(DGArchive[目标],876)="","",INDEX(DGArchive[目标],876)))</f>
        <v/>
      </c>
      <c r="CE1075" t="str">
        <f>IF(876&gt;ROWS(DGArchive[变更前]),"",IF(INDEX(DGArchive[变更前],876)="","",INDEX(DGArchive[变更前],876)))</f>
        <v/>
      </c>
      <c r="CF1075" t="str">
        <f>IF(876&gt;ROWS(DGArchive[增减]),"",IF(INDEX(DGArchive[增减],876)="","",INDEX(DGArchive[增减],876)))</f>
        <v/>
      </c>
      <c r="CG1075" t="str">
        <f>IF(876&gt;ROWS(DGArchive[变更后]),"",IF(INDEX(DGArchive[变更后],876)="","",INDEX(DGArchive[变更后],876)))</f>
        <v/>
      </c>
      <c r="CH1075" t="str">
        <f>IF(876&gt;ROWS(DGArchive[事件／活动]),"",IF(INDEX(DGArchive[事件／活动],876)="","",INDEX(DGArchive[事件／活动],876)))</f>
        <v/>
      </c>
      <c r="CI1075" t="str">
        <f>IF(876&gt;ROWS(DGArchive[记录编号]),"",IF(INDEX(DGArchive[记录编号],876)="","",INDEX(DGArchive[记录编号],876)))</f>
        <v/>
      </c>
      <c r="CL1075">
        <f t="shared" si="404"/>
        <v>0</v>
      </c>
      <c r="CM1075">
        <f>IF(AND(A1075=$AO$5,B1075=$AQ$3,H1075=1),COUNTIFS($A$200:A1075,$AO$5,$B$200:B1075,$AQ$3,$H$200:H1075,1),0)</f>
        <v>0</v>
      </c>
      <c r="CN1075">
        <f>IF(CA1075="",876,1001)</f>
        <v>876</v>
      </c>
      <c r="GA1075">
        <f t="shared" si="424"/>
        <v>0</v>
      </c>
      <c r="GB1075">
        <f t="shared" si="425"/>
        <v>0</v>
      </c>
      <c r="GC1075">
        <f>IF(AND(C1075="事件记录",H1075=1),COUNTIFS($C$200:C1075,"事件记录",$H$200:H1075,1),0)</f>
        <v>0</v>
      </c>
      <c r="GD1075">
        <f t="shared" si="405"/>
        <v>0</v>
      </c>
      <c r="GH1075">
        <f>IF(AND(H1075=1,A1075=$GA$10,B1075=$GA$11),COUNTIFS($A$200:A1075,$GA$10,$B$200:B1075,$GA$11,$H$200:H1075,1),0)</f>
        <v>0</v>
      </c>
    </row>
    <row r="1076" spans="1:190">
      <c r="A1076" t="str">
        <f t="shared" si="396"/>
        <v/>
      </c>
      <c r="B1076" t="str">
        <f t="shared" si="397"/>
        <v/>
      </c>
      <c r="C1076" t="str">
        <f t="shared" si="398"/>
        <v/>
      </c>
      <c r="D1076" t="str">
        <f t="shared" si="399"/>
        <v/>
      </c>
      <c r="E1076">
        <f t="shared" si="400"/>
        <v>0</v>
      </c>
      <c r="F1076" t="str">
        <f t="shared" si="401"/>
        <v/>
      </c>
      <c r="G1076">
        <f t="shared" si="402"/>
        <v>0</v>
      </c>
      <c r="H1076">
        <f>IF(AND(G1076=1,COUNTIFS($I$200:I1076,I1076,$G$200:G1076,1)=1),1,0)</f>
        <v>0</v>
      </c>
      <c r="I1076" t="str">
        <f t="shared" si="403"/>
        <v/>
      </c>
      <c r="BF1076">
        <f t="shared" si="406"/>
        <v>0</v>
      </c>
      <c r="BG1076">
        <f t="shared" si="407"/>
        <v>0</v>
      </c>
      <c r="BH1076">
        <f t="shared" si="408"/>
        <v>0</v>
      </c>
      <c r="BI1076">
        <f t="shared" si="409"/>
        <v>0</v>
      </c>
      <c r="BJ1076">
        <f t="shared" si="410"/>
        <v>0</v>
      </c>
      <c r="BK1076">
        <f t="shared" si="411"/>
        <v>0</v>
      </c>
      <c r="BL1076">
        <f t="shared" si="412"/>
        <v>0</v>
      </c>
      <c r="BM1076">
        <f t="shared" si="413"/>
        <v>0</v>
      </c>
      <c r="BN1076">
        <f t="shared" si="414"/>
        <v>0</v>
      </c>
      <c r="BO1076">
        <f t="shared" si="415"/>
        <v>0</v>
      </c>
      <c r="BP1076">
        <f t="shared" si="416"/>
        <v>0</v>
      </c>
      <c r="BQ1076">
        <f t="shared" si="417"/>
        <v>0</v>
      </c>
      <c r="BR1076">
        <f t="shared" si="418"/>
        <v>0</v>
      </c>
      <c r="BS1076">
        <f t="shared" si="419"/>
        <v>0</v>
      </c>
      <c r="BT1076">
        <f t="shared" si="420"/>
        <v>0</v>
      </c>
      <c r="BU1076">
        <f t="shared" si="421"/>
        <v>0</v>
      </c>
      <c r="BV1076">
        <f t="shared" si="422"/>
        <v>0</v>
      </c>
      <c r="BW1076">
        <f t="shared" si="423"/>
        <v>0</v>
      </c>
      <c r="CA1076" t="str">
        <f>IF(877&gt;ROWS(DGArchive[模组]),"",IF(INDEX(DGArchive[模组],877)="","",INDEX(DGArchive[模组],877)))</f>
        <v/>
      </c>
      <c r="CB1076" t="str">
        <f>IF(877&gt;ROWS(DGArchive[阶段]),"",IF(INDEX(DGArchive[阶段],877)="","",INDEX(DGArchive[阶段],877)))</f>
        <v/>
      </c>
      <c r="CC1076" t="str">
        <f>IF(877&gt;ROWS(DGArchive[游戏内日期]),"",IF(INDEX(DGArchive[游戏内日期],877)="","",INDEX(DGArchive[游戏内日期],877)))</f>
        <v/>
      </c>
      <c r="CD1076" t="str">
        <f>IF(877&gt;ROWS(DGArchive[目标]),"",IF(INDEX(DGArchive[目标],877)="","",INDEX(DGArchive[目标],877)))</f>
        <v/>
      </c>
      <c r="CE1076" t="str">
        <f>IF(877&gt;ROWS(DGArchive[变更前]),"",IF(INDEX(DGArchive[变更前],877)="","",INDEX(DGArchive[变更前],877)))</f>
        <v/>
      </c>
      <c r="CF1076" t="str">
        <f>IF(877&gt;ROWS(DGArchive[增减]),"",IF(INDEX(DGArchive[增减],877)="","",INDEX(DGArchive[增减],877)))</f>
        <v/>
      </c>
      <c r="CG1076" t="str">
        <f>IF(877&gt;ROWS(DGArchive[变更后]),"",IF(INDEX(DGArchive[变更后],877)="","",INDEX(DGArchive[变更后],877)))</f>
        <v/>
      </c>
      <c r="CH1076" t="str">
        <f>IF(877&gt;ROWS(DGArchive[事件／活动]),"",IF(INDEX(DGArchive[事件／活动],877)="","",INDEX(DGArchive[事件／活动],877)))</f>
        <v/>
      </c>
      <c r="CI1076" t="str">
        <f>IF(877&gt;ROWS(DGArchive[记录编号]),"",IF(INDEX(DGArchive[记录编号],877)="","",INDEX(DGArchive[记录编号],877)))</f>
        <v/>
      </c>
      <c r="CL1076">
        <f t="shared" si="404"/>
        <v>0</v>
      </c>
      <c r="CM1076">
        <f>IF(AND(A1076=$AO$5,B1076=$AQ$3,H1076=1),COUNTIFS($A$200:A1076,$AO$5,$B$200:B1076,$AQ$3,$H$200:H1076,1),0)</f>
        <v>0</v>
      </c>
      <c r="CN1076">
        <f>IF(CA1076="",877,1001)</f>
        <v>877</v>
      </c>
      <c r="GA1076">
        <f t="shared" si="424"/>
        <v>0</v>
      </c>
      <c r="GB1076">
        <f t="shared" si="425"/>
        <v>0</v>
      </c>
      <c r="GC1076">
        <f>IF(AND(C1076="事件记录",H1076=1),COUNTIFS($C$200:C1076,"事件记录",$H$200:H1076,1),0)</f>
        <v>0</v>
      </c>
      <c r="GD1076">
        <f t="shared" si="405"/>
        <v>0</v>
      </c>
      <c r="GH1076">
        <f>IF(AND(H1076=1,A1076=$GA$10,B1076=$GA$11),COUNTIFS($A$200:A1076,$GA$10,$B$200:B1076,$GA$11,$H$200:H1076,1),0)</f>
        <v>0</v>
      </c>
    </row>
    <row r="1077" spans="1:190">
      <c r="A1077" t="str">
        <f t="shared" si="396"/>
        <v/>
      </c>
      <c r="B1077" t="str">
        <f t="shared" si="397"/>
        <v/>
      </c>
      <c r="C1077" t="str">
        <f t="shared" si="398"/>
        <v/>
      </c>
      <c r="D1077" t="str">
        <f t="shared" si="399"/>
        <v/>
      </c>
      <c r="E1077">
        <f t="shared" si="400"/>
        <v>0</v>
      </c>
      <c r="F1077" t="str">
        <f t="shared" si="401"/>
        <v/>
      </c>
      <c r="G1077">
        <f t="shared" si="402"/>
        <v>0</v>
      </c>
      <c r="H1077">
        <f>IF(AND(G1077=1,COUNTIFS($I$200:I1077,I1077,$G$200:G1077,1)=1),1,0)</f>
        <v>0</v>
      </c>
      <c r="I1077" t="str">
        <f t="shared" si="403"/>
        <v/>
      </c>
      <c r="BF1077">
        <f t="shared" si="406"/>
        <v>0</v>
      </c>
      <c r="BG1077">
        <f t="shared" si="407"/>
        <v>0</v>
      </c>
      <c r="BH1077">
        <f t="shared" si="408"/>
        <v>0</v>
      </c>
      <c r="BI1077">
        <f t="shared" si="409"/>
        <v>0</v>
      </c>
      <c r="BJ1077">
        <f t="shared" si="410"/>
        <v>0</v>
      </c>
      <c r="BK1077">
        <f t="shared" si="411"/>
        <v>0</v>
      </c>
      <c r="BL1077">
        <f t="shared" si="412"/>
        <v>0</v>
      </c>
      <c r="BM1077">
        <f t="shared" si="413"/>
        <v>0</v>
      </c>
      <c r="BN1077">
        <f t="shared" si="414"/>
        <v>0</v>
      </c>
      <c r="BO1077">
        <f t="shared" si="415"/>
        <v>0</v>
      </c>
      <c r="BP1077">
        <f t="shared" si="416"/>
        <v>0</v>
      </c>
      <c r="BQ1077">
        <f t="shared" si="417"/>
        <v>0</v>
      </c>
      <c r="BR1077">
        <f t="shared" si="418"/>
        <v>0</v>
      </c>
      <c r="BS1077">
        <f t="shared" si="419"/>
        <v>0</v>
      </c>
      <c r="BT1077">
        <f t="shared" si="420"/>
        <v>0</v>
      </c>
      <c r="BU1077">
        <f t="shared" si="421"/>
        <v>0</v>
      </c>
      <c r="BV1077">
        <f t="shared" si="422"/>
        <v>0</v>
      </c>
      <c r="BW1077">
        <f t="shared" si="423"/>
        <v>0</v>
      </c>
      <c r="CA1077" t="str">
        <f>IF(878&gt;ROWS(DGArchive[模组]),"",IF(INDEX(DGArchive[模组],878)="","",INDEX(DGArchive[模组],878)))</f>
        <v/>
      </c>
      <c r="CB1077" t="str">
        <f>IF(878&gt;ROWS(DGArchive[阶段]),"",IF(INDEX(DGArchive[阶段],878)="","",INDEX(DGArchive[阶段],878)))</f>
        <v/>
      </c>
      <c r="CC1077" t="str">
        <f>IF(878&gt;ROWS(DGArchive[游戏内日期]),"",IF(INDEX(DGArchive[游戏内日期],878)="","",INDEX(DGArchive[游戏内日期],878)))</f>
        <v/>
      </c>
      <c r="CD1077" t="str">
        <f>IF(878&gt;ROWS(DGArchive[目标]),"",IF(INDEX(DGArchive[目标],878)="","",INDEX(DGArchive[目标],878)))</f>
        <v/>
      </c>
      <c r="CE1077" t="str">
        <f>IF(878&gt;ROWS(DGArchive[变更前]),"",IF(INDEX(DGArchive[变更前],878)="","",INDEX(DGArchive[变更前],878)))</f>
        <v/>
      </c>
      <c r="CF1077" t="str">
        <f>IF(878&gt;ROWS(DGArchive[增减]),"",IF(INDEX(DGArchive[增减],878)="","",INDEX(DGArchive[增减],878)))</f>
        <v/>
      </c>
      <c r="CG1077" t="str">
        <f>IF(878&gt;ROWS(DGArchive[变更后]),"",IF(INDEX(DGArchive[变更后],878)="","",INDEX(DGArchive[变更后],878)))</f>
        <v/>
      </c>
      <c r="CH1077" t="str">
        <f>IF(878&gt;ROWS(DGArchive[事件／活动]),"",IF(INDEX(DGArchive[事件／活动],878)="","",INDEX(DGArchive[事件／活动],878)))</f>
        <v/>
      </c>
      <c r="CI1077" t="str">
        <f>IF(878&gt;ROWS(DGArchive[记录编号]),"",IF(INDEX(DGArchive[记录编号],878)="","",INDEX(DGArchive[记录编号],878)))</f>
        <v/>
      </c>
      <c r="CL1077">
        <f t="shared" si="404"/>
        <v>0</v>
      </c>
      <c r="CM1077">
        <f>IF(AND(A1077=$AO$5,B1077=$AQ$3,H1077=1),COUNTIFS($A$200:A1077,$AO$5,$B$200:B1077,$AQ$3,$H$200:H1077,1),0)</f>
        <v>0</v>
      </c>
      <c r="CN1077">
        <f>IF(CA1077="",878,1001)</f>
        <v>878</v>
      </c>
      <c r="GA1077">
        <f t="shared" si="424"/>
        <v>0</v>
      </c>
      <c r="GB1077">
        <f t="shared" si="425"/>
        <v>0</v>
      </c>
      <c r="GC1077">
        <f>IF(AND(C1077="事件记录",H1077=1),COUNTIFS($C$200:C1077,"事件记录",$H$200:H1077,1),0)</f>
        <v>0</v>
      </c>
      <c r="GD1077">
        <f t="shared" si="405"/>
        <v>0</v>
      </c>
      <c r="GH1077">
        <f>IF(AND(H1077=1,A1077=$GA$10,B1077=$GA$11),COUNTIFS($A$200:A1077,$GA$10,$B$200:B1077,$GA$11,$H$200:H1077,1),0)</f>
        <v>0</v>
      </c>
    </row>
    <row r="1078" spans="1:190">
      <c r="A1078" t="str">
        <f t="shared" si="396"/>
        <v/>
      </c>
      <c r="B1078" t="str">
        <f t="shared" si="397"/>
        <v/>
      </c>
      <c r="C1078" t="str">
        <f t="shared" si="398"/>
        <v/>
      </c>
      <c r="D1078" t="str">
        <f t="shared" si="399"/>
        <v/>
      </c>
      <c r="E1078">
        <f t="shared" si="400"/>
        <v>0</v>
      </c>
      <c r="F1078" t="str">
        <f t="shared" si="401"/>
        <v/>
      </c>
      <c r="G1078">
        <f t="shared" si="402"/>
        <v>0</v>
      </c>
      <c r="H1078">
        <f>IF(AND(G1078=1,COUNTIFS($I$200:I1078,I1078,$G$200:G1078,1)=1),1,0)</f>
        <v>0</v>
      </c>
      <c r="I1078" t="str">
        <f t="shared" si="403"/>
        <v/>
      </c>
      <c r="BF1078">
        <f t="shared" si="406"/>
        <v>0</v>
      </c>
      <c r="BG1078">
        <f t="shared" si="407"/>
        <v>0</v>
      </c>
      <c r="BH1078">
        <f t="shared" si="408"/>
        <v>0</v>
      </c>
      <c r="BI1078">
        <f t="shared" si="409"/>
        <v>0</v>
      </c>
      <c r="BJ1078">
        <f t="shared" si="410"/>
        <v>0</v>
      </c>
      <c r="BK1078">
        <f t="shared" si="411"/>
        <v>0</v>
      </c>
      <c r="BL1078">
        <f t="shared" si="412"/>
        <v>0</v>
      </c>
      <c r="BM1078">
        <f t="shared" si="413"/>
        <v>0</v>
      </c>
      <c r="BN1078">
        <f t="shared" si="414"/>
        <v>0</v>
      </c>
      <c r="BO1078">
        <f t="shared" si="415"/>
        <v>0</v>
      </c>
      <c r="BP1078">
        <f t="shared" si="416"/>
        <v>0</v>
      </c>
      <c r="BQ1078">
        <f t="shared" si="417"/>
        <v>0</v>
      </c>
      <c r="BR1078">
        <f t="shared" si="418"/>
        <v>0</v>
      </c>
      <c r="BS1078">
        <f t="shared" si="419"/>
        <v>0</v>
      </c>
      <c r="BT1078">
        <f t="shared" si="420"/>
        <v>0</v>
      </c>
      <c r="BU1078">
        <f t="shared" si="421"/>
        <v>0</v>
      </c>
      <c r="BV1078">
        <f t="shared" si="422"/>
        <v>0</v>
      </c>
      <c r="BW1078">
        <f t="shared" si="423"/>
        <v>0</v>
      </c>
      <c r="CA1078" t="str">
        <f>IF(879&gt;ROWS(DGArchive[模组]),"",IF(INDEX(DGArchive[模组],879)="","",INDEX(DGArchive[模组],879)))</f>
        <v/>
      </c>
      <c r="CB1078" t="str">
        <f>IF(879&gt;ROWS(DGArchive[阶段]),"",IF(INDEX(DGArchive[阶段],879)="","",INDEX(DGArchive[阶段],879)))</f>
        <v/>
      </c>
      <c r="CC1078" t="str">
        <f>IF(879&gt;ROWS(DGArchive[游戏内日期]),"",IF(INDEX(DGArchive[游戏内日期],879)="","",INDEX(DGArchive[游戏内日期],879)))</f>
        <v/>
      </c>
      <c r="CD1078" t="str">
        <f>IF(879&gt;ROWS(DGArchive[目标]),"",IF(INDEX(DGArchive[目标],879)="","",INDEX(DGArchive[目标],879)))</f>
        <v/>
      </c>
      <c r="CE1078" t="str">
        <f>IF(879&gt;ROWS(DGArchive[变更前]),"",IF(INDEX(DGArchive[变更前],879)="","",INDEX(DGArchive[变更前],879)))</f>
        <v/>
      </c>
      <c r="CF1078" t="str">
        <f>IF(879&gt;ROWS(DGArchive[增减]),"",IF(INDEX(DGArchive[增减],879)="","",INDEX(DGArchive[增减],879)))</f>
        <v/>
      </c>
      <c r="CG1078" t="str">
        <f>IF(879&gt;ROWS(DGArchive[变更后]),"",IF(INDEX(DGArchive[变更后],879)="","",INDEX(DGArchive[变更后],879)))</f>
        <v/>
      </c>
      <c r="CH1078" t="str">
        <f>IF(879&gt;ROWS(DGArchive[事件／活动]),"",IF(INDEX(DGArchive[事件／活动],879)="","",INDEX(DGArchive[事件／活动],879)))</f>
        <v/>
      </c>
      <c r="CI1078" t="str">
        <f>IF(879&gt;ROWS(DGArchive[记录编号]),"",IF(INDEX(DGArchive[记录编号],879)="","",INDEX(DGArchive[记录编号],879)))</f>
        <v/>
      </c>
      <c r="CL1078">
        <f t="shared" si="404"/>
        <v>0</v>
      </c>
      <c r="CM1078">
        <f>IF(AND(A1078=$AO$5,B1078=$AQ$3,H1078=1),COUNTIFS($A$200:A1078,$AO$5,$B$200:B1078,$AQ$3,$H$200:H1078,1),0)</f>
        <v>0</v>
      </c>
      <c r="CN1078">
        <f>IF(CA1078="",879,1001)</f>
        <v>879</v>
      </c>
      <c r="GA1078">
        <f t="shared" si="424"/>
        <v>0</v>
      </c>
      <c r="GB1078">
        <f t="shared" si="425"/>
        <v>0</v>
      </c>
      <c r="GC1078">
        <f>IF(AND(C1078="事件记录",H1078=1),COUNTIFS($C$200:C1078,"事件记录",$H$200:H1078,1),0)</f>
        <v>0</v>
      </c>
      <c r="GD1078">
        <f t="shared" si="405"/>
        <v>0</v>
      </c>
      <c r="GH1078">
        <f>IF(AND(H1078=1,A1078=$GA$10,B1078=$GA$11),COUNTIFS($A$200:A1078,$GA$10,$B$200:B1078,$GA$11,$H$200:H1078,1),0)</f>
        <v>0</v>
      </c>
    </row>
    <row r="1079" spans="1:190">
      <c r="A1079" t="str">
        <f t="shared" si="396"/>
        <v/>
      </c>
      <c r="B1079" t="str">
        <f t="shared" si="397"/>
        <v/>
      </c>
      <c r="C1079" t="str">
        <f t="shared" si="398"/>
        <v/>
      </c>
      <c r="D1079" t="str">
        <f t="shared" si="399"/>
        <v/>
      </c>
      <c r="E1079">
        <f t="shared" si="400"/>
        <v>0</v>
      </c>
      <c r="F1079" t="str">
        <f t="shared" si="401"/>
        <v/>
      </c>
      <c r="G1079">
        <f t="shared" si="402"/>
        <v>0</v>
      </c>
      <c r="H1079">
        <f>IF(AND(G1079=1,COUNTIFS($I$200:I1079,I1079,$G$200:G1079,1)=1),1,0)</f>
        <v>0</v>
      </c>
      <c r="I1079" t="str">
        <f t="shared" si="403"/>
        <v/>
      </c>
      <c r="BF1079">
        <f t="shared" si="406"/>
        <v>0</v>
      </c>
      <c r="BG1079">
        <f t="shared" si="407"/>
        <v>0</v>
      </c>
      <c r="BH1079">
        <f t="shared" si="408"/>
        <v>0</v>
      </c>
      <c r="BI1079">
        <f t="shared" si="409"/>
        <v>0</v>
      </c>
      <c r="BJ1079">
        <f t="shared" si="410"/>
        <v>0</v>
      </c>
      <c r="BK1079">
        <f t="shared" si="411"/>
        <v>0</v>
      </c>
      <c r="BL1079">
        <f t="shared" si="412"/>
        <v>0</v>
      </c>
      <c r="BM1079">
        <f t="shared" si="413"/>
        <v>0</v>
      </c>
      <c r="BN1079">
        <f t="shared" si="414"/>
        <v>0</v>
      </c>
      <c r="BO1079">
        <f t="shared" si="415"/>
        <v>0</v>
      </c>
      <c r="BP1079">
        <f t="shared" si="416"/>
        <v>0</v>
      </c>
      <c r="BQ1079">
        <f t="shared" si="417"/>
        <v>0</v>
      </c>
      <c r="BR1079">
        <f t="shared" si="418"/>
        <v>0</v>
      </c>
      <c r="BS1079">
        <f t="shared" si="419"/>
        <v>0</v>
      </c>
      <c r="BT1079">
        <f t="shared" si="420"/>
        <v>0</v>
      </c>
      <c r="BU1079">
        <f t="shared" si="421"/>
        <v>0</v>
      </c>
      <c r="BV1079">
        <f t="shared" si="422"/>
        <v>0</v>
      </c>
      <c r="BW1079">
        <f t="shared" si="423"/>
        <v>0</v>
      </c>
      <c r="CA1079" t="str">
        <f>IF(880&gt;ROWS(DGArchive[模组]),"",IF(INDEX(DGArchive[模组],880)="","",INDEX(DGArchive[模组],880)))</f>
        <v/>
      </c>
      <c r="CB1079" t="str">
        <f>IF(880&gt;ROWS(DGArchive[阶段]),"",IF(INDEX(DGArchive[阶段],880)="","",INDEX(DGArchive[阶段],880)))</f>
        <v/>
      </c>
      <c r="CC1079" t="str">
        <f>IF(880&gt;ROWS(DGArchive[游戏内日期]),"",IF(INDEX(DGArchive[游戏内日期],880)="","",INDEX(DGArchive[游戏内日期],880)))</f>
        <v/>
      </c>
      <c r="CD1079" t="str">
        <f>IF(880&gt;ROWS(DGArchive[目标]),"",IF(INDEX(DGArchive[目标],880)="","",INDEX(DGArchive[目标],880)))</f>
        <v/>
      </c>
      <c r="CE1079" t="str">
        <f>IF(880&gt;ROWS(DGArchive[变更前]),"",IF(INDEX(DGArchive[变更前],880)="","",INDEX(DGArchive[变更前],880)))</f>
        <v/>
      </c>
      <c r="CF1079" t="str">
        <f>IF(880&gt;ROWS(DGArchive[增减]),"",IF(INDEX(DGArchive[增减],880)="","",INDEX(DGArchive[增减],880)))</f>
        <v/>
      </c>
      <c r="CG1079" t="str">
        <f>IF(880&gt;ROWS(DGArchive[变更后]),"",IF(INDEX(DGArchive[变更后],880)="","",INDEX(DGArchive[变更后],880)))</f>
        <v/>
      </c>
      <c r="CH1079" t="str">
        <f>IF(880&gt;ROWS(DGArchive[事件／活动]),"",IF(INDEX(DGArchive[事件／活动],880)="","",INDEX(DGArchive[事件／活动],880)))</f>
        <v/>
      </c>
      <c r="CI1079" t="str">
        <f>IF(880&gt;ROWS(DGArchive[记录编号]),"",IF(INDEX(DGArchive[记录编号],880)="","",INDEX(DGArchive[记录编号],880)))</f>
        <v/>
      </c>
      <c r="CL1079">
        <f t="shared" si="404"/>
        <v>0</v>
      </c>
      <c r="CM1079">
        <f>IF(AND(A1079=$AO$5,B1079=$AQ$3,H1079=1),COUNTIFS($A$200:A1079,$AO$5,$B$200:B1079,$AQ$3,$H$200:H1079,1),0)</f>
        <v>0</v>
      </c>
      <c r="CN1079">
        <f>IF(CA1079="",880,1001)</f>
        <v>880</v>
      </c>
      <c r="GA1079">
        <f t="shared" si="424"/>
        <v>0</v>
      </c>
      <c r="GB1079">
        <f t="shared" si="425"/>
        <v>0</v>
      </c>
      <c r="GC1079">
        <f>IF(AND(C1079="事件记录",H1079=1),COUNTIFS($C$200:C1079,"事件记录",$H$200:H1079,1),0)</f>
        <v>0</v>
      </c>
      <c r="GD1079">
        <f t="shared" si="405"/>
        <v>0</v>
      </c>
      <c r="GH1079">
        <f>IF(AND(H1079=1,A1079=$GA$10,B1079=$GA$11),COUNTIFS($A$200:A1079,$GA$10,$B$200:B1079,$GA$11,$H$200:H1079,1),0)</f>
        <v>0</v>
      </c>
    </row>
    <row r="1080" spans="1:190">
      <c r="A1080" t="str">
        <f t="shared" si="396"/>
        <v/>
      </c>
      <c r="B1080" t="str">
        <f t="shared" si="397"/>
        <v/>
      </c>
      <c r="C1080" t="str">
        <f t="shared" si="398"/>
        <v/>
      </c>
      <c r="D1080" t="str">
        <f t="shared" si="399"/>
        <v/>
      </c>
      <c r="E1080">
        <f t="shared" si="400"/>
        <v>0</v>
      </c>
      <c r="F1080" t="str">
        <f t="shared" si="401"/>
        <v/>
      </c>
      <c r="G1080">
        <f t="shared" si="402"/>
        <v>0</v>
      </c>
      <c r="H1080">
        <f>IF(AND(G1080=1,COUNTIFS($I$200:I1080,I1080,$G$200:G1080,1)=1),1,0)</f>
        <v>0</v>
      </c>
      <c r="I1080" t="str">
        <f t="shared" si="403"/>
        <v/>
      </c>
      <c r="BF1080">
        <f t="shared" si="406"/>
        <v>0</v>
      </c>
      <c r="BG1080">
        <f t="shared" si="407"/>
        <v>0</v>
      </c>
      <c r="BH1080">
        <f t="shared" si="408"/>
        <v>0</v>
      </c>
      <c r="BI1080">
        <f t="shared" si="409"/>
        <v>0</v>
      </c>
      <c r="BJ1080">
        <f t="shared" si="410"/>
        <v>0</v>
      </c>
      <c r="BK1080">
        <f t="shared" si="411"/>
        <v>0</v>
      </c>
      <c r="BL1080">
        <f t="shared" si="412"/>
        <v>0</v>
      </c>
      <c r="BM1080">
        <f t="shared" si="413"/>
        <v>0</v>
      </c>
      <c r="BN1080">
        <f t="shared" si="414"/>
        <v>0</v>
      </c>
      <c r="BO1080">
        <f t="shared" si="415"/>
        <v>0</v>
      </c>
      <c r="BP1080">
        <f t="shared" si="416"/>
        <v>0</v>
      </c>
      <c r="BQ1080">
        <f t="shared" si="417"/>
        <v>0</v>
      </c>
      <c r="BR1080">
        <f t="shared" si="418"/>
        <v>0</v>
      </c>
      <c r="BS1080">
        <f t="shared" si="419"/>
        <v>0</v>
      </c>
      <c r="BT1080">
        <f t="shared" si="420"/>
        <v>0</v>
      </c>
      <c r="BU1080">
        <f t="shared" si="421"/>
        <v>0</v>
      </c>
      <c r="BV1080">
        <f t="shared" si="422"/>
        <v>0</v>
      </c>
      <c r="BW1080">
        <f t="shared" si="423"/>
        <v>0</v>
      </c>
      <c r="CA1080" t="str">
        <f>IF(881&gt;ROWS(DGArchive[模组]),"",IF(INDEX(DGArchive[模组],881)="","",INDEX(DGArchive[模组],881)))</f>
        <v/>
      </c>
      <c r="CB1080" t="str">
        <f>IF(881&gt;ROWS(DGArchive[阶段]),"",IF(INDEX(DGArchive[阶段],881)="","",INDEX(DGArchive[阶段],881)))</f>
        <v/>
      </c>
      <c r="CC1080" t="str">
        <f>IF(881&gt;ROWS(DGArchive[游戏内日期]),"",IF(INDEX(DGArchive[游戏内日期],881)="","",INDEX(DGArchive[游戏内日期],881)))</f>
        <v/>
      </c>
      <c r="CD1080" t="str">
        <f>IF(881&gt;ROWS(DGArchive[目标]),"",IF(INDEX(DGArchive[目标],881)="","",INDEX(DGArchive[目标],881)))</f>
        <v/>
      </c>
      <c r="CE1080" t="str">
        <f>IF(881&gt;ROWS(DGArchive[变更前]),"",IF(INDEX(DGArchive[变更前],881)="","",INDEX(DGArchive[变更前],881)))</f>
        <v/>
      </c>
      <c r="CF1080" t="str">
        <f>IF(881&gt;ROWS(DGArchive[增减]),"",IF(INDEX(DGArchive[增减],881)="","",INDEX(DGArchive[增减],881)))</f>
        <v/>
      </c>
      <c r="CG1080" t="str">
        <f>IF(881&gt;ROWS(DGArchive[变更后]),"",IF(INDEX(DGArchive[变更后],881)="","",INDEX(DGArchive[变更后],881)))</f>
        <v/>
      </c>
      <c r="CH1080" t="str">
        <f>IF(881&gt;ROWS(DGArchive[事件／活动]),"",IF(INDEX(DGArchive[事件／活动],881)="","",INDEX(DGArchive[事件／活动],881)))</f>
        <v/>
      </c>
      <c r="CI1080" t="str">
        <f>IF(881&gt;ROWS(DGArchive[记录编号]),"",IF(INDEX(DGArchive[记录编号],881)="","",INDEX(DGArchive[记录编号],881)))</f>
        <v/>
      </c>
      <c r="CL1080">
        <f t="shared" si="404"/>
        <v>0</v>
      </c>
      <c r="CM1080">
        <f>IF(AND(A1080=$AO$5,B1080=$AQ$3,H1080=1),COUNTIFS($A$200:A1080,$AO$5,$B$200:B1080,$AQ$3,$H$200:H1080,1),0)</f>
        <v>0</v>
      </c>
      <c r="CN1080">
        <f>IF(CA1080="",881,1001)</f>
        <v>881</v>
      </c>
      <c r="GA1080">
        <f t="shared" si="424"/>
        <v>0</v>
      </c>
      <c r="GB1080">
        <f t="shared" si="425"/>
        <v>0</v>
      </c>
      <c r="GC1080">
        <f>IF(AND(C1080="事件记录",H1080=1),COUNTIFS($C$200:C1080,"事件记录",$H$200:H1080,1),0)</f>
        <v>0</v>
      </c>
      <c r="GD1080">
        <f t="shared" si="405"/>
        <v>0</v>
      </c>
      <c r="GH1080">
        <f>IF(AND(H1080=1,A1080=$GA$10,B1080=$GA$11),COUNTIFS($A$200:A1080,$GA$10,$B$200:B1080,$GA$11,$H$200:H1080,1),0)</f>
        <v>0</v>
      </c>
    </row>
    <row r="1081" spans="1:190">
      <c r="A1081" t="str">
        <f t="shared" si="396"/>
        <v/>
      </c>
      <c r="B1081" t="str">
        <f t="shared" si="397"/>
        <v/>
      </c>
      <c r="C1081" t="str">
        <f t="shared" si="398"/>
        <v/>
      </c>
      <c r="D1081" t="str">
        <f t="shared" si="399"/>
        <v/>
      </c>
      <c r="E1081">
        <f t="shared" si="400"/>
        <v>0</v>
      </c>
      <c r="F1081" t="str">
        <f t="shared" si="401"/>
        <v/>
      </c>
      <c r="G1081">
        <f t="shared" si="402"/>
        <v>0</v>
      </c>
      <c r="H1081">
        <f>IF(AND(G1081=1,COUNTIFS($I$200:I1081,I1081,$G$200:G1081,1)=1),1,0)</f>
        <v>0</v>
      </c>
      <c r="I1081" t="str">
        <f t="shared" si="403"/>
        <v/>
      </c>
      <c r="BF1081">
        <f t="shared" si="406"/>
        <v>0</v>
      </c>
      <c r="BG1081">
        <f t="shared" si="407"/>
        <v>0</v>
      </c>
      <c r="BH1081">
        <f t="shared" si="408"/>
        <v>0</v>
      </c>
      <c r="BI1081">
        <f t="shared" si="409"/>
        <v>0</v>
      </c>
      <c r="BJ1081">
        <f t="shared" si="410"/>
        <v>0</v>
      </c>
      <c r="BK1081">
        <f t="shared" si="411"/>
        <v>0</v>
      </c>
      <c r="BL1081">
        <f t="shared" si="412"/>
        <v>0</v>
      </c>
      <c r="BM1081">
        <f t="shared" si="413"/>
        <v>0</v>
      </c>
      <c r="BN1081">
        <f t="shared" si="414"/>
        <v>0</v>
      </c>
      <c r="BO1081">
        <f t="shared" si="415"/>
        <v>0</v>
      </c>
      <c r="BP1081">
        <f t="shared" si="416"/>
        <v>0</v>
      </c>
      <c r="BQ1081">
        <f t="shared" si="417"/>
        <v>0</v>
      </c>
      <c r="BR1081">
        <f t="shared" si="418"/>
        <v>0</v>
      </c>
      <c r="BS1081">
        <f t="shared" si="419"/>
        <v>0</v>
      </c>
      <c r="BT1081">
        <f t="shared" si="420"/>
        <v>0</v>
      </c>
      <c r="BU1081">
        <f t="shared" si="421"/>
        <v>0</v>
      </c>
      <c r="BV1081">
        <f t="shared" si="422"/>
        <v>0</v>
      </c>
      <c r="BW1081">
        <f t="shared" si="423"/>
        <v>0</v>
      </c>
      <c r="CA1081" t="str">
        <f>IF(882&gt;ROWS(DGArchive[模组]),"",IF(INDEX(DGArchive[模组],882)="","",INDEX(DGArchive[模组],882)))</f>
        <v/>
      </c>
      <c r="CB1081" t="str">
        <f>IF(882&gt;ROWS(DGArchive[阶段]),"",IF(INDEX(DGArchive[阶段],882)="","",INDEX(DGArchive[阶段],882)))</f>
        <v/>
      </c>
      <c r="CC1081" t="str">
        <f>IF(882&gt;ROWS(DGArchive[游戏内日期]),"",IF(INDEX(DGArchive[游戏内日期],882)="","",INDEX(DGArchive[游戏内日期],882)))</f>
        <v/>
      </c>
      <c r="CD1081" t="str">
        <f>IF(882&gt;ROWS(DGArchive[目标]),"",IF(INDEX(DGArchive[目标],882)="","",INDEX(DGArchive[目标],882)))</f>
        <v/>
      </c>
      <c r="CE1081" t="str">
        <f>IF(882&gt;ROWS(DGArchive[变更前]),"",IF(INDEX(DGArchive[变更前],882)="","",INDEX(DGArchive[变更前],882)))</f>
        <v/>
      </c>
      <c r="CF1081" t="str">
        <f>IF(882&gt;ROWS(DGArchive[增减]),"",IF(INDEX(DGArchive[增减],882)="","",INDEX(DGArchive[增减],882)))</f>
        <v/>
      </c>
      <c r="CG1081" t="str">
        <f>IF(882&gt;ROWS(DGArchive[变更后]),"",IF(INDEX(DGArchive[变更后],882)="","",INDEX(DGArchive[变更后],882)))</f>
        <v/>
      </c>
      <c r="CH1081" t="str">
        <f>IF(882&gt;ROWS(DGArchive[事件／活动]),"",IF(INDEX(DGArchive[事件／活动],882)="","",INDEX(DGArchive[事件／活动],882)))</f>
        <v/>
      </c>
      <c r="CI1081" t="str">
        <f>IF(882&gt;ROWS(DGArchive[记录编号]),"",IF(INDEX(DGArchive[记录编号],882)="","",INDEX(DGArchive[记录编号],882)))</f>
        <v/>
      </c>
      <c r="CL1081">
        <f t="shared" si="404"/>
        <v>0</v>
      </c>
      <c r="CM1081">
        <f>IF(AND(A1081=$AO$5,B1081=$AQ$3,H1081=1),COUNTIFS($A$200:A1081,$AO$5,$B$200:B1081,$AQ$3,$H$200:H1081,1),0)</f>
        <v>0</v>
      </c>
      <c r="CN1081">
        <f>IF(CA1081="",882,1001)</f>
        <v>882</v>
      </c>
      <c r="GA1081">
        <f t="shared" si="424"/>
        <v>0</v>
      </c>
      <c r="GB1081">
        <f t="shared" si="425"/>
        <v>0</v>
      </c>
      <c r="GC1081">
        <f>IF(AND(C1081="事件记录",H1081=1),COUNTIFS($C$200:C1081,"事件记录",$H$200:H1081,1),0)</f>
        <v>0</v>
      </c>
      <c r="GD1081">
        <f t="shared" si="405"/>
        <v>0</v>
      </c>
      <c r="GH1081">
        <f>IF(AND(H1081=1,A1081=$GA$10,B1081=$GA$11),COUNTIFS($A$200:A1081,$GA$10,$B$200:B1081,$GA$11,$H$200:H1081,1),0)</f>
        <v>0</v>
      </c>
    </row>
    <row r="1082" spans="1:190">
      <c r="A1082" t="str">
        <f t="shared" si="396"/>
        <v/>
      </c>
      <c r="B1082" t="str">
        <f t="shared" si="397"/>
        <v/>
      </c>
      <c r="C1082" t="str">
        <f t="shared" si="398"/>
        <v/>
      </c>
      <c r="D1082" t="str">
        <f t="shared" si="399"/>
        <v/>
      </c>
      <c r="E1082">
        <f t="shared" si="400"/>
        <v>0</v>
      </c>
      <c r="F1082" t="str">
        <f t="shared" si="401"/>
        <v/>
      </c>
      <c r="G1082">
        <f t="shared" si="402"/>
        <v>0</v>
      </c>
      <c r="H1082">
        <f>IF(AND(G1082=1,COUNTIFS($I$200:I1082,I1082,$G$200:G1082,1)=1),1,0)</f>
        <v>0</v>
      </c>
      <c r="I1082" t="str">
        <f t="shared" si="403"/>
        <v/>
      </c>
      <c r="BF1082">
        <f t="shared" si="406"/>
        <v>0</v>
      </c>
      <c r="BG1082">
        <f t="shared" si="407"/>
        <v>0</v>
      </c>
      <c r="BH1082">
        <f t="shared" si="408"/>
        <v>0</v>
      </c>
      <c r="BI1082">
        <f t="shared" si="409"/>
        <v>0</v>
      </c>
      <c r="BJ1082">
        <f t="shared" si="410"/>
        <v>0</v>
      </c>
      <c r="BK1082">
        <f t="shared" si="411"/>
        <v>0</v>
      </c>
      <c r="BL1082">
        <f t="shared" si="412"/>
        <v>0</v>
      </c>
      <c r="BM1082">
        <f t="shared" si="413"/>
        <v>0</v>
      </c>
      <c r="BN1082">
        <f t="shared" si="414"/>
        <v>0</v>
      </c>
      <c r="BO1082">
        <f t="shared" si="415"/>
        <v>0</v>
      </c>
      <c r="BP1082">
        <f t="shared" si="416"/>
        <v>0</v>
      </c>
      <c r="BQ1082">
        <f t="shared" si="417"/>
        <v>0</v>
      </c>
      <c r="BR1082">
        <f t="shared" si="418"/>
        <v>0</v>
      </c>
      <c r="BS1082">
        <f t="shared" si="419"/>
        <v>0</v>
      </c>
      <c r="BT1082">
        <f t="shared" si="420"/>
        <v>0</v>
      </c>
      <c r="BU1082">
        <f t="shared" si="421"/>
        <v>0</v>
      </c>
      <c r="BV1082">
        <f t="shared" si="422"/>
        <v>0</v>
      </c>
      <c r="BW1082">
        <f t="shared" si="423"/>
        <v>0</v>
      </c>
      <c r="CA1082" t="str">
        <f>IF(883&gt;ROWS(DGArchive[模组]),"",IF(INDEX(DGArchive[模组],883)="","",INDEX(DGArchive[模组],883)))</f>
        <v/>
      </c>
      <c r="CB1082" t="str">
        <f>IF(883&gt;ROWS(DGArchive[阶段]),"",IF(INDEX(DGArchive[阶段],883)="","",INDEX(DGArchive[阶段],883)))</f>
        <v/>
      </c>
      <c r="CC1082" t="str">
        <f>IF(883&gt;ROWS(DGArchive[游戏内日期]),"",IF(INDEX(DGArchive[游戏内日期],883)="","",INDEX(DGArchive[游戏内日期],883)))</f>
        <v/>
      </c>
      <c r="CD1082" t="str">
        <f>IF(883&gt;ROWS(DGArchive[目标]),"",IF(INDEX(DGArchive[目标],883)="","",INDEX(DGArchive[目标],883)))</f>
        <v/>
      </c>
      <c r="CE1082" t="str">
        <f>IF(883&gt;ROWS(DGArchive[变更前]),"",IF(INDEX(DGArchive[变更前],883)="","",INDEX(DGArchive[变更前],883)))</f>
        <v/>
      </c>
      <c r="CF1082" t="str">
        <f>IF(883&gt;ROWS(DGArchive[增减]),"",IF(INDEX(DGArchive[增减],883)="","",INDEX(DGArchive[增减],883)))</f>
        <v/>
      </c>
      <c r="CG1082" t="str">
        <f>IF(883&gt;ROWS(DGArchive[变更后]),"",IF(INDEX(DGArchive[变更后],883)="","",INDEX(DGArchive[变更后],883)))</f>
        <v/>
      </c>
      <c r="CH1082" t="str">
        <f>IF(883&gt;ROWS(DGArchive[事件／活动]),"",IF(INDEX(DGArchive[事件／活动],883)="","",INDEX(DGArchive[事件／活动],883)))</f>
        <v/>
      </c>
      <c r="CI1082" t="str">
        <f>IF(883&gt;ROWS(DGArchive[记录编号]),"",IF(INDEX(DGArchive[记录编号],883)="","",INDEX(DGArchive[记录编号],883)))</f>
        <v/>
      </c>
      <c r="CL1082">
        <f t="shared" si="404"/>
        <v>0</v>
      </c>
      <c r="CM1082">
        <f>IF(AND(A1082=$AO$5,B1082=$AQ$3,H1082=1),COUNTIFS($A$200:A1082,$AO$5,$B$200:B1082,$AQ$3,$H$200:H1082,1),0)</f>
        <v>0</v>
      </c>
      <c r="CN1082">
        <f>IF(CA1082="",883,1001)</f>
        <v>883</v>
      </c>
      <c r="GA1082">
        <f t="shared" si="424"/>
        <v>0</v>
      </c>
      <c r="GB1082">
        <f t="shared" si="425"/>
        <v>0</v>
      </c>
      <c r="GC1082">
        <f>IF(AND(C1082="事件记录",H1082=1),COUNTIFS($C$200:C1082,"事件记录",$H$200:H1082,1),0)</f>
        <v>0</v>
      </c>
      <c r="GD1082">
        <f t="shared" si="405"/>
        <v>0</v>
      </c>
      <c r="GH1082">
        <f>IF(AND(H1082=1,A1082=$GA$10,B1082=$GA$11),COUNTIFS($A$200:A1082,$GA$10,$B$200:B1082,$GA$11,$H$200:H1082,1),0)</f>
        <v>0</v>
      </c>
    </row>
    <row r="1083" spans="1:190">
      <c r="A1083" t="str">
        <f t="shared" si="396"/>
        <v/>
      </c>
      <c r="B1083" t="str">
        <f t="shared" si="397"/>
        <v/>
      </c>
      <c r="C1083" t="str">
        <f t="shared" si="398"/>
        <v/>
      </c>
      <c r="D1083" t="str">
        <f t="shared" si="399"/>
        <v/>
      </c>
      <c r="E1083">
        <f t="shared" si="400"/>
        <v>0</v>
      </c>
      <c r="F1083" t="str">
        <f t="shared" si="401"/>
        <v/>
      </c>
      <c r="G1083">
        <f t="shared" si="402"/>
        <v>0</v>
      </c>
      <c r="H1083">
        <f>IF(AND(G1083=1,COUNTIFS($I$200:I1083,I1083,$G$200:G1083,1)=1),1,0)</f>
        <v>0</v>
      </c>
      <c r="I1083" t="str">
        <f t="shared" si="403"/>
        <v/>
      </c>
      <c r="BF1083">
        <f t="shared" si="406"/>
        <v>0</v>
      </c>
      <c r="BG1083">
        <f t="shared" si="407"/>
        <v>0</v>
      </c>
      <c r="BH1083">
        <f t="shared" si="408"/>
        <v>0</v>
      </c>
      <c r="BI1083">
        <f t="shared" si="409"/>
        <v>0</v>
      </c>
      <c r="BJ1083">
        <f t="shared" si="410"/>
        <v>0</v>
      </c>
      <c r="BK1083">
        <f t="shared" si="411"/>
        <v>0</v>
      </c>
      <c r="BL1083">
        <f t="shared" si="412"/>
        <v>0</v>
      </c>
      <c r="BM1083">
        <f t="shared" si="413"/>
        <v>0</v>
      </c>
      <c r="BN1083">
        <f t="shared" si="414"/>
        <v>0</v>
      </c>
      <c r="BO1083">
        <f t="shared" si="415"/>
        <v>0</v>
      </c>
      <c r="BP1083">
        <f t="shared" si="416"/>
        <v>0</v>
      </c>
      <c r="BQ1083">
        <f t="shared" si="417"/>
        <v>0</v>
      </c>
      <c r="BR1083">
        <f t="shared" si="418"/>
        <v>0</v>
      </c>
      <c r="BS1083">
        <f t="shared" si="419"/>
        <v>0</v>
      </c>
      <c r="BT1083">
        <f t="shared" si="420"/>
        <v>0</v>
      </c>
      <c r="BU1083">
        <f t="shared" si="421"/>
        <v>0</v>
      </c>
      <c r="BV1083">
        <f t="shared" si="422"/>
        <v>0</v>
      </c>
      <c r="BW1083">
        <f t="shared" si="423"/>
        <v>0</v>
      </c>
      <c r="CA1083" t="str">
        <f>IF(884&gt;ROWS(DGArchive[模组]),"",IF(INDEX(DGArchive[模组],884)="","",INDEX(DGArchive[模组],884)))</f>
        <v/>
      </c>
      <c r="CB1083" t="str">
        <f>IF(884&gt;ROWS(DGArchive[阶段]),"",IF(INDEX(DGArchive[阶段],884)="","",INDEX(DGArchive[阶段],884)))</f>
        <v/>
      </c>
      <c r="CC1083" t="str">
        <f>IF(884&gt;ROWS(DGArchive[游戏内日期]),"",IF(INDEX(DGArchive[游戏内日期],884)="","",INDEX(DGArchive[游戏内日期],884)))</f>
        <v/>
      </c>
      <c r="CD1083" t="str">
        <f>IF(884&gt;ROWS(DGArchive[目标]),"",IF(INDEX(DGArchive[目标],884)="","",INDEX(DGArchive[目标],884)))</f>
        <v/>
      </c>
      <c r="CE1083" t="str">
        <f>IF(884&gt;ROWS(DGArchive[变更前]),"",IF(INDEX(DGArchive[变更前],884)="","",INDEX(DGArchive[变更前],884)))</f>
        <v/>
      </c>
      <c r="CF1083" t="str">
        <f>IF(884&gt;ROWS(DGArchive[增减]),"",IF(INDEX(DGArchive[增减],884)="","",INDEX(DGArchive[增减],884)))</f>
        <v/>
      </c>
      <c r="CG1083" t="str">
        <f>IF(884&gt;ROWS(DGArchive[变更后]),"",IF(INDEX(DGArchive[变更后],884)="","",INDEX(DGArchive[变更后],884)))</f>
        <v/>
      </c>
      <c r="CH1083" t="str">
        <f>IF(884&gt;ROWS(DGArchive[事件／活动]),"",IF(INDEX(DGArchive[事件／活动],884)="","",INDEX(DGArchive[事件／活动],884)))</f>
        <v/>
      </c>
      <c r="CI1083" t="str">
        <f>IF(884&gt;ROWS(DGArchive[记录编号]),"",IF(INDEX(DGArchive[记录编号],884)="","",INDEX(DGArchive[记录编号],884)))</f>
        <v/>
      </c>
      <c r="CL1083">
        <f t="shared" si="404"/>
        <v>0</v>
      </c>
      <c r="CM1083">
        <f>IF(AND(A1083=$AO$5,B1083=$AQ$3,H1083=1),COUNTIFS($A$200:A1083,$AO$5,$B$200:B1083,$AQ$3,$H$200:H1083,1),0)</f>
        <v>0</v>
      </c>
      <c r="CN1083">
        <f>IF(CA1083="",884,1001)</f>
        <v>884</v>
      </c>
      <c r="GA1083">
        <f t="shared" si="424"/>
        <v>0</v>
      </c>
      <c r="GB1083">
        <f t="shared" si="425"/>
        <v>0</v>
      </c>
      <c r="GC1083">
        <f>IF(AND(C1083="事件记录",H1083=1),COUNTIFS($C$200:C1083,"事件记录",$H$200:H1083,1),0)</f>
        <v>0</v>
      </c>
      <c r="GD1083">
        <f t="shared" si="405"/>
        <v>0</v>
      </c>
      <c r="GH1083">
        <f>IF(AND(H1083=1,A1083=$GA$10,B1083=$GA$11),COUNTIFS($A$200:A1083,$GA$10,$B$200:B1083,$GA$11,$H$200:H1083,1),0)</f>
        <v>0</v>
      </c>
    </row>
    <row r="1084" spans="1:190">
      <c r="A1084" t="str">
        <f t="shared" si="396"/>
        <v/>
      </c>
      <c r="B1084" t="str">
        <f t="shared" si="397"/>
        <v/>
      </c>
      <c r="C1084" t="str">
        <f t="shared" si="398"/>
        <v/>
      </c>
      <c r="D1084" t="str">
        <f t="shared" si="399"/>
        <v/>
      </c>
      <c r="E1084">
        <f t="shared" si="400"/>
        <v>0</v>
      </c>
      <c r="F1084" t="str">
        <f t="shared" si="401"/>
        <v/>
      </c>
      <c r="G1084">
        <f t="shared" si="402"/>
        <v>0</v>
      </c>
      <c r="H1084">
        <f>IF(AND(G1084=1,COUNTIFS($I$200:I1084,I1084,$G$200:G1084,1)=1),1,0)</f>
        <v>0</v>
      </c>
      <c r="I1084" t="str">
        <f t="shared" si="403"/>
        <v/>
      </c>
      <c r="BF1084">
        <f t="shared" si="406"/>
        <v>0</v>
      </c>
      <c r="BG1084">
        <f t="shared" si="407"/>
        <v>0</v>
      </c>
      <c r="BH1084">
        <f t="shared" si="408"/>
        <v>0</v>
      </c>
      <c r="BI1084">
        <f t="shared" si="409"/>
        <v>0</v>
      </c>
      <c r="BJ1084">
        <f t="shared" si="410"/>
        <v>0</v>
      </c>
      <c r="BK1084">
        <f t="shared" si="411"/>
        <v>0</v>
      </c>
      <c r="BL1084">
        <f t="shared" si="412"/>
        <v>0</v>
      </c>
      <c r="BM1084">
        <f t="shared" si="413"/>
        <v>0</v>
      </c>
      <c r="BN1084">
        <f t="shared" si="414"/>
        <v>0</v>
      </c>
      <c r="BO1084">
        <f t="shared" si="415"/>
        <v>0</v>
      </c>
      <c r="BP1084">
        <f t="shared" si="416"/>
        <v>0</v>
      </c>
      <c r="BQ1084">
        <f t="shared" si="417"/>
        <v>0</v>
      </c>
      <c r="BR1084">
        <f t="shared" si="418"/>
        <v>0</v>
      </c>
      <c r="BS1084">
        <f t="shared" si="419"/>
        <v>0</v>
      </c>
      <c r="BT1084">
        <f t="shared" si="420"/>
        <v>0</v>
      </c>
      <c r="BU1084">
        <f t="shared" si="421"/>
        <v>0</v>
      </c>
      <c r="BV1084">
        <f t="shared" si="422"/>
        <v>0</v>
      </c>
      <c r="BW1084">
        <f t="shared" si="423"/>
        <v>0</v>
      </c>
      <c r="CA1084" t="str">
        <f>IF(885&gt;ROWS(DGArchive[模组]),"",IF(INDEX(DGArchive[模组],885)="","",INDEX(DGArchive[模组],885)))</f>
        <v/>
      </c>
      <c r="CB1084" t="str">
        <f>IF(885&gt;ROWS(DGArchive[阶段]),"",IF(INDEX(DGArchive[阶段],885)="","",INDEX(DGArchive[阶段],885)))</f>
        <v/>
      </c>
      <c r="CC1084" t="str">
        <f>IF(885&gt;ROWS(DGArchive[游戏内日期]),"",IF(INDEX(DGArchive[游戏内日期],885)="","",INDEX(DGArchive[游戏内日期],885)))</f>
        <v/>
      </c>
      <c r="CD1084" t="str">
        <f>IF(885&gt;ROWS(DGArchive[目标]),"",IF(INDEX(DGArchive[目标],885)="","",INDEX(DGArchive[目标],885)))</f>
        <v/>
      </c>
      <c r="CE1084" t="str">
        <f>IF(885&gt;ROWS(DGArchive[变更前]),"",IF(INDEX(DGArchive[变更前],885)="","",INDEX(DGArchive[变更前],885)))</f>
        <v/>
      </c>
      <c r="CF1084" t="str">
        <f>IF(885&gt;ROWS(DGArchive[增减]),"",IF(INDEX(DGArchive[增减],885)="","",INDEX(DGArchive[增减],885)))</f>
        <v/>
      </c>
      <c r="CG1084" t="str">
        <f>IF(885&gt;ROWS(DGArchive[变更后]),"",IF(INDEX(DGArchive[变更后],885)="","",INDEX(DGArchive[变更后],885)))</f>
        <v/>
      </c>
      <c r="CH1084" t="str">
        <f>IF(885&gt;ROWS(DGArchive[事件／活动]),"",IF(INDEX(DGArchive[事件／活动],885)="","",INDEX(DGArchive[事件／活动],885)))</f>
        <v/>
      </c>
      <c r="CI1084" t="str">
        <f>IF(885&gt;ROWS(DGArchive[记录编号]),"",IF(INDEX(DGArchive[记录编号],885)="","",INDEX(DGArchive[记录编号],885)))</f>
        <v/>
      </c>
      <c r="CL1084">
        <f t="shared" si="404"/>
        <v>0</v>
      </c>
      <c r="CM1084">
        <f>IF(AND(A1084=$AO$5,B1084=$AQ$3,H1084=1),COUNTIFS($A$200:A1084,$AO$5,$B$200:B1084,$AQ$3,$H$200:H1084,1),0)</f>
        <v>0</v>
      </c>
      <c r="CN1084">
        <f>IF(CA1084="",885,1001)</f>
        <v>885</v>
      </c>
      <c r="GA1084">
        <f t="shared" si="424"/>
        <v>0</v>
      </c>
      <c r="GB1084">
        <f t="shared" si="425"/>
        <v>0</v>
      </c>
      <c r="GC1084">
        <f>IF(AND(C1084="事件记录",H1084=1),COUNTIFS($C$200:C1084,"事件记录",$H$200:H1084,1),0)</f>
        <v>0</v>
      </c>
      <c r="GD1084">
        <f t="shared" si="405"/>
        <v>0</v>
      </c>
      <c r="GH1084">
        <f>IF(AND(H1084=1,A1084=$GA$10,B1084=$GA$11),COUNTIFS($A$200:A1084,$GA$10,$B$200:B1084,$GA$11,$H$200:H1084,1),0)</f>
        <v>0</v>
      </c>
    </row>
    <row r="1085" spans="1:190">
      <c r="A1085" t="str">
        <f t="shared" si="396"/>
        <v/>
      </c>
      <c r="B1085" t="str">
        <f t="shared" si="397"/>
        <v/>
      </c>
      <c r="C1085" t="str">
        <f t="shared" si="398"/>
        <v/>
      </c>
      <c r="D1085" t="str">
        <f t="shared" si="399"/>
        <v/>
      </c>
      <c r="E1085">
        <f t="shared" si="400"/>
        <v>0</v>
      </c>
      <c r="F1085" t="str">
        <f t="shared" si="401"/>
        <v/>
      </c>
      <c r="G1085">
        <f t="shared" si="402"/>
        <v>0</v>
      </c>
      <c r="H1085">
        <f>IF(AND(G1085=1,COUNTIFS($I$200:I1085,I1085,$G$200:G1085,1)=1),1,0)</f>
        <v>0</v>
      </c>
      <c r="I1085" t="str">
        <f t="shared" si="403"/>
        <v/>
      </c>
      <c r="BF1085">
        <f t="shared" si="406"/>
        <v>0</v>
      </c>
      <c r="BG1085">
        <f t="shared" si="407"/>
        <v>0</v>
      </c>
      <c r="BH1085">
        <f t="shared" si="408"/>
        <v>0</v>
      </c>
      <c r="BI1085">
        <f t="shared" si="409"/>
        <v>0</v>
      </c>
      <c r="BJ1085">
        <f t="shared" si="410"/>
        <v>0</v>
      </c>
      <c r="BK1085">
        <f t="shared" si="411"/>
        <v>0</v>
      </c>
      <c r="BL1085">
        <f t="shared" si="412"/>
        <v>0</v>
      </c>
      <c r="BM1085">
        <f t="shared" si="413"/>
        <v>0</v>
      </c>
      <c r="BN1085">
        <f t="shared" si="414"/>
        <v>0</v>
      </c>
      <c r="BO1085">
        <f t="shared" si="415"/>
        <v>0</v>
      </c>
      <c r="BP1085">
        <f t="shared" si="416"/>
        <v>0</v>
      </c>
      <c r="BQ1085">
        <f t="shared" si="417"/>
        <v>0</v>
      </c>
      <c r="BR1085">
        <f t="shared" si="418"/>
        <v>0</v>
      </c>
      <c r="BS1085">
        <f t="shared" si="419"/>
        <v>0</v>
      </c>
      <c r="BT1085">
        <f t="shared" si="420"/>
        <v>0</v>
      </c>
      <c r="BU1085">
        <f t="shared" si="421"/>
        <v>0</v>
      </c>
      <c r="BV1085">
        <f t="shared" si="422"/>
        <v>0</v>
      </c>
      <c r="BW1085">
        <f t="shared" si="423"/>
        <v>0</v>
      </c>
      <c r="CA1085" t="str">
        <f>IF(886&gt;ROWS(DGArchive[模组]),"",IF(INDEX(DGArchive[模组],886)="","",INDEX(DGArchive[模组],886)))</f>
        <v/>
      </c>
      <c r="CB1085" t="str">
        <f>IF(886&gt;ROWS(DGArchive[阶段]),"",IF(INDEX(DGArchive[阶段],886)="","",INDEX(DGArchive[阶段],886)))</f>
        <v/>
      </c>
      <c r="CC1085" t="str">
        <f>IF(886&gt;ROWS(DGArchive[游戏内日期]),"",IF(INDEX(DGArchive[游戏内日期],886)="","",INDEX(DGArchive[游戏内日期],886)))</f>
        <v/>
      </c>
      <c r="CD1085" t="str">
        <f>IF(886&gt;ROWS(DGArchive[目标]),"",IF(INDEX(DGArchive[目标],886)="","",INDEX(DGArchive[目标],886)))</f>
        <v/>
      </c>
      <c r="CE1085" t="str">
        <f>IF(886&gt;ROWS(DGArchive[变更前]),"",IF(INDEX(DGArchive[变更前],886)="","",INDEX(DGArchive[变更前],886)))</f>
        <v/>
      </c>
      <c r="CF1085" t="str">
        <f>IF(886&gt;ROWS(DGArchive[增减]),"",IF(INDEX(DGArchive[增减],886)="","",INDEX(DGArchive[增减],886)))</f>
        <v/>
      </c>
      <c r="CG1085" t="str">
        <f>IF(886&gt;ROWS(DGArchive[变更后]),"",IF(INDEX(DGArchive[变更后],886)="","",INDEX(DGArchive[变更后],886)))</f>
        <v/>
      </c>
      <c r="CH1085" t="str">
        <f>IF(886&gt;ROWS(DGArchive[事件／活动]),"",IF(INDEX(DGArchive[事件／活动],886)="","",INDEX(DGArchive[事件／活动],886)))</f>
        <v/>
      </c>
      <c r="CI1085" t="str">
        <f>IF(886&gt;ROWS(DGArchive[记录编号]),"",IF(INDEX(DGArchive[记录编号],886)="","",INDEX(DGArchive[记录编号],886)))</f>
        <v/>
      </c>
      <c r="CL1085">
        <f t="shared" si="404"/>
        <v>0</v>
      </c>
      <c r="CM1085">
        <f>IF(AND(A1085=$AO$5,B1085=$AQ$3,H1085=1),COUNTIFS($A$200:A1085,$AO$5,$B$200:B1085,$AQ$3,$H$200:H1085,1),0)</f>
        <v>0</v>
      </c>
      <c r="CN1085">
        <f>IF(CA1085="",886,1001)</f>
        <v>886</v>
      </c>
      <c r="GA1085">
        <f t="shared" si="424"/>
        <v>0</v>
      </c>
      <c r="GB1085">
        <f t="shared" si="425"/>
        <v>0</v>
      </c>
      <c r="GC1085">
        <f>IF(AND(C1085="事件记录",H1085=1),COUNTIFS($C$200:C1085,"事件记录",$H$200:H1085,1),0)</f>
        <v>0</v>
      </c>
      <c r="GD1085">
        <f t="shared" si="405"/>
        <v>0</v>
      </c>
      <c r="GH1085">
        <f>IF(AND(H1085=1,A1085=$GA$10,B1085=$GA$11),COUNTIFS($A$200:A1085,$GA$10,$B$200:B1085,$GA$11,$H$200:H1085,1),0)</f>
        <v>0</v>
      </c>
    </row>
    <row r="1086" spans="1:190">
      <c r="A1086" t="str">
        <f t="shared" si="396"/>
        <v/>
      </c>
      <c r="B1086" t="str">
        <f t="shared" si="397"/>
        <v/>
      </c>
      <c r="C1086" t="str">
        <f t="shared" si="398"/>
        <v/>
      </c>
      <c r="D1086" t="str">
        <f t="shared" si="399"/>
        <v/>
      </c>
      <c r="E1086">
        <f t="shared" si="400"/>
        <v>0</v>
      </c>
      <c r="F1086" t="str">
        <f t="shared" si="401"/>
        <v/>
      </c>
      <c r="G1086">
        <f t="shared" si="402"/>
        <v>0</v>
      </c>
      <c r="H1086">
        <f>IF(AND(G1086=1,COUNTIFS($I$200:I1086,I1086,$G$200:G1086,1)=1),1,0)</f>
        <v>0</v>
      </c>
      <c r="I1086" t="str">
        <f t="shared" si="403"/>
        <v/>
      </c>
      <c r="BF1086">
        <f t="shared" si="406"/>
        <v>0</v>
      </c>
      <c r="BG1086">
        <f t="shared" si="407"/>
        <v>0</v>
      </c>
      <c r="BH1086">
        <f t="shared" si="408"/>
        <v>0</v>
      </c>
      <c r="BI1086">
        <f t="shared" si="409"/>
        <v>0</v>
      </c>
      <c r="BJ1086">
        <f t="shared" si="410"/>
        <v>0</v>
      </c>
      <c r="BK1086">
        <f t="shared" si="411"/>
        <v>0</v>
      </c>
      <c r="BL1086">
        <f t="shared" si="412"/>
        <v>0</v>
      </c>
      <c r="BM1086">
        <f t="shared" si="413"/>
        <v>0</v>
      </c>
      <c r="BN1086">
        <f t="shared" si="414"/>
        <v>0</v>
      </c>
      <c r="BO1086">
        <f t="shared" si="415"/>
        <v>0</v>
      </c>
      <c r="BP1086">
        <f t="shared" si="416"/>
        <v>0</v>
      </c>
      <c r="BQ1086">
        <f t="shared" si="417"/>
        <v>0</v>
      </c>
      <c r="BR1086">
        <f t="shared" si="418"/>
        <v>0</v>
      </c>
      <c r="BS1086">
        <f t="shared" si="419"/>
        <v>0</v>
      </c>
      <c r="BT1086">
        <f t="shared" si="420"/>
        <v>0</v>
      </c>
      <c r="BU1086">
        <f t="shared" si="421"/>
        <v>0</v>
      </c>
      <c r="BV1086">
        <f t="shared" si="422"/>
        <v>0</v>
      </c>
      <c r="BW1086">
        <f t="shared" si="423"/>
        <v>0</v>
      </c>
      <c r="CA1086" t="str">
        <f>IF(887&gt;ROWS(DGArchive[模组]),"",IF(INDEX(DGArchive[模组],887)="","",INDEX(DGArchive[模组],887)))</f>
        <v/>
      </c>
      <c r="CB1086" t="str">
        <f>IF(887&gt;ROWS(DGArchive[阶段]),"",IF(INDEX(DGArchive[阶段],887)="","",INDEX(DGArchive[阶段],887)))</f>
        <v/>
      </c>
      <c r="CC1086" t="str">
        <f>IF(887&gt;ROWS(DGArchive[游戏内日期]),"",IF(INDEX(DGArchive[游戏内日期],887)="","",INDEX(DGArchive[游戏内日期],887)))</f>
        <v/>
      </c>
      <c r="CD1086" t="str">
        <f>IF(887&gt;ROWS(DGArchive[目标]),"",IF(INDEX(DGArchive[目标],887)="","",INDEX(DGArchive[目标],887)))</f>
        <v/>
      </c>
      <c r="CE1086" t="str">
        <f>IF(887&gt;ROWS(DGArchive[变更前]),"",IF(INDEX(DGArchive[变更前],887)="","",INDEX(DGArchive[变更前],887)))</f>
        <v/>
      </c>
      <c r="CF1086" t="str">
        <f>IF(887&gt;ROWS(DGArchive[增减]),"",IF(INDEX(DGArchive[增减],887)="","",INDEX(DGArchive[增减],887)))</f>
        <v/>
      </c>
      <c r="CG1086" t="str">
        <f>IF(887&gt;ROWS(DGArchive[变更后]),"",IF(INDEX(DGArchive[变更后],887)="","",INDEX(DGArchive[变更后],887)))</f>
        <v/>
      </c>
      <c r="CH1086" t="str">
        <f>IF(887&gt;ROWS(DGArchive[事件／活动]),"",IF(INDEX(DGArchive[事件／活动],887)="","",INDEX(DGArchive[事件／活动],887)))</f>
        <v/>
      </c>
      <c r="CI1086" t="str">
        <f>IF(887&gt;ROWS(DGArchive[记录编号]),"",IF(INDEX(DGArchive[记录编号],887)="","",INDEX(DGArchive[记录编号],887)))</f>
        <v/>
      </c>
      <c r="CL1086">
        <f t="shared" si="404"/>
        <v>0</v>
      </c>
      <c r="CM1086">
        <f>IF(AND(A1086=$AO$5,B1086=$AQ$3,H1086=1),COUNTIFS($A$200:A1086,$AO$5,$B$200:B1086,$AQ$3,$H$200:H1086,1),0)</f>
        <v>0</v>
      </c>
      <c r="CN1086">
        <f>IF(CA1086="",887,1001)</f>
        <v>887</v>
      </c>
      <c r="GA1086">
        <f t="shared" si="424"/>
        <v>0</v>
      </c>
      <c r="GB1086">
        <f t="shared" si="425"/>
        <v>0</v>
      </c>
      <c r="GC1086">
        <f>IF(AND(C1086="事件记录",H1086=1),COUNTIFS($C$200:C1086,"事件记录",$H$200:H1086,1),0)</f>
        <v>0</v>
      </c>
      <c r="GD1086">
        <f t="shared" si="405"/>
        <v>0</v>
      </c>
      <c r="GH1086">
        <f>IF(AND(H1086=1,A1086=$GA$10,B1086=$GA$11),COUNTIFS($A$200:A1086,$GA$10,$B$200:B1086,$GA$11,$H$200:H1086,1),0)</f>
        <v>0</v>
      </c>
    </row>
    <row r="1087" spans="1:190">
      <c r="A1087" t="str">
        <f t="shared" si="396"/>
        <v/>
      </c>
      <c r="B1087" t="str">
        <f t="shared" si="397"/>
        <v/>
      </c>
      <c r="C1087" t="str">
        <f t="shared" si="398"/>
        <v/>
      </c>
      <c r="D1087" t="str">
        <f t="shared" si="399"/>
        <v/>
      </c>
      <c r="E1087">
        <f t="shared" si="400"/>
        <v>0</v>
      </c>
      <c r="F1087" t="str">
        <f t="shared" si="401"/>
        <v/>
      </c>
      <c r="G1087">
        <f t="shared" si="402"/>
        <v>0</v>
      </c>
      <c r="H1087">
        <f>IF(AND(G1087=1,COUNTIFS($I$200:I1087,I1087,$G$200:G1087,1)=1),1,0)</f>
        <v>0</v>
      </c>
      <c r="I1087" t="str">
        <f t="shared" si="403"/>
        <v/>
      </c>
      <c r="BF1087">
        <f t="shared" si="406"/>
        <v>0</v>
      </c>
      <c r="BG1087">
        <f t="shared" si="407"/>
        <v>0</v>
      </c>
      <c r="BH1087">
        <f t="shared" si="408"/>
        <v>0</v>
      </c>
      <c r="BI1087">
        <f t="shared" si="409"/>
        <v>0</v>
      </c>
      <c r="BJ1087">
        <f t="shared" si="410"/>
        <v>0</v>
      </c>
      <c r="BK1087">
        <f t="shared" si="411"/>
        <v>0</v>
      </c>
      <c r="BL1087">
        <f t="shared" si="412"/>
        <v>0</v>
      </c>
      <c r="BM1087">
        <f t="shared" si="413"/>
        <v>0</v>
      </c>
      <c r="BN1087">
        <f t="shared" si="414"/>
        <v>0</v>
      </c>
      <c r="BO1087">
        <f t="shared" si="415"/>
        <v>0</v>
      </c>
      <c r="BP1087">
        <f t="shared" si="416"/>
        <v>0</v>
      </c>
      <c r="BQ1087">
        <f t="shared" si="417"/>
        <v>0</v>
      </c>
      <c r="BR1087">
        <f t="shared" si="418"/>
        <v>0</v>
      </c>
      <c r="BS1087">
        <f t="shared" si="419"/>
        <v>0</v>
      </c>
      <c r="BT1087">
        <f t="shared" si="420"/>
        <v>0</v>
      </c>
      <c r="BU1087">
        <f t="shared" si="421"/>
        <v>0</v>
      </c>
      <c r="BV1087">
        <f t="shared" si="422"/>
        <v>0</v>
      </c>
      <c r="BW1087">
        <f t="shared" si="423"/>
        <v>0</v>
      </c>
      <c r="CA1087" t="str">
        <f>IF(888&gt;ROWS(DGArchive[模组]),"",IF(INDEX(DGArchive[模组],888)="","",INDEX(DGArchive[模组],888)))</f>
        <v/>
      </c>
      <c r="CB1087" t="str">
        <f>IF(888&gt;ROWS(DGArchive[阶段]),"",IF(INDEX(DGArchive[阶段],888)="","",INDEX(DGArchive[阶段],888)))</f>
        <v/>
      </c>
      <c r="CC1087" t="str">
        <f>IF(888&gt;ROWS(DGArchive[游戏内日期]),"",IF(INDEX(DGArchive[游戏内日期],888)="","",INDEX(DGArchive[游戏内日期],888)))</f>
        <v/>
      </c>
      <c r="CD1087" t="str">
        <f>IF(888&gt;ROWS(DGArchive[目标]),"",IF(INDEX(DGArchive[目标],888)="","",INDEX(DGArchive[目标],888)))</f>
        <v/>
      </c>
      <c r="CE1087" t="str">
        <f>IF(888&gt;ROWS(DGArchive[变更前]),"",IF(INDEX(DGArchive[变更前],888)="","",INDEX(DGArchive[变更前],888)))</f>
        <v/>
      </c>
      <c r="CF1087" t="str">
        <f>IF(888&gt;ROWS(DGArchive[增减]),"",IF(INDEX(DGArchive[增减],888)="","",INDEX(DGArchive[增减],888)))</f>
        <v/>
      </c>
      <c r="CG1087" t="str">
        <f>IF(888&gt;ROWS(DGArchive[变更后]),"",IF(INDEX(DGArchive[变更后],888)="","",INDEX(DGArchive[变更后],888)))</f>
        <v/>
      </c>
      <c r="CH1087" t="str">
        <f>IF(888&gt;ROWS(DGArchive[事件／活动]),"",IF(INDEX(DGArchive[事件／活动],888)="","",INDEX(DGArchive[事件／活动],888)))</f>
        <v/>
      </c>
      <c r="CI1087" t="str">
        <f>IF(888&gt;ROWS(DGArchive[记录编号]),"",IF(INDEX(DGArchive[记录编号],888)="","",INDEX(DGArchive[记录编号],888)))</f>
        <v/>
      </c>
      <c r="CL1087">
        <f t="shared" si="404"/>
        <v>0</v>
      </c>
      <c r="CM1087">
        <f>IF(AND(A1087=$AO$5,B1087=$AQ$3,H1087=1),COUNTIFS($A$200:A1087,$AO$5,$B$200:B1087,$AQ$3,$H$200:H1087,1),0)</f>
        <v>0</v>
      </c>
      <c r="CN1087">
        <f>IF(CA1087="",888,1001)</f>
        <v>888</v>
      </c>
      <c r="GA1087">
        <f t="shared" si="424"/>
        <v>0</v>
      </c>
      <c r="GB1087">
        <f t="shared" si="425"/>
        <v>0</v>
      </c>
      <c r="GC1087">
        <f>IF(AND(C1087="事件记录",H1087=1),COUNTIFS($C$200:C1087,"事件记录",$H$200:H1087,1),0)</f>
        <v>0</v>
      </c>
      <c r="GD1087">
        <f t="shared" si="405"/>
        <v>0</v>
      </c>
      <c r="GH1087">
        <f>IF(AND(H1087=1,A1087=$GA$10,B1087=$GA$11),COUNTIFS($A$200:A1087,$GA$10,$B$200:B1087,$GA$11,$H$200:H1087,1),0)</f>
        <v>0</v>
      </c>
    </row>
    <row r="1088" spans="1:190">
      <c r="A1088" t="str">
        <f t="shared" si="396"/>
        <v/>
      </c>
      <c r="B1088" t="str">
        <f t="shared" si="397"/>
        <v/>
      </c>
      <c r="C1088" t="str">
        <f t="shared" si="398"/>
        <v/>
      </c>
      <c r="D1088" t="str">
        <f t="shared" si="399"/>
        <v/>
      </c>
      <c r="E1088">
        <f t="shared" si="400"/>
        <v>0</v>
      </c>
      <c r="F1088" t="str">
        <f t="shared" si="401"/>
        <v/>
      </c>
      <c r="G1088">
        <f t="shared" si="402"/>
        <v>0</v>
      </c>
      <c r="H1088">
        <f>IF(AND(G1088=1,COUNTIFS($I$200:I1088,I1088,$G$200:G1088,1)=1),1,0)</f>
        <v>0</v>
      </c>
      <c r="I1088" t="str">
        <f t="shared" si="403"/>
        <v/>
      </c>
      <c r="BF1088">
        <f t="shared" si="406"/>
        <v>0</v>
      </c>
      <c r="BG1088">
        <f t="shared" si="407"/>
        <v>0</v>
      </c>
      <c r="BH1088">
        <f t="shared" si="408"/>
        <v>0</v>
      </c>
      <c r="BI1088">
        <f t="shared" si="409"/>
        <v>0</v>
      </c>
      <c r="BJ1088">
        <f t="shared" si="410"/>
        <v>0</v>
      </c>
      <c r="BK1088">
        <f t="shared" si="411"/>
        <v>0</v>
      </c>
      <c r="BL1088">
        <f t="shared" si="412"/>
        <v>0</v>
      </c>
      <c r="BM1088">
        <f t="shared" si="413"/>
        <v>0</v>
      </c>
      <c r="BN1088">
        <f t="shared" si="414"/>
        <v>0</v>
      </c>
      <c r="BO1088">
        <f t="shared" si="415"/>
        <v>0</v>
      </c>
      <c r="BP1088">
        <f t="shared" si="416"/>
        <v>0</v>
      </c>
      <c r="BQ1088">
        <f t="shared" si="417"/>
        <v>0</v>
      </c>
      <c r="BR1088">
        <f t="shared" si="418"/>
        <v>0</v>
      </c>
      <c r="BS1088">
        <f t="shared" si="419"/>
        <v>0</v>
      </c>
      <c r="BT1088">
        <f t="shared" si="420"/>
        <v>0</v>
      </c>
      <c r="BU1088">
        <f t="shared" si="421"/>
        <v>0</v>
      </c>
      <c r="BV1088">
        <f t="shared" si="422"/>
        <v>0</v>
      </c>
      <c r="BW1088">
        <f t="shared" si="423"/>
        <v>0</v>
      </c>
      <c r="CA1088" t="str">
        <f>IF(889&gt;ROWS(DGArchive[模组]),"",IF(INDEX(DGArchive[模组],889)="","",INDEX(DGArchive[模组],889)))</f>
        <v/>
      </c>
      <c r="CB1088" t="str">
        <f>IF(889&gt;ROWS(DGArchive[阶段]),"",IF(INDEX(DGArchive[阶段],889)="","",INDEX(DGArchive[阶段],889)))</f>
        <v/>
      </c>
      <c r="CC1088" t="str">
        <f>IF(889&gt;ROWS(DGArchive[游戏内日期]),"",IF(INDEX(DGArchive[游戏内日期],889)="","",INDEX(DGArchive[游戏内日期],889)))</f>
        <v/>
      </c>
      <c r="CD1088" t="str">
        <f>IF(889&gt;ROWS(DGArchive[目标]),"",IF(INDEX(DGArchive[目标],889)="","",INDEX(DGArchive[目标],889)))</f>
        <v/>
      </c>
      <c r="CE1088" t="str">
        <f>IF(889&gt;ROWS(DGArchive[变更前]),"",IF(INDEX(DGArchive[变更前],889)="","",INDEX(DGArchive[变更前],889)))</f>
        <v/>
      </c>
      <c r="CF1088" t="str">
        <f>IF(889&gt;ROWS(DGArchive[增减]),"",IF(INDEX(DGArchive[增减],889)="","",INDEX(DGArchive[增减],889)))</f>
        <v/>
      </c>
      <c r="CG1088" t="str">
        <f>IF(889&gt;ROWS(DGArchive[变更后]),"",IF(INDEX(DGArchive[变更后],889)="","",INDEX(DGArchive[变更后],889)))</f>
        <v/>
      </c>
      <c r="CH1088" t="str">
        <f>IF(889&gt;ROWS(DGArchive[事件／活动]),"",IF(INDEX(DGArchive[事件／活动],889)="","",INDEX(DGArchive[事件／活动],889)))</f>
        <v/>
      </c>
      <c r="CI1088" t="str">
        <f>IF(889&gt;ROWS(DGArchive[记录编号]),"",IF(INDEX(DGArchive[记录编号],889)="","",INDEX(DGArchive[记录编号],889)))</f>
        <v/>
      </c>
      <c r="CL1088">
        <f t="shared" si="404"/>
        <v>0</v>
      </c>
      <c r="CM1088">
        <f>IF(AND(A1088=$AO$5,B1088=$AQ$3,H1088=1),COUNTIFS($A$200:A1088,$AO$5,$B$200:B1088,$AQ$3,$H$200:H1088,1),0)</f>
        <v>0</v>
      </c>
      <c r="CN1088">
        <f>IF(CA1088="",889,1001)</f>
        <v>889</v>
      </c>
      <c r="GA1088">
        <f t="shared" si="424"/>
        <v>0</v>
      </c>
      <c r="GB1088">
        <f t="shared" si="425"/>
        <v>0</v>
      </c>
      <c r="GC1088">
        <f>IF(AND(C1088="事件记录",H1088=1),COUNTIFS($C$200:C1088,"事件记录",$H$200:H1088,1),0)</f>
        <v>0</v>
      </c>
      <c r="GD1088">
        <f t="shared" si="405"/>
        <v>0</v>
      </c>
      <c r="GH1088">
        <f>IF(AND(H1088=1,A1088=$GA$10,B1088=$GA$11),COUNTIFS($A$200:A1088,$GA$10,$B$200:B1088,$GA$11,$H$200:H1088,1),0)</f>
        <v>0</v>
      </c>
    </row>
    <row r="1089" spans="1:190">
      <c r="A1089" t="str">
        <f t="shared" si="396"/>
        <v/>
      </c>
      <c r="B1089" t="str">
        <f t="shared" si="397"/>
        <v/>
      </c>
      <c r="C1089" t="str">
        <f t="shared" si="398"/>
        <v/>
      </c>
      <c r="D1089" t="str">
        <f t="shared" si="399"/>
        <v/>
      </c>
      <c r="E1089">
        <f t="shared" si="400"/>
        <v>0</v>
      </c>
      <c r="F1089" t="str">
        <f t="shared" si="401"/>
        <v/>
      </c>
      <c r="G1089">
        <f t="shared" si="402"/>
        <v>0</v>
      </c>
      <c r="H1089">
        <f>IF(AND(G1089=1,COUNTIFS($I$200:I1089,I1089,$G$200:G1089,1)=1),1,0)</f>
        <v>0</v>
      </c>
      <c r="I1089" t="str">
        <f t="shared" si="403"/>
        <v/>
      </c>
      <c r="BF1089">
        <f t="shared" si="406"/>
        <v>0</v>
      </c>
      <c r="BG1089">
        <f t="shared" si="407"/>
        <v>0</v>
      </c>
      <c r="BH1089">
        <f t="shared" si="408"/>
        <v>0</v>
      </c>
      <c r="BI1089">
        <f t="shared" si="409"/>
        <v>0</v>
      </c>
      <c r="BJ1089">
        <f t="shared" si="410"/>
        <v>0</v>
      </c>
      <c r="BK1089">
        <f t="shared" si="411"/>
        <v>0</v>
      </c>
      <c r="BL1089">
        <f t="shared" si="412"/>
        <v>0</v>
      </c>
      <c r="BM1089">
        <f t="shared" si="413"/>
        <v>0</v>
      </c>
      <c r="BN1089">
        <f t="shared" si="414"/>
        <v>0</v>
      </c>
      <c r="BO1089">
        <f t="shared" si="415"/>
        <v>0</v>
      </c>
      <c r="BP1089">
        <f t="shared" si="416"/>
        <v>0</v>
      </c>
      <c r="BQ1089">
        <f t="shared" si="417"/>
        <v>0</v>
      </c>
      <c r="BR1089">
        <f t="shared" si="418"/>
        <v>0</v>
      </c>
      <c r="BS1089">
        <f t="shared" si="419"/>
        <v>0</v>
      </c>
      <c r="BT1089">
        <f t="shared" si="420"/>
        <v>0</v>
      </c>
      <c r="BU1089">
        <f t="shared" si="421"/>
        <v>0</v>
      </c>
      <c r="BV1089">
        <f t="shared" si="422"/>
        <v>0</v>
      </c>
      <c r="BW1089">
        <f t="shared" si="423"/>
        <v>0</v>
      </c>
      <c r="CA1089" t="str">
        <f>IF(890&gt;ROWS(DGArchive[模组]),"",IF(INDEX(DGArchive[模组],890)="","",INDEX(DGArchive[模组],890)))</f>
        <v/>
      </c>
      <c r="CB1089" t="str">
        <f>IF(890&gt;ROWS(DGArchive[阶段]),"",IF(INDEX(DGArchive[阶段],890)="","",INDEX(DGArchive[阶段],890)))</f>
        <v/>
      </c>
      <c r="CC1089" t="str">
        <f>IF(890&gt;ROWS(DGArchive[游戏内日期]),"",IF(INDEX(DGArchive[游戏内日期],890)="","",INDEX(DGArchive[游戏内日期],890)))</f>
        <v/>
      </c>
      <c r="CD1089" t="str">
        <f>IF(890&gt;ROWS(DGArchive[目标]),"",IF(INDEX(DGArchive[目标],890)="","",INDEX(DGArchive[目标],890)))</f>
        <v/>
      </c>
      <c r="CE1089" t="str">
        <f>IF(890&gt;ROWS(DGArchive[变更前]),"",IF(INDEX(DGArchive[变更前],890)="","",INDEX(DGArchive[变更前],890)))</f>
        <v/>
      </c>
      <c r="CF1089" t="str">
        <f>IF(890&gt;ROWS(DGArchive[增减]),"",IF(INDEX(DGArchive[增减],890)="","",INDEX(DGArchive[增减],890)))</f>
        <v/>
      </c>
      <c r="CG1089" t="str">
        <f>IF(890&gt;ROWS(DGArchive[变更后]),"",IF(INDEX(DGArchive[变更后],890)="","",INDEX(DGArchive[变更后],890)))</f>
        <v/>
      </c>
      <c r="CH1089" t="str">
        <f>IF(890&gt;ROWS(DGArchive[事件／活动]),"",IF(INDEX(DGArchive[事件／活动],890)="","",INDEX(DGArchive[事件／活动],890)))</f>
        <v/>
      </c>
      <c r="CI1089" t="str">
        <f>IF(890&gt;ROWS(DGArchive[记录编号]),"",IF(INDEX(DGArchive[记录编号],890)="","",INDEX(DGArchive[记录编号],890)))</f>
        <v/>
      </c>
      <c r="CL1089">
        <f t="shared" si="404"/>
        <v>0</v>
      </c>
      <c r="CM1089">
        <f>IF(AND(A1089=$AO$5,B1089=$AQ$3,H1089=1),COUNTIFS($A$200:A1089,$AO$5,$B$200:B1089,$AQ$3,$H$200:H1089,1),0)</f>
        <v>0</v>
      </c>
      <c r="CN1089">
        <f>IF(CA1089="",890,1001)</f>
        <v>890</v>
      </c>
      <c r="GA1089">
        <f t="shared" si="424"/>
        <v>0</v>
      </c>
      <c r="GB1089">
        <f t="shared" si="425"/>
        <v>0</v>
      </c>
      <c r="GC1089">
        <f>IF(AND(C1089="事件记录",H1089=1),COUNTIFS($C$200:C1089,"事件记录",$H$200:H1089,1),0)</f>
        <v>0</v>
      </c>
      <c r="GD1089">
        <f t="shared" si="405"/>
        <v>0</v>
      </c>
      <c r="GH1089">
        <f>IF(AND(H1089=1,A1089=$GA$10,B1089=$GA$11),COUNTIFS($A$200:A1089,$GA$10,$B$200:B1089,$GA$11,$H$200:H1089,1),0)</f>
        <v>0</v>
      </c>
    </row>
    <row r="1090" spans="1:190">
      <c r="A1090" t="str">
        <f t="shared" si="396"/>
        <v/>
      </c>
      <c r="B1090" t="str">
        <f t="shared" si="397"/>
        <v/>
      </c>
      <c r="C1090" t="str">
        <f t="shared" si="398"/>
        <v/>
      </c>
      <c r="D1090" t="str">
        <f t="shared" si="399"/>
        <v/>
      </c>
      <c r="E1090">
        <f t="shared" si="400"/>
        <v>0</v>
      </c>
      <c r="F1090" t="str">
        <f t="shared" si="401"/>
        <v/>
      </c>
      <c r="G1090">
        <f t="shared" si="402"/>
        <v>0</v>
      </c>
      <c r="H1090">
        <f>IF(AND(G1090=1,COUNTIFS($I$200:I1090,I1090,$G$200:G1090,1)=1),1,0)</f>
        <v>0</v>
      </c>
      <c r="I1090" t="str">
        <f t="shared" si="403"/>
        <v/>
      </c>
      <c r="BF1090">
        <f t="shared" si="406"/>
        <v>0</v>
      </c>
      <c r="BG1090">
        <f t="shared" si="407"/>
        <v>0</v>
      </c>
      <c r="BH1090">
        <f t="shared" si="408"/>
        <v>0</v>
      </c>
      <c r="BI1090">
        <f t="shared" si="409"/>
        <v>0</v>
      </c>
      <c r="BJ1090">
        <f t="shared" si="410"/>
        <v>0</v>
      </c>
      <c r="BK1090">
        <f t="shared" si="411"/>
        <v>0</v>
      </c>
      <c r="BL1090">
        <f t="shared" si="412"/>
        <v>0</v>
      </c>
      <c r="BM1090">
        <f t="shared" si="413"/>
        <v>0</v>
      </c>
      <c r="BN1090">
        <f t="shared" si="414"/>
        <v>0</v>
      </c>
      <c r="BO1090">
        <f t="shared" si="415"/>
        <v>0</v>
      </c>
      <c r="BP1090">
        <f t="shared" si="416"/>
        <v>0</v>
      </c>
      <c r="BQ1090">
        <f t="shared" si="417"/>
        <v>0</v>
      </c>
      <c r="BR1090">
        <f t="shared" si="418"/>
        <v>0</v>
      </c>
      <c r="BS1090">
        <f t="shared" si="419"/>
        <v>0</v>
      </c>
      <c r="BT1090">
        <f t="shared" si="420"/>
        <v>0</v>
      </c>
      <c r="BU1090">
        <f t="shared" si="421"/>
        <v>0</v>
      </c>
      <c r="BV1090">
        <f t="shared" si="422"/>
        <v>0</v>
      </c>
      <c r="BW1090">
        <f t="shared" si="423"/>
        <v>0</v>
      </c>
      <c r="CA1090" t="str">
        <f>IF(891&gt;ROWS(DGArchive[模组]),"",IF(INDEX(DGArchive[模组],891)="","",INDEX(DGArchive[模组],891)))</f>
        <v/>
      </c>
      <c r="CB1090" t="str">
        <f>IF(891&gt;ROWS(DGArchive[阶段]),"",IF(INDEX(DGArchive[阶段],891)="","",INDEX(DGArchive[阶段],891)))</f>
        <v/>
      </c>
      <c r="CC1090" t="str">
        <f>IF(891&gt;ROWS(DGArchive[游戏内日期]),"",IF(INDEX(DGArchive[游戏内日期],891)="","",INDEX(DGArchive[游戏内日期],891)))</f>
        <v/>
      </c>
      <c r="CD1090" t="str">
        <f>IF(891&gt;ROWS(DGArchive[目标]),"",IF(INDEX(DGArchive[目标],891)="","",INDEX(DGArchive[目标],891)))</f>
        <v/>
      </c>
      <c r="CE1090" t="str">
        <f>IF(891&gt;ROWS(DGArchive[变更前]),"",IF(INDEX(DGArchive[变更前],891)="","",INDEX(DGArchive[变更前],891)))</f>
        <v/>
      </c>
      <c r="CF1090" t="str">
        <f>IF(891&gt;ROWS(DGArchive[增减]),"",IF(INDEX(DGArchive[增减],891)="","",INDEX(DGArchive[增减],891)))</f>
        <v/>
      </c>
      <c r="CG1090" t="str">
        <f>IF(891&gt;ROWS(DGArchive[变更后]),"",IF(INDEX(DGArchive[变更后],891)="","",INDEX(DGArchive[变更后],891)))</f>
        <v/>
      </c>
      <c r="CH1090" t="str">
        <f>IF(891&gt;ROWS(DGArchive[事件／活动]),"",IF(INDEX(DGArchive[事件／活动],891)="","",INDEX(DGArchive[事件／活动],891)))</f>
        <v/>
      </c>
      <c r="CI1090" t="str">
        <f>IF(891&gt;ROWS(DGArchive[记录编号]),"",IF(INDEX(DGArchive[记录编号],891)="","",INDEX(DGArchive[记录编号],891)))</f>
        <v/>
      </c>
      <c r="CL1090">
        <f t="shared" si="404"/>
        <v>0</v>
      </c>
      <c r="CM1090">
        <f>IF(AND(A1090=$AO$5,B1090=$AQ$3,H1090=1),COUNTIFS($A$200:A1090,$AO$5,$B$200:B1090,$AQ$3,$H$200:H1090,1),0)</f>
        <v>0</v>
      </c>
      <c r="CN1090">
        <f>IF(CA1090="",891,1001)</f>
        <v>891</v>
      </c>
      <c r="GA1090">
        <f t="shared" si="424"/>
        <v>0</v>
      </c>
      <c r="GB1090">
        <f t="shared" si="425"/>
        <v>0</v>
      </c>
      <c r="GC1090">
        <f>IF(AND(C1090="事件记录",H1090=1),COUNTIFS($C$200:C1090,"事件记录",$H$200:H1090,1),0)</f>
        <v>0</v>
      </c>
      <c r="GD1090">
        <f t="shared" si="405"/>
        <v>0</v>
      </c>
      <c r="GH1090">
        <f>IF(AND(H1090=1,A1090=$GA$10,B1090=$GA$11),COUNTIFS($A$200:A1090,$GA$10,$B$200:B1090,$GA$11,$H$200:H1090,1),0)</f>
        <v>0</v>
      </c>
    </row>
    <row r="1091" spans="1:190">
      <c r="A1091" t="str">
        <f t="shared" si="396"/>
        <v/>
      </c>
      <c r="B1091" t="str">
        <f t="shared" si="397"/>
        <v/>
      </c>
      <c r="C1091" t="str">
        <f t="shared" si="398"/>
        <v/>
      </c>
      <c r="D1091" t="str">
        <f t="shared" si="399"/>
        <v/>
      </c>
      <c r="E1091">
        <f t="shared" si="400"/>
        <v>0</v>
      </c>
      <c r="F1091" t="str">
        <f t="shared" si="401"/>
        <v/>
      </c>
      <c r="G1091">
        <f t="shared" si="402"/>
        <v>0</v>
      </c>
      <c r="H1091">
        <f>IF(AND(G1091=1,COUNTIFS($I$200:I1091,I1091,$G$200:G1091,1)=1),1,0)</f>
        <v>0</v>
      </c>
      <c r="I1091" t="str">
        <f t="shared" si="403"/>
        <v/>
      </c>
      <c r="BF1091">
        <f t="shared" si="406"/>
        <v>0</v>
      </c>
      <c r="BG1091">
        <f t="shared" si="407"/>
        <v>0</v>
      </c>
      <c r="BH1091">
        <f t="shared" si="408"/>
        <v>0</v>
      </c>
      <c r="BI1091">
        <f t="shared" si="409"/>
        <v>0</v>
      </c>
      <c r="BJ1091">
        <f t="shared" si="410"/>
        <v>0</v>
      </c>
      <c r="BK1091">
        <f t="shared" si="411"/>
        <v>0</v>
      </c>
      <c r="BL1091">
        <f t="shared" si="412"/>
        <v>0</v>
      </c>
      <c r="BM1091">
        <f t="shared" si="413"/>
        <v>0</v>
      </c>
      <c r="BN1091">
        <f t="shared" si="414"/>
        <v>0</v>
      </c>
      <c r="BO1091">
        <f t="shared" si="415"/>
        <v>0</v>
      </c>
      <c r="BP1091">
        <f t="shared" si="416"/>
        <v>0</v>
      </c>
      <c r="BQ1091">
        <f t="shared" si="417"/>
        <v>0</v>
      </c>
      <c r="BR1091">
        <f t="shared" si="418"/>
        <v>0</v>
      </c>
      <c r="BS1091">
        <f t="shared" si="419"/>
        <v>0</v>
      </c>
      <c r="BT1091">
        <f t="shared" si="420"/>
        <v>0</v>
      </c>
      <c r="BU1091">
        <f t="shared" si="421"/>
        <v>0</v>
      </c>
      <c r="BV1091">
        <f t="shared" si="422"/>
        <v>0</v>
      </c>
      <c r="BW1091">
        <f t="shared" si="423"/>
        <v>0</v>
      </c>
      <c r="CA1091" t="str">
        <f>IF(892&gt;ROWS(DGArchive[模组]),"",IF(INDEX(DGArchive[模组],892)="","",INDEX(DGArchive[模组],892)))</f>
        <v/>
      </c>
      <c r="CB1091" t="str">
        <f>IF(892&gt;ROWS(DGArchive[阶段]),"",IF(INDEX(DGArchive[阶段],892)="","",INDEX(DGArchive[阶段],892)))</f>
        <v/>
      </c>
      <c r="CC1091" t="str">
        <f>IF(892&gt;ROWS(DGArchive[游戏内日期]),"",IF(INDEX(DGArchive[游戏内日期],892)="","",INDEX(DGArchive[游戏内日期],892)))</f>
        <v/>
      </c>
      <c r="CD1091" t="str">
        <f>IF(892&gt;ROWS(DGArchive[目标]),"",IF(INDEX(DGArchive[目标],892)="","",INDEX(DGArchive[目标],892)))</f>
        <v/>
      </c>
      <c r="CE1091" t="str">
        <f>IF(892&gt;ROWS(DGArchive[变更前]),"",IF(INDEX(DGArchive[变更前],892)="","",INDEX(DGArchive[变更前],892)))</f>
        <v/>
      </c>
      <c r="CF1091" t="str">
        <f>IF(892&gt;ROWS(DGArchive[增减]),"",IF(INDEX(DGArchive[增减],892)="","",INDEX(DGArchive[增减],892)))</f>
        <v/>
      </c>
      <c r="CG1091" t="str">
        <f>IF(892&gt;ROWS(DGArchive[变更后]),"",IF(INDEX(DGArchive[变更后],892)="","",INDEX(DGArchive[变更后],892)))</f>
        <v/>
      </c>
      <c r="CH1091" t="str">
        <f>IF(892&gt;ROWS(DGArchive[事件／活动]),"",IF(INDEX(DGArchive[事件／活动],892)="","",INDEX(DGArchive[事件／活动],892)))</f>
        <v/>
      </c>
      <c r="CI1091" t="str">
        <f>IF(892&gt;ROWS(DGArchive[记录编号]),"",IF(INDEX(DGArchive[记录编号],892)="","",INDEX(DGArchive[记录编号],892)))</f>
        <v/>
      </c>
      <c r="CL1091">
        <f t="shared" si="404"/>
        <v>0</v>
      </c>
      <c r="CM1091">
        <f>IF(AND(A1091=$AO$5,B1091=$AQ$3,H1091=1),COUNTIFS($A$200:A1091,$AO$5,$B$200:B1091,$AQ$3,$H$200:H1091,1),0)</f>
        <v>0</v>
      </c>
      <c r="CN1091">
        <f>IF(CA1091="",892,1001)</f>
        <v>892</v>
      </c>
      <c r="GA1091">
        <f t="shared" si="424"/>
        <v>0</v>
      </c>
      <c r="GB1091">
        <f t="shared" si="425"/>
        <v>0</v>
      </c>
      <c r="GC1091">
        <f>IF(AND(C1091="事件记录",H1091=1),COUNTIFS($C$200:C1091,"事件记录",$H$200:H1091,1),0)</f>
        <v>0</v>
      </c>
      <c r="GD1091">
        <f t="shared" si="405"/>
        <v>0</v>
      </c>
      <c r="GH1091">
        <f>IF(AND(H1091=1,A1091=$GA$10,B1091=$GA$11),COUNTIFS($A$200:A1091,$GA$10,$B$200:B1091,$GA$11,$H$200:H1091,1),0)</f>
        <v>0</v>
      </c>
    </row>
    <row r="1092" spans="1:190">
      <c r="A1092" t="str">
        <f t="shared" si="396"/>
        <v/>
      </c>
      <c r="B1092" t="str">
        <f t="shared" si="397"/>
        <v/>
      </c>
      <c r="C1092" t="str">
        <f t="shared" si="398"/>
        <v/>
      </c>
      <c r="D1092" t="str">
        <f t="shared" si="399"/>
        <v/>
      </c>
      <c r="E1092">
        <f t="shared" si="400"/>
        <v>0</v>
      </c>
      <c r="F1092" t="str">
        <f t="shared" si="401"/>
        <v/>
      </c>
      <c r="G1092">
        <f t="shared" si="402"/>
        <v>0</v>
      </c>
      <c r="H1092">
        <f>IF(AND(G1092=1,COUNTIFS($I$200:I1092,I1092,$G$200:G1092,1)=1),1,0)</f>
        <v>0</v>
      </c>
      <c r="I1092" t="str">
        <f t="shared" si="403"/>
        <v/>
      </c>
      <c r="BF1092">
        <f t="shared" si="406"/>
        <v>0</v>
      </c>
      <c r="BG1092">
        <f t="shared" si="407"/>
        <v>0</v>
      </c>
      <c r="BH1092">
        <f t="shared" si="408"/>
        <v>0</v>
      </c>
      <c r="BI1092">
        <f t="shared" si="409"/>
        <v>0</v>
      </c>
      <c r="BJ1092">
        <f t="shared" si="410"/>
        <v>0</v>
      </c>
      <c r="BK1092">
        <f t="shared" si="411"/>
        <v>0</v>
      </c>
      <c r="BL1092">
        <f t="shared" si="412"/>
        <v>0</v>
      </c>
      <c r="BM1092">
        <f t="shared" si="413"/>
        <v>0</v>
      </c>
      <c r="BN1092">
        <f t="shared" si="414"/>
        <v>0</v>
      </c>
      <c r="BO1092">
        <f t="shared" si="415"/>
        <v>0</v>
      </c>
      <c r="BP1092">
        <f t="shared" si="416"/>
        <v>0</v>
      </c>
      <c r="BQ1092">
        <f t="shared" si="417"/>
        <v>0</v>
      </c>
      <c r="BR1092">
        <f t="shared" si="418"/>
        <v>0</v>
      </c>
      <c r="BS1092">
        <f t="shared" si="419"/>
        <v>0</v>
      </c>
      <c r="BT1092">
        <f t="shared" si="420"/>
        <v>0</v>
      </c>
      <c r="BU1092">
        <f t="shared" si="421"/>
        <v>0</v>
      </c>
      <c r="BV1092">
        <f t="shared" si="422"/>
        <v>0</v>
      </c>
      <c r="BW1092">
        <f t="shared" si="423"/>
        <v>0</v>
      </c>
      <c r="CA1092" t="str">
        <f>IF(893&gt;ROWS(DGArchive[模组]),"",IF(INDEX(DGArchive[模组],893)="","",INDEX(DGArchive[模组],893)))</f>
        <v/>
      </c>
      <c r="CB1092" t="str">
        <f>IF(893&gt;ROWS(DGArchive[阶段]),"",IF(INDEX(DGArchive[阶段],893)="","",INDEX(DGArchive[阶段],893)))</f>
        <v/>
      </c>
      <c r="CC1092" t="str">
        <f>IF(893&gt;ROWS(DGArchive[游戏内日期]),"",IF(INDEX(DGArchive[游戏内日期],893)="","",INDEX(DGArchive[游戏内日期],893)))</f>
        <v/>
      </c>
      <c r="CD1092" t="str">
        <f>IF(893&gt;ROWS(DGArchive[目标]),"",IF(INDEX(DGArchive[目标],893)="","",INDEX(DGArchive[目标],893)))</f>
        <v/>
      </c>
      <c r="CE1092" t="str">
        <f>IF(893&gt;ROWS(DGArchive[变更前]),"",IF(INDEX(DGArchive[变更前],893)="","",INDEX(DGArchive[变更前],893)))</f>
        <v/>
      </c>
      <c r="CF1092" t="str">
        <f>IF(893&gt;ROWS(DGArchive[增减]),"",IF(INDEX(DGArchive[增减],893)="","",INDEX(DGArchive[增减],893)))</f>
        <v/>
      </c>
      <c r="CG1092" t="str">
        <f>IF(893&gt;ROWS(DGArchive[变更后]),"",IF(INDEX(DGArchive[变更后],893)="","",INDEX(DGArchive[变更后],893)))</f>
        <v/>
      </c>
      <c r="CH1092" t="str">
        <f>IF(893&gt;ROWS(DGArchive[事件／活动]),"",IF(INDEX(DGArchive[事件／活动],893)="","",INDEX(DGArchive[事件／活动],893)))</f>
        <v/>
      </c>
      <c r="CI1092" t="str">
        <f>IF(893&gt;ROWS(DGArchive[记录编号]),"",IF(INDEX(DGArchive[记录编号],893)="","",INDEX(DGArchive[记录编号],893)))</f>
        <v/>
      </c>
      <c r="CL1092">
        <f t="shared" si="404"/>
        <v>0</v>
      </c>
      <c r="CM1092">
        <f>IF(AND(A1092=$AO$5,B1092=$AQ$3,H1092=1),COUNTIFS($A$200:A1092,$AO$5,$B$200:B1092,$AQ$3,$H$200:H1092,1),0)</f>
        <v>0</v>
      </c>
      <c r="CN1092">
        <f>IF(CA1092="",893,1001)</f>
        <v>893</v>
      </c>
      <c r="GA1092">
        <f t="shared" si="424"/>
        <v>0</v>
      </c>
      <c r="GB1092">
        <f t="shared" si="425"/>
        <v>0</v>
      </c>
      <c r="GC1092">
        <f>IF(AND(C1092="事件记录",H1092=1),COUNTIFS($C$200:C1092,"事件记录",$H$200:H1092,1),0)</f>
        <v>0</v>
      </c>
      <c r="GD1092">
        <f t="shared" si="405"/>
        <v>0</v>
      </c>
      <c r="GH1092">
        <f>IF(AND(H1092=1,A1092=$GA$10,B1092=$GA$11),COUNTIFS($A$200:A1092,$GA$10,$B$200:B1092,$GA$11,$H$200:H1092,1),0)</f>
        <v>0</v>
      </c>
    </row>
    <row r="1093" spans="1:190">
      <c r="A1093" t="str">
        <f t="shared" si="396"/>
        <v/>
      </c>
      <c r="B1093" t="str">
        <f t="shared" si="397"/>
        <v/>
      </c>
      <c r="C1093" t="str">
        <f t="shared" si="398"/>
        <v/>
      </c>
      <c r="D1093" t="str">
        <f t="shared" si="399"/>
        <v/>
      </c>
      <c r="E1093">
        <f t="shared" si="400"/>
        <v>0</v>
      </c>
      <c r="F1093" t="str">
        <f t="shared" si="401"/>
        <v/>
      </c>
      <c r="G1093">
        <f t="shared" si="402"/>
        <v>0</v>
      </c>
      <c r="H1093">
        <f>IF(AND(G1093=1,COUNTIFS($I$200:I1093,I1093,$G$200:G1093,1)=1),1,0)</f>
        <v>0</v>
      </c>
      <c r="I1093" t="str">
        <f t="shared" si="403"/>
        <v/>
      </c>
      <c r="BF1093">
        <f t="shared" si="406"/>
        <v>0</v>
      </c>
      <c r="BG1093">
        <f t="shared" si="407"/>
        <v>0</v>
      </c>
      <c r="BH1093">
        <f t="shared" si="408"/>
        <v>0</v>
      </c>
      <c r="BI1093">
        <f t="shared" si="409"/>
        <v>0</v>
      </c>
      <c r="BJ1093">
        <f t="shared" si="410"/>
        <v>0</v>
      </c>
      <c r="BK1093">
        <f t="shared" si="411"/>
        <v>0</v>
      </c>
      <c r="BL1093">
        <f t="shared" si="412"/>
        <v>0</v>
      </c>
      <c r="BM1093">
        <f t="shared" si="413"/>
        <v>0</v>
      </c>
      <c r="BN1093">
        <f t="shared" si="414"/>
        <v>0</v>
      </c>
      <c r="BO1093">
        <f t="shared" si="415"/>
        <v>0</v>
      </c>
      <c r="BP1093">
        <f t="shared" si="416"/>
        <v>0</v>
      </c>
      <c r="BQ1093">
        <f t="shared" si="417"/>
        <v>0</v>
      </c>
      <c r="BR1093">
        <f t="shared" si="418"/>
        <v>0</v>
      </c>
      <c r="BS1093">
        <f t="shared" si="419"/>
        <v>0</v>
      </c>
      <c r="BT1093">
        <f t="shared" si="420"/>
        <v>0</v>
      </c>
      <c r="BU1093">
        <f t="shared" si="421"/>
        <v>0</v>
      </c>
      <c r="BV1093">
        <f t="shared" si="422"/>
        <v>0</v>
      </c>
      <c r="BW1093">
        <f t="shared" si="423"/>
        <v>0</v>
      </c>
      <c r="CA1093" t="str">
        <f>IF(894&gt;ROWS(DGArchive[模组]),"",IF(INDEX(DGArchive[模组],894)="","",INDEX(DGArchive[模组],894)))</f>
        <v/>
      </c>
      <c r="CB1093" t="str">
        <f>IF(894&gt;ROWS(DGArchive[阶段]),"",IF(INDEX(DGArchive[阶段],894)="","",INDEX(DGArchive[阶段],894)))</f>
        <v/>
      </c>
      <c r="CC1093" t="str">
        <f>IF(894&gt;ROWS(DGArchive[游戏内日期]),"",IF(INDEX(DGArchive[游戏内日期],894)="","",INDEX(DGArchive[游戏内日期],894)))</f>
        <v/>
      </c>
      <c r="CD1093" t="str">
        <f>IF(894&gt;ROWS(DGArchive[目标]),"",IF(INDEX(DGArchive[目标],894)="","",INDEX(DGArchive[目标],894)))</f>
        <v/>
      </c>
      <c r="CE1093" t="str">
        <f>IF(894&gt;ROWS(DGArchive[变更前]),"",IF(INDEX(DGArchive[变更前],894)="","",INDEX(DGArchive[变更前],894)))</f>
        <v/>
      </c>
      <c r="CF1093" t="str">
        <f>IF(894&gt;ROWS(DGArchive[增减]),"",IF(INDEX(DGArchive[增减],894)="","",INDEX(DGArchive[增减],894)))</f>
        <v/>
      </c>
      <c r="CG1093" t="str">
        <f>IF(894&gt;ROWS(DGArchive[变更后]),"",IF(INDEX(DGArchive[变更后],894)="","",INDEX(DGArchive[变更后],894)))</f>
        <v/>
      </c>
      <c r="CH1093" t="str">
        <f>IF(894&gt;ROWS(DGArchive[事件／活动]),"",IF(INDEX(DGArchive[事件／活动],894)="","",INDEX(DGArchive[事件／活动],894)))</f>
        <v/>
      </c>
      <c r="CI1093" t="str">
        <f>IF(894&gt;ROWS(DGArchive[记录编号]),"",IF(INDEX(DGArchive[记录编号],894)="","",INDEX(DGArchive[记录编号],894)))</f>
        <v/>
      </c>
      <c r="CL1093">
        <f t="shared" si="404"/>
        <v>0</v>
      </c>
      <c r="CM1093">
        <f>IF(AND(A1093=$AO$5,B1093=$AQ$3,H1093=1),COUNTIFS($A$200:A1093,$AO$5,$B$200:B1093,$AQ$3,$H$200:H1093,1),0)</f>
        <v>0</v>
      </c>
      <c r="CN1093">
        <f>IF(CA1093="",894,1001)</f>
        <v>894</v>
      </c>
      <c r="GA1093">
        <f t="shared" si="424"/>
        <v>0</v>
      </c>
      <c r="GB1093">
        <f t="shared" si="425"/>
        <v>0</v>
      </c>
      <c r="GC1093">
        <f>IF(AND(C1093="事件记录",H1093=1),COUNTIFS($C$200:C1093,"事件记录",$H$200:H1093,1),0)</f>
        <v>0</v>
      </c>
      <c r="GD1093">
        <f t="shared" si="405"/>
        <v>0</v>
      </c>
      <c r="GH1093">
        <f>IF(AND(H1093=1,A1093=$GA$10,B1093=$GA$11),COUNTIFS($A$200:A1093,$GA$10,$B$200:B1093,$GA$11,$H$200:H1093,1),0)</f>
        <v>0</v>
      </c>
    </row>
    <row r="1094" spans="1:190">
      <c r="A1094" t="str">
        <f t="shared" si="396"/>
        <v/>
      </c>
      <c r="B1094" t="str">
        <f t="shared" si="397"/>
        <v/>
      </c>
      <c r="C1094" t="str">
        <f t="shared" si="398"/>
        <v/>
      </c>
      <c r="D1094" t="str">
        <f t="shared" si="399"/>
        <v/>
      </c>
      <c r="E1094">
        <f t="shared" si="400"/>
        <v>0</v>
      </c>
      <c r="F1094" t="str">
        <f t="shared" si="401"/>
        <v/>
      </c>
      <c r="G1094">
        <f t="shared" si="402"/>
        <v>0</v>
      </c>
      <c r="H1094">
        <f>IF(AND(G1094=1,COUNTIFS($I$200:I1094,I1094,$G$200:G1094,1)=1),1,0)</f>
        <v>0</v>
      </c>
      <c r="I1094" t="str">
        <f t="shared" si="403"/>
        <v/>
      </c>
      <c r="BF1094">
        <f t="shared" si="406"/>
        <v>0</v>
      </c>
      <c r="BG1094">
        <f t="shared" si="407"/>
        <v>0</v>
      </c>
      <c r="BH1094">
        <f t="shared" si="408"/>
        <v>0</v>
      </c>
      <c r="BI1094">
        <f t="shared" si="409"/>
        <v>0</v>
      </c>
      <c r="BJ1094">
        <f t="shared" si="410"/>
        <v>0</v>
      </c>
      <c r="BK1094">
        <f t="shared" si="411"/>
        <v>0</v>
      </c>
      <c r="BL1094">
        <f t="shared" si="412"/>
        <v>0</v>
      </c>
      <c r="BM1094">
        <f t="shared" si="413"/>
        <v>0</v>
      </c>
      <c r="BN1094">
        <f t="shared" si="414"/>
        <v>0</v>
      </c>
      <c r="BO1094">
        <f t="shared" si="415"/>
        <v>0</v>
      </c>
      <c r="BP1094">
        <f t="shared" si="416"/>
        <v>0</v>
      </c>
      <c r="BQ1094">
        <f t="shared" si="417"/>
        <v>0</v>
      </c>
      <c r="BR1094">
        <f t="shared" si="418"/>
        <v>0</v>
      </c>
      <c r="BS1094">
        <f t="shared" si="419"/>
        <v>0</v>
      </c>
      <c r="BT1094">
        <f t="shared" si="420"/>
        <v>0</v>
      </c>
      <c r="BU1094">
        <f t="shared" si="421"/>
        <v>0</v>
      </c>
      <c r="BV1094">
        <f t="shared" si="422"/>
        <v>0</v>
      </c>
      <c r="BW1094">
        <f t="shared" si="423"/>
        <v>0</v>
      </c>
      <c r="CA1094" t="str">
        <f>IF(895&gt;ROWS(DGArchive[模组]),"",IF(INDEX(DGArchive[模组],895)="","",INDEX(DGArchive[模组],895)))</f>
        <v/>
      </c>
      <c r="CB1094" t="str">
        <f>IF(895&gt;ROWS(DGArchive[阶段]),"",IF(INDEX(DGArchive[阶段],895)="","",INDEX(DGArchive[阶段],895)))</f>
        <v/>
      </c>
      <c r="CC1094" t="str">
        <f>IF(895&gt;ROWS(DGArchive[游戏内日期]),"",IF(INDEX(DGArchive[游戏内日期],895)="","",INDEX(DGArchive[游戏内日期],895)))</f>
        <v/>
      </c>
      <c r="CD1094" t="str">
        <f>IF(895&gt;ROWS(DGArchive[目标]),"",IF(INDEX(DGArchive[目标],895)="","",INDEX(DGArchive[目标],895)))</f>
        <v/>
      </c>
      <c r="CE1094" t="str">
        <f>IF(895&gt;ROWS(DGArchive[变更前]),"",IF(INDEX(DGArchive[变更前],895)="","",INDEX(DGArchive[变更前],895)))</f>
        <v/>
      </c>
      <c r="CF1094" t="str">
        <f>IF(895&gt;ROWS(DGArchive[增减]),"",IF(INDEX(DGArchive[增减],895)="","",INDEX(DGArchive[增减],895)))</f>
        <v/>
      </c>
      <c r="CG1094" t="str">
        <f>IF(895&gt;ROWS(DGArchive[变更后]),"",IF(INDEX(DGArchive[变更后],895)="","",INDEX(DGArchive[变更后],895)))</f>
        <v/>
      </c>
      <c r="CH1094" t="str">
        <f>IF(895&gt;ROWS(DGArchive[事件／活动]),"",IF(INDEX(DGArchive[事件／活动],895)="","",INDEX(DGArchive[事件／活动],895)))</f>
        <v/>
      </c>
      <c r="CI1094" t="str">
        <f>IF(895&gt;ROWS(DGArchive[记录编号]),"",IF(INDEX(DGArchive[记录编号],895)="","",INDEX(DGArchive[记录编号],895)))</f>
        <v/>
      </c>
      <c r="CL1094">
        <f t="shared" si="404"/>
        <v>0</v>
      </c>
      <c r="CM1094">
        <f>IF(AND(A1094=$AO$5,B1094=$AQ$3,H1094=1),COUNTIFS($A$200:A1094,$AO$5,$B$200:B1094,$AQ$3,$H$200:H1094,1),0)</f>
        <v>0</v>
      </c>
      <c r="CN1094">
        <f>IF(CA1094="",895,1001)</f>
        <v>895</v>
      </c>
      <c r="GA1094">
        <f t="shared" si="424"/>
        <v>0</v>
      </c>
      <c r="GB1094">
        <f t="shared" si="425"/>
        <v>0</v>
      </c>
      <c r="GC1094">
        <f>IF(AND(C1094="事件记录",H1094=1),COUNTIFS($C$200:C1094,"事件记录",$H$200:H1094,1),0)</f>
        <v>0</v>
      </c>
      <c r="GD1094">
        <f t="shared" si="405"/>
        <v>0</v>
      </c>
      <c r="GH1094">
        <f>IF(AND(H1094=1,A1094=$GA$10,B1094=$GA$11),COUNTIFS($A$200:A1094,$GA$10,$B$200:B1094,$GA$11,$H$200:H1094,1),0)</f>
        <v>0</v>
      </c>
    </row>
    <row r="1095" spans="1:190">
      <c r="A1095" t="str">
        <f t="shared" si="396"/>
        <v/>
      </c>
      <c r="B1095" t="str">
        <f t="shared" si="397"/>
        <v/>
      </c>
      <c r="C1095" t="str">
        <f t="shared" si="398"/>
        <v/>
      </c>
      <c r="D1095" t="str">
        <f t="shared" si="399"/>
        <v/>
      </c>
      <c r="E1095">
        <f t="shared" si="400"/>
        <v>0</v>
      </c>
      <c r="F1095" t="str">
        <f t="shared" si="401"/>
        <v/>
      </c>
      <c r="G1095">
        <f t="shared" si="402"/>
        <v>0</v>
      </c>
      <c r="H1095">
        <f>IF(AND(G1095=1,COUNTIFS($I$200:I1095,I1095,$G$200:G1095,1)=1),1,0)</f>
        <v>0</v>
      </c>
      <c r="I1095" t="str">
        <f t="shared" si="403"/>
        <v/>
      </c>
      <c r="BF1095">
        <f t="shared" si="406"/>
        <v>0</v>
      </c>
      <c r="BG1095">
        <f t="shared" si="407"/>
        <v>0</v>
      </c>
      <c r="BH1095">
        <f t="shared" si="408"/>
        <v>0</v>
      </c>
      <c r="BI1095">
        <f t="shared" si="409"/>
        <v>0</v>
      </c>
      <c r="BJ1095">
        <f t="shared" si="410"/>
        <v>0</v>
      </c>
      <c r="BK1095">
        <f t="shared" si="411"/>
        <v>0</v>
      </c>
      <c r="BL1095">
        <f t="shared" si="412"/>
        <v>0</v>
      </c>
      <c r="BM1095">
        <f t="shared" si="413"/>
        <v>0</v>
      </c>
      <c r="BN1095">
        <f t="shared" si="414"/>
        <v>0</v>
      </c>
      <c r="BO1095">
        <f t="shared" si="415"/>
        <v>0</v>
      </c>
      <c r="BP1095">
        <f t="shared" si="416"/>
        <v>0</v>
      </c>
      <c r="BQ1095">
        <f t="shared" si="417"/>
        <v>0</v>
      </c>
      <c r="BR1095">
        <f t="shared" si="418"/>
        <v>0</v>
      </c>
      <c r="BS1095">
        <f t="shared" si="419"/>
        <v>0</v>
      </c>
      <c r="BT1095">
        <f t="shared" si="420"/>
        <v>0</v>
      </c>
      <c r="BU1095">
        <f t="shared" si="421"/>
        <v>0</v>
      </c>
      <c r="BV1095">
        <f t="shared" si="422"/>
        <v>0</v>
      </c>
      <c r="BW1095">
        <f t="shared" si="423"/>
        <v>0</v>
      </c>
      <c r="CA1095" t="str">
        <f>IF(896&gt;ROWS(DGArchive[模组]),"",IF(INDEX(DGArchive[模组],896)="","",INDEX(DGArchive[模组],896)))</f>
        <v/>
      </c>
      <c r="CB1095" t="str">
        <f>IF(896&gt;ROWS(DGArchive[阶段]),"",IF(INDEX(DGArchive[阶段],896)="","",INDEX(DGArchive[阶段],896)))</f>
        <v/>
      </c>
      <c r="CC1095" t="str">
        <f>IF(896&gt;ROWS(DGArchive[游戏内日期]),"",IF(INDEX(DGArchive[游戏内日期],896)="","",INDEX(DGArchive[游戏内日期],896)))</f>
        <v/>
      </c>
      <c r="CD1095" t="str">
        <f>IF(896&gt;ROWS(DGArchive[目标]),"",IF(INDEX(DGArchive[目标],896)="","",INDEX(DGArchive[目标],896)))</f>
        <v/>
      </c>
      <c r="CE1095" t="str">
        <f>IF(896&gt;ROWS(DGArchive[变更前]),"",IF(INDEX(DGArchive[变更前],896)="","",INDEX(DGArchive[变更前],896)))</f>
        <v/>
      </c>
      <c r="CF1095" t="str">
        <f>IF(896&gt;ROWS(DGArchive[增减]),"",IF(INDEX(DGArchive[增减],896)="","",INDEX(DGArchive[增减],896)))</f>
        <v/>
      </c>
      <c r="CG1095" t="str">
        <f>IF(896&gt;ROWS(DGArchive[变更后]),"",IF(INDEX(DGArchive[变更后],896)="","",INDEX(DGArchive[变更后],896)))</f>
        <v/>
      </c>
      <c r="CH1095" t="str">
        <f>IF(896&gt;ROWS(DGArchive[事件／活动]),"",IF(INDEX(DGArchive[事件／活动],896)="","",INDEX(DGArchive[事件／活动],896)))</f>
        <v/>
      </c>
      <c r="CI1095" t="str">
        <f>IF(896&gt;ROWS(DGArchive[记录编号]),"",IF(INDEX(DGArchive[记录编号],896)="","",INDEX(DGArchive[记录编号],896)))</f>
        <v/>
      </c>
      <c r="CL1095">
        <f t="shared" si="404"/>
        <v>0</v>
      </c>
      <c r="CM1095">
        <f>IF(AND(A1095=$AO$5,B1095=$AQ$3,H1095=1),COUNTIFS($A$200:A1095,$AO$5,$B$200:B1095,$AQ$3,$H$200:H1095,1),0)</f>
        <v>0</v>
      </c>
      <c r="CN1095">
        <f>IF(CA1095="",896,1001)</f>
        <v>896</v>
      </c>
      <c r="GA1095">
        <f t="shared" si="424"/>
        <v>0</v>
      </c>
      <c r="GB1095">
        <f t="shared" si="425"/>
        <v>0</v>
      </c>
      <c r="GC1095">
        <f>IF(AND(C1095="事件记录",H1095=1),COUNTIFS($C$200:C1095,"事件记录",$H$200:H1095,1),0)</f>
        <v>0</v>
      </c>
      <c r="GD1095">
        <f t="shared" si="405"/>
        <v>0</v>
      </c>
      <c r="GH1095">
        <f>IF(AND(H1095=1,A1095=$GA$10,B1095=$GA$11),COUNTIFS($A$200:A1095,$GA$10,$B$200:B1095,$GA$11,$H$200:H1095,1),0)</f>
        <v>0</v>
      </c>
    </row>
    <row r="1096" spans="1:190">
      <c r="A1096" t="str">
        <f t="shared" ref="A1096:A1159" si="426">IFERROR(TEXT(VALUE(CA1096),"00"),"")</f>
        <v/>
      </c>
      <c r="B1096" t="str">
        <f t="shared" ref="B1096:B1159" si="427">CB1096</f>
        <v/>
      </c>
      <c r="C1096" t="str">
        <f t="shared" ref="C1096:C1159" si="428">CD1096</f>
        <v/>
      </c>
      <c r="D1096" t="str">
        <f t="shared" ref="D1096:D1159" si="429">CF1096</f>
        <v/>
      </c>
      <c r="E1096">
        <f t="shared" ref="E1096:E1159" si="430">IF(H1096=1,MAX(-CE1096,MIN(D1096,IF(LEFT(C1096,3)="技能：",99,IF(COUNTIF($L$2:$L$7,C1096)&gt;0,18,999))-CE1096)),0)</f>
        <v>0</v>
      </c>
      <c r="F1096" t="str">
        <f t="shared" ref="F1096:F1159" si="431">IF(OR(C1096=0,C1096=""),"",IF(G1096=0,"记录不完整",IF(H1096=0,"重复未计","已计入")))</f>
        <v/>
      </c>
      <c r="G1096">
        <f t="shared" ref="G1096:G1159" si="432">IF(AND(AND(CA1096&lt;&gt;"",CB1096&lt;&gt;"",CI1096&lt;&gt;"",OR(LEFT(C1096,3)="技能：",COUNTIF($L$2:$L$19,C1096)&gt;0,C1096="事件记录",C1096="暴力进度",C1096="无力进度"),ISNUMBER(CE1096),ISNUMBER(CF1096),ISNUMBER(CG1096),CE1096&gt;=0,CG1096=SUM(CE1096,CF1096)),OR(B1096&lt;&gt;"成长",AND(LEFT(C1096,3)="技能：",C1096&lt;&gt;"技能：非自然知识",CE1096&gt;=1,CE1096&lt;=99,CF1096&gt;=0,CF1096&lt;=4,CG1096&lt;=99))),1,0)</f>
        <v>0</v>
      </c>
      <c r="H1096">
        <f>IF(AND(G1096=1,COUNTIFS($I$200:I1096,I1096,$G$200:G1096,1)=1),1,0)</f>
        <v>0</v>
      </c>
      <c r="I1096" t="str">
        <f t="shared" ref="I1096:I1159" si="433">IF(G1096=1,IF(B1096="成长",A1096&amp;"-成长-"&amp;C1096,CI1096),"")</f>
        <v/>
      </c>
      <c r="BF1096">
        <f t="shared" si="406"/>
        <v>0</v>
      </c>
      <c r="BG1096">
        <f t="shared" si="407"/>
        <v>0</v>
      </c>
      <c r="BH1096">
        <f t="shared" si="408"/>
        <v>0</v>
      </c>
      <c r="BI1096">
        <f t="shared" si="409"/>
        <v>0</v>
      </c>
      <c r="BJ1096">
        <f t="shared" si="410"/>
        <v>0</v>
      </c>
      <c r="BK1096">
        <f t="shared" si="411"/>
        <v>0</v>
      </c>
      <c r="BL1096">
        <f t="shared" si="412"/>
        <v>0</v>
      </c>
      <c r="BM1096">
        <f t="shared" si="413"/>
        <v>0</v>
      </c>
      <c r="BN1096">
        <f t="shared" si="414"/>
        <v>0</v>
      </c>
      <c r="BO1096">
        <f t="shared" si="415"/>
        <v>0</v>
      </c>
      <c r="BP1096">
        <f t="shared" si="416"/>
        <v>0</v>
      </c>
      <c r="BQ1096">
        <f t="shared" si="417"/>
        <v>0</v>
      </c>
      <c r="BR1096">
        <f t="shared" si="418"/>
        <v>0</v>
      </c>
      <c r="BS1096">
        <f t="shared" si="419"/>
        <v>0</v>
      </c>
      <c r="BT1096">
        <f t="shared" si="420"/>
        <v>0</v>
      </c>
      <c r="BU1096">
        <f t="shared" si="421"/>
        <v>0</v>
      </c>
      <c r="BV1096">
        <f t="shared" si="422"/>
        <v>0</v>
      </c>
      <c r="BW1096">
        <f t="shared" si="423"/>
        <v>0</v>
      </c>
      <c r="CA1096" t="str">
        <f>IF(897&gt;ROWS(DGArchive[模组]),"",IF(INDEX(DGArchive[模组],897)="","",INDEX(DGArchive[模组],897)))</f>
        <v/>
      </c>
      <c r="CB1096" t="str">
        <f>IF(897&gt;ROWS(DGArchive[阶段]),"",IF(INDEX(DGArchive[阶段],897)="","",INDEX(DGArchive[阶段],897)))</f>
        <v/>
      </c>
      <c r="CC1096" t="str">
        <f>IF(897&gt;ROWS(DGArchive[游戏内日期]),"",IF(INDEX(DGArchive[游戏内日期],897)="","",INDEX(DGArchive[游戏内日期],897)))</f>
        <v/>
      </c>
      <c r="CD1096" t="str">
        <f>IF(897&gt;ROWS(DGArchive[目标]),"",IF(INDEX(DGArchive[目标],897)="","",INDEX(DGArchive[目标],897)))</f>
        <v/>
      </c>
      <c r="CE1096" t="str">
        <f>IF(897&gt;ROWS(DGArchive[变更前]),"",IF(INDEX(DGArchive[变更前],897)="","",INDEX(DGArchive[变更前],897)))</f>
        <v/>
      </c>
      <c r="CF1096" t="str">
        <f>IF(897&gt;ROWS(DGArchive[增减]),"",IF(INDEX(DGArchive[增减],897)="","",INDEX(DGArchive[增减],897)))</f>
        <v/>
      </c>
      <c r="CG1096" t="str">
        <f>IF(897&gt;ROWS(DGArchive[变更后]),"",IF(INDEX(DGArchive[变更后],897)="","",INDEX(DGArchive[变更后],897)))</f>
        <v/>
      </c>
      <c r="CH1096" t="str">
        <f>IF(897&gt;ROWS(DGArchive[事件／活动]),"",IF(INDEX(DGArchive[事件／活动],897)="","",INDEX(DGArchive[事件／活动],897)))</f>
        <v/>
      </c>
      <c r="CI1096" t="str">
        <f>IF(897&gt;ROWS(DGArchive[记录编号]),"",IF(INDEX(DGArchive[记录编号],897)="","",INDEX(DGArchive[记录编号],897)))</f>
        <v/>
      </c>
      <c r="CL1096">
        <f t="shared" ref="CL1096:CL1159" si="434">IF(AND(A1096=$AO$5,H1096=1,LEFT(B1096,2)="幕间"),IFERROR(VALUE(MID(B1096,3,20)),0),0)</f>
        <v>0</v>
      </c>
      <c r="CM1096">
        <f>IF(AND(A1096=$AO$5,B1096=$AQ$3,H1096=1),COUNTIFS($A$200:A1096,$AO$5,$B$200:B1096,$AQ$3,$H$200:H1096,1),0)</f>
        <v>0</v>
      </c>
      <c r="CN1096">
        <f>IF(CA1096="",897,1001)</f>
        <v>897</v>
      </c>
      <c r="GA1096">
        <f t="shared" si="424"/>
        <v>0</v>
      </c>
      <c r="GB1096">
        <f t="shared" si="425"/>
        <v>0</v>
      </c>
      <c r="GC1096">
        <f>IF(AND(C1096="事件记录",H1096=1),COUNTIFS($C$200:C1096,"事件记录",$H$200:H1096,1),0)</f>
        <v>0</v>
      </c>
      <c r="GD1096">
        <f t="shared" ref="GD1096:GD1159" si="435">IF(AND(H1096=1,A1096=$GA$10,LEFT(B1096,2)="事件"),IFERROR(VALUE(MID(B1096,3,20)),0),0)</f>
        <v>0</v>
      </c>
      <c r="GH1096">
        <f>IF(AND(H1096=1,A1096=$GA$10,B1096=$GA$11),COUNTIFS($A$200:A1096,$GA$10,$B$200:B1096,$GA$11,$H$200:H1096,1),0)</f>
        <v>0</v>
      </c>
    </row>
    <row r="1097" spans="1:190">
      <c r="A1097" t="str">
        <f t="shared" si="426"/>
        <v/>
      </c>
      <c r="B1097" t="str">
        <f t="shared" si="427"/>
        <v/>
      </c>
      <c r="C1097" t="str">
        <f t="shared" si="428"/>
        <v/>
      </c>
      <c r="D1097" t="str">
        <f t="shared" si="429"/>
        <v/>
      </c>
      <c r="E1097">
        <f t="shared" si="430"/>
        <v>0</v>
      </c>
      <c r="F1097" t="str">
        <f t="shared" si="431"/>
        <v/>
      </c>
      <c r="G1097">
        <f t="shared" si="432"/>
        <v>0</v>
      </c>
      <c r="H1097">
        <f>IF(AND(G1097=1,COUNTIFS($I$200:I1097,I1097,$G$200:G1097,1)=1),1,0)</f>
        <v>0</v>
      </c>
      <c r="I1097" t="str">
        <f t="shared" si="433"/>
        <v/>
      </c>
      <c r="BF1097">
        <f t="shared" ref="BF1097:BF1160" si="436">MAX(0,MIN(18,BF1096+IF(C1097="力量",E1097,0)))</f>
        <v>0</v>
      </c>
      <c r="BG1097">
        <f t="shared" ref="BG1097:BG1160" si="437">MAX(0,MIN(18,BG1096+IF(C1097="体质",E1097,0)))</f>
        <v>0</v>
      </c>
      <c r="BH1097">
        <f t="shared" ref="BH1097:BH1160" si="438">MAX(0,MIN(18,BH1096+IF(C1097="敏捷",E1097,0)))</f>
        <v>0</v>
      </c>
      <c r="BI1097">
        <f t="shared" ref="BI1097:BI1160" si="439">MAX(0,MIN(18,BI1096+IF(C1097="智力",E1097,0)))</f>
        <v>0</v>
      </c>
      <c r="BJ1097">
        <f t="shared" ref="BJ1097:BJ1160" si="440">MAX(0,MIN(18,BJ1096+IF(C1097="意志",E1097,0)))</f>
        <v>0</v>
      </c>
      <c r="BK1097">
        <f t="shared" ref="BK1097:BK1160" si="441">MAX(0,MIN(18,BK1096+IF(C1097="魅力",E1097,0)))</f>
        <v>0</v>
      </c>
      <c r="BL1097">
        <f t="shared" ref="BL1097:BL1160" si="442">MAX(0,MIN(99,BL1096+IF(C1097="技能：非自然知识",E1097,0)))</f>
        <v>0</v>
      </c>
      <c r="BM1097">
        <f t="shared" ref="BM1097:BM1160" si="443">MAX(0,MIN(CEILING((BF1097+BG1097)/2,1),BM1096+IF(C1097="体力",E1097,0)))</f>
        <v>0</v>
      </c>
      <c r="BN1097">
        <f t="shared" ref="BN1097:BN1160" si="444">MAX(0,MIN(BJ1097,BN1096+IF(C1097="毅力",E1097,0)))</f>
        <v>0</v>
      </c>
      <c r="BO1097">
        <f t="shared" ref="BO1097:BO1160" si="445">MAX(0,MIN(99-BL1097,BO1096+IF(C1097="理智",E1097,0)))</f>
        <v>0</v>
      </c>
      <c r="BP1097">
        <f t="shared" ref="BP1097:BP1160" si="446">MAX(0,MIN(99,BP1096+IF(C1097="崩溃点",E1097,0)))</f>
        <v>0</v>
      </c>
      <c r="BQ1097">
        <f t="shared" ref="BQ1097:BQ1160" si="447">MAX(0,MIN(BK1097,IF(AND(H1097=1,C1097="重要关系1",LEFT(CH1097,8)="建立新的重要关系"),CE1097+E1097,IF(BQ1096=0,0,BQ1096+IF(C1097="重要关系1",E1097,0))+IF(AND(C1097="魅力",E1097&lt;0),E1097,0))))</f>
        <v>0</v>
      </c>
      <c r="BR1097">
        <f t="shared" ref="BR1097:BR1160" si="448">MAX(0,MIN(BK1097,IF(AND(H1097=1,C1097="重要关系2",LEFT(CH1097,8)="建立新的重要关系"),CE1097+E1097,IF(BR1096=0,0,BR1096+IF(C1097="重要关系2",E1097,0))+IF(AND(C1097="魅力",E1097&lt;0),E1097,0))))</f>
        <v>0</v>
      </c>
      <c r="BS1097">
        <f t="shared" ref="BS1097:BS1160" si="449">MAX(0,MIN(BK1097,IF(AND(H1097=1,C1097="重要关系3",LEFT(CH1097,8)="建立新的重要关系"),CE1097+E1097,IF(BS1096=0,0,BS1096+IF(C1097="重要关系3",E1097,0))+IF(AND(C1097="魅力",E1097&lt;0),E1097,0))))</f>
        <v>0</v>
      </c>
      <c r="BT1097">
        <f t="shared" ref="BT1097:BT1160" si="450">MAX(0,MIN(BK1097,IF(AND(H1097=1,C1097="重要关系4",LEFT(CH1097,8)="建立新的重要关系"),CE1097+E1097,IF(BT1096=0,0,BT1096+IF(C1097="重要关系4",E1097,0))+IF(AND(C1097="魅力",E1097&lt;0),E1097,0))))</f>
        <v>0</v>
      </c>
      <c r="BU1097">
        <f t="shared" ref="BU1097:BU1160" si="451">MAX(0,MIN(BK1097,IF(AND(H1097=1,C1097="重要关系5",LEFT(CH1097,8)="建立新的重要关系"),CE1097+E1097,IF(BU1096=0,0,BU1096+IF(C1097="重要关系5",E1097,0))+IF(AND(C1097="魅力",E1097&lt;0),E1097,0))))</f>
        <v>0</v>
      </c>
      <c r="BV1097">
        <f t="shared" ref="BV1097:BV1160" si="452">MAX(0,MIN(BK1097,IF(AND(H1097=1,C1097="重要关系6",LEFT(CH1097,8)="建立新的重要关系"),CE1097+E1097,IF(BV1096=0,0,BV1096+IF(C1097="重要关系6",E1097,0))+IF(AND(C1097="魅力",E1097&lt;0),E1097,0))))</f>
        <v>0</v>
      </c>
      <c r="BW1097">
        <f t="shared" ref="BW1097:BW1160" si="453">MAX(0,MIN(BK1097,IF(AND(H1097=1,C1097="重要关系7",LEFT(CH1097,8)="建立新的重要关系"),CE1097+E1097,IF(BW1096=0,0,BW1096+IF(C1097="重要关系7",E1097,0))+IF(AND(C1097="魅力",E1097&lt;0),E1097,0))))</f>
        <v>0</v>
      </c>
      <c r="CA1097" t="str">
        <f>IF(898&gt;ROWS(DGArchive[模组]),"",IF(INDEX(DGArchive[模组],898)="","",INDEX(DGArchive[模组],898)))</f>
        <v/>
      </c>
      <c r="CB1097" t="str">
        <f>IF(898&gt;ROWS(DGArchive[阶段]),"",IF(INDEX(DGArchive[阶段],898)="","",INDEX(DGArchive[阶段],898)))</f>
        <v/>
      </c>
      <c r="CC1097" t="str">
        <f>IF(898&gt;ROWS(DGArchive[游戏内日期]),"",IF(INDEX(DGArchive[游戏内日期],898)="","",INDEX(DGArchive[游戏内日期],898)))</f>
        <v/>
      </c>
      <c r="CD1097" t="str">
        <f>IF(898&gt;ROWS(DGArchive[目标]),"",IF(INDEX(DGArchive[目标],898)="","",INDEX(DGArchive[目标],898)))</f>
        <v/>
      </c>
      <c r="CE1097" t="str">
        <f>IF(898&gt;ROWS(DGArchive[变更前]),"",IF(INDEX(DGArchive[变更前],898)="","",INDEX(DGArchive[变更前],898)))</f>
        <v/>
      </c>
      <c r="CF1097" t="str">
        <f>IF(898&gt;ROWS(DGArchive[增减]),"",IF(INDEX(DGArchive[增减],898)="","",INDEX(DGArchive[增减],898)))</f>
        <v/>
      </c>
      <c r="CG1097" t="str">
        <f>IF(898&gt;ROWS(DGArchive[变更后]),"",IF(INDEX(DGArchive[变更后],898)="","",INDEX(DGArchive[变更后],898)))</f>
        <v/>
      </c>
      <c r="CH1097" t="str">
        <f>IF(898&gt;ROWS(DGArchive[事件／活动]),"",IF(INDEX(DGArchive[事件／活动],898)="","",INDEX(DGArchive[事件／活动],898)))</f>
        <v/>
      </c>
      <c r="CI1097" t="str">
        <f>IF(898&gt;ROWS(DGArchive[记录编号]),"",IF(INDEX(DGArchive[记录编号],898)="","",INDEX(DGArchive[记录编号],898)))</f>
        <v/>
      </c>
      <c r="CL1097">
        <f t="shared" si="434"/>
        <v>0</v>
      </c>
      <c r="CM1097">
        <f>IF(AND(A1097=$AO$5,B1097=$AQ$3,H1097=1),COUNTIFS($A$200:A1097,$AO$5,$B$200:B1097,$AQ$3,$H$200:H1097,1),0)</f>
        <v>0</v>
      </c>
      <c r="CN1097">
        <f>IF(CA1097="",898,1001)</f>
        <v>898</v>
      </c>
      <c r="GA1097">
        <f t="shared" ref="GA1097:GA1160" si="454">MAX(0,MIN(3,GA1096+IF(C1097="暴力进度",E1097,0)))</f>
        <v>0</v>
      </c>
      <c r="GB1097">
        <f t="shared" ref="GB1097:GB1160" si="455">MAX(0,MIN(3,GB1096+IF(C1097="无力进度",E1097,0)))</f>
        <v>0</v>
      </c>
      <c r="GC1097">
        <f>IF(AND(C1097="事件记录",H1097=1),COUNTIFS($C$200:C1097,"事件记录",$H$200:H1097,1),0)</f>
        <v>0</v>
      </c>
      <c r="GD1097">
        <f t="shared" si="435"/>
        <v>0</v>
      </c>
      <c r="GH1097">
        <f>IF(AND(H1097=1,A1097=$GA$10,B1097=$GA$11),COUNTIFS($A$200:A1097,$GA$10,$B$200:B1097,$GA$11,$H$200:H1097,1),0)</f>
        <v>0</v>
      </c>
    </row>
    <row r="1098" spans="1:190">
      <c r="A1098" t="str">
        <f t="shared" si="426"/>
        <v/>
      </c>
      <c r="B1098" t="str">
        <f t="shared" si="427"/>
        <v/>
      </c>
      <c r="C1098" t="str">
        <f t="shared" si="428"/>
        <v/>
      </c>
      <c r="D1098" t="str">
        <f t="shared" si="429"/>
        <v/>
      </c>
      <c r="E1098">
        <f t="shared" si="430"/>
        <v>0</v>
      </c>
      <c r="F1098" t="str">
        <f t="shared" si="431"/>
        <v/>
      </c>
      <c r="G1098">
        <f t="shared" si="432"/>
        <v>0</v>
      </c>
      <c r="H1098">
        <f>IF(AND(G1098=1,COUNTIFS($I$200:I1098,I1098,$G$200:G1098,1)=1),1,0)</f>
        <v>0</v>
      </c>
      <c r="I1098" t="str">
        <f t="shared" si="433"/>
        <v/>
      </c>
      <c r="BF1098">
        <f t="shared" si="436"/>
        <v>0</v>
      </c>
      <c r="BG1098">
        <f t="shared" si="437"/>
        <v>0</v>
      </c>
      <c r="BH1098">
        <f t="shared" si="438"/>
        <v>0</v>
      </c>
      <c r="BI1098">
        <f t="shared" si="439"/>
        <v>0</v>
      </c>
      <c r="BJ1098">
        <f t="shared" si="440"/>
        <v>0</v>
      </c>
      <c r="BK1098">
        <f t="shared" si="441"/>
        <v>0</v>
      </c>
      <c r="BL1098">
        <f t="shared" si="442"/>
        <v>0</v>
      </c>
      <c r="BM1098">
        <f t="shared" si="443"/>
        <v>0</v>
      </c>
      <c r="BN1098">
        <f t="shared" si="444"/>
        <v>0</v>
      </c>
      <c r="BO1098">
        <f t="shared" si="445"/>
        <v>0</v>
      </c>
      <c r="BP1098">
        <f t="shared" si="446"/>
        <v>0</v>
      </c>
      <c r="BQ1098">
        <f t="shared" si="447"/>
        <v>0</v>
      </c>
      <c r="BR1098">
        <f t="shared" si="448"/>
        <v>0</v>
      </c>
      <c r="BS1098">
        <f t="shared" si="449"/>
        <v>0</v>
      </c>
      <c r="BT1098">
        <f t="shared" si="450"/>
        <v>0</v>
      </c>
      <c r="BU1098">
        <f t="shared" si="451"/>
        <v>0</v>
      </c>
      <c r="BV1098">
        <f t="shared" si="452"/>
        <v>0</v>
      </c>
      <c r="BW1098">
        <f t="shared" si="453"/>
        <v>0</v>
      </c>
      <c r="CA1098" t="str">
        <f>IF(899&gt;ROWS(DGArchive[模组]),"",IF(INDEX(DGArchive[模组],899)="","",INDEX(DGArchive[模组],899)))</f>
        <v/>
      </c>
      <c r="CB1098" t="str">
        <f>IF(899&gt;ROWS(DGArchive[阶段]),"",IF(INDEX(DGArchive[阶段],899)="","",INDEX(DGArchive[阶段],899)))</f>
        <v/>
      </c>
      <c r="CC1098" t="str">
        <f>IF(899&gt;ROWS(DGArchive[游戏内日期]),"",IF(INDEX(DGArchive[游戏内日期],899)="","",INDEX(DGArchive[游戏内日期],899)))</f>
        <v/>
      </c>
      <c r="CD1098" t="str">
        <f>IF(899&gt;ROWS(DGArchive[目标]),"",IF(INDEX(DGArchive[目标],899)="","",INDEX(DGArchive[目标],899)))</f>
        <v/>
      </c>
      <c r="CE1098" t="str">
        <f>IF(899&gt;ROWS(DGArchive[变更前]),"",IF(INDEX(DGArchive[变更前],899)="","",INDEX(DGArchive[变更前],899)))</f>
        <v/>
      </c>
      <c r="CF1098" t="str">
        <f>IF(899&gt;ROWS(DGArchive[增减]),"",IF(INDEX(DGArchive[增减],899)="","",INDEX(DGArchive[增减],899)))</f>
        <v/>
      </c>
      <c r="CG1098" t="str">
        <f>IF(899&gt;ROWS(DGArchive[变更后]),"",IF(INDEX(DGArchive[变更后],899)="","",INDEX(DGArchive[变更后],899)))</f>
        <v/>
      </c>
      <c r="CH1098" t="str">
        <f>IF(899&gt;ROWS(DGArchive[事件／活动]),"",IF(INDEX(DGArchive[事件／活动],899)="","",INDEX(DGArchive[事件／活动],899)))</f>
        <v/>
      </c>
      <c r="CI1098" t="str">
        <f>IF(899&gt;ROWS(DGArchive[记录编号]),"",IF(INDEX(DGArchive[记录编号],899)="","",INDEX(DGArchive[记录编号],899)))</f>
        <v/>
      </c>
      <c r="CL1098">
        <f t="shared" si="434"/>
        <v>0</v>
      </c>
      <c r="CM1098">
        <f>IF(AND(A1098=$AO$5,B1098=$AQ$3,H1098=1),COUNTIFS($A$200:A1098,$AO$5,$B$200:B1098,$AQ$3,$H$200:H1098,1),0)</f>
        <v>0</v>
      </c>
      <c r="CN1098">
        <f>IF(CA1098="",899,1001)</f>
        <v>899</v>
      </c>
      <c r="GA1098">
        <f t="shared" si="454"/>
        <v>0</v>
      </c>
      <c r="GB1098">
        <f t="shared" si="455"/>
        <v>0</v>
      </c>
      <c r="GC1098">
        <f>IF(AND(C1098="事件记录",H1098=1),COUNTIFS($C$200:C1098,"事件记录",$H$200:H1098,1),0)</f>
        <v>0</v>
      </c>
      <c r="GD1098">
        <f t="shared" si="435"/>
        <v>0</v>
      </c>
      <c r="GH1098">
        <f>IF(AND(H1098=1,A1098=$GA$10,B1098=$GA$11),COUNTIFS($A$200:A1098,$GA$10,$B$200:B1098,$GA$11,$H$200:H1098,1),0)</f>
        <v>0</v>
      </c>
    </row>
    <row r="1099" spans="1:190">
      <c r="A1099" t="str">
        <f t="shared" si="426"/>
        <v/>
      </c>
      <c r="B1099" t="str">
        <f t="shared" si="427"/>
        <v/>
      </c>
      <c r="C1099" t="str">
        <f t="shared" si="428"/>
        <v/>
      </c>
      <c r="D1099" t="str">
        <f t="shared" si="429"/>
        <v/>
      </c>
      <c r="E1099">
        <f t="shared" si="430"/>
        <v>0</v>
      </c>
      <c r="F1099" t="str">
        <f t="shared" si="431"/>
        <v/>
      </c>
      <c r="G1099">
        <f t="shared" si="432"/>
        <v>0</v>
      </c>
      <c r="H1099">
        <f>IF(AND(G1099=1,COUNTIFS($I$200:I1099,I1099,$G$200:G1099,1)=1),1,0)</f>
        <v>0</v>
      </c>
      <c r="I1099" t="str">
        <f t="shared" si="433"/>
        <v/>
      </c>
      <c r="BF1099">
        <f t="shared" si="436"/>
        <v>0</v>
      </c>
      <c r="BG1099">
        <f t="shared" si="437"/>
        <v>0</v>
      </c>
      <c r="BH1099">
        <f t="shared" si="438"/>
        <v>0</v>
      </c>
      <c r="BI1099">
        <f t="shared" si="439"/>
        <v>0</v>
      </c>
      <c r="BJ1099">
        <f t="shared" si="440"/>
        <v>0</v>
      </c>
      <c r="BK1099">
        <f t="shared" si="441"/>
        <v>0</v>
      </c>
      <c r="BL1099">
        <f t="shared" si="442"/>
        <v>0</v>
      </c>
      <c r="BM1099">
        <f t="shared" si="443"/>
        <v>0</v>
      </c>
      <c r="BN1099">
        <f t="shared" si="444"/>
        <v>0</v>
      </c>
      <c r="BO1099">
        <f t="shared" si="445"/>
        <v>0</v>
      </c>
      <c r="BP1099">
        <f t="shared" si="446"/>
        <v>0</v>
      </c>
      <c r="BQ1099">
        <f t="shared" si="447"/>
        <v>0</v>
      </c>
      <c r="BR1099">
        <f t="shared" si="448"/>
        <v>0</v>
      </c>
      <c r="BS1099">
        <f t="shared" si="449"/>
        <v>0</v>
      </c>
      <c r="BT1099">
        <f t="shared" si="450"/>
        <v>0</v>
      </c>
      <c r="BU1099">
        <f t="shared" si="451"/>
        <v>0</v>
      </c>
      <c r="BV1099">
        <f t="shared" si="452"/>
        <v>0</v>
      </c>
      <c r="BW1099">
        <f t="shared" si="453"/>
        <v>0</v>
      </c>
      <c r="CA1099" t="str">
        <f>IF(900&gt;ROWS(DGArchive[模组]),"",IF(INDEX(DGArchive[模组],900)="","",INDEX(DGArchive[模组],900)))</f>
        <v/>
      </c>
      <c r="CB1099" t="str">
        <f>IF(900&gt;ROWS(DGArchive[阶段]),"",IF(INDEX(DGArchive[阶段],900)="","",INDEX(DGArchive[阶段],900)))</f>
        <v/>
      </c>
      <c r="CC1099" t="str">
        <f>IF(900&gt;ROWS(DGArchive[游戏内日期]),"",IF(INDEX(DGArchive[游戏内日期],900)="","",INDEX(DGArchive[游戏内日期],900)))</f>
        <v/>
      </c>
      <c r="CD1099" t="str">
        <f>IF(900&gt;ROWS(DGArchive[目标]),"",IF(INDEX(DGArchive[目标],900)="","",INDEX(DGArchive[目标],900)))</f>
        <v/>
      </c>
      <c r="CE1099" t="str">
        <f>IF(900&gt;ROWS(DGArchive[变更前]),"",IF(INDEX(DGArchive[变更前],900)="","",INDEX(DGArchive[变更前],900)))</f>
        <v/>
      </c>
      <c r="CF1099" t="str">
        <f>IF(900&gt;ROWS(DGArchive[增减]),"",IF(INDEX(DGArchive[增减],900)="","",INDEX(DGArchive[增减],900)))</f>
        <v/>
      </c>
      <c r="CG1099" t="str">
        <f>IF(900&gt;ROWS(DGArchive[变更后]),"",IF(INDEX(DGArchive[变更后],900)="","",INDEX(DGArchive[变更后],900)))</f>
        <v/>
      </c>
      <c r="CH1099" t="str">
        <f>IF(900&gt;ROWS(DGArchive[事件／活动]),"",IF(INDEX(DGArchive[事件／活动],900)="","",INDEX(DGArchive[事件／活动],900)))</f>
        <v/>
      </c>
      <c r="CI1099" t="str">
        <f>IF(900&gt;ROWS(DGArchive[记录编号]),"",IF(INDEX(DGArchive[记录编号],900)="","",INDEX(DGArchive[记录编号],900)))</f>
        <v/>
      </c>
      <c r="CL1099">
        <f t="shared" si="434"/>
        <v>0</v>
      </c>
      <c r="CM1099">
        <f>IF(AND(A1099=$AO$5,B1099=$AQ$3,H1099=1),COUNTIFS($A$200:A1099,$AO$5,$B$200:B1099,$AQ$3,$H$200:H1099,1),0)</f>
        <v>0</v>
      </c>
      <c r="CN1099">
        <f>IF(CA1099="",900,1001)</f>
        <v>900</v>
      </c>
      <c r="GA1099">
        <f t="shared" si="454"/>
        <v>0</v>
      </c>
      <c r="GB1099">
        <f t="shared" si="455"/>
        <v>0</v>
      </c>
      <c r="GC1099">
        <f>IF(AND(C1099="事件记录",H1099=1),COUNTIFS($C$200:C1099,"事件记录",$H$200:H1099,1),0)</f>
        <v>0</v>
      </c>
      <c r="GD1099">
        <f t="shared" si="435"/>
        <v>0</v>
      </c>
      <c r="GH1099">
        <f>IF(AND(H1099=1,A1099=$GA$10,B1099=$GA$11),COUNTIFS($A$200:A1099,$GA$10,$B$200:B1099,$GA$11,$H$200:H1099,1),0)</f>
        <v>0</v>
      </c>
    </row>
    <row r="1100" spans="1:190">
      <c r="A1100" t="str">
        <f t="shared" si="426"/>
        <v/>
      </c>
      <c r="B1100" t="str">
        <f t="shared" si="427"/>
        <v/>
      </c>
      <c r="C1100" t="str">
        <f t="shared" si="428"/>
        <v/>
      </c>
      <c r="D1100" t="str">
        <f t="shared" si="429"/>
        <v/>
      </c>
      <c r="E1100">
        <f t="shared" si="430"/>
        <v>0</v>
      </c>
      <c r="F1100" t="str">
        <f t="shared" si="431"/>
        <v/>
      </c>
      <c r="G1100">
        <f t="shared" si="432"/>
        <v>0</v>
      </c>
      <c r="H1100">
        <f>IF(AND(G1100=1,COUNTIFS($I$200:I1100,I1100,$G$200:G1100,1)=1),1,0)</f>
        <v>0</v>
      </c>
      <c r="I1100" t="str">
        <f t="shared" si="433"/>
        <v/>
      </c>
      <c r="BF1100">
        <f t="shared" si="436"/>
        <v>0</v>
      </c>
      <c r="BG1100">
        <f t="shared" si="437"/>
        <v>0</v>
      </c>
      <c r="BH1100">
        <f t="shared" si="438"/>
        <v>0</v>
      </c>
      <c r="BI1100">
        <f t="shared" si="439"/>
        <v>0</v>
      </c>
      <c r="BJ1100">
        <f t="shared" si="440"/>
        <v>0</v>
      </c>
      <c r="BK1100">
        <f t="shared" si="441"/>
        <v>0</v>
      </c>
      <c r="BL1100">
        <f t="shared" si="442"/>
        <v>0</v>
      </c>
      <c r="BM1100">
        <f t="shared" si="443"/>
        <v>0</v>
      </c>
      <c r="BN1100">
        <f t="shared" si="444"/>
        <v>0</v>
      </c>
      <c r="BO1100">
        <f t="shared" si="445"/>
        <v>0</v>
      </c>
      <c r="BP1100">
        <f t="shared" si="446"/>
        <v>0</v>
      </c>
      <c r="BQ1100">
        <f t="shared" si="447"/>
        <v>0</v>
      </c>
      <c r="BR1100">
        <f t="shared" si="448"/>
        <v>0</v>
      </c>
      <c r="BS1100">
        <f t="shared" si="449"/>
        <v>0</v>
      </c>
      <c r="BT1100">
        <f t="shared" si="450"/>
        <v>0</v>
      </c>
      <c r="BU1100">
        <f t="shared" si="451"/>
        <v>0</v>
      </c>
      <c r="BV1100">
        <f t="shared" si="452"/>
        <v>0</v>
      </c>
      <c r="BW1100">
        <f t="shared" si="453"/>
        <v>0</v>
      </c>
      <c r="CA1100" t="str">
        <f>IF(901&gt;ROWS(DGArchive[模组]),"",IF(INDEX(DGArchive[模组],901)="","",INDEX(DGArchive[模组],901)))</f>
        <v/>
      </c>
      <c r="CB1100" t="str">
        <f>IF(901&gt;ROWS(DGArchive[阶段]),"",IF(INDEX(DGArchive[阶段],901)="","",INDEX(DGArchive[阶段],901)))</f>
        <v/>
      </c>
      <c r="CC1100" t="str">
        <f>IF(901&gt;ROWS(DGArchive[游戏内日期]),"",IF(INDEX(DGArchive[游戏内日期],901)="","",INDEX(DGArchive[游戏内日期],901)))</f>
        <v/>
      </c>
      <c r="CD1100" t="str">
        <f>IF(901&gt;ROWS(DGArchive[目标]),"",IF(INDEX(DGArchive[目标],901)="","",INDEX(DGArchive[目标],901)))</f>
        <v/>
      </c>
      <c r="CE1100" t="str">
        <f>IF(901&gt;ROWS(DGArchive[变更前]),"",IF(INDEX(DGArchive[变更前],901)="","",INDEX(DGArchive[变更前],901)))</f>
        <v/>
      </c>
      <c r="CF1100" t="str">
        <f>IF(901&gt;ROWS(DGArchive[增减]),"",IF(INDEX(DGArchive[增减],901)="","",INDEX(DGArchive[增减],901)))</f>
        <v/>
      </c>
      <c r="CG1100" t="str">
        <f>IF(901&gt;ROWS(DGArchive[变更后]),"",IF(INDEX(DGArchive[变更后],901)="","",INDEX(DGArchive[变更后],901)))</f>
        <v/>
      </c>
      <c r="CH1100" t="str">
        <f>IF(901&gt;ROWS(DGArchive[事件／活动]),"",IF(INDEX(DGArchive[事件／活动],901)="","",INDEX(DGArchive[事件／活动],901)))</f>
        <v/>
      </c>
      <c r="CI1100" t="str">
        <f>IF(901&gt;ROWS(DGArchive[记录编号]),"",IF(INDEX(DGArchive[记录编号],901)="","",INDEX(DGArchive[记录编号],901)))</f>
        <v/>
      </c>
      <c r="CL1100">
        <f t="shared" si="434"/>
        <v>0</v>
      </c>
      <c r="CM1100">
        <f>IF(AND(A1100=$AO$5,B1100=$AQ$3,H1100=1),COUNTIFS($A$200:A1100,$AO$5,$B$200:B1100,$AQ$3,$H$200:H1100,1),0)</f>
        <v>0</v>
      </c>
      <c r="CN1100">
        <f>IF(CA1100="",901,1001)</f>
        <v>901</v>
      </c>
      <c r="GA1100">
        <f t="shared" si="454"/>
        <v>0</v>
      </c>
      <c r="GB1100">
        <f t="shared" si="455"/>
        <v>0</v>
      </c>
      <c r="GC1100">
        <f>IF(AND(C1100="事件记录",H1100=1),COUNTIFS($C$200:C1100,"事件记录",$H$200:H1100,1),0)</f>
        <v>0</v>
      </c>
      <c r="GD1100">
        <f t="shared" si="435"/>
        <v>0</v>
      </c>
      <c r="GH1100">
        <f>IF(AND(H1100=1,A1100=$GA$10,B1100=$GA$11),COUNTIFS($A$200:A1100,$GA$10,$B$200:B1100,$GA$11,$H$200:H1100,1),0)</f>
        <v>0</v>
      </c>
    </row>
    <row r="1101" spans="1:190">
      <c r="A1101" t="str">
        <f t="shared" si="426"/>
        <v/>
      </c>
      <c r="B1101" t="str">
        <f t="shared" si="427"/>
        <v/>
      </c>
      <c r="C1101" t="str">
        <f t="shared" si="428"/>
        <v/>
      </c>
      <c r="D1101" t="str">
        <f t="shared" si="429"/>
        <v/>
      </c>
      <c r="E1101">
        <f t="shared" si="430"/>
        <v>0</v>
      </c>
      <c r="F1101" t="str">
        <f t="shared" si="431"/>
        <v/>
      </c>
      <c r="G1101">
        <f t="shared" si="432"/>
        <v>0</v>
      </c>
      <c r="H1101">
        <f>IF(AND(G1101=1,COUNTIFS($I$200:I1101,I1101,$G$200:G1101,1)=1),1,0)</f>
        <v>0</v>
      </c>
      <c r="I1101" t="str">
        <f t="shared" si="433"/>
        <v/>
      </c>
      <c r="BF1101">
        <f t="shared" si="436"/>
        <v>0</v>
      </c>
      <c r="BG1101">
        <f t="shared" si="437"/>
        <v>0</v>
      </c>
      <c r="BH1101">
        <f t="shared" si="438"/>
        <v>0</v>
      </c>
      <c r="BI1101">
        <f t="shared" si="439"/>
        <v>0</v>
      </c>
      <c r="BJ1101">
        <f t="shared" si="440"/>
        <v>0</v>
      </c>
      <c r="BK1101">
        <f t="shared" si="441"/>
        <v>0</v>
      </c>
      <c r="BL1101">
        <f t="shared" si="442"/>
        <v>0</v>
      </c>
      <c r="BM1101">
        <f t="shared" si="443"/>
        <v>0</v>
      </c>
      <c r="BN1101">
        <f t="shared" si="444"/>
        <v>0</v>
      </c>
      <c r="BO1101">
        <f t="shared" si="445"/>
        <v>0</v>
      </c>
      <c r="BP1101">
        <f t="shared" si="446"/>
        <v>0</v>
      </c>
      <c r="BQ1101">
        <f t="shared" si="447"/>
        <v>0</v>
      </c>
      <c r="BR1101">
        <f t="shared" si="448"/>
        <v>0</v>
      </c>
      <c r="BS1101">
        <f t="shared" si="449"/>
        <v>0</v>
      </c>
      <c r="BT1101">
        <f t="shared" si="450"/>
        <v>0</v>
      </c>
      <c r="BU1101">
        <f t="shared" si="451"/>
        <v>0</v>
      </c>
      <c r="BV1101">
        <f t="shared" si="452"/>
        <v>0</v>
      </c>
      <c r="BW1101">
        <f t="shared" si="453"/>
        <v>0</v>
      </c>
      <c r="CA1101" t="str">
        <f>IF(902&gt;ROWS(DGArchive[模组]),"",IF(INDEX(DGArchive[模组],902)="","",INDEX(DGArchive[模组],902)))</f>
        <v/>
      </c>
      <c r="CB1101" t="str">
        <f>IF(902&gt;ROWS(DGArchive[阶段]),"",IF(INDEX(DGArchive[阶段],902)="","",INDEX(DGArchive[阶段],902)))</f>
        <v/>
      </c>
      <c r="CC1101" t="str">
        <f>IF(902&gt;ROWS(DGArchive[游戏内日期]),"",IF(INDEX(DGArchive[游戏内日期],902)="","",INDEX(DGArchive[游戏内日期],902)))</f>
        <v/>
      </c>
      <c r="CD1101" t="str">
        <f>IF(902&gt;ROWS(DGArchive[目标]),"",IF(INDEX(DGArchive[目标],902)="","",INDEX(DGArchive[目标],902)))</f>
        <v/>
      </c>
      <c r="CE1101" t="str">
        <f>IF(902&gt;ROWS(DGArchive[变更前]),"",IF(INDEX(DGArchive[变更前],902)="","",INDEX(DGArchive[变更前],902)))</f>
        <v/>
      </c>
      <c r="CF1101" t="str">
        <f>IF(902&gt;ROWS(DGArchive[增减]),"",IF(INDEX(DGArchive[增减],902)="","",INDEX(DGArchive[增减],902)))</f>
        <v/>
      </c>
      <c r="CG1101" t="str">
        <f>IF(902&gt;ROWS(DGArchive[变更后]),"",IF(INDEX(DGArchive[变更后],902)="","",INDEX(DGArchive[变更后],902)))</f>
        <v/>
      </c>
      <c r="CH1101" t="str">
        <f>IF(902&gt;ROWS(DGArchive[事件／活动]),"",IF(INDEX(DGArchive[事件／活动],902)="","",INDEX(DGArchive[事件／活动],902)))</f>
        <v/>
      </c>
      <c r="CI1101" t="str">
        <f>IF(902&gt;ROWS(DGArchive[记录编号]),"",IF(INDEX(DGArchive[记录编号],902)="","",INDEX(DGArchive[记录编号],902)))</f>
        <v/>
      </c>
      <c r="CL1101">
        <f t="shared" si="434"/>
        <v>0</v>
      </c>
      <c r="CM1101">
        <f>IF(AND(A1101=$AO$5,B1101=$AQ$3,H1101=1),COUNTIFS($A$200:A1101,$AO$5,$B$200:B1101,$AQ$3,$H$200:H1101,1),0)</f>
        <v>0</v>
      </c>
      <c r="CN1101">
        <f>IF(CA1101="",902,1001)</f>
        <v>902</v>
      </c>
      <c r="GA1101">
        <f t="shared" si="454"/>
        <v>0</v>
      </c>
      <c r="GB1101">
        <f t="shared" si="455"/>
        <v>0</v>
      </c>
      <c r="GC1101">
        <f>IF(AND(C1101="事件记录",H1101=1),COUNTIFS($C$200:C1101,"事件记录",$H$200:H1101,1),0)</f>
        <v>0</v>
      </c>
      <c r="GD1101">
        <f t="shared" si="435"/>
        <v>0</v>
      </c>
      <c r="GH1101">
        <f>IF(AND(H1101=1,A1101=$GA$10,B1101=$GA$11),COUNTIFS($A$200:A1101,$GA$10,$B$200:B1101,$GA$11,$H$200:H1101,1),0)</f>
        <v>0</v>
      </c>
    </row>
    <row r="1102" spans="1:190">
      <c r="A1102" t="str">
        <f t="shared" si="426"/>
        <v/>
      </c>
      <c r="B1102" t="str">
        <f t="shared" si="427"/>
        <v/>
      </c>
      <c r="C1102" t="str">
        <f t="shared" si="428"/>
        <v/>
      </c>
      <c r="D1102" t="str">
        <f t="shared" si="429"/>
        <v/>
      </c>
      <c r="E1102">
        <f t="shared" si="430"/>
        <v>0</v>
      </c>
      <c r="F1102" t="str">
        <f t="shared" si="431"/>
        <v/>
      </c>
      <c r="G1102">
        <f t="shared" si="432"/>
        <v>0</v>
      </c>
      <c r="H1102">
        <f>IF(AND(G1102=1,COUNTIFS($I$200:I1102,I1102,$G$200:G1102,1)=1),1,0)</f>
        <v>0</v>
      </c>
      <c r="I1102" t="str">
        <f t="shared" si="433"/>
        <v/>
      </c>
      <c r="BF1102">
        <f t="shared" si="436"/>
        <v>0</v>
      </c>
      <c r="BG1102">
        <f t="shared" si="437"/>
        <v>0</v>
      </c>
      <c r="BH1102">
        <f t="shared" si="438"/>
        <v>0</v>
      </c>
      <c r="BI1102">
        <f t="shared" si="439"/>
        <v>0</v>
      </c>
      <c r="BJ1102">
        <f t="shared" si="440"/>
        <v>0</v>
      </c>
      <c r="BK1102">
        <f t="shared" si="441"/>
        <v>0</v>
      </c>
      <c r="BL1102">
        <f t="shared" si="442"/>
        <v>0</v>
      </c>
      <c r="BM1102">
        <f t="shared" si="443"/>
        <v>0</v>
      </c>
      <c r="BN1102">
        <f t="shared" si="444"/>
        <v>0</v>
      </c>
      <c r="BO1102">
        <f t="shared" si="445"/>
        <v>0</v>
      </c>
      <c r="BP1102">
        <f t="shared" si="446"/>
        <v>0</v>
      </c>
      <c r="BQ1102">
        <f t="shared" si="447"/>
        <v>0</v>
      </c>
      <c r="BR1102">
        <f t="shared" si="448"/>
        <v>0</v>
      </c>
      <c r="BS1102">
        <f t="shared" si="449"/>
        <v>0</v>
      </c>
      <c r="BT1102">
        <f t="shared" si="450"/>
        <v>0</v>
      </c>
      <c r="BU1102">
        <f t="shared" si="451"/>
        <v>0</v>
      </c>
      <c r="BV1102">
        <f t="shared" si="452"/>
        <v>0</v>
      </c>
      <c r="BW1102">
        <f t="shared" si="453"/>
        <v>0</v>
      </c>
      <c r="CA1102" t="str">
        <f>IF(903&gt;ROWS(DGArchive[模组]),"",IF(INDEX(DGArchive[模组],903)="","",INDEX(DGArchive[模组],903)))</f>
        <v/>
      </c>
      <c r="CB1102" t="str">
        <f>IF(903&gt;ROWS(DGArchive[阶段]),"",IF(INDEX(DGArchive[阶段],903)="","",INDEX(DGArchive[阶段],903)))</f>
        <v/>
      </c>
      <c r="CC1102" t="str">
        <f>IF(903&gt;ROWS(DGArchive[游戏内日期]),"",IF(INDEX(DGArchive[游戏内日期],903)="","",INDEX(DGArchive[游戏内日期],903)))</f>
        <v/>
      </c>
      <c r="CD1102" t="str">
        <f>IF(903&gt;ROWS(DGArchive[目标]),"",IF(INDEX(DGArchive[目标],903)="","",INDEX(DGArchive[目标],903)))</f>
        <v/>
      </c>
      <c r="CE1102" t="str">
        <f>IF(903&gt;ROWS(DGArchive[变更前]),"",IF(INDEX(DGArchive[变更前],903)="","",INDEX(DGArchive[变更前],903)))</f>
        <v/>
      </c>
      <c r="CF1102" t="str">
        <f>IF(903&gt;ROWS(DGArchive[增减]),"",IF(INDEX(DGArchive[增减],903)="","",INDEX(DGArchive[增减],903)))</f>
        <v/>
      </c>
      <c r="CG1102" t="str">
        <f>IF(903&gt;ROWS(DGArchive[变更后]),"",IF(INDEX(DGArchive[变更后],903)="","",INDEX(DGArchive[变更后],903)))</f>
        <v/>
      </c>
      <c r="CH1102" t="str">
        <f>IF(903&gt;ROWS(DGArchive[事件／活动]),"",IF(INDEX(DGArchive[事件／活动],903)="","",INDEX(DGArchive[事件／活动],903)))</f>
        <v/>
      </c>
      <c r="CI1102" t="str">
        <f>IF(903&gt;ROWS(DGArchive[记录编号]),"",IF(INDEX(DGArchive[记录编号],903)="","",INDEX(DGArchive[记录编号],903)))</f>
        <v/>
      </c>
      <c r="CL1102">
        <f t="shared" si="434"/>
        <v>0</v>
      </c>
      <c r="CM1102">
        <f>IF(AND(A1102=$AO$5,B1102=$AQ$3,H1102=1),COUNTIFS($A$200:A1102,$AO$5,$B$200:B1102,$AQ$3,$H$200:H1102,1),0)</f>
        <v>0</v>
      </c>
      <c r="CN1102">
        <f>IF(CA1102="",903,1001)</f>
        <v>903</v>
      </c>
      <c r="GA1102">
        <f t="shared" si="454"/>
        <v>0</v>
      </c>
      <c r="GB1102">
        <f t="shared" si="455"/>
        <v>0</v>
      </c>
      <c r="GC1102">
        <f>IF(AND(C1102="事件记录",H1102=1),COUNTIFS($C$200:C1102,"事件记录",$H$200:H1102,1),0)</f>
        <v>0</v>
      </c>
      <c r="GD1102">
        <f t="shared" si="435"/>
        <v>0</v>
      </c>
      <c r="GH1102">
        <f>IF(AND(H1102=1,A1102=$GA$10,B1102=$GA$11),COUNTIFS($A$200:A1102,$GA$10,$B$200:B1102,$GA$11,$H$200:H1102,1),0)</f>
        <v>0</v>
      </c>
    </row>
    <row r="1103" spans="1:190">
      <c r="A1103" t="str">
        <f t="shared" si="426"/>
        <v/>
      </c>
      <c r="B1103" t="str">
        <f t="shared" si="427"/>
        <v/>
      </c>
      <c r="C1103" t="str">
        <f t="shared" si="428"/>
        <v/>
      </c>
      <c r="D1103" t="str">
        <f t="shared" si="429"/>
        <v/>
      </c>
      <c r="E1103">
        <f t="shared" si="430"/>
        <v>0</v>
      </c>
      <c r="F1103" t="str">
        <f t="shared" si="431"/>
        <v/>
      </c>
      <c r="G1103">
        <f t="shared" si="432"/>
        <v>0</v>
      </c>
      <c r="H1103">
        <f>IF(AND(G1103=1,COUNTIFS($I$200:I1103,I1103,$G$200:G1103,1)=1),1,0)</f>
        <v>0</v>
      </c>
      <c r="I1103" t="str">
        <f t="shared" si="433"/>
        <v/>
      </c>
      <c r="BF1103">
        <f t="shared" si="436"/>
        <v>0</v>
      </c>
      <c r="BG1103">
        <f t="shared" si="437"/>
        <v>0</v>
      </c>
      <c r="BH1103">
        <f t="shared" si="438"/>
        <v>0</v>
      </c>
      <c r="BI1103">
        <f t="shared" si="439"/>
        <v>0</v>
      </c>
      <c r="BJ1103">
        <f t="shared" si="440"/>
        <v>0</v>
      </c>
      <c r="BK1103">
        <f t="shared" si="441"/>
        <v>0</v>
      </c>
      <c r="BL1103">
        <f t="shared" si="442"/>
        <v>0</v>
      </c>
      <c r="BM1103">
        <f t="shared" si="443"/>
        <v>0</v>
      </c>
      <c r="BN1103">
        <f t="shared" si="444"/>
        <v>0</v>
      </c>
      <c r="BO1103">
        <f t="shared" si="445"/>
        <v>0</v>
      </c>
      <c r="BP1103">
        <f t="shared" si="446"/>
        <v>0</v>
      </c>
      <c r="BQ1103">
        <f t="shared" si="447"/>
        <v>0</v>
      </c>
      <c r="BR1103">
        <f t="shared" si="448"/>
        <v>0</v>
      </c>
      <c r="BS1103">
        <f t="shared" si="449"/>
        <v>0</v>
      </c>
      <c r="BT1103">
        <f t="shared" si="450"/>
        <v>0</v>
      </c>
      <c r="BU1103">
        <f t="shared" si="451"/>
        <v>0</v>
      </c>
      <c r="BV1103">
        <f t="shared" si="452"/>
        <v>0</v>
      </c>
      <c r="BW1103">
        <f t="shared" si="453"/>
        <v>0</v>
      </c>
      <c r="CA1103" t="str">
        <f>IF(904&gt;ROWS(DGArchive[模组]),"",IF(INDEX(DGArchive[模组],904)="","",INDEX(DGArchive[模组],904)))</f>
        <v/>
      </c>
      <c r="CB1103" t="str">
        <f>IF(904&gt;ROWS(DGArchive[阶段]),"",IF(INDEX(DGArchive[阶段],904)="","",INDEX(DGArchive[阶段],904)))</f>
        <v/>
      </c>
      <c r="CC1103" t="str">
        <f>IF(904&gt;ROWS(DGArchive[游戏内日期]),"",IF(INDEX(DGArchive[游戏内日期],904)="","",INDEX(DGArchive[游戏内日期],904)))</f>
        <v/>
      </c>
      <c r="CD1103" t="str">
        <f>IF(904&gt;ROWS(DGArchive[目标]),"",IF(INDEX(DGArchive[目标],904)="","",INDEX(DGArchive[目标],904)))</f>
        <v/>
      </c>
      <c r="CE1103" t="str">
        <f>IF(904&gt;ROWS(DGArchive[变更前]),"",IF(INDEX(DGArchive[变更前],904)="","",INDEX(DGArchive[变更前],904)))</f>
        <v/>
      </c>
      <c r="CF1103" t="str">
        <f>IF(904&gt;ROWS(DGArchive[增减]),"",IF(INDEX(DGArchive[增减],904)="","",INDEX(DGArchive[增减],904)))</f>
        <v/>
      </c>
      <c r="CG1103" t="str">
        <f>IF(904&gt;ROWS(DGArchive[变更后]),"",IF(INDEX(DGArchive[变更后],904)="","",INDEX(DGArchive[变更后],904)))</f>
        <v/>
      </c>
      <c r="CH1103" t="str">
        <f>IF(904&gt;ROWS(DGArchive[事件／活动]),"",IF(INDEX(DGArchive[事件／活动],904)="","",INDEX(DGArchive[事件／活动],904)))</f>
        <v/>
      </c>
      <c r="CI1103" t="str">
        <f>IF(904&gt;ROWS(DGArchive[记录编号]),"",IF(INDEX(DGArchive[记录编号],904)="","",INDEX(DGArchive[记录编号],904)))</f>
        <v/>
      </c>
      <c r="CL1103">
        <f t="shared" si="434"/>
        <v>0</v>
      </c>
      <c r="CM1103">
        <f>IF(AND(A1103=$AO$5,B1103=$AQ$3,H1103=1),COUNTIFS($A$200:A1103,$AO$5,$B$200:B1103,$AQ$3,$H$200:H1103,1),0)</f>
        <v>0</v>
      </c>
      <c r="CN1103">
        <f>IF(CA1103="",904,1001)</f>
        <v>904</v>
      </c>
      <c r="GA1103">
        <f t="shared" si="454"/>
        <v>0</v>
      </c>
      <c r="GB1103">
        <f t="shared" si="455"/>
        <v>0</v>
      </c>
      <c r="GC1103">
        <f>IF(AND(C1103="事件记录",H1103=1),COUNTIFS($C$200:C1103,"事件记录",$H$200:H1103,1),0)</f>
        <v>0</v>
      </c>
      <c r="GD1103">
        <f t="shared" si="435"/>
        <v>0</v>
      </c>
      <c r="GH1103">
        <f>IF(AND(H1103=1,A1103=$GA$10,B1103=$GA$11),COUNTIFS($A$200:A1103,$GA$10,$B$200:B1103,$GA$11,$H$200:H1103,1),0)</f>
        <v>0</v>
      </c>
    </row>
    <row r="1104" spans="1:190">
      <c r="A1104" t="str">
        <f t="shared" si="426"/>
        <v/>
      </c>
      <c r="B1104" t="str">
        <f t="shared" si="427"/>
        <v/>
      </c>
      <c r="C1104" t="str">
        <f t="shared" si="428"/>
        <v/>
      </c>
      <c r="D1104" t="str">
        <f t="shared" si="429"/>
        <v/>
      </c>
      <c r="E1104">
        <f t="shared" si="430"/>
        <v>0</v>
      </c>
      <c r="F1104" t="str">
        <f t="shared" si="431"/>
        <v/>
      </c>
      <c r="G1104">
        <f t="shared" si="432"/>
        <v>0</v>
      </c>
      <c r="H1104">
        <f>IF(AND(G1104=1,COUNTIFS($I$200:I1104,I1104,$G$200:G1104,1)=1),1,0)</f>
        <v>0</v>
      </c>
      <c r="I1104" t="str">
        <f t="shared" si="433"/>
        <v/>
      </c>
      <c r="BF1104">
        <f t="shared" si="436"/>
        <v>0</v>
      </c>
      <c r="BG1104">
        <f t="shared" si="437"/>
        <v>0</v>
      </c>
      <c r="BH1104">
        <f t="shared" si="438"/>
        <v>0</v>
      </c>
      <c r="BI1104">
        <f t="shared" si="439"/>
        <v>0</v>
      </c>
      <c r="BJ1104">
        <f t="shared" si="440"/>
        <v>0</v>
      </c>
      <c r="BK1104">
        <f t="shared" si="441"/>
        <v>0</v>
      </c>
      <c r="BL1104">
        <f t="shared" si="442"/>
        <v>0</v>
      </c>
      <c r="BM1104">
        <f t="shared" si="443"/>
        <v>0</v>
      </c>
      <c r="BN1104">
        <f t="shared" si="444"/>
        <v>0</v>
      </c>
      <c r="BO1104">
        <f t="shared" si="445"/>
        <v>0</v>
      </c>
      <c r="BP1104">
        <f t="shared" si="446"/>
        <v>0</v>
      </c>
      <c r="BQ1104">
        <f t="shared" si="447"/>
        <v>0</v>
      </c>
      <c r="BR1104">
        <f t="shared" si="448"/>
        <v>0</v>
      </c>
      <c r="BS1104">
        <f t="shared" si="449"/>
        <v>0</v>
      </c>
      <c r="BT1104">
        <f t="shared" si="450"/>
        <v>0</v>
      </c>
      <c r="BU1104">
        <f t="shared" si="451"/>
        <v>0</v>
      </c>
      <c r="BV1104">
        <f t="shared" si="452"/>
        <v>0</v>
      </c>
      <c r="BW1104">
        <f t="shared" si="453"/>
        <v>0</v>
      </c>
      <c r="CA1104" t="str">
        <f>IF(905&gt;ROWS(DGArchive[模组]),"",IF(INDEX(DGArchive[模组],905)="","",INDEX(DGArchive[模组],905)))</f>
        <v/>
      </c>
      <c r="CB1104" t="str">
        <f>IF(905&gt;ROWS(DGArchive[阶段]),"",IF(INDEX(DGArchive[阶段],905)="","",INDEX(DGArchive[阶段],905)))</f>
        <v/>
      </c>
      <c r="CC1104" t="str">
        <f>IF(905&gt;ROWS(DGArchive[游戏内日期]),"",IF(INDEX(DGArchive[游戏内日期],905)="","",INDEX(DGArchive[游戏内日期],905)))</f>
        <v/>
      </c>
      <c r="CD1104" t="str">
        <f>IF(905&gt;ROWS(DGArchive[目标]),"",IF(INDEX(DGArchive[目标],905)="","",INDEX(DGArchive[目标],905)))</f>
        <v/>
      </c>
      <c r="CE1104" t="str">
        <f>IF(905&gt;ROWS(DGArchive[变更前]),"",IF(INDEX(DGArchive[变更前],905)="","",INDEX(DGArchive[变更前],905)))</f>
        <v/>
      </c>
      <c r="CF1104" t="str">
        <f>IF(905&gt;ROWS(DGArchive[增减]),"",IF(INDEX(DGArchive[增减],905)="","",INDEX(DGArchive[增减],905)))</f>
        <v/>
      </c>
      <c r="CG1104" t="str">
        <f>IF(905&gt;ROWS(DGArchive[变更后]),"",IF(INDEX(DGArchive[变更后],905)="","",INDEX(DGArchive[变更后],905)))</f>
        <v/>
      </c>
      <c r="CH1104" t="str">
        <f>IF(905&gt;ROWS(DGArchive[事件／活动]),"",IF(INDEX(DGArchive[事件／活动],905)="","",INDEX(DGArchive[事件／活动],905)))</f>
        <v/>
      </c>
      <c r="CI1104" t="str">
        <f>IF(905&gt;ROWS(DGArchive[记录编号]),"",IF(INDEX(DGArchive[记录编号],905)="","",INDEX(DGArchive[记录编号],905)))</f>
        <v/>
      </c>
      <c r="CL1104">
        <f t="shared" si="434"/>
        <v>0</v>
      </c>
      <c r="CM1104">
        <f>IF(AND(A1104=$AO$5,B1104=$AQ$3,H1104=1),COUNTIFS($A$200:A1104,$AO$5,$B$200:B1104,$AQ$3,$H$200:H1104,1),0)</f>
        <v>0</v>
      </c>
      <c r="CN1104">
        <f>IF(CA1104="",905,1001)</f>
        <v>905</v>
      </c>
      <c r="GA1104">
        <f t="shared" si="454"/>
        <v>0</v>
      </c>
      <c r="GB1104">
        <f t="shared" si="455"/>
        <v>0</v>
      </c>
      <c r="GC1104">
        <f>IF(AND(C1104="事件记录",H1104=1),COUNTIFS($C$200:C1104,"事件记录",$H$200:H1104,1),0)</f>
        <v>0</v>
      </c>
      <c r="GD1104">
        <f t="shared" si="435"/>
        <v>0</v>
      </c>
      <c r="GH1104">
        <f>IF(AND(H1104=1,A1104=$GA$10,B1104=$GA$11),COUNTIFS($A$200:A1104,$GA$10,$B$200:B1104,$GA$11,$H$200:H1104,1),0)</f>
        <v>0</v>
      </c>
    </row>
    <row r="1105" spans="1:190">
      <c r="A1105" t="str">
        <f t="shared" si="426"/>
        <v/>
      </c>
      <c r="B1105" t="str">
        <f t="shared" si="427"/>
        <v/>
      </c>
      <c r="C1105" t="str">
        <f t="shared" si="428"/>
        <v/>
      </c>
      <c r="D1105" t="str">
        <f t="shared" si="429"/>
        <v/>
      </c>
      <c r="E1105">
        <f t="shared" si="430"/>
        <v>0</v>
      </c>
      <c r="F1105" t="str">
        <f t="shared" si="431"/>
        <v/>
      </c>
      <c r="G1105">
        <f t="shared" si="432"/>
        <v>0</v>
      </c>
      <c r="H1105">
        <f>IF(AND(G1105=1,COUNTIFS($I$200:I1105,I1105,$G$200:G1105,1)=1),1,0)</f>
        <v>0</v>
      </c>
      <c r="I1105" t="str">
        <f t="shared" si="433"/>
        <v/>
      </c>
      <c r="BF1105">
        <f t="shared" si="436"/>
        <v>0</v>
      </c>
      <c r="BG1105">
        <f t="shared" si="437"/>
        <v>0</v>
      </c>
      <c r="BH1105">
        <f t="shared" si="438"/>
        <v>0</v>
      </c>
      <c r="BI1105">
        <f t="shared" si="439"/>
        <v>0</v>
      </c>
      <c r="BJ1105">
        <f t="shared" si="440"/>
        <v>0</v>
      </c>
      <c r="BK1105">
        <f t="shared" si="441"/>
        <v>0</v>
      </c>
      <c r="BL1105">
        <f t="shared" si="442"/>
        <v>0</v>
      </c>
      <c r="BM1105">
        <f t="shared" si="443"/>
        <v>0</v>
      </c>
      <c r="BN1105">
        <f t="shared" si="444"/>
        <v>0</v>
      </c>
      <c r="BO1105">
        <f t="shared" si="445"/>
        <v>0</v>
      </c>
      <c r="BP1105">
        <f t="shared" si="446"/>
        <v>0</v>
      </c>
      <c r="BQ1105">
        <f t="shared" si="447"/>
        <v>0</v>
      </c>
      <c r="BR1105">
        <f t="shared" si="448"/>
        <v>0</v>
      </c>
      <c r="BS1105">
        <f t="shared" si="449"/>
        <v>0</v>
      </c>
      <c r="BT1105">
        <f t="shared" si="450"/>
        <v>0</v>
      </c>
      <c r="BU1105">
        <f t="shared" si="451"/>
        <v>0</v>
      </c>
      <c r="BV1105">
        <f t="shared" si="452"/>
        <v>0</v>
      </c>
      <c r="BW1105">
        <f t="shared" si="453"/>
        <v>0</v>
      </c>
      <c r="CA1105" t="str">
        <f>IF(906&gt;ROWS(DGArchive[模组]),"",IF(INDEX(DGArchive[模组],906)="","",INDEX(DGArchive[模组],906)))</f>
        <v/>
      </c>
      <c r="CB1105" t="str">
        <f>IF(906&gt;ROWS(DGArchive[阶段]),"",IF(INDEX(DGArchive[阶段],906)="","",INDEX(DGArchive[阶段],906)))</f>
        <v/>
      </c>
      <c r="CC1105" t="str">
        <f>IF(906&gt;ROWS(DGArchive[游戏内日期]),"",IF(INDEX(DGArchive[游戏内日期],906)="","",INDEX(DGArchive[游戏内日期],906)))</f>
        <v/>
      </c>
      <c r="CD1105" t="str">
        <f>IF(906&gt;ROWS(DGArchive[目标]),"",IF(INDEX(DGArchive[目标],906)="","",INDEX(DGArchive[目标],906)))</f>
        <v/>
      </c>
      <c r="CE1105" t="str">
        <f>IF(906&gt;ROWS(DGArchive[变更前]),"",IF(INDEX(DGArchive[变更前],906)="","",INDEX(DGArchive[变更前],906)))</f>
        <v/>
      </c>
      <c r="CF1105" t="str">
        <f>IF(906&gt;ROWS(DGArchive[增减]),"",IF(INDEX(DGArchive[增减],906)="","",INDEX(DGArchive[增减],906)))</f>
        <v/>
      </c>
      <c r="CG1105" t="str">
        <f>IF(906&gt;ROWS(DGArchive[变更后]),"",IF(INDEX(DGArchive[变更后],906)="","",INDEX(DGArchive[变更后],906)))</f>
        <v/>
      </c>
      <c r="CH1105" t="str">
        <f>IF(906&gt;ROWS(DGArchive[事件／活动]),"",IF(INDEX(DGArchive[事件／活动],906)="","",INDEX(DGArchive[事件／活动],906)))</f>
        <v/>
      </c>
      <c r="CI1105" t="str">
        <f>IF(906&gt;ROWS(DGArchive[记录编号]),"",IF(INDEX(DGArchive[记录编号],906)="","",INDEX(DGArchive[记录编号],906)))</f>
        <v/>
      </c>
      <c r="CL1105">
        <f t="shared" si="434"/>
        <v>0</v>
      </c>
      <c r="CM1105">
        <f>IF(AND(A1105=$AO$5,B1105=$AQ$3,H1105=1),COUNTIFS($A$200:A1105,$AO$5,$B$200:B1105,$AQ$3,$H$200:H1105,1),0)</f>
        <v>0</v>
      </c>
      <c r="CN1105">
        <f>IF(CA1105="",906,1001)</f>
        <v>906</v>
      </c>
      <c r="GA1105">
        <f t="shared" si="454"/>
        <v>0</v>
      </c>
      <c r="GB1105">
        <f t="shared" si="455"/>
        <v>0</v>
      </c>
      <c r="GC1105">
        <f>IF(AND(C1105="事件记录",H1105=1),COUNTIFS($C$200:C1105,"事件记录",$H$200:H1105,1),0)</f>
        <v>0</v>
      </c>
      <c r="GD1105">
        <f t="shared" si="435"/>
        <v>0</v>
      </c>
      <c r="GH1105">
        <f>IF(AND(H1105=1,A1105=$GA$10,B1105=$GA$11),COUNTIFS($A$200:A1105,$GA$10,$B$200:B1105,$GA$11,$H$200:H1105,1),0)</f>
        <v>0</v>
      </c>
    </row>
    <row r="1106" spans="1:190">
      <c r="A1106" t="str">
        <f t="shared" si="426"/>
        <v/>
      </c>
      <c r="B1106" t="str">
        <f t="shared" si="427"/>
        <v/>
      </c>
      <c r="C1106" t="str">
        <f t="shared" si="428"/>
        <v/>
      </c>
      <c r="D1106" t="str">
        <f t="shared" si="429"/>
        <v/>
      </c>
      <c r="E1106">
        <f t="shared" si="430"/>
        <v>0</v>
      </c>
      <c r="F1106" t="str">
        <f t="shared" si="431"/>
        <v/>
      </c>
      <c r="G1106">
        <f t="shared" si="432"/>
        <v>0</v>
      </c>
      <c r="H1106">
        <f>IF(AND(G1106=1,COUNTIFS($I$200:I1106,I1106,$G$200:G1106,1)=1),1,0)</f>
        <v>0</v>
      </c>
      <c r="I1106" t="str">
        <f t="shared" si="433"/>
        <v/>
      </c>
      <c r="BF1106">
        <f t="shared" si="436"/>
        <v>0</v>
      </c>
      <c r="BG1106">
        <f t="shared" si="437"/>
        <v>0</v>
      </c>
      <c r="BH1106">
        <f t="shared" si="438"/>
        <v>0</v>
      </c>
      <c r="BI1106">
        <f t="shared" si="439"/>
        <v>0</v>
      </c>
      <c r="BJ1106">
        <f t="shared" si="440"/>
        <v>0</v>
      </c>
      <c r="BK1106">
        <f t="shared" si="441"/>
        <v>0</v>
      </c>
      <c r="BL1106">
        <f t="shared" si="442"/>
        <v>0</v>
      </c>
      <c r="BM1106">
        <f t="shared" si="443"/>
        <v>0</v>
      </c>
      <c r="BN1106">
        <f t="shared" si="444"/>
        <v>0</v>
      </c>
      <c r="BO1106">
        <f t="shared" si="445"/>
        <v>0</v>
      </c>
      <c r="BP1106">
        <f t="shared" si="446"/>
        <v>0</v>
      </c>
      <c r="BQ1106">
        <f t="shared" si="447"/>
        <v>0</v>
      </c>
      <c r="BR1106">
        <f t="shared" si="448"/>
        <v>0</v>
      </c>
      <c r="BS1106">
        <f t="shared" si="449"/>
        <v>0</v>
      </c>
      <c r="BT1106">
        <f t="shared" si="450"/>
        <v>0</v>
      </c>
      <c r="BU1106">
        <f t="shared" si="451"/>
        <v>0</v>
      </c>
      <c r="BV1106">
        <f t="shared" si="452"/>
        <v>0</v>
      </c>
      <c r="BW1106">
        <f t="shared" si="453"/>
        <v>0</v>
      </c>
      <c r="CA1106" t="str">
        <f>IF(907&gt;ROWS(DGArchive[模组]),"",IF(INDEX(DGArchive[模组],907)="","",INDEX(DGArchive[模组],907)))</f>
        <v/>
      </c>
      <c r="CB1106" t="str">
        <f>IF(907&gt;ROWS(DGArchive[阶段]),"",IF(INDEX(DGArchive[阶段],907)="","",INDEX(DGArchive[阶段],907)))</f>
        <v/>
      </c>
      <c r="CC1106" t="str">
        <f>IF(907&gt;ROWS(DGArchive[游戏内日期]),"",IF(INDEX(DGArchive[游戏内日期],907)="","",INDEX(DGArchive[游戏内日期],907)))</f>
        <v/>
      </c>
      <c r="CD1106" t="str">
        <f>IF(907&gt;ROWS(DGArchive[目标]),"",IF(INDEX(DGArchive[目标],907)="","",INDEX(DGArchive[目标],907)))</f>
        <v/>
      </c>
      <c r="CE1106" t="str">
        <f>IF(907&gt;ROWS(DGArchive[变更前]),"",IF(INDEX(DGArchive[变更前],907)="","",INDEX(DGArchive[变更前],907)))</f>
        <v/>
      </c>
      <c r="CF1106" t="str">
        <f>IF(907&gt;ROWS(DGArchive[增减]),"",IF(INDEX(DGArchive[增减],907)="","",INDEX(DGArchive[增减],907)))</f>
        <v/>
      </c>
      <c r="CG1106" t="str">
        <f>IF(907&gt;ROWS(DGArchive[变更后]),"",IF(INDEX(DGArchive[变更后],907)="","",INDEX(DGArchive[变更后],907)))</f>
        <v/>
      </c>
      <c r="CH1106" t="str">
        <f>IF(907&gt;ROWS(DGArchive[事件／活动]),"",IF(INDEX(DGArchive[事件／活动],907)="","",INDEX(DGArchive[事件／活动],907)))</f>
        <v/>
      </c>
      <c r="CI1106" t="str">
        <f>IF(907&gt;ROWS(DGArchive[记录编号]),"",IF(INDEX(DGArchive[记录编号],907)="","",INDEX(DGArchive[记录编号],907)))</f>
        <v/>
      </c>
      <c r="CL1106">
        <f t="shared" si="434"/>
        <v>0</v>
      </c>
      <c r="CM1106">
        <f>IF(AND(A1106=$AO$5,B1106=$AQ$3,H1106=1),COUNTIFS($A$200:A1106,$AO$5,$B$200:B1106,$AQ$3,$H$200:H1106,1),0)</f>
        <v>0</v>
      </c>
      <c r="CN1106">
        <f>IF(CA1106="",907,1001)</f>
        <v>907</v>
      </c>
      <c r="GA1106">
        <f t="shared" si="454"/>
        <v>0</v>
      </c>
      <c r="GB1106">
        <f t="shared" si="455"/>
        <v>0</v>
      </c>
      <c r="GC1106">
        <f>IF(AND(C1106="事件记录",H1106=1),COUNTIFS($C$200:C1106,"事件记录",$H$200:H1106,1),0)</f>
        <v>0</v>
      </c>
      <c r="GD1106">
        <f t="shared" si="435"/>
        <v>0</v>
      </c>
      <c r="GH1106">
        <f>IF(AND(H1106=1,A1106=$GA$10,B1106=$GA$11),COUNTIFS($A$200:A1106,$GA$10,$B$200:B1106,$GA$11,$H$200:H1106,1),0)</f>
        <v>0</v>
      </c>
    </row>
    <row r="1107" spans="1:190">
      <c r="A1107" t="str">
        <f t="shared" si="426"/>
        <v/>
      </c>
      <c r="B1107" t="str">
        <f t="shared" si="427"/>
        <v/>
      </c>
      <c r="C1107" t="str">
        <f t="shared" si="428"/>
        <v/>
      </c>
      <c r="D1107" t="str">
        <f t="shared" si="429"/>
        <v/>
      </c>
      <c r="E1107">
        <f t="shared" si="430"/>
        <v>0</v>
      </c>
      <c r="F1107" t="str">
        <f t="shared" si="431"/>
        <v/>
      </c>
      <c r="G1107">
        <f t="shared" si="432"/>
        <v>0</v>
      </c>
      <c r="H1107">
        <f>IF(AND(G1107=1,COUNTIFS($I$200:I1107,I1107,$G$200:G1107,1)=1),1,0)</f>
        <v>0</v>
      </c>
      <c r="I1107" t="str">
        <f t="shared" si="433"/>
        <v/>
      </c>
      <c r="BF1107">
        <f t="shared" si="436"/>
        <v>0</v>
      </c>
      <c r="BG1107">
        <f t="shared" si="437"/>
        <v>0</v>
      </c>
      <c r="BH1107">
        <f t="shared" si="438"/>
        <v>0</v>
      </c>
      <c r="BI1107">
        <f t="shared" si="439"/>
        <v>0</v>
      </c>
      <c r="BJ1107">
        <f t="shared" si="440"/>
        <v>0</v>
      </c>
      <c r="BK1107">
        <f t="shared" si="441"/>
        <v>0</v>
      </c>
      <c r="BL1107">
        <f t="shared" si="442"/>
        <v>0</v>
      </c>
      <c r="BM1107">
        <f t="shared" si="443"/>
        <v>0</v>
      </c>
      <c r="BN1107">
        <f t="shared" si="444"/>
        <v>0</v>
      </c>
      <c r="BO1107">
        <f t="shared" si="445"/>
        <v>0</v>
      </c>
      <c r="BP1107">
        <f t="shared" si="446"/>
        <v>0</v>
      </c>
      <c r="BQ1107">
        <f t="shared" si="447"/>
        <v>0</v>
      </c>
      <c r="BR1107">
        <f t="shared" si="448"/>
        <v>0</v>
      </c>
      <c r="BS1107">
        <f t="shared" si="449"/>
        <v>0</v>
      </c>
      <c r="BT1107">
        <f t="shared" si="450"/>
        <v>0</v>
      </c>
      <c r="BU1107">
        <f t="shared" si="451"/>
        <v>0</v>
      </c>
      <c r="BV1107">
        <f t="shared" si="452"/>
        <v>0</v>
      </c>
      <c r="BW1107">
        <f t="shared" si="453"/>
        <v>0</v>
      </c>
      <c r="CA1107" t="str">
        <f>IF(908&gt;ROWS(DGArchive[模组]),"",IF(INDEX(DGArchive[模组],908)="","",INDEX(DGArchive[模组],908)))</f>
        <v/>
      </c>
      <c r="CB1107" t="str">
        <f>IF(908&gt;ROWS(DGArchive[阶段]),"",IF(INDEX(DGArchive[阶段],908)="","",INDEX(DGArchive[阶段],908)))</f>
        <v/>
      </c>
      <c r="CC1107" t="str">
        <f>IF(908&gt;ROWS(DGArchive[游戏内日期]),"",IF(INDEX(DGArchive[游戏内日期],908)="","",INDEX(DGArchive[游戏内日期],908)))</f>
        <v/>
      </c>
      <c r="CD1107" t="str">
        <f>IF(908&gt;ROWS(DGArchive[目标]),"",IF(INDEX(DGArchive[目标],908)="","",INDEX(DGArchive[目标],908)))</f>
        <v/>
      </c>
      <c r="CE1107" t="str">
        <f>IF(908&gt;ROWS(DGArchive[变更前]),"",IF(INDEX(DGArchive[变更前],908)="","",INDEX(DGArchive[变更前],908)))</f>
        <v/>
      </c>
      <c r="CF1107" t="str">
        <f>IF(908&gt;ROWS(DGArchive[增减]),"",IF(INDEX(DGArchive[增减],908)="","",INDEX(DGArchive[增减],908)))</f>
        <v/>
      </c>
      <c r="CG1107" t="str">
        <f>IF(908&gt;ROWS(DGArchive[变更后]),"",IF(INDEX(DGArchive[变更后],908)="","",INDEX(DGArchive[变更后],908)))</f>
        <v/>
      </c>
      <c r="CH1107" t="str">
        <f>IF(908&gt;ROWS(DGArchive[事件／活动]),"",IF(INDEX(DGArchive[事件／活动],908)="","",INDEX(DGArchive[事件／活动],908)))</f>
        <v/>
      </c>
      <c r="CI1107" t="str">
        <f>IF(908&gt;ROWS(DGArchive[记录编号]),"",IF(INDEX(DGArchive[记录编号],908)="","",INDEX(DGArchive[记录编号],908)))</f>
        <v/>
      </c>
      <c r="CL1107">
        <f t="shared" si="434"/>
        <v>0</v>
      </c>
      <c r="CM1107">
        <f>IF(AND(A1107=$AO$5,B1107=$AQ$3,H1107=1),COUNTIFS($A$200:A1107,$AO$5,$B$200:B1107,$AQ$3,$H$200:H1107,1),0)</f>
        <v>0</v>
      </c>
      <c r="CN1107">
        <f>IF(CA1107="",908,1001)</f>
        <v>908</v>
      </c>
      <c r="GA1107">
        <f t="shared" si="454"/>
        <v>0</v>
      </c>
      <c r="GB1107">
        <f t="shared" si="455"/>
        <v>0</v>
      </c>
      <c r="GC1107">
        <f>IF(AND(C1107="事件记录",H1107=1),COUNTIFS($C$200:C1107,"事件记录",$H$200:H1107,1),0)</f>
        <v>0</v>
      </c>
      <c r="GD1107">
        <f t="shared" si="435"/>
        <v>0</v>
      </c>
      <c r="GH1107">
        <f>IF(AND(H1107=1,A1107=$GA$10,B1107=$GA$11),COUNTIFS($A$200:A1107,$GA$10,$B$200:B1107,$GA$11,$H$200:H1107,1),0)</f>
        <v>0</v>
      </c>
    </row>
    <row r="1108" spans="1:190">
      <c r="A1108" t="str">
        <f t="shared" si="426"/>
        <v/>
      </c>
      <c r="B1108" t="str">
        <f t="shared" si="427"/>
        <v/>
      </c>
      <c r="C1108" t="str">
        <f t="shared" si="428"/>
        <v/>
      </c>
      <c r="D1108" t="str">
        <f t="shared" si="429"/>
        <v/>
      </c>
      <c r="E1108">
        <f t="shared" si="430"/>
        <v>0</v>
      </c>
      <c r="F1108" t="str">
        <f t="shared" si="431"/>
        <v/>
      </c>
      <c r="G1108">
        <f t="shared" si="432"/>
        <v>0</v>
      </c>
      <c r="H1108">
        <f>IF(AND(G1108=1,COUNTIFS($I$200:I1108,I1108,$G$200:G1108,1)=1),1,0)</f>
        <v>0</v>
      </c>
      <c r="I1108" t="str">
        <f t="shared" si="433"/>
        <v/>
      </c>
      <c r="BF1108">
        <f t="shared" si="436"/>
        <v>0</v>
      </c>
      <c r="BG1108">
        <f t="shared" si="437"/>
        <v>0</v>
      </c>
      <c r="BH1108">
        <f t="shared" si="438"/>
        <v>0</v>
      </c>
      <c r="BI1108">
        <f t="shared" si="439"/>
        <v>0</v>
      </c>
      <c r="BJ1108">
        <f t="shared" si="440"/>
        <v>0</v>
      </c>
      <c r="BK1108">
        <f t="shared" si="441"/>
        <v>0</v>
      </c>
      <c r="BL1108">
        <f t="shared" si="442"/>
        <v>0</v>
      </c>
      <c r="BM1108">
        <f t="shared" si="443"/>
        <v>0</v>
      </c>
      <c r="BN1108">
        <f t="shared" si="444"/>
        <v>0</v>
      </c>
      <c r="BO1108">
        <f t="shared" si="445"/>
        <v>0</v>
      </c>
      <c r="BP1108">
        <f t="shared" si="446"/>
        <v>0</v>
      </c>
      <c r="BQ1108">
        <f t="shared" si="447"/>
        <v>0</v>
      </c>
      <c r="BR1108">
        <f t="shared" si="448"/>
        <v>0</v>
      </c>
      <c r="BS1108">
        <f t="shared" si="449"/>
        <v>0</v>
      </c>
      <c r="BT1108">
        <f t="shared" si="450"/>
        <v>0</v>
      </c>
      <c r="BU1108">
        <f t="shared" si="451"/>
        <v>0</v>
      </c>
      <c r="BV1108">
        <f t="shared" si="452"/>
        <v>0</v>
      </c>
      <c r="BW1108">
        <f t="shared" si="453"/>
        <v>0</v>
      </c>
      <c r="CA1108" t="str">
        <f>IF(909&gt;ROWS(DGArchive[模组]),"",IF(INDEX(DGArchive[模组],909)="","",INDEX(DGArchive[模组],909)))</f>
        <v/>
      </c>
      <c r="CB1108" t="str">
        <f>IF(909&gt;ROWS(DGArchive[阶段]),"",IF(INDEX(DGArchive[阶段],909)="","",INDEX(DGArchive[阶段],909)))</f>
        <v/>
      </c>
      <c r="CC1108" t="str">
        <f>IF(909&gt;ROWS(DGArchive[游戏内日期]),"",IF(INDEX(DGArchive[游戏内日期],909)="","",INDEX(DGArchive[游戏内日期],909)))</f>
        <v/>
      </c>
      <c r="CD1108" t="str">
        <f>IF(909&gt;ROWS(DGArchive[目标]),"",IF(INDEX(DGArchive[目标],909)="","",INDEX(DGArchive[目标],909)))</f>
        <v/>
      </c>
      <c r="CE1108" t="str">
        <f>IF(909&gt;ROWS(DGArchive[变更前]),"",IF(INDEX(DGArchive[变更前],909)="","",INDEX(DGArchive[变更前],909)))</f>
        <v/>
      </c>
      <c r="CF1108" t="str">
        <f>IF(909&gt;ROWS(DGArchive[增减]),"",IF(INDEX(DGArchive[增减],909)="","",INDEX(DGArchive[增减],909)))</f>
        <v/>
      </c>
      <c r="CG1108" t="str">
        <f>IF(909&gt;ROWS(DGArchive[变更后]),"",IF(INDEX(DGArchive[变更后],909)="","",INDEX(DGArchive[变更后],909)))</f>
        <v/>
      </c>
      <c r="CH1108" t="str">
        <f>IF(909&gt;ROWS(DGArchive[事件／活动]),"",IF(INDEX(DGArchive[事件／活动],909)="","",INDEX(DGArchive[事件／活动],909)))</f>
        <v/>
      </c>
      <c r="CI1108" t="str">
        <f>IF(909&gt;ROWS(DGArchive[记录编号]),"",IF(INDEX(DGArchive[记录编号],909)="","",INDEX(DGArchive[记录编号],909)))</f>
        <v/>
      </c>
      <c r="CL1108">
        <f t="shared" si="434"/>
        <v>0</v>
      </c>
      <c r="CM1108">
        <f>IF(AND(A1108=$AO$5,B1108=$AQ$3,H1108=1),COUNTIFS($A$200:A1108,$AO$5,$B$200:B1108,$AQ$3,$H$200:H1108,1),0)</f>
        <v>0</v>
      </c>
      <c r="CN1108">
        <f>IF(CA1108="",909,1001)</f>
        <v>909</v>
      </c>
      <c r="GA1108">
        <f t="shared" si="454"/>
        <v>0</v>
      </c>
      <c r="GB1108">
        <f t="shared" si="455"/>
        <v>0</v>
      </c>
      <c r="GC1108">
        <f>IF(AND(C1108="事件记录",H1108=1),COUNTIFS($C$200:C1108,"事件记录",$H$200:H1108,1),0)</f>
        <v>0</v>
      </c>
      <c r="GD1108">
        <f t="shared" si="435"/>
        <v>0</v>
      </c>
      <c r="GH1108">
        <f>IF(AND(H1108=1,A1108=$GA$10,B1108=$GA$11),COUNTIFS($A$200:A1108,$GA$10,$B$200:B1108,$GA$11,$H$200:H1108,1),0)</f>
        <v>0</v>
      </c>
    </row>
    <row r="1109" spans="1:190">
      <c r="A1109" t="str">
        <f t="shared" si="426"/>
        <v/>
      </c>
      <c r="B1109" t="str">
        <f t="shared" si="427"/>
        <v/>
      </c>
      <c r="C1109" t="str">
        <f t="shared" si="428"/>
        <v/>
      </c>
      <c r="D1109" t="str">
        <f t="shared" si="429"/>
        <v/>
      </c>
      <c r="E1109">
        <f t="shared" si="430"/>
        <v>0</v>
      </c>
      <c r="F1109" t="str">
        <f t="shared" si="431"/>
        <v/>
      </c>
      <c r="G1109">
        <f t="shared" si="432"/>
        <v>0</v>
      </c>
      <c r="H1109">
        <f>IF(AND(G1109=1,COUNTIFS($I$200:I1109,I1109,$G$200:G1109,1)=1),1,0)</f>
        <v>0</v>
      </c>
      <c r="I1109" t="str">
        <f t="shared" si="433"/>
        <v/>
      </c>
      <c r="BF1109">
        <f t="shared" si="436"/>
        <v>0</v>
      </c>
      <c r="BG1109">
        <f t="shared" si="437"/>
        <v>0</v>
      </c>
      <c r="BH1109">
        <f t="shared" si="438"/>
        <v>0</v>
      </c>
      <c r="BI1109">
        <f t="shared" si="439"/>
        <v>0</v>
      </c>
      <c r="BJ1109">
        <f t="shared" si="440"/>
        <v>0</v>
      </c>
      <c r="BK1109">
        <f t="shared" si="441"/>
        <v>0</v>
      </c>
      <c r="BL1109">
        <f t="shared" si="442"/>
        <v>0</v>
      </c>
      <c r="BM1109">
        <f t="shared" si="443"/>
        <v>0</v>
      </c>
      <c r="BN1109">
        <f t="shared" si="444"/>
        <v>0</v>
      </c>
      <c r="BO1109">
        <f t="shared" si="445"/>
        <v>0</v>
      </c>
      <c r="BP1109">
        <f t="shared" si="446"/>
        <v>0</v>
      </c>
      <c r="BQ1109">
        <f t="shared" si="447"/>
        <v>0</v>
      </c>
      <c r="BR1109">
        <f t="shared" si="448"/>
        <v>0</v>
      </c>
      <c r="BS1109">
        <f t="shared" si="449"/>
        <v>0</v>
      </c>
      <c r="BT1109">
        <f t="shared" si="450"/>
        <v>0</v>
      </c>
      <c r="BU1109">
        <f t="shared" si="451"/>
        <v>0</v>
      </c>
      <c r="BV1109">
        <f t="shared" si="452"/>
        <v>0</v>
      </c>
      <c r="BW1109">
        <f t="shared" si="453"/>
        <v>0</v>
      </c>
      <c r="CA1109" t="str">
        <f>IF(910&gt;ROWS(DGArchive[模组]),"",IF(INDEX(DGArchive[模组],910)="","",INDEX(DGArchive[模组],910)))</f>
        <v/>
      </c>
      <c r="CB1109" t="str">
        <f>IF(910&gt;ROWS(DGArchive[阶段]),"",IF(INDEX(DGArchive[阶段],910)="","",INDEX(DGArchive[阶段],910)))</f>
        <v/>
      </c>
      <c r="CC1109" t="str">
        <f>IF(910&gt;ROWS(DGArchive[游戏内日期]),"",IF(INDEX(DGArchive[游戏内日期],910)="","",INDEX(DGArchive[游戏内日期],910)))</f>
        <v/>
      </c>
      <c r="CD1109" t="str">
        <f>IF(910&gt;ROWS(DGArchive[目标]),"",IF(INDEX(DGArchive[目标],910)="","",INDEX(DGArchive[目标],910)))</f>
        <v/>
      </c>
      <c r="CE1109" t="str">
        <f>IF(910&gt;ROWS(DGArchive[变更前]),"",IF(INDEX(DGArchive[变更前],910)="","",INDEX(DGArchive[变更前],910)))</f>
        <v/>
      </c>
      <c r="CF1109" t="str">
        <f>IF(910&gt;ROWS(DGArchive[增减]),"",IF(INDEX(DGArchive[增减],910)="","",INDEX(DGArchive[增减],910)))</f>
        <v/>
      </c>
      <c r="CG1109" t="str">
        <f>IF(910&gt;ROWS(DGArchive[变更后]),"",IF(INDEX(DGArchive[变更后],910)="","",INDEX(DGArchive[变更后],910)))</f>
        <v/>
      </c>
      <c r="CH1109" t="str">
        <f>IF(910&gt;ROWS(DGArchive[事件／活动]),"",IF(INDEX(DGArchive[事件／活动],910)="","",INDEX(DGArchive[事件／活动],910)))</f>
        <v/>
      </c>
      <c r="CI1109" t="str">
        <f>IF(910&gt;ROWS(DGArchive[记录编号]),"",IF(INDEX(DGArchive[记录编号],910)="","",INDEX(DGArchive[记录编号],910)))</f>
        <v/>
      </c>
      <c r="CL1109">
        <f t="shared" si="434"/>
        <v>0</v>
      </c>
      <c r="CM1109">
        <f>IF(AND(A1109=$AO$5,B1109=$AQ$3,H1109=1),COUNTIFS($A$200:A1109,$AO$5,$B$200:B1109,$AQ$3,$H$200:H1109,1),0)</f>
        <v>0</v>
      </c>
      <c r="CN1109">
        <f>IF(CA1109="",910,1001)</f>
        <v>910</v>
      </c>
      <c r="GA1109">
        <f t="shared" si="454"/>
        <v>0</v>
      </c>
      <c r="GB1109">
        <f t="shared" si="455"/>
        <v>0</v>
      </c>
      <c r="GC1109">
        <f>IF(AND(C1109="事件记录",H1109=1),COUNTIFS($C$200:C1109,"事件记录",$H$200:H1109,1),0)</f>
        <v>0</v>
      </c>
      <c r="GD1109">
        <f t="shared" si="435"/>
        <v>0</v>
      </c>
      <c r="GH1109">
        <f>IF(AND(H1109=1,A1109=$GA$10,B1109=$GA$11),COUNTIFS($A$200:A1109,$GA$10,$B$200:B1109,$GA$11,$H$200:H1109,1),0)</f>
        <v>0</v>
      </c>
    </row>
    <row r="1110" spans="1:190">
      <c r="A1110" t="str">
        <f t="shared" si="426"/>
        <v/>
      </c>
      <c r="B1110" t="str">
        <f t="shared" si="427"/>
        <v/>
      </c>
      <c r="C1110" t="str">
        <f t="shared" si="428"/>
        <v/>
      </c>
      <c r="D1110" t="str">
        <f t="shared" si="429"/>
        <v/>
      </c>
      <c r="E1110">
        <f t="shared" si="430"/>
        <v>0</v>
      </c>
      <c r="F1110" t="str">
        <f t="shared" si="431"/>
        <v/>
      </c>
      <c r="G1110">
        <f t="shared" si="432"/>
        <v>0</v>
      </c>
      <c r="H1110">
        <f>IF(AND(G1110=1,COUNTIFS($I$200:I1110,I1110,$G$200:G1110,1)=1),1,0)</f>
        <v>0</v>
      </c>
      <c r="I1110" t="str">
        <f t="shared" si="433"/>
        <v/>
      </c>
      <c r="BF1110">
        <f t="shared" si="436"/>
        <v>0</v>
      </c>
      <c r="BG1110">
        <f t="shared" si="437"/>
        <v>0</v>
      </c>
      <c r="BH1110">
        <f t="shared" si="438"/>
        <v>0</v>
      </c>
      <c r="BI1110">
        <f t="shared" si="439"/>
        <v>0</v>
      </c>
      <c r="BJ1110">
        <f t="shared" si="440"/>
        <v>0</v>
      </c>
      <c r="BK1110">
        <f t="shared" si="441"/>
        <v>0</v>
      </c>
      <c r="BL1110">
        <f t="shared" si="442"/>
        <v>0</v>
      </c>
      <c r="BM1110">
        <f t="shared" si="443"/>
        <v>0</v>
      </c>
      <c r="BN1110">
        <f t="shared" si="444"/>
        <v>0</v>
      </c>
      <c r="BO1110">
        <f t="shared" si="445"/>
        <v>0</v>
      </c>
      <c r="BP1110">
        <f t="shared" si="446"/>
        <v>0</v>
      </c>
      <c r="BQ1110">
        <f t="shared" si="447"/>
        <v>0</v>
      </c>
      <c r="BR1110">
        <f t="shared" si="448"/>
        <v>0</v>
      </c>
      <c r="BS1110">
        <f t="shared" si="449"/>
        <v>0</v>
      </c>
      <c r="BT1110">
        <f t="shared" si="450"/>
        <v>0</v>
      </c>
      <c r="BU1110">
        <f t="shared" si="451"/>
        <v>0</v>
      </c>
      <c r="BV1110">
        <f t="shared" si="452"/>
        <v>0</v>
      </c>
      <c r="BW1110">
        <f t="shared" si="453"/>
        <v>0</v>
      </c>
      <c r="CA1110" t="str">
        <f>IF(911&gt;ROWS(DGArchive[模组]),"",IF(INDEX(DGArchive[模组],911)="","",INDEX(DGArchive[模组],911)))</f>
        <v/>
      </c>
      <c r="CB1110" t="str">
        <f>IF(911&gt;ROWS(DGArchive[阶段]),"",IF(INDEX(DGArchive[阶段],911)="","",INDEX(DGArchive[阶段],911)))</f>
        <v/>
      </c>
      <c r="CC1110" t="str">
        <f>IF(911&gt;ROWS(DGArchive[游戏内日期]),"",IF(INDEX(DGArchive[游戏内日期],911)="","",INDEX(DGArchive[游戏内日期],911)))</f>
        <v/>
      </c>
      <c r="CD1110" t="str">
        <f>IF(911&gt;ROWS(DGArchive[目标]),"",IF(INDEX(DGArchive[目标],911)="","",INDEX(DGArchive[目标],911)))</f>
        <v/>
      </c>
      <c r="CE1110" t="str">
        <f>IF(911&gt;ROWS(DGArchive[变更前]),"",IF(INDEX(DGArchive[变更前],911)="","",INDEX(DGArchive[变更前],911)))</f>
        <v/>
      </c>
      <c r="CF1110" t="str">
        <f>IF(911&gt;ROWS(DGArchive[增减]),"",IF(INDEX(DGArchive[增减],911)="","",INDEX(DGArchive[增减],911)))</f>
        <v/>
      </c>
      <c r="CG1110" t="str">
        <f>IF(911&gt;ROWS(DGArchive[变更后]),"",IF(INDEX(DGArchive[变更后],911)="","",INDEX(DGArchive[变更后],911)))</f>
        <v/>
      </c>
      <c r="CH1110" t="str">
        <f>IF(911&gt;ROWS(DGArchive[事件／活动]),"",IF(INDEX(DGArchive[事件／活动],911)="","",INDEX(DGArchive[事件／活动],911)))</f>
        <v/>
      </c>
      <c r="CI1110" t="str">
        <f>IF(911&gt;ROWS(DGArchive[记录编号]),"",IF(INDEX(DGArchive[记录编号],911)="","",INDEX(DGArchive[记录编号],911)))</f>
        <v/>
      </c>
      <c r="CL1110">
        <f t="shared" si="434"/>
        <v>0</v>
      </c>
      <c r="CM1110">
        <f>IF(AND(A1110=$AO$5,B1110=$AQ$3,H1110=1),COUNTIFS($A$200:A1110,$AO$5,$B$200:B1110,$AQ$3,$H$200:H1110,1),0)</f>
        <v>0</v>
      </c>
      <c r="CN1110">
        <f>IF(CA1110="",911,1001)</f>
        <v>911</v>
      </c>
      <c r="GA1110">
        <f t="shared" si="454"/>
        <v>0</v>
      </c>
      <c r="GB1110">
        <f t="shared" si="455"/>
        <v>0</v>
      </c>
      <c r="GC1110">
        <f>IF(AND(C1110="事件记录",H1110=1),COUNTIFS($C$200:C1110,"事件记录",$H$200:H1110,1),0)</f>
        <v>0</v>
      </c>
      <c r="GD1110">
        <f t="shared" si="435"/>
        <v>0</v>
      </c>
      <c r="GH1110">
        <f>IF(AND(H1110=1,A1110=$GA$10,B1110=$GA$11),COUNTIFS($A$200:A1110,$GA$10,$B$200:B1110,$GA$11,$H$200:H1110,1),0)</f>
        <v>0</v>
      </c>
    </row>
    <row r="1111" spans="1:190">
      <c r="A1111" t="str">
        <f t="shared" si="426"/>
        <v/>
      </c>
      <c r="B1111" t="str">
        <f t="shared" si="427"/>
        <v/>
      </c>
      <c r="C1111" t="str">
        <f t="shared" si="428"/>
        <v/>
      </c>
      <c r="D1111" t="str">
        <f t="shared" si="429"/>
        <v/>
      </c>
      <c r="E1111">
        <f t="shared" si="430"/>
        <v>0</v>
      </c>
      <c r="F1111" t="str">
        <f t="shared" si="431"/>
        <v/>
      </c>
      <c r="G1111">
        <f t="shared" si="432"/>
        <v>0</v>
      </c>
      <c r="H1111">
        <f>IF(AND(G1111=1,COUNTIFS($I$200:I1111,I1111,$G$200:G1111,1)=1),1,0)</f>
        <v>0</v>
      </c>
      <c r="I1111" t="str">
        <f t="shared" si="433"/>
        <v/>
      </c>
      <c r="BF1111">
        <f t="shared" si="436"/>
        <v>0</v>
      </c>
      <c r="BG1111">
        <f t="shared" si="437"/>
        <v>0</v>
      </c>
      <c r="BH1111">
        <f t="shared" si="438"/>
        <v>0</v>
      </c>
      <c r="BI1111">
        <f t="shared" si="439"/>
        <v>0</v>
      </c>
      <c r="BJ1111">
        <f t="shared" si="440"/>
        <v>0</v>
      </c>
      <c r="BK1111">
        <f t="shared" si="441"/>
        <v>0</v>
      </c>
      <c r="BL1111">
        <f t="shared" si="442"/>
        <v>0</v>
      </c>
      <c r="BM1111">
        <f t="shared" si="443"/>
        <v>0</v>
      </c>
      <c r="BN1111">
        <f t="shared" si="444"/>
        <v>0</v>
      </c>
      <c r="BO1111">
        <f t="shared" si="445"/>
        <v>0</v>
      </c>
      <c r="BP1111">
        <f t="shared" si="446"/>
        <v>0</v>
      </c>
      <c r="BQ1111">
        <f t="shared" si="447"/>
        <v>0</v>
      </c>
      <c r="BR1111">
        <f t="shared" si="448"/>
        <v>0</v>
      </c>
      <c r="BS1111">
        <f t="shared" si="449"/>
        <v>0</v>
      </c>
      <c r="BT1111">
        <f t="shared" si="450"/>
        <v>0</v>
      </c>
      <c r="BU1111">
        <f t="shared" si="451"/>
        <v>0</v>
      </c>
      <c r="BV1111">
        <f t="shared" si="452"/>
        <v>0</v>
      </c>
      <c r="BW1111">
        <f t="shared" si="453"/>
        <v>0</v>
      </c>
      <c r="CA1111" t="str">
        <f>IF(912&gt;ROWS(DGArchive[模组]),"",IF(INDEX(DGArchive[模组],912)="","",INDEX(DGArchive[模组],912)))</f>
        <v/>
      </c>
      <c r="CB1111" t="str">
        <f>IF(912&gt;ROWS(DGArchive[阶段]),"",IF(INDEX(DGArchive[阶段],912)="","",INDEX(DGArchive[阶段],912)))</f>
        <v/>
      </c>
      <c r="CC1111" t="str">
        <f>IF(912&gt;ROWS(DGArchive[游戏内日期]),"",IF(INDEX(DGArchive[游戏内日期],912)="","",INDEX(DGArchive[游戏内日期],912)))</f>
        <v/>
      </c>
      <c r="CD1111" t="str">
        <f>IF(912&gt;ROWS(DGArchive[目标]),"",IF(INDEX(DGArchive[目标],912)="","",INDEX(DGArchive[目标],912)))</f>
        <v/>
      </c>
      <c r="CE1111" t="str">
        <f>IF(912&gt;ROWS(DGArchive[变更前]),"",IF(INDEX(DGArchive[变更前],912)="","",INDEX(DGArchive[变更前],912)))</f>
        <v/>
      </c>
      <c r="CF1111" t="str">
        <f>IF(912&gt;ROWS(DGArchive[增减]),"",IF(INDEX(DGArchive[增减],912)="","",INDEX(DGArchive[增减],912)))</f>
        <v/>
      </c>
      <c r="CG1111" t="str">
        <f>IF(912&gt;ROWS(DGArchive[变更后]),"",IF(INDEX(DGArchive[变更后],912)="","",INDEX(DGArchive[变更后],912)))</f>
        <v/>
      </c>
      <c r="CH1111" t="str">
        <f>IF(912&gt;ROWS(DGArchive[事件／活动]),"",IF(INDEX(DGArchive[事件／活动],912)="","",INDEX(DGArchive[事件／活动],912)))</f>
        <v/>
      </c>
      <c r="CI1111" t="str">
        <f>IF(912&gt;ROWS(DGArchive[记录编号]),"",IF(INDEX(DGArchive[记录编号],912)="","",INDEX(DGArchive[记录编号],912)))</f>
        <v/>
      </c>
      <c r="CL1111">
        <f t="shared" si="434"/>
        <v>0</v>
      </c>
      <c r="CM1111">
        <f>IF(AND(A1111=$AO$5,B1111=$AQ$3,H1111=1),COUNTIFS($A$200:A1111,$AO$5,$B$200:B1111,$AQ$3,$H$200:H1111,1),0)</f>
        <v>0</v>
      </c>
      <c r="CN1111">
        <f>IF(CA1111="",912,1001)</f>
        <v>912</v>
      </c>
      <c r="GA1111">
        <f t="shared" si="454"/>
        <v>0</v>
      </c>
      <c r="GB1111">
        <f t="shared" si="455"/>
        <v>0</v>
      </c>
      <c r="GC1111">
        <f>IF(AND(C1111="事件记录",H1111=1),COUNTIFS($C$200:C1111,"事件记录",$H$200:H1111,1),0)</f>
        <v>0</v>
      </c>
      <c r="GD1111">
        <f t="shared" si="435"/>
        <v>0</v>
      </c>
      <c r="GH1111">
        <f>IF(AND(H1111=1,A1111=$GA$10,B1111=$GA$11),COUNTIFS($A$200:A1111,$GA$10,$B$200:B1111,$GA$11,$H$200:H1111,1),0)</f>
        <v>0</v>
      </c>
    </row>
    <row r="1112" spans="1:190">
      <c r="A1112" t="str">
        <f t="shared" si="426"/>
        <v/>
      </c>
      <c r="B1112" t="str">
        <f t="shared" si="427"/>
        <v/>
      </c>
      <c r="C1112" t="str">
        <f t="shared" si="428"/>
        <v/>
      </c>
      <c r="D1112" t="str">
        <f t="shared" si="429"/>
        <v/>
      </c>
      <c r="E1112">
        <f t="shared" si="430"/>
        <v>0</v>
      </c>
      <c r="F1112" t="str">
        <f t="shared" si="431"/>
        <v/>
      </c>
      <c r="G1112">
        <f t="shared" si="432"/>
        <v>0</v>
      </c>
      <c r="H1112">
        <f>IF(AND(G1112=1,COUNTIFS($I$200:I1112,I1112,$G$200:G1112,1)=1),1,0)</f>
        <v>0</v>
      </c>
      <c r="I1112" t="str">
        <f t="shared" si="433"/>
        <v/>
      </c>
      <c r="BF1112">
        <f t="shared" si="436"/>
        <v>0</v>
      </c>
      <c r="BG1112">
        <f t="shared" si="437"/>
        <v>0</v>
      </c>
      <c r="BH1112">
        <f t="shared" si="438"/>
        <v>0</v>
      </c>
      <c r="BI1112">
        <f t="shared" si="439"/>
        <v>0</v>
      </c>
      <c r="BJ1112">
        <f t="shared" si="440"/>
        <v>0</v>
      </c>
      <c r="BK1112">
        <f t="shared" si="441"/>
        <v>0</v>
      </c>
      <c r="BL1112">
        <f t="shared" si="442"/>
        <v>0</v>
      </c>
      <c r="BM1112">
        <f t="shared" si="443"/>
        <v>0</v>
      </c>
      <c r="BN1112">
        <f t="shared" si="444"/>
        <v>0</v>
      </c>
      <c r="BO1112">
        <f t="shared" si="445"/>
        <v>0</v>
      </c>
      <c r="BP1112">
        <f t="shared" si="446"/>
        <v>0</v>
      </c>
      <c r="BQ1112">
        <f t="shared" si="447"/>
        <v>0</v>
      </c>
      <c r="BR1112">
        <f t="shared" si="448"/>
        <v>0</v>
      </c>
      <c r="BS1112">
        <f t="shared" si="449"/>
        <v>0</v>
      </c>
      <c r="BT1112">
        <f t="shared" si="450"/>
        <v>0</v>
      </c>
      <c r="BU1112">
        <f t="shared" si="451"/>
        <v>0</v>
      </c>
      <c r="BV1112">
        <f t="shared" si="452"/>
        <v>0</v>
      </c>
      <c r="BW1112">
        <f t="shared" si="453"/>
        <v>0</v>
      </c>
      <c r="CA1112" t="str">
        <f>IF(913&gt;ROWS(DGArchive[模组]),"",IF(INDEX(DGArchive[模组],913)="","",INDEX(DGArchive[模组],913)))</f>
        <v/>
      </c>
      <c r="CB1112" t="str">
        <f>IF(913&gt;ROWS(DGArchive[阶段]),"",IF(INDEX(DGArchive[阶段],913)="","",INDEX(DGArchive[阶段],913)))</f>
        <v/>
      </c>
      <c r="CC1112" t="str">
        <f>IF(913&gt;ROWS(DGArchive[游戏内日期]),"",IF(INDEX(DGArchive[游戏内日期],913)="","",INDEX(DGArchive[游戏内日期],913)))</f>
        <v/>
      </c>
      <c r="CD1112" t="str">
        <f>IF(913&gt;ROWS(DGArchive[目标]),"",IF(INDEX(DGArchive[目标],913)="","",INDEX(DGArchive[目标],913)))</f>
        <v/>
      </c>
      <c r="CE1112" t="str">
        <f>IF(913&gt;ROWS(DGArchive[变更前]),"",IF(INDEX(DGArchive[变更前],913)="","",INDEX(DGArchive[变更前],913)))</f>
        <v/>
      </c>
      <c r="CF1112" t="str">
        <f>IF(913&gt;ROWS(DGArchive[增减]),"",IF(INDEX(DGArchive[增减],913)="","",INDEX(DGArchive[增减],913)))</f>
        <v/>
      </c>
      <c r="CG1112" t="str">
        <f>IF(913&gt;ROWS(DGArchive[变更后]),"",IF(INDEX(DGArchive[变更后],913)="","",INDEX(DGArchive[变更后],913)))</f>
        <v/>
      </c>
      <c r="CH1112" t="str">
        <f>IF(913&gt;ROWS(DGArchive[事件／活动]),"",IF(INDEX(DGArchive[事件／活动],913)="","",INDEX(DGArchive[事件／活动],913)))</f>
        <v/>
      </c>
      <c r="CI1112" t="str">
        <f>IF(913&gt;ROWS(DGArchive[记录编号]),"",IF(INDEX(DGArchive[记录编号],913)="","",INDEX(DGArchive[记录编号],913)))</f>
        <v/>
      </c>
      <c r="CL1112">
        <f t="shared" si="434"/>
        <v>0</v>
      </c>
      <c r="CM1112">
        <f>IF(AND(A1112=$AO$5,B1112=$AQ$3,H1112=1),COUNTIFS($A$200:A1112,$AO$5,$B$200:B1112,$AQ$3,$H$200:H1112,1),0)</f>
        <v>0</v>
      </c>
      <c r="CN1112">
        <f>IF(CA1112="",913,1001)</f>
        <v>913</v>
      </c>
      <c r="GA1112">
        <f t="shared" si="454"/>
        <v>0</v>
      </c>
      <c r="GB1112">
        <f t="shared" si="455"/>
        <v>0</v>
      </c>
      <c r="GC1112">
        <f>IF(AND(C1112="事件记录",H1112=1),COUNTIFS($C$200:C1112,"事件记录",$H$200:H1112,1),0)</f>
        <v>0</v>
      </c>
      <c r="GD1112">
        <f t="shared" si="435"/>
        <v>0</v>
      </c>
      <c r="GH1112">
        <f>IF(AND(H1112=1,A1112=$GA$10,B1112=$GA$11),COUNTIFS($A$200:A1112,$GA$10,$B$200:B1112,$GA$11,$H$200:H1112,1),0)</f>
        <v>0</v>
      </c>
    </row>
    <row r="1113" spans="1:190">
      <c r="A1113" t="str">
        <f t="shared" si="426"/>
        <v/>
      </c>
      <c r="B1113" t="str">
        <f t="shared" si="427"/>
        <v/>
      </c>
      <c r="C1113" t="str">
        <f t="shared" si="428"/>
        <v/>
      </c>
      <c r="D1113" t="str">
        <f t="shared" si="429"/>
        <v/>
      </c>
      <c r="E1113">
        <f t="shared" si="430"/>
        <v>0</v>
      </c>
      <c r="F1113" t="str">
        <f t="shared" si="431"/>
        <v/>
      </c>
      <c r="G1113">
        <f t="shared" si="432"/>
        <v>0</v>
      </c>
      <c r="H1113">
        <f>IF(AND(G1113=1,COUNTIFS($I$200:I1113,I1113,$G$200:G1113,1)=1),1,0)</f>
        <v>0</v>
      </c>
      <c r="I1113" t="str">
        <f t="shared" si="433"/>
        <v/>
      </c>
      <c r="BF1113">
        <f t="shared" si="436"/>
        <v>0</v>
      </c>
      <c r="BG1113">
        <f t="shared" si="437"/>
        <v>0</v>
      </c>
      <c r="BH1113">
        <f t="shared" si="438"/>
        <v>0</v>
      </c>
      <c r="BI1113">
        <f t="shared" si="439"/>
        <v>0</v>
      </c>
      <c r="BJ1113">
        <f t="shared" si="440"/>
        <v>0</v>
      </c>
      <c r="BK1113">
        <f t="shared" si="441"/>
        <v>0</v>
      </c>
      <c r="BL1113">
        <f t="shared" si="442"/>
        <v>0</v>
      </c>
      <c r="BM1113">
        <f t="shared" si="443"/>
        <v>0</v>
      </c>
      <c r="BN1113">
        <f t="shared" si="444"/>
        <v>0</v>
      </c>
      <c r="BO1113">
        <f t="shared" si="445"/>
        <v>0</v>
      </c>
      <c r="BP1113">
        <f t="shared" si="446"/>
        <v>0</v>
      </c>
      <c r="BQ1113">
        <f t="shared" si="447"/>
        <v>0</v>
      </c>
      <c r="BR1113">
        <f t="shared" si="448"/>
        <v>0</v>
      </c>
      <c r="BS1113">
        <f t="shared" si="449"/>
        <v>0</v>
      </c>
      <c r="BT1113">
        <f t="shared" si="450"/>
        <v>0</v>
      </c>
      <c r="BU1113">
        <f t="shared" si="451"/>
        <v>0</v>
      </c>
      <c r="BV1113">
        <f t="shared" si="452"/>
        <v>0</v>
      </c>
      <c r="BW1113">
        <f t="shared" si="453"/>
        <v>0</v>
      </c>
      <c r="CA1113" t="str">
        <f>IF(914&gt;ROWS(DGArchive[模组]),"",IF(INDEX(DGArchive[模组],914)="","",INDEX(DGArchive[模组],914)))</f>
        <v/>
      </c>
      <c r="CB1113" t="str">
        <f>IF(914&gt;ROWS(DGArchive[阶段]),"",IF(INDEX(DGArchive[阶段],914)="","",INDEX(DGArchive[阶段],914)))</f>
        <v/>
      </c>
      <c r="CC1113" t="str">
        <f>IF(914&gt;ROWS(DGArchive[游戏内日期]),"",IF(INDEX(DGArchive[游戏内日期],914)="","",INDEX(DGArchive[游戏内日期],914)))</f>
        <v/>
      </c>
      <c r="CD1113" t="str">
        <f>IF(914&gt;ROWS(DGArchive[目标]),"",IF(INDEX(DGArchive[目标],914)="","",INDEX(DGArchive[目标],914)))</f>
        <v/>
      </c>
      <c r="CE1113" t="str">
        <f>IF(914&gt;ROWS(DGArchive[变更前]),"",IF(INDEX(DGArchive[变更前],914)="","",INDEX(DGArchive[变更前],914)))</f>
        <v/>
      </c>
      <c r="CF1113" t="str">
        <f>IF(914&gt;ROWS(DGArchive[增减]),"",IF(INDEX(DGArchive[增减],914)="","",INDEX(DGArchive[增减],914)))</f>
        <v/>
      </c>
      <c r="CG1113" t="str">
        <f>IF(914&gt;ROWS(DGArchive[变更后]),"",IF(INDEX(DGArchive[变更后],914)="","",INDEX(DGArchive[变更后],914)))</f>
        <v/>
      </c>
      <c r="CH1113" t="str">
        <f>IF(914&gt;ROWS(DGArchive[事件／活动]),"",IF(INDEX(DGArchive[事件／活动],914)="","",INDEX(DGArchive[事件／活动],914)))</f>
        <v/>
      </c>
      <c r="CI1113" t="str">
        <f>IF(914&gt;ROWS(DGArchive[记录编号]),"",IF(INDEX(DGArchive[记录编号],914)="","",INDEX(DGArchive[记录编号],914)))</f>
        <v/>
      </c>
      <c r="CL1113">
        <f t="shared" si="434"/>
        <v>0</v>
      </c>
      <c r="CM1113">
        <f>IF(AND(A1113=$AO$5,B1113=$AQ$3,H1113=1),COUNTIFS($A$200:A1113,$AO$5,$B$200:B1113,$AQ$3,$H$200:H1113,1),0)</f>
        <v>0</v>
      </c>
      <c r="CN1113">
        <f>IF(CA1113="",914,1001)</f>
        <v>914</v>
      </c>
      <c r="GA1113">
        <f t="shared" si="454"/>
        <v>0</v>
      </c>
      <c r="GB1113">
        <f t="shared" si="455"/>
        <v>0</v>
      </c>
      <c r="GC1113">
        <f>IF(AND(C1113="事件记录",H1113=1),COUNTIFS($C$200:C1113,"事件记录",$H$200:H1113,1),0)</f>
        <v>0</v>
      </c>
      <c r="GD1113">
        <f t="shared" si="435"/>
        <v>0</v>
      </c>
      <c r="GH1113">
        <f>IF(AND(H1113=1,A1113=$GA$10,B1113=$GA$11),COUNTIFS($A$200:A1113,$GA$10,$B$200:B1113,$GA$11,$H$200:H1113,1),0)</f>
        <v>0</v>
      </c>
    </row>
    <row r="1114" spans="1:190">
      <c r="A1114" t="str">
        <f t="shared" si="426"/>
        <v/>
      </c>
      <c r="B1114" t="str">
        <f t="shared" si="427"/>
        <v/>
      </c>
      <c r="C1114" t="str">
        <f t="shared" si="428"/>
        <v/>
      </c>
      <c r="D1114" t="str">
        <f t="shared" si="429"/>
        <v/>
      </c>
      <c r="E1114">
        <f t="shared" si="430"/>
        <v>0</v>
      </c>
      <c r="F1114" t="str">
        <f t="shared" si="431"/>
        <v/>
      </c>
      <c r="G1114">
        <f t="shared" si="432"/>
        <v>0</v>
      </c>
      <c r="H1114">
        <f>IF(AND(G1114=1,COUNTIFS($I$200:I1114,I1114,$G$200:G1114,1)=1),1,0)</f>
        <v>0</v>
      </c>
      <c r="I1114" t="str">
        <f t="shared" si="433"/>
        <v/>
      </c>
      <c r="BF1114">
        <f t="shared" si="436"/>
        <v>0</v>
      </c>
      <c r="BG1114">
        <f t="shared" si="437"/>
        <v>0</v>
      </c>
      <c r="BH1114">
        <f t="shared" si="438"/>
        <v>0</v>
      </c>
      <c r="BI1114">
        <f t="shared" si="439"/>
        <v>0</v>
      </c>
      <c r="BJ1114">
        <f t="shared" si="440"/>
        <v>0</v>
      </c>
      <c r="BK1114">
        <f t="shared" si="441"/>
        <v>0</v>
      </c>
      <c r="BL1114">
        <f t="shared" si="442"/>
        <v>0</v>
      </c>
      <c r="BM1114">
        <f t="shared" si="443"/>
        <v>0</v>
      </c>
      <c r="BN1114">
        <f t="shared" si="444"/>
        <v>0</v>
      </c>
      <c r="BO1114">
        <f t="shared" si="445"/>
        <v>0</v>
      </c>
      <c r="BP1114">
        <f t="shared" si="446"/>
        <v>0</v>
      </c>
      <c r="BQ1114">
        <f t="shared" si="447"/>
        <v>0</v>
      </c>
      <c r="BR1114">
        <f t="shared" si="448"/>
        <v>0</v>
      </c>
      <c r="BS1114">
        <f t="shared" si="449"/>
        <v>0</v>
      </c>
      <c r="BT1114">
        <f t="shared" si="450"/>
        <v>0</v>
      </c>
      <c r="BU1114">
        <f t="shared" si="451"/>
        <v>0</v>
      </c>
      <c r="BV1114">
        <f t="shared" si="452"/>
        <v>0</v>
      </c>
      <c r="BW1114">
        <f t="shared" si="453"/>
        <v>0</v>
      </c>
      <c r="CA1114" t="str">
        <f>IF(915&gt;ROWS(DGArchive[模组]),"",IF(INDEX(DGArchive[模组],915)="","",INDEX(DGArchive[模组],915)))</f>
        <v/>
      </c>
      <c r="CB1114" t="str">
        <f>IF(915&gt;ROWS(DGArchive[阶段]),"",IF(INDEX(DGArchive[阶段],915)="","",INDEX(DGArchive[阶段],915)))</f>
        <v/>
      </c>
      <c r="CC1114" t="str">
        <f>IF(915&gt;ROWS(DGArchive[游戏内日期]),"",IF(INDEX(DGArchive[游戏内日期],915)="","",INDEX(DGArchive[游戏内日期],915)))</f>
        <v/>
      </c>
      <c r="CD1114" t="str">
        <f>IF(915&gt;ROWS(DGArchive[目标]),"",IF(INDEX(DGArchive[目标],915)="","",INDEX(DGArchive[目标],915)))</f>
        <v/>
      </c>
      <c r="CE1114" t="str">
        <f>IF(915&gt;ROWS(DGArchive[变更前]),"",IF(INDEX(DGArchive[变更前],915)="","",INDEX(DGArchive[变更前],915)))</f>
        <v/>
      </c>
      <c r="CF1114" t="str">
        <f>IF(915&gt;ROWS(DGArchive[增减]),"",IF(INDEX(DGArchive[增减],915)="","",INDEX(DGArchive[增减],915)))</f>
        <v/>
      </c>
      <c r="CG1114" t="str">
        <f>IF(915&gt;ROWS(DGArchive[变更后]),"",IF(INDEX(DGArchive[变更后],915)="","",INDEX(DGArchive[变更后],915)))</f>
        <v/>
      </c>
      <c r="CH1114" t="str">
        <f>IF(915&gt;ROWS(DGArchive[事件／活动]),"",IF(INDEX(DGArchive[事件／活动],915)="","",INDEX(DGArchive[事件／活动],915)))</f>
        <v/>
      </c>
      <c r="CI1114" t="str">
        <f>IF(915&gt;ROWS(DGArchive[记录编号]),"",IF(INDEX(DGArchive[记录编号],915)="","",INDEX(DGArchive[记录编号],915)))</f>
        <v/>
      </c>
      <c r="CL1114">
        <f t="shared" si="434"/>
        <v>0</v>
      </c>
      <c r="CM1114">
        <f>IF(AND(A1114=$AO$5,B1114=$AQ$3,H1114=1),COUNTIFS($A$200:A1114,$AO$5,$B$200:B1114,$AQ$3,$H$200:H1114,1),0)</f>
        <v>0</v>
      </c>
      <c r="CN1114">
        <f>IF(CA1114="",915,1001)</f>
        <v>915</v>
      </c>
      <c r="GA1114">
        <f t="shared" si="454"/>
        <v>0</v>
      </c>
      <c r="GB1114">
        <f t="shared" si="455"/>
        <v>0</v>
      </c>
      <c r="GC1114">
        <f>IF(AND(C1114="事件记录",H1114=1),COUNTIFS($C$200:C1114,"事件记录",$H$200:H1114,1),0)</f>
        <v>0</v>
      </c>
      <c r="GD1114">
        <f t="shared" si="435"/>
        <v>0</v>
      </c>
      <c r="GH1114">
        <f>IF(AND(H1114=1,A1114=$GA$10,B1114=$GA$11),COUNTIFS($A$200:A1114,$GA$10,$B$200:B1114,$GA$11,$H$200:H1114,1),0)</f>
        <v>0</v>
      </c>
    </row>
    <row r="1115" spans="1:190">
      <c r="A1115" t="str">
        <f t="shared" si="426"/>
        <v/>
      </c>
      <c r="B1115" t="str">
        <f t="shared" si="427"/>
        <v/>
      </c>
      <c r="C1115" t="str">
        <f t="shared" si="428"/>
        <v/>
      </c>
      <c r="D1115" t="str">
        <f t="shared" si="429"/>
        <v/>
      </c>
      <c r="E1115">
        <f t="shared" si="430"/>
        <v>0</v>
      </c>
      <c r="F1115" t="str">
        <f t="shared" si="431"/>
        <v/>
      </c>
      <c r="G1115">
        <f t="shared" si="432"/>
        <v>0</v>
      </c>
      <c r="H1115">
        <f>IF(AND(G1115=1,COUNTIFS($I$200:I1115,I1115,$G$200:G1115,1)=1),1,0)</f>
        <v>0</v>
      </c>
      <c r="I1115" t="str">
        <f t="shared" si="433"/>
        <v/>
      </c>
      <c r="BF1115">
        <f t="shared" si="436"/>
        <v>0</v>
      </c>
      <c r="BG1115">
        <f t="shared" si="437"/>
        <v>0</v>
      </c>
      <c r="BH1115">
        <f t="shared" si="438"/>
        <v>0</v>
      </c>
      <c r="BI1115">
        <f t="shared" si="439"/>
        <v>0</v>
      </c>
      <c r="BJ1115">
        <f t="shared" si="440"/>
        <v>0</v>
      </c>
      <c r="BK1115">
        <f t="shared" si="441"/>
        <v>0</v>
      </c>
      <c r="BL1115">
        <f t="shared" si="442"/>
        <v>0</v>
      </c>
      <c r="BM1115">
        <f t="shared" si="443"/>
        <v>0</v>
      </c>
      <c r="BN1115">
        <f t="shared" si="444"/>
        <v>0</v>
      </c>
      <c r="BO1115">
        <f t="shared" si="445"/>
        <v>0</v>
      </c>
      <c r="BP1115">
        <f t="shared" si="446"/>
        <v>0</v>
      </c>
      <c r="BQ1115">
        <f t="shared" si="447"/>
        <v>0</v>
      </c>
      <c r="BR1115">
        <f t="shared" si="448"/>
        <v>0</v>
      </c>
      <c r="BS1115">
        <f t="shared" si="449"/>
        <v>0</v>
      </c>
      <c r="BT1115">
        <f t="shared" si="450"/>
        <v>0</v>
      </c>
      <c r="BU1115">
        <f t="shared" si="451"/>
        <v>0</v>
      </c>
      <c r="BV1115">
        <f t="shared" si="452"/>
        <v>0</v>
      </c>
      <c r="BW1115">
        <f t="shared" si="453"/>
        <v>0</v>
      </c>
      <c r="CA1115" t="str">
        <f>IF(916&gt;ROWS(DGArchive[模组]),"",IF(INDEX(DGArchive[模组],916)="","",INDEX(DGArchive[模组],916)))</f>
        <v/>
      </c>
      <c r="CB1115" t="str">
        <f>IF(916&gt;ROWS(DGArchive[阶段]),"",IF(INDEX(DGArchive[阶段],916)="","",INDEX(DGArchive[阶段],916)))</f>
        <v/>
      </c>
      <c r="CC1115" t="str">
        <f>IF(916&gt;ROWS(DGArchive[游戏内日期]),"",IF(INDEX(DGArchive[游戏内日期],916)="","",INDEX(DGArchive[游戏内日期],916)))</f>
        <v/>
      </c>
      <c r="CD1115" t="str">
        <f>IF(916&gt;ROWS(DGArchive[目标]),"",IF(INDEX(DGArchive[目标],916)="","",INDEX(DGArchive[目标],916)))</f>
        <v/>
      </c>
      <c r="CE1115" t="str">
        <f>IF(916&gt;ROWS(DGArchive[变更前]),"",IF(INDEX(DGArchive[变更前],916)="","",INDEX(DGArchive[变更前],916)))</f>
        <v/>
      </c>
      <c r="CF1115" t="str">
        <f>IF(916&gt;ROWS(DGArchive[增减]),"",IF(INDEX(DGArchive[增减],916)="","",INDEX(DGArchive[增减],916)))</f>
        <v/>
      </c>
      <c r="CG1115" t="str">
        <f>IF(916&gt;ROWS(DGArchive[变更后]),"",IF(INDEX(DGArchive[变更后],916)="","",INDEX(DGArchive[变更后],916)))</f>
        <v/>
      </c>
      <c r="CH1115" t="str">
        <f>IF(916&gt;ROWS(DGArchive[事件／活动]),"",IF(INDEX(DGArchive[事件／活动],916)="","",INDEX(DGArchive[事件／活动],916)))</f>
        <v/>
      </c>
      <c r="CI1115" t="str">
        <f>IF(916&gt;ROWS(DGArchive[记录编号]),"",IF(INDEX(DGArchive[记录编号],916)="","",INDEX(DGArchive[记录编号],916)))</f>
        <v/>
      </c>
      <c r="CL1115">
        <f t="shared" si="434"/>
        <v>0</v>
      </c>
      <c r="CM1115">
        <f>IF(AND(A1115=$AO$5,B1115=$AQ$3,H1115=1),COUNTIFS($A$200:A1115,$AO$5,$B$200:B1115,$AQ$3,$H$200:H1115,1),0)</f>
        <v>0</v>
      </c>
      <c r="CN1115">
        <f>IF(CA1115="",916,1001)</f>
        <v>916</v>
      </c>
      <c r="GA1115">
        <f t="shared" si="454"/>
        <v>0</v>
      </c>
      <c r="GB1115">
        <f t="shared" si="455"/>
        <v>0</v>
      </c>
      <c r="GC1115">
        <f>IF(AND(C1115="事件记录",H1115=1),COUNTIFS($C$200:C1115,"事件记录",$H$200:H1115,1),0)</f>
        <v>0</v>
      </c>
      <c r="GD1115">
        <f t="shared" si="435"/>
        <v>0</v>
      </c>
      <c r="GH1115">
        <f>IF(AND(H1115=1,A1115=$GA$10,B1115=$GA$11),COUNTIFS($A$200:A1115,$GA$10,$B$200:B1115,$GA$11,$H$200:H1115,1),0)</f>
        <v>0</v>
      </c>
    </row>
    <row r="1116" spans="1:190">
      <c r="A1116" t="str">
        <f t="shared" si="426"/>
        <v/>
      </c>
      <c r="B1116" t="str">
        <f t="shared" si="427"/>
        <v/>
      </c>
      <c r="C1116" t="str">
        <f t="shared" si="428"/>
        <v/>
      </c>
      <c r="D1116" t="str">
        <f t="shared" si="429"/>
        <v/>
      </c>
      <c r="E1116">
        <f t="shared" si="430"/>
        <v>0</v>
      </c>
      <c r="F1116" t="str">
        <f t="shared" si="431"/>
        <v/>
      </c>
      <c r="G1116">
        <f t="shared" si="432"/>
        <v>0</v>
      </c>
      <c r="H1116">
        <f>IF(AND(G1116=1,COUNTIFS($I$200:I1116,I1116,$G$200:G1116,1)=1),1,0)</f>
        <v>0</v>
      </c>
      <c r="I1116" t="str">
        <f t="shared" si="433"/>
        <v/>
      </c>
      <c r="BF1116">
        <f t="shared" si="436"/>
        <v>0</v>
      </c>
      <c r="BG1116">
        <f t="shared" si="437"/>
        <v>0</v>
      </c>
      <c r="BH1116">
        <f t="shared" si="438"/>
        <v>0</v>
      </c>
      <c r="BI1116">
        <f t="shared" si="439"/>
        <v>0</v>
      </c>
      <c r="BJ1116">
        <f t="shared" si="440"/>
        <v>0</v>
      </c>
      <c r="BK1116">
        <f t="shared" si="441"/>
        <v>0</v>
      </c>
      <c r="BL1116">
        <f t="shared" si="442"/>
        <v>0</v>
      </c>
      <c r="BM1116">
        <f t="shared" si="443"/>
        <v>0</v>
      </c>
      <c r="BN1116">
        <f t="shared" si="444"/>
        <v>0</v>
      </c>
      <c r="BO1116">
        <f t="shared" si="445"/>
        <v>0</v>
      </c>
      <c r="BP1116">
        <f t="shared" si="446"/>
        <v>0</v>
      </c>
      <c r="BQ1116">
        <f t="shared" si="447"/>
        <v>0</v>
      </c>
      <c r="BR1116">
        <f t="shared" si="448"/>
        <v>0</v>
      </c>
      <c r="BS1116">
        <f t="shared" si="449"/>
        <v>0</v>
      </c>
      <c r="BT1116">
        <f t="shared" si="450"/>
        <v>0</v>
      </c>
      <c r="BU1116">
        <f t="shared" si="451"/>
        <v>0</v>
      </c>
      <c r="BV1116">
        <f t="shared" si="452"/>
        <v>0</v>
      </c>
      <c r="BW1116">
        <f t="shared" si="453"/>
        <v>0</v>
      </c>
      <c r="CA1116" t="str">
        <f>IF(917&gt;ROWS(DGArchive[模组]),"",IF(INDEX(DGArchive[模组],917)="","",INDEX(DGArchive[模组],917)))</f>
        <v/>
      </c>
      <c r="CB1116" t="str">
        <f>IF(917&gt;ROWS(DGArchive[阶段]),"",IF(INDEX(DGArchive[阶段],917)="","",INDEX(DGArchive[阶段],917)))</f>
        <v/>
      </c>
      <c r="CC1116" t="str">
        <f>IF(917&gt;ROWS(DGArchive[游戏内日期]),"",IF(INDEX(DGArchive[游戏内日期],917)="","",INDEX(DGArchive[游戏内日期],917)))</f>
        <v/>
      </c>
      <c r="CD1116" t="str">
        <f>IF(917&gt;ROWS(DGArchive[目标]),"",IF(INDEX(DGArchive[目标],917)="","",INDEX(DGArchive[目标],917)))</f>
        <v/>
      </c>
      <c r="CE1116" t="str">
        <f>IF(917&gt;ROWS(DGArchive[变更前]),"",IF(INDEX(DGArchive[变更前],917)="","",INDEX(DGArchive[变更前],917)))</f>
        <v/>
      </c>
      <c r="CF1116" t="str">
        <f>IF(917&gt;ROWS(DGArchive[增减]),"",IF(INDEX(DGArchive[增减],917)="","",INDEX(DGArchive[增减],917)))</f>
        <v/>
      </c>
      <c r="CG1116" t="str">
        <f>IF(917&gt;ROWS(DGArchive[变更后]),"",IF(INDEX(DGArchive[变更后],917)="","",INDEX(DGArchive[变更后],917)))</f>
        <v/>
      </c>
      <c r="CH1116" t="str">
        <f>IF(917&gt;ROWS(DGArchive[事件／活动]),"",IF(INDEX(DGArchive[事件／活动],917)="","",INDEX(DGArchive[事件／活动],917)))</f>
        <v/>
      </c>
      <c r="CI1116" t="str">
        <f>IF(917&gt;ROWS(DGArchive[记录编号]),"",IF(INDEX(DGArchive[记录编号],917)="","",INDEX(DGArchive[记录编号],917)))</f>
        <v/>
      </c>
      <c r="CL1116">
        <f t="shared" si="434"/>
        <v>0</v>
      </c>
      <c r="CM1116">
        <f>IF(AND(A1116=$AO$5,B1116=$AQ$3,H1116=1),COUNTIFS($A$200:A1116,$AO$5,$B$200:B1116,$AQ$3,$H$200:H1116,1),0)</f>
        <v>0</v>
      </c>
      <c r="CN1116">
        <f>IF(CA1116="",917,1001)</f>
        <v>917</v>
      </c>
      <c r="GA1116">
        <f t="shared" si="454"/>
        <v>0</v>
      </c>
      <c r="GB1116">
        <f t="shared" si="455"/>
        <v>0</v>
      </c>
      <c r="GC1116">
        <f>IF(AND(C1116="事件记录",H1116=1),COUNTIFS($C$200:C1116,"事件记录",$H$200:H1116,1),0)</f>
        <v>0</v>
      </c>
      <c r="GD1116">
        <f t="shared" si="435"/>
        <v>0</v>
      </c>
      <c r="GH1116">
        <f>IF(AND(H1116=1,A1116=$GA$10,B1116=$GA$11),COUNTIFS($A$200:A1116,$GA$10,$B$200:B1116,$GA$11,$H$200:H1116,1),0)</f>
        <v>0</v>
      </c>
    </row>
    <row r="1117" spans="1:190">
      <c r="A1117" t="str">
        <f t="shared" si="426"/>
        <v/>
      </c>
      <c r="B1117" t="str">
        <f t="shared" si="427"/>
        <v/>
      </c>
      <c r="C1117" t="str">
        <f t="shared" si="428"/>
        <v/>
      </c>
      <c r="D1117" t="str">
        <f t="shared" si="429"/>
        <v/>
      </c>
      <c r="E1117">
        <f t="shared" si="430"/>
        <v>0</v>
      </c>
      <c r="F1117" t="str">
        <f t="shared" si="431"/>
        <v/>
      </c>
      <c r="G1117">
        <f t="shared" si="432"/>
        <v>0</v>
      </c>
      <c r="H1117">
        <f>IF(AND(G1117=1,COUNTIFS($I$200:I1117,I1117,$G$200:G1117,1)=1),1,0)</f>
        <v>0</v>
      </c>
      <c r="I1117" t="str">
        <f t="shared" si="433"/>
        <v/>
      </c>
      <c r="BF1117">
        <f t="shared" si="436"/>
        <v>0</v>
      </c>
      <c r="BG1117">
        <f t="shared" si="437"/>
        <v>0</v>
      </c>
      <c r="BH1117">
        <f t="shared" si="438"/>
        <v>0</v>
      </c>
      <c r="BI1117">
        <f t="shared" si="439"/>
        <v>0</v>
      </c>
      <c r="BJ1117">
        <f t="shared" si="440"/>
        <v>0</v>
      </c>
      <c r="BK1117">
        <f t="shared" si="441"/>
        <v>0</v>
      </c>
      <c r="BL1117">
        <f t="shared" si="442"/>
        <v>0</v>
      </c>
      <c r="BM1117">
        <f t="shared" si="443"/>
        <v>0</v>
      </c>
      <c r="BN1117">
        <f t="shared" si="444"/>
        <v>0</v>
      </c>
      <c r="BO1117">
        <f t="shared" si="445"/>
        <v>0</v>
      </c>
      <c r="BP1117">
        <f t="shared" si="446"/>
        <v>0</v>
      </c>
      <c r="BQ1117">
        <f t="shared" si="447"/>
        <v>0</v>
      </c>
      <c r="BR1117">
        <f t="shared" si="448"/>
        <v>0</v>
      </c>
      <c r="BS1117">
        <f t="shared" si="449"/>
        <v>0</v>
      </c>
      <c r="BT1117">
        <f t="shared" si="450"/>
        <v>0</v>
      </c>
      <c r="BU1117">
        <f t="shared" si="451"/>
        <v>0</v>
      </c>
      <c r="BV1117">
        <f t="shared" si="452"/>
        <v>0</v>
      </c>
      <c r="BW1117">
        <f t="shared" si="453"/>
        <v>0</v>
      </c>
      <c r="CA1117" t="str">
        <f>IF(918&gt;ROWS(DGArchive[模组]),"",IF(INDEX(DGArchive[模组],918)="","",INDEX(DGArchive[模组],918)))</f>
        <v/>
      </c>
      <c r="CB1117" t="str">
        <f>IF(918&gt;ROWS(DGArchive[阶段]),"",IF(INDEX(DGArchive[阶段],918)="","",INDEX(DGArchive[阶段],918)))</f>
        <v/>
      </c>
      <c r="CC1117" t="str">
        <f>IF(918&gt;ROWS(DGArchive[游戏内日期]),"",IF(INDEX(DGArchive[游戏内日期],918)="","",INDEX(DGArchive[游戏内日期],918)))</f>
        <v/>
      </c>
      <c r="CD1117" t="str">
        <f>IF(918&gt;ROWS(DGArchive[目标]),"",IF(INDEX(DGArchive[目标],918)="","",INDEX(DGArchive[目标],918)))</f>
        <v/>
      </c>
      <c r="CE1117" t="str">
        <f>IF(918&gt;ROWS(DGArchive[变更前]),"",IF(INDEX(DGArchive[变更前],918)="","",INDEX(DGArchive[变更前],918)))</f>
        <v/>
      </c>
      <c r="CF1117" t="str">
        <f>IF(918&gt;ROWS(DGArchive[增减]),"",IF(INDEX(DGArchive[增减],918)="","",INDEX(DGArchive[增减],918)))</f>
        <v/>
      </c>
      <c r="CG1117" t="str">
        <f>IF(918&gt;ROWS(DGArchive[变更后]),"",IF(INDEX(DGArchive[变更后],918)="","",INDEX(DGArchive[变更后],918)))</f>
        <v/>
      </c>
      <c r="CH1117" t="str">
        <f>IF(918&gt;ROWS(DGArchive[事件／活动]),"",IF(INDEX(DGArchive[事件／活动],918)="","",INDEX(DGArchive[事件／活动],918)))</f>
        <v/>
      </c>
      <c r="CI1117" t="str">
        <f>IF(918&gt;ROWS(DGArchive[记录编号]),"",IF(INDEX(DGArchive[记录编号],918)="","",INDEX(DGArchive[记录编号],918)))</f>
        <v/>
      </c>
      <c r="CL1117">
        <f t="shared" si="434"/>
        <v>0</v>
      </c>
      <c r="CM1117">
        <f>IF(AND(A1117=$AO$5,B1117=$AQ$3,H1117=1),COUNTIFS($A$200:A1117,$AO$5,$B$200:B1117,$AQ$3,$H$200:H1117,1),0)</f>
        <v>0</v>
      </c>
      <c r="CN1117">
        <f>IF(CA1117="",918,1001)</f>
        <v>918</v>
      </c>
      <c r="GA1117">
        <f t="shared" si="454"/>
        <v>0</v>
      </c>
      <c r="GB1117">
        <f t="shared" si="455"/>
        <v>0</v>
      </c>
      <c r="GC1117">
        <f>IF(AND(C1117="事件记录",H1117=1),COUNTIFS($C$200:C1117,"事件记录",$H$200:H1117,1),0)</f>
        <v>0</v>
      </c>
      <c r="GD1117">
        <f t="shared" si="435"/>
        <v>0</v>
      </c>
      <c r="GH1117">
        <f>IF(AND(H1117=1,A1117=$GA$10,B1117=$GA$11),COUNTIFS($A$200:A1117,$GA$10,$B$200:B1117,$GA$11,$H$200:H1117,1),0)</f>
        <v>0</v>
      </c>
    </row>
    <row r="1118" spans="1:190">
      <c r="A1118" t="str">
        <f t="shared" si="426"/>
        <v/>
      </c>
      <c r="B1118" t="str">
        <f t="shared" si="427"/>
        <v/>
      </c>
      <c r="C1118" t="str">
        <f t="shared" si="428"/>
        <v/>
      </c>
      <c r="D1118" t="str">
        <f t="shared" si="429"/>
        <v/>
      </c>
      <c r="E1118">
        <f t="shared" si="430"/>
        <v>0</v>
      </c>
      <c r="F1118" t="str">
        <f t="shared" si="431"/>
        <v/>
      </c>
      <c r="G1118">
        <f t="shared" si="432"/>
        <v>0</v>
      </c>
      <c r="H1118">
        <f>IF(AND(G1118=1,COUNTIFS($I$200:I1118,I1118,$G$200:G1118,1)=1),1,0)</f>
        <v>0</v>
      </c>
      <c r="I1118" t="str">
        <f t="shared" si="433"/>
        <v/>
      </c>
      <c r="BF1118">
        <f t="shared" si="436"/>
        <v>0</v>
      </c>
      <c r="BG1118">
        <f t="shared" si="437"/>
        <v>0</v>
      </c>
      <c r="BH1118">
        <f t="shared" si="438"/>
        <v>0</v>
      </c>
      <c r="BI1118">
        <f t="shared" si="439"/>
        <v>0</v>
      </c>
      <c r="BJ1118">
        <f t="shared" si="440"/>
        <v>0</v>
      </c>
      <c r="BK1118">
        <f t="shared" si="441"/>
        <v>0</v>
      </c>
      <c r="BL1118">
        <f t="shared" si="442"/>
        <v>0</v>
      </c>
      <c r="BM1118">
        <f t="shared" si="443"/>
        <v>0</v>
      </c>
      <c r="BN1118">
        <f t="shared" si="444"/>
        <v>0</v>
      </c>
      <c r="BO1118">
        <f t="shared" si="445"/>
        <v>0</v>
      </c>
      <c r="BP1118">
        <f t="shared" si="446"/>
        <v>0</v>
      </c>
      <c r="BQ1118">
        <f t="shared" si="447"/>
        <v>0</v>
      </c>
      <c r="BR1118">
        <f t="shared" si="448"/>
        <v>0</v>
      </c>
      <c r="BS1118">
        <f t="shared" si="449"/>
        <v>0</v>
      </c>
      <c r="BT1118">
        <f t="shared" si="450"/>
        <v>0</v>
      </c>
      <c r="BU1118">
        <f t="shared" si="451"/>
        <v>0</v>
      </c>
      <c r="BV1118">
        <f t="shared" si="452"/>
        <v>0</v>
      </c>
      <c r="BW1118">
        <f t="shared" si="453"/>
        <v>0</v>
      </c>
      <c r="CA1118" t="str">
        <f>IF(919&gt;ROWS(DGArchive[模组]),"",IF(INDEX(DGArchive[模组],919)="","",INDEX(DGArchive[模组],919)))</f>
        <v/>
      </c>
      <c r="CB1118" t="str">
        <f>IF(919&gt;ROWS(DGArchive[阶段]),"",IF(INDEX(DGArchive[阶段],919)="","",INDEX(DGArchive[阶段],919)))</f>
        <v/>
      </c>
      <c r="CC1118" t="str">
        <f>IF(919&gt;ROWS(DGArchive[游戏内日期]),"",IF(INDEX(DGArchive[游戏内日期],919)="","",INDEX(DGArchive[游戏内日期],919)))</f>
        <v/>
      </c>
      <c r="CD1118" t="str">
        <f>IF(919&gt;ROWS(DGArchive[目标]),"",IF(INDEX(DGArchive[目标],919)="","",INDEX(DGArchive[目标],919)))</f>
        <v/>
      </c>
      <c r="CE1118" t="str">
        <f>IF(919&gt;ROWS(DGArchive[变更前]),"",IF(INDEX(DGArchive[变更前],919)="","",INDEX(DGArchive[变更前],919)))</f>
        <v/>
      </c>
      <c r="CF1118" t="str">
        <f>IF(919&gt;ROWS(DGArchive[增减]),"",IF(INDEX(DGArchive[增减],919)="","",INDEX(DGArchive[增减],919)))</f>
        <v/>
      </c>
      <c r="CG1118" t="str">
        <f>IF(919&gt;ROWS(DGArchive[变更后]),"",IF(INDEX(DGArchive[变更后],919)="","",INDEX(DGArchive[变更后],919)))</f>
        <v/>
      </c>
      <c r="CH1118" t="str">
        <f>IF(919&gt;ROWS(DGArchive[事件／活动]),"",IF(INDEX(DGArchive[事件／活动],919)="","",INDEX(DGArchive[事件／活动],919)))</f>
        <v/>
      </c>
      <c r="CI1118" t="str">
        <f>IF(919&gt;ROWS(DGArchive[记录编号]),"",IF(INDEX(DGArchive[记录编号],919)="","",INDEX(DGArchive[记录编号],919)))</f>
        <v/>
      </c>
      <c r="CL1118">
        <f t="shared" si="434"/>
        <v>0</v>
      </c>
      <c r="CM1118">
        <f>IF(AND(A1118=$AO$5,B1118=$AQ$3,H1118=1),COUNTIFS($A$200:A1118,$AO$5,$B$200:B1118,$AQ$3,$H$200:H1118,1),0)</f>
        <v>0</v>
      </c>
      <c r="CN1118">
        <f>IF(CA1118="",919,1001)</f>
        <v>919</v>
      </c>
      <c r="GA1118">
        <f t="shared" si="454"/>
        <v>0</v>
      </c>
      <c r="GB1118">
        <f t="shared" si="455"/>
        <v>0</v>
      </c>
      <c r="GC1118">
        <f>IF(AND(C1118="事件记录",H1118=1),COUNTIFS($C$200:C1118,"事件记录",$H$200:H1118,1),0)</f>
        <v>0</v>
      </c>
      <c r="GD1118">
        <f t="shared" si="435"/>
        <v>0</v>
      </c>
      <c r="GH1118">
        <f>IF(AND(H1118=1,A1118=$GA$10,B1118=$GA$11),COUNTIFS($A$200:A1118,$GA$10,$B$200:B1118,$GA$11,$H$200:H1118,1),0)</f>
        <v>0</v>
      </c>
    </row>
    <row r="1119" spans="1:190">
      <c r="A1119" t="str">
        <f t="shared" si="426"/>
        <v/>
      </c>
      <c r="B1119" t="str">
        <f t="shared" si="427"/>
        <v/>
      </c>
      <c r="C1119" t="str">
        <f t="shared" si="428"/>
        <v/>
      </c>
      <c r="D1119" t="str">
        <f t="shared" si="429"/>
        <v/>
      </c>
      <c r="E1119">
        <f t="shared" si="430"/>
        <v>0</v>
      </c>
      <c r="F1119" t="str">
        <f t="shared" si="431"/>
        <v/>
      </c>
      <c r="G1119">
        <f t="shared" si="432"/>
        <v>0</v>
      </c>
      <c r="H1119">
        <f>IF(AND(G1119=1,COUNTIFS($I$200:I1119,I1119,$G$200:G1119,1)=1),1,0)</f>
        <v>0</v>
      </c>
      <c r="I1119" t="str">
        <f t="shared" si="433"/>
        <v/>
      </c>
      <c r="BF1119">
        <f t="shared" si="436"/>
        <v>0</v>
      </c>
      <c r="BG1119">
        <f t="shared" si="437"/>
        <v>0</v>
      </c>
      <c r="BH1119">
        <f t="shared" si="438"/>
        <v>0</v>
      </c>
      <c r="BI1119">
        <f t="shared" si="439"/>
        <v>0</v>
      </c>
      <c r="BJ1119">
        <f t="shared" si="440"/>
        <v>0</v>
      </c>
      <c r="BK1119">
        <f t="shared" si="441"/>
        <v>0</v>
      </c>
      <c r="BL1119">
        <f t="shared" si="442"/>
        <v>0</v>
      </c>
      <c r="BM1119">
        <f t="shared" si="443"/>
        <v>0</v>
      </c>
      <c r="BN1119">
        <f t="shared" si="444"/>
        <v>0</v>
      </c>
      <c r="BO1119">
        <f t="shared" si="445"/>
        <v>0</v>
      </c>
      <c r="BP1119">
        <f t="shared" si="446"/>
        <v>0</v>
      </c>
      <c r="BQ1119">
        <f t="shared" si="447"/>
        <v>0</v>
      </c>
      <c r="BR1119">
        <f t="shared" si="448"/>
        <v>0</v>
      </c>
      <c r="BS1119">
        <f t="shared" si="449"/>
        <v>0</v>
      </c>
      <c r="BT1119">
        <f t="shared" si="450"/>
        <v>0</v>
      </c>
      <c r="BU1119">
        <f t="shared" si="451"/>
        <v>0</v>
      </c>
      <c r="BV1119">
        <f t="shared" si="452"/>
        <v>0</v>
      </c>
      <c r="BW1119">
        <f t="shared" si="453"/>
        <v>0</v>
      </c>
      <c r="CA1119" t="str">
        <f>IF(920&gt;ROWS(DGArchive[模组]),"",IF(INDEX(DGArchive[模组],920)="","",INDEX(DGArchive[模组],920)))</f>
        <v/>
      </c>
      <c r="CB1119" t="str">
        <f>IF(920&gt;ROWS(DGArchive[阶段]),"",IF(INDEX(DGArchive[阶段],920)="","",INDEX(DGArchive[阶段],920)))</f>
        <v/>
      </c>
      <c r="CC1119" t="str">
        <f>IF(920&gt;ROWS(DGArchive[游戏内日期]),"",IF(INDEX(DGArchive[游戏内日期],920)="","",INDEX(DGArchive[游戏内日期],920)))</f>
        <v/>
      </c>
      <c r="CD1119" t="str">
        <f>IF(920&gt;ROWS(DGArchive[目标]),"",IF(INDEX(DGArchive[目标],920)="","",INDEX(DGArchive[目标],920)))</f>
        <v/>
      </c>
      <c r="CE1119" t="str">
        <f>IF(920&gt;ROWS(DGArchive[变更前]),"",IF(INDEX(DGArchive[变更前],920)="","",INDEX(DGArchive[变更前],920)))</f>
        <v/>
      </c>
      <c r="CF1119" t="str">
        <f>IF(920&gt;ROWS(DGArchive[增减]),"",IF(INDEX(DGArchive[增减],920)="","",INDEX(DGArchive[增减],920)))</f>
        <v/>
      </c>
      <c r="CG1119" t="str">
        <f>IF(920&gt;ROWS(DGArchive[变更后]),"",IF(INDEX(DGArchive[变更后],920)="","",INDEX(DGArchive[变更后],920)))</f>
        <v/>
      </c>
      <c r="CH1119" t="str">
        <f>IF(920&gt;ROWS(DGArchive[事件／活动]),"",IF(INDEX(DGArchive[事件／活动],920)="","",INDEX(DGArchive[事件／活动],920)))</f>
        <v/>
      </c>
      <c r="CI1119" t="str">
        <f>IF(920&gt;ROWS(DGArchive[记录编号]),"",IF(INDEX(DGArchive[记录编号],920)="","",INDEX(DGArchive[记录编号],920)))</f>
        <v/>
      </c>
      <c r="CL1119">
        <f t="shared" si="434"/>
        <v>0</v>
      </c>
      <c r="CM1119">
        <f>IF(AND(A1119=$AO$5,B1119=$AQ$3,H1119=1),COUNTIFS($A$200:A1119,$AO$5,$B$200:B1119,$AQ$3,$H$200:H1119,1),0)</f>
        <v>0</v>
      </c>
      <c r="CN1119">
        <f>IF(CA1119="",920,1001)</f>
        <v>920</v>
      </c>
      <c r="GA1119">
        <f t="shared" si="454"/>
        <v>0</v>
      </c>
      <c r="GB1119">
        <f t="shared" si="455"/>
        <v>0</v>
      </c>
      <c r="GC1119">
        <f>IF(AND(C1119="事件记录",H1119=1),COUNTIFS($C$200:C1119,"事件记录",$H$200:H1119,1),0)</f>
        <v>0</v>
      </c>
      <c r="GD1119">
        <f t="shared" si="435"/>
        <v>0</v>
      </c>
      <c r="GH1119">
        <f>IF(AND(H1119=1,A1119=$GA$10,B1119=$GA$11),COUNTIFS($A$200:A1119,$GA$10,$B$200:B1119,$GA$11,$H$200:H1119,1),0)</f>
        <v>0</v>
      </c>
    </row>
    <row r="1120" spans="1:190">
      <c r="A1120" t="str">
        <f t="shared" si="426"/>
        <v/>
      </c>
      <c r="B1120" t="str">
        <f t="shared" si="427"/>
        <v/>
      </c>
      <c r="C1120" t="str">
        <f t="shared" si="428"/>
        <v/>
      </c>
      <c r="D1120" t="str">
        <f t="shared" si="429"/>
        <v/>
      </c>
      <c r="E1120">
        <f t="shared" si="430"/>
        <v>0</v>
      </c>
      <c r="F1120" t="str">
        <f t="shared" si="431"/>
        <v/>
      </c>
      <c r="G1120">
        <f t="shared" si="432"/>
        <v>0</v>
      </c>
      <c r="H1120">
        <f>IF(AND(G1120=1,COUNTIFS($I$200:I1120,I1120,$G$200:G1120,1)=1),1,0)</f>
        <v>0</v>
      </c>
      <c r="I1120" t="str">
        <f t="shared" si="433"/>
        <v/>
      </c>
      <c r="BF1120">
        <f t="shared" si="436"/>
        <v>0</v>
      </c>
      <c r="BG1120">
        <f t="shared" si="437"/>
        <v>0</v>
      </c>
      <c r="BH1120">
        <f t="shared" si="438"/>
        <v>0</v>
      </c>
      <c r="BI1120">
        <f t="shared" si="439"/>
        <v>0</v>
      </c>
      <c r="BJ1120">
        <f t="shared" si="440"/>
        <v>0</v>
      </c>
      <c r="BK1120">
        <f t="shared" si="441"/>
        <v>0</v>
      </c>
      <c r="BL1120">
        <f t="shared" si="442"/>
        <v>0</v>
      </c>
      <c r="BM1120">
        <f t="shared" si="443"/>
        <v>0</v>
      </c>
      <c r="BN1120">
        <f t="shared" si="444"/>
        <v>0</v>
      </c>
      <c r="BO1120">
        <f t="shared" si="445"/>
        <v>0</v>
      </c>
      <c r="BP1120">
        <f t="shared" si="446"/>
        <v>0</v>
      </c>
      <c r="BQ1120">
        <f t="shared" si="447"/>
        <v>0</v>
      </c>
      <c r="BR1120">
        <f t="shared" si="448"/>
        <v>0</v>
      </c>
      <c r="BS1120">
        <f t="shared" si="449"/>
        <v>0</v>
      </c>
      <c r="BT1120">
        <f t="shared" si="450"/>
        <v>0</v>
      </c>
      <c r="BU1120">
        <f t="shared" si="451"/>
        <v>0</v>
      </c>
      <c r="BV1120">
        <f t="shared" si="452"/>
        <v>0</v>
      </c>
      <c r="BW1120">
        <f t="shared" si="453"/>
        <v>0</v>
      </c>
      <c r="CA1120" t="str">
        <f>IF(921&gt;ROWS(DGArchive[模组]),"",IF(INDEX(DGArchive[模组],921)="","",INDEX(DGArchive[模组],921)))</f>
        <v/>
      </c>
      <c r="CB1120" t="str">
        <f>IF(921&gt;ROWS(DGArchive[阶段]),"",IF(INDEX(DGArchive[阶段],921)="","",INDEX(DGArchive[阶段],921)))</f>
        <v/>
      </c>
      <c r="CC1120" t="str">
        <f>IF(921&gt;ROWS(DGArchive[游戏内日期]),"",IF(INDEX(DGArchive[游戏内日期],921)="","",INDEX(DGArchive[游戏内日期],921)))</f>
        <v/>
      </c>
      <c r="CD1120" t="str">
        <f>IF(921&gt;ROWS(DGArchive[目标]),"",IF(INDEX(DGArchive[目标],921)="","",INDEX(DGArchive[目标],921)))</f>
        <v/>
      </c>
      <c r="CE1120" t="str">
        <f>IF(921&gt;ROWS(DGArchive[变更前]),"",IF(INDEX(DGArchive[变更前],921)="","",INDEX(DGArchive[变更前],921)))</f>
        <v/>
      </c>
      <c r="CF1120" t="str">
        <f>IF(921&gt;ROWS(DGArchive[增减]),"",IF(INDEX(DGArchive[增减],921)="","",INDEX(DGArchive[增减],921)))</f>
        <v/>
      </c>
      <c r="CG1120" t="str">
        <f>IF(921&gt;ROWS(DGArchive[变更后]),"",IF(INDEX(DGArchive[变更后],921)="","",INDEX(DGArchive[变更后],921)))</f>
        <v/>
      </c>
      <c r="CH1120" t="str">
        <f>IF(921&gt;ROWS(DGArchive[事件／活动]),"",IF(INDEX(DGArchive[事件／活动],921)="","",INDEX(DGArchive[事件／活动],921)))</f>
        <v/>
      </c>
      <c r="CI1120" t="str">
        <f>IF(921&gt;ROWS(DGArchive[记录编号]),"",IF(INDEX(DGArchive[记录编号],921)="","",INDEX(DGArchive[记录编号],921)))</f>
        <v/>
      </c>
      <c r="CL1120">
        <f t="shared" si="434"/>
        <v>0</v>
      </c>
      <c r="CM1120">
        <f>IF(AND(A1120=$AO$5,B1120=$AQ$3,H1120=1),COUNTIFS($A$200:A1120,$AO$5,$B$200:B1120,$AQ$3,$H$200:H1120,1),0)</f>
        <v>0</v>
      </c>
      <c r="CN1120">
        <f>IF(CA1120="",921,1001)</f>
        <v>921</v>
      </c>
      <c r="GA1120">
        <f t="shared" si="454"/>
        <v>0</v>
      </c>
      <c r="GB1120">
        <f t="shared" si="455"/>
        <v>0</v>
      </c>
      <c r="GC1120">
        <f>IF(AND(C1120="事件记录",H1120=1),COUNTIFS($C$200:C1120,"事件记录",$H$200:H1120,1),0)</f>
        <v>0</v>
      </c>
      <c r="GD1120">
        <f t="shared" si="435"/>
        <v>0</v>
      </c>
      <c r="GH1120">
        <f>IF(AND(H1120=1,A1120=$GA$10,B1120=$GA$11),COUNTIFS($A$200:A1120,$GA$10,$B$200:B1120,$GA$11,$H$200:H1120,1),0)</f>
        <v>0</v>
      </c>
    </row>
    <row r="1121" spans="1:190">
      <c r="A1121" t="str">
        <f t="shared" si="426"/>
        <v/>
      </c>
      <c r="B1121" t="str">
        <f t="shared" si="427"/>
        <v/>
      </c>
      <c r="C1121" t="str">
        <f t="shared" si="428"/>
        <v/>
      </c>
      <c r="D1121" t="str">
        <f t="shared" si="429"/>
        <v/>
      </c>
      <c r="E1121">
        <f t="shared" si="430"/>
        <v>0</v>
      </c>
      <c r="F1121" t="str">
        <f t="shared" si="431"/>
        <v/>
      </c>
      <c r="G1121">
        <f t="shared" si="432"/>
        <v>0</v>
      </c>
      <c r="H1121">
        <f>IF(AND(G1121=1,COUNTIFS($I$200:I1121,I1121,$G$200:G1121,1)=1),1,0)</f>
        <v>0</v>
      </c>
      <c r="I1121" t="str">
        <f t="shared" si="433"/>
        <v/>
      </c>
      <c r="BF1121">
        <f t="shared" si="436"/>
        <v>0</v>
      </c>
      <c r="BG1121">
        <f t="shared" si="437"/>
        <v>0</v>
      </c>
      <c r="BH1121">
        <f t="shared" si="438"/>
        <v>0</v>
      </c>
      <c r="BI1121">
        <f t="shared" si="439"/>
        <v>0</v>
      </c>
      <c r="BJ1121">
        <f t="shared" si="440"/>
        <v>0</v>
      </c>
      <c r="BK1121">
        <f t="shared" si="441"/>
        <v>0</v>
      </c>
      <c r="BL1121">
        <f t="shared" si="442"/>
        <v>0</v>
      </c>
      <c r="BM1121">
        <f t="shared" si="443"/>
        <v>0</v>
      </c>
      <c r="BN1121">
        <f t="shared" si="444"/>
        <v>0</v>
      </c>
      <c r="BO1121">
        <f t="shared" si="445"/>
        <v>0</v>
      </c>
      <c r="BP1121">
        <f t="shared" si="446"/>
        <v>0</v>
      </c>
      <c r="BQ1121">
        <f t="shared" si="447"/>
        <v>0</v>
      </c>
      <c r="BR1121">
        <f t="shared" si="448"/>
        <v>0</v>
      </c>
      <c r="BS1121">
        <f t="shared" si="449"/>
        <v>0</v>
      </c>
      <c r="BT1121">
        <f t="shared" si="450"/>
        <v>0</v>
      </c>
      <c r="BU1121">
        <f t="shared" si="451"/>
        <v>0</v>
      </c>
      <c r="BV1121">
        <f t="shared" si="452"/>
        <v>0</v>
      </c>
      <c r="BW1121">
        <f t="shared" si="453"/>
        <v>0</v>
      </c>
      <c r="CA1121" t="str">
        <f>IF(922&gt;ROWS(DGArchive[模组]),"",IF(INDEX(DGArchive[模组],922)="","",INDEX(DGArchive[模组],922)))</f>
        <v/>
      </c>
      <c r="CB1121" t="str">
        <f>IF(922&gt;ROWS(DGArchive[阶段]),"",IF(INDEX(DGArchive[阶段],922)="","",INDEX(DGArchive[阶段],922)))</f>
        <v/>
      </c>
      <c r="CC1121" t="str">
        <f>IF(922&gt;ROWS(DGArchive[游戏内日期]),"",IF(INDEX(DGArchive[游戏内日期],922)="","",INDEX(DGArchive[游戏内日期],922)))</f>
        <v/>
      </c>
      <c r="CD1121" t="str">
        <f>IF(922&gt;ROWS(DGArchive[目标]),"",IF(INDEX(DGArchive[目标],922)="","",INDEX(DGArchive[目标],922)))</f>
        <v/>
      </c>
      <c r="CE1121" t="str">
        <f>IF(922&gt;ROWS(DGArchive[变更前]),"",IF(INDEX(DGArchive[变更前],922)="","",INDEX(DGArchive[变更前],922)))</f>
        <v/>
      </c>
      <c r="CF1121" t="str">
        <f>IF(922&gt;ROWS(DGArchive[增减]),"",IF(INDEX(DGArchive[增减],922)="","",INDEX(DGArchive[增减],922)))</f>
        <v/>
      </c>
      <c r="CG1121" t="str">
        <f>IF(922&gt;ROWS(DGArchive[变更后]),"",IF(INDEX(DGArchive[变更后],922)="","",INDEX(DGArchive[变更后],922)))</f>
        <v/>
      </c>
      <c r="CH1121" t="str">
        <f>IF(922&gt;ROWS(DGArchive[事件／活动]),"",IF(INDEX(DGArchive[事件／活动],922)="","",INDEX(DGArchive[事件／活动],922)))</f>
        <v/>
      </c>
      <c r="CI1121" t="str">
        <f>IF(922&gt;ROWS(DGArchive[记录编号]),"",IF(INDEX(DGArchive[记录编号],922)="","",INDEX(DGArchive[记录编号],922)))</f>
        <v/>
      </c>
      <c r="CL1121">
        <f t="shared" si="434"/>
        <v>0</v>
      </c>
      <c r="CM1121">
        <f>IF(AND(A1121=$AO$5,B1121=$AQ$3,H1121=1),COUNTIFS($A$200:A1121,$AO$5,$B$200:B1121,$AQ$3,$H$200:H1121,1),0)</f>
        <v>0</v>
      </c>
      <c r="CN1121">
        <f>IF(CA1121="",922,1001)</f>
        <v>922</v>
      </c>
      <c r="GA1121">
        <f t="shared" si="454"/>
        <v>0</v>
      </c>
      <c r="GB1121">
        <f t="shared" si="455"/>
        <v>0</v>
      </c>
      <c r="GC1121">
        <f>IF(AND(C1121="事件记录",H1121=1),COUNTIFS($C$200:C1121,"事件记录",$H$200:H1121,1),0)</f>
        <v>0</v>
      </c>
      <c r="GD1121">
        <f t="shared" si="435"/>
        <v>0</v>
      </c>
      <c r="GH1121">
        <f>IF(AND(H1121=1,A1121=$GA$10,B1121=$GA$11),COUNTIFS($A$200:A1121,$GA$10,$B$200:B1121,$GA$11,$H$200:H1121,1),0)</f>
        <v>0</v>
      </c>
    </row>
    <row r="1122" spans="1:190">
      <c r="A1122" t="str">
        <f t="shared" si="426"/>
        <v/>
      </c>
      <c r="B1122" t="str">
        <f t="shared" si="427"/>
        <v/>
      </c>
      <c r="C1122" t="str">
        <f t="shared" si="428"/>
        <v/>
      </c>
      <c r="D1122" t="str">
        <f t="shared" si="429"/>
        <v/>
      </c>
      <c r="E1122">
        <f t="shared" si="430"/>
        <v>0</v>
      </c>
      <c r="F1122" t="str">
        <f t="shared" si="431"/>
        <v/>
      </c>
      <c r="G1122">
        <f t="shared" si="432"/>
        <v>0</v>
      </c>
      <c r="H1122">
        <f>IF(AND(G1122=1,COUNTIFS($I$200:I1122,I1122,$G$200:G1122,1)=1),1,0)</f>
        <v>0</v>
      </c>
      <c r="I1122" t="str">
        <f t="shared" si="433"/>
        <v/>
      </c>
      <c r="BF1122">
        <f t="shared" si="436"/>
        <v>0</v>
      </c>
      <c r="BG1122">
        <f t="shared" si="437"/>
        <v>0</v>
      </c>
      <c r="BH1122">
        <f t="shared" si="438"/>
        <v>0</v>
      </c>
      <c r="BI1122">
        <f t="shared" si="439"/>
        <v>0</v>
      </c>
      <c r="BJ1122">
        <f t="shared" si="440"/>
        <v>0</v>
      </c>
      <c r="BK1122">
        <f t="shared" si="441"/>
        <v>0</v>
      </c>
      <c r="BL1122">
        <f t="shared" si="442"/>
        <v>0</v>
      </c>
      <c r="BM1122">
        <f t="shared" si="443"/>
        <v>0</v>
      </c>
      <c r="BN1122">
        <f t="shared" si="444"/>
        <v>0</v>
      </c>
      <c r="BO1122">
        <f t="shared" si="445"/>
        <v>0</v>
      </c>
      <c r="BP1122">
        <f t="shared" si="446"/>
        <v>0</v>
      </c>
      <c r="BQ1122">
        <f t="shared" si="447"/>
        <v>0</v>
      </c>
      <c r="BR1122">
        <f t="shared" si="448"/>
        <v>0</v>
      </c>
      <c r="BS1122">
        <f t="shared" si="449"/>
        <v>0</v>
      </c>
      <c r="BT1122">
        <f t="shared" si="450"/>
        <v>0</v>
      </c>
      <c r="BU1122">
        <f t="shared" si="451"/>
        <v>0</v>
      </c>
      <c r="BV1122">
        <f t="shared" si="452"/>
        <v>0</v>
      </c>
      <c r="BW1122">
        <f t="shared" si="453"/>
        <v>0</v>
      </c>
      <c r="CA1122" t="str">
        <f>IF(923&gt;ROWS(DGArchive[模组]),"",IF(INDEX(DGArchive[模组],923)="","",INDEX(DGArchive[模组],923)))</f>
        <v/>
      </c>
      <c r="CB1122" t="str">
        <f>IF(923&gt;ROWS(DGArchive[阶段]),"",IF(INDEX(DGArchive[阶段],923)="","",INDEX(DGArchive[阶段],923)))</f>
        <v/>
      </c>
      <c r="CC1122" t="str">
        <f>IF(923&gt;ROWS(DGArchive[游戏内日期]),"",IF(INDEX(DGArchive[游戏内日期],923)="","",INDEX(DGArchive[游戏内日期],923)))</f>
        <v/>
      </c>
      <c r="CD1122" t="str">
        <f>IF(923&gt;ROWS(DGArchive[目标]),"",IF(INDEX(DGArchive[目标],923)="","",INDEX(DGArchive[目标],923)))</f>
        <v/>
      </c>
      <c r="CE1122" t="str">
        <f>IF(923&gt;ROWS(DGArchive[变更前]),"",IF(INDEX(DGArchive[变更前],923)="","",INDEX(DGArchive[变更前],923)))</f>
        <v/>
      </c>
      <c r="CF1122" t="str">
        <f>IF(923&gt;ROWS(DGArchive[增减]),"",IF(INDEX(DGArchive[增减],923)="","",INDEX(DGArchive[增减],923)))</f>
        <v/>
      </c>
      <c r="CG1122" t="str">
        <f>IF(923&gt;ROWS(DGArchive[变更后]),"",IF(INDEX(DGArchive[变更后],923)="","",INDEX(DGArchive[变更后],923)))</f>
        <v/>
      </c>
      <c r="CH1122" t="str">
        <f>IF(923&gt;ROWS(DGArchive[事件／活动]),"",IF(INDEX(DGArchive[事件／活动],923)="","",INDEX(DGArchive[事件／活动],923)))</f>
        <v/>
      </c>
      <c r="CI1122" t="str">
        <f>IF(923&gt;ROWS(DGArchive[记录编号]),"",IF(INDEX(DGArchive[记录编号],923)="","",INDEX(DGArchive[记录编号],923)))</f>
        <v/>
      </c>
      <c r="CL1122">
        <f t="shared" si="434"/>
        <v>0</v>
      </c>
      <c r="CM1122">
        <f>IF(AND(A1122=$AO$5,B1122=$AQ$3,H1122=1),COUNTIFS($A$200:A1122,$AO$5,$B$200:B1122,$AQ$3,$H$200:H1122,1),0)</f>
        <v>0</v>
      </c>
      <c r="CN1122">
        <f>IF(CA1122="",923,1001)</f>
        <v>923</v>
      </c>
      <c r="GA1122">
        <f t="shared" si="454"/>
        <v>0</v>
      </c>
      <c r="GB1122">
        <f t="shared" si="455"/>
        <v>0</v>
      </c>
      <c r="GC1122">
        <f>IF(AND(C1122="事件记录",H1122=1),COUNTIFS($C$200:C1122,"事件记录",$H$200:H1122,1),0)</f>
        <v>0</v>
      </c>
      <c r="GD1122">
        <f t="shared" si="435"/>
        <v>0</v>
      </c>
      <c r="GH1122">
        <f>IF(AND(H1122=1,A1122=$GA$10,B1122=$GA$11),COUNTIFS($A$200:A1122,$GA$10,$B$200:B1122,$GA$11,$H$200:H1122,1),0)</f>
        <v>0</v>
      </c>
    </row>
    <row r="1123" spans="1:190">
      <c r="A1123" t="str">
        <f t="shared" si="426"/>
        <v/>
      </c>
      <c r="B1123" t="str">
        <f t="shared" si="427"/>
        <v/>
      </c>
      <c r="C1123" t="str">
        <f t="shared" si="428"/>
        <v/>
      </c>
      <c r="D1123" t="str">
        <f t="shared" si="429"/>
        <v/>
      </c>
      <c r="E1123">
        <f t="shared" si="430"/>
        <v>0</v>
      </c>
      <c r="F1123" t="str">
        <f t="shared" si="431"/>
        <v/>
      </c>
      <c r="G1123">
        <f t="shared" si="432"/>
        <v>0</v>
      </c>
      <c r="H1123">
        <f>IF(AND(G1123=1,COUNTIFS($I$200:I1123,I1123,$G$200:G1123,1)=1),1,0)</f>
        <v>0</v>
      </c>
      <c r="I1123" t="str">
        <f t="shared" si="433"/>
        <v/>
      </c>
      <c r="BF1123">
        <f t="shared" si="436"/>
        <v>0</v>
      </c>
      <c r="BG1123">
        <f t="shared" si="437"/>
        <v>0</v>
      </c>
      <c r="BH1123">
        <f t="shared" si="438"/>
        <v>0</v>
      </c>
      <c r="BI1123">
        <f t="shared" si="439"/>
        <v>0</v>
      </c>
      <c r="BJ1123">
        <f t="shared" si="440"/>
        <v>0</v>
      </c>
      <c r="BK1123">
        <f t="shared" si="441"/>
        <v>0</v>
      </c>
      <c r="BL1123">
        <f t="shared" si="442"/>
        <v>0</v>
      </c>
      <c r="BM1123">
        <f t="shared" si="443"/>
        <v>0</v>
      </c>
      <c r="BN1123">
        <f t="shared" si="444"/>
        <v>0</v>
      </c>
      <c r="BO1123">
        <f t="shared" si="445"/>
        <v>0</v>
      </c>
      <c r="BP1123">
        <f t="shared" si="446"/>
        <v>0</v>
      </c>
      <c r="BQ1123">
        <f t="shared" si="447"/>
        <v>0</v>
      </c>
      <c r="BR1123">
        <f t="shared" si="448"/>
        <v>0</v>
      </c>
      <c r="BS1123">
        <f t="shared" si="449"/>
        <v>0</v>
      </c>
      <c r="BT1123">
        <f t="shared" si="450"/>
        <v>0</v>
      </c>
      <c r="BU1123">
        <f t="shared" si="451"/>
        <v>0</v>
      </c>
      <c r="BV1123">
        <f t="shared" si="452"/>
        <v>0</v>
      </c>
      <c r="BW1123">
        <f t="shared" si="453"/>
        <v>0</v>
      </c>
      <c r="CA1123" t="str">
        <f>IF(924&gt;ROWS(DGArchive[模组]),"",IF(INDEX(DGArchive[模组],924)="","",INDEX(DGArchive[模组],924)))</f>
        <v/>
      </c>
      <c r="CB1123" t="str">
        <f>IF(924&gt;ROWS(DGArchive[阶段]),"",IF(INDEX(DGArchive[阶段],924)="","",INDEX(DGArchive[阶段],924)))</f>
        <v/>
      </c>
      <c r="CC1123" t="str">
        <f>IF(924&gt;ROWS(DGArchive[游戏内日期]),"",IF(INDEX(DGArchive[游戏内日期],924)="","",INDEX(DGArchive[游戏内日期],924)))</f>
        <v/>
      </c>
      <c r="CD1123" t="str">
        <f>IF(924&gt;ROWS(DGArchive[目标]),"",IF(INDEX(DGArchive[目标],924)="","",INDEX(DGArchive[目标],924)))</f>
        <v/>
      </c>
      <c r="CE1123" t="str">
        <f>IF(924&gt;ROWS(DGArchive[变更前]),"",IF(INDEX(DGArchive[变更前],924)="","",INDEX(DGArchive[变更前],924)))</f>
        <v/>
      </c>
      <c r="CF1123" t="str">
        <f>IF(924&gt;ROWS(DGArchive[增减]),"",IF(INDEX(DGArchive[增减],924)="","",INDEX(DGArchive[增减],924)))</f>
        <v/>
      </c>
      <c r="CG1123" t="str">
        <f>IF(924&gt;ROWS(DGArchive[变更后]),"",IF(INDEX(DGArchive[变更后],924)="","",INDEX(DGArchive[变更后],924)))</f>
        <v/>
      </c>
      <c r="CH1123" t="str">
        <f>IF(924&gt;ROWS(DGArchive[事件／活动]),"",IF(INDEX(DGArchive[事件／活动],924)="","",INDEX(DGArchive[事件／活动],924)))</f>
        <v/>
      </c>
      <c r="CI1123" t="str">
        <f>IF(924&gt;ROWS(DGArchive[记录编号]),"",IF(INDEX(DGArchive[记录编号],924)="","",INDEX(DGArchive[记录编号],924)))</f>
        <v/>
      </c>
      <c r="CL1123">
        <f t="shared" si="434"/>
        <v>0</v>
      </c>
      <c r="CM1123">
        <f>IF(AND(A1123=$AO$5,B1123=$AQ$3,H1123=1),COUNTIFS($A$200:A1123,$AO$5,$B$200:B1123,$AQ$3,$H$200:H1123,1),0)</f>
        <v>0</v>
      </c>
      <c r="CN1123">
        <f>IF(CA1123="",924,1001)</f>
        <v>924</v>
      </c>
      <c r="GA1123">
        <f t="shared" si="454"/>
        <v>0</v>
      </c>
      <c r="GB1123">
        <f t="shared" si="455"/>
        <v>0</v>
      </c>
      <c r="GC1123">
        <f>IF(AND(C1123="事件记录",H1123=1),COUNTIFS($C$200:C1123,"事件记录",$H$200:H1123,1),0)</f>
        <v>0</v>
      </c>
      <c r="GD1123">
        <f t="shared" si="435"/>
        <v>0</v>
      </c>
      <c r="GH1123">
        <f>IF(AND(H1123=1,A1123=$GA$10,B1123=$GA$11),COUNTIFS($A$200:A1123,$GA$10,$B$200:B1123,$GA$11,$H$200:H1123,1),0)</f>
        <v>0</v>
      </c>
    </row>
    <row r="1124" spans="1:190">
      <c r="A1124" t="str">
        <f t="shared" si="426"/>
        <v/>
      </c>
      <c r="B1124" t="str">
        <f t="shared" si="427"/>
        <v/>
      </c>
      <c r="C1124" t="str">
        <f t="shared" si="428"/>
        <v/>
      </c>
      <c r="D1124" t="str">
        <f t="shared" si="429"/>
        <v/>
      </c>
      <c r="E1124">
        <f t="shared" si="430"/>
        <v>0</v>
      </c>
      <c r="F1124" t="str">
        <f t="shared" si="431"/>
        <v/>
      </c>
      <c r="G1124">
        <f t="shared" si="432"/>
        <v>0</v>
      </c>
      <c r="H1124">
        <f>IF(AND(G1124=1,COUNTIFS($I$200:I1124,I1124,$G$200:G1124,1)=1),1,0)</f>
        <v>0</v>
      </c>
      <c r="I1124" t="str">
        <f t="shared" si="433"/>
        <v/>
      </c>
      <c r="BF1124">
        <f t="shared" si="436"/>
        <v>0</v>
      </c>
      <c r="BG1124">
        <f t="shared" si="437"/>
        <v>0</v>
      </c>
      <c r="BH1124">
        <f t="shared" si="438"/>
        <v>0</v>
      </c>
      <c r="BI1124">
        <f t="shared" si="439"/>
        <v>0</v>
      </c>
      <c r="BJ1124">
        <f t="shared" si="440"/>
        <v>0</v>
      </c>
      <c r="BK1124">
        <f t="shared" si="441"/>
        <v>0</v>
      </c>
      <c r="BL1124">
        <f t="shared" si="442"/>
        <v>0</v>
      </c>
      <c r="BM1124">
        <f t="shared" si="443"/>
        <v>0</v>
      </c>
      <c r="BN1124">
        <f t="shared" si="444"/>
        <v>0</v>
      </c>
      <c r="BO1124">
        <f t="shared" si="445"/>
        <v>0</v>
      </c>
      <c r="BP1124">
        <f t="shared" si="446"/>
        <v>0</v>
      </c>
      <c r="BQ1124">
        <f t="shared" si="447"/>
        <v>0</v>
      </c>
      <c r="BR1124">
        <f t="shared" si="448"/>
        <v>0</v>
      </c>
      <c r="BS1124">
        <f t="shared" si="449"/>
        <v>0</v>
      </c>
      <c r="BT1124">
        <f t="shared" si="450"/>
        <v>0</v>
      </c>
      <c r="BU1124">
        <f t="shared" si="451"/>
        <v>0</v>
      </c>
      <c r="BV1124">
        <f t="shared" si="452"/>
        <v>0</v>
      </c>
      <c r="BW1124">
        <f t="shared" si="453"/>
        <v>0</v>
      </c>
      <c r="CA1124" t="str">
        <f>IF(925&gt;ROWS(DGArchive[模组]),"",IF(INDEX(DGArchive[模组],925)="","",INDEX(DGArchive[模组],925)))</f>
        <v/>
      </c>
      <c r="CB1124" t="str">
        <f>IF(925&gt;ROWS(DGArchive[阶段]),"",IF(INDEX(DGArchive[阶段],925)="","",INDEX(DGArchive[阶段],925)))</f>
        <v/>
      </c>
      <c r="CC1124" t="str">
        <f>IF(925&gt;ROWS(DGArchive[游戏内日期]),"",IF(INDEX(DGArchive[游戏内日期],925)="","",INDEX(DGArchive[游戏内日期],925)))</f>
        <v/>
      </c>
      <c r="CD1124" t="str">
        <f>IF(925&gt;ROWS(DGArchive[目标]),"",IF(INDEX(DGArchive[目标],925)="","",INDEX(DGArchive[目标],925)))</f>
        <v/>
      </c>
      <c r="CE1124" t="str">
        <f>IF(925&gt;ROWS(DGArchive[变更前]),"",IF(INDEX(DGArchive[变更前],925)="","",INDEX(DGArchive[变更前],925)))</f>
        <v/>
      </c>
      <c r="CF1124" t="str">
        <f>IF(925&gt;ROWS(DGArchive[增减]),"",IF(INDEX(DGArchive[增减],925)="","",INDEX(DGArchive[增减],925)))</f>
        <v/>
      </c>
      <c r="CG1124" t="str">
        <f>IF(925&gt;ROWS(DGArchive[变更后]),"",IF(INDEX(DGArchive[变更后],925)="","",INDEX(DGArchive[变更后],925)))</f>
        <v/>
      </c>
      <c r="CH1124" t="str">
        <f>IF(925&gt;ROWS(DGArchive[事件／活动]),"",IF(INDEX(DGArchive[事件／活动],925)="","",INDEX(DGArchive[事件／活动],925)))</f>
        <v/>
      </c>
      <c r="CI1124" t="str">
        <f>IF(925&gt;ROWS(DGArchive[记录编号]),"",IF(INDEX(DGArchive[记录编号],925)="","",INDEX(DGArchive[记录编号],925)))</f>
        <v/>
      </c>
      <c r="CL1124">
        <f t="shared" si="434"/>
        <v>0</v>
      </c>
      <c r="CM1124">
        <f>IF(AND(A1124=$AO$5,B1124=$AQ$3,H1124=1),COUNTIFS($A$200:A1124,$AO$5,$B$200:B1124,$AQ$3,$H$200:H1124,1),0)</f>
        <v>0</v>
      </c>
      <c r="CN1124">
        <f>IF(CA1124="",925,1001)</f>
        <v>925</v>
      </c>
      <c r="GA1124">
        <f t="shared" si="454"/>
        <v>0</v>
      </c>
      <c r="GB1124">
        <f t="shared" si="455"/>
        <v>0</v>
      </c>
      <c r="GC1124">
        <f>IF(AND(C1124="事件记录",H1124=1),COUNTIFS($C$200:C1124,"事件记录",$H$200:H1124,1),0)</f>
        <v>0</v>
      </c>
      <c r="GD1124">
        <f t="shared" si="435"/>
        <v>0</v>
      </c>
      <c r="GH1124">
        <f>IF(AND(H1124=1,A1124=$GA$10,B1124=$GA$11),COUNTIFS($A$200:A1124,$GA$10,$B$200:B1124,$GA$11,$H$200:H1124,1),0)</f>
        <v>0</v>
      </c>
    </row>
    <row r="1125" spans="1:190">
      <c r="A1125" t="str">
        <f t="shared" si="426"/>
        <v/>
      </c>
      <c r="B1125" t="str">
        <f t="shared" si="427"/>
        <v/>
      </c>
      <c r="C1125" t="str">
        <f t="shared" si="428"/>
        <v/>
      </c>
      <c r="D1125" t="str">
        <f t="shared" si="429"/>
        <v/>
      </c>
      <c r="E1125">
        <f t="shared" si="430"/>
        <v>0</v>
      </c>
      <c r="F1125" t="str">
        <f t="shared" si="431"/>
        <v/>
      </c>
      <c r="G1125">
        <f t="shared" si="432"/>
        <v>0</v>
      </c>
      <c r="H1125">
        <f>IF(AND(G1125=1,COUNTIFS($I$200:I1125,I1125,$G$200:G1125,1)=1),1,0)</f>
        <v>0</v>
      </c>
      <c r="I1125" t="str">
        <f t="shared" si="433"/>
        <v/>
      </c>
      <c r="BF1125">
        <f t="shared" si="436"/>
        <v>0</v>
      </c>
      <c r="BG1125">
        <f t="shared" si="437"/>
        <v>0</v>
      </c>
      <c r="BH1125">
        <f t="shared" si="438"/>
        <v>0</v>
      </c>
      <c r="BI1125">
        <f t="shared" si="439"/>
        <v>0</v>
      </c>
      <c r="BJ1125">
        <f t="shared" si="440"/>
        <v>0</v>
      </c>
      <c r="BK1125">
        <f t="shared" si="441"/>
        <v>0</v>
      </c>
      <c r="BL1125">
        <f t="shared" si="442"/>
        <v>0</v>
      </c>
      <c r="BM1125">
        <f t="shared" si="443"/>
        <v>0</v>
      </c>
      <c r="BN1125">
        <f t="shared" si="444"/>
        <v>0</v>
      </c>
      <c r="BO1125">
        <f t="shared" si="445"/>
        <v>0</v>
      </c>
      <c r="BP1125">
        <f t="shared" si="446"/>
        <v>0</v>
      </c>
      <c r="BQ1125">
        <f t="shared" si="447"/>
        <v>0</v>
      </c>
      <c r="BR1125">
        <f t="shared" si="448"/>
        <v>0</v>
      </c>
      <c r="BS1125">
        <f t="shared" si="449"/>
        <v>0</v>
      </c>
      <c r="BT1125">
        <f t="shared" si="450"/>
        <v>0</v>
      </c>
      <c r="BU1125">
        <f t="shared" si="451"/>
        <v>0</v>
      </c>
      <c r="BV1125">
        <f t="shared" si="452"/>
        <v>0</v>
      </c>
      <c r="BW1125">
        <f t="shared" si="453"/>
        <v>0</v>
      </c>
      <c r="CA1125" t="str">
        <f>IF(926&gt;ROWS(DGArchive[模组]),"",IF(INDEX(DGArchive[模组],926)="","",INDEX(DGArchive[模组],926)))</f>
        <v/>
      </c>
      <c r="CB1125" t="str">
        <f>IF(926&gt;ROWS(DGArchive[阶段]),"",IF(INDEX(DGArchive[阶段],926)="","",INDEX(DGArchive[阶段],926)))</f>
        <v/>
      </c>
      <c r="CC1125" t="str">
        <f>IF(926&gt;ROWS(DGArchive[游戏内日期]),"",IF(INDEX(DGArchive[游戏内日期],926)="","",INDEX(DGArchive[游戏内日期],926)))</f>
        <v/>
      </c>
      <c r="CD1125" t="str">
        <f>IF(926&gt;ROWS(DGArchive[目标]),"",IF(INDEX(DGArchive[目标],926)="","",INDEX(DGArchive[目标],926)))</f>
        <v/>
      </c>
      <c r="CE1125" t="str">
        <f>IF(926&gt;ROWS(DGArchive[变更前]),"",IF(INDEX(DGArchive[变更前],926)="","",INDEX(DGArchive[变更前],926)))</f>
        <v/>
      </c>
      <c r="CF1125" t="str">
        <f>IF(926&gt;ROWS(DGArchive[增减]),"",IF(INDEX(DGArchive[增减],926)="","",INDEX(DGArchive[增减],926)))</f>
        <v/>
      </c>
      <c r="CG1125" t="str">
        <f>IF(926&gt;ROWS(DGArchive[变更后]),"",IF(INDEX(DGArchive[变更后],926)="","",INDEX(DGArchive[变更后],926)))</f>
        <v/>
      </c>
      <c r="CH1125" t="str">
        <f>IF(926&gt;ROWS(DGArchive[事件／活动]),"",IF(INDEX(DGArchive[事件／活动],926)="","",INDEX(DGArchive[事件／活动],926)))</f>
        <v/>
      </c>
      <c r="CI1125" t="str">
        <f>IF(926&gt;ROWS(DGArchive[记录编号]),"",IF(INDEX(DGArchive[记录编号],926)="","",INDEX(DGArchive[记录编号],926)))</f>
        <v/>
      </c>
      <c r="CL1125">
        <f t="shared" si="434"/>
        <v>0</v>
      </c>
      <c r="CM1125">
        <f>IF(AND(A1125=$AO$5,B1125=$AQ$3,H1125=1),COUNTIFS($A$200:A1125,$AO$5,$B$200:B1125,$AQ$3,$H$200:H1125,1),0)</f>
        <v>0</v>
      </c>
      <c r="CN1125">
        <f>IF(CA1125="",926,1001)</f>
        <v>926</v>
      </c>
      <c r="GA1125">
        <f t="shared" si="454"/>
        <v>0</v>
      </c>
      <c r="GB1125">
        <f t="shared" si="455"/>
        <v>0</v>
      </c>
      <c r="GC1125">
        <f>IF(AND(C1125="事件记录",H1125=1),COUNTIFS($C$200:C1125,"事件记录",$H$200:H1125,1),0)</f>
        <v>0</v>
      </c>
      <c r="GD1125">
        <f t="shared" si="435"/>
        <v>0</v>
      </c>
      <c r="GH1125">
        <f>IF(AND(H1125=1,A1125=$GA$10,B1125=$GA$11),COUNTIFS($A$200:A1125,$GA$10,$B$200:B1125,$GA$11,$H$200:H1125,1),0)</f>
        <v>0</v>
      </c>
    </row>
    <row r="1126" spans="1:190">
      <c r="A1126" t="str">
        <f t="shared" si="426"/>
        <v/>
      </c>
      <c r="B1126" t="str">
        <f t="shared" si="427"/>
        <v/>
      </c>
      <c r="C1126" t="str">
        <f t="shared" si="428"/>
        <v/>
      </c>
      <c r="D1126" t="str">
        <f t="shared" si="429"/>
        <v/>
      </c>
      <c r="E1126">
        <f t="shared" si="430"/>
        <v>0</v>
      </c>
      <c r="F1126" t="str">
        <f t="shared" si="431"/>
        <v/>
      </c>
      <c r="G1126">
        <f t="shared" si="432"/>
        <v>0</v>
      </c>
      <c r="H1126">
        <f>IF(AND(G1126=1,COUNTIFS($I$200:I1126,I1126,$G$200:G1126,1)=1),1,0)</f>
        <v>0</v>
      </c>
      <c r="I1126" t="str">
        <f t="shared" si="433"/>
        <v/>
      </c>
      <c r="BF1126">
        <f t="shared" si="436"/>
        <v>0</v>
      </c>
      <c r="BG1126">
        <f t="shared" si="437"/>
        <v>0</v>
      </c>
      <c r="BH1126">
        <f t="shared" si="438"/>
        <v>0</v>
      </c>
      <c r="BI1126">
        <f t="shared" si="439"/>
        <v>0</v>
      </c>
      <c r="BJ1126">
        <f t="shared" si="440"/>
        <v>0</v>
      </c>
      <c r="BK1126">
        <f t="shared" si="441"/>
        <v>0</v>
      </c>
      <c r="BL1126">
        <f t="shared" si="442"/>
        <v>0</v>
      </c>
      <c r="BM1126">
        <f t="shared" si="443"/>
        <v>0</v>
      </c>
      <c r="BN1126">
        <f t="shared" si="444"/>
        <v>0</v>
      </c>
      <c r="BO1126">
        <f t="shared" si="445"/>
        <v>0</v>
      </c>
      <c r="BP1126">
        <f t="shared" si="446"/>
        <v>0</v>
      </c>
      <c r="BQ1126">
        <f t="shared" si="447"/>
        <v>0</v>
      </c>
      <c r="BR1126">
        <f t="shared" si="448"/>
        <v>0</v>
      </c>
      <c r="BS1126">
        <f t="shared" si="449"/>
        <v>0</v>
      </c>
      <c r="BT1126">
        <f t="shared" si="450"/>
        <v>0</v>
      </c>
      <c r="BU1126">
        <f t="shared" si="451"/>
        <v>0</v>
      </c>
      <c r="BV1126">
        <f t="shared" si="452"/>
        <v>0</v>
      </c>
      <c r="BW1126">
        <f t="shared" si="453"/>
        <v>0</v>
      </c>
      <c r="CA1126" t="str">
        <f>IF(927&gt;ROWS(DGArchive[模组]),"",IF(INDEX(DGArchive[模组],927)="","",INDEX(DGArchive[模组],927)))</f>
        <v/>
      </c>
      <c r="CB1126" t="str">
        <f>IF(927&gt;ROWS(DGArchive[阶段]),"",IF(INDEX(DGArchive[阶段],927)="","",INDEX(DGArchive[阶段],927)))</f>
        <v/>
      </c>
      <c r="CC1126" t="str">
        <f>IF(927&gt;ROWS(DGArchive[游戏内日期]),"",IF(INDEX(DGArchive[游戏内日期],927)="","",INDEX(DGArchive[游戏内日期],927)))</f>
        <v/>
      </c>
      <c r="CD1126" t="str">
        <f>IF(927&gt;ROWS(DGArchive[目标]),"",IF(INDEX(DGArchive[目标],927)="","",INDEX(DGArchive[目标],927)))</f>
        <v/>
      </c>
      <c r="CE1126" t="str">
        <f>IF(927&gt;ROWS(DGArchive[变更前]),"",IF(INDEX(DGArchive[变更前],927)="","",INDEX(DGArchive[变更前],927)))</f>
        <v/>
      </c>
      <c r="CF1126" t="str">
        <f>IF(927&gt;ROWS(DGArchive[增减]),"",IF(INDEX(DGArchive[增减],927)="","",INDEX(DGArchive[增减],927)))</f>
        <v/>
      </c>
      <c r="CG1126" t="str">
        <f>IF(927&gt;ROWS(DGArchive[变更后]),"",IF(INDEX(DGArchive[变更后],927)="","",INDEX(DGArchive[变更后],927)))</f>
        <v/>
      </c>
      <c r="CH1126" t="str">
        <f>IF(927&gt;ROWS(DGArchive[事件／活动]),"",IF(INDEX(DGArchive[事件／活动],927)="","",INDEX(DGArchive[事件／活动],927)))</f>
        <v/>
      </c>
      <c r="CI1126" t="str">
        <f>IF(927&gt;ROWS(DGArchive[记录编号]),"",IF(INDEX(DGArchive[记录编号],927)="","",INDEX(DGArchive[记录编号],927)))</f>
        <v/>
      </c>
      <c r="CL1126">
        <f t="shared" si="434"/>
        <v>0</v>
      </c>
      <c r="CM1126">
        <f>IF(AND(A1126=$AO$5,B1126=$AQ$3,H1126=1),COUNTIFS($A$200:A1126,$AO$5,$B$200:B1126,$AQ$3,$H$200:H1126,1),0)</f>
        <v>0</v>
      </c>
      <c r="CN1126">
        <f>IF(CA1126="",927,1001)</f>
        <v>927</v>
      </c>
      <c r="GA1126">
        <f t="shared" si="454"/>
        <v>0</v>
      </c>
      <c r="GB1126">
        <f t="shared" si="455"/>
        <v>0</v>
      </c>
      <c r="GC1126">
        <f>IF(AND(C1126="事件记录",H1126=1),COUNTIFS($C$200:C1126,"事件记录",$H$200:H1126,1),0)</f>
        <v>0</v>
      </c>
      <c r="GD1126">
        <f t="shared" si="435"/>
        <v>0</v>
      </c>
      <c r="GH1126">
        <f>IF(AND(H1126=1,A1126=$GA$10,B1126=$GA$11),COUNTIFS($A$200:A1126,$GA$10,$B$200:B1126,$GA$11,$H$200:H1126,1),0)</f>
        <v>0</v>
      </c>
    </row>
    <row r="1127" spans="1:190">
      <c r="A1127" t="str">
        <f t="shared" si="426"/>
        <v/>
      </c>
      <c r="B1127" t="str">
        <f t="shared" si="427"/>
        <v/>
      </c>
      <c r="C1127" t="str">
        <f t="shared" si="428"/>
        <v/>
      </c>
      <c r="D1127" t="str">
        <f t="shared" si="429"/>
        <v/>
      </c>
      <c r="E1127">
        <f t="shared" si="430"/>
        <v>0</v>
      </c>
      <c r="F1127" t="str">
        <f t="shared" si="431"/>
        <v/>
      </c>
      <c r="G1127">
        <f t="shared" si="432"/>
        <v>0</v>
      </c>
      <c r="H1127">
        <f>IF(AND(G1127=1,COUNTIFS($I$200:I1127,I1127,$G$200:G1127,1)=1),1,0)</f>
        <v>0</v>
      </c>
      <c r="I1127" t="str">
        <f t="shared" si="433"/>
        <v/>
      </c>
      <c r="BF1127">
        <f t="shared" si="436"/>
        <v>0</v>
      </c>
      <c r="BG1127">
        <f t="shared" si="437"/>
        <v>0</v>
      </c>
      <c r="BH1127">
        <f t="shared" si="438"/>
        <v>0</v>
      </c>
      <c r="BI1127">
        <f t="shared" si="439"/>
        <v>0</v>
      </c>
      <c r="BJ1127">
        <f t="shared" si="440"/>
        <v>0</v>
      </c>
      <c r="BK1127">
        <f t="shared" si="441"/>
        <v>0</v>
      </c>
      <c r="BL1127">
        <f t="shared" si="442"/>
        <v>0</v>
      </c>
      <c r="BM1127">
        <f t="shared" si="443"/>
        <v>0</v>
      </c>
      <c r="BN1127">
        <f t="shared" si="444"/>
        <v>0</v>
      </c>
      <c r="BO1127">
        <f t="shared" si="445"/>
        <v>0</v>
      </c>
      <c r="BP1127">
        <f t="shared" si="446"/>
        <v>0</v>
      </c>
      <c r="BQ1127">
        <f t="shared" si="447"/>
        <v>0</v>
      </c>
      <c r="BR1127">
        <f t="shared" si="448"/>
        <v>0</v>
      </c>
      <c r="BS1127">
        <f t="shared" si="449"/>
        <v>0</v>
      </c>
      <c r="BT1127">
        <f t="shared" si="450"/>
        <v>0</v>
      </c>
      <c r="BU1127">
        <f t="shared" si="451"/>
        <v>0</v>
      </c>
      <c r="BV1127">
        <f t="shared" si="452"/>
        <v>0</v>
      </c>
      <c r="BW1127">
        <f t="shared" si="453"/>
        <v>0</v>
      </c>
      <c r="CA1127" t="str">
        <f>IF(928&gt;ROWS(DGArchive[模组]),"",IF(INDEX(DGArchive[模组],928)="","",INDEX(DGArchive[模组],928)))</f>
        <v/>
      </c>
      <c r="CB1127" t="str">
        <f>IF(928&gt;ROWS(DGArchive[阶段]),"",IF(INDEX(DGArchive[阶段],928)="","",INDEX(DGArchive[阶段],928)))</f>
        <v/>
      </c>
      <c r="CC1127" t="str">
        <f>IF(928&gt;ROWS(DGArchive[游戏内日期]),"",IF(INDEX(DGArchive[游戏内日期],928)="","",INDEX(DGArchive[游戏内日期],928)))</f>
        <v/>
      </c>
      <c r="CD1127" t="str">
        <f>IF(928&gt;ROWS(DGArchive[目标]),"",IF(INDEX(DGArchive[目标],928)="","",INDEX(DGArchive[目标],928)))</f>
        <v/>
      </c>
      <c r="CE1127" t="str">
        <f>IF(928&gt;ROWS(DGArchive[变更前]),"",IF(INDEX(DGArchive[变更前],928)="","",INDEX(DGArchive[变更前],928)))</f>
        <v/>
      </c>
      <c r="CF1127" t="str">
        <f>IF(928&gt;ROWS(DGArchive[增减]),"",IF(INDEX(DGArchive[增减],928)="","",INDEX(DGArchive[增减],928)))</f>
        <v/>
      </c>
      <c r="CG1127" t="str">
        <f>IF(928&gt;ROWS(DGArchive[变更后]),"",IF(INDEX(DGArchive[变更后],928)="","",INDEX(DGArchive[变更后],928)))</f>
        <v/>
      </c>
      <c r="CH1127" t="str">
        <f>IF(928&gt;ROWS(DGArchive[事件／活动]),"",IF(INDEX(DGArchive[事件／活动],928)="","",INDEX(DGArchive[事件／活动],928)))</f>
        <v/>
      </c>
      <c r="CI1127" t="str">
        <f>IF(928&gt;ROWS(DGArchive[记录编号]),"",IF(INDEX(DGArchive[记录编号],928)="","",INDEX(DGArchive[记录编号],928)))</f>
        <v/>
      </c>
      <c r="CL1127">
        <f t="shared" si="434"/>
        <v>0</v>
      </c>
      <c r="CM1127">
        <f>IF(AND(A1127=$AO$5,B1127=$AQ$3,H1127=1),COUNTIFS($A$200:A1127,$AO$5,$B$200:B1127,$AQ$3,$H$200:H1127,1),0)</f>
        <v>0</v>
      </c>
      <c r="CN1127">
        <f>IF(CA1127="",928,1001)</f>
        <v>928</v>
      </c>
      <c r="GA1127">
        <f t="shared" si="454"/>
        <v>0</v>
      </c>
      <c r="GB1127">
        <f t="shared" si="455"/>
        <v>0</v>
      </c>
      <c r="GC1127">
        <f>IF(AND(C1127="事件记录",H1127=1),COUNTIFS($C$200:C1127,"事件记录",$H$200:H1127,1),0)</f>
        <v>0</v>
      </c>
      <c r="GD1127">
        <f t="shared" si="435"/>
        <v>0</v>
      </c>
      <c r="GH1127">
        <f>IF(AND(H1127=1,A1127=$GA$10,B1127=$GA$11),COUNTIFS($A$200:A1127,$GA$10,$B$200:B1127,$GA$11,$H$200:H1127,1),0)</f>
        <v>0</v>
      </c>
    </row>
    <row r="1128" spans="1:190">
      <c r="A1128" t="str">
        <f t="shared" si="426"/>
        <v/>
      </c>
      <c r="B1128" t="str">
        <f t="shared" si="427"/>
        <v/>
      </c>
      <c r="C1128" t="str">
        <f t="shared" si="428"/>
        <v/>
      </c>
      <c r="D1128" t="str">
        <f t="shared" si="429"/>
        <v/>
      </c>
      <c r="E1128">
        <f t="shared" si="430"/>
        <v>0</v>
      </c>
      <c r="F1128" t="str">
        <f t="shared" si="431"/>
        <v/>
      </c>
      <c r="G1128">
        <f t="shared" si="432"/>
        <v>0</v>
      </c>
      <c r="H1128">
        <f>IF(AND(G1128=1,COUNTIFS($I$200:I1128,I1128,$G$200:G1128,1)=1),1,0)</f>
        <v>0</v>
      </c>
      <c r="I1128" t="str">
        <f t="shared" si="433"/>
        <v/>
      </c>
      <c r="BF1128">
        <f t="shared" si="436"/>
        <v>0</v>
      </c>
      <c r="BG1128">
        <f t="shared" si="437"/>
        <v>0</v>
      </c>
      <c r="BH1128">
        <f t="shared" si="438"/>
        <v>0</v>
      </c>
      <c r="BI1128">
        <f t="shared" si="439"/>
        <v>0</v>
      </c>
      <c r="BJ1128">
        <f t="shared" si="440"/>
        <v>0</v>
      </c>
      <c r="BK1128">
        <f t="shared" si="441"/>
        <v>0</v>
      </c>
      <c r="BL1128">
        <f t="shared" si="442"/>
        <v>0</v>
      </c>
      <c r="BM1128">
        <f t="shared" si="443"/>
        <v>0</v>
      </c>
      <c r="BN1128">
        <f t="shared" si="444"/>
        <v>0</v>
      </c>
      <c r="BO1128">
        <f t="shared" si="445"/>
        <v>0</v>
      </c>
      <c r="BP1128">
        <f t="shared" si="446"/>
        <v>0</v>
      </c>
      <c r="BQ1128">
        <f t="shared" si="447"/>
        <v>0</v>
      </c>
      <c r="BR1128">
        <f t="shared" si="448"/>
        <v>0</v>
      </c>
      <c r="BS1128">
        <f t="shared" si="449"/>
        <v>0</v>
      </c>
      <c r="BT1128">
        <f t="shared" si="450"/>
        <v>0</v>
      </c>
      <c r="BU1128">
        <f t="shared" si="451"/>
        <v>0</v>
      </c>
      <c r="BV1128">
        <f t="shared" si="452"/>
        <v>0</v>
      </c>
      <c r="BW1128">
        <f t="shared" si="453"/>
        <v>0</v>
      </c>
      <c r="CA1128" t="str">
        <f>IF(929&gt;ROWS(DGArchive[模组]),"",IF(INDEX(DGArchive[模组],929)="","",INDEX(DGArchive[模组],929)))</f>
        <v/>
      </c>
      <c r="CB1128" t="str">
        <f>IF(929&gt;ROWS(DGArchive[阶段]),"",IF(INDEX(DGArchive[阶段],929)="","",INDEX(DGArchive[阶段],929)))</f>
        <v/>
      </c>
      <c r="CC1128" t="str">
        <f>IF(929&gt;ROWS(DGArchive[游戏内日期]),"",IF(INDEX(DGArchive[游戏内日期],929)="","",INDEX(DGArchive[游戏内日期],929)))</f>
        <v/>
      </c>
      <c r="CD1128" t="str">
        <f>IF(929&gt;ROWS(DGArchive[目标]),"",IF(INDEX(DGArchive[目标],929)="","",INDEX(DGArchive[目标],929)))</f>
        <v/>
      </c>
      <c r="CE1128" t="str">
        <f>IF(929&gt;ROWS(DGArchive[变更前]),"",IF(INDEX(DGArchive[变更前],929)="","",INDEX(DGArchive[变更前],929)))</f>
        <v/>
      </c>
      <c r="CF1128" t="str">
        <f>IF(929&gt;ROWS(DGArchive[增减]),"",IF(INDEX(DGArchive[增减],929)="","",INDEX(DGArchive[增减],929)))</f>
        <v/>
      </c>
      <c r="CG1128" t="str">
        <f>IF(929&gt;ROWS(DGArchive[变更后]),"",IF(INDEX(DGArchive[变更后],929)="","",INDEX(DGArchive[变更后],929)))</f>
        <v/>
      </c>
      <c r="CH1128" t="str">
        <f>IF(929&gt;ROWS(DGArchive[事件／活动]),"",IF(INDEX(DGArchive[事件／活动],929)="","",INDEX(DGArchive[事件／活动],929)))</f>
        <v/>
      </c>
      <c r="CI1128" t="str">
        <f>IF(929&gt;ROWS(DGArchive[记录编号]),"",IF(INDEX(DGArchive[记录编号],929)="","",INDEX(DGArchive[记录编号],929)))</f>
        <v/>
      </c>
      <c r="CL1128">
        <f t="shared" si="434"/>
        <v>0</v>
      </c>
      <c r="CM1128">
        <f>IF(AND(A1128=$AO$5,B1128=$AQ$3,H1128=1),COUNTIFS($A$200:A1128,$AO$5,$B$200:B1128,$AQ$3,$H$200:H1128,1),0)</f>
        <v>0</v>
      </c>
      <c r="CN1128">
        <f>IF(CA1128="",929,1001)</f>
        <v>929</v>
      </c>
      <c r="GA1128">
        <f t="shared" si="454"/>
        <v>0</v>
      </c>
      <c r="GB1128">
        <f t="shared" si="455"/>
        <v>0</v>
      </c>
      <c r="GC1128">
        <f>IF(AND(C1128="事件记录",H1128=1),COUNTIFS($C$200:C1128,"事件记录",$H$200:H1128,1),0)</f>
        <v>0</v>
      </c>
      <c r="GD1128">
        <f t="shared" si="435"/>
        <v>0</v>
      </c>
      <c r="GH1128">
        <f>IF(AND(H1128=1,A1128=$GA$10,B1128=$GA$11),COUNTIFS($A$200:A1128,$GA$10,$B$200:B1128,$GA$11,$H$200:H1128,1),0)</f>
        <v>0</v>
      </c>
    </row>
    <row r="1129" spans="1:190">
      <c r="A1129" t="str">
        <f t="shared" si="426"/>
        <v/>
      </c>
      <c r="B1129" t="str">
        <f t="shared" si="427"/>
        <v/>
      </c>
      <c r="C1129" t="str">
        <f t="shared" si="428"/>
        <v/>
      </c>
      <c r="D1129" t="str">
        <f t="shared" si="429"/>
        <v/>
      </c>
      <c r="E1129">
        <f t="shared" si="430"/>
        <v>0</v>
      </c>
      <c r="F1129" t="str">
        <f t="shared" si="431"/>
        <v/>
      </c>
      <c r="G1129">
        <f t="shared" si="432"/>
        <v>0</v>
      </c>
      <c r="H1129">
        <f>IF(AND(G1129=1,COUNTIFS($I$200:I1129,I1129,$G$200:G1129,1)=1),1,0)</f>
        <v>0</v>
      </c>
      <c r="I1129" t="str">
        <f t="shared" si="433"/>
        <v/>
      </c>
      <c r="BF1129">
        <f t="shared" si="436"/>
        <v>0</v>
      </c>
      <c r="BG1129">
        <f t="shared" si="437"/>
        <v>0</v>
      </c>
      <c r="BH1129">
        <f t="shared" si="438"/>
        <v>0</v>
      </c>
      <c r="BI1129">
        <f t="shared" si="439"/>
        <v>0</v>
      </c>
      <c r="BJ1129">
        <f t="shared" si="440"/>
        <v>0</v>
      </c>
      <c r="BK1129">
        <f t="shared" si="441"/>
        <v>0</v>
      </c>
      <c r="BL1129">
        <f t="shared" si="442"/>
        <v>0</v>
      </c>
      <c r="BM1129">
        <f t="shared" si="443"/>
        <v>0</v>
      </c>
      <c r="BN1129">
        <f t="shared" si="444"/>
        <v>0</v>
      </c>
      <c r="BO1129">
        <f t="shared" si="445"/>
        <v>0</v>
      </c>
      <c r="BP1129">
        <f t="shared" si="446"/>
        <v>0</v>
      </c>
      <c r="BQ1129">
        <f t="shared" si="447"/>
        <v>0</v>
      </c>
      <c r="BR1129">
        <f t="shared" si="448"/>
        <v>0</v>
      </c>
      <c r="BS1129">
        <f t="shared" si="449"/>
        <v>0</v>
      </c>
      <c r="BT1129">
        <f t="shared" si="450"/>
        <v>0</v>
      </c>
      <c r="BU1129">
        <f t="shared" si="451"/>
        <v>0</v>
      </c>
      <c r="BV1129">
        <f t="shared" si="452"/>
        <v>0</v>
      </c>
      <c r="BW1129">
        <f t="shared" si="453"/>
        <v>0</v>
      </c>
      <c r="CA1129" t="str">
        <f>IF(930&gt;ROWS(DGArchive[模组]),"",IF(INDEX(DGArchive[模组],930)="","",INDEX(DGArchive[模组],930)))</f>
        <v/>
      </c>
      <c r="CB1129" t="str">
        <f>IF(930&gt;ROWS(DGArchive[阶段]),"",IF(INDEX(DGArchive[阶段],930)="","",INDEX(DGArchive[阶段],930)))</f>
        <v/>
      </c>
      <c r="CC1129" t="str">
        <f>IF(930&gt;ROWS(DGArchive[游戏内日期]),"",IF(INDEX(DGArchive[游戏内日期],930)="","",INDEX(DGArchive[游戏内日期],930)))</f>
        <v/>
      </c>
      <c r="CD1129" t="str">
        <f>IF(930&gt;ROWS(DGArchive[目标]),"",IF(INDEX(DGArchive[目标],930)="","",INDEX(DGArchive[目标],930)))</f>
        <v/>
      </c>
      <c r="CE1129" t="str">
        <f>IF(930&gt;ROWS(DGArchive[变更前]),"",IF(INDEX(DGArchive[变更前],930)="","",INDEX(DGArchive[变更前],930)))</f>
        <v/>
      </c>
      <c r="CF1129" t="str">
        <f>IF(930&gt;ROWS(DGArchive[增减]),"",IF(INDEX(DGArchive[增减],930)="","",INDEX(DGArchive[增减],930)))</f>
        <v/>
      </c>
      <c r="CG1129" t="str">
        <f>IF(930&gt;ROWS(DGArchive[变更后]),"",IF(INDEX(DGArchive[变更后],930)="","",INDEX(DGArchive[变更后],930)))</f>
        <v/>
      </c>
      <c r="CH1129" t="str">
        <f>IF(930&gt;ROWS(DGArchive[事件／活动]),"",IF(INDEX(DGArchive[事件／活动],930)="","",INDEX(DGArchive[事件／活动],930)))</f>
        <v/>
      </c>
      <c r="CI1129" t="str">
        <f>IF(930&gt;ROWS(DGArchive[记录编号]),"",IF(INDEX(DGArchive[记录编号],930)="","",INDEX(DGArchive[记录编号],930)))</f>
        <v/>
      </c>
      <c r="CL1129">
        <f t="shared" si="434"/>
        <v>0</v>
      </c>
      <c r="CM1129">
        <f>IF(AND(A1129=$AO$5,B1129=$AQ$3,H1129=1),COUNTIFS($A$200:A1129,$AO$5,$B$200:B1129,$AQ$3,$H$200:H1129,1),0)</f>
        <v>0</v>
      </c>
      <c r="CN1129">
        <f>IF(CA1129="",930,1001)</f>
        <v>930</v>
      </c>
      <c r="GA1129">
        <f t="shared" si="454"/>
        <v>0</v>
      </c>
      <c r="GB1129">
        <f t="shared" si="455"/>
        <v>0</v>
      </c>
      <c r="GC1129">
        <f>IF(AND(C1129="事件记录",H1129=1),COUNTIFS($C$200:C1129,"事件记录",$H$200:H1129,1),0)</f>
        <v>0</v>
      </c>
      <c r="GD1129">
        <f t="shared" si="435"/>
        <v>0</v>
      </c>
      <c r="GH1129">
        <f>IF(AND(H1129=1,A1129=$GA$10,B1129=$GA$11),COUNTIFS($A$200:A1129,$GA$10,$B$200:B1129,$GA$11,$H$200:H1129,1),0)</f>
        <v>0</v>
      </c>
    </row>
    <row r="1130" spans="1:190">
      <c r="A1130" t="str">
        <f t="shared" si="426"/>
        <v/>
      </c>
      <c r="B1130" t="str">
        <f t="shared" si="427"/>
        <v/>
      </c>
      <c r="C1130" t="str">
        <f t="shared" si="428"/>
        <v/>
      </c>
      <c r="D1130" t="str">
        <f t="shared" si="429"/>
        <v/>
      </c>
      <c r="E1130">
        <f t="shared" si="430"/>
        <v>0</v>
      </c>
      <c r="F1130" t="str">
        <f t="shared" si="431"/>
        <v/>
      </c>
      <c r="G1130">
        <f t="shared" si="432"/>
        <v>0</v>
      </c>
      <c r="H1130">
        <f>IF(AND(G1130=1,COUNTIFS($I$200:I1130,I1130,$G$200:G1130,1)=1),1,0)</f>
        <v>0</v>
      </c>
      <c r="I1130" t="str">
        <f t="shared" si="433"/>
        <v/>
      </c>
      <c r="BF1130">
        <f t="shared" si="436"/>
        <v>0</v>
      </c>
      <c r="BG1130">
        <f t="shared" si="437"/>
        <v>0</v>
      </c>
      <c r="BH1130">
        <f t="shared" si="438"/>
        <v>0</v>
      </c>
      <c r="BI1130">
        <f t="shared" si="439"/>
        <v>0</v>
      </c>
      <c r="BJ1130">
        <f t="shared" si="440"/>
        <v>0</v>
      </c>
      <c r="BK1130">
        <f t="shared" si="441"/>
        <v>0</v>
      </c>
      <c r="BL1130">
        <f t="shared" si="442"/>
        <v>0</v>
      </c>
      <c r="BM1130">
        <f t="shared" si="443"/>
        <v>0</v>
      </c>
      <c r="BN1130">
        <f t="shared" si="444"/>
        <v>0</v>
      </c>
      <c r="BO1130">
        <f t="shared" si="445"/>
        <v>0</v>
      </c>
      <c r="BP1130">
        <f t="shared" si="446"/>
        <v>0</v>
      </c>
      <c r="BQ1130">
        <f t="shared" si="447"/>
        <v>0</v>
      </c>
      <c r="BR1130">
        <f t="shared" si="448"/>
        <v>0</v>
      </c>
      <c r="BS1130">
        <f t="shared" si="449"/>
        <v>0</v>
      </c>
      <c r="BT1130">
        <f t="shared" si="450"/>
        <v>0</v>
      </c>
      <c r="BU1130">
        <f t="shared" si="451"/>
        <v>0</v>
      </c>
      <c r="BV1130">
        <f t="shared" si="452"/>
        <v>0</v>
      </c>
      <c r="BW1130">
        <f t="shared" si="453"/>
        <v>0</v>
      </c>
      <c r="CA1130" t="str">
        <f>IF(931&gt;ROWS(DGArchive[模组]),"",IF(INDEX(DGArchive[模组],931)="","",INDEX(DGArchive[模组],931)))</f>
        <v/>
      </c>
      <c r="CB1130" t="str">
        <f>IF(931&gt;ROWS(DGArchive[阶段]),"",IF(INDEX(DGArchive[阶段],931)="","",INDEX(DGArchive[阶段],931)))</f>
        <v/>
      </c>
      <c r="CC1130" t="str">
        <f>IF(931&gt;ROWS(DGArchive[游戏内日期]),"",IF(INDEX(DGArchive[游戏内日期],931)="","",INDEX(DGArchive[游戏内日期],931)))</f>
        <v/>
      </c>
      <c r="CD1130" t="str">
        <f>IF(931&gt;ROWS(DGArchive[目标]),"",IF(INDEX(DGArchive[目标],931)="","",INDEX(DGArchive[目标],931)))</f>
        <v/>
      </c>
      <c r="CE1130" t="str">
        <f>IF(931&gt;ROWS(DGArchive[变更前]),"",IF(INDEX(DGArchive[变更前],931)="","",INDEX(DGArchive[变更前],931)))</f>
        <v/>
      </c>
      <c r="CF1130" t="str">
        <f>IF(931&gt;ROWS(DGArchive[增减]),"",IF(INDEX(DGArchive[增减],931)="","",INDEX(DGArchive[增减],931)))</f>
        <v/>
      </c>
      <c r="CG1130" t="str">
        <f>IF(931&gt;ROWS(DGArchive[变更后]),"",IF(INDEX(DGArchive[变更后],931)="","",INDEX(DGArchive[变更后],931)))</f>
        <v/>
      </c>
      <c r="CH1130" t="str">
        <f>IF(931&gt;ROWS(DGArchive[事件／活动]),"",IF(INDEX(DGArchive[事件／活动],931)="","",INDEX(DGArchive[事件／活动],931)))</f>
        <v/>
      </c>
      <c r="CI1130" t="str">
        <f>IF(931&gt;ROWS(DGArchive[记录编号]),"",IF(INDEX(DGArchive[记录编号],931)="","",INDEX(DGArchive[记录编号],931)))</f>
        <v/>
      </c>
      <c r="CL1130">
        <f t="shared" si="434"/>
        <v>0</v>
      </c>
      <c r="CM1130">
        <f>IF(AND(A1130=$AO$5,B1130=$AQ$3,H1130=1),COUNTIFS($A$200:A1130,$AO$5,$B$200:B1130,$AQ$3,$H$200:H1130,1),0)</f>
        <v>0</v>
      </c>
      <c r="CN1130">
        <f>IF(CA1130="",931,1001)</f>
        <v>931</v>
      </c>
      <c r="GA1130">
        <f t="shared" si="454"/>
        <v>0</v>
      </c>
      <c r="GB1130">
        <f t="shared" si="455"/>
        <v>0</v>
      </c>
      <c r="GC1130">
        <f>IF(AND(C1130="事件记录",H1130=1),COUNTIFS($C$200:C1130,"事件记录",$H$200:H1130,1),0)</f>
        <v>0</v>
      </c>
      <c r="GD1130">
        <f t="shared" si="435"/>
        <v>0</v>
      </c>
      <c r="GH1130">
        <f>IF(AND(H1130=1,A1130=$GA$10,B1130=$GA$11),COUNTIFS($A$200:A1130,$GA$10,$B$200:B1130,$GA$11,$H$200:H1130,1),0)</f>
        <v>0</v>
      </c>
    </row>
    <row r="1131" spans="1:190">
      <c r="A1131" t="str">
        <f t="shared" si="426"/>
        <v/>
      </c>
      <c r="B1131" t="str">
        <f t="shared" si="427"/>
        <v/>
      </c>
      <c r="C1131" t="str">
        <f t="shared" si="428"/>
        <v/>
      </c>
      <c r="D1131" t="str">
        <f t="shared" si="429"/>
        <v/>
      </c>
      <c r="E1131">
        <f t="shared" si="430"/>
        <v>0</v>
      </c>
      <c r="F1131" t="str">
        <f t="shared" si="431"/>
        <v/>
      </c>
      <c r="G1131">
        <f t="shared" si="432"/>
        <v>0</v>
      </c>
      <c r="H1131">
        <f>IF(AND(G1131=1,COUNTIFS($I$200:I1131,I1131,$G$200:G1131,1)=1),1,0)</f>
        <v>0</v>
      </c>
      <c r="I1131" t="str">
        <f t="shared" si="433"/>
        <v/>
      </c>
      <c r="BF1131">
        <f t="shared" si="436"/>
        <v>0</v>
      </c>
      <c r="BG1131">
        <f t="shared" si="437"/>
        <v>0</v>
      </c>
      <c r="BH1131">
        <f t="shared" si="438"/>
        <v>0</v>
      </c>
      <c r="BI1131">
        <f t="shared" si="439"/>
        <v>0</v>
      </c>
      <c r="BJ1131">
        <f t="shared" si="440"/>
        <v>0</v>
      </c>
      <c r="BK1131">
        <f t="shared" si="441"/>
        <v>0</v>
      </c>
      <c r="BL1131">
        <f t="shared" si="442"/>
        <v>0</v>
      </c>
      <c r="BM1131">
        <f t="shared" si="443"/>
        <v>0</v>
      </c>
      <c r="BN1131">
        <f t="shared" si="444"/>
        <v>0</v>
      </c>
      <c r="BO1131">
        <f t="shared" si="445"/>
        <v>0</v>
      </c>
      <c r="BP1131">
        <f t="shared" si="446"/>
        <v>0</v>
      </c>
      <c r="BQ1131">
        <f t="shared" si="447"/>
        <v>0</v>
      </c>
      <c r="BR1131">
        <f t="shared" si="448"/>
        <v>0</v>
      </c>
      <c r="BS1131">
        <f t="shared" si="449"/>
        <v>0</v>
      </c>
      <c r="BT1131">
        <f t="shared" si="450"/>
        <v>0</v>
      </c>
      <c r="BU1131">
        <f t="shared" si="451"/>
        <v>0</v>
      </c>
      <c r="BV1131">
        <f t="shared" si="452"/>
        <v>0</v>
      </c>
      <c r="BW1131">
        <f t="shared" si="453"/>
        <v>0</v>
      </c>
      <c r="CA1131" t="str">
        <f>IF(932&gt;ROWS(DGArchive[模组]),"",IF(INDEX(DGArchive[模组],932)="","",INDEX(DGArchive[模组],932)))</f>
        <v/>
      </c>
      <c r="CB1131" t="str">
        <f>IF(932&gt;ROWS(DGArchive[阶段]),"",IF(INDEX(DGArchive[阶段],932)="","",INDEX(DGArchive[阶段],932)))</f>
        <v/>
      </c>
      <c r="CC1131" t="str">
        <f>IF(932&gt;ROWS(DGArchive[游戏内日期]),"",IF(INDEX(DGArchive[游戏内日期],932)="","",INDEX(DGArchive[游戏内日期],932)))</f>
        <v/>
      </c>
      <c r="CD1131" t="str">
        <f>IF(932&gt;ROWS(DGArchive[目标]),"",IF(INDEX(DGArchive[目标],932)="","",INDEX(DGArchive[目标],932)))</f>
        <v/>
      </c>
      <c r="CE1131" t="str">
        <f>IF(932&gt;ROWS(DGArchive[变更前]),"",IF(INDEX(DGArchive[变更前],932)="","",INDEX(DGArchive[变更前],932)))</f>
        <v/>
      </c>
      <c r="CF1131" t="str">
        <f>IF(932&gt;ROWS(DGArchive[增减]),"",IF(INDEX(DGArchive[增减],932)="","",INDEX(DGArchive[增减],932)))</f>
        <v/>
      </c>
      <c r="CG1131" t="str">
        <f>IF(932&gt;ROWS(DGArchive[变更后]),"",IF(INDEX(DGArchive[变更后],932)="","",INDEX(DGArchive[变更后],932)))</f>
        <v/>
      </c>
      <c r="CH1131" t="str">
        <f>IF(932&gt;ROWS(DGArchive[事件／活动]),"",IF(INDEX(DGArchive[事件／活动],932)="","",INDEX(DGArchive[事件／活动],932)))</f>
        <v/>
      </c>
      <c r="CI1131" t="str">
        <f>IF(932&gt;ROWS(DGArchive[记录编号]),"",IF(INDEX(DGArchive[记录编号],932)="","",INDEX(DGArchive[记录编号],932)))</f>
        <v/>
      </c>
      <c r="CL1131">
        <f t="shared" si="434"/>
        <v>0</v>
      </c>
      <c r="CM1131">
        <f>IF(AND(A1131=$AO$5,B1131=$AQ$3,H1131=1),COUNTIFS($A$200:A1131,$AO$5,$B$200:B1131,$AQ$3,$H$200:H1131,1),0)</f>
        <v>0</v>
      </c>
      <c r="CN1131">
        <f>IF(CA1131="",932,1001)</f>
        <v>932</v>
      </c>
      <c r="GA1131">
        <f t="shared" si="454"/>
        <v>0</v>
      </c>
      <c r="GB1131">
        <f t="shared" si="455"/>
        <v>0</v>
      </c>
      <c r="GC1131">
        <f>IF(AND(C1131="事件记录",H1131=1),COUNTIFS($C$200:C1131,"事件记录",$H$200:H1131,1),0)</f>
        <v>0</v>
      </c>
      <c r="GD1131">
        <f t="shared" si="435"/>
        <v>0</v>
      </c>
      <c r="GH1131">
        <f>IF(AND(H1131=1,A1131=$GA$10,B1131=$GA$11),COUNTIFS($A$200:A1131,$GA$10,$B$200:B1131,$GA$11,$H$200:H1131,1),0)</f>
        <v>0</v>
      </c>
    </row>
    <row r="1132" spans="1:190">
      <c r="A1132" t="str">
        <f t="shared" si="426"/>
        <v/>
      </c>
      <c r="B1132" t="str">
        <f t="shared" si="427"/>
        <v/>
      </c>
      <c r="C1132" t="str">
        <f t="shared" si="428"/>
        <v/>
      </c>
      <c r="D1132" t="str">
        <f t="shared" si="429"/>
        <v/>
      </c>
      <c r="E1132">
        <f t="shared" si="430"/>
        <v>0</v>
      </c>
      <c r="F1132" t="str">
        <f t="shared" si="431"/>
        <v/>
      </c>
      <c r="G1132">
        <f t="shared" si="432"/>
        <v>0</v>
      </c>
      <c r="H1132">
        <f>IF(AND(G1132=1,COUNTIFS($I$200:I1132,I1132,$G$200:G1132,1)=1),1,0)</f>
        <v>0</v>
      </c>
      <c r="I1132" t="str">
        <f t="shared" si="433"/>
        <v/>
      </c>
      <c r="BF1132">
        <f t="shared" si="436"/>
        <v>0</v>
      </c>
      <c r="BG1132">
        <f t="shared" si="437"/>
        <v>0</v>
      </c>
      <c r="BH1132">
        <f t="shared" si="438"/>
        <v>0</v>
      </c>
      <c r="BI1132">
        <f t="shared" si="439"/>
        <v>0</v>
      </c>
      <c r="BJ1132">
        <f t="shared" si="440"/>
        <v>0</v>
      </c>
      <c r="BK1132">
        <f t="shared" si="441"/>
        <v>0</v>
      </c>
      <c r="BL1132">
        <f t="shared" si="442"/>
        <v>0</v>
      </c>
      <c r="BM1132">
        <f t="shared" si="443"/>
        <v>0</v>
      </c>
      <c r="BN1132">
        <f t="shared" si="444"/>
        <v>0</v>
      </c>
      <c r="BO1132">
        <f t="shared" si="445"/>
        <v>0</v>
      </c>
      <c r="BP1132">
        <f t="shared" si="446"/>
        <v>0</v>
      </c>
      <c r="BQ1132">
        <f t="shared" si="447"/>
        <v>0</v>
      </c>
      <c r="BR1132">
        <f t="shared" si="448"/>
        <v>0</v>
      </c>
      <c r="BS1132">
        <f t="shared" si="449"/>
        <v>0</v>
      </c>
      <c r="BT1132">
        <f t="shared" si="450"/>
        <v>0</v>
      </c>
      <c r="BU1132">
        <f t="shared" si="451"/>
        <v>0</v>
      </c>
      <c r="BV1132">
        <f t="shared" si="452"/>
        <v>0</v>
      </c>
      <c r="BW1132">
        <f t="shared" si="453"/>
        <v>0</v>
      </c>
      <c r="CA1132" t="str">
        <f>IF(933&gt;ROWS(DGArchive[模组]),"",IF(INDEX(DGArchive[模组],933)="","",INDEX(DGArchive[模组],933)))</f>
        <v/>
      </c>
      <c r="CB1132" t="str">
        <f>IF(933&gt;ROWS(DGArchive[阶段]),"",IF(INDEX(DGArchive[阶段],933)="","",INDEX(DGArchive[阶段],933)))</f>
        <v/>
      </c>
      <c r="CC1132" t="str">
        <f>IF(933&gt;ROWS(DGArchive[游戏内日期]),"",IF(INDEX(DGArchive[游戏内日期],933)="","",INDEX(DGArchive[游戏内日期],933)))</f>
        <v/>
      </c>
      <c r="CD1132" t="str">
        <f>IF(933&gt;ROWS(DGArchive[目标]),"",IF(INDEX(DGArchive[目标],933)="","",INDEX(DGArchive[目标],933)))</f>
        <v/>
      </c>
      <c r="CE1132" t="str">
        <f>IF(933&gt;ROWS(DGArchive[变更前]),"",IF(INDEX(DGArchive[变更前],933)="","",INDEX(DGArchive[变更前],933)))</f>
        <v/>
      </c>
      <c r="CF1132" t="str">
        <f>IF(933&gt;ROWS(DGArchive[增减]),"",IF(INDEX(DGArchive[增减],933)="","",INDEX(DGArchive[增减],933)))</f>
        <v/>
      </c>
      <c r="CG1132" t="str">
        <f>IF(933&gt;ROWS(DGArchive[变更后]),"",IF(INDEX(DGArchive[变更后],933)="","",INDEX(DGArchive[变更后],933)))</f>
        <v/>
      </c>
      <c r="CH1132" t="str">
        <f>IF(933&gt;ROWS(DGArchive[事件／活动]),"",IF(INDEX(DGArchive[事件／活动],933)="","",INDEX(DGArchive[事件／活动],933)))</f>
        <v/>
      </c>
      <c r="CI1132" t="str">
        <f>IF(933&gt;ROWS(DGArchive[记录编号]),"",IF(INDEX(DGArchive[记录编号],933)="","",INDEX(DGArchive[记录编号],933)))</f>
        <v/>
      </c>
      <c r="CL1132">
        <f t="shared" si="434"/>
        <v>0</v>
      </c>
      <c r="CM1132">
        <f>IF(AND(A1132=$AO$5,B1132=$AQ$3,H1132=1),COUNTIFS($A$200:A1132,$AO$5,$B$200:B1132,$AQ$3,$H$200:H1132,1),0)</f>
        <v>0</v>
      </c>
      <c r="CN1132">
        <f>IF(CA1132="",933,1001)</f>
        <v>933</v>
      </c>
      <c r="GA1132">
        <f t="shared" si="454"/>
        <v>0</v>
      </c>
      <c r="GB1132">
        <f t="shared" si="455"/>
        <v>0</v>
      </c>
      <c r="GC1132">
        <f>IF(AND(C1132="事件记录",H1132=1),COUNTIFS($C$200:C1132,"事件记录",$H$200:H1132,1),0)</f>
        <v>0</v>
      </c>
      <c r="GD1132">
        <f t="shared" si="435"/>
        <v>0</v>
      </c>
      <c r="GH1132">
        <f>IF(AND(H1132=1,A1132=$GA$10,B1132=$GA$11),COUNTIFS($A$200:A1132,$GA$10,$B$200:B1132,$GA$11,$H$200:H1132,1),0)</f>
        <v>0</v>
      </c>
    </row>
    <row r="1133" spans="1:190">
      <c r="A1133" t="str">
        <f t="shared" si="426"/>
        <v/>
      </c>
      <c r="B1133" t="str">
        <f t="shared" si="427"/>
        <v/>
      </c>
      <c r="C1133" t="str">
        <f t="shared" si="428"/>
        <v/>
      </c>
      <c r="D1133" t="str">
        <f t="shared" si="429"/>
        <v/>
      </c>
      <c r="E1133">
        <f t="shared" si="430"/>
        <v>0</v>
      </c>
      <c r="F1133" t="str">
        <f t="shared" si="431"/>
        <v/>
      </c>
      <c r="G1133">
        <f t="shared" si="432"/>
        <v>0</v>
      </c>
      <c r="H1133">
        <f>IF(AND(G1133=1,COUNTIFS($I$200:I1133,I1133,$G$200:G1133,1)=1),1,0)</f>
        <v>0</v>
      </c>
      <c r="I1133" t="str">
        <f t="shared" si="433"/>
        <v/>
      </c>
      <c r="BF1133">
        <f t="shared" si="436"/>
        <v>0</v>
      </c>
      <c r="BG1133">
        <f t="shared" si="437"/>
        <v>0</v>
      </c>
      <c r="BH1133">
        <f t="shared" si="438"/>
        <v>0</v>
      </c>
      <c r="BI1133">
        <f t="shared" si="439"/>
        <v>0</v>
      </c>
      <c r="BJ1133">
        <f t="shared" si="440"/>
        <v>0</v>
      </c>
      <c r="BK1133">
        <f t="shared" si="441"/>
        <v>0</v>
      </c>
      <c r="BL1133">
        <f t="shared" si="442"/>
        <v>0</v>
      </c>
      <c r="BM1133">
        <f t="shared" si="443"/>
        <v>0</v>
      </c>
      <c r="BN1133">
        <f t="shared" si="444"/>
        <v>0</v>
      </c>
      <c r="BO1133">
        <f t="shared" si="445"/>
        <v>0</v>
      </c>
      <c r="BP1133">
        <f t="shared" si="446"/>
        <v>0</v>
      </c>
      <c r="BQ1133">
        <f t="shared" si="447"/>
        <v>0</v>
      </c>
      <c r="BR1133">
        <f t="shared" si="448"/>
        <v>0</v>
      </c>
      <c r="BS1133">
        <f t="shared" si="449"/>
        <v>0</v>
      </c>
      <c r="BT1133">
        <f t="shared" si="450"/>
        <v>0</v>
      </c>
      <c r="BU1133">
        <f t="shared" si="451"/>
        <v>0</v>
      </c>
      <c r="BV1133">
        <f t="shared" si="452"/>
        <v>0</v>
      </c>
      <c r="BW1133">
        <f t="shared" si="453"/>
        <v>0</v>
      </c>
      <c r="CA1133" t="str">
        <f>IF(934&gt;ROWS(DGArchive[模组]),"",IF(INDEX(DGArchive[模组],934)="","",INDEX(DGArchive[模组],934)))</f>
        <v/>
      </c>
      <c r="CB1133" t="str">
        <f>IF(934&gt;ROWS(DGArchive[阶段]),"",IF(INDEX(DGArchive[阶段],934)="","",INDEX(DGArchive[阶段],934)))</f>
        <v/>
      </c>
      <c r="CC1133" t="str">
        <f>IF(934&gt;ROWS(DGArchive[游戏内日期]),"",IF(INDEX(DGArchive[游戏内日期],934)="","",INDEX(DGArchive[游戏内日期],934)))</f>
        <v/>
      </c>
      <c r="CD1133" t="str">
        <f>IF(934&gt;ROWS(DGArchive[目标]),"",IF(INDEX(DGArchive[目标],934)="","",INDEX(DGArchive[目标],934)))</f>
        <v/>
      </c>
      <c r="CE1133" t="str">
        <f>IF(934&gt;ROWS(DGArchive[变更前]),"",IF(INDEX(DGArchive[变更前],934)="","",INDEX(DGArchive[变更前],934)))</f>
        <v/>
      </c>
      <c r="CF1133" t="str">
        <f>IF(934&gt;ROWS(DGArchive[增减]),"",IF(INDEX(DGArchive[增减],934)="","",INDEX(DGArchive[增减],934)))</f>
        <v/>
      </c>
      <c r="CG1133" t="str">
        <f>IF(934&gt;ROWS(DGArchive[变更后]),"",IF(INDEX(DGArchive[变更后],934)="","",INDEX(DGArchive[变更后],934)))</f>
        <v/>
      </c>
      <c r="CH1133" t="str">
        <f>IF(934&gt;ROWS(DGArchive[事件／活动]),"",IF(INDEX(DGArchive[事件／活动],934)="","",INDEX(DGArchive[事件／活动],934)))</f>
        <v/>
      </c>
      <c r="CI1133" t="str">
        <f>IF(934&gt;ROWS(DGArchive[记录编号]),"",IF(INDEX(DGArchive[记录编号],934)="","",INDEX(DGArchive[记录编号],934)))</f>
        <v/>
      </c>
      <c r="CL1133">
        <f t="shared" si="434"/>
        <v>0</v>
      </c>
      <c r="CM1133">
        <f>IF(AND(A1133=$AO$5,B1133=$AQ$3,H1133=1),COUNTIFS($A$200:A1133,$AO$5,$B$200:B1133,$AQ$3,$H$200:H1133,1),0)</f>
        <v>0</v>
      </c>
      <c r="CN1133">
        <f>IF(CA1133="",934,1001)</f>
        <v>934</v>
      </c>
      <c r="GA1133">
        <f t="shared" si="454"/>
        <v>0</v>
      </c>
      <c r="GB1133">
        <f t="shared" si="455"/>
        <v>0</v>
      </c>
      <c r="GC1133">
        <f>IF(AND(C1133="事件记录",H1133=1),COUNTIFS($C$200:C1133,"事件记录",$H$200:H1133,1),0)</f>
        <v>0</v>
      </c>
      <c r="GD1133">
        <f t="shared" si="435"/>
        <v>0</v>
      </c>
      <c r="GH1133">
        <f>IF(AND(H1133=1,A1133=$GA$10,B1133=$GA$11),COUNTIFS($A$200:A1133,$GA$10,$B$200:B1133,$GA$11,$H$200:H1133,1),0)</f>
        <v>0</v>
      </c>
    </row>
    <row r="1134" spans="1:190">
      <c r="A1134" t="str">
        <f t="shared" si="426"/>
        <v/>
      </c>
      <c r="B1134" t="str">
        <f t="shared" si="427"/>
        <v/>
      </c>
      <c r="C1134" t="str">
        <f t="shared" si="428"/>
        <v/>
      </c>
      <c r="D1134" t="str">
        <f t="shared" si="429"/>
        <v/>
      </c>
      <c r="E1134">
        <f t="shared" si="430"/>
        <v>0</v>
      </c>
      <c r="F1134" t="str">
        <f t="shared" si="431"/>
        <v/>
      </c>
      <c r="G1134">
        <f t="shared" si="432"/>
        <v>0</v>
      </c>
      <c r="H1134">
        <f>IF(AND(G1134=1,COUNTIFS($I$200:I1134,I1134,$G$200:G1134,1)=1),1,0)</f>
        <v>0</v>
      </c>
      <c r="I1134" t="str">
        <f t="shared" si="433"/>
        <v/>
      </c>
      <c r="BF1134">
        <f t="shared" si="436"/>
        <v>0</v>
      </c>
      <c r="BG1134">
        <f t="shared" si="437"/>
        <v>0</v>
      </c>
      <c r="BH1134">
        <f t="shared" si="438"/>
        <v>0</v>
      </c>
      <c r="BI1134">
        <f t="shared" si="439"/>
        <v>0</v>
      </c>
      <c r="BJ1134">
        <f t="shared" si="440"/>
        <v>0</v>
      </c>
      <c r="BK1134">
        <f t="shared" si="441"/>
        <v>0</v>
      </c>
      <c r="BL1134">
        <f t="shared" si="442"/>
        <v>0</v>
      </c>
      <c r="BM1134">
        <f t="shared" si="443"/>
        <v>0</v>
      </c>
      <c r="BN1134">
        <f t="shared" si="444"/>
        <v>0</v>
      </c>
      <c r="BO1134">
        <f t="shared" si="445"/>
        <v>0</v>
      </c>
      <c r="BP1134">
        <f t="shared" si="446"/>
        <v>0</v>
      </c>
      <c r="BQ1134">
        <f t="shared" si="447"/>
        <v>0</v>
      </c>
      <c r="BR1134">
        <f t="shared" si="448"/>
        <v>0</v>
      </c>
      <c r="BS1134">
        <f t="shared" si="449"/>
        <v>0</v>
      </c>
      <c r="BT1134">
        <f t="shared" si="450"/>
        <v>0</v>
      </c>
      <c r="BU1134">
        <f t="shared" si="451"/>
        <v>0</v>
      </c>
      <c r="BV1134">
        <f t="shared" si="452"/>
        <v>0</v>
      </c>
      <c r="BW1134">
        <f t="shared" si="453"/>
        <v>0</v>
      </c>
      <c r="CA1134" t="str">
        <f>IF(935&gt;ROWS(DGArchive[模组]),"",IF(INDEX(DGArchive[模组],935)="","",INDEX(DGArchive[模组],935)))</f>
        <v/>
      </c>
      <c r="CB1134" t="str">
        <f>IF(935&gt;ROWS(DGArchive[阶段]),"",IF(INDEX(DGArchive[阶段],935)="","",INDEX(DGArchive[阶段],935)))</f>
        <v/>
      </c>
      <c r="CC1134" t="str">
        <f>IF(935&gt;ROWS(DGArchive[游戏内日期]),"",IF(INDEX(DGArchive[游戏内日期],935)="","",INDEX(DGArchive[游戏内日期],935)))</f>
        <v/>
      </c>
      <c r="CD1134" t="str">
        <f>IF(935&gt;ROWS(DGArchive[目标]),"",IF(INDEX(DGArchive[目标],935)="","",INDEX(DGArchive[目标],935)))</f>
        <v/>
      </c>
      <c r="CE1134" t="str">
        <f>IF(935&gt;ROWS(DGArchive[变更前]),"",IF(INDEX(DGArchive[变更前],935)="","",INDEX(DGArchive[变更前],935)))</f>
        <v/>
      </c>
      <c r="CF1134" t="str">
        <f>IF(935&gt;ROWS(DGArchive[增减]),"",IF(INDEX(DGArchive[增减],935)="","",INDEX(DGArchive[增减],935)))</f>
        <v/>
      </c>
      <c r="CG1134" t="str">
        <f>IF(935&gt;ROWS(DGArchive[变更后]),"",IF(INDEX(DGArchive[变更后],935)="","",INDEX(DGArchive[变更后],935)))</f>
        <v/>
      </c>
      <c r="CH1134" t="str">
        <f>IF(935&gt;ROWS(DGArchive[事件／活动]),"",IF(INDEX(DGArchive[事件／活动],935)="","",INDEX(DGArchive[事件／活动],935)))</f>
        <v/>
      </c>
      <c r="CI1134" t="str">
        <f>IF(935&gt;ROWS(DGArchive[记录编号]),"",IF(INDEX(DGArchive[记录编号],935)="","",INDEX(DGArchive[记录编号],935)))</f>
        <v/>
      </c>
      <c r="CL1134">
        <f t="shared" si="434"/>
        <v>0</v>
      </c>
      <c r="CM1134">
        <f>IF(AND(A1134=$AO$5,B1134=$AQ$3,H1134=1),COUNTIFS($A$200:A1134,$AO$5,$B$200:B1134,$AQ$3,$H$200:H1134,1),0)</f>
        <v>0</v>
      </c>
      <c r="CN1134">
        <f>IF(CA1134="",935,1001)</f>
        <v>935</v>
      </c>
      <c r="GA1134">
        <f t="shared" si="454"/>
        <v>0</v>
      </c>
      <c r="GB1134">
        <f t="shared" si="455"/>
        <v>0</v>
      </c>
      <c r="GC1134">
        <f>IF(AND(C1134="事件记录",H1134=1),COUNTIFS($C$200:C1134,"事件记录",$H$200:H1134,1),0)</f>
        <v>0</v>
      </c>
      <c r="GD1134">
        <f t="shared" si="435"/>
        <v>0</v>
      </c>
      <c r="GH1134">
        <f>IF(AND(H1134=1,A1134=$GA$10,B1134=$GA$11),COUNTIFS($A$200:A1134,$GA$10,$B$200:B1134,$GA$11,$H$200:H1134,1),0)</f>
        <v>0</v>
      </c>
    </row>
    <row r="1135" spans="1:190">
      <c r="A1135" t="str">
        <f t="shared" si="426"/>
        <v/>
      </c>
      <c r="B1135" t="str">
        <f t="shared" si="427"/>
        <v/>
      </c>
      <c r="C1135" t="str">
        <f t="shared" si="428"/>
        <v/>
      </c>
      <c r="D1135" t="str">
        <f t="shared" si="429"/>
        <v/>
      </c>
      <c r="E1135">
        <f t="shared" si="430"/>
        <v>0</v>
      </c>
      <c r="F1135" t="str">
        <f t="shared" si="431"/>
        <v/>
      </c>
      <c r="G1135">
        <f t="shared" si="432"/>
        <v>0</v>
      </c>
      <c r="H1135">
        <f>IF(AND(G1135=1,COUNTIFS($I$200:I1135,I1135,$G$200:G1135,1)=1),1,0)</f>
        <v>0</v>
      </c>
      <c r="I1135" t="str">
        <f t="shared" si="433"/>
        <v/>
      </c>
      <c r="BF1135">
        <f t="shared" si="436"/>
        <v>0</v>
      </c>
      <c r="BG1135">
        <f t="shared" si="437"/>
        <v>0</v>
      </c>
      <c r="BH1135">
        <f t="shared" si="438"/>
        <v>0</v>
      </c>
      <c r="BI1135">
        <f t="shared" si="439"/>
        <v>0</v>
      </c>
      <c r="BJ1135">
        <f t="shared" si="440"/>
        <v>0</v>
      </c>
      <c r="BK1135">
        <f t="shared" si="441"/>
        <v>0</v>
      </c>
      <c r="BL1135">
        <f t="shared" si="442"/>
        <v>0</v>
      </c>
      <c r="BM1135">
        <f t="shared" si="443"/>
        <v>0</v>
      </c>
      <c r="BN1135">
        <f t="shared" si="444"/>
        <v>0</v>
      </c>
      <c r="BO1135">
        <f t="shared" si="445"/>
        <v>0</v>
      </c>
      <c r="BP1135">
        <f t="shared" si="446"/>
        <v>0</v>
      </c>
      <c r="BQ1135">
        <f t="shared" si="447"/>
        <v>0</v>
      </c>
      <c r="BR1135">
        <f t="shared" si="448"/>
        <v>0</v>
      </c>
      <c r="BS1135">
        <f t="shared" si="449"/>
        <v>0</v>
      </c>
      <c r="BT1135">
        <f t="shared" si="450"/>
        <v>0</v>
      </c>
      <c r="BU1135">
        <f t="shared" si="451"/>
        <v>0</v>
      </c>
      <c r="BV1135">
        <f t="shared" si="452"/>
        <v>0</v>
      </c>
      <c r="BW1135">
        <f t="shared" si="453"/>
        <v>0</v>
      </c>
      <c r="CA1135" t="str">
        <f>IF(936&gt;ROWS(DGArchive[模组]),"",IF(INDEX(DGArchive[模组],936)="","",INDEX(DGArchive[模组],936)))</f>
        <v/>
      </c>
      <c r="CB1135" t="str">
        <f>IF(936&gt;ROWS(DGArchive[阶段]),"",IF(INDEX(DGArchive[阶段],936)="","",INDEX(DGArchive[阶段],936)))</f>
        <v/>
      </c>
      <c r="CC1135" t="str">
        <f>IF(936&gt;ROWS(DGArchive[游戏内日期]),"",IF(INDEX(DGArchive[游戏内日期],936)="","",INDEX(DGArchive[游戏内日期],936)))</f>
        <v/>
      </c>
      <c r="CD1135" t="str">
        <f>IF(936&gt;ROWS(DGArchive[目标]),"",IF(INDEX(DGArchive[目标],936)="","",INDEX(DGArchive[目标],936)))</f>
        <v/>
      </c>
      <c r="CE1135" t="str">
        <f>IF(936&gt;ROWS(DGArchive[变更前]),"",IF(INDEX(DGArchive[变更前],936)="","",INDEX(DGArchive[变更前],936)))</f>
        <v/>
      </c>
      <c r="CF1135" t="str">
        <f>IF(936&gt;ROWS(DGArchive[增减]),"",IF(INDEX(DGArchive[增减],936)="","",INDEX(DGArchive[增减],936)))</f>
        <v/>
      </c>
      <c r="CG1135" t="str">
        <f>IF(936&gt;ROWS(DGArchive[变更后]),"",IF(INDEX(DGArchive[变更后],936)="","",INDEX(DGArchive[变更后],936)))</f>
        <v/>
      </c>
      <c r="CH1135" t="str">
        <f>IF(936&gt;ROWS(DGArchive[事件／活动]),"",IF(INDEX(DGArchive[事件／活动],936)="","",INDEX(DGArchive[事件／活动],936)))</f>
        <v/>
      </c>
      <c r="CI1135" t="str">
        <f>IF(936&gt;ROWS(DGArchive[记录编号]),"",IF(INDEX(DGArchive[记录编号],936)="","",INDEX(DGArchive[记录编号],936)))</f>
        <v/>
      </c>
      <c r="CL1135">
        <f t="shared" si="434"/>
        <v>0</v>
      </c>
      <c r="CM1135">
        <f>IF(AND(A1135=$AO$5,B1135=$AQ$3,H1135=1),COUNTIFS($A$200:A1135,$AO$5,$B$200:B1135,$AQ$3,$H$200:H1135,1),0)</f>
        <v>0</v>
      </c>
      <c r="CN1135">
        <f>IF(CA1135="",936,1001)</f>
        <v>936</v>
      </c>
      <c r="GA1135">
        <f t="shared" si="454"/>
        <v>0</v>
      </c>
      <c r="GB1135">
        <f t="shared" si="455"/>
        <v>0</v>
      </c>
      <c r="GC1135">
        <f>IF(AND(C1135="事件记录",H1135=1),COUNTIFS($C$200:C1135,"事件记录",$H$200:H1135,1),0)</f>
        <v>0</v>
      </c>
      <c r="GD1135">
        <f t="shared" si="435"/>
        <v>0</v>
      </c>
      <c r="GH1135">
        <f>IF(AND(H1135=1,A1135=$GA$10,B1135=$GA$11),COUNTIFS($A$200:A1135,$GA$10,$B$200:B1135,$GA$11,$H$200:H1135,1),0)</f>
        <v>0</v>
      </c>
    </row>
    <row r="1136" spans="1:190">
      <c r="A1136" t="str">
        <f t="shared" si="426"/>
        <v/>
      </c>
      <c r="B1136" t="str">
        <f t="shared" si="427"/>
        <v/>
      </c>
      <c r="C1136" t="str">
        <f t="shared" si="428"/>
        <v/>
      </c>
      <c r="D1136" t="str">
        <f t="shared" si="429"/>
        <v/>
      </c>
      <c r="E1136">
        <f t="shared" si="430"/>
        <v>0</v>
      </c>
      <c r="F1136" t="str">
        <f t="shared" si="431"/>
        <v/>
      </c>
      <c r="G1136">
        <f t="shared" si="432"/>
        <v>0</v>
      </c>
      <c r="H1136">
        <f>IF(AND(G1136=1,COUNTIFS($I$200:I1136,I1136,$G$200:G1136,1)=1),1,0)</f>
        <v>0</v>
      </c>
      <c r="I1136" t="str">
        <f t="shared" si="433"/>
        <v/>
      </c>
      <c r="BF1136">
        <f t="shared" si="436"/>
        <v>0</v>
      </c>
      <c r="BG1136">
        <f t="shared" si="437"/>
        <v>0</v>
      </c>
      <c r="BH1136">
        <f t="shared" si="438"/>
        <v>0</v>
      </c>
      <c r="BI1136">
        <f t="shared" si="439"/>
        <v>0</v>
      </c>
      <c r="BJ1136">
        <f t="shared" si="440"/>
        <v>0</v>
      </c>
      <c r="BK1136">
        <f t="shared" si="441"/>
        <v>0</v>
      </c>
      <c r="BL1136">
        <f t="shared" si="442"/>
        <v>0</v>
      </c>
      <c r="BM1136">
        <f t="shared" si="443"/>
        <v>0</v>
      </c>
      <c r="BN1136">
        <f t="shared" si="444"/>
        <v>0</v>
      </c>
      <c r="BO1136">
        <f t="shared" si="445"/>
        <v>0</v>
      </c>
      <c r="BP1136">
        <f t="shared" si="446"/>
        <v>0</v>
      </c>
      <c r="BQ1136">
        <f t="shared" si="447"/>
        <v>0</v>
      </c>
      <c r="BR1136">
        <f t="shared" si="448"/>
        <v>0</v>
      </c>
      <c r="BS1136">
        <f t="shared" si="449"/>
        <v>0</v>
      </c>
      <c r="BT1136">
        <f t="shared" si="450"/>
        <v>0</v>
      </c>
      <c r="BU1136">
        <f t="shared" si="451"/>
        <v>0</v>
      </c>
      <c r="BV1136">
        <f t="shared" si="452"/>
        <v>0</v>
      </c>
      <c r="BW1136">
        <f t="shared" si="453"/>
        <v>0</v>
      </c>
      <c r="CA1136" t="str">
        <f>IF(937&gt;ROWS(DGArchive[模组]),"",IF(INDEX(DGArchive[模组],937)="","",INDEX(DGArchive[模组],937)))</f>
        <v/>
      </c>
      <c r="CB1136" t="str">
        <f>IF(937&gt;ROWS(DGArchive[阶段]),"",IF(INDEX(DGArchive[阶段],937)="","",INDEX(DGArchive[阶段],937)))</f>
        <v/>
      </c>
      <c r="CC1136" t="str">
        <f>IF(937&gt;ROWS(DGArchive[游戏内日期]),"",IF(INDEX(DGArchive[游戏内日期],937)="","",INDEX(DGArchive[游戏内日期],937)))</f>
        <v/>
      </c>
      <c r="CD1136" t="str">
        <f>IF(937&gt;ROWS(DGArchive[目标]),"",IF(INDEX(DGArchive[目标],937)="","",INDEX(DGArchive[目标],937)))</f>
        <v/>
      </c>
      <c r="CE1136" t="str">
        <f>IF(937&gt;ROWS(DGArchive[变更前]),"",IF(INDEX(DGArchive[变更前],937)="","",INDEX(DGArchive[变更前],937)))</f>
        <v/>
      </c>
      <c r="CF1136" t="str">
        <f>IF(937&gt;ROWS(DGArchive[增减]),"",IF(INDEX(DGArchive[增减],937)="","",INDEX(DGArchive[增减],937)))</f>
        <v/>
      </c>
      <c r="CG1136" t="str">
        <f>IF(937&gt;ROWS(DGArchive[变更后]),"",IF(INDEX(DGArchive[变更后],937)="","",INDEX(DGArchive[变更后],937)))</f>
        <v/>
      </c>
      <c r="CH1136" t="str">
        <f>IF(937&gt;ROWS(DGArchive[事件／活动]),"",IF(INDEX(DGArchive[事件／活动],937)="","",INDEX(DGArchive[事件／活动],937)))</f>
        <v/>
      </c>
      <c r="CI1136" t="str">
        <f>IF(937&gt;ROWS(DGArchive[记录编号]),"",IF(INDEX(DGArchive[记录编号],937)="","",INDEX(DGArchive[记录编号],937)))</f>
        <v/>
      </c>
      <c r="CL1136">
        <f t="shared" si="434"/>
        <v>0</v>
      </c>
      <c r="CM1136">
        <f>IF(AND(A1136=$AO$5,B1136=$AQ$3,H1136=1),COUNTIFS($A$200:A1136,$AO$5,$B$200:B1136,$AQ$3,$H$200:H1136,1),0)</f>
        <v>0</v>
      </c>
      <c r="CN1136">
        <f>IF(CA1136="",937,1001)</f>
        <v>937</v>
      </c>
      <c r="GA1136">
        <f t="shared" si="454"/>
        <v>0</v>
      </c>
      <c r="GB1136">
        <f t="shared" si="455"/>
        <v>0</v>
      </c>
      <c r="GC1136">
        <f>IF(AND(C1136="事件记录",H1136=1),COUNTIFS($C$200:C1136,"事件记录",$H$200:H1136,1),0)</f>
        <v>0</v>
      </c>
      <c r="GD1136">
        <f t="shared" si="435"/>
        <v>0</v>
      </c>
      <c r="GH1136">
        <f>IF(AND(H1136=1,A1136=$GA$10,B1136=$GA$11),COUNTIFS($A$200:A1136,$GA$10,$B$200:B1136,$GA$11,$H$200:H1136,1),0)</f>
        <v>0</v>
      </c>
    </row>
    <row r="1137" spans="1:190">
      <c r="A1137" t="str">
        <f t="shared" si="426"/>
        <v/>
      </c>
      <c r="B1137" t="str">
        <f t="shared" si="427"/>
        <v/>
      </c>
      <c r="C1137" t="str">
        <f t="shared" si="428"/>
        <v/>
      </c>
      <c r="D1137" t="str">
        <f t="shared" si="429"/>
        <v/>
      </c>
      <c r="E1137">
        <f t="shared" si="430"/>
        <v>0</v>
      </c>
      <c r="F1137" t="str">
        <f t="shared" si="431"/>
        <v/>
      </c>
      <c r="G1137">
        <f t="shared" si="432"/>
        <v>0</v>
      </c>
      <c r="H1137">
        <f>IF(AND(G1137=1,COUNTIFS($I$200:I1137,I1137,$G$200:G1137,1)=1),1,0)</f>
        <v>0</v>
      </c>
      <c r="I1137" t="str">
        <f t="shared" si="433"/>
        <v/>
      </c>
      <c r="BF1137">
        <f t="shared" si="436"/>
        <v>0</v>
      </c>
      <c r="BG1137">
        <f t="shared" si="437"/>
        <v>0</v>
      </c>
      <c r="BH1137">
        <f t="shared" si="438"/>
        <v>0</v>
      </c>
      <c r="BI1137">
        <f t="shared" si="439"/>
        <v>0</v>
      </c>
      <c r="BJ1137">
        <f t="shared" si="440"/>
        <v>0</v>
      </c>
      <c r="BK1137">
        <f t="shared" si="441"/>
        <v>0</v>
      </c>
      <c r="BL1137">
        <f t="shared" si="442"/>
        <v>0</v>
      </c>
      <c r="BM1137">
        <f t="shared" si="443"/>
        <v>0</v>
      </c>
      <c r="BN1137">
        <f t="shared" si="444"/>
        <v>0</v>
      </c>
      <c r="BO1137">
        <f t="shared" si="445"/>
        <v>0</v>
      </c>
      <c r="BP1137">
        <f t="shared" si="446"/>
        <v>0</v>
      </c>
      <c r="BQ1137">
        <f t="shared" si="447"/>
        <v>0</v>
      </c>
      <c r="BR1137">
        <f t="shared" si="448"/>
        <v>0</v>
      </c>
      <c r="BS1137">
        <f t="shared" si="449"/>
        <v>0</v>
      </c>
      <c r="BT1137">
        <f t="shared" si="450"/>
        <v>0</v>
      </c>
      <c r="BU1137">
        <f t="shared" si="451"/>
        <v>0</v>
      </c>
      <c r="BV1137">
        <f t="shared" si="452"/>
        <v>0</v>
      </c>
      <c r="BW1137">
        <f t="shared" si="453"/>
        <v>0</v>
      </c>
      <c r="CA1137" t="str">
        <f>IF(938&gt;ROWS(DGArchive[模组]),"",IF(INDEX(DGArchive[模组],938)="","",INDEX(DGArchive[模组],938)))</f>
        <v/>
      </c>
      <c r="CB1137" t="str">
        <f>IF(938&gt;ROWS(DGArchive[阶段]),"",IF(INDEX(DGArchive[阶段],938)="","",INDEX(DGArchive[阶段],938)))</f>
        <v/>
      </c>
      <c r="CC1137" t="str">
        <f>IF(938&gt;ROWS(DGArchive[游戏内日期]),"",IF(INDEX(DGArchive[游戏内日期],938)="","",INDEX(DGArchive[游戏内日期],938)))</f>
        <v/>
      </c>
      <c r="CD1137" t="str">
        <f>IF(938&gt;ROWS(DGArchive[目标]),"",IF(INDEX(DGArchive[目标],938)="","",INDEX(DGArchive[目标],938)))</f>
        <v/>
      </c>
      <c r="CE1137" t="str">
        <f>IF(938&gt;ROWS(DGArchive[变更前]),"",IF(INDEX(DGArchive[变更前],938)="","",INDEX(DGArchive[变更前],938)))</f>
        <v/>
      </c>
      <c r="CF1137" t="str">
        <f>IF(938&gt;ROWS(DGArchive[增减]),"",IF(INDEX(DGArchive[增减],938)="","",INDEX(DGArchive[增减],938)))</f>
        <v/>
      </c>
      <c r="CG1137" t="str">
        <f>IF(938&gt;ROWS(DGArchive[变更后]),"",IF(INDEX(DGArchive[变更后],938)="","",INDEX(DGArchive[变更后],938)))</f>
        <v/>
      </c>
      <c r="CH1137" t="str">
        <f>IF(938&gt;ROWS(DGArchive[事件／活动]),"",IF(INDEX(DGArchive[事件／活动],938)="","",INDEX(DGArchive[事件／活动],938)))</f>
        <v/>
      </c>
      <c r="CI1137" t="str">
        <f>IF(938&gt;ROWS(DGArchive[记录编号]),"",IF(INDEX(DGArchive[记录编号],938)="","",INDEX(DGArchive[记录编号],938)))</f>
        <v/>
      </c>
      <c r="CL1137">
        <f t="shared" si="434"/>
        <v>0</v>
      </c>
      <c r="CM1137">
        <f>IF(AND(A1137=$AO$5,B1137=$AQ$3,H1137=1),COUNTIFS($A$200:A1137,$AO$5,$B$200:B1137,$AQ$3,$H$200:H1137,1),0)</f>
        <v>0</v>
      </c>
      <c r="CN1137">
        <f>IF(CA1137="",938,1001)</f>
        <v>938</v>
      </c>
      <c r="GA1137">
        <f t="shared" si="454"/>
        <v>0</v>
      </c>
      <c r="GB1137">
        <f t="shared" si="455"/>
        <v>0</v>
      </c>
      <c r="GC1137">
        <f>IF(AND(C1137="事件记录",H1137=1),COUNTIFS($C$200:C1137,"事件记录",$H$200:H1137,1),0)</f>
        <v>0</v>
      </c>
      <c r="GD1137">
        <f t="shared" si="435"/>
        <v>0</v>
      </c>
      <c r="GH1137">
        <f>IF(AND(H1137=1,A1137=$GA$10,B1137=$GA$11),COUNTIFS($A$200:A1137,$GA$10,$B$200:B1137,$GA$11,$H$200:H1137,1),0)</f>
        <v>0</v>
      </c>
    </row>
    <row r="1138" spans="1:190">
      <c r="A1138" t="str">
        <f t="shared" si="426"/>
        <v/>
      </c>
      <c r="B1138" t="str">
        <f t="shared" si="427"/>
        <v/>
      </c>
      <c r="C1138" t="str">
        <f t="shared" si="428"/>
        <v/>
      </c>
      <c r="D1138" t="str">
        <f t="shared" si="429"/>
        <v/>
      </c>
      <c r="E1138">
        <f t="shared" si="430"/>
        <v>0</v>
      </c>
      <c r="F1138" t="str">
        <f t="shared" si="431"/>
        <v/>
      </c>
      <c r="G1138">
        <f t="shared" si="432"/>
        <v>0</v>
      </c>
      <c r="H1138">
        <f>IF(AND(G1138=1,COUNTIFS($I$200:I1138,I1138,$G$200:G1138,1)=1),1,0)</f>
        <v>0</v>
      </c>
      <c r="I1138" t="str">
        <f t="shared" si="433"/>
        <v/>
      </c>
      <c r="BF1138">
        <f t="shared" si="436"/>
        <v>0</v>
      </c>
      <c r="BG1138">
        <f t="shared" si="437"/>
        <v>0</v>
      </c>
      <c r="BH1138">
        <f t="shared" si="438"/>
        <v>0</v>
      </c>
      <c r="BI1138">
        <f t="shared" si="439"/>
        <v>0</v>
      </c>
      <c r="BJ1138">
        <f t="shared" si="440"/>
        <v>0</v>
      </c>
      <c r="BK1138">
        <f t="shared" si="441"/>
        <v>0</v>
      </c>
      <c r="BL1138">
        <f t="shared" si="442"/>
        <v>0</v>
      </c>
      <c r="BM1138">
        <f t="shared" si="443"/>
        <v>0</v>
      </c>
      <c r="BN1138">
        <f t="shared" si="444"/>
        <v>0</v>
      </c>
      <c r="BO1138">
        <f t="shared" si="445"/>
        <v>0</v>
      </c>
      <c r="BP1138">
        <f t="shared" si="446"/>
        <v>0</v>
      </c>
      <c r="BQ1138">
        <f t="shared" si="447"/>
        <v>0</v>
      </c>
      <c r="BR1138">
        <f t="shared" si="448"/>
        <v>0</v>
      </c>
      <c r="BS1138">
        <f t="shared" si="449"/>
        <v>0</v>
      </c>
      <c r="BT1138">
        <f t="shared" si="450"/>
        <v>0</v>
      </c>
      <c r="BU1138">
        <f t="shared" si="451"/>
        <v>0</v>
      </c>
      <c r="BV1138">
        <f t="shared" si="452"/>
        <v>0</v>
      </c>
      <c r="BW1138">
        <f t="shared" si="453"/>
        <v>0</v>
      </c>
      <c r="CA1138" t="str">
        <f>IF(939&gt;ROWS(DGArchive[模组]),"",IF(INDEX(DGArchive[模组],939)="","",INDEX(DGArchive[模组],939)))</f>
        <v/>
      </c>
      <c r="CB1138" t="str">
        <f>IF(939&gt;ROWS(DGArchive[阶段]),"",IF(INDEX(DGArchive[阶段],939)="","",INDEX(DGArchive[阶段],939)))</f>
        <v/>
      </c>
      <c r="CC1138" t="str">
        <f>IF(939&gt;ROWS(DGArchive[游戏内日期]),"",IF(INDEX(DGArchive[游戏内日期],939)="","",INDEX(DGArchive[游戏内日期],939)))</f>
        <v/>
      </c>
      <c r="CD1138" t="str">
        <f>IF(939&gt;ROWS(DGArchive[目标]),"",IF(INDEX(DGArchive[目标],939)="","",INDEX(DGArchive[目标],939)))</f>
        <v/>
      </c>
      <c r="CE1138" t="str">
        <f>IF(939&gt;ROWS(DGArchive[变更前]),"",IF(INDEX(DGArchive[变更前],939)="","",INDEX(DGArchive[变更前],939)))</f>
        <v/>
      </c>
      <c r="CF1138" t="str">
        <f>IF(939&gt;ROWS(DGArchive[增减]),"",IF(INDEX(DGArchive[增减],939)="","",INDEX(DGArchive[增减],939)))</f>
        <v/>
      </c>
      <c r="CG1138" t="str">
        <f>IF(939&gt;ROWS(DGArchive[变更后]),"",IF(INDEX(DGArchive[变更后],939)="","",INDEX(DGArchive[变更后],939)))</f>
        <v/>
      </c>
      <c r="CH1138" t="str">
        <f>IF(939&gt;ROWS(DGArchive[事件／活动]),"",IF(INDEX(DGArchive[事件／活动],939)="","",INDEX(DGArchive[事件／活动],939)))</f>
        <v/>
      </c>
      <c r="CI1138" t="str">
        <f>IF(939&gt;ROWS(DGArchive[记录编号]),"",IF(INDEX(DGArchive[记录编号],939)="","",INDEX(DGArchive[记录编号],939)))</f>
        <v/>
      </c>
      <c r="CL1138">
        <f t="shared" si="434"/>
        <v>0</v>
      </c>
      <c r="CM1138">
        <f>IF(AND(A1138=$AO$5,B1138=$AQ$3,H1138=1),COUNTIFS($A$200:A1138,$AO$5,$B$200:B1138,$AQ$3,$H$200:H1138,1),0)</f>
        <v>0</v>
      </c>
      <c r="CN1138">
        <f>IF(CA1138="",939,1001)</f>
        <v>939</v>
      </c>
      <c r="GA1138">
        <f t="shared" si="454"/>
        <v>0</v>
      </c>
      <c r="GB1138">
        <f t="shared" si="455"/>
        <v>0</v>
      </c>
      <c r="GC1138">
        <f>IF(AND(C1138="事件记录",H1138=1),COUNTIFS($C$200:C1138,"事件记录",$H$200:H1138,1),0)</f>
        <v>0</v>
      </c>
      <c r="GD1138">
        <f t="shared" si="435"/>
        <v>0</v>
      </c>
      <c r="GH1138">
        <f>IF(AND(H1138=1,A1138=$GA$10,B1138=$GA$11),COUNTIFS($A$200:A1138,$GA$10,$B$200:B1138,$GA$11,$H$200:H1138,1),0)</f>
        <v>0</v>
      </c>
    </row>
    <row r="1139" spans="1:190">
      <c r="A1139" t="str">
        <f t="shared" si="426"/>
        <v/>
      </c>
      <c r="B1139" t="str">
        <f t="shared" si="427"/>
        <v/>
      </c>
      <c r="C1139" t="str">
        <f t="shared" si="428"/>
        <v/>
      </c>
      <c r="D1139" t="str">
        <f t="shared" si="429"/>
        <v/>
      </c>
      <c r="E1139">
        <f t="shared" si="430"/>
        <v>0</v>
      </c>
      <c r="F1139" t="str">
        <f t="shared" si="431"/>
        <v/>
      </c>
      <c r="G1139">
        <f t="shared" si="432"/>
        <v>0</v>
      </c>
      <c r="H1139">
        <f>IF(AND(G1139=1,COUNTIFS($I$200:I1139,I1139,$G$200:G1139,1)=1),1,0)</f>
        <v>0</v>
      </c>
      <c r="I1139" t="str">
        <f t="shared" si="433"/>
        <v/>
      </c>
      <c r="BF1139">
        <f t="shared" si="436"/>
        <v>0</v>
      </c>
      <c r="BG1139">
        <f t="shared" si="437"/>
        <v>0</v>
      </c>
      <c r="BH1139">
        <f t="shared" si="438"/>
        <v>0</v>
      </c>
      <c r="BI1139">
        <f t="shared" si="439"/>
        <v>0</v>
      </c>
      <c r="BJ1139">
        <f t="shared" si="440"/>
        <v>0</v>
      </c>
      <c r="BK1139">
        <f t="shared" si="441"/>
        <v>0</v>
      </c>
      <c r="BL1139">
        <f t="shared" si="442"/>
        <v>0</v>
      </c>
      <c r="BM1139">
        <f t="shared" si="443"/>
        <v>0</v>
      </c>
      <c r="BN1139">
        <f t="shared" si="444"/>
        <v>0</v>
      </c>
      <c r="BO1139">
        <f t="shared" si="445"/>
        <v>0</v>
      </c>
      <c r="BP1139">
        <f t="shared" si="446"/>
        <v>0</v>
      </c>
      <c r="BQ1139">
        <f t="shared" si="447"/>
        <v>0</v>
      </c>
      <c r="BR1139">
        <f t="shared" si="448"/>
        <v>0</v>
      </c>
      <c r="BS1139">
        <f t="shared" si="449"/>
        <v>0</v>
      </c>
      <c r="BT1139">
        <f t="shared" si="450"/>
        <v>0</v>
      </c>
      <c r="BU1139">
        <f t="shared" si="451"/>
        <v>0</v>
      </c>
      <c r="BV1139">
        <f t="shared" si="452"/>
        <v>0</v>
      </c>
      <c r="BW1139">
        <f t="shared" si="453"/>
        <v>0</v>
      </c>
      <c r="CA1139" t="str">
        <f>IF(940&gt;ROWS(DGArchive[模组]),"",IF(INDEX(DGArchive[模组],940)="","",INDEX(DGArchive[模组],940)))</f>
        <v/>
      </c>
      <c r="CB1139" t="str">
        <f>IF(940&gt;ROWS(DGArchive[阶段]),"",IF(INDEX(DGArchive[阶段],940)="","",INDEX(DGArchive[阶段],940)))</f>
        <v/>
      </c>
      <c r="CC1139" t="str">
        <f>IF(940&gt;ROWS(DGArchive[游戏内日期]),"",IF(INDEX(DGArchive[游戏内日期],940)="","",INDEX(DGArchive[游戏内日期],940)))</f>
        <v/>
      </c>
      <c r="CD1139" t="str">
        <f>IF(940&gt;ROWS(DGArchive[目标]),"",IF(INDEX(DGArchive[目标],940)="","",INDEX(DGArchive[目标],940)))</f>
        <v/>
      </c>
      <c r="CE1139" t="str">
        <f>IF(940&gt;ROWS(DGArchive[变更前]),"",IF(INDEX(DGArchive[变更前],940)="","",INDEX(DGArchive[变更前],940)))</f>
        <v/>
      </c>
      <c r="CF1139" t="str">
        <f>IF(940&gt;ROWS(DGArchive[增减]),"",IF(INDEX(DGArchive[增减],940)="","",INDEX(DGArchive[增减],940)))</f>
        <v/>
      </c>
      <c r="CG1139" t="str">
        <f>IF(940&gt;ROWS(DGArchive[变更后]),"",IF(INDEX(DGArchive[变更后],940)="","",INDEX(DGArchive[变更后],940)))</f>
        <v/>
      </c>
      <c r="CH1139" t="str">
        <f>IF(940&gt;ROWS(DGArchive[事件／活动]),"",IF(INDEX(DGArchive[事件／活动],940)="","",INDEX(DGArchive[事件／活动],940)))</f>
        <v/>
      </c>
      <c r="CI1139" t="str">
        <f>IF(940&gt;ROWS(DGArchive[记录编号]),"",IF(INDEX(DGArchive[记录编号],940)="","",INDEX(DGArchive[记录编号],940)))</f>
        <v/>
      </c>
      <c r="CL1139">
        <f t="shared" si="434"/>
        <v>0</v>
      </c>
      <c r="CM1139">
        <f>IF(AND(A1139=$AO$5,B1139=$AQ$3,H1139=1),COUNTIFS($A$200:A1139,$AO$5,$B$200:B1139,$AQ$3,$H$200:H1139,1),0)</f>
        <v>0</v>
      </c>
      <c r="CN1139">
        <f>IF(CA1139="",940,1001)</f>
        <v>940</v>
      </c>
      <c r="GA1139">
        <f t="shared" si="454"/>
        <v>0</v>
      </c>
      <c r="GB1139">
        <f t="shared" si="455"/>
        <v>0</v>
      </c>
      <c r="GC1139">
        <f>IF(AND(C1139="事件记录",H1139=1),COUNTIFS($C$200:C1139,"事件记录",$H$200:H1139,1),0)</f>
        <v>0</v>
      </c>
      <c r="GD1139">
        <f t="shared" si="435"/>
        <v>0</v>
      </c>
      <c r="GH1139">
        <f>IF(AND(H1139=1,A1139=$GA$10,B1139=$GA$11),COUNTIFS($A$200:A1139,$GA$10,$B$200:B1139,$GA$11,$H$200:H1139,1),0)</f>
        <v>0</v>
      </c>
    </row>
    <row r="1140" spans="1:190">
      <c r="A1140" t="str">
        <f t="shared" si="426"/>
        <v/>
      </c>
      <c r="B1140" t="str">
        <f t="shared" si="427"/>
        <v/>
      </c>
      <c r="C1140" t="str">
        <f t="shared" si="428"/>
        <v/>
      </c>
      <c r="D1140" t="str">
        <f t="shared" si="429"/>
        <v/>
      </c>
      <c r="E1140">
        <f t="shared" si="430"/>
        <v>0</v>
      </c>
      <c r="F1140" t="str">
        <f t="shared" si="431"/>
        <v/>
      </c>
      <c r="G1140">
        <f t="shared" si="432"/>
        <v>0</v>
      </c>
      <c r="H1140">
        <f>IF(AND(G1140=1,COUNTIFS($I$200:I1140,I1140,$G$200:G1140,1)=1),1,0)</f>
        <v>0</v>
      </c>
      <c r="I1140" t="str">
        <f t="shared" si="433"/>
        <v/>
      </c>
      <c r="BF1140">
        <f t="shared" si="436"/>
        <v>0</v>
      </c>
      <c r="BG1140">
        <f t="shared" si="437"/>
        <v>0</v>
      </c>
      <c r="BH1140">
        <f t="shared" si="438"/>
        <v>0</v>
      </c>
      <c r="BI1140">
        <f t="shared" si="439"/>
        <v>0</v>
      </c>
      <c r="BJ1140">
        <f t="shared" si="440"/>
        <v>0</v>
      </c>
      <c r="BK1140">
        <f t="shared" si="441"/>
        <v>0</v>
      </c>
      <c r="BL1140">
        <f t="shared" si="442"/>
        <v>0</v>
      </c>
      <c r="BM1140">
        <f t="shared" si="443"/>
        <v>0</v>
      </c>
      <c r="BN1140">
        <f t="shared" si="444"/>
        <v>0</v>
      </c>
      <c r="BO1140">
        <f t="shared" si="445"/>
        <v>0</v>
      </c>
      <c r="BP1140">
        <f t="shared" si="446"/>
        <v>0</v>
      </c>
      <c r="BQ1140">
        <f t="shared" si="447"/>
        <v>0</v>
      </c>
      <c r="BR1140">
        <f t="shared" si="448"/>
        <v>0</v>
      </c>
      <c r="BS1140">
        <f t="shared" si="449"/>
        <v>0</v>
      </c>
      <c r="BT1140">
        <f t="shared" si="450"/>
        <v>0</v>
      </c>
      <c r="BU1140">
        <f t="shared" si="451"/>
        <v>0</v>
      </c>
      <c r="BV1140">
        <f t="shared" si="452"/>
        <v>0</v>
      </c>
      <c r="BW1140">
        <f t="shared" si="453"/>
        <v>0</v>
      </c>
      <c r="CA1140" t="str">
        <f>IF(941&gt;ROWS(DGArchive[模组]),"",IF(INDEX(DGArchive[模组],941)="","",INDEX(DGArchive[模组],941)))</f>
        <v/>
      </c>
      <c r="CB1140" t="str">
        <f>IF(941&gt;ROWS(DGArchive[阶段]),"",IF(INDEX(DGArchive[阶段],941)="","",INDEX(DGArchive[阶段],941)))</f>
        <v/>
      </c>
      <c r="CC1140" t="str">
        <f>IF(941&gt;ROWS(DGArchive[游戏内日期]),"",IF(INDEX(DGArchive[游戏内日期],941)="","",INDEX(DGArchive[游戏内日期],941)))</f>
        <v/>
      </c>
      <c r="CD1140" t="str">
        <f>IF(941&gt;ROWS(DGArchive[目标]),"",IF(INDEX(DGArchive[目标],941)="","",INDEX(DGArchive[目标],941)))</f>
        <v/>
      </c>
      <c r="CE1140" t="str">
        <f>IF(941&gt;ROWS(DGArchive[变更前]),"",IF(INDEX(DGArchive[变更前],941)="","",INDEX(DGArchive[变更前],941)))</f>
        <v/>
      </c>
      <c r="CF1140" t="str">
        <f>IF(941&gt;ROWS(DGArchive[增减]),"",IF(INDEX(DGArchive[增减],941)="","",INDEX(DGArchive[增减],941)))</f>
        <v/>
      </c>
      <c r="CG1140" t="str">
        <f>IF(941&gt;ROWS(DGArchive[变更后]),"",IF(INDEX(DGArchive[变更后],941)="","",INDEX(DGArchive[变更后],941)))</f>
        <v/>
      </c>
      <c r="CH1140" t="str">
        <f>IF(941&gt;ROWS(DGArchive[事件／活动]),"",IF(INDEX(DGArchive[事件／活动],941)="","",INDEX(DGArchive[事件／活动],941)))</f>
        <v/>
      </c>
      <c r="CI1140" t="str">
        <f>IF(941&gt;ROWS(DGArchive[记录编号]),"",IF(INDEX(DGArchive[记录编号],941)="","",INDEX(DGArchive[记录编号],941)))</f>
        <v/>
      </c>
      <c r="CL1140">
        <f t="shared" si="434"/>
        <v>0</v>
      </c>
      <c r="CM1140">
        <f>IF(AND(A1140=$AO$5,B1140=$AQ$3,H1140=1),COUNTIFS($A$200:A1140,$AO$5,$B$200:B1140,$AQ$3,$H$200:H1140,1),0)</f>
        <v>0</v>
      </c>
      <c r="CN1140">
        <f>IF(CA1140="",941,1001)</f>
        <v>941</v>
      </c>
      <c r="GA1140">
        <f t="shared" si="454"/>
        <v>0</v>
      </c>
      <c r="GB1140">
        <f t="shared" si="455"/>
        <v>0</v>
      </c>
      <c r="GC1140">
        <f>IF(AND(C1140="事件记录",H1140=1),COUNTIFS($C$200:C1140,"事件记录",$H$200:H1140,1),0)</f>
        <v>0</v>
      </c>
      <c r="GD1140">
        <f t="shared" si="435"/>
        <v>0</v>
      </c>
      <c r="GH1140">
        <f>IF(AND(H1140=1,A1140=$GA$10,B1140=$GA$11),COUNTIFS($A$200:A1140,$GA$10,$B$200:B1140,$GA$11,$H$200:H1140,1),0)</f>
        <v>0</v>
      </c>
    </row>
    <row r="1141" spans="1:190">
      <c r="A1141" t="str">
        <f t="shared" si="426"/>
        <v/>
      </c>
      <c r="B1141" t="str">
        <f t="shared" si="427"/>
        <v/>
      </c>
      <c r="C1141" t="str">
        <f t="shared" si="428"/>
        <v/>
      </c>
      <c r="D1141" t="str">
        <f t="shared" si="429"/>
        <v/>
      </c>
      <c r="E1141">
        <f t="shared" si="430"/>
        <v>0</v>
      </c>
      <c r="F1141" t="str">
        <f t="shared" si="431"/>
        <v/>
      </c>
      <c r="G1141">
        <f t="shared" si="432"/>
        <v>0</v>
      </c>
      <c r="H1141">
        <f>IF(AND(G1141=1,COUNTIFS($I$200:I1141,I1141,$G$200:G1141,1)=1),1,0)</f>
        <v>0</v>
      </c>
      <c r="I1141" t="str">
        <f t="shared" si="433"/>
        <v/>
      </c>
      <c r="BF1141">
        <f t="shared" si="436"/>
        <v>0</v>
      </c>
      <c r="BG1141">
        <f t="shared" si="437"/>
        <v>0</v>
      </c>
      <c r="BH1141">
        <f t="shared" si="438"/>
        <v>0</v>
      </c>
      <c r="BI1141">
        <f t="shared" si="439"/>
        <v>0</v>
      </c>
      <c r="BJ1141">
        <f t="shared" si="440"/>
        <v>0</v>
      </c>
      <c r="BK1141">
        <f t="shared" si="441"/>
        <v>0</v>
      </c>
      <c r="BL1141">
        <f t="shared" si="442"/>
        <v>0</v>
      </c>
      <c r="BM1141">
        <f t="shared" si="443"/>
        <v>0</v>
      </c>
      <c r="BN1141">
        <f t="shared" si="444"/>
        <v>0</v>
      </c>
      <c r="BO1141">
        <f t="shared" si="445"/>
        <v>0</v>
      </c>
      <c r="BP1141">
        <f t="shared" si="446"/>
        <v>0</v>
      </c>
      <c r="BQ1141">
        <f t="shared" si="447"/>
        <v>0</v>
      </c>
      <c r="BR1141">
        <f t="shared" si="448"/>
        <v>0</v>
      </c>
      <c r="BS1141">
        <f t="shared" si="449"/>
        <v>0</v>
      </c>
      <c r="BT1141">
        <f t="shared" si="450"/>
        <v>0</v>
      </c>
      <c r="BU1141">
        <f t="shared" si="451"/>
        <v>0</v>
      </c>
      <c r="BV1141">
        <f t="shared" si="452"/>
        <v>0</v>
      </c>
      <c r="BW1141">
        <f t="shared" si="453"/>
        <v>0</v>
      </c>
      <c r="CA1141" t="str">
        <f>IF(942&gt;ROWS(DGArchive[模组]),"",IF(INDEX(DGArchive[模组],942)="","",INDEX(DGArchive[模组],942)))</f>
        <v/>
      </c>
      <c r="CB1141" t="str">
        <f>IF(942&gt;ROWS(DGArchive[阶段]),"",IF(INDEX(DGArchive[阶段],942)="","",INDEX(DGArchive[阶段],942)))</f>
        <v/>
      </c>
      <c r="CC1141" t="str">
        <f>IF(942&gt;ROWS(DGArchive[游戏内日期]),"",IF(INDEX(DGArchive[游戏内日期],942)="","",INDEX(DGArchive[游戏内日期],942)))</f>
        <v/>
      </c>
      <c r="CD1141" t="str">
        <f>IF(942&gt;ROWS(DGArchive[目标]),"",IF(INDEX(DGArchive[目标],942)="","",INDEX(DGArchive[目标],942)))</f>
        <v/>
      </c>
      <c r="CE1141" t="str">
        <f>IF(942&gt;ROWS(DGArchive[变更前]),"",IF(INDEX(DGArchive[变更前],942)="","",INDEX(DGArchive[变更前],942)))</f>
        <v/>
      </c>
      <c r="CF1141" t="str">
        <f>IF(942&gt;ROWS(DGArchive[增减]),"",IF(INDEX(DGArchive[增减],942)="","",INDEX(DGArchive[增减],942)))</f>
        <v/>
      </c>
      <c r="CG1141" t="str">
        <f>IF(942&gt;ROWS(DGArchive[变更后]),"",IF(INDEX(DGArchive[变更后],942)="","",INDEX(DGArchive[变更后],942)))</f>
        <v/>
      </c>
      <c r="CH1141" t="str">
        <f>IF(942&gt;ROWS(DGArchive[事件／活动]),"",IF(INDEX(DGArchive[事件／活动],942)="","",INDEX(DGArchive[事件／活动],942)))</f>
        <v/>
      </c>
      <c r="CI1141" t="str">
        <f>IF(942&gt;ROWS(DGArchive[记录编号]),"",IF(INDEX(DGArchive[记录编号],942)="","",INDEX(DGArchive[记录编号],942)))</f>
        <v/>
      </c>
      <c r="CL1141">
        <f t="shared" si="434"/>
        <v>0</v>
      </c>
      <c r="CM1141">
        <f>IF(AND(A1141=$AO$5,B1141=$AQ$3,H1141=1),COUNTIFS($A$200:A1141,$AO$5,$B$200:B1141,$AQ$3,$H$200:H1141,1),0)</f>
        <v>0</v>
      </c>
      <c r="CN1141">
        <f>IF(CA1141="",942,1001)</f>
        <v>942</v>
      </c>
      <c r="GA1141">
        <f t="shared" si="454"/>
        <v>0</v>
      </c>
      <c r="GB1141">
        <f t="shared" si="455"/>
        <v>0</v>
      </c>
      <c r="GC1141">
        <f>IF(AND(C1141="事件记录",H1141=1),COUNTIFS($C$200:C1141,"事件记录",$H$200:H1141,1),0)</f>
        <v>0</v>
      </c>
      <c r="GD1141">
        <f t="shared" si="435"/>
        <v>0</v>
      </c>
      <c r="GH1141">
        <f>IF(AND(H1141=1,A1141=$GA$10,B1141=$GA$11),COUNTIFS($A$200:A1141,$GA$10,$B$200:B1141,$GA$11,$H$200:H1141,1),0)</f>
        <v>0</v>
      </c>
    </row>
    <row r="1142" spans="1:190">
      <c r="A1142" t="str">
        <f t="shared" si="426"/>
        <v/>
      </c>
      <c r="B1142" t="str">
        <f t="shared" si="427"/>
        <v/>
      </c>
      <c r="C1142" t="str">
        <f t="shared" si="428"/>
        <v/>
      </c>
      <c r="D1142" t="str">
        <f t="shared" si="429"/>
        <v/>
      </c>
      <c r="E1142">
        <f t="shared" si="430"/>
        <v>0</v>
      </c>
      <c r="F1142" t="str">
        <f t="shared" si="431"/>
        <v/>
      </c>
      <c r="G1142">
        <f t="shared" si="432"/>
        <v>0</v>
      </c>
      <c r="H1142">
        <f>IF(AND(G1142=1,COUNTIFS($I$200:I1142,I1142,$G$200:G1142,1)=1),1,0)</f>
        <v>0</v>
      </c>
      <c r="I1142" t="str">
        <f t="shared" si="433"/>
        <v/>
      </c>
      <c r="BF1142">
        <f t="shared" si="436"/>
        <v>0</v>
      </c>
      <c r="BG1142">
        <f t="shared" si="437"/>
        <v>0</v>
      </c>
      <c r="BH1142">
        <f t="shared" si="438"/>
        <v>0</v>
      </c>
      <c r="BI1142">
        <f t="shared" si="439"/>
        <v>0</v>
      </c>
      <c r="BJ1142">
        <f t="shared" si="440"/>
        <v>0</v>
      </c>
      <c r="BK1142">
        <f t="shared" si="441"/>
        <v>0</v>
      </c>
      <c r="BL1142">
        <f t="shared" si="442"/>
        <v>0</v>
      </c>
      <c r="BM1142">
        <f t="shared" si="443"/>
        <v>0</v>
      </c>
      <c r="BN1142">
        <f t="shared" si="444"/>
        <v>0</v>
      </c>
      <c r="BO1142">
        <f t="shared" si="445"/>
        <v>0</v>
      </c>
      <c r="BP1142">
        <f t="shared" si="446"/>
        <v>0</v>
      </c>
      <c r="BQ1142">
        <f t="shared" si="447"/>
        <v>0</v>
      </c>
      <c r="BR1142">
        <f t="shared" si="448"/>
        <v>0</v>
      </c>
      <c r="BS1142">
        <f t="shared" si="449"/>
        <v>0</v>
      </c>
      <c r="BT1142">
        <f t="shared" si="450"/>
        <v>0</v>
      </c>
      <c r="BU1142">
        <f t="shared" si="451"/>
        <v>0</v>
      </c>
      <c r="BV1142">
        <f t="shared" si="452"/>
        <v>0</v>
      </c>
      <c r="BW1142">
        <f t="shared" si="453"/>
        <v>0</v>
      </c>
      <c r="CA1142" t="str">
        <f>IF(943&gt;ROWS(DGArchive[模组]),"",IF(INDEX(DGArchive[模组],943)="","",INDEX(DGArchive[模组],943)))</f>
        <v/>
      </c>
      <c r="CB1142" t="str">
        <f>IF(943&gt;ROWS(DGArchive[阶段]),"",IF(INDEX(DGArchive[阶段],943)="","",INDEX(DGArchive[阶段],943)))</f>
        <v/>
      </c>
      <c r="CC1142" t="str">
        <f>IF(943&gt;ROWS(DGArchive[游戏内日期]),"",IF(INDEX(DGArchive[游戏内日期],943)="","",INDEX(DGArchive[游戏内日期],943)))</f>
        <v/>
      </c>
      <c r="CD1142" t="str">
        <f>IF(943&gt;ROWS(DGArchive[目标]),"",IF(INDEX(DGArchive[目标],943)="","",INDEX(DGArchive[目标],943)))</f>
        <v/>
      </c>
      <c r="CE1142" t="str">
        <f>IF(943&gt;ROWS(DGArchive[变更前]),"",IF(INDEX(DGArchive[变更前],943)="","",INDEX(DGArchive[变更前],943)))</f>
        <v/>
      </c>
      <c r="CF1142" t="str">
        <f>IF(943&gt;ROWS(DGArchive[增减]),"",IF(INDEX(DGArchive[增减],943)="","",INDEX(DGArchive[增减],943)))</f>
        <v/>
      </c>
      <c r="CG1142" t="str">
        <f>IF(943&gt;ROWS(DGArchive[变更后]),"",IF(INDEX(DGArchive[变更后],943)="","",INDEX(DGArchive[变更后],943)))</f>
        <v/>
      </c>
      <c r="CH1142" t="str">
        <f>IF(943&gt;ROWS(DGArchive[事件／活动]),"",IF(INDEX(DGArchive[事件／活动],943)="","",INDEX(DGArchive[事件／活动],943)))</f>
        <v/>
      </c>
      <c r="CI1142" t="str">
        <f>IF(943&gt;ROWS(DGArchive[记录编号]),"",IF(INDEX(DGArchive[记录编号],943)="","",INDEX(DGArchive[记录编号],943)))</f>
        <v/>
      </c>
      <c r="CL1142">
        <f t="shared" si="434"/>
        <v>0</v>
      </c>
      <c r="CM1142">
        <f>IF(AND(A1142=$AO$5,B1142=$AQ$3,H1142=1),COUNTIFS($A$200:A1142,$AO$5,$B$200:B1142,$AQ$3,$H$200:H1142,1),0)</f>
        <v>0</v>
      </c>
      <c r="CN1142">
        <f>IF(CA1142="",943,1001)</f>
        <v>943</v>
      </c>
      <c r="GA1142">
        <f t="shared" si="454"/>
        <v>0</v>
      </c>
      <c r="GB1142">
        <f t="shared" si="455"/>
        <v>0</v>
      </c>
      <c r="GC1142">
        <f>IF(AND(C1142="事件记录",H1142=1),COUNTIFS($C$200:C1142,"事件记录",$H$200:H1142,1),0)</f>
        <v>0</v>
      </c>
      <c r="GD1142">
        <f t="shared" si="435"/>
        <v>0</v>
      </c>
      <c r="GH1142">
        <f>IF(AND(H1142=1,A1142=$GA$10,B1142=$GA$11),COUNTIFS($A$200:A1142,$GA$10,$B$200:B1142,$GA$11,$H$200:H1142,1),0)</f>
        <v>0</v>
      </c>
    </row>
    <row r="1143" spans="1:190">
      <c r="A1143" t="str">
        <f t="shared" si="426"/>
        <v/>
      </c>
      <c r="B1143" t="str">
        <f t="shared" si="427"/>
        <v/>
      </c>
      <c r="C1143" t="str">
        <f t="shared" si="428"/>
        <v/>
      </c>
      <c r="D1143" t="str">
        <f t="shared" si="429"/>
        <v/>
      </c>
      <c r="E1143">
        <f t="shared" si="430"/>
        <v>0</v>
      </c>
      <c r="F1143" t="str">
        <f t="shared" si="431"/>
        <v/>
      </c>
      <c r="G1143">
        <f t="shared" si="432"/>
        <v>0</v>
      </c>
      <c r="H1143">
        <f>IF(AND(G1143=1,COUNTIFS($I$200:I1143,I1143,$G$200:G1143,1)=1),1,0)</f>
        <v>0</v>
      </c>
      <c r="I1143" t="str">
        <f t="shared" si="433"/>
        <v/>
      </c>
      <c r="BF1143">
        <f t="shared" si="436"/>
        <v>0</v>
      </c>
      <c r="BG1143">
        <f t="shared" si="437"/>
        <v>0</v>
      </c>
      <c r="BH1143">
        <f t="shared" si="438"/>
        <v>0</v>
      </c>
      <c r="BI1143">
        <f t="shared" si="439"/>
        <v>0</v>
      </c>
      <c r="BJ1143">
        <f t="shared" si="440"/>
        <v>0</v>
      </c>
      <c r="BK1143">
        <f t="shared" si="441"/>
        <v>0</v>
      </c>
      <c r="BL1143">
        <f t="shared" si="442"/>
        <v>0</v>
      </c>
      <c r="BM1143">
        <f t="shared" si="443"/>
        <v>0</v>
      </c>
      <c r="BN1143">
        <f t="shared" si="444"/>
        <v>0</v>
      </c>
      <c r="BO1143">
        <f t="shared" si="445"/>
        <v>0</v>
      </c>
      <c r="BP1143">
        <f t="shared" si="446"/>
        <v>0</v>
      </c>
      <c r="BQ1143">
        <f t="shared" si="447"/>
        <v>0</v>
      </c>
      <c r="BR1143">
        <f t="shared" si="448"/>
        <v>0</v>
      </c>
      <c r="BS1143">
        <f t="shared" si="449"/>
        <v>0</v>
      </c>
      <c r="BT1143">
        <f t="shared" si="450"/>
        <v>0</v>
      </c>
      <c r="BU1143">
        <f t="shared" si="451"/>
        <v>0</v>
      </c>
      <c r="BV1143">
        <f t="shared" si="452"/>
        <v>0</v>
      </c>
      <c r="BW1143">
        <f t="shared" si="453"/>
        <v>0</v>
      </c>
      <c r="CA1143" t="str">
        <f>IF(944&gt;ROWS(DGArchive[模组]),"",IF(INDEX(DGArchive[模组],944)="","",INDEX(DGArchive[模组],944)))</f>
        <v/>
      </c>
      <c r="CB1143" t="str">
        <f>IF(944&gt;ROWS(DGArchive[阶段]),"",IF(INDEX(DGArchive[阶段],944)="","",INDEX(DGArchive[阶段],944)))</f>
        <v/>
      </c>
      <c r="CC1143" t="str">
        <f>IF(944&gt;ROWS(DGArchive[游戏内日期]),"",IF(INDEX(DGArchive[游戏内日期],944)="","",INDEX(DGArchive[游戏内日期],944)))</f>
        <v/>
      </c>
      <c r="CD1143" t="str">
        <f>IF(944&gt;ROWS(DGArchive[目标]),"",IF(INDEX(DGArchive[目标],944)="","",INDEX(DGArchive[目标],944)))</f>
        <v/>
      </c>
      <c r="CE1143" t="str">
        <f>IF(944&gt;ROWS(DGArchive[变更前]),"",IF(INDEX(DGArchive[变更前],944)="","",INDEX(DGArchive[变更前],944)))</f>
        <v/>
      </c>
      <c r="CF1143" t="str">
        <f>IF(944&gt;ROWS(DGArchive[增减]),"",IF(INDEX(DGArchive[增减],944)="","",INDEX(DGArchive[增减],944)))</f>
        <v/>
      </c>
      <c r="CG1143" t="str">
        <f>IF(944&gt;ROWS(DGArchive[变更后]),"",IF(INDEX(DGArchive[变更后],944)="","",INDEX(DGArchive[变更后],944)))</f>
        <v/>
      </c>
      <c r="CH1143" t="str">
        <f>IF(944&gt;ROWS(DGArchive[事件／活动]),"",IF(INDEX(DGArchive[事件／活动],944)="","",INDEX(DGArchive[事件／活动],944)))</f>
        <v/>
      </c>
      <c r="CI1143" t="str">
        <f>IF(944&gt;ROWS(DGArchive[记录编号]),"",IF(INDEX(DGArchive[记录编号],944)="","",INDEX(DGArchive[记录编号],944)))</f>
        <v/>
      </c>
      <c r="CL1143">
        <f t="shared" si="434"/>
        <v>0</v>
      </c>
      <c r="CM1143">
        <f>IF(AND(A1143=$AO$5,B1143=$AQ$3,H1143=1),COUNTIFS($A$200:A1143,$AO$5,$B$200:B1143,$AQ$3,$H$200:H1143,1),0)</f>
        <v>0</v>
      </c>
      <c r="CN1143">
        <f>IF(CA1143="",944,1001)</f>
        <v>944</v>
      </c>
      <c r="GA1143">
        <f t="shared" si="454"/>
        <v>0</v>
      </c>
      <c r="GB1143">
        <f t="shared" si="455"/>
        <v>0</v>
      </c>
      <c r="GC1143">
        <f>IF(AND(C1143="事件记录",H1143=1),COUNTIFS($C$200:C1143,"事件记录",$H$200:H1143,1),0)</f>
        <v>0</v>
      </c>
      <c r="GD1143">
        <f t="shared" si="435"/>
        <v>0</v>
      </c>
      <c r="GH1143">
        <f>IF(AND(H1143=1,A1143=$GA$10,B1143=$GA$11),COUNTIFS($A$200:A1143,$GA$10,$B$200:B1143,$GA$11,$H$200:H1143,1),0)</f>
        <v>0</v>
      </c>
    </row>
    <row r="1144" spans="1:190">
      <c r="A1144" t="str">
        <f t="shared" si="426"/>
        <v/>
      </c>
      <c r="B1144" t="str">
        <f t="shared" si="427"/>
        <v/>
      </c>
      <c r="C1144" t="str">
        <f t="shared" si="428"/>
        <v/>
      </c>
      <c r="D1144" t="str">
        <f t="shared" si="429"/>
        <v/>
      </c>
      <c r="E1144">
        <f t="shared" si="430"/>
        <v>0</v>
      </c>
      <c r="F1144" t="str">
        <f t="shared" si="431"/>
        <v/>
      </c>
      <c r="G1144">
        <f t="shared" si="432"/>
        <v>0</v>
      </c>
      <c r="H1144">
        <f>IF(AND(G1144=1,COUNTIFS($I$200:I1144,I1144,$G$200:G1144,1)=1),1,0)</f>
        <v>0</v>
      </c>
      <c r="I1144" t="str">
        <f t="shared" si="433"/>
        <v/>
      </c>
      <c r="BF1144">
        <f t="shared" si="436"/>
        <v>0</v>
      </c>
      <c r="BG1144">
        <f t="shared" si="437"/>
        <v>0</v>
      </c>
      <c r="BH1144">
        <f t="shared" si="438"/>
        <v>0</v>
      </c>
      <c r="BI1144">
        <f t="shared" si="439"/>
        <v>0</v>
      </c>
      <c r="BJ1144">
        <f t="shared" si="440"/>
        <v>0</v>
      </c>
      <c r="BK1144">
        <f t="shared" si="441"/>
        <v>0</v>
      </c>
      <c r="BL1144">
        <f t="shared" si="442"/>
        <v>0</v>
      </c>
      <c r="BM1144">
        <f t="shared" si="443"/>
        <v>0</v>
      </c>
      <c r="BN1144">
        <f t="shared" si="444"/>
        <v>0</v>
      </c>
      <c r="BO1144">
        <f t="shared" si="445"/>
        <v>0</v>
      </c>
      <c r="BP1144">
        <f t="shared" si="446"/>
        <v>0</v>
      </c>
      <c r="BQ1144">
        <f t="shared" si="447"/>
        <v>0</v>
      </c>
      <c r="BR1144">
        <f t="shared" si="448"/>
        <v>0</v>
      </c>
      <c r="BS1144">
        <f t="shared" si="449"/>
        <v>0</v>
      </c>
      <c r="BT1144">
        <f t="shared" si="450"/>
        <v>0</v>
      </c>
      <c r="BU1144">
        <f t="shared" si="451"/>
        <v>0</v>
      </c>
      <c r="BV1144">
        <f t="shared" si="452"/>
        <v>0</v>
      </c>
      <c r="BW1144">
        <f t="shared" si="453"/>
        <v>0</v>
      </c>
      <c r="CA1144" t="str">
        <f>IF(945&gt;ROWS(DGArchive[模组]),"",IF(INDEX(DGArchive[模组],945)="","",INDEX(DGArchive[模组],945)))</f>
        <v/>
      </c>
      <c r="CB1144" t="str">
        <f>IF(945&gt;ROWS(DGArchive[阶段]),"",IF(INDEX(DGArchive[阶段],945)="","",INDEX(DGArchive[阶段],945)))</f>
        <v/>
      </c>
      <c r="CC1144" t="str">
        <f>IF(945&gt;ROWS(DGArchive[游戏内日期]),"",IF(INDEX(DGArchive[游戏内日期],945)="","",INDEX(DGArchive[游戏内日期],945)))</f>
        <v/>
      </c>
      <c r="CD1144" t="str">
        <f>IF(945&gt;ROWS(DGArchive[目标]),"",IF(INDEX(DGArchive[目标],945)="","",INDEX(DGArchive[目标],945)))</f>
        <v/>
      </c>
      <c r="CE1144" t="str">
        <f>IF(945&gt;ROWS(DGArchive[变更前]),"",IF(INDEX(DGArchive[变更前],945)="","",INDEX(DGArchive[变更前],945)))</f>
        <v/>
      </c>
      <c r="CF1144" t="str">
        <f>IF(945&gt;ROWS(DGArchive[增减]),"",IF(INDEX(DGArchive[增减],945)="","",INDEX(DGArchive[增减],945)))</f>
        <v/>
      </c>
      <c r="CG1144" t="str">
        <f>IF(945&gt;ROWS(DGArchive[变更后]),"",IF(INDEX(DGArchive[变更后],945)="","",INDEX(DGArchive[变更后],945)))</f>
        <v/>
      </c>
      <c r="CH1144" t="str">
        <f>IF(945&gt;ROWS(DGArchive[事件／活动]),"",IF(INDEX(DGArchive[事件／活动],945)="","",INDEX(DGArchive[事件／活动],945)))</f>
        <v/>
      </c>
      <c r="CI1144" t="str">
        <f>IF(945&gt;ROWS(DGArchive[记录编号]),"",IF(INDEX(DGArchive[记录编号],945)="","",INDEX(DGArchive[记录编号],945)))</f>
        <v/>
      </c>
      <c r="CL1144">
        <f t="shared" si="434"/>
        <v>0</v>
      </c>
      <c r="CM1144">
        <f>IF(AND(A1144=$AO$5,B1144=$AQ$3,H1144=1),COUNTIFS($A$200:A1144,$AO$5,$B$200:B1144,$AQ$3,$H$200:H1144,1),0)</f>
        <v>0</v>
      </c>
      <c r="CN1144">
        <f>IF(CA1144="",945,1001)</f>
        <v>945</v>
      </c>
      <c r="GA1144">
        <f t="shared" si="454"/>
        <v>0</v>
      </c>
      <c r="GB1144">
        <f t="shared" si="455"/>
        <v>0</v>
      </c>
      <c r="GC1144">
        <f>IF(AND(C1144="事件记录",H1144=1),COUNTIFS($C$200:C1144,"事件记录",$H$200:H1144,1),0)</f>
        <v>0</v>
      </c>
      <c r="GD1144">
        <f t="shared" si="435"/>
        <v>0</v>
      </c>
      <c r="GH1144">
        <f>IF(AND(H1144=1,A1144=$GA$10,B1144=$GA$11),COUNTIFS($A$200:A1144,$GA$10,$B$200:B1144,$GA$11,$H$200:H1144,1),0)</f>
        <v>0</v>
      </c>
    </row>
    <row r="1145" spans="1:190">
      <c r="A1145" t="str">
        <f t="shared" si="426"/>
        <v/>
      </c>
      <c r="B1145" t="str">
        <f t="shared" si="427"/>
        <v/>
      </c>
      <c r="C1145" t="str">
        <f t="shared" si="428"/>
        <v/>
      </c>
      <c r="D1145" t="str">
        <f t="shared" si="429"/>
        <v/>
      </c>
      <c r="E1145">
        <f t="shared" si="430"/>
        <v>0</v>
      </c>
      <c r="F1145" t="str">
        <f t="shared" si="431"/>
        <v/>
      </c>
      <c r="G1145">
        <f t="shared" si="432"/>
        <v>0</v>
      </c>
      <c r="H1145">
        <f>IF(AND(G1145=1,COUNTIFS($I$200:I1145,I1145,$G$200:G1145,1)=1),1,0)</f>
        <v>0</v>
      </c>
      <c r="I1145" t="str">
        <f t="shared" si="433"/>
        <v/>
      </c>
      <c r="BF1145">
        <f t="shared" si="436"/>
        <v>0</v>
      </c>
      <c r="BG1145">
        <f t="shared" si="437"/>
        <v>0</v>
      </c>
      <c r="BH1145">
        <f t="shared" si="438"/>
        <v>0</v>
      </c>
      <c r="BI1145">
        <f t="shared" si="439"/>
        <v>0</v>
      </c>
      <c r="BJ1145">
        <f t="shared" si="440"/>
        <v>0</v>
      </c>
      <c r="BK1145">
        <f t="shared" si="441"/>
        <v>0</v>
      </c>
      <c r="BL1145">
        <f t="shared" si="442"/>
        <v>0</v>
      </c>
      <c r="BM1145">
        <f t="shared" si="443"/>
        <v>0</v>
      </c>
      <c r="BN1145">
        <f t="shared" si="444"/>
        <v>0</v>
      </c>
      <c r="BO1145">
        <f t="shared" si="445"/>
        <v>0</v>
      </c>
      <c r="BP1145">
        <f t="shared" si="446"/>
        <v>0</v>
      </c>
      <c r="BQ1145">
        <f t="shared" si="447"/>
        <v>0</v>
      </c>
      <c r="BR1145">
        <f t="shared" si="448"/>
        <v>0</v>
      </c>
      <c r="BS1145">
        <f t="shared" si="449"/>
        <v>0</v>
      </c>
      <c r="BT1145">
        <f t="shared" si="450"/>
        <v>0</v>
      </c>
      <c r="BU1145">
        <f t="shared" si="451"/>
        <v>0</v>
      </c>
      <c r="BV1145">
        <f t="shared" si="452"/>
        <v>0</v>
      </c>
      <c r="BW1145">
        <f t="shared" si="453"/>
        <v>0</v>
      </c>
      <c r="CA1145" t="str">
        <f>IF(946&gt;ROWS(DGArchive[模组]),"",IF(INDEX(DGArchive[模组],946)="","",INDEX(DGArchive[模组],946)))</f>
        <v/>
      </c>
      <c r="CB1145" t="str">
        <f>IF(946&gt;ROWS(DGArchive[阶段]),"",IF(INDEX(DGArchive[阶段],946)="","",INDEX(DGArchive[阶段],946)))</f>
        <v/>
      </c>
      <c r="CC1145" t="str">
        <f>IF(946&gt;ROWS(DGArchive[游戏内日期]),"",IF(INDEX(DGArchive[游戏内日期],946)="","",INDEX(DGArchive[游戏内日期],946)))</f>
        <v/>
      </c>
      <c r="CD1145" t="str">
        <f>IF(946&gt;ROWS(DGArchive[目标]),"",IF(INDEX(DGArchive[目标],946)="","",INDEX(DGArchive[目标],946)))</f>
        <v/>
      </c>
      <c r="CE1145" t="str">
        <f>IF(946&gt;ROWS(DGArchive[变更前]),"",IF(INDEX(DGArchive[变更前],946)="","",INDEX(DGArchive[变更前],946)))</f>
        <v/>
      </c>
      <c r="CF1145" t="str">
        <f>IF(946&gt;ROWS(DGArchive[增减]),"",IF(INDEX(DGArchive[增减],946)="","",INDEX(DGArchive[增减],946)))</f>
        <v/>
      </c>
      <c r="CG1145" t="str">
        <f>IF(946&gt;ROWS(DGArchive[变更后]),"",IF(INDEX(DGArchive[变更后],946)="","",INDEX(DGArchive[变更后],946)))</f>
        <v/>
      </c>
      <c r="CH1145" t="str">
        <f>IF(946&gt;ROWS(DGArchive[事件／活动]),"",IF(INDEX(DGArchive[事件／活动],946)="","",INDEX(DGArchive[事件／活动],946)))</f>
        <v/>
      </c>
      <c r="CI1145" t="str">
        <f>IF(946&gt;ROWS(DGArchive[记录编号]),"",IF(INDEX(DGArchive[记录编号],946)="","",INDEX(DGArchive[记录编号],946)))</f>
        <v/>
      </c>
      <c r="CL1145">
        <f t="shared" si="434"/>
        <v>0</v>
      </c>
      <c r="CM1145">
        <f>IF(AND(A1145=$AO$5,B1145=$AQ$3,H1145=1),COUNTIFS($A$200:A1145,$AO$5,$B$200:B1145,$AQ$3,$H$200:H1145,1),0)</f>
        <v>0</v>
      </c>
      <c r="CN1145">
        <f>IF(CA1145="",946,1001)</f>
        <v>946</v>
      </c>
      <c r="GA1145">
        <f t="shared" si="454"/>
        <v>0</v>
      </c>
      <c r="GB1145">
        <f t="shared" si="455"/>
        <v>0</v>
      </c>
      <c r="GC1145">
        <f>IF(AND(C1145="事件记录",H1145=1),COUNTIFS($C$200:C1145,"事件记录",$H$200:H1145,1),0)</f>
        <v>0</v>
      </c>
      <c r="GD1145">
        <f t="shared" si="435"/>
        <v>0</v>
      </c>
      <c r="GH1145">
        <f>IF(AND(H1145=1,A1145=$GA$10,B1145=$GA$11),COUNTIFS($A$200:A1145,$GA$10,$B$200:B1145,$GA$11,$H$200:H1145,1),0)</f>
        <v>0</v>
      </c>
    </row>
    <row r="1146" spans="1:190">
      <c r="A1146" t="str">
        <f t="shared" si="426"/>
        <v/>
      </c>
      <c r="B1146" t="str">
        <f t="shared" si="427"/>
        <v/>
      </c>
      <c r="C1146" t="str">
        <f t="shared" si="428"/>
        <v/>
      </c>
      <c r="D1146" t="str">
        <f t="shared" si="429"/>
        <v/>
      </c>
      <c r="E1146">
        <f t="shared" si="430"/>
        <v>0</v>
      </c>
      <c r="F1146" t="str">
        <f t="shared" si="431"/>
        <v/>
      </c>
      <c r="G1146">
        <f t="shared" si="432"/>
        <v>0</v>
      </c>
      <c r="H1146">
        <f>IF(AND(G1146=1,COUNTIFS($I$200:I1146,I1146,$G$200:G1146,1)=1),1,0)</f>
        <v>0</v>
      </c>
      <c r="I1146" t="str">
        <f t="shared" si="433"/>
        <v/>
      </c>
      <c r="BF1146">
        <f t="shared" si="436"/>
        <v>0</v>
      </c>
      <c r="BG1146">
        <f t="shared" si="437"/>
        <v>0</v>
      </c>
      <c r="BH1146">
        <f t="shared" si="438"/>
        <v>0</v>
      </c>
      <c r="BI1146">
        <f t="shared" si="439"/>
        <v>0</v>
      </c>
      <c r="BJ1146">
        <f t="shared" si="440"/>
        <v>0</v>
      </c>
      <c r="BK1146">
        <f t="shared" si="441"/>
        <v>0</v>
      </c>
      <c r="BL1146">
        <f t="shared" si="442"/>
        <v>0</v>
      </c>
      <c r="BM1146">
        <f t="shared" si="443"/>
        <v>0</v>
      </c>
      <c r="BN1146">
        <f t="shared" si="444"/>
        <v>0</v>
      </c>
      <c r="BO1146">
        <f t="shared" si="445"/>
        <v>0</v>
      </c>
      <c r="BP1146">
        <f t="shared" si="446"/>
        <v>0</v>
      </c>
      <c r="BQ1146">
        <f t="shared" si="447"/>
        <v>0</v>
      </c>
      <c r="BR1146">
        <f t="shared" si="448"/>
        <v>0</v>
      </c>
      <c r="BS1146">
        <f t="shared" si="449"/>
        <v>0</v>
      </c>
      <c r="BT1146">
        <f t="shared" si="450"/>
        <v>0</v>
      </c>
      <c r="BU1146">
        <f t="shared" si="451"/>
        <v>0</v>
      </c>
      <c r="BV1146">
        <f t="shared" si="452"/>
        <v>0</v>
      </c>
      <c r="BW1146">
        <f t="shared" si="453"/>
        <v>0</v>
      </c>
      <c r="CA1146" t="str">
        <f>IF(947&gt;ROWS(DGArchive[模组]),"",IF(INDEX(DGArchive[模组],947)="","",INDEX(DGArchive[模组],947)))</f>
        <v/>
      </c>
      <c r="CB1146" t="str">
        <f>IF(947&gt;ROWS(DGArchive[阶段]),"",IF(INDEX(DGArchive[阶段],947)="","",INDEX(DGArchive[阶段],947)))</f>
        <v/>
      </c>
      <c r="CC1146" t="str">
        <f>IF(947&gt;ROWS(DGArchive[游戏内日期]),"",IF(INDEX(DGArchive[游戏内日期],947)="","",INDEX(DGArchive[游戏内日期],947)))</f>
        <v/>
      </c>
      <c r="CD1146" t="str">
        <f>IF(947&gt;ROWS(DGArchive[目标]),"",IF(INDEX(DGArchive[目标],947)="","",INDEX(DGArchive[目标],947)))</f>
        <v/>
      </c>
      <c r="CE1146" t="str">
        <f>IF(947&gt;ROWS(DGArchive[变更前]),"",IF(INDEX(DGArchive[变更前],947)="","",INDEX(DGArchive[变更前],947)))</f>
        <v/>
      </c>
      <c r="CF1146" t="str">
        <f>IF(947&gt;ROWS(DGArchive[增减]),"",IF(INDEX(DGArchive[增减],947)="","",INDEX(DGArchive[增减],947)))</f>
        <v/>
      </c>
      <c r="CG1146" t="str">
        <f>IF(947&gt;ROWS(DGArchive[变更后]),"",IF(INDEX(DGArchive[变更后],947)="","",INDEX(DGArchive[变更后],947)))</f>
        <v/>
      </c>
      <c r="CH1146" t="str">
        <f>IF(947&gt;ROWS(DGArchive[事件／活动]),"",IF(INDEX(DGArchive[事件／活动],947)="","",INDEX(DGArchive[事件／活动],947)))</f>
        <v/>
      </c>
      <c r="CI1146" t="str">
        <f>IF(947&gt;ROWS(DGArchive[记录编号]),"",IF(INDEX(DGArchive[记录编号],947)="","",INDEX(DGArchive[记录编号],947)))</f>
        <v/>
      </c>
      <c r="CL1146">
        <f t="shared" si="434"/>
        <v>0</v>
      </c>
      <c r="CM1146">
        <f>IF(AND(A1146=$AO$5,B1146=$AQ$3,H1146=1),COUNTIFS($A$200:A1146,$AO$5,$B$200:B1146,$AQ$3,$H$200:H1146,1),0)</f>
        <v>0</v>
      </c>
      <c r="CN1146">
        <f>IF(CA1146="",947,1001)</f>
        <v>947</v>
      </c>
      <c r="GA1146">
        <f t="shared" si="454"/>
        <v>0</v>
      </c>
      <c r="GB1146">
        <f t="shared" si="455"/>
        <v>0</v>
      </c>
      <c r="GC1146">
        <f>IF(AND(C1146="事件记录",H1146=1),COUNTIFS($C$200:C1146,"事件记录",$H$200:H1146,1),0)</f>
        <v>0</v>
      </c>
      <c r="GD1146">
        <f t="shared" si="435"/>
        <v>0</v>
      </c>
      <c r="GH1146">
        <f>IF(AND(H1146=1,A1146=$GA$10,B1146=$GA$11),COUNTIFS($A$200:A1146,$GA$10,$B$200:B1146,$GA$11,$H$200:H1146,1),0)</f>
        <v>0</v>
      </c>
    </row>
    <row r="1147" spans="1:190">
      <c r="A1147" t="str">
        <f t="shared" si="426"/>
        <v/>
      </c>
      <c r="B1147" t="str">
        <f t="shared" si="427"/>
        <v/>
      </c>
      <c r="C1147" t="str">
        <f t="shared" si="428"/>
        <v/>
      </c>
      <c r="D1147" t="str">
        <f t="shared" si="429"/>
        <v/>
      </c>
      <c r="E1147">
        <f t="shared" si="430"/>
        <v>0</v>
      </c>
      <c r="F1147" t="str">
        <f t="shared" si="431"/>
        <v/>
      </c>
      <c r="G1147">
        <f t="shared" si="432"/>
        <v>0</v>
      </c>
      <c r="H1147">
        <f>IF(AND(G1147=1,COUNTIFS($I$200:I1147,I1147,$G$200:G1147,1)=1),1,0)</f>
        <v>0</v>
      </c>
      <c r="I1147" t="str">
        <f t="shared" si="433"/>
        <v/>
      </c>
      <c r="BF1147">
        <f t="shared" si="436"/>
        <v>0</v>
      </c>
      <c r="BG1147">
        <f t="shared" si="437"/>
        <v>0</v>
      </c>
      <c r="BH1147">
        <f t="shared" si="438"/>
        <v>0</v>
      </c>
      <c r="BI1147">
        <f t="shared" si="439"/>
        <v>0</v>
      </c>
      <c r="BJ1147">
        <f t="shared" si="440"/>
        <v>0</v>
      </c>
      <c r="BK1147">
        <f t="shared" si="441"/>
        <v>0</v>
      </c>
      <c r="BL1147">
        <f t="shared" si="442"/>
        <v>0</v>
      </c>
      <c r="BM1147">
        <f t="shared" si="443"/>
        <v>0</v>
      </c>
      <c r="BN1147">
        <f t="shared" si="444"/>
        <v>0</v>
      </c>
      <c r="BO1147">
        <f t="shared" si="445"/>
        <v>0</v>
      </c>
      <c r="BP1147">
        <f t="shared" si="446"/>
        <v>0</v>
      </c>
      <c r="BQ1147">
        <f t="shared" si="447"/>
        <v>0</v>
      </c>
      <c r="BR1147">
        <f t="shared" si="448"/>
        <v>0</v>
      </c>
      <c r="BS1147">
        <f t="shared" si="449"/>
        <v>0</v>
      </c>
      <c r="BT1147">
        <f t="shared" si="450"/>
        <v>0</v>
      </c>
      <c r="BU1147">
        <f t="shared" si="451"/>
        <v>0</v>
      </c>
      <c r="BV1147">
        <f t="shared" si="452"/>
        <v>0</v>
      </c>
      <c r="BW1147">
        <f t="shared" si="453"/>
        <v>0</v>
      </c>
      <c r="CA1147" t="str">
        <f>IF(948&gt;ROWS(DGArchive[模组]),"",IF(INDEX(DGArchive[模组],948)="","",INDEX(DGArchive[模组],948)))</f>
        <v/>
      </c>
      <c r="CB1147" t="str">
        <f>IF(948&gt;ROWS(DGArchive[阶段]),"",IF(INDEX(DGArchive[阶段],948)="","",INDEX(DGArchive[阶段],948)))</f>
        <v/>
      </c>
      <c r="CC1147" t="str">
        <f>IF(948&gt;ROWS(DGArchive[游戏内日期]),"",IF(INDEX(DGArchive[游戏内日期],948)="","",INDEX(DGArchive[游戏内日期],948)))</f>
        <v/>
      </c>
      <c r="CD1147" t="str">
        <f>IF(948&gt;ROWS(DGArchive[目标]),"",IF(INDEX(DGArchive[目标],948)="","",INDEX(DGArchive[目标],948)))</f>
        <v/>
      </c>
      <c r="CE1147" t="str">
        <f>IF(948&gt;ROWS(DGArchive[变更前]),"",IF(INDEX(DGArchive[变更前],948)="","",INDEX(DGArchive[变更前],948)))</f>
        <v/>
      </c>
      <c r="CF1147" t="str">
        <f>IF(948&gt;ROWS(DGArchive[增减]),"",IF(INDEX(DGArchive[增减],948)="","",INDEX(DGArchive[增减],948)))</f>
        <v/>
      </c>
      <c r="CG1147" t="str">
        <f>IF(948&gt;ROWS(DGArchive[变更后]),"",IF(INDEX(DGArchive[变更后],948)="","",INDEX(DGArchive[变更后],948)))</f>
        <v/>
      </c>
      <c r="CH1147" t="str">
        <f>IF(948&gt;ROWS(DGArchive[事件／活动]),"",IF(INDEX(DGArchive[事件／活动],948)="","",INDEX(DGArchive[事件／活动],948)))</f>
        <v/>
      </c>
      <c r="CI1147" t="str">
        <f>IF(948&gt;ROWS(DGArchive[记录编号]),"",IF(INDEX(DGArchive[记录编号],948)="","",INDEX(DGArchive[记录编号],948)))</f>
        <v/>
      </c>
      <c r="CL1147">
        <f t="shared" si="434"/>
        <v>0</v>
      </c>
      <c r="CM1147">
        <f>IF(AND(A1147=$AO$5,B1147=$AQ$3,H1147=1),COUNTIFS($A$200:A1147,$AO$5,$B$200:B1147,$AQ$3,$H$200:H1147,1),0)</f>
        <v>0</v>
      </c>
      <c r="CN1147">
        <f>IF(CA1147="",948,1001)</f>
        <v>948</v>
      </c>
      <c r="GA1147">
        <f t="shared" si="454"/>
        <v>0</v>
      </c>
      <c r="GB1147">
        <f t="shared" si="455"/>
        <v>0</v>
      </c>
      <c r="GC1147">
        <f>IF(AND(C1147="事件记录",H1147=1),COUNTIFS($C$200:C1147,"事件记录",$H$200:H1147,1),0)</f>
        <v>0</v>
      </c>
      <c r="GD1147">
        <f t="shared" si="435"/>
        <v>0</v>
      </c>
      <c r="GH1147">
        <f>IF(AND(H1147=1,A1147=$GA$10,B1147=$GA$11),COUNTIFS($A$200:A1147,$GA$10,$B$200:B1147,$GA$11,$H$200:H1147,1),0)</f>
        <v>0</v>
      </c>
    </row>
    <row r="1148" spans="1:190">
      <c r="A1148" t="str">
        <f t="shared" si="426"/>
        <v/>
      </c>
      <c r="B1148" t="str">
        <f t="shared" si="427"/>
        <v/>
      </c>
      <c r="C1148" t="str">
        <f t="shared" si="428"/>
        <v/>
      </c>
      <c r="D1148" t="str">
        <f t="shared" si="429"/>
        <v/>
      </c>
      <c r="E1148">
        <f t="shared" si="430"/>
        <v>0</v>
      </c>
      <c r="F1148" t="str">
        <f t="shared" si="431"/>
        <v/>
      </c>
      <c r="G1148">
        <f t="shared" si="432"/>
        <v>0</v>
      </c>
      <c r="H1148">
        <f>IF(AND(G1148=1,COUNTIFS($I$200:I1148,I1148,$G$200:G1148,1)=1),1,0)</f>
        <v>0</v>
      </c>
      <c r="I1148" t="str">
        <f t="shared" si="433"/>
        <v/>
      </c>
      <c r="BF1148">
        <f t="shared" si="436"/>
        <v>0</v>
      </c>
      <c r="BG1148">
        <f t="shared" si="437"/>
        <v>0</v>
      </c>
      <c r="BH1148">
        <f t="shared" si="438"/>
        <v>0</v>
      </c>
      <c r="BI1148">
        <f t="shared" si="439"/>
        <v>0</v>
      </c>
      <c r="BJ1148">
        <f t="shared" si="440"/>
        <v>0</v>
      </c>
      <c r="BK1148">
        <f t="shared" si="441"/>
        <v>0</v>
      </c>
      <c r="BL1148">
        <f t="shared" si="442"/>
        <v>0</v>
      </c>
      <c r="BM1148">
        <f t="shared" si="443"/>
        <v>0</v>
      </c>
      <c r="BN1148">
        <f t="shared" si="444"/>
        <v>0</v>
      </c>
      <c r="BO1148">
        <f t="shared" si="445"/>
        <v>0</v>
      </c>
      <c r="BP1148">
        <f t="shared" si="446"/>
        <v>0</v>
      </c>
      <c r="BQ1148">
        <f t="shared" si="447"/>
        <v>0</v>
      </c>
      <c r="BR1148">
        <f t="shared" si="448"/>
        <v>0</v>
      </c>
      <c r="BS1148">
        <f t="shared" si="449"/>
        <v>0</v>
      </c>
      <c r="BT1148">
        <f t="shared" si="450"/>
        <v>0</v>
      </c>
      <c r="BU1148">
        <f t="shared" si="451"/>
        <v>0</v>
      </c>
      <c r="BV1148">
        <f t="shared" si="452"/>
        <v>0</v>
      </c>
      <c r="BW1148">
        <f t="shared" si="453"/>
        <v>0</v>
      </c>
      <c r="CA1148" t="str">
        <f>IF(949&gt;ROWS(DGArchive[模组]),"",IF(INDEX(DGArchive[模组],949)="","",INDEX(DGArchive[模组],949)))</f>
        <v/>
      </c>
      <c r="CB1148" t="str">
        <f>IF(949&gt;ROWS(DGArchive[阶段]),"",IF(INDEX(DGArchive[阶段],949)="","",INDEX(DGArchive[阶段],949)))</f>
        <v/>
      </c>
      <c r="CC1148" t="str">
        <f>IF(949&gt;ROWS(DGArchive[游戏内日期]),"",IF(INDEX(DGArchive[游戏内日期],949)="","",INDEX(DGArchive[游戏内日期],949)))</f>
        <v/>
      </c>
      <c r="CD1148" t="str">
        <f>IF(949&gt;ROWS(DGArchive[目标]),"",IF(INDEX(DGArchive[目标],949)="","",INDEX(DGArchive[目标],949)))</f>
        <v/>
      </c>
      <c r="CE1148" t="str">
        <f>IF(949&gt;ROWS(DGArchive[变更前]),"",IF(INDEX(DGArchive[变更前],949)="","",INDEX(DGArchive[变更前],949)))</f>
        <v/>
      </c>
      <c r="CF1148" t="str">
        <f>IF(949&gt;ROWS(DGArchive[增减]),"",IF(INDEX(DGArchive[增减],949)="","",INDEX(DGArchive[增减],949)))</f>
        <v/>
      </c>
      <c r="CG1148" t="str">
        <f>IF(949&gt;ROWS(DGArchive[变更后]),"",IF(INDEX(DGArchive[变更后],949)="","",INDEX(DGArchive[变更后],949)))</f>
        <v/>
      </c>
      <c r="CH1148" t="str">
        <f>IF(949&gt;ROWS(DGArchive[事件／活动]),"",IF(INDEX(DGArchive[事件／活动],949)="","",INDEX(DGArchive[事件／活动],949)))</f>
        <v/>
      </c>
      <c r="CI1148" t="str">
        <f>IF(949&gt;ROWS(DGArchive[记录编号]),"",IF(INDEX(DGArchive[记录编号],949)="","",INDEX(DGArchive[记录编号],949)))</f>
        <v/>
      </c>
      <c r="CL1148">
        <f t="shared" si="434"/>
        <v>0</v>
      </c>
      <c r="CM1148">
        <f>IF(AND(A1148=$AO$5,B1148=$AQ$3,H1148=1),COUNTIFS($A$200:A1148,$AO$5,$B$200:B1148,$AQ$3,$H$200:H1148,1),0)</f>
        <v>0</v>
      </c>
      <c r="CN1148">
        <f>IF(CA1148="",949,1001)</f>
        <v>949</v>
      </c>
      <c r="GA1148">
        <f t="shared" si="454"/>
        <v>0</v>
      </c>
      <c r="GB1148">
        <f t="shared" si="455"/>
        <v>0</v>
      </c>
      <c r="GC1148">
        <f>IF(AND(C1148="事件记录",H1148=1),COUNTIFS($C$200:C1148,"事件记录",$H$200:H1148,1),0)</f>
        <v>0</v>
      </c>
      <c r="GD1148">
        <f t="shared" si="435"/>
        <v>0</v>
      </c>
      <c r="GH1148">
        <f>IF(AND(H1148=1,A1148=$GA$10,B1148=$GA$11),COUNTIFS($A$200:A1148,$GA$10,$B$200:B1148,$GA$11,$H$200:H1148,1),0)</f>
        <v>0</v>
      </c>
    </row>
    <row r="1149" spans="1:190">
      <c r="A1149" t="str">
        <f t="shared" si="426"/>
        <v/>
      </c>
      <c r="B1149" t="str">
        <f t="shared" si="427"/>
        <v/>
      </c>
      <c r="C1149" t="str">
        <f t="shared" si="428"/>
        <v/>
      </c>
      <c r="D1149" t="str">
        <f t="shared" si="429"/>
        <v/>
      </c>
      <c r="E1149">
        <f t="shared" si="430"/>
        <v>0</v>
      </c>
      <c r="F1149" t="str">
        <f t="shared" si="431"/>
        <v/>
      </c>
      <c r="G1149">
        <f t="shared" si="432"/>
        <v>0</v>
      </c>
      <c r="H1149">
        <f>IF(AND(G1149=1,COUNTIFS($I$200:I1149,I1149,$G$200:G1149,1)=1),1,0)</f>
        <v>0</v>
      </c>
      <c r="I1149" t="str">
        <f t="shared" si="433"/>
        <v/>
      </c>
      <c r="BF1149">
        <f t="shared" si="436"/>
        <v>0</v>
      </c>
      <c r="BG1149">
        <f t="shared" si="437"/>
        <v>0</v>
      </c>
      <c r="BH1149">
        <f t="shared" si="438"/>
        <v>0</v>
      </c>
      <c r="BI1149">
        <f t="shared" si="439"/>
        <v>0</v>
      </c>
      <c r="BJ1149">
        <f t="shared" si="440"/>
        <v>0</v>
      </c>
      <c r="BK1149">
        <f t="shared" si="441"/>
        <v>0</v>
      </c>
      <c r="BL1149">
        <f t="shared" si="442"/>
        <v>0</v>
      </c>
      <c r="BM1149">
        <f t="shared" si="443"/>
        <v>0</v>
      </c>
      <c r="BN1149">
        <f t="shared" si="444"/>
        <v>0</v>
      </c>
      <c r="BO1149">
        <f t="shared" si="445"/>
        <v>0</v>
      </c>
      <c r="BP1149">
        <f t="shared" si="446"/>
        <v>0</v>
      </c>
      <c r="BQ1149">
        <f t="shared" si="447"/>
        <v>0</v>
      </c>
      <c r="BR1149">
        <f t="shared" si="448"/>
        <v>0</v>
      </c>
      <c r="BS1149">
        <f t="shared" si="449"/>
        <v>0</v>
      </c>
      <c r="BT1149">
        <f t="shared" si="450"/>
        <v>0</v>
      </c>
      <c r="BU1149">
        <f t="shared" si="451"/>
        <v>0</v>
      </c>
      <c r="BV1149">
        <f t="shared" si="452"/>
        <v>0</v>
      </c>
      <c r="BW1149">
        <f t="shared" si="453"/>
        <v>0</v>
      </c>
      <c r="CA1149" t="str">
        <f>IF(950&gt;ROWS(DGArchive[模组]),"",IF(INDEX(DGArchive[模组],950)="","",INDEX(DGArchive[模组],950)))</f>
        <v/>
      </c>
      <c r="CB1149" t="str">
        <f>IF(950&gt;ROWS(DGArchive[阶段]),"",IF(INDEX(DGArchive[阶段],950)="","",INDEX(DGArchive[阶段],950)))</f>
        <v/>
      </c>
      <c r="CC1149" t="str">
        <f>IF(950&gt;ROWS(DGArchive[游戏内日期]),"",IF(INDEX(DGArchive[游戏内日期],950)="","",INDEX(DGArchive[游戏内日期],950)))</f>
        <v/>
      </c>
      <c r="CD1149" t="str">
        <f>IF(950&gt;ROWS(DGArchive[目标]),"",IF(INDEX(DGArchive[目标],950)="","",INDEX(DGArchive[目标],950)))</f>
        <v/>
      </c>
      <c r="CE1149" t="str">
        <f>IF(950&gt;ROWS(DGArchive[变更前]),"",IF(INDEX(DGArchive[变更前],950)="","",INDEX(DGArchive[变更前],950)))</f>
        <v/>
      </c>
      <c r="CF1149" t="str">
        <f>IF(950&gt;ROWS(DGArchive[增减]),"",IF(INDEX(DGArchive[增减],950)="","",INDEX(DGArchive[增减],950)))</f>
        <v/>
      </c>
      <c r="CG1149" t="str">
        <f>IF(950&gt;ROWS(DGArchive[变更后]),"",IF(INDEX(DGArchive[变更后],950)="","",INDEX(DGArchive[变更后],950)))</f>
        <v/>
      </c>
      <c r="CH1149" t="str">
        <f>IF(950&gt;ROWS(DGArchive[事件／活动]),"",IF(INDEX(DGArchive[事件／活动],950)="","",INDEX(DGArchive[事件／活动],950)))</f>
        <v/>
      </c>
      <c r="CI1149" t="str">
        <f>IF(950&gt;ROWS(DGArchive[记录编号]),"",IF(INDEX(DGArchive[记录编号],950)="","",INDEX(DGArchive[记录编号],950)))</f>
        <v/>
      </c>
      <c r="CL1149">
        <f t="shared" si="434"/>
        <v>0</v>
      </c>
      <c r="CM1149">
        <f>IF(AND(A1149=$AO$5,B1149=$AQ$3,H1149=1),COUNTIFS($A$200:A1149,$AO$5,$B$200:B1149,$AQ$3,$H$200:H1149,1),0)</f>
        <v>0</v>
      </c>
      <c r="CN1149">
        <f>IF(CA1149="",950,1001)</f>
        <v>950</v>
      </c>
      <c r="GA1149">
        <f t="shared" si="454"/>
        <v>0</v>
      </c>
      <c r="GB1149">
        <f t="shared" si="455"/>
        <v>0</v>
      </c>
      <c r="GC1149">
        <f>IF(AND(C1149="事件记录",H1149=1),COUNTIFS($C$200:C1149,"事件记录",$H$200:H1149,1),0)</f>
        <v>0</v>
      </c>
      <c r="GD1149">
        <f t="shared" si="435"/>
        <v>0</v>
      </c>
      <c r="GH1149">
        <f>IF(AND(H1149=1,A1149=$GA$10,B1149=$GA$11),COUNTIFS($A$200:A1149,$GA$10,$B$200:B1149,$GA$11,$H$200:H1149,1),0)</f>
        <v>0</v>
      </c>
    </row>
    <row r="1150" spans="1:190">
      <c r="A1150" t="str">
        <f t="shared" si="426"/>
        <v/>
      </c>
      <c r="B1150" t="str">
        <f t="shared" si="427"/>
        <v/>
      </c>
      <c r="C1150" t="str">
        <f t="shared" si="428"/>
        <v/>
      </c>
      <c r="D1150" t="str">
        <f t="shared" si="429"/>
        <v/>
      </c>
      <c r="E1150">
        <f t="shared" si="430"/>
        <v>0</v>
      </c>
      <c r="F1150" t="str">
        <f t="shared" si="431"/>
        <v/>
      </c>
      <c r="G1150">
        <f t="shared" si="432"/>
        <v>0</v>
      </c>
      <c r="H1150">
        <f>IF(AND(G1150=1,COUNTIFS($I$200:I1150,I1150,$G$200:G1150,1)=1),1,0)</f>
        <v>0</v>
      </c>
      <c r="I1150" t="str">
        <f t="shared" si="433"/>
        <v/>
      </c>
      <c r="BF1150">
        <f t="shared" si="436"/>
        <v>0</v>
      </c>
      <c r="BG1150">
        <f t="shared" si="437"/>
        <v>0</v>
      </c>
      <c r="BH1150">
        <f t="shared" si="438"/>
        <v>0</v>
      </c>
      <c r="BI1150">
        <f t="shared" si="439"/>
        <v>0</v>
      </c>
      <c r="BJ1150">
        <f t="shared" si="440"/>
        <v>0</v>
      </c>
      <c r="BK1150">
        <f t="shared" si="441"/>
        <v>0</v>
      </c>
      <c r="BL1150">
        <f t="shared" si="442"/>
        <v>0</v>
      </c>
      <c r="BM1150">
        <f t="shared" si="443"/>
        <v>0</v>
      </c>
      <c r="BN1150">
        <f t="shared" si="444"/>
        <v>0</v>
      </c>
      <c r="BO1150">
        <f t="shared" si="445"/>
        <v>0</v>
      </c>
      <c r="BP1150">
        <f t="shared" si="446"/>
        <v>0</v>
      </c>
      <c r="BQ1150">
        <f t="shared" si="447"/>
        <v>0</v>
      </c>
      <c r="BR1150">
        <f t="shared" si="448"/>
        <v>0</v>
      </c>
      <c r="BS1150">
        <f t="shared" si="449"/>
        <v>0</v>
      </c>
      <c r="BT1150">
        <f t="shared" si="450"/>
        <v>0</v>
      </c>
      <c r="BU1150">
        <f t="shared" si="451"/>
        <v>0</v>
      </c>
      <c r="BV1150">
        <f t="shared" si="452"/>
        <v>0</v>
      </c>
      <c r="BW1150">
        <f t="shared" si="453"/>
        <v>0</v>
      </c>
      <c r="CA1150" t="str">
        <f>IF(951&gt;ROWS(DGArchive[模组]),"",IF(INDEX(DGArchive[模组],951)="","",INDEX(DGArchive[模组],951)))</f>
        <v/>
      </c>
      <c r="CB1150" t="str">
        <f>IF(951&gt;ROWS(DGArchive[阶段]),"",IF(INDEX(DGArchive[阶段],951)="","",INDEX(DGArchive[阶段],951)))</f>
        <v/>
      </c>
      <c r="CC1150" t="str">
        <f>IF(951&gt;ROWS(DGArchive[游戏内日期]),"",IF(INDEX(DGArchive[游戏内日期],951)="","",INDEX(DGArchive[游戏内日期],951)))</f>
        <v/>
      </c>
      <c r="CD1150" t="str">
        <f>IF(951&gt;ROWS(DGArchive[目标]),"",IF(INDEX(DGArchive[目标],951)="","",INDEX(DGArchive[目标],951)))</f>
        <v/>
      </c>
      <c r="CE1150" t="str">
        <f>IF(951&gt;ROWS(DGArchive[变更前]),"",IF(INDEX(DGArchive[变更前],951)="","",INDEX(DGArchive[变更前],951)))</f>
        <v/>
      </c>
      <c r="CF1150" t="str">
        <f>IF(951&gt;ROWS(DGArchive[增减]),"",IF(INDEX(DGArchive[增减],951)="","",INDEX(DGArchive[增减],951)))</f>
        <v/>
      </c>
      <c r="CG1150" t="str">
        <f>IF(951&gt;ROWS(DGArchive[变更后]),"",IF(INDEX(DGArchive[变更后],951)="","",INDEX(DGArchive[变更后],951)))</f>
        <v/>
      </c>
      <c r="CH1150" t="str">
        <f>IF(951&gt;ROWS(DGArchive[事件／活动]),"",IF(INDEX(DGArchive[事件／活动],951)="","",INDEX(DGArchive[事件／活动],951)))</f>
        <v/>
      </c>
      <c r="CI1150" t="str">
        <f>IF(951&gt;ROWS(DGArchive[记录编号]),"",IF(INDEX(DGArchive[记录编号],951)="","",INDEX(DGArchive[记录编号],951)))</f>
        <v/>
      </c>
      <c r="CL1150">
        <f t="shared" si="434"/>
        <v>0</v>
      </c>
      <c r="CM1150">
        <f>IF(AND(A1150=$AO$5,B1150=$AQ$3,H1150=1),COUNTIFS($A$200:A1150,$AO$5,$B$200:B1150,$AQ$3,$H$200:H1150,1),0)</f>
        <v>0</v>
      </c>
      <c r="CN1150">
        <f>IF(CA1150="",951,1001)</f>
        <v>951</v>
      </c>
      <c r="GA1150">
        <f t="shared" si="454"/>
        <v>0</v>
      </c>
      <c r="GB1150">
        <f t="shared" si="455"/>
        <v>0</v>
      </c>
      <c r="GC1150">
        <f>IF(AND(C1150="事件记录",H1150=1),COUNTIFS($C$200:C1150,"事件记录",$H$200:H1150,1),0)</f>
        <v>0</v>
      </c>
      <c r="GD1150">
        <f t="shared" si="435"/>
        <v>0</v>
      </c>
      <c r="GH1150">
        <f>IF(AND(H1150=1,A1150=$GA$10,B1150=$GA$11),COUNTIFS($A$200:A1150,$GA$10,$B$200:B1150,$GA$11,$H$200:H1150,1),0)</f>
        <v>0</v>
      </c>
    </row>
    <row r="1151" spans="1:190">
      <c r="A1151" t="str">
        <f t="shared" si="426"/>
        <v/>
      </c>
      <c r="B1151" t="str">
        <f t="shared" si="427"/>
        <v/>
      </c>
      <c r="C1151" t="str">
        <f t="shared" si="428"/>
        <v/>
      </c>
      <c r="D1151" t="str">
        <f t="shared" si="429"/>
        <v/>
      </c>
      <c r="E1151">
        <f t="shared" si="430"/>
        <v>0</v>
      </c>
      <c r="F1151" t="str">
        <f t="shared" si="431"/>
        <v/>
      </c>
      <c r="G1151">
        <f t="shared" si="432"/>
        <v>0</v>
      </c>
      <c r="H1151">
        <f>IF(AND(G1151=1,COUNTIFS($I$200:I1151,I1151,$G$200:G1151,1)=1),1,0)</f>
        <v>0</v>
      </c>
      <c r="I1151" t="str">
        <f t="shared" si="433"/>
        <v/>
      </c>
      <c r="BF1151">
        <f t="shared" si="436"/>
        <v>0</v>
      </c>
      <c r="BG1151">
        <f t="shared" si="437"/>
        <v>0</v>
      </c>
      <c r="BH1151">
        <f t="shared" si="438"/>
        <v>0</v>
      </c>
      <c r="BI1151">
        <f t="shared" si="439"/>
        <v>0</v>
      </c>
      <c r="BJ1151">
        <f t="shared" si="440"/>
        <v>0</v>
      </c>
      <c r="BK1151">
        <f t="shared" si="441"/>
        <v>0</v>
      </c>
      <c r="BL1151">
        <f t="shared" si="442"/>
        <v>0</v>
      </c>
      <c r="BM1151">
        <f t="shared" si="443"/>
        <v>0</v>
      </c>
      <c r="BN1151">
        <f t="shared" si="444"/>
        <v>0</v>
      </c>
      <c r="BO1151">
        <f t="shared" si="445"/>
        <v>0</v>
      </c>
      <c r="BP1151">
        <f t="shared" si="446"/>
        <v>0</v>
      </c>
      <c r="BQ1151">
        <f t="shared" si="447"/>
        <v>0</v>
      </c>
      <c r="BR1151">
        <f t="shared" si="448"/>
        <v>0</v>
      </c>
      <c r="BS1151">
        <f t="shared" si="449"/>
        <v>0</v>
      </c>
      <c r="BT1151">
        <f t="shared" si="450"/>
        <v>0</v>
      </c>
      <c r="BU1151">
        <f t="shared" si="451"/>
        <v>0</v>
      </c>
      <c r="BV1151">
        <f t="shared" si="452"/>
        <v>0</v>
      </c>
      <c r="BW1151">
        <f t="shared" si="453"/>
        <v>0</v>
      </c>
      <c r="CA1151" t="str">
        <f>IF(952&gt;ROWS(DGArchive[模组]),"",IF(INDEX(DGArchive[模组],952)="","",INDEX(DGArchive[模组],952)))</f>
        <v/>
      </c>
      <c r="CB1151" t="str">
        <f>IF(952&gt;ROWS(DGArchive[阶段]),"",IF(INDEX(DGArchive[阶段],952)="","",INDEX(DGArchive[阶段],952)))</f>
        <v/>
      </c>
      <c r="CC1151" t="str">
        <f>IF(952&gt;ROWS(DGArchive[游戏内日期]),"",IF(INDEX(DGArchive[游戏内日期],952)="","",INDEX(DGArchive[游戏内日期],952)))</f>
        <v/>
      </c>
      <c r="CD1151" t="str">
        <f>IF(952&gt;ROWS(DGArchive[目标]),"",IF(INDEX(DGArchive[目标],952)="","",INDEX(DGArchive[目标],952)))</f>
        <v/>
      </c>
      <c r="CE1151" t="str">
        <f>IF(952&gt;ROWS(DGArchive[变更前]),"",IF(INDEX(DGArchive[变更前],952)="","",INDEX(DGArchive[变更前],952)))</f>
        <v/>
      </c>
      <c r="CF1151" t="str">
        <f>IF(952&gt;ROWS(DGArchive[增减]),"",IF(INDEX(DGArchive[增减],952)="","",INDEX(DGArchive[增减],952)))</f>
        <v/>
      </c>
      <c r="CG1151" t="str">
        <f>IF(952&gt;ROWS(DGArchive[变更后]),"",IF(INDEX(DGArchive[变更后],952)="","",INDEX(DGArchive[变更后],952)))</f>
        <v/>
      </c>
      <c r="CH1151" t="str">
        <f>IF(952&gt;ROWS(DGArchive[事件／活动]),"",IF(INDEX(DGArchive[事件／活动],952)="","",INDEX(DGArchive[事件／活动],952)))</f>
        <v/>
      </c>
      <c r="CI1151" t="str">
        <f>IF(952&gt;ROWS(DGArchive[记录编号]),"",IF(INDEX(DGArchive[记录编号],952)="","",INDEX(DGArchive[记录编号],952)))</f>
        <v/>
      </c>
      <c r="CL1151">
        <f t="shared" si="434"/>
        <v>0</v>
      </c>
      <c r="CM1151">
        <f>IF(AND(A1151=$AO$5,B1151=$AQ$3,H1151=1),COUNTIFS($A$200:A1151,$AO$5,$B$200:B1151,$AQ$3,$H$200:H1151,1),0)</f>
        <v>0</v>
      </c>
      <c r="CN1151">
        <f>IF(CA1151="",952,1001)</f>
        <v>952</v>
      </c>
      <c r="GA1151">
        <f t="shared" si="454"/>
        <v>0</v>
      </c>
      <c r="GB1151">
        <f t="shared" si="455"/>
        <v>0</v>
      </c>
      <c r="GC1151">
        <f>IF(AND(C1151="事件记录",H1151=1),COUNTIFS($C$200:C1151,"事件记录",$H$200:H1151,1),0)</f>
        <v>0</v>
      </c>
      <c r="GD1151">
        <f t="shared" si="435"/>
        <v>0</v>
      </c>
      <c r="GH1151">
        <f>IF(AND(H1151=1,A1151=$GA$10,B1151=$GA$11),COUNTIFS($A$200:A1151,$GA$10,$B$200:B1151,$GA$11,$H$200:H1151,1),0)</f>
        <v>0</v>
      </c>
    </row>
    <row r="1152" spans="1:190">
      <c r="A1152" t="str">
        <f t="shared" si="426"/>
        <v/>
      </c>
      <c r="B1152" t="str">
        <f t="shared" si="427"/>
        <v/>
      </c>
      <c r="C1152" t="str">
        <f t="shared" si="428"/>
        <v/>
      </c>
      <c r="D1152" t="str">
        <f t="shared" si="429"/>
        <v/>
      </c>
      <c r="E1152">
        <f t="shared" si="430"/>
        <v>0</v>
      </c>
      <c r="F1152" t="str">
        <f t="shared" si="431"/>
        <v/>
      </c>
      <c r="G1152">
        <f t="shared" si="432"/>
        <v>0</v>
      </c>
      <c r="H1152">
        <f>IF(AND(G1152=1,COUNTIFS($I$200:I1152,I1152,$G$200:G1152,1)=1),1,0)</f>
        <v>0</v>
      </c>
      <c r="I1152" t="str">
        <f t="shared" si="433"/>
        <v/>
      </c>
      <c r="BF1152">
        <f t="shared" si="436"/>
        <v>0</v>
      </c>
      <c r="BG1152">
        <f t="shared" si="437"/>
        <v>0</v>
      </c>
      <c r="BH1152">
        <f t="shared" si="438"/>
        <v>0</v>
      </c>
      <c r="BI1152">
        <f t="shared" si="439"/>
        <v>0</v>
      </c>
      <c r="BJ1152">
        <f t="shared" si="440"/>
        <v>0</v>
      </c>
      <c r="BK1152">
        <f t="shared" si="441"/>
        <v>0</v>
      </c>
      <c r="BL1152">
        <f t="shared" si="442"/>
        <v>0</v>
      </c>
      <c r="BM1152">
        <f t="shared" si="443"/>
        <v>0</v>
      </c>
      <c r="BN1152">
        <f t="shared" si="444"/>
        <v>0</v>
      </c>
      <c r="BO1152">
        <f t="shared" si="445"/>
        <v>0</v>
      </c>
      <c r="BP1152">
        <f t="shared" si="446"/>
        <v>0</v>
      </c>
      <c r="BQ1152">
        <f t="shared" si="447"/>
        <v>0</v>
      </c>
      <c r="BR1152">
        <f t="shared" si="448"/>
        <v>0</v>
      </c>
      <c r="BS1152">
        <f t="shared" si="449"/>
        <v>0</v>
      </c>
      <c r="BT1152">
        <f t="shared" si="450"/>
        <v>0</v>
      </c>
      <c r="BU1152">
        <f t="shared" si="451"/>
        <v>0</v>
      </c>
      <c r="BV1152">
        <f t="shared" si="452"/>
        <v>0</v>
      </c>
      <c r="BW1152">
        <f t="shared" si="453"/>
        <v>0</v>
      </c>
      <c r="CA1152" t="str">
        <f>IF(953&gt;ROWS(DGArchive[模组]),"",IF(INDEX(DGArchive[模组],953)="","",INDEX(DGArchive[模组],953)))</f>
        <v/>
      </c>
      <c r="CB1152" t="str">
        <f>IF(953&gt;ROWS(DGArchive[阶段]),"",IF(INDEX(DGArchive[阶段],953)="","",INDEX(DGArchive[阶段],953)))</f>
        <v/>
      </c>
      <c r="CC1152" t="str">
        <f>IF(953&gt;ROWS(DGArchive[游戏内日期]),"",IF(INDEX(DGArchive[游戏内日期],953)="","",INDEX(DGArchive[游戏内日期],953)))</f>
        <v/>
      </c>
      <c r="CD1152" t="str">
        <f>IF(953&gt;ROWS(DGArchive[目标]),"",IF(INDEX(DGArchive[目标],953)="","",INDEX(DGArchive[目标],953)))</f>
        <v/>
      </c>
      <c r="CE1152" t="str">
        <f>IF(953&gt;ROWS(DGArchive[变更前]),"",IF(INDEX(DGArchive[变更前],953)="","",INDEX(DGArchive[变更前],953)))</f>
        <v/>
      </c>
      <c r="CF1152" t="str">
        <f>IF(953&gt;ROWS(DGArchive[增减]),"",IF(INDEX(DGArchive[增减],953)="","",INDEX(DGArchive[增减],953)))</f>
        <v/>
      </c>
      <c r="CG1152" t="str">
        <f>IF(953&gt;ROWS(DGArchive[变更后]),"",IF(INDEX(DGArchive[变更后],953)="","",INDEX(DGArchive[变更后],953)))</f>
        <v/>
      </c>
      <c r="CH1152" t="str">
        <f>IF(953&gt;ROWS(DGArchive[事件／活动]),"",IF(INDEX(DGArchive[事件／活动],953)="","",INDEX(DGArchive[事件／活动],953)))</f>
        <v/>
      </c>
      <c r="CI1152" t="str">
        <f>IF(953&gt;ROWS(DGArchive[记录编号]),"",IF(INDEX(DGArchive[记录编号],953)="","",INDEX(DGArchive[记录编号],953)))</f>
        <v/>
      </c>
      <c r="CL1152">
        <f t="shared" si="434"/>
        <v>0</v>
      </c>
      <c r="CM1152">
        <f>IF(AND(A1152=$AO$5,B1152=$AQ$3,H1152=1),COUNTIFS($A$200:A1152,$AO$5,$B$200:B1152,$AQ$3,$H$200:H1152,1),0)</f>
        <v>0</v>
      </c>
      <c r="CN1152">
        <f>IF(CA1152="",953,1001)</f>
        <v>953</v>
      </c>
      <c r="GA1152">
        <f t="shared" si="454"/>
        <v>0</v>
      </c>
      <c r="GB1152">
        <f t="shared" si="455"/>
        <v>0</v>
      </c>
      <c r="GC1152">
        <f>IF(AND(C1152="事件记录",H1152=1),COUNTIFS($C$200:C1152,"事件记录",$H$200:H1152,1),0)</f>
        <v>0</v>
      </c>
      <c r="GD1152">
        <f t="shared" si="435"/>
        <v>0</v>
      </c>
      <c r="GH1152">
        <f>IF(AND(H1152=1,A1152=$GA$10,B1152=$GA$11),COUNTIFS($A$200:A1152,$GA$10,$B$200:B1152,$GA$11,$H$200:H1152,1),0)</f>
        <v>0</v>
      </c>
    </row>
    <row r="1153" spans="1:190">
      <c r="A1153" t="str">
        <f t="shared" si="426"/>
        <v/>
      </c>
      <c r="B1153" t="str">
        <f t="shared" si="427"/>
        <v/>
      </c>
      <c r="C1153" t="str">
        <f t="shared" si="428"/>
        <v/>
      </c>
      <c r="D1153" t="str">
        <f t="shared" si="429"/>
        <v/>
      </c>
      <c r="E1153">
        <f t="shared" si="430"/>
        <v>0</v>
      </c>
      <c r="F1153" t="str">
        <f t="shared" si="431"/>
        <v/>
      </c>
      <c r="G1153">
        <f t="shared" si="432"/>
        <v>0</v>
      </c>
      <c r="H1153">
        <f>IF(AND(G1153=1,COUNTIFS($I$200:I1153,I1153,$G$200:G1153,1)=1),1,0)</f>
        <v>0</v>
      </c>
      <c r="I1153" t="str">
        <f t="shared" si="433"/>
        <v/>
      </c>
      <c r="BF1153">
        <f t="shared" si="436"/>
        <v>0</v>
      </c>
      <c r="BG1153">
        <f t="shared" si="437"/>
        <v>0</v>
      </c>
      <c r="BH1153">
        <f t="shared" si="438"/>
        <v>0</v>
      </c>
      <c r="BI1153">
        <f t="shared" si="439"/>
        <v>0</v>
      </c>
      <c r="BJ1153">
        <f t="shared" si="440"/>
        <v>0</v>
      </c>
      <c r="BK1153">
        <f t="shared" si="441"/>
        <v>0</v>
      </c>
      <c r="BL1153">
        <f t="shared" si="442"/>
        <v>0</v>
      </c>
      <c r="BM1153">
        <f t="shared" si="443"/>
        <v>0</v>
      </c>
      <c r="BN1153">
        <f t="shared" si="444"/>
        <v>0</v>
      </c>
      <c r="BO1153">
        <f t="shared" si="445"/>
        <v>0</v>
      </c>
      <c r="BP1153">
        <f t="shared" si="446"/>
        <v>0</v>
      </c>
      <c r="BQ1153">
        <f t="shared" si="447"/>
        <v>0</v>
      </c>
      <c r="BR1153">
        <f t="shared" si="448"/>
        <v>0</v>
      </c>
      <c r="BS1153">
        <f t="shared" si="449"/>
        <v>0</v>
      </c>
      <c r="BT1153">
        <f t="shared" si="450"/>
        <v>0</v>
      </c>
      <c r="BU1153">
        <f t="shared" si="451"/>
        <v>0</v>
      </c>
      <c r="BV1153">
        <f t="shared" si="452"/>
        <v>0</v>
      </c>
      <c r="BW1153">
        <f t="shared" si="453"/>
        <v>0</v>
      </c>
      <c r="CA1153" t="str">
        <f>IF(954&gt;ROWS(DGArchive[模组]),"",IF(INDEX(DGArchive[模组],954)="","",INDEX(DGArchive[模组],954)))</f>
        <v/>
      </c>
      <c r="CB1153" t="str">
        <f>IF(954&gt;ROWS(DGArchive[阶段]),"",IF(INDEX(DGArchive[阶段],954)="","",INDEX(DGArchive[阶段],954)))</f>
        <v/>
      </c>
      <c r="CC1153" t="str">
        <f>IF(954&gt;ROWS(DGArchive[游戏内日期]),"",IF(INDEX(DGArchive[游戏内日期],954)="","",INDEX(DGArchive[游戏内日期],954)))</f>
        <v/>
      </c>
      <c r="CD1153" t="str">
        <f>IF(954&gt;ROWS(DGArchive[目标]),"",IF(INDEX(DGArchive[目标],954)="","",INDEX(DGArchive[目标],954)))</f>
        <v/>
      </c>
      <c r="CE1153" t="str">
        <f>IF(954&gt;ROWS(DGArchive[变更前]),"",IF(INDEX(DGArchive[变更前],954)="","",INDEX(DGArchive[变更前],954)))</f>
        <v/>
      </c>
      <c r="CF1153" t="str">
        <f>IF(954&gt;ROWS(DGArchive[增减]),"",IF(INDEX(DGArchive[增减],954)="","",INDEX(DGArchive[增减],954)))</f>
        <v/>
      </c>
      <c r="CG1153" t="str">
        <f>IF(954&gt;ROWS(DGArchive[变更后]),"",IF(INDEX(DGArchive[变更后],954)="","",INDEX(DGArchive[变更后],954)))</f>
        <v/>
      </c>
      <c r="CH1153" t="str">
        <f>IF(954&gt;ROWS(DGArchive[事件／活动]),"",IF(INDEX(DGArchive[事件／活动],954)="","",INDEX(DGArchive[事件／活动],954)))</f>
        <v/>
      </c>
      <c r="CI1153" t="str">
        <f>IF(954&gt;ROWS(DGArchive[记录编号]),"",IF(INDEX(DGArchive[记录编号],954)="","",INDEX(DGArchive[记录编号],954)))</f>
        <v/>
      </c>
      <c r="CL1153">
        <f t="shared" si="434"/>
        <v>0</v>
      </c>
      <c r="CM1153">
        <f>IF(AND(A1153=$AO$5,B1153=$AQ$3,H1153=1),COUNTIFS($A$200:A1153,$AO$5,$B$200:B1153,$AQ$3,$H$200:H1153,1),0)</f>
        <v>0</v>
      </c>
      <c r="CN1153">
        <f>IF(CA1153="",954,1001)</f>
        <v>954</v>
      </c>
      <c r="GA1153">
        <f t="shared" si="454"/>
        <v>0</v>
      </c>
      <c r="GB1153">
        <f t="shared" si="455"/>
        <v>0</v>
      </c>
      <c r="GC1153">
        <f>IF(AND(C1153="事件记录",H1153=1),COUNTIFS($C$200:C1153,"事件记录",$H$200:H1153,1),0)</f>
        <v>0</v>
      </c>
      <c r="GD1153">
        <f t="shared" si="435"/>
        <v>0</v>
      </c>
      <c r="GH1153">
        <f>IF(AND(H1153=1,A1153=$GA$10,B1153=$GA$11),COUNTIFS($A$200:A1153,$GA$10,$B$200:B1153,$GA$11,$H$200:H1153,1),0)</f>
        <v>0</v>
      </c>
    </row>
    <row r="1154" spans="1:190">
      <c r="A1154" t="str">
        <f t="shared" si="426"/>
        <v/>
      </c>
      <c r="B1154" t="str">
        <f t="shared" si="427"/>
        <v/>
      </c>
      <c r="C1154" t="str">
        <f t="shared" si="428"/>
        <v/>
      </c>
      <c r="D1154" t="str">
        <f t="shared" si="429"/>
        <v/>
      </c>
      <c r="E1154">
        <f t="shared" si="430"/>
        <v>0</v>
      </c>
      <c r="F1154" t="str">
        <f t="shared" si="431"/>
        <v/>
      </c>
      <c r="G1154">
        <f t="shared" si="432"/>
        <v>0</v>
      </c>
      <c r="H1154">
        <f>IF(AND(G1154=1,COUNTIFS($I$200:I1154,I1154,$G$200:G1154,1)=1),1,0)</f>
        <v>0</v>
      </c>
      <c r="I1154" t="str">
        <f t="shared" si="433"/>
        <v/>
      </c>
      <c r="BF1154">
        <f t="shared" si="436"/>
        <v>0</v>
      </c>
      <c r="BG1154">
        <f t="shared" si="437"/>
        <v>0</v>
      </c>
      <c r="BH1154">
        <f t="shared" si="438"/>
        <v>0</v>
      </c>
      <c r="BI1154">
        <f t="shared" si="439"/>
        <v>0</v>
      </c>
      <c r="BJ1154">
        <f t="shared" si="440"/>
        <v>0</v>
      </c>
      <c r="BK1154">
        <f t="shared" si="441"/>
        <v>0</v>
      </c>
      <c r="BL1154">
        <f t="shared" si="442"/>
        <v>0</v>
      </c>
      <c r="BM1154">
        <f t="shared" si="443"/>
        <v>0</v>
      </c>
      <c r="BN1154">
        <f t="shared" si="444"/>
        <v>0</v>
      </c>
      <c r="BO1154">
        <f t="shared" si="445"/>
        <v>0</v>
      </c>
      <c r="BP1154">
        <f t="shared" si="446"/>
        <v>0</v>
      </c>
      <c r="BQ1154">
        <f t="shared" si="447"/>
        <v>0</v>
      </c>
      <c r="BR1154">
        <f t="shared" si="448"/>
        <v>0</v>
      </c>
      <c r="BS1154">
        <f t="shared" si="449"/>
        <v>0</v>
      </c>
      <c r="BT1154">
        <f t="shared" si="450"/>
        <v>0</v>
      </c>
      <c r="BU1154">
        <f t="shared" si="451"/>
        <v>0</v>
      </c>
      <c r="BV1154">
        <f t="shared" si="452"/>
        <v>0</v>
      </c>
      <c r="BW1154">
        <f t="shared" si="453"/>
        <v>0</v>
      </c>
      <c r="CA1154" t="str">
        <f>IF(955&gt;ROWS(DGArchive[模组]),"",IF(INDEX(DGArchive[模组],955)="","",INDEX(DGArchive[模组],955)))</f>
        <v/>
      </c>
      <c r="CB1154" t="str">
        <f>IF(955&gt;ROWS(DGArchive[阶段]),"",IF(INDEX(DGArchive[阶段],955)="","",INDEX(DGArchive[阶段],955)))</f>
        <v/>
      </c>
      <c r="CC1154" t="str">
        <f>IF(955&gt;ROWS(DGArchive[游戏内日期]),"",IF(INDEX(DGArchive[游戏内日期],955)="","",INDEX(DGArchive[游戏内日期],955)))</f>
        <v/>
      </c>
      <c r="CD1154" t="str">
        <f>IF(955&gt;ROWS(DGArchive[目标]),"",IF(INDEX(DGArchive[目标],955)="","",INDEX(DGArchive[目标],955)))</f>
        <v/>
      </c>
      <c r="CE1154" t="str">
        <f>IF(955&gt;ROWS(DGArchive[变更前]),"",IF(INDEX(DGArchive[变更前],955)="","",INDEX(DGArchive[变更前],955)))</f>
        <v/>
      </c>
      <c r="CF1154" t="str">
        <f>IF(955&gt;ROWS(DGArchive[增减]),"",IF(INDEX(DGArchive[增减],955)="","",INDEX(DGArchive[增减],955)))</f>
        <v/>
      </c>
      <c r="CG1154" t="str">
        <f>IF(955&gt;ROWS(DGArchive[变更后]),"",IF(INDEX(DGArchive[变更后],955)="","",INDEX(DGArchive[变更后],955)))</f>
        <v/>
      </c>
      <c r="CH1154" t="str">
        <f>IF(955&gt;ROWS(DGArchive[事件／活动]),"",IF(INDEX(DGArchive[事件／活动],955)="","",INDEX(DGArchive[事件／活动],955)))</f>
        <v/>
      </c>
      <c r="CI1154" t="str">
        <f>IF(955&gt;ROWS(DGArchive[记录编号]),"",IF(INDEX(DGArchive[记录编号],955)="","",INDEX(DGArchive[记录编号],955)))</f>
        <v/>
      </c>
      <c r="CL1154">
        <f t="shared" si="434"/>
        <v>0</v>
      </c>
      <c r="CM1154">
        <f>IF(AND(A1154=$AO$5,B1154=$AQ$3,H1154=1),COUNTIFS($A$200:A1154,$AO$5,$B$200:B1154,$AQ$3,$H$200:H1154,1),0)</f>
        <v>0</v>
      </c>
      <c r="CN1154">
        <f>IF(CA1154="",955,1001)</f>
        <v>955</v>
      </c>
      <c r="GA1154">
        <f t="shared" si="454"/>
        <v>0</v>
      </c>
      <c r="GB1154">
        <f t="shared" si="455"/>
        <v>0</v>
      </c>
      <c r="GC1154">
        <f>IF(AND(C1154="事件记录",H1154=1),COUNTIFS($C$200:C1154,"事件记录",$H$200:H1154,1),0)</f>
        <v>0</v>
      </c>
      <c r="GD1154">
        <f t="shared" si="435"/>
        <v>0</v>
      </c>
      <c r="GH1154">
        <f>IF(AND(H1154=1,A1154=$GA$10,B1154=$GA$11),COUNTIFS($A$200:A1154,$GA$10,$B$200:B1154,$GA$11,$H$200:H1154,1),0)</f>
        <v>0</v>
      </c>
    </row>
    <row r="1155" spans="1:190">
      <c r="A1155" t="str">
        <f t="shared" si="426"/>
        <v/>
      </c>
      <c r="B1155" t="str">
        <f t="shared" si="427"/>
        <v/>
      </c>
      <c r="C1155" t="str">
        <f t="shared" si="428"/>
        <v/>
      </c>
      <c r="D1155" t="str">
        <f t="shared" si="429"/>
        <v/>
      </c>
      <c r="E1155">
        <f t="shared" si="430"/>
        <v>0</v>
      </c>
      <c r="F1155" t="str">
        <f t="shared" si="431"/>
        <v/>
      </c>
      <c r="G1155">
        <f t="shared" si="432"/>
        <v>0</v>
      </c>
      <c r="H1155">
        <f>IF(AND(G1155=1,COUNTIFS($I$200:I1155,I1155,$G$200:G1155,1)=1),1,0)</f>
        <v>0</v>
      </c>
      <c r="I1155" t="str">
        <f t="shared" si="433"/>
        <v/>
      </c>
      <c r="BF1155">
        <f t="shared" si="436"/>
        <v>0</v>
      </c>
      <c r="BG1155">
        <f t="shared" si="437"/>
        <v>0</v>
      </c>
      <c r="BH1155">
        <f t="shared" si="438"/>
        <v>0</v>
      </c>
      <c r="BI1155">
        <f t="shared" si="439"/>
        <v>0</v>
      </c>
      <c r="BJ1155">
        <f t="shared" si="440"/>
        <v>0</v>
      </c>
      <c r="BK1155">
        <f t="shared" si="441"/>
        <v>0</v>
      </c>
      <c r="BL1155">
        <f t="shared" si="442"/>
        <v>0</v>
      </c>
      <c r="BM1155">
        <f t="shared" si="443"/>
        <v>0</v>
      </c>
      <c r="BN1155">
        <f t="shared" si="444"/>
        <v>0</v>
      </c>
      <c r="BO1155">
        <f t="shared" si="445"/>
        <v>0</v>
      </c>
      <c r="BP1155">
        <f t="shared" si="446"/>
        <v>0</v>
      </c>
      <c r="BQ1155">
        <f t="shared" si="447"/>
        <v>0</v>
      </c>
      <c r="BR1155">
        <f t="shared" si="448"/>
        <v>0</v>
      </c>
      <c r="BS1155">
        <f t="shared" si="449"/>
        <v>0</v>
      </c>
      <c r="BT1155">
        <f t="shared" si="450"/>
        <v>0</v>
      </c>
      <c r="BU1155">
        <f t="shared" si="451"/>
        <v>0</v>
      </c>
      <c r="BV1155">
        <f t="shared" si="452"/>
        <v>0</v>
      </c>
      <c r="BW1155">
        <f t="shared" si="453"/>
        <v>0</v>
      </c>
      <c r="CA1155" t="str">
        <f>IF(956&gt;ROWS(DGArchive[模组]),"",IF(INDEX(DGArchive[模组],956)="","",INDEX(DGArchive[模组],956)))</f>
        <v/>
      </c>
      <c r="CB1155" t="str">
        <f>IF(956&gt;ROWS(DGArchive[阶段]),"",IF(INDEX(DGArchive[阶段],956)="","",INDEX(DGArchive[阶段],956)))</f>
        <v/>
      </c>
      <c r="CC1155" t="str">
        <f>IF(956&gt;ROWS(DGArchive[游戏内日期]),"",IF(INDEX(DGArchive[游戏内日期],956)="","",INDEX(DGArchive[游戏内日期],956)))</f>
        <v/>
      </c>
      <c r="CD1155" t="str">
        <f>IF(956&gt;ROWS(DGArchive[目标]),"",IF(INDEX(DGArchive[目标],956)="","",INDEX(DGArchive[目标],956)))</f>
        <v/>
      </c>
      <c r="CE1155" t="str">
        <f>IF(956&gt;ROWS(DGArchive[变更前]),"",IF(INDEX(DGArchive[变更前],956)="","",INDEX(DGArchive[变更前],956)))</f>
        <v/>
      </c>
      <c r="CF1155" t="str">
        <f>IF(956&gt;ROWS(DGArchive[增减]),"",IF(INDEX(DGArchive[增减],956)="","",INDEX(DGArchive[增减],956)))</f>
        <v/>
      </c>
      <c r="CG1155" t="str">
        <f>IF(956&gt;ROWS(DGArchive[变更后]),"",IF(INDEX(DGArchive[变更后],956)="","",INDEX(DGArchive[变更后],956)))</f>
        <v/>
      </c>
      <c r="CH1155" t="str">
        <f>IF(956&gt;ROWS(DGArchive[事件／活动]),"",IF(INDEX(DGArchive[事件／活动],956)="","",INDEX(DGArchive[事件／活动],956)))</f>
        <v/>
      </c>
      <c r="CI1155" t="str">
        <f>IF(956&gt;ROWS(DGArchive[记录编号]),"",IF(INDEX(DGArchive[记录编号],956)="","",INDEX(DGArchive[记录编号],956)))</f>
        <v/>
      </c>
      <c r="CL1155">
        <f t="shared" si="434"/>
        <v>0</v>
      </c>
      <c r="CM1155">
        <f>IF(AND(A1155=$AO$5,B1155=$AQ$3,H1155=1),COUNTIFS($A$200:A1155,$AO$5,$B$200:B1155,$AQ$3,$H$200:H1155,1),0)</f>
        <v>0</v>
      </c>
      <c r="CN1155">
        <f>IF(CA1155="",956,1001)</f>
        <v>956</v>
      </c>
      <c r="GA1155">
        <f t="shared" si="454"/>
        <v>0</v>
      </c>
      <c r="GB1155">
        <f t="shared" si="455"/>
        <v>0</v>
      </c>
      <c r="GC1155">
        <f>IF(AND(C1155="事件记录",H1155=1),COUNTIFS($C$200:C1155,"事件记录",$H$200:H1155,1),0)</f>
        <v>0</v>
      </c>
      <c r="GD1155">
        <f t="shared" si="435"/>
        <v>0</v>
      </c>
      <c r="GH1155">
        <f>IF(AND(H1155=1,A1155=$GA$10,B1155=$GA$11),COUNTIFS($A$200:A1155,$GA$10,$B$200:B1155,$GA$11,$H$200:H1155,1),0)</f>
        <v>0</v>
      </c>
    </row>
    <row r="1156" spans="1:190">
      <c r="A1156" t="str">
        <f t="shared" si="426"/>
        <v/>
      </c>
      <c r="B1156" t="str">
        <f t="shared" si="427"/>
        <v/>
      </c>
      <c r="C1156" t="str">
        <f t="shared" si="428"/>
        <v/>
      </c>
      <c r="D1156" t="str">
        <f t="shared" si="429"/>
        <v/>
      </c>
      <c r="E1156">
        <f t="shared" si="430"/>
        <v>0</v>
      </c>
      <c r="F1156" t="str">
        <f t="shared" si="431"/>
        <v/>
      </c>
      <c r="G1156">
        <f t="shared" si="432"/>
        <v>0</v>
      </c>
      <c r="H1156">
        <f>IF(AND(G1156=1,COUNTIFS($I$200:I1156,I1156,$G$200:G1156,1)=1),1,0)</f>
        <v>0</v>
      </c>
      <c r="I1156" t="str">
        <f t="shared" si="433"/>
        <v/>
      </c>
      <c r="BF1156">
        <f t="shared" si="436"/>
        <v>0</v>
      </c>
      <c r="BG1156">
        <f t="shared" si="437"/>
        <v>0</v>
      </c>
      <c r="BH1156">
        <f t="shared" si="438"/>
        <v>0</v>
      </c>
      <c r="BI1156">
        <f t="shared" si="439"/>
        <v>0</v>
      </c>
      <c r="BJ1156">
        <f t="shared" si="440"/>
        <v>0</v>
      </c>
      <c r="BK1156">
        <f t="shared" si="441"/>
        <v>0</v>
      </c>
      <c r="BL1156">
        <f t="shared" si="442"/>
        <v>0</v>
      </c>
      <c r="BM1156">
        <f t="shared" si="443"/>
        <v>0</v>
      </c>
      <c r="BN1156">
        <f t="shared" si="444"/>
        <v>0</v>
      </c>
      <c r="BO1156">
        <f t="shared" si="445"/>
        <v>0</v>
      </c>
      <c r="BP1156">
        <f t="shared" si="446"/>
        <v>0</v>
      </c>
      <c r="BQ1156">
        <f t="shared" si="447"/>
        <v>0</v>
      </c>
      <c r="BR1156">
        <f t="shared" si="448"/>
        <v>0</v>
      </c>
      <c r="BS1156">
        <f t="shared" si="449"/>
        <v>0</v>
      </c>
      <c r="BT1156">
        <f t="shared" si="450"/>
        <v>0</v>
      </c>
      <c r="BU1156">
        <f t="shared" si="451"/>
        <v>0</v>
      </c>
      <c r="BV1156">
        <f t="shared" si="452"/>
        <v>0</v>
      </c>
      <c r="BW1156">
        <f t="shared" si="453"/>
        <v>0</v>
      </c>
      <c r="CA1156" t="str">
        <f>IF(957&gt;ROWS(DGArchive[模组]),"",IF(INDEX(DGArchive[模组],957)="","",INDEX(DGArchive[模组],957)))</f>
        <v/>
      </c>
      <c r="CB1156" t="str">
        <f>IF(957&gt;ROWS(DGArchive[阶段]),"",IF(INDEX(DGArchive[阶段],957)="","",INDEX(DGArchive[阶段],957)))</f>
        <v/>
      </c>
      <c r="CC1156" t="str">
        <f>IF(957&gt;ROWS(DGArchive[游戏内日期]),"",IF(INDEX(DGArchive[游戏内日期],957)="","",INDEX(DGArchive[游戏内日期],957)))</f>
        <v/>
      </c>
      <c r="CD1156" t="str">
        <f>IF(957&gt;ROWS(DGArchive[目标]),"",IF(INDEX(DGArchive[目标],957)="","",INDEX(DGArchive[目标],957)))</f>
        <v/>
      </c>
      <c r="CE1156" t="str">
        <f>IF(957&gt;ROWS(DGArchive[变更前]),"",IF(INDEX(DGArchive[变更前],957)="","",INDEX(DGArchive[变更前],957)))</f>
        <v/>
      </c>
      <c r="CF1156" t="str">
        <f>IF(957&gt;ROWS(DGArchive[增减]),"",IF(INDEX(DGArchive[增减],957)="","",INDEX(DGArchive[增减],957)))</f>
        <v/>
      </c>
      <c r="CG1156" t="str">
        <f>IF(957&gt;ROWS(DGArchive[变更后]),"",IF(INDEX(DGArchive[变更后],957)="","",INDEX(DGArchive[变更后],957)))</f>
        <v/>
      </c>
      <c r="CH1156" t="str">
        <f>IF(957&gt;ROWS(DGArchive[事件／活动]),"",IF(INDEX(DGArchive[事件／活动],957)="","",INDEX(DGArchive[事件／活动],957)))</f>
        <v/>
      </c>
      <c r="CI1156" t="str">
        <f>IF(957&gt;ROWS(DGArchive[记录编号]),"",IF(INDEX(DGArchive[记录编号],957)="","",INDEX(DGArchive[记录编号],957)))</f>
        <v/>
      </c>
      <c r="CL1156">
        <f t="shared" si="434"/>
        <v>0</v>
      </c>
      <c r="CM1156">
        <f>IF(AND(A1156=$AO$5,B1156=$AQ$3,H1156=1),COUNTIFS($A$200:A1156,$AO$5,$B$200:B1156,$AQ$3,$H$200:H1156,1),0)</f>
        <v>0</v>
      </c>
      <c r="CN1156">
        <f>IF(CA1156="",957,1001)</f>
        <v>957</v>
      </c>
      <c r="GA1156">
        <f t="shared" si="454"/>
        <v>0</v>
      </c>
      <c r="GB1156">
        <f t="shared" si="455"/>
        <v>0</v>
      </c>
      <c r="GC1156">
        <f>IF(AND(C1156="事件记录",H1156=1),COUNTIFS($C$200:C1156,"事件记录",$H$200:H1156,1),0)</f>
        <v>0</v>
      </c>
      <c r="GD1156">
        <f t="shared" si="435"/>
        <v>0</v>
      </c>
      <c r="GH1156">
        <f>IF(AND(H1156=1,A1156=$GA$10,B1156=$GA$11),COUNTIFS($A$200:A1156,$GA$10,$B$200:B1156,$GA$11,$H$200:H1156,1),0)</f>
        <v>0</v>
      </c>
    </row>
    <row r="1157" spans="1:190">
      <c r="A1157" t="str">
        <f t="shared" si="426"/>
        <v/>
      </c>
      <c r="B1157" t="str">
        <f t="shared" si="427"/>
        <v/>
      </c>
      <c r="C1157" t="str">
        <f t="shared" si="428"/>
        <v/>
      </c>
      <c r="D1157" t="str">
        <f t="shared" si="429"/>
        <v/>
      </c>
      <c r="E1157">
        <f t="shared" si="430"/>
        <v>0</v>
      </c>
      <c r="F1157" t="str">
        <f t="shared" si="431"/>
        <v/>
      </c>
      <c r="G1157">
        <f t="shared" si="432"/>
        <v>0</v>
      </c>
      <c r="H1157">
        <f>IF(AND(G1157=1,COUNTIFS($I$200:I1157,I1157,$G$200:G1157,1)=1),1,0)</f>
        <v>0</v>
      </c>
      <c r="I1157" t="str">
        <f t="shared" si="433"/>
        <v/>
      </c>
      <c r="BF1157">
        <f t="shared" si="436"/>
        <v>0</v>
      </c>
      <c r="BG1157">
        <f t="shared" si="437"/>
        <v>0</v>
      </c>
      <c r="BH1157">
        <f t="shared" si="438"/>
        <v>0</v>
      </c>
      <c r="BI1157">
        <f t="shared" si="439"/>
        <v>0</v>
      </c>
      <c r="BJ1157">
        <f t="shared" si="440"/>
        <v>0</v>
      </c>
      <c r="BK1157">
        <f t="shared" si="441"/>
        <v>0</v>
      </c>
      <c r="BL1157">
        <f t="shared" si="442"/>
        <v>0</v>
      </c>
      <c r="BM1157">
        <f t="shared" si="443"/>
        <v>0</v>
      </c>
      <c r="BN1157">
        <f t="shared" si="444"/>
        <v>0</v>
      </c>
      <c r="BO1157">
        <f t="shared" si="445"/>
        <v>0</v>
      </c>
      <c r="BP1157">
        <f t="shared" si="446"/>
        <v>0</v>
      </c>
      <c r="BQ1157">
        <f t="shared" si="447"/>
        <v>0</v>
      </c>
      <c r="BR1157">
        <f t="shared" si="448"/>
        <v>0</v>
      </c>
      <c r="BS1157">
        <f t="shared" si="449"/>
        <v>0</v>
      </c>
      <c r="BT1157">
        <f t="shared" si="450"/>
        <v>0</v>
      </c>
      <c r="BU1157">
        <f t="shared" si="451"/>
        <v>0</v>
      </c>
      <c r="BV1157">
        <f t="shared" si="452"/>
        <v>0</v>
      </c>
      <c r="BW1157">
        <f t="shared" si="453"/>
        <v>0</v>
      </c>
      <c r="CA1157" t="str">
        <f>IF(958&gt;ROWS(DGArchive[模组]),"",IF(INDEX(DGArchive[模组],958)="","",INDEX(DGArchive[模组],958)))</f>
        <v/>
      </c>
      <c r="CB1157" t="str">
        <f>IF(958&gt;ROWS(DGArchive[阶段]),"",IF(INDEX(DGArchive[阶段],958)="","",INDEX(DGArchive[阶段],958)))</f>
        <v/>
      </c>
      <c r="CC1157" t="str">
        <f>IF(958&gt;ROWS(DGArchive[游戏内日期]),"",IF(INDEX(DGArchive[游戏内日期],958)="","",INDEX(DGArchive[游戏内日期],958)))</f>
        <v/>
      </c>
      <c r="CD1157" t="str">
        <f>IF(958&gt;ROWS(DGArchive[目标]),"",IF(INDEX(DGArchive[目标],958)="","",INDEX(DGArchive[目标],958)))</f>
        <v/>
      </c>
      <c r="CE1157" t="str">
        <f>IF(958&gt;ROWS(DGArchive[变更前]),"",IF(INDEX(DGArchive[变更前],958)="","",INDEX(DGArchive[变更前],958)))</f>
        <v/>
      </c>
      <c r="CF1157" t="str">
        <f>IF(958&gt;ROWS(DGArchive[增减]),"",IF(INDEX(DGArchive[增减],958)="","",INDEX(DGArchive[增减],958)))</f>
        <v/>
      </c>
      <c r="CG1157" t="str">
        <f>IF(958&gt;ROWS(DGArchive[变更后]),"",IF(INDEX(DGArchive[变更后],958)="","",INDEX(DGArchive[变更后],958)))</f>
        <v/>
      </c>
      <c r="CH1157" t="str">
        <f>IF(958&gt;ROWS(DGArchive[事件／活动]),"",IF(INDEX(DGArchive[事件／活动],958)="","",INDEX(DGArchive[事件／活动],958)))</f>
        <v/>
      </c>
      <c r="CI1157" t="str">
        <f>IF(958&gt;ROWS(DGArchive[记录编号]),"",IF(INDEX(DGArchive[记录编号],958)="","",INDEX(DGArchive[记录编号],958)))</f>
        <v/>
      </c>
      <c r="CL1157">
        <f t="shared" si="434"/>
        <v>0</v>
      </c>
      <c r="CM1157">
        <f>IF(AND(A1157=$AO$5,B1157=$AQ$3,H1157=1),COUNTIFS($A$200:A1157,$AO$5,$B$200:B1157,$AQ$3,$H$200:H1157,1),0)</f>
        <v>0</v>
      </c>
      <c r="CN1157">
        <f>IF(CA1157="",958,1001)</f>
        <v>958</v>
      </c>
      <c r="GA1157">
        <f t="shared" si="454"/>
        <v>0</v>
      </c>
      <c r="GB1157">
        <f t="shared" si="455"/>
        <v>0</v>
      </c>
      <c r="GC1157">
        <f>IF(AND(C1157="事件记录",H1157=1),COUNTIFS($C$200:C1157,"事件记录",$H$200:H1157,1),0)</f>
        <v>0</v>
      </c>
      <c r="GD1157">
        <f t="shared" si="435"/>
        <v>0</v>
      </c>
      <c r="GH1157">
        <f>IF(AND(H1157=1,A1157=$GA$10,B1157=$GA$11),COUNTIFS($A$200:A1157,$GA$10,$B$200:B1157,$GA$11,$H$200:H1157,1),0)</f>
        <v>0</v>
      </c>
    </row>
    <row r="1158" spans="1:190">
      <c r="A1158" t="str">
        <f t="shared" si="426"/>
        <v/>
      </c>
      <c r="B1158" t="str">
        <f t="shared" si="427"/>
        <v/>
      </c>
      <c r="C1158" t="str">
        <f t="shared" si="428"/>
        <v/>
      </c>
      <c r="D1158" t="str">
        <f t="shared" si="429"/>
        <v/>
      </c>
      <c r="E1158">
        <f t="shared" si="430"/>
        <v>0</v>
      </c>
      <c r="F1158" t="str">
        <f t="shared" si="431"/>
        <v/>
      </c>
      <c r="G1158">
        <f t="shared" si="432"/>
        <v>0</v>
      </c>
      <c r="H1158">
        <f>IF(AND(G1158=1,COUNTIFS($I$200:I1158,I1158,$G$200:G1158,1)=1),1,0)</f>
        <v>0</v>
      </c>
      <c r="I1158" t="str">
        <f t="shared" si="433"/>
        <v/>
      </c>
      <c r="BF1158">
        <f t="shared" si="436"/>
        <v>0</v>
      </c>
      <c r="BG1158">
        <f t="shared" si="437"/>
        <v>0</v>
      </c>
      <c r="BH1158">
        <f t="shared" si="438"/>
        <v>0</v>
      </c>
      <c r="BI1158">
        <f t="shared" si="439"/>
        <v>0</v>
      </c>
      <c r="BJ1158">
        <f t="shared" si="440"/>
        <v>0</v>
      </c>
      <c r="BK1158">
        <f t="shared" si="441"/>
        <v>0</v>
      </c>
      <c r="BL1158">
        <f t="shared" si="442"/>
        <v>0</v>
      </c>
      <c r="BM1158">
        <f t="shared" si="443"/>
        <v>0</v>
      </c>
      <c r="BN1158">
        <f t="shared" si="444"/>
        <v>0</v>
      </c>
      <c r="BO1158">
        <f t="shared" si="445"/>
        <v>0</v>
      </c>
      <c r="BP1158">
        <f t="shared" si="446"/>
        <v>0</v>
      </c>
      <c r="BQ1158">
        <f t="shared" si="447"/>
        <v>0</v>
      </c>
      <c r="BR1158">
        <f t="shared" si="448"/>
        <v>0</v>
      </c>
      <c r="BS1158">
        <f t="shared" si="449"/>
        <v>0</v>
      </c>
      <c r="BT1158">
        <f t="shared" si="450"/>
        <v>0</v>
      </c>
      <c r="BU1158">
        <f t="shared" si="451"/>
        <v>0</v>
      </c>
      <c r="BV1158">
        <f t="shared" si="452"/>
        <v>0</v>
      </c>
      <c r="BW1158">
        <f t="shared" si="453"/>
        <v>0</v>
      </c>
      <c r="CA1158" t="str">
        <f>IF(959&gt;ROWS(DGArchive[模组]),"",IF(INDEX(DGArchive[模组],959)="","",INDEX(DGArchive[模组],959)))</f>
        <v/>
      </c>
      <c r="CB1158" t="str">
        <f>IF(959&gt;ROWS(DGArchive[阶段]),"",IF(INDEX(DGArchive[阶段],959)="","",INDEX(DGArchive[阶段],959)))</f>
        <v/>
      </c>
      <c r="CC1158" t="str">
        <f>IF(959&gt;ROWS(DGArchive[游戏内日期]),"",IF(INDEX(DGArchive[游戏内日期],959)="","",INDEX(DGArchive[游戏内日期],959)))</f>
        <v/>
      </c>
      <c r="CD1158" t="str">
        <f>IF(959&gt;ROWS(DGArchive[目标]),"",IF(INDEX(DGArchive[目标],959)="","",INDEX(DGArchive[目标],959)))</f>
        <v/>
      </c>
      <c r="CE1158" t="str">
        <f>IF(959&gt;ROWS(DGArchive[变更前]),"",IF(INDEX(DGArchive[变更前],959)="","",INDEX(DGArchive[变更前],959)))</f>
        <v/>
      </c>
      <c r="CF1158" t="str">
        <f>IF(959&gt;ROWS(DGArchive[增减]),"",IF(INDEX(DGArchive[增减],959)="","",INDEX(DGArchive[增减],959)))</f>
        <v/>
      </c>
      <c r="CG1158" t="str">
        <f>IF(959&gt;ROWS(DGArchive[变更后]),"",IF(INDEX(DGArchive[变更后],959)="","",INDEX(DGArchive[变更后],959)))</f>
        <v/>
      </c>
      <c r="CH1158" t="str">
        <f>IF(959&gt;ROWS(DGArchive[事件／活动]),"",IF(INDEX(DGArchive[事件／活动],959)="","",INDEX(DGArchive[事件／活动],959)))</f>
        <v/>
      </c>
      <c r="CI1158" t="str">
        <f>IF(959&gt;ROWS(DGArchive[记录编号]),"",IF(INDEX(DGArchive[记录编号],959)="","",INDEX(DGArchive[记录编号],959)))</f>
        <v/>
      </c>
      <c r="CL1158">
        <f t="shared" si="434"/>
        <v>0</v>
      </c>
      <c r="CM1158">
        <f>IF(AND(A1158=$AO$5,B1158=$AQ$3,H1158=1),COUNTIFS($A$200:A1158,$AO$5,$B$200:B1158,$AQ$3,$H$200:H1158,1),0)</f>
        <v>0</v>
      </c>
      <c r="CN1158">
        <f>IF(CA1158="",959,1001)</f>
        <v>959</v>
      </c>
      <c r="GA1158">
        <f t="shared" si="454"/>
        <v>0</v>
      </c>
      <c r="GB1158">
        <f t="shared" si="455"/>
        <v>0</v>
      </c>
      <c r="GC1158">
        <f>IF(AND(C1158="事件记录",H1158=1),COUNTIFS($C$200:C1158,"事件记录",$H$200:H1158,1),0)</f>
        <v>0</v>
      </c>
      <c r="GD1158">
        <f t="shared" si="435"/>
        <v>0</v>
      </c>
      <c r="GH1158">
        <f>IF(AND(H1158=1,A1158=$GA$10,B1158=$GA$11),COUNTIFS($A$200:A1158,$GA$10,$B$200:B1158,$GA$11,$H$200:H1158,1),0)</f>
        <v>0</v>
      </c>
    </row>
    <row r="1159" spans="1:190">
      <c r="A1159" t="str">
        <f t="shared" si="426"/>
        <v/>
      </c>
      <c r="B1159" t="str">
        <f t="shared" si="427"/>
        <v/>
      </c>
      <c r="C1159" t="str">
        <f t="shared" si="428"/>
        <v/>
      </c>
      <c r="D1159" t="str">
        <f t="shared" si="429"/>
        <v/>
      </c>
      <c r="E1159">
        <f t="shared" si="430"/>
        <v>0</v>
      </c>
      <c r="F1159" t="str">
        <f t="shared" si="431"/>
        <v/>
      </c>
      <c r="G1159">
        <f t="shared" si="432"/>
        <v>0</v>
      </c>
      <c r="H1159">
        <f>IF(AND(G1159=1,COUNTIFS($I$200:I1159,I1159,$G$200:G1159,1)=1),1,0)</f>
        <v>0</v>
      </c>
      <c r="I1159" t="str">
        <f t="shared" si="433"/>
        <v/>
      </c>
      <c r="BF1159">
        <f t="shared" si="436"/>
        <v>0</v>
      </c>
      <c r="BG1159">
        <f t="shared" si="437"/>
        <v>0</v>
      </c>
      <c r="BH1159">
        <f t="shared" si="438"/>
        <v>0</v>
      </c>
      <c r="BI1159">
        <f t="shared" si="439"/>
        <v>0</v>
      </c>
      <c r="BJ1159">
        <f t="shared" si="440"/>
        <v>0</v>
      </c>
      <c r="BK1159">
        <f t="shared" si="441"/>
        <v>0</v>
      </c>
      <c r="BL1159">
        <f t="shared" si="442"/>
        <v>0</v>
      </c>
      <c r="BM1159">
        <f t="shared" si="443"/>
        <v>0</v>
      </c>
      <c r="BN1159">
        <f t="shared" si="444"/>
        <v>0</v>
      </c>
      <c r="BO1159">
        <f t="shared" si="445"/>
        <v>0</v>
      </c>
      <c r="BP1159">
        <f t="shared" si="446"/>
        <v>0</v>
      </c>
      <c r="BQ1159">
        <f t="shared" si="447"/>
        <v>0</v>
      </c>
      <c r="BR1159">
        <f t="shared" si="448"/>
        <v>0</v>
      </c>
      <c r="BS1159">
        <f t="shared" si="449"/>
        <v>0</v>
      </c>
      <c r="BT1159">
        <f t="shared" si="450"/>
        <v>0</v>
      </c>
      <c r="BU1159">
        <f t="shared" si="451"/>
        <v>0</v>
      </c>
      <c r="BV1159">
        <f t="shared" si="452"/>
        <v>0</v>
      </c>
      <c r="BW1159">
        <f t="shared" si="453"/>
        <v>0</v>
      </c>
      <c r="CA1159" t="str">
        <f>IF(960&gt;ROWS(DGArchive[模组]),"",IF(INDEX(DGArchive[模组],960)="","",INDEX(DGArchive[模组],960)))</f>
        <v/>
      </c>
      <c r="CB1159" t="str">
        <f>IF(960&gt;ROWS(DGArchive[阶段]),"",IF(INDEX(DGArchive[阶段],960)="","",INDEX(DGArchive[阶段],960)))</f>
        <v/>
      </c>
      <c r="CC1159" t="str">
        <f>IF(960&gt;ROWS(DGArchive[游戏内日期]),"",IF(INDEX(DGArchive[游戏内日期],960)="","",INDEX(DGArchive[游戏内日期],960)))</f>
        <v/>
      </c>
      <c r="CD1159" t="str">
        <f>IF(960&gt;ROWS(DGArchive[目标]),"",IF(INDEX(DGArchive[目标],960)="","",INDEX(DGArchive[目标],960)))</f>
        <v/>
      </c>
      <c r="CE1159" t="str">
        <f>IF(960&gt;ROWS(DGArchive[变更前]),"",IF(INDEX(DGArchive[变更前],960)="","",INDEX(DGArchive[变更前],960)))</f>
        <v/>
      </c>
      <c r="CF1159" t="str">
        <f>IF(960&gt;ROWS(DGArchive[增减]),"",IF(INDEX(DGArchive[增减],960)="","",INDEX(DGArchive[增减],960)))</f>
        <v/>
      </c>
      <c r="CG1159" t="str">
        <f>IF(960&gt;ROWS(DGArchive[变更后]),"",IF(INDEX(DGArchive[变更后],960)="","",INDEX(DGArchive[变更后],960)))</f>
        <v/>
      </c>
      <c r="CH1159" t="str">
        <f>IF(960&gt;ROWS(DGArchive[事件／活动]),"",IF(INDEX(DGArchive[事件／活动],960)="","",INDEX(DGArchive[事件／活动],960)))</f>
        <v/>
      </c>
      <c r="CI1159" t="str">
        <f>IF(960&gt;ROWS(DGArchive[记录编号]),"",IF(INDEX(DGArchive[记录编号],960)="","",INDEX(DGArchive[记录编号],960)))</f>
        <v/>
      </c>
      <c r="CL1159">
        <f t="shared" si="434"/>
        <v>0</v>
      </c>
      <c r="CM1159">
        <f>IF(AND(A1159=$AO$5,B1159=$AQ$3,H1159=1),COUNTIFS($A$200:A1159,$AO$5,$B$200:B1159,$AQ$3,$H$200:H1159,1),0)</f>
        <v>0</v>
      </c>
      <c r="CN1159">
        <f>IF(CA1159="",960,1001)</f>
        <v>960</v>
      </c>
      <c r="GA1159">
        <f t="shared" si="454"/>
        <v>0</v>
      </c>
      <c r="GB1159">
        <f t="shared" si="455"/>
        <v>0</v>
      </c>
      <c r="GC1159">
        <f>IF(AND(C1159="事件记录",H1159=1),COUNTIFS($C$200:C1159,"事件记录",$H$200:H1159,1),0)</f>
        <v>0</v>
      </c>
      <c r="GD1159">
        <f t="shared" si="435"/>
        <v>0</v>
      </c>
      <c r="GH1159">
        <f>IF(AND(H1159=1,A1159=$GA$10,B1159=$GA$11),COUNTIFS($A$200:A1159,$GA$10,$B$200:B1159,$GA$11,$H$200:H1159,1),0)</f>
        <v>0</v>
      </c>
    </row>
    <row r="1160" spans="1:190">
      <c r="A1160" t="str">
        <f t="shared" ref="A1160:A1199" si="456">IFERROR(TEXT(VALUE(CA1160),"00"),"")</f>
        <v/>
      </c>
      <c r="B1160" t="str">
        <f t="shared" ref="B1160:B1199" si="457">CB1160</f>
        <v/>
      </c>
      <c r="C1160" t="str">
        <f t="shared" ref="C1160:C1199" si="458">CD1160</f>
        <v/>
      </c>
      <c r="D1160" t="str">
        <f t="shared" ref="D1160:D1199" si="459">CF1160</f>
        <v/>
      </c>
      <c r="E1160">
        <f t="shared" ref="E1160:E1199" si="460">IF(H1160=1,MAX(-CE1160,MIN(D1160,IF(LEFT(C1160,3)="技能：",99,IF(COUNTIF($L$2:$L$7,C1160)&gt;0,18,999))-CE1160)),0)</f>
        <v>0</v>
      </c>
      <c r="F1160" t="str">
        <f t="shared" ref="F1160:F1199" si="461">IF(OR(C1160=0,C1160=""),"",IF(G1160=0,"记录不完整",IF(H1160=0,"重复未计","已计入")))</f>
        <v/>
      </c>
      <c r="G1160">
        <f t="shared" ref="G1160:G1199" si="462">IF(AND(AND(CA1160&lt;&gt;"",CB1160&lt;&gt;"",CI1160&lt;&gt;"",OR(LEFT(C1160,3)="技能：",COUNTIF($L$2:$L$19,C1160)&gt;0,C1160="事件记录",C1160="暴力进度",C1160="无力进度"),ISNUMBER(CE1160),ISNUMBER(CF1160),ISNUMBER(CG1160),CE1160&gt;=0,CG1160=SUM(CE1160,CF1160)),OR(B1160&lt;&gt;"成长",AND(LEFT(C1160,3)="技能：",C1160&lt;&gt;"技能：非自然知识",CE1160&gt;=1,CE1160&lt;=99,CF1160&gt;=0,CF1160&lt;=4,CG1160&lt;=99))),1,0)</f>
        <v>0</v>
      </c>
      <c r="H1160">
        <f>IF(AND(G1160=1,COUNTIFS($I$200:I1160,I1160,$G$200:G1160,1)=1),1,0)</f>
        <v>0</v>
      </c>
      <c r="I1160" t="str">
        <f t="shared" ref="I1160:I1199" si="463">IF(G1160=1,IF(B1160="成长",A1160&amp;"-成长-"&amp;C1160,CI1160),"")</f>
        <v/>
      </c>
      <c r="BF1160">
        <f t="shared" si="436"/>
        <v>0</v>
      </c>
      <c r="BG1160">
        <f t="shared" si="437"/>
        <v>0</v>
      </c>
      <c r="BH1160">
        <f t="shared" si="438"/>
        <v>0</v>
      </c>
      <c r="BI1160">
        <f t="shared" si="439"/>
        <v>0</v>
      </c>
      <c r="BJ1160">
        <f t="shared" si="440"/>
        <v>0</v>
      </c>
      <c r="BK1160">
        <f t="shared" si="441"/>
        <v>0</v>
      </c>
      <c r="BL1160">
        <f t="shared" si="442"/>
        <v>0</v>
      </c>
      <c r="BM1160">
        <f t="shared" si="443"/>
        <v>0</v>
      </c>
      <c r="BN1160">
        <f t="shared" si="444"/>
        <v>0</v>
      </c>
      <c r="BO1160">
        <f t="shared" si="445"/>
        <v>0</v>
      </c>
      <c r="BP1160">
        <f t="shared" si="446"/>
        <v>0</v>
      </c>
      <c r="BQ1160">
        <f t="shared" si="447"/>
        <v>0</v>
      </c>
      <c r="BR1160">
        <f t="shared" si="448"/>
        <v>0</v>
      </c>
      <c r="BS1160">
        <f t="shared" si="449"/>
        <v>0</v>
      </c>
      <c r="BT1160">
        <f t="shared" si="450"/>
        <v>0</v>
      </c>
      <c r="BU1160">
        <f t="shared" si="451"/>
        <v>0</v>
      </c>
      <c r="BV1160">
        <f t="shared" si="452"/>
        <v>0</v>
      </c>
      <c r="BW1160">
        <f t="shared" si="453"/>
        <v>0</v>
      </c>
      <c r="CA1160" t="str">
        <f>IF(961&gt;ROWS(DGArchive[模组]),"",IF(INDEX(DGArchive[模组],961)="","",INDEX(DGArchive[模组],961)))</f>
        <v/>
      </c>
      <c r="CB1160" t="str">
        <f>IF(961&gt;ROWS(DGArchive[阶段]),"",IF(INDEX(DGArchive[阶段],961)="","",INDEX(DGArchive[阶段],961)))</f>
        <v/>
      </c>
      <c r="CC1160" t="str">
        <f>IF(961&gt;ROWS(DGArchive[游戏内日期]),"",IF(INDEX(DGArchive[游戏内日期],961)="","",INDEX(DGArchive[游戏内日期],961)))</f>
        <v/>
      </c>
      <c r="CD1160" t="str">
        <f>IF(961&gt;ROWS(DGArchive[目标]),"",IF(INDEX(DGArchive[目标],961)="","",INDEX(DGArchive[目标],961)))</f>
        <v/>
      </c>
      <c r="CE1160" t="str">
        <f>IF(961&gt;ROWS(DGArchive[变更前]),"",IF(INDEX(DGArchive[变更前],961)="","",INDEX(DGArchive[变更前],961)))</f>
        <v/>
      </c>
      <c r="CF1160" t="str">
        <f>IF(961&gt;ROWS(DGArchive[增减]),"",IF(INDEX(DGArchive[增减],961)="","",INDEX(DGArchive[增减],961)))</f>
        <v/>
      </c>
      <c r="CG1160" t="str">
        <f>IF(961&gt;ROWS(DGArchive[变更后]),"",IF(INDEX(DGArchive[变更后],961)="","",INDEX(DGArchive[变更后],961)))</f>
        <v/>
      </c>
      <c r="CH1160" t="str">
        <f>IF(961&gt;ROWS(DGArchive[事件／活动]),"",IF(INDEX(DGArchive[事件／活动],961)="","",INDEX(DGArchive[事件／活动],961)))</f>
        <v/>
      </c>
      <c r="CI1160" t="str">
        <f>IF(961&gt;ROWS(DGArchive[记录编号]),"",IF(INDEX(DGArchive[记录编号],961)="","",INDEX(DGArchive[记录编号],961)))</f>
        <v/>
      </c>
      <c r="CL1160">
        <f t="shared" ref="CL1160:CL1199" si="464">IF(AND(A1160=$AO$5,H1160=1,LEFT(B1160,2)="幕间"),IFERROR(VALUE(MID(B1160,3,20)),0),0)</f>
        <v>0</v>
      </c>
      <c r="CM1160">
        <f>IF(AND(A1160=$AO$5,B1160=$AQ$3,H1160=1),COUNTIFS($A$200:A1160,$AO$5,$B$200:B1160,$AQ$3,$H$200:H1160,1),0)</f>
        <v>0</v>
      </c>
      <c r="CN1160">
        <f>IF(CA1160="",961,1001)</f>
        <v>961</v>
      </c>
      <c r="GA1160">
        <f t="shared" si="454"/>
        <v>0</v>
      </c>
      <c r="GB1160">
        <f t="shared" si="455"/>
        <v>0</v>
      </c>
      <c r="GC1160">
        <f>IF(AND(C1160="事件记录",H1160=1),COUNTIFS($C$200:C1160,"事件记录",$H$200:H1160,1),0)</f>
        <v>0</v>
      </c>
      <c r="GD1160">
        <f t="shared" ref="GD1160:GD1199" si="465">IF(AND(H1160=1,A1160=$GA$10,LEFT(B1160,2)="事件"),IFERROR(VALUE(MID(B1160,3,20)),0),0)</f>
        <v>0</v>
      </c>
      <c r="GH1160">
        <f>IF(AND(H1160=1,A1160=$GA$10,B1160=$GA$11),COUNTIFS($A$200:A1160,$GA$10,$B$200:B1160,$GA$11,$H$200:H1160,1),0)</f>
        <v>0</v>
      </c>
    </row>
    <row r="1161" spans="1:190">
      <c r="A1161" t="str">
        <f t="shared" si="456"/>
        <v/>
      </c>
      <c r="B1161" t="str">
        <f t="shared" si="457"/>
        <v/>
      </c>
      <c r="C1161" t="str">
        <f t="shared" si="458"/>
        <v/>
      </c>
      <c r="D1161" t="str">
        <f t="shared" si="459"/>
        <v/>
      </c>
      <c r="E1161">
        <f t="shared" si="460"/>
        <v>0</v>
      </c>
      <c r="F1161" t="str">
        <f t="shared" si="461"/>
        <v/>
      </c>
      <c r="G1161">
        <f t="shared" si="462"/>
        <v>0</v>
      </c>
      <c r="H1161">
        <f>IF(AND(G1161=1,COUNTIFS($I$200:I1161,I1161,$G$200:G1161,1)=1),1,0)</f>
        <v>0</v>
      </c>
      <c r="I1161" t="str">
        <f t="shared" si="463"/>
        <v/>
      </c>
      <c r="BF1161">
        <f t="shared" ref="BF1161:BF1199" si="466">MAX(0,MIN(18,BF1160+IF(C1161="力量",E1161,0)))</f>
        <v>0</v>
      </c>
      <c r="BG1161">
        <f t="shared" ref="BG1161:BG1199" si="467">MAX(0,MIN(18,BG1160+IF(C1161="体质",E1161,0)))</f>
        <v>0</v>
      </c>
      <c r="BH1161">
        <f t="shared" ref="BH1161:BH1199" si="468">MAX(0,MIN(18,BH1160+IF(C1161="敏捷",E1161,0)))</f>
        <v>0</v>
      </c>
      <c r="BI1161">
        <f t="shared" ref="BI1161:BI1199" si="469">MAX(0,MIN(18,BI1160+IF(C1161="智力",E1161,0)))</f>
        <v>0</v>
      </c>
      <c r="BJ1161">
        <f t="shared" ref="BJ1161:BJ1199" si="470">MAX(0,MIN(18,BJ1160+IF(C1161="意志",E1161,0)))</f>
        <v>0</v>
      </c>
      <c r="BK1161">
        <f t="shared" ref="BK1161:BK1199" si="471">MAX(0,MIN(18,BK1160+IF(C1161="魅力",E1161,0)))</f>
        <v>0</v>
      </c>
      <c r="BL1161">
        <f t="shared" ref="BL1161:BL1199" si="472">MAX(0,MIN(99,BL1160+IF(C1161="技能：非自然知识",E1161,0)))</f>
        <v>0</v>
      </c>
      <c r="BM1161">
        <f t="shared" ref="BM1161:BM1199" si="473">MAX(0,MIN(CEILING((BF1161+BG1161)/2,1),BM1160+IF(C1161="体力",E1161,0)))</f>
        <v>0</v>
      </c>
      <c r="BN1161">
        <f t="shared" ref="BN1161:BN1199" si="474">MAX(0,MIN(BJ1161,BN1160+IF(C1161="毅力",E1161,0)))</f>
        <v>0</v>
      </c>
      <c r="BO1161">
        <f t="shared" ref="BO1161:BO1199" si="475">MAX(0,MIN(99-BL1161,BO1160+IF(C1161="理智",E1161,0)))</f>
        <v>0</v>
      </c>
      <c r="BP1161">
        <f t="shared" ref="BP1161:BP1199" si="476">MAX(0,MIN(99,BP1160+IF(C1161="崩溃点",E1161,0)))</f>
        <v>0</v>
      </c>
      <c r="BQ1161">
        <f t="shared" ref="BQ1161:BQ1199" si="477">MAX(0,MIN(BK1161,IF(AND(H1161=1,C1161="重要关系1",LEFT(CH1161,8)="建立新的重要关系"),CE1161+E1161,IF(BQ1160=0,0,BQ1160+IF(C1161="重要关系1",E1161,0))+IF(AND(C1161="魅力",E1161&lt;0),E1161,0))))</f>
        <v>0</v>
      </c>
      <c r="BR1161">
        <f t="shared" ref="BR1161:BR1199" si="478">MAX(0,MIN(BK1161,IF(AND(H1161=1,C1161="重要关系2",LEFT(CH1161,8)="建立新的重要关系"),CE1161+E1161,IF(BR1160=0,0,BR1160+IF(C1161="重要关系2",E1161,0))+IF(AND(C1161="魅力",E1161&lt;0),E1161,0))))</f>
        <v>0</v>
      </c>
      <c r="BS1161">
        <f t="shared" ref="BS1161:BS1199" si="479">MAX(0,MIN(BK1161,IF(AND(H1161=1,C1161="重要关系3",LEFT(CH1161,8)="建立新的重要关系"),CE1161+E1161,IF(BS1160=0,0,BS1160+IF(C1161="重要关系3",E1161,0))+IF(AND(C1161="魅力",E1161&lt;0),E1161,0))))</f>
        <v>0</v>
      </c>
      <c r="BT1161">
        <f t="shared" ref="BT1161:BT1199" si="480">MAX(0,MIN(BK1161,IF(AND(H1161=1,C1161="重要关系4",LEFT(CH1161,8)="建立新的重要关系"),CE1161+E1161,IF(BT1160=0,0,BT1160+IF(C1161="重要关系4",E1161,0))+IF(AND(C1161="魅力",E1161&lt;0),E1161,0))))</f>
        <v>0</v>
      </c>
      <c r="BU1161">
        <f t="shared" ref="BU1161:BU1199" si="481">MAX(0,MIN(BK1161,IF(AND(H1161=1,C1161="重要关系5",LEFT(CH1161,8)="建立新的重要关系"),CE1161+E1161,IF(BU1160=0,0,BU1160+IF(C1161="重要关系5",E1161,0))+IF(AND(C1161="魅力",E1161&lt;0),E1161,0))))</f>
        <v>0</v>
      </c>
      <c r="BV1161">
        <f t="shared" ref="BV1161:BV1199" si="482">MAX(0,MIN(BK1161,IF(AND(H1161=1,C1161="重要关系6",LEFT(CH1161,8)="建立新的重要关系"),CE1161+E1161,IF(BV1160=0,0,BV1160+IF(C1161="重要关系6",E1161,0))+IF(AND(C1161="魅力",E1161&lt;0),E1161,0))))</f>
        <v>0</v>
      </c>
      <c r="BW1161">
        <f t="shared" ref="BW1161:BW1199" si="483">MAX(0,MIN(BK1161,IF(AND(H1161=1,C1161="重要关系7",LEFT(CH1161,8)="建立新的重要关系"),CE1161+E1161,IF(BW1160=0,0,BW1160+IF(C1161="重要关系7",E1161,0))+IF(AND(C1161="魅力",E1161&lt;0),E1161,0))))</f>
        <v>0</v>
      </c>
      <c r="CA1161" t="str">
        <f>IF(962&gt;ROWS(DGArchive[模组]),"",IF(INDEX(DGArchive[模组],962)="","",INDEX(DGArchive[模组],962)))</f>
        <v/>
      </c>
      <c r="CB1161" t="str">
        <f>IF(962&gt;ROWS(DGArchive[阶段]),"",IF(INDEX(DGArchive[阶段],962)="","",INDEX(DGArchive[阶段],962)))</f>
        <v/>
      </c>
      <c r="CC1161" t="str">
        <f>IF(962&gt;ROWS(DGArchive[游戏内日期]),"",IF(INDEX(DGArchive[游戏内日期],962)="","",INDEX(DGArchive[游戏内日期],962)))</f>
        <v/>
      </c>
      <c r="CD1161" t="str">
        <f>IF(962&gt;ROWS(DGArchive[目标]),"",IF(INDEX(DGArchive[目标],962)="","",INDEX(DGArchive[目标],962)))</f>
        <v/>
      </c>
      <c r="CE1161" t="str">
        <f>IF(962&gt;ROWS(DGArchive[变更前]),"",IF(INDEX(DGArchive[变更前],962)="","",INDEX(DGArchive[变更前],962)))</f>
        <v/>
      </c>
      <c r="CF1161" t="str">
        <f>IF(962&gt;ROWS(DGArchive[增减]),"",IF(INDEX(DGArchive[增减],962)="","",INDEX(DGArchive[增减],962)))</f>
        <v/>
      </c>
      <c r="CG1161" t="str">
        <f>IF(962&gt;ROWS(DGArchive[变更后]),"",IF(INDEX(DGArchive[变更后],962)="","",INDEX(DGArchive[变更后],962)))</f>
        <v/>
      </c>
      <c r="CH1161" t="str">
        <f>IF(962&gt;ROWS(DGArchive[事件／活动]),"",IF(INDEX(DGArchive[事件／活动],962)="","",INDEX(DGArchive[事件／活动],962)))</f>
        <v/>
      </c>
      <c r="CI1161" t="str">
        <f>IF(962&gt;ROWS(DGArchive[记录编号]),"",IF(INDEX(DGArchive[记录编号],962)="","",INDEX(DGArchive[记录编号],962)))</f>
        <v/>
      </c>
      <c r="CL1161">
        <f t="shared" si="464"/>
        <v>0</v>
      </c>
      <c r="CM1161">
        <f>IF(AND(A1161=$AO$5,B1161=$AQ$3,H1161=1),COUNTIFS($A$200:A1161,$AO$5,$B$200:B1161,$AQ$3,$H$200:H1161,1),0)</f>
        <v>0</v>
      </c>
      <c r="CN1161">
        <f>IF(CA1161="",962,1001)</f>
        <v>962</v>
      </c>
      <c r="GA1161">
        <f t="shared" ref="GA1161:GA1199" si="484">MAX(0,MIN(3,GA1160+IF(C1161="暴力进度",E1161,0)))</f>
        <v>0</v>
      </c>
      <c r="GB1161">
        <f t="shared" ref="GB1161:GB1199" si="485">MAX(0,MIN(3,GB1160+IF(C1161="无力进度",E1161,0)))</f>
        <v>0</v>
      </c>
      <c r="GC1161">
        <f>IF(AND(C1161="事件记录",H1161=1),COUNTIFS($C$200:C1161,"事件记录",$H$200:H1161,1),0)</f>
        <v>0</v>
      </c>
      <c r="GD1161">
        <f t="shared" si="465"/>
        <v>0</v>
      </c>
      <c r="GH1161">
        <f>IF(AND(H1161=1,A1161=$GA$10,B1161=$GA$11),COUNTIFS($A$200:A1161,$GA$10,$B$200:B1161,$GA$11,$H$200:H1161,1),0)</f>
        <v>0</v>
      </c>
    </row>
    <row r="1162" spans="1:190">
      <c r="A1162" t="str">
        <f t="shared" si="456"/>
        <v/>
      </c>
      <c r="B1162" t="str">
        <f t="shared" si="457"/>
        <v/>
      </c>
      <c r="C1162" t="str">
        <f t="shared" si="458"/>
        <v/>
      </c>
      <c r="D1162" t="str">
        <f t="shared" si="459"/>
        <v/>
      </c>
      <c r="E1162">
        <f t="shared" si="460"/>
        <v>0</v>
      </c>
      <c r="F1162" t="str">
        <f t="shared" si="461"/>
        <v/>
      </c>
      <c r="G1162">
        <f t="shared" si="462"/>
        <v>0</v>
      </c>
      <c r="H1162">
        <f>IF(AND(G1162=1,COUNTIFS($I$200:I1162,I1162,$G$200:G1162,1)=1),1,0)</f>
        <v>0</v>
      </c>
      <c r="I1162" t="str">
        <f t="shared" si="463"/>
        <v/>
      </c>
      <c r="BF1162">
        <f t="shared" si="466"/>
        <v>0</v>
      </c>
      <c r="BG1162">
        <f t="shared" si="467"/>
        <v>0</v>
      </c>
      <c r="BH1162">
        <f t="shared" si="468"/>
        <v>0</v>
      </c>
      <c r="BI1162">
        <f t="shared" si="469"/>
        <v>0</v>
      </c>
      <c r="BJ1162">
        <f t="shared" si="470"/>
        <v>0</v>
      </c>
      <c r="BK1162">
        <f t="shared" si="471"/>
        <v>0</v>
      </c>
      <c r="BL1162">
        <f t="shared" si="472"/>
        <v>0</v>
      </c>
      <c r="BM1162">
        <f t="shared" si="473"/>
        <v>0</v>
      </c>
      <c r="BN1162">
        <f t="shared" si="474"/>
        <v>0</v>
      </c>
      <c r="BO1162">
        <f t="shared" si="475"/>
        <v>0</v>
      </c>
      <c r="BP1162">
        <f t="shared" si="476"/>
        <v>0</v>
      </c>
      <c r="BQ1162">
        <f t="shared" si="477"/>
        <v>0</v>
      </c>
      <c r="BR1162">
        <f t="shared" si="478"/>
        <v>0</v>
      </c>
      <c r="BS1162">
        <f t="shared" si="479"/>
        <v>0</v>
      </c>
      <c r="BT1162">
        <f t="shared" si="480"/>
        <v>0</v>
      </c>
      <c r="BU1162">
        <f t="shared" si="481"/>
        <v>0</v>
      </c>
      <c r="BV1162">
        <f t="shared" si="482"/>
        <v>0</v>
      </c>
      <c r="BW1162">
        <f t="shared" si="483"/>
        <v>0</v>
      </c>
      <c r="CA1162" t="str">
        <f>IF(963&gt;ROWS(DGArchive[模组]),"",IF(INDEX(DGArchive[模组],963)="","",INDEX(DGArchive[模组],963)))</f>
        <v/>
      </c>
      <c r="CB1162" t="str">
        <f>IF(963&gt;ROWS(DGArchive[阶段]),"",IF(INDEX(DGArchive[阶段],963)="","",INDEX(DGArchive[阶段],963)))</f>
        <v/>
      </c>
      <c r="CC1162" t="str">
        <f>IF(963&gt;ROWS(DGArchive[游戏内日期]),"",IF(INDEX(DGArchive[游戏内日期],963)="","",INDEX(DGArchive[游戏内日期],963)))</f>
        <v/>
      </c>
      <c r="CD1162" t="str">
        <f>IF(963&gt;ROWS(DGArchive[目标]),"",IF(INDEX(DGArchive[目标],963)="","",INDEX(DGArchive[目标],963)))</f>
        <v/>
      </c>
      <c r="CE1162" t="str">
        <f>IF(963&gt;ROWS(DGArchive[变更前]),"",IF(INDEX(DGArchive[变更前],963)="","",INDEX(DGArchive[变更前],963)))</f>
        <v/>
      </c>
      <c r="CF1162" t="str">
        <f>IF(963&gt;ROWS(DGArchive[增减]),"",IF(INDEX(DGArchive[增减],963)="","",INDEX(DGArchive[增减],963)))</f>
        <v/>
      </c>
      <c r="CG1162" t="str">
        <f>IF(963&gt;ROWS(DGArchive[变更后]),"",IF(INDEX(DGArchive[变更后],963)="","",INDEX(DGArchive[变更后],963)))</f>
        <v/>
      </c>
      <c r="CH1162" t="str">
        <f>IF(963&gt;ROWS(DGArchive[事件／活动]),"",IF(INDEX(DGArchive[事件／活动],963)="","",INDEX(DGArchive[事件／活动],963)))</f>
        <v/>
      </c>
      <c r="CI1162" t="str">
        <f>IF(963&gt;ROWS(DGArchive[记录编号]),"",IF(INDEX(DGArchive[记录编号],963)="","",INDEX(DGArchive[记录编号],963)))</f>
        <v/>
      </c>
      <c r="CL1162">
        <f t="shared" si="464"/>
        <v>0</v>
      </c>
      <c r="CM1162">
        <f>IF(AND(A1162=$AO$5,B1162=$AQ$3,H1162=1),COUNTIFS($A$200:A1162,$AO$5,$B$200:B1162,$AQ$3,$H$200:H1162,1),0)</f>
        <v>0</v>
      </c>
      <c r="CN1162">
        <f>IF(CA1162="",963,1001)</f>
        <v>963</v>
      </c>
      <c r="GA1162">
        <f t="shared" si="484"/>
        <v>0</v>
      </c>
      <c r="GB1162">
        <f t="shared" si="485"/>
        <v>0</v>
      </c>
      <c r="GC1162">
        <f>IF(AND(C1162="事件记录",H1162=1),COUNTIFS($C$200:C1162,"事件记录",$H$200:H1162,1),0)</f>
        <v>0</v>
      </c>
      <c r="GD1162">
        <f t="shared" si="465"/>
        <v>0</v>
      </c>
      <c r="GH1162">
        <f>IF(AND(H1162=1,A1162=$GA$10,B1162=$GA$11),COUNTIFS($A$200:A1162,$GA$10,$B$200:B1162,$GA$11,$H$200:H1162,1),0)</f>
        <v>0</v>
      </c>
    </row>
    <row r="1163" spans="1:190">
      <c r="A1163" t="str">
        <f t="shared" si="456"/>
        <v/>
      </c>
      <c r="B1163" t="str">
        <f t="shared" si="457"/>
        <v/>
      </c>
      <c r="C1163" t="str">
        <f t="shared" si="458"/>
        <v/>
      </c>
      <c r="D1163" t="str">
        <f t="shared" si="459"/>
        <v/>
      </c>
      <c r="E1163">
        <f t="shared" si="460"/>
        <v>0</v>
      </c>
      <c r="F1163" t="str">
        <f t="shared" si="461"/>
        <v/>
      </c>
      <c r="G1163">
        <f t="shared" si="462"/>
        <v>0</v>
      </c>
      <c r="H1163">
        <f>IF(AND(G1163=1,COUNTIFS($I$200:I1163,I1163,$G$200:G1163,1)=1),1,0)</f>
        <v>0</v>
      </c>
      <c r="I1163" t="str">
        <f t="shared" si="463"/>
        <v/>
      </c>
      <c r="BF1163">
        <f t="shared" si="466"/>
        <v>0</v>
      </c>
      <c r="BG1163">
        <f t="shared" si="467"/>
        <v>0</v>
      </c>
      <c r="BH1163">
        <f t="shared" si="468"/>
        <v>0</v>
      </c>
      <c r="BI1163">
        <f t="shared" si="469"/>
        <v>0</v>
      </c>
      <c r="BJ1163">
        <f t="shared" si="470"/>
        <v>0</v>
      </c>
      <c r="BK1163">
        <f t="shared" si="471"/>
        <v>0</v>
      </c>
      <c r="BL1163">
        <f t="shared" si="472"/>
        <v>0</v>
      </c>
      <c r="BM1163">
        <f t="shared" si="473"/>
        <v>0</v>
      </c>
      <c r="BN1163">
        <f t="shared" si="474"/>
        <v>0</v>
      </c>
      <c r="BO1163">
        <f t="shared" si="475"/>
        <v>0</v>
      </c>
      <c r="BP1163">
        <f t="shared" si="476"/>
        <v>0</v>
      </c>
      <c r="BQ1163">
        <f t="shared" si="477"/>
        <v>0</v>
      </c>
      <c r="BR1163">
        <f t="shared" si="478"/>
        <v>0</v>
      </c>
      <c r="BS1163">
        <f t="shared" si="479"/>
        <v>0</v>
      </c>
      <c r="BT1163">
        <f t="shared" si="480"/>
        <v>0</v>
      </c>
      <c r="BU1163">
        <f t="shared" si="481"/>
        <v>0</v>
      </c>
      <c r="BV1163">
        <f t="shared" si="482"/>
        <v>0</v>
      </c>
      <c r="BW1163">
        <f t="shared" si="483"/>
        <v>0</v>
      </c>
      <c r="CA1163" t="str">
        <f>IF(964&gt;ROWS(DGArchive[模组]),"",IF(INDEX(DGArchive[模组],964)="","",INDEX(DGArchive[模组],964)))</f>
        <v/>
      </c>
      <c r="CB1163" t="str">
        <f>IF(964&gt;ROWS(DGArchive[阶段]),"",IF(INDEX(DGArchive[阶段],964)="","",INDEX(DGArchive[阶段],964)))</f>
        <v/>
      </c>
      <c r="CC1163" t="str">
        <f>IF(964&gt;ROWS(DGArchive[游戏内日期]),"",IF(INDEX(DGArchive[游戏内日期],964)="","",INDEX(DGArchive[游戏内日期],964)))</f>
        <v/>
      </c>
      <c r="CD1163" t="str">
        <f>IF(964&gt;ROWS(DGArchive[目标]),"",IF(INDEX(DGArchive[目标],964)="","",INDEX(DGArchive[目标],964)))</f>
        <v/>
      </c>
      <c r="CE1163" t="str">
        <f>IF(964&gt;ROWS(DGArchive[变更前]),"",IF(INDEX(DGArchive[变更前],964)="","",INDEX(DGArchive[变更前],964)))</f>
        <v/>
      </c>
      <c r="CF1163" t="str">
        <f>IF(964&gt;ROWS(DGArchive[增减]),"",IF(INDEX(DGArchive[增减],964)="","",INDEX(DGArchive[增减],964)))</f>
        <v/>
      </c>
      <c r="CG1163" t="str">
        <f>IF(964&gt;ROWS(DGArchive[变更后]),"",IF(INDEX(DGArchive[变更后],964)="","",INDEX(DGArchive[变更后],964)))</f>
        <v/>
      </c>
      <c r="CH1163" t="str">
        <f>IF(964&gt;ROWS(DGArchive[事件／活动]),"",IF(INDEX(DGArchive[事件／活动],964)="","",INDEX(DGArchive[事件／活动],964)))</f>
        <v/>
      </c>
      <c r="CI1163" t="str">
        <f>IF(964&gt;ROWS(DGArchive[记录编号]),"",IF(INDEX(DGArchive[记录编号],964)="","",INDEX(DGArchive[记录编号],964)))</f>
        <v/>
      </c>
      <c r="CL1163">
        <f t="shared" si="464"/>
        <v>0</v>
      </c>
      <c r="CM1163">
        <f>IF(AND(A1163=$AO$5,B1163=$AQ$3,H1163=1),COUNTIFS($A$200:A1163,$AO$5,$B$200:B1163,$AQ$3,$H$200:H1163,1),0)</f>
        <v>0</v>
      </c>
      <c r="CN1163">
        <f>IF(CA1163="",964,1001)</f>
        <v>964</v>
      </c>
      <c r="GA1163">
        <f t="shared" si="484"/>
        <v>0</v>
      </c>
      <c r="GB1163">
        <f t="shared" si="485"/>
        <v>0</v>
      </c>
      <c r="GC1163">
        <f>IF(AND(C1163="事件记录",H1163=1),COUNTIFS($C$200:C1163,"事件记录",$H$200:H1163,1),0)</f>
        <v>0</v>
      </c>
      <c r="GD1163">
        <f t="shared" si="465"/>
        <v>0</v>
      </c>
      <c r="GH1163">
        <f>IF(AND(H1163=1,A1163=$GA$10,B1163=$GA$11),COUNTIFS($A$200:A1163,$GA$10,$B$200:B1163,$GA$11,$H$200:H1163,1),0)</f>
        <v>0</v>
      </c>
    </row>
    <row r="1164" spans="1:190">
      <c r="A1164" t="str">
        <f t="shared" si="456"/>
        <v/>
      </c>
      <c r="B1164" t="str">
        <f t="shared" si="457"/>
        <v/>
      </c>
      <c r="C1164" t="str">
        <f t="shared" si="458"/>
        <v/>
      </c>
      <c r="D1164" t="str">
        <f t="shared" si="459"/>
        <v/>
      </c>
      <c r="E1164">
        <f t="shared" si="460"/>
        <v>0</v>
      </c>
      <c r="F1164" t="str">
        <f t="shared" si="461"/>
        <v/>
      </c>
      <c r="G1164">
        <f t="shared" si="462"/>
        <v>0</v>
      </c>
      <c r="H1164">
        <f>IF(AND(G1164=1,COUNTIFS($I$200:I1164,I1164,$G$200:G1164,1)=1),1,0)</f>
        <v>0</v>
      </c>
      <c r="I1164" t="str">
        <f t="shared" si="463"/>
        <v/>
      </c>
      <c r="BF1164">
        <f t="shared" si="466"/>
        <v>0</v>
      </c>
      <c r="BG1164">
        <f t="shared" si="467"/>
        <v>0</v>
      </c>
      <c r="BH1164">
        <f t="shared" si="468"/>
        <v>0</v>
      </c>
      <c r="BI1164">
        <f t="shared" si="469"/>
        <v>0</v>
      </c>
      <c r="BJ1164">
        <f t="shared" si="470"/>
        <v>0</v>
      </c>
      <c r="BK1164">
        <f t="shared" si="471"/>
        <v>0</v>
      </c>
      <c r="BL1164">
        <f t="shared" si="472"/>
        <v>0</v>
      </c>
      <c r="BM1164">
        <f t="shared" si="473"/>
        <v>0</v>
      </c>
      <c r="BN1164">
        <f t="shared" si="474"/>
        <v>0</v>
      </c>
      <c r="BO1164">
        <f t="shared" si="475"/>
        <v>0</v>
      </c>
      <c r="BP1164">
        <f t="shared" si="476"/>
        <v>0</v>
      </c>
      <c r="BQ1164">
        <f t="shared" si="477"/>
        <v>0</v>
      </c>
      <c r="BR1164">
        <f t="shared" si="478"/>
        <v>0</v>
      </c>
      <c r="BS1164">
        <f t="shared" si="479"/>
        <v>0</v>
      </c>
      <c r="BT1164">
        <f t="shared" si="480"/>
        <v>0</v>
      </c>
      <c r="BU1164">
        <f t="shared" si="481"/>
        <v>0</v>
      </c>
      <c r="BV1164">
        <f t="shared" si="482"/>
        <v>0</v>
      </c>
      <c r="BW1164">
        <f t="shared" si="483"/>
        <v>0</v>
      </c>
      <c r="CA1164" t="str">
        <f>IF(965&gt;ROWS(DGArchive[模组]),"",IF(INDEX(DGArchive[模组],965)="","",INDEX(DGArchive[模组],965)))</f>
        <v/>
      </c>
      <c r="CB1164" t="str">
        <f>IF(965&gt;ROWS(DGArchive[阶段]),"",IF(INDEX(DGArchive[阶段],965)="","",INDEX(DGArchive[阶段],965)))</f>
        <v/>
      </c>
      <c r="CC1164" t="str">
        <f>IF(965&gt;ROWS(DGArchive[游戏内日期]),"",IF(INDEX(DGArchive[游戏内日期],965)="","",INDEX(DGArchive[游戏内日期],965)))</f>
        <v/>
      </c>
      <c r="CD1164" t="str">
        <f>IF(965&gt;ROWS(DGArchive[目标]),"",IF(INDEX(DGArchive[目标],965)="","",INDEX(DGArchive[目标],965)))</f>
        <v/>
      </c>
      <c r="CE1164" t="str">
        <f>IF(965&gt;ROWS(DGArchive[变更前]),"",IF(INDEX(DGArchive[变更前],965)="","",INDEX(DGArchive[变更前],965)))</f>
        <v/>
      </c>
      <c r="CF1164" t="str">
        <f>IF(965&gt;ROWS(DGArchive[增减]),"",IF(INDEX(DGArchive[增减],965)="","",INDEX(DGArchive[增减],965)))</f>
        <v/>
      </c>
      <c r="CG1164" t="str">
        <f>IF(965&gt;ROWS(DGArchive[变更后]),"",IF(INDEX(DGArchive[变更后],965)="","",INDEX(DGArchive[变更后],965)))</f>
        <v/>
      </c>
      <c r="CH1164" t="str">
        <f>IF(965&gt;ROWS(DGArchive[事件／活动]),"",IF(INDEX(DGArchive[事件／活动],965)="","",INDEX(DGArchive[事件／活动],965)))</f>
        <v/>
      </c>
      <c r="CI1164" t="str">
        <f>IF(965&gt;ROWS(DGArchive[记录编号]),"",IF(INDEX(DGArchive[记录编号],965)="","",INDEX(DGArchive[记录编号],965)))</f>
        <v/>
      </c>
      <c r="CL1164">
        <f t="shared" si="464"/>
        <v>0</v>
      </c>
      <c r="CM1164">
        <f>IF(AND(A1164=$AO$5,B1164=$AQ$3,H1164=1),COUNTIFS($A$200:A1164,$AO$5,$B$200:B1164,$AQ$3,$H$200:H1164,1),0)</f>
        <v>0</v>
      </c>
      <c r="CN1164">
        <f>IF(CA1164="",965,1001)</f>
        <v>965</v>
      </c>
      <c r="GA1164">
        <f t="shared" si="484"/>
        <v>0</v>
      </c>
      <c r="GB1164">
        <f t="shared" si="485"/>
        <v>0</v>
      </c>
      <c r="GC1164">
        <f>IF(AND(C1164="事件记录",H1164=1),COUNTIFS($C$200:C1164,"事件记录",$H$200:H1164,1),0)</f>
        <v>0</v>
      </c>
      <c r="GD1164">
        <f t="shared" si="465"/>
        <v>0</v>
      </c>
      <c r="GH1164">
        <f>IF(AND(H1164=1,A1164=$GA$10,B1164=$GA$11),COUNTIFS($A$200:A1164,$GA$10,$B$200:B1164,$GA$11,$H$200:H1164,1),0)</f>
        <v>0</v>
      </c>
    </row>
    <row r="1165" spans="1:190">
      <c r="A1165" t="str">
        <f t="shared" si="456"/>
        <v/>
      </c>
      <c r="B1165" t="str">
        <f t="shared" si="457"/>
        <v/>
      </c>
      <c r="C1165" t="str">
        <f t="shared" si="458"/>
        <v/>
      </c>
      <c r="D1165" t="str">
        <f t="shared" si="459"/>
        <v/>
      </c>
      <c r="E1165">
        <f t="shared" si="460"/>
        <v>0</v>
      </c>
      <c r="F1165" t="str">
        <f t="shared" si="461"/>
        <v/>
      </c>
      <c r="G1165">
        <f t="shared" si="462"/>
        <v>0</v>
      </c>
      <c r="H1165">
        <f>IF(AND(G1165=1,COUNTIFS($I$200:I1165,I1165,$G$200:G1165,1)=1),1,0)</f>
        <v>0</v>
      </c>
      <c r="I1165" t="str">
        <f t="shared" si="463"/>
        <v/>
      </c>
      <c r="BF1165">
        <f t="shared" si="466"/>
        <v>0</v>
      </c>
      <c r="BG1165">
        <f t="shared" si="467"/>
        <v>0</v>
      </c>
      <c r="BH1165">
        <f t="shared" si="468"/>
        <v>0</v>
      </c>
      <c r="BI1165">
        <f t="shared" si="469"/>
        <v>0</v>
      </c>
      <c r="BJ1165">
        <f t="shared" si="470"/>
        <v>0</v>
      </c>
      <c r="BK1165">
        <f t="shared" si="471"/>
        <v>0</v>
      </c>
      <c r="BL1165">
        <f t="shared" si="472"/>
        <v>0</v>
      </c>
      <c r="BM1165">
        <f t="shared" si="473"/>
        <v>0</v>
      </c>
      <c r="BN1165">
        <f t="shared" si="474"/>
        <v>0</v>
      </c>
      <c r="BO1165">
        <f t="shared" si="475"/>
        <v>0</v>
      </c>
      <c r="BP1165">
        <f t="shared" si="476"/>
        <v>0</v>
      </c>
      <c r="BQ1165">
        <f t="shared" si="477"/>
        <v>0</v>
      </c>
      <c r="BR1165">
        <f t="shared" si="478"/>
        <v>0</v>
      </c>
      <c r="BS1165">
        <f t="shared" si="479"/>
        <v>0</v>
      </c>
      <c r="BT1165">
        <f t="shared" si="480"/>
        <v>0</v>
      </c>
      <c r="BU1165">
        <f t="shared" si="481"/>
        <v>0</v>
      </c>
      <c r="BV1165">
        <f t="shared" si="482"/>
        <v>0</v>
      </c>
      <c r="BW1165">
        <f t="shared" si="483"/>
        <v>0</v>
      </c>
      <c r="CA1165" t="str">
        <f>IF(966&gt;ROWS(DGArchive[模组]),"",IF(INDEX(DGArchive[模组],966)="","",INDEX(DGArchive[模组],966)))</f>
        <v/>
      </c>
      <c r="CB1165" t="str">
        <f>IF(966&gt;ROWS(DGArchive[阶段]),"",IF(INDEX(DGArchive[阶段],966)="","",INDEX(DGArchive[阶段],966)))</f>
        <v/>
      </c>
      <c r="CC1165" t="str">
        <f>IF(966&gt;ROWS(DGArchive[游戏内日期]),"",IF(INDEX(DGArchive[游戏内日期],966)="","",INDEX(DGArchive[游戏内日期],966)))</f>
        <v/>
      </c>
      <c r="CD1165" t="str">
        <f>IF(966&gt;ROWS(DGArchive[目标]),"",IF(INDEX(DGArchive[目标],966)="","",INDEX(DGArchive[目标],966)))</f>
        <v/>
      </c>
      <c r="CE1165" t="str">
        <f>IF(966&gt;ROWS(DGArchive[变更前]),"",IF(INDEX(DGArchive[变更前],966)="","",INDEX(DGArchive[变更前],966)))</f>
        <v/>
      </c>
      <c r="CF1165" t="str">
        <f>IF(966&gt;ROWS(DGArchive[增减]),"",IF(INDEX(DGArchive[增减],966)="","",INDEX(DGArchive[增减],966)))</f>
        <v/>
      </c>
      <c r="CG1165" t="str">
        <f>IF(966&gt;ROWS(DGArchive[变更后]),"",IF(INDEX(DGArchive[变更后],966)="","",INDEX(DGArchive[变更后],966)))</f>
        <v/>
      </c>
      <c r="CH1165" t="str">
        <f>IF(966&gt;ROWS(DGArchive[事件／活动]),"",IF(INDEX(DGArchive[事件／活动],966)="","",INDEX(DGArchive[事件／活动],966)))</f>
        <v/>
      </c>
      <c r="CI1165" t="str">
        <f>IF(966&gt;ROWS(DGArchive[记录编号]),"",IF(INDEX(DGArchive[记录编号],966)="","",INDEX(DGArchive[记录编号],966)))</f>
        <v/>
      </c>
      <c r="CL1165">
        <f t="shared" si="464"/>
        <v>0</v>
      </c>
      <c r="CM1165">
        <f>IF(AND(A1165=$AO$5,B1165=$AQ$3,H1165=1),COUNTIFS($A$200:A1165,$AO$5,$B$200:B1165,$AQ$3,$H$200:H1165,1),0)</f>
        <v>0</v>
      </c>
      <c r="CN1165">
        <f>IF(CA1165="",966,1001)</f>
        <v>966</v>
      </c>
      <c r="GA1165">
        <f t="shared" si="484"/>
        <v>0</v>
      </c>
      <c r="GB1165">
        <f t="shared" si="485"/>
        <v>0</v>
      </c>
      <c r="GC1165">
        <f>IF(AND(C1165="事件记录",H1165=1),COUNTIFS($C$200:C1165,"事件记录",$H$200:H1165,1),0)</f>
        <v>0</v>
      </c>
      <c r="GD1165">
        <f t="shared" si="465"/>
        <v>0</v>
      </c>
      <c r="GH1165">
        <f>IF(AND(H1165=1,A1165=$GA$10,B1165=$GA$11),COUNTIFS($A$200:A1165,$GA$10,$B$200:B1165,$GA$11,$H$200:H1165,1),0)</f>
        <v>0</v>
      </c>
    </row>
    <row r="1166" spans="1:190">
      <c r="A1166" t="str">
        <f t="shared" si="456"/>
        <v/>
      </c>
      <c r="B1166" t="str">
        <f t="shared" si="457"/>
        <v/>
      </c>
      <c r="C1166" t="str">
        <f t="shared" si="458"/>
        <v/>
      </c>
      <c r="D1166" t="str">
        <f t="shared" si="459"/>
        <v/>
      </c>
      <c r="E1166">
        <f t="shared" si="460"/>
        <v>0</v>
      </c>
      <c r="F1166" t="str">
        <f t="shared" si="461"/>
        <v/>
      </c>
      <c r="G1166">
        <f t="shared" si="462"/>
        <v>0</v>
      </c>
      <c r="H1166">
        <f>IF(AND(G1166=1,COUNTIFS($I$200:I1166,I1166,$G$200:G1166,1)=1),1,0)</f>
        <v>0</v>
      </c>
      <c r="I1166" t="str">
        <f t="shared" si="463"/>
        <v/>
      </c>
      <c r="BF1166">
        <f t="shared" si="466"/>
        <v>0</v>
      </c>
      <c r="BG1166">
        <f t="shared" si="467"/>
        <v>0</v>
      </c>
      <c r="BH1166">
        <f t="shared" si="468"/>
        <v>0</v>
      </c>
      <c r="BI1166">
        <f t="shared" si="469"/>
        <v>0</v>
      </c>
      <c r="BJ1166">
        <f t="shared" si="470"/>
        <v>0</v>
      </c>
      <c r="BK1166">
        <f t="shared" si="471"/>
        <v>0</v>
      </c>
      <c r="BL1166">
        <f t="shared" si="472"/>
        <v>0</v>
      </c>
      <c r="BM1166">
        <f t="shared" si="473"/>
        <v>0</v>
      </c>
      <c r="BN1166">
        <f t="shared" si="474"/>
        <v>0</v>
      </c>
      <c r="BO1166">
        <f t="shared" si="475"/>
        <v>0</v>
      </c>
      <c r="BP1166">
        <f t="shared" si="476"/>
        <v>0</v>
      </c>
      <c r="BQ1166">
        <f t="shared" si="477"/>
        <v>0</v>
      </c>
      <c r="BR1166">
        <f t="shared" si="478"/>
        <v>0</v>
      </c>
      <c r="BS1166">
        <f t="shared" si="479"/>
        <v>0</v>
      </c>
      <c r="BT1166">
        <f t="shared" si="480"/>
        <v>0</v>
      </c>
      <c r="BU1166">
        <f t="shared" si="481"/>
        <v>0</v>
      </c>
      <c r="BV1166">
        <f t="shared" si="482"/>
        <v>0</v>
      </c>
      <c r="BW1166">
        <f t="shared" si="483"/>
        <v>0</v>
      </c>
      <c r="CA1166" t="str">
        <f>IF(967&gt;ROWS(DGArchive[模组]),"",IF(INDEX(DGArchive[模组],967)="","",INDEX(DGArchive[模组],967)))</f>
        <v/>
      </c>
      <c r="CB1166" t="str">
        <f>IF(967&gt;ROWS(DGArchive[阶段]),"",IF(INDEX(DGArchive[阶段],967)="","",INDEX(DGArchive[阶段],967)))</f>
        <v/>
      </c>
      <c r="CC1166" t="str">
        <f>IF(967&gt;ROWS(DGArchive[游戏内日期]),"",IF(INDEX(DGArchive[游戏内日期],967)="","",INDEX(DGArchive[游戏内日期],967)))</f>
        <v/>
      </c>
      <c r="CD1166" t="str">
        <f>IF(967&gt;ROWS(DGArchive[目标]),"",IF(INDEX(DGArchive[目标],967)="","",INDEX(DGArchive[目标],967)))</f>
        <v/>
      </c>
      <c r="CE1166" t="str">
        <f>IF(967&gt;ROWS(DGArchive[变更前]),"",IF(INDEX(DGArchive[变更前],967)="","",INDEX(DGArchive[变更前],967)))</f>
        <v/>
      </c>
      <c r="CF1166" t="str">
        <f>IF(967&gt;ROWS(DGArchive[增减]),"",IF(INDEX(DGArchive[增减],967)="","",INDEX(DGArchive[增减],967)))</f>
        <v/>
      </c>
      <c r="CG1166" t="str">
        <f>IF(967&gt;ROWS(DGArchive[变更后]),"",IF(INDEX(DGArchive[变更后],967)="","",INDEX(DGArchive[变更后],967)))</f>
        <v/>
      </c>
      <c r="CH1166" t="str">
        <f>IF(967&gt;ROWS(DGArchive[事件／活动]),"",IF(INDEX(DGArchive[事件／活动],967)="","",INDEX(DGArchive[事件／活动],967)))</f>
        <v/>
      </c>
      <c r="CI1166" t="str">
        <f>IF(967&gt;ROWS(DGArchive[记录编号]),"",IF(INDEX(DGArchive[记录编号],967)="","",INDEX(DGArchive[记录编号],967)))</f>
        <v/>
      </c>
      <c r="CL1166">
        <f t="shared" si="464"/>
        <v>0</v>
      </c>
      <c r="CM1166">
        <f>IF(AND(A1166=$AO$5,B1166=$AQ$3,H1166=1),COUNTIFS($A$200:A1166,$AO$5,$B$200:B1166,$AQ$3,$H$200:H1166,1),0)</f>
        <v>0</v>
      </c>
      <c r="CN1166">
        <f>IF(CA1166="",967,1001)</f>
        <v>967</v>
      </c>
      <c r="GA1166">
        <f t="shared" si="484"/>
        <v>0</v>
      </c>
      <c r="GB1166">
        <f t="shared" si="485"/>
        <v>0</v>
      </c>
      <c r="GC1166">
        <f>IF(AND(C1166="事件记录",H1166=1),COUNTIFS($C$200:C1166,"事件记录",$H$200:H1166,1),0)</f>
        <v>0</v>
      </c>
      <c r="GD1166">
        <f t="shared" si="465"/>
        <v>0</v>
      </c>
      <c r="GH1166">
        <f>IF(AND(H1166=1,A1166=$GA$10,B1166=$GA$11),COUNTIFS($A$200:A1166,$GA$10,$B$200:B1166,$GA$11,$H$200:H1166,1),0)</f>
        <v>0</v>
      </c>
    </row>
    <row r="1167" spans="1:190">
      <c r="A1167" t="str">
        <f t="shared" si="456"/>
        <v/>
      </c>
      <c r="B1167" t="str">
        <f t="shared" si="457"/>
        <v/>
      </c>
      <c r="C1167" t="str">
        <f t="shared" si="458"/>
        <v/>
      </c>
      <c r="D1167" t="str">
        <f t="shared" si="459"/>
        <v/>
      </c>
      <c r="E1167">
        <f t="shared" si="460"/>
        <v>0</v>
      </c>
      <c r="F1167" t="str">
        <f t="shared" si="461"/>
        <v/>
      </c>
      <c r="G1167">
        <f t="shared" si="462"/>
        <v>0</v>
      </c>
      <c r="H1167">
        <f>IF(AND(G1167=1,COUNTIFS($I$200:I1167,I1167,$G$200:G1167,1)=1),1,0)</f>
        <v>0</v>
      </c>
      <c r="I1167" t="str">
        <f t="shared" si="463"/>
        <v/>
      </c>
      <c r="BF1167">
        <f t="shared" si="466"/>
        <v>0</v>
      </c>
      <c r="BG1167">
        <f t="shared" si="467"/>
        <v>0</v>
      </c>
      <c r="BH1167">
        <f t="shared" si="468"/>
        <v>0</v>
      </c>
      <c r="BI1167">
        <f t="shared" si="469"/>
        <v>0</v>
      </c>
      <c r="BJ1167">
        <f t="shared" si="470"/>
        <v>0</v>
      </c>
      <c r="BK1167">
        <f t="shared" si="471"/>
        <v>0</v>
      </c>
      <c r="BL1167">
        <f t="shared" si="472"/>
        <v>0</v>
      </c>
      <c r="BM1167">
        <f t="shared" si="473"/>
        <v>0</v>
      </c>
      <c r="BN1167">
        <f t="shared" si="474"/>
        <v>0</v>
      </c>
      <c r="BO1167">
        <f t="shared" si="475"/>
        <v>0</v>
      </c>
      <c r="BP1167">
        <f t="shared" si="476"/>
        <v>0</v>
      </c>
      <c r="BQ1167">
        <f t="shared" si="477"/>
        <v>0</v>
      </c>
      <c r="BR1167">
        <f t="shared" si="478"/>
        <v>0</v>
      </c>
      <c r="BS1167">
        <f t="shared" si="479"/>
        <v>0</v>
      </c>
      <c r="BT1167">
        <f t="shared" si="480"/>
        <v>0</v>
      </c>
      <c r="BU1167">
        <f t="shared" si="481"/>
        <v>0</v>
      </c>
      <c r="BV1167">
        <f t="shared" si="482"/>
        <v>0</v>
      </c>
      <c r="BW1167">
        <f t="shared" si="483"/>
        <v>0</v>
      </c>
      <c r="CA1167" t="str">
        <f>IF(968&gt;ROWS(DGArchive[模组]),"",IF(INDEX(DGArchive[模组],968)="","",INDEX(DGArchive[模组],968)))</f>
        <v/>
      </c>
      <c r="CB1167" t="str">
        <f>IF(968&gt;ROWS(DGArchive[阶段]),"",IF(INDEX(DGArchive[阶段],968)="","",INDEX(DGArchive[阶段],968)))</f>
        <v/>
      </c>
      <c r="CC1167" t="str">
        <f>IF(968&gt;ROWS(DGArchive[游戏内日期]),"",IF(INDEX(DGArchive[游戏内日期],968)="","",INDEX(DGArchive[游戏内日期],968)))</f>
        <v/>
      </c>
      <c r="CD1167" t="str">
        <f>IF(968&gt;ROWS(DGArchive[目标]),"",IF(INDEX(DGArchive[目标],968)="","",INDEX(DGArchive[目标],968)))</f>
        <v/>
      </c>
      <c r="CE1167" t="str">
        <f>IF(968&gt;ROWS(DGArchive[变更前]),"",IF(INDEX(DGArchive[变更前],968)="","",INDEX(DGArchive[变更前],968)))</f>
        <v/>
      </c>
      <c r="CF1167" t="str">
        <f>IF(968&gt;ROWS(DGArchive[增减]),"",IF(INDEX(DGArchive[增减],968)="","",INDEX(DGArchive[增减],968)))</f>
        <v/>
      </c>
      <c r="CG1167" t="str">
        <f>IF(968&gt;ROWS(DGArchive[变更后]),"",IF(INDEX(DGArchive[变更后],968)="","",INDEX(DGArchive[变更后],968)))</f>
        <v/>
      </c>
      <c r="CH1167" t="str">
        <f>IF(968&gt;ROWS(DGArchive[事件／活动]),"",IF(INDEX(DGArchive[事件／活动],968)="","",INDEX(DGArchive[事件／活动],968)))</f>
        <v/>
      </c>
      <c r="CI1167" t="str">
        <f>IF(968&gt;ROWS(DGArchive[记录编号]),"",IF(INDEX(DGArchive[记录编号],968)="","",INDEX(DGArchive[记录编号],968)))</f>
        <v/>
      </c>
      <c r="CL1167">
        <f t="shared" si="464"/>
        <v>0</v>
      </c>
      <c r="CM1167">
        <f>IF(AND(A1167=$AO$5,B1167=$AQ$3,H1167=1),COUNTIFS($A$200:A1167,$AO$5,$B$200:B1167,$AQ$3,$H$200:H1167,1),0)</f>
        <v>0</v>
      </c>
      <c r="CN1167">
        <f>IF(CA1167="",968,1001)</f>
        <v>968</v>
      </c>
      <c r="GA1167">
        <f t="shared" si="484"/>
        <v>0</v>
      </c>
      <c r="GB1167">
        <f t="shared" si="485"/>
        <v>0</v>
      </c>
      <c r="GC1167">
        <f>IF(AND(C1167="事件记录",H1167=1),COUNTIFS($C$200:C1167,"事件记录",$H$200:H1167,1),0)</f>
        <v>0</v>
      </c>
      <c r="GD1167">
        <f t="shared" si="465"/>
        <v>0</v>
      </c>
      <c r="GH1167">
        <f>IF(AND(H1167=1,A1167=$GA$10,B1167=$GA$11),COUNTIFS($A$200:A1167,$GA$10,$B$200:B1167,$GA$11,$H$200:H1167,1),0)</f>
        <v>0</v>
      </c>
    </row>
    <row r="1168" spans="1:190">
      <c r="A1168" t="str">
        <f t="shared" si="456"/>
        <v/>
      </c>
      <c r="B1168" t="str">
        <f t="shared" si="457"/>
        <v/>
      </c>
      <c r="C1168" t="str">
        <f t="shared" si="458"/>
        <v/>
      </c>
      <c r="D1168" t="str">
        <f t="shared" si="459"/>
        <v/>
      </c>
      <c r="E1168">
        <f t="shared" si="460"/>
        <v>0</v>
      </c>
      <c r="F1168" t="str">
        <f t="shared" si="461"/>
        <v/>
      </c>
      <c r="G1168">
        <f t="shared" si="462"/>
        <v>0</v>
      </c>
      <c r="H1168">
        <f>IF(AND(G1168=1,COUNTIFS($I$200:I1168,I1168,$G$200:G1168,1)=1),1,0)</f>
        <v>0</v>
      </c>
      <c r="I1168" t="str">
        <f t="shared" si="463"/>
        <v/>
      </c>
      <c r="BF1168">
        <f t="shared" si="466"/>
        <v>0</v>
      </c>
      <c r="BG1168">
        <f t="shared" si="467"/>
        <v>0</v>
      </c>
      <c r="BH1168">
        <f t="shared" si="468"/>
        <v>0</v>
      </c>
      <c r="BI1168">
        <f t="shared" si="469"/>
        <v>0</v>
      </c>
      <c r="BJ1168">
        <f t="shared" si="470"/>
        <v>0</v>
      </c>
      <c r="BK1168">
        <f t="shared" si="471"/>
        <v>0</v>
      </c>
      <c r="BL1168">
        <f t="shared" si="472"/>
        <v>0</v>
      </c>
      <c r="BM1168">
        <f t="shared" si="473"/>
        <v>0</v>
      </c>
      <c r="BN1168">
        <f t="shared" si="474"/>
        <v>0</v>
      </c>
      <c r="BO1168">
        <f t="shared" si="475"/>
        <v>0</v>
      </c>
      <c r="BP1168">
        <f t="shared" si="476"/>
        <v>0</v>
      </c>
      <c r="BQ1168">
        <f t="shared" si="477"/>
        <v>0</v>
      </c>
      <c r="BR1168">
        <f t="shared" si="478"/>
        <v>0</v>
      </c>
      <c r="BS1168">
        <f t="shared" si="479"/>
        <v>0</v>
      </c>
      <c r="BT1168">
        <f t="shared" si="480"/>
        <v>0</v>
      </c>
      <c r="BU1168">
        <f t="shared" si="481"/>
        <v>0</v>
      </c>
      <c r="BV1168">
        <f t="shared" si="482"/>
        <v>0</v>
      </c>
      <c r="BW1168">
        <f t="shared" si="483"/>
        <v>0</v>
      </c>
      <c r="CA1168" t="str">
        <f>IF(969&gt;ROWS(DGArchive[模组]),"",IF(INDEX(DGArchive[模组],969)="","",INDEX(DGArchive[模组],969)))</f>
        <v/>
      </c>
      <c r="CB1168" t="str">
        <f>IF(969&gt;ROWS(DGArchive[阶段]),"",IF(INDEX(DGArchive[阶段],969)="","",INDEX(DGArchive[阶段],969)))</f>
        <v/>
      </c>
      <c r="CC1168" t="str">
        <f>IF(969&gt;ROWS(DGArchive[游戏内日期]),"",IF(INDEX(DGArchive[游戏内日期],969)="","",INDEX(DGArchive[游戏内日期],969)))</f>
        <v/>
      </c>
      <c r="CD1168" t="str">
        <f>IF(969&gt;ROWS(DGArchive[目标]),"",IF(INDEX(DGArchive[目标],969)="","",INDEX(DGArchive[目标],969)))</f>
        <v/>
      </c>
      <c r="CE1168" t="str">
        <f>IF(969&gt;ROWS(DGArchive[变更前]),"",IF(INDEX(DGArchive[变更前],969)="","",INDEX(DGArchive[变更前],969)))</f>
        <v/>
      </c>
      <c r="CF1168" t="str">
        <f>IF(969&gt;ROWS(DGArchive[增减]),"",IF(INDEX(DGArchive[增减],969)="","",INDEX(DGArchive[增减],969)))</f>
        <v/>
      </c>
      <c r="CG1168" t="str">
        <f>IF(969&gt;ROWS(DGArchive[变更后]),"",IF(INDEX(DGArchive[变更后],969)="","",INDEX(DGArchive[变更后],969)))</f>
        <v/>
      </c>
      <c r="CH1168" t="str">
        <f>IF(969&gt;ROWS(DGArchive[事件／活动]),"",IF(INDEX(DGArchive[事件／活动],969)="","",INDEX(DGArchive[事件／活动],969)))</f>
        <v/>
      </c>
      <c r="CI1168" t="str">
        <f>IF(969&gt;ROWS(DGArchive[记录编号]),"",IF(INDEX(DGArchive[记录编号],969)="","",INDEX(DGArchive[记录编号],969)))</f>
        <v/>
      </c>
      <c r="CL1168">
        <f t="shared" si="464"/>
        <v>0</v>
      </c>
      <c r="CM1168">
        <f>IF(AND(A1168=$AO$5,B1168=$AQ$3,H1168=1),COUNTIFS($A$200:A1168,$AO$5,$B$200:B1168,$AQ$3,$H$200:H1168,1),0)</f>
        <v>0</v>
      </c>
      <c r="CN1168">
        <f>IF(CA1168="",969,1001)</f>
        <v>969</v>
      </c>
      <c r="GA1168">
        <f t="shared" si="484"/>
        <v>0</v>
      </c>
      <c r="GB1168">
        <f t="shared" si="485"/>
        <v>0</v>
      </c>
      <c r="GC1168">
        <f>IF(AND(C1168="事件记录",H1168=1),COUNTIFS($C$200:C1168,"事件记录",$H$200:H1168,1),0)</f>
        <v>0</v>
      </c>
      <c r="GD1168">
        <f t="shared" si="465"/>
        <v>0</v>
      </c>
      <c r="GH1168">
        <f>IF(AND(H1168=1,A1168=$GA$10,B1168=$GA$11),COUNTIFS($A$200:A1168,$GA$10,$B$200:B1168,$GA$11,$H$200:H1168,1),0)</f>
        <v>0</v>
      </c>
    </row>
    <row r="1169" spans="1:190">
      <c r="A1169" t="str">
        <f t="shared" si="456"/>
        <v/>
      </c>
      <c r="B1169" t="str">
        <f t="shared" si="457"/>
        <v/>
      </c>
      <c r="C1169" t="str">
        <f t="shared" si="458"/>
        <v/>
      </c>
      <c r="D1169" t="str">
        <f t="shared" si="459"/>
        <v/>
      </c>
      <c r="E1169">
        <f t="shared" si="460"/>
        <v>0</v>
      </c>
      <c r="F1169" t="str">
        <f t="shared" si="461"/>
        <v/>
      </c>
      <c r="G1169">
        <f t="shared" si="462"/>
        <v>0</v>
      </c>
      <c r="H1169">
        <f>IF(AND(G1169=1,COUNTIFS($I$200:I1169,I1169,$G$200:G1169,1)=1),1,0)</f>
        <v>0</v>
      </c>
      <c r="I1169" t="str">
        <f t="shared" si="463"/>
        <v/>
      </c>
      <c r="BF1169">
        <f t="shared" si="466"/>
        <v>0</v>
      </c>
      <c r="BG1169">
        <f t="shared" si="467"/>
        <v>0</v>
      </c>
      <c r="BH1169">
        <f t="shared" si="468"/>
        <v>0</v>
      </c>
      <c r="BI1169">
        <f t="shared" si="469"/>
        <v>0</v>
      </c>
      <c r="BJ1169">
        <f t="shared" si="470"/>
        <v>0</v>
      </c>
      <c r="BK1169">
        <f t="shared" si="471"/>
        <v>0</v>
      </c>
      <c r="BL1169">
        <f t="shared" si="472"/>
        <v>0</v>
      </c>
      <c r="BM1169">
        <f t="shared" si="473"/>
        <v>0</v>
      </c>
      <c r="BN1169">
        <f t="shared" si="474"/>
        <v>0</v>
      </c>
      <c r="BO1169">
        <f t="shared" si="475"/>
        <v>0</v>
      </c>
      <c r="BP1169">
        <f t="shared" si="476"/>
        <v>0</v>
      </c>
      <c r="BQ1169">
        <f t="shared" si="477"/>
        <v>0</v>
      </c>
      <c r="BR1169">
        <f t="shared" si="478"/>
        <v>0</v>
      </c>
      <c r="BS1169">
        <f t="shared" si="479"/>
        <v>0</v>
      </c>
      <c r="BT1169">
        <f t="shared" si="480"/>
        <v>0</v>
      </c>
      <c r="BU1169">
        <f t="shared" si="481"/>
        <v>0</v>
      </c>
      <c r="BV1169">
        <f t="shared" si="482"/>
        <v>0</v>
      </c>
      <c r="BW1169">
        <f t="shared" si="483"/>
        <v>0</v>
      </c>
      <c r="CA1169" t="str">
        <f>IF(970&gt;ROWS(DGArchive[模组]),"",IF(INDEX(DGArchive[模组],970)="","",INDEX(DGArchive[模组],970)))</f>
        <v/>
      </c>
      <c r="CB1169" t="str">
        <f>IF(970&gt;ROWS(DGArchive[阶段]),"",IF(INDEX(DGArchive[阶段],970)="","",INDEX(DGArchive[阶段],970)))</f>
        <v/>
      </c>
      <c r="CC1169" t="str">
        <f>IF(970&gt;ROWS(DGArchive[游戏内日期]),"",IF(INDEX(DGArchive[游戏内日期],970)="","",INDEX(DGArchive[游戏内日期],970)))</f>
        <v/>
      </c>
      <c r="CD1169" t="str">
        <f>IF(970&gt;ROWS(DGArchive[目标]),"",IF(INDEX(DGArchive[目标],970)="","",INDEX(DGArchive[目标],970)))</f>
        <v/>
      </c>
      <c r="CE1169" t="str">
        <f>IF(970&gt;ROWS(DGArchive[变更前]),"",IF(INDEX(DGArchive[变更前],970)="","",INDEX(DGArchive[变更前],970)))</f>
        <v/>
      </c>
      <c r="CF1169" t="str">
        <f>IF(970&gt;ROWS(DGArchive[增减]),"",IF(INDEX(DGArchive[增减],970)="","",INDEX(DGArchive[增减],970)))</f>
        <v/>
      </c>
      <c r="CG1169" t="str">
        <f>IF(970&gt;ROWS(DGArchive[变更后]),"",IF(INDEX(DGArchive[变更后],970)="","",INDEX(DGArchive[变更后],970)))</f>
        <v/>
      </c>
      <c r="CH1169" t="str">
        <f>IF(970&gt;ROWS(DGArchive[事件／活动]),"",IF(INDEX(DGArchive[事件／活动],970)="","",INDEX(DGArchive[事件／活动],970)))</f>
        <v/>
      </c>
      <c r="CI1169" t="str">
        <f>IF(970&gt;ROWS(DGArchive[记录编号]),"",IF(INDEX(DGArchive[记录编号],970)="","",INDEX(DGArchive[记录编号],970)))</f>
        <v/>
      </c>
      <c r="CL1169">
        <f t="shared" si="464"/>
        <v>0</v>
      </c>
      <c r="CM1169">
        <f>IF(AND(A1169=$AO$5,B1169=$AQ$3,H1169=1),COUNTIFS($A$200:A1169,$AO$5,$B$200:B1169,$AQ$3,$H$200:H1169,1),0)</f>
        <v>0</v>
      </c>
      <c r="CN1169">
        <f>IF(CA1169="",970,1001)</f>
        <v>970</v>
      </c>
      <c r="GA1169">
        <f t="shared" si="484"/>
        <v>0</v>
      </c>
      <c r="GB1169">
        <f t="shared" si="485"/>
        <v>0</v>
      </c>
      <c r="GC1169">
        <f>IF(AND(C1169="事件记录",H1169=1),COUNTIFS($C$200:C1169,"事件记录",$H$200:H1169,1),0)</f>
        <v>0</v>
      </c>
      <c r="GD1169">
        <f t="shared" si="465"/>
        <v>0</v>
      </c>
      <c r="GH1169">
        <f>IF(AND(H1169=1,A1169=$GA$10,B1169=$GA$11),COUNTIFS($A$200:A1169,$GA$10,$B$200:B1169,$GA$11,$H$200:H1169,1),0)</f>
        <v>0</v>
      </c>
    </row>
    <row r="1170" spans="1:190">
      <c r="A1170" t="str">
        <f t="shared" si="456"/>
        <v/>
      </c>
      <c r="B1170" t="str">
        <f t="shared" si="457"/>
        <v/>
      </c>
      <c r="C1170" t="str">
        <f t="shared" si="458"/>
        <v/>
      </c>
      <c r="D1170" t="str">
        <f t="shared" si="459"/>
        <v/>
      </c>
      <c r="E1170">
        <f t="shared" si="460"/>
        <v>0</v>
      </c>
      <c r="F1170" t="str">
        <f t="shared" si="461"/>
        <v/>
      </c>
      <c r="G1170">
        <f t="shared" si="462"/>
        <v>0</v>
      </c>
      <c r="H1170">
        <f>IF(AND(G1170=1,COUNTIFS($I$200:I1170,I1170,$G$200:G1170,1)=1),1,0)</f>
        <v>0</v>
      </c>
      <c r="I1170" t="str">
        <f t="shared" si="463"/>
        <v/>
      </c>
      <c r="BF1170">
        <f t="shared" si="466"/>
        <v>0</v>
      </c>
      <c r="BG1170">
        <f t="shared" si="467"/>
        <v>0</v>
      </c>
      <c r="BH1170">
        <f t="shared" si="468"/>
        <v>0</v>
      </c>
      <c r="BI1170">
        <f t="shared" si="469"/>
        <v>0</v>
      </c>
      <c r="BJ1170">
        <f t="shared" si="470"/>
        <v>0</v>
      </c>
      <c r="BK1170">
        <f t="shared" si="471"/>
        <v>0</v>
      </c>
      <c r="BL1170">
        <f t="shared" si="472"/>
        <v>0</v>
      </c>
      <c r="BM1170">
        <f t="shared" si="473"/>
        <v>0</v>
      </c>
      <c r="BN1170">
        <f t="shared" si="474"/>
        <v>0</v>
      </c>
      <c r="BO1170">
        <f t="shared" si="475"/>
        <v>0</v>
      </c>
      <c r="BP1170">
        <f t="shared" si="476"/>
        <v>0</v>
      </c>
      <c r="BQ1170">
        <f t="shared" si="477"/>
        <v>0</v>
      </c>
      <c r="BR1170">
        <f t="shared" si="478"/>
        <v>0</v>
      </c>
      <c r="BS1170">
        <f t="shared" si="479"/>
        <v>0</v>
      </c>
      <c r="BT1170">
        <f t="shared" si="480"/>
        <v>0</v>
      </c>
      <c r="BU1170">
        <f t="shared" si="481"/>
        <v>0</v>
      </c>
      <c r="BV1170">
        <f t="shared" si="482"/>
        <v>0</v>
      </c>
      <c r="BW1170">
        <f t="shared" si="483"/>
        <v>0</v>
      </c>
      <c r="CA1170" t="str">
        <f>IF(971&gt;ROWS(DGArchive[模组]),"",IF(INDEX(DGArchive[模组],971)="","",INDEX(DGArchive[模组],971)))</f>
        <v/>
      </c>
      <c r="CB1170" t="str">
        <f>IF(971&gt;ROWS(DGArchive[阶段]),"",IF(INDEX(DGArchive[阶段],971)="","",INDEX(DGArchive[阶段],971)))</f>
        <v/>
      </c>
      <c r="CC1170" t="str">
        <f>IF(971&gt;ROWS(DGArchive[游戏内日期]),"",IF(INDEX(DGArchive[游戏内日期],971)="","",INDEX(DGArchive[游戏内日期],971)))</f>
        <v/>
      </c>
      <c r="CD1170" t="str">
        <f>IF(971&gt;ROWS(DGArchive[目标]),"",IF(INDEX(DGArchive[目标],971)="","",INDEX(DGArchive[目标],971)))</f>
        <v/>
      </c>
      <c r="CE1170" t="str">
        <f>IF(971&gt;ROWS(DGArchive[变更前]),"",IF(INDEX(DGArchive[变更前],971)="","",INDEX(DGArchive[变更前],971)))</f>
        <v/>
      </c>
      <c r="CF1170" t="str">
        <f>IF(971&gt;ROWS(DGArchive[增减]),"",IF(INDEX(DGArchive[增减],971)="","",INDEX(DGArchive[增减],971)))</f>
        <v/>
      </c>
      <c r="CG1170" t="str">
        <f>IF(971&gt;ROWS(DGArchive[变更后]),"",IF(INDEX(DGArchive[变更后],971)="","",INDEX(DGArchive[变更后],971)))</f>
        <v/>
      </c>
      <c r="CH1170" t="str">
        <f>IF(971&gt;ROWS(DGArchive[事件／活动]),"",IF(INDEX(DGArchive[事件／活动],971)="","",INDEX(DGArchive[事件／活动],971)))</f>
        <v/>
      </c>
      <c r="CI1170" t="str">
        <f>IF(971&gt;ROWS(DGArchive[记录编号]),"",IF(INDEX(DGArchive[记录编号],971)="","",INDEX(DGArchive[记录编号],971)))</f>
        <v/>
      </c>
      <c r="CL1170">
        <f t="shared" si="464"/>
        <v>0</v>
      </c>
      <c r="CM1170">
        <f>IF(AND(A1170=$AO$5,B1170=$AQ$3,H1170=1),COUNTIFS($A$200:A1170,$AO$5,$B$200:B1170,$AQ$3,$H$200:H1170,1),0)</f>
        <v>0</v>
      </c>
      <c r="CN1170">
        <f>IF(CA1170="",971,1001)</f>
        <v>971</v>
      </c>
      <c r="GA1170">
        <f t="shared" si="484"/>
        <v>0</v>
      </c>
      <c r="GB1170">
        <f t="shared" si="485"/>
        <v>0</v>
      </c>
      <c r="GC1170">
        <f>IF(AND(C1170="事件记录",H1170=1),COUNTIFS($C$200:C1170,"事件记录",$H$200:H1170,1),0)</f>
        <v>0</v>
      </c>
      <c r="GD1170">
        <f t="shared" si="465"/>
        <v>0</v>
      </c>
      <c r="GH1170">
        <f>IF(AND(H1170=1,A1170=$GA$10,B1170=$GA$11),COUNTIFS($A$200:A1170,$GA$10,$B$200:B1170,$GA$11,$H$200:H1170,1),0)</f>
        <v>0</v>
      </c>
    </row>
    <row r="1171" spans="1:190">
      <c r="A1171" t="str">
        <f t="shared" si="456"/>
        <v/>
      </c>
      <c r="B1171" t="str">
        <f t="shared" si="457"/>
        <v/>
      </c>
      <c r="C1171" t="str">
        <f t="shared" si="458"/>
        <v/>
      </c>
      <c r="D1171" t="str">
        <f t="shared" si="459"/>
        <v/>
      </c>
      <c r="E1171">
        <f t="shared" si="460"/>
        <v>0</v>
      </c>
      <c r="F1171" t="str">
        <f t="shared" si="461"/>
        <v/>
      </c>
      <c r="G1171">
        <f t="shared" si="462"/>
        <v>0</v>
      </c>
      <c r="H1171">
        <f>IF(AND(G1171=1,COUNTIFS($I$200:I1171,I1171,$G$200:G1171,1)=1),1,0)</f>
        <v>0</v>
      </c>
      <c r="I1171" t="str">
        <f t="shared" si="463"/>
        <v/>
      </c>
      <c r="BF1171">
        <f t="shared" si="466"/>
        <v>0</v>
      </c>
      <c r="BG1171">
        <f t="shared" si="467"/>
        <v>0</v>
      </c>
      <c r="BH1171">
        <f t="shared" si="468"/>
        <v>0</v>
      </c>
      <c r="BI1171">
        <f t="shared" si="469"/>
        <v>0</v>
      </c>
      <c r="BJ1171">
        <f t="shared" si="470"/>
        <v>0</v>
      </c>
      <c r="BK1171">
        <f t="shared" si="471"/>
        <v>0</v>
      </c>
      <c r="BL1171">
        <f t="shared" si="472"/>
        <v>0</v>
      </c>
      <c r="BM1171">
        <f t="shared" si="473"/>
        <v>0</v>
      </c>
      <c r="BN1171">
        <f t="shared" si="474"/>
        <v>0</v>
      </c>
      <c r="BO1171">
        <f t="shared" si="475"/>
        <v>0</v>
      </c>
      <c r="BP1171">
        <f t="shared" si="476"/>
        <v>0</v>
      </c>
      <c r="BQ1171">
        <f t="shared" si="477"/>
        <v>0</v>
      </c>
      <c r="BR1171">
        <f t="shared" si="478"/>
        <v>0</v>
      </c>
      <c r="BS1171">
        <f t="shared" si="479"/>
        <v>0</v>
      </c>
      <c r="BT1171">
        <f t="shared" si="480"/>
        <v>0</v>
      </c>
      <c r="BU1171">
        <f t="shared" si="481"/>
        <v>0</v>
      </c>
      <c r="BV1171">
        <f t="shared" si="482"/>
        <v>0</v>
      </c>
      <c r="BW1171">
        <f t="shared" si="483"/>
        <v>0</v>
      </c>
      <c r="CA1171" t="str">
        <f>IF(972&gt;ROWS(DGArchive[模组]),"",IF(INDEX(DGArchive[模组],972)="","",INDEX(DGArchive[模组],972)))</f>
        <v/>
      </c>
      <c r="CB1171" t="str">
        <f>IF(972&gt;ROWS(DGArchive[阶段]),"",IF(INDEX(DGArchive[阶段],972)="","",INDEX(DGArchive[阶段],972)))</f>
        <v/>
      </c>
      <c r="CC1171" t="str">
        <f>IF(972&gt;ROWS(DGArchive[游戏内日期]),"",IF(INDEX(DGArchive[游戏内日期],972)="","",INDEX(DGArchive[游戏内日期],972)))</f>
        <v/>
      </c>
      <c r="CD1171" t="str">
        <f>IF(972&gt;ROWS(DGArchive[目标]),"",IF(INDEX(DGArchive[目标],972)="","",INDEX(DGArchive[目标],972)))</f>
        <v/>
      </c>
      <c r="CE1171" t="str">
        <f>IF(972&gt;ROWS(DGArchive[变更前]),"",IF(INDEX(DGArchive[变更前],972)="","",INDEX(DGArchive[变更前],972)))</f>
        <v/>
      </c>
      <c r="CF1171" t="str">
        <f>IF(972&gt;ROWS(DGArchive[增减]),"",IF(INDEX(DGArchive[增减],972)="","",INDEX(DGArchive[增减],972)))</f>
        <v/>
      </c>
      <c r="CG1171" t="str">
        <f>IF(972&gt;ROWS(DGArchive[变更后]),"",IF(INDEX(DGArchive[变更后],972)="","",INDEX(DGArchive[变更后],972)))</f>
        <v/>
      </c>
      <c r="CH1171" t="str">
        <f>IF(972&gt;ROWS(DGArchive[事件／活动]),"",IF(INDEX(DGArchive[事件／活动],972)="","",INDEX(DGArchive[事件／活动],972)))</f>
        <v/>
      </c>
      <c r="CI1171" t="str">
        <f>IF(972&gt;ROWS(DGArchive[记录编号]),"",IF(INDEX(DGArchive[记录编号],972)="","",INDEX(DGArchive[记录编号],972)))</f>
        <v/>
      </c>
      <c r="CL1171">
        <f t="shared" si="464"/>
        <v>0</v>
      </c>
      <c r="CM1171">
        <f>IF(AND(A1171=$AO$5,B1171=$AQ$3,H1171=1),COUNTIFS($A$200:A1171,$AO$5,$B$200:B1171,$AQ$3,$H$200:H1171,1),0)</f>
        <v>0</v>
      </c>
      <c r="CN1171">
        <f>IF(CA1171="",972,1001)</f>
        <v>972</v>
      </c>
      <c r="GA1171">
        <f t="shared" si="484"/>
        <v>0</v>
      </c>
      <c r="GB1171">
        <f t="shared" si="485"/>
        <v>0</v>
      </c>
      <c r="GC1171">
        <f>IF(AND(C1171="事件记录",H1171=1),COUNTIFS($C$200:C1171,"事件记录",$H$200:H1171,1),0)</f>
        <v>0</v>
      </c>
      <c r="GD1171">
        <f t="shared" si="465"/>
        <v>0</v>
      </c>
      <c r="GH1171">
        <f>IF(AND(H1171=1,A1171=$GA$10,B1171=$GA$11),COUNTIFS($A$200:A1171,$GA$10,$B$200:B1171,$GA$11,$H$200:H1171,1),0)</f>
        <v>0</v>
      </c>
    </row>
    <row r="1172" spans="1:190">
      <c r="A1172" t="str">
        <f t="shared" si="456"/>
        <v/>
      </c>
      <c r="B1172" t="str">
        <f t="shared" si="457"/>
        <v/>
      </c>
      <c r="C1172" t="str">
        <f t="shared" si="458"/>
        <v/>
      </c>
      <c r="D1172" t="str">
        <f t="shared" si="459"/>
        <v/>
      </c>
      <c r="E1172">
        <f t="shared" si="460"/>
        <v>0</v>
      </c>
      <c r="F1172" t="str">
        <f t="shared" si="461"/>
        <v/>
      </c>
      <c r="G1172">
        <f t="shared" si="462"/>
        <v>0</v>
      </c>
      <c r="H1172">
        <f>IF(AND(G1172=1,COUNTIFS($I$200:I1172,I1172,$G$200:G1172,1)=1),1,0)</f>
        <v>0</v>
      </c>
      <c r="I1172" t="str">
        <f t="shared" si="463"/>
        <v/>
      </c>
      <c r="BF1172">
        <f t="shared" si="466"/>
        <v>0</v>
      </c>
      <c r="BG1172">
        <f t="shared" si="467"/>
        <v>0</v>
      </c>
      <c r="BH1172">
        <f t="shared" si="468"/>
        <v>0</v>
      </c>
      <c r="BI1172">
        <f t="shared" si="469"/>
        <v>0</v>
      </c>
      <c r="BJ1172">
        <f t="shared" si="470"/>
        <v>0</v>
      </c>
      <c r="BK1172">
        <f t="shared" si="471"/>
        <v>0</v>
      </c>
      <c r="BL1172">
        <f t="shared" si="472"/>
        <v>0</v>
      </c>
      <c r="BM1172">
        <f t="shared" si="473"/>
        <v>0</v>
      </c>
      <c r="BN1172">
        <f t="shared" si="474"/>
        <v>0</v>
      </c>
      <c r="BO1172">
        <f t="shared" si="475"/>
        <v>0</v>
      </c>
      <c r="BP1172">
        <f t="shared" si="476"/>
        <v>0</v>
      </c>
      <c r="BQ1172">
        <f t="shared" si="477"/>
        <v>0</v>
      </c>
      <c r="BR1172">
        <f t="shared" si="478"/>
        <v>0</v>
      </c>
      <c r="BS1172">
        <f t="shared" si="479"/>
        <v>0</v>
      </c>
      <c r="BT1172">
        <f t="shared" si="480"/>
        <v>0</v>
      </c>
      <c r="BU1172">
        <f t="shared" si="481"/>
        <v>0</v>
      </c>
      <c r="BV1172">
        <f t="shared" si="482"/>
        <v>0</v>
      </c>
      <c r="BW1172">
        <f t="shared" si="483"/>
        <v>0</v>
      </c>
      <c r="CA1172" t="str">
        <f>IF(973&gt;ROWS(DGArchive[模组]),"",IF(INDEX(DGArchive[模组],973)="","",INDEX(DGArchive[模组],973)))</f>
        <v/>
      </c>
      <c r="CB1172" t="str">
        <f>IF(973&gt;ROWS(DGArchive[阶段]),"",IF(INDEX(DGArchive[阶段],973)="","",INDEX(DGArchive[阶段],973)))</f>
        <v/>
      </c>
      <c r="CC1172" t="str">
        <f>IF(973&gt;ROWS(DGArchive[游戏内日期]),"",IF(INDEX(DGArchive[游戏内日期],973)="","",INDEX(DGArchive[游戏内日期],973)))</f>
        <v/>
      </c>
      <c r="CD1172" t="str">
        <f>IF(973&gt;ROWS(DGArchive[目标]),"",IF(INDEX(DGArchive[目标],973)="","",INDEX(DGArchive[目标],973)))</f>
        <v/>
      </c>
      <c r="CE1172" t="str">
        <f>IF(973&gt;ROWS(DGArchive[变更前]),"",IF(INDEX(DGArchive[变更前],973)="","",INDEX(DGArchive[变更前],973)))</f>
        <v/>
      </c>
      <c r="CF1172" t="str">
        <f>IF(973&gt;ROWS(DGArchive[增减]),"",IF(INDEX(DGArchive[增减],973)="","",INDEX(DGArchive[增减],973)))</f>
        <v/>
      </c>
      <c r="CG1172" t="str">
        <f>IF(973&gt;ROWS(DGArchive[变更后]),"",IF(INDEX(DGArchive[变更后],973)="","",INDEX(DGArchive[变更后],973)))</f>
        <v/>
      </c>
      <c r="CH1172" t="str">
        <f>IF(973&gt;ROWS(DGArchive[事件／活动]),"",IF(INDEX(DGArchive[事件／活动],973)="","",INDEX(DGArchive[事件／活动],973)))</f>
        <v/>
      </c>
      <c r="CI1172" t="str">
        <f>IF(973&gt;ROWS(DGArchive[记录编号]),"",IF(INDEX(DGArchive[记录编号],973)="","",INDEX(DGArchive[记录编号],973)))</f>
        <v/>
      </c>
      <c r="CL1172">
        <f t="shared" si="464"/>
        <v>0</v>
      </c>
      <c r="CM1172">
        <f>IF(AND(A1172=$AO$5,B1172=$AQ$3,H1172=1),COUNTIFS($A$200:A1172,$AO$5,$B$200:B1172,$AQ$3,$H$200:H1172,1),0)</f>
        <v>0</v>
      </c>
      <c r="CN1172">
        <f>IF(CA1172="",973,1001)</f>
        <v>973</v>
      </c>
      <c r="GA1172">
        <f t="shared" si="484"/>
        <v>0</v>
      </c>
      <c r="GB1172">
        <f t="shared" si="485"/>
        <v>0</v>
      </c>
      <c r="GC1172">
        <f>IF(AND(C1172="事件记录",H1172=1),COUNTIFS($C$200:C1172,"事件记录",$H$200:H1172,1),0)</f>
        <v>0</v>
      </c>
      <c r="GD1172">
        <f t="shared" si="465"/>
        <v>0</v>
      </c>
      <c r="GH1172">
        <f>IF(AND(H1172=1,A1172=$GA$10,B1172=$GA$11),COUNTIFS($A$200:A1172,$GA$10,$B$200:B1172,$GA$11,$H$200:H1172,1),0)</f>
        <v>0</v>
      </c>
    </row>
    <row r="1173" spans="1:190">
      <c r="A1173" t="str">
        <f t="shared" si="456"/>
        <v/>
      </c>
      <c r="B1173" t="str">
        <f t="shared" si="457"/>
        <v/>
      </c>
      <c r="C1173" t="str">
        <f t="shared" si="458"/>
        <v/>
      </c>
      <c r="D1173" t="str">
        <f t="shared" si="459"/>
        <v/>
      </c>
      <c r="E1173">
        <f t="shared" si="460"/>
        <v>0</v>
      </c>
      <c r="F1173" t="str">
        <f t="shared" si="461"/>
        <v/>
      </c>
      <c r="G1173">
        <f t="shared" si="462"/>
        <v>0</v>
      </c>
      <c r="H1173">
        <f>IF(AND(G1173=1,COUNTIFS($I$200:I1173,I1173,$G$200:G1173,1)=1),1,0)</f>
        <v>0</v>
      </c>
      <c r="I1173" t="str">
        <f t="shared" si="463"/>
        <v/>
      </c>
      <c r="BF1173">
        <f t="shared" si="466"/>
        <v>0</v>
      </c>
      <c r="BG1173">
        <f t="shared" si="467"/>
        <v>0</v>
      </c>
      <c r="BH1173">
        <f t="shared" si="468"/>
        <v>0</v>
      </c>
      <c r="BI1173">
        <f t="shared" si="469"/>
        <v>0</v>
      </c>
      <c r="BJ1173">
        <f t="shared" si="470"/>
        <v>0</v>
      </c>
      <c r="BK1173">
        <f t="shared" si="471"/>
        <v>0</v>
      </c>
      <c r="BL1173">
        <f t="shared" si="472"/>
        <v>0</v>
      </c>
      <c r="BM1173">
        <f t="shared" si="473"/>
        <v>0</v>
      </c>
      <c r="BN1173">
        <f t="shared" si="474"/>
        <v>0</v>
      </c>
      <c r="BO1173">
        <f t="shared" si="475"/>
        <v>0</v>
      </c>
      <c r="BP1173">
        <f t="shared" si="476"/>
        <v>0</v>
      </c>
      <c r="BQ1173">
        <f t="shared" si="477"/>
        <v>0</v>
      </c>
      <c r="BR1173">
        <f t="shared" si="478"/>
        <v>0</v>
      </c>
      <c r="BS1173">
        <f t="shared" si="479"/>
        <v>0</v>
      </c>
      <c r="BT1173">
        <f t="shared" si="480"/>
        <v>0</v>
      </c>
      <c r="BU1173">
        <f t="shared" si="481"/>
        <v>0</v>
      </c>
      <c r="BV1173">
        <f t="shared" si="482"/>
        <v>0</v>
      </c>
      <c r="BW1173">
        <f t="shared" si="483"/>
        <v>0</v>
      </c>
      <c r="CA1173" t="str">
        <f>IF(974&gt;ROWS(DGArchive[模组]),"",IF(INDEX(DGArchive[模组],974)="","",INDEX(DGArchive[模组],974)))</f>
        <v/>
      </c>
      <c r="CB1173" t="str">
        <f>IF(974&gt;ROWS(DGArchive[阶段]),"",IF(INDEX(DGArchive[阶段],974)="","",INDEX(DGArchive[阶段],974)))</f>
        <v/>
      </c>
      <c r="CC1173" t="str">
        <f>IF(974&gt;ROWS(DGArchive[游戏内日期]),"",IF(INDEX(DGArchive[游戏内日期],974)="","",INDEX(DGArchive[游戏内日期],974)))</f>
        <v/>
      </c>
      <c r="CD1173" t="str">
        <f>IF(974&gt;ROWS(DGArchive[目标]),"",IF(INDEX(DGArchive[目标],974)="","",INDEX(DGArchive[目标],974)))</f>
        <v/>
      </c>
      <c r="CE1173" t="str">
        <f>IF(974&gt;ROWS(DGArchive[变更前]),"",IF(INDEX(DGArchive[变更前],974)="","",INDEX(DGArchive[变更前],974)))</f>
        <v/>
      </c>
      <c r="CF1173" t="str">
        <f>IF(974&gt;ROWS(DGArchive[增减]),"",IF(INDEX(DGArchive[增减],974)="","",INDEX(DGArchive[增减],974)))</f>
        <v/>
      </c>
      <c r="CG1173" t="str">
        <f>IF(974&gt;ROWS(DGArchive[变更后]),"",IF(INDEX(DGArchive[变更后],974)="","",INDEX(DGArchive[变更后],974)))</f>
        <v/>
      </c>
      <c r="CH1173" t="str">
        <f>IF(974&gt;ROWS(DGArchive[事件／活动]),"",IF(INDEX(DGArchive[事件／活动],974)="","",INDEX(DGArchive[事件／活动],974)))</f>
        <v/>
      </c>
      <c r="CI1173" t="str">
        <f>IF(974&gt;ROWS(DGArchive[记录编号]),"",IF(INDEX(DGArchive[记录编号],974)="","",INDEX(DGArchive[记录编号],974)))</f>
        <v/>
      </c>
      <c r="CL1173">
        <f t="shared" si="464"/>
        <v>0</v>
      </c>
      <c r="CM1173">
        <f>IF(AND(A1173=$AO$5,B1173=$AQ$3,H1173=1),COUNTIFS($A$200:A1173,$AO$5,$B$200:B1173,$AQ$3,$H$200:H1173,1),0)</f>
        <v>0</v>
      </c>
      <c r="CN1173">
        <f>IF(CA1173="",974,1001)</f>
        <v>974</v>
      </c>
      <c r="GA1173">
        <f t="shared" si="484"/>
        <v>0</v>
      </c>
      <c r="GB1173">
        <f t="shared" si="485"/>
        <v>0</v>
      </c>
      <c r="GC1173">
        <f>IF(AND(C1173="事件记录",H1173=1),COUNTIFS($C$200:C1173,"事件记录",$H$200:H1173,1),0)</f>
        <v>0</v>
      </c>
      <c r="GD1173">
        <f t="shared" si="465"/>
        <v>0</v>
      </c>
      <c r="GH1173">
        <f>IF(AND(H1173=1,A1173=$GA$10,B1173=$GA$11),COUNTIFS($A$200:A1173,$GA$10,$B$200:B1173,$GA$11,$H$200:H1173,1),0)</f>
        <v>0</v>
      </c>
    </row>
    <row r="1174" spans="1:190">
      <c r="A1174" t="str">
        <f t="shared" si="456"/>
        <v/>
      </c>
      <c r="B1174" t="str">
        <f t="shared" si="457"/>
        <v/>
      </c>
      <c r="C1174" t="str">
        <f t="shared" si="458"/>
        <v/>
      </c>
      <c r="D1174" t="str">
        <f t="shared" si="459"/>
        <v/>
      </c>
      <c r="E1174">
        <f t="shared" si="460"/>
        <v>0</v>
      </c>
      <c r="F1174" t="str">
        <f t="shared" si="461"/>
        <v/>
      </c>
      <c r="G1174">
        <f t="shared" si="462"/>
        <v>0</v>
      </c>
      <c r="H1174">
        <f>IF(AND(G1174=1,COUNTIFS($I$200:I1174,I1174,$G$200:G1174,1)=1),1,0)</f>
        <v>0</v>
      </c>
      <c r="I1174" t="str">
        <f t="shared" si="463"/>
        <v/>
      </c>
      <c r="BF1174">
        <f t="shared" si="466"/>
        <v>0</v>
      </c>
      <c r="BG1174">
        <f t="shared" si="467"/>
        <v>0</v>
      </c>
      <c r="BH1174">
        <f t="shared" si="468"/>
        <v>0</v>
      </c>
      <c r="BI1174">
        <f t="shared" si="469"/>
        <v>0</v>
      </c>
      <c r="BJ1174">
        <f t="shared" si="470"/>
        <v>0</v>
      </c>
      <c r="BK1174">
        <f t="shared" si="471"/>
        <v>0</v>
      </c>
      <c r="BL1174">
        <f t="shared" si="472"/>
        <v>0</v>
      </c>
      <c r="BM1174">
        <f t="shared" si="473"/>
        <v>0</v>
      </c>
      <c r="BN1174">
        <f t="shared" si="474"/>
        <v>0</v>
      </c>
      <c r="BO1174">
        <f t="shared" si="475"/>
        <v>0</v>
      </c>
      <c r="BP1174">
        <f t="shared" si="476"/>
        <v>0</v>
      </c>
      <c r="BQ1174">
        <f t="shared" si="477"/>
        <v>0</v>
      </c>
      <c r="BR1174">
        <f t="shared" si="478"/>
        <v>0</v>
      </c>
      <c r="BS1174">
        <f t="shared" si="479"/>
        <v>0</v>
      </c>
      <c r="BT1174">
        <f t="shared" si="480"/>
        <v>0</v>
      </c>
      <c r="BU1174">
        <f t="shared" si="481"/>
        <v>0</v>
      </c>
      <c r="BV1174">
        <f t="shared" si="482"/>
        <v>0</v>
      </c>
      <c r="BW1174">
        <f t="shared" si="483"/>
        <v>0</v>
      </c>
      <c r="CA1174" t="str">
        <f>IF(975&gt;ROWS(DGArchive[模组]),"",IF(INDEX(DGArchive[模组],975)="","",INDEX(DGArchive[模组],975)))</f>
        <v/>
      </c>
      <c r="CB1174" t="str">
        <f>IF(975&gt;ROWS(DGArchive[阶段]),"",IF(INDEX(DGArchive[阶段],975)="","",INDEX(DGArchive[阶段],975)))</f>
        <v/>
      </c>
      <c r="CC1174" t="str">
        <f>IF(975&gt;ROWS(DGArchive[游戏内日期]),"",IF(INDEX(DGArchive[游戏内日期],975)="","",INDEX(DGArchive[游戏内日期],975)))</f>
        <v/>
      </c>
      <c r="CD1174" t="str">
        <f>IF(975&gt;ROWS(DGArchive[目标]),"",IF(INDEX(DGArchive[目标],975)="","",INDEX(DGArchive[目标],975)))</f>
        <v/>
      </c>
      <c r="CE1174" t="str">
        <f>IF(975&gt;ROWS(DGArchive[变更前]),"",IF(INDEX(DGArchive[变更前],975)="","",INDEX(DGArchive[变更前],975)))</f>
        <v/>
      </c>
      <c r="CF1174" t="str">
        <f>IF(975&gt;ROWS(DGArchive[增减]),"",IF(INDEX(DGArchive[增减],975)="","",INDEX(DGArchive[增减],975)))</f>
        <v/>
      </c>
      <c r="CG1174" t="str">
        <f>IF(975&gt;ROWS(DGArchive[变更后]),"",IF(INDEX(DGArchive[变更后],975)="","",INDEX(DGArchive[变更后],975)))</f>
        <v/>
      </c>
      <c r="CH1174" t="str">
        <f>IF(975&gt;ROWS(DGArchive[事件／活动]),"",IF(INDEX(DGArchive[事件／活动],975)="","",INDEX(DGArchive[事件／活动],975)))</f>
        <v/>
      </c>
      <c r="CI1174" t="str">
        <f>IF(975&gt;ROWS(DGArchive[记录编号]),"",IF(INDEX(DGArchive[记录编号],975)="","",INDEX(DGArchive[记录编号],975)))</f>
        <v/>
      </c>
      <c r="CL1174">
        <f t="shared" si="464"/>
        <v>0</v>
      </c>
      <c r="CM1174">
        <f>IF(AND(A1174=$AO$5,B1174=$AQ$3,H1174=1),COUNTIFS($A$200:A1174,$AO$5,$B$200:B1174,$AQ$3,$H$200:H1174,1),0)</f>
        <v>0</v>
      </c>
      <c r="CN1174">
        <f>IF(CA1174="",975,1001)</f>
        <v>975</v>
      </c>
      <c r="GA1174">
        <f t="shared" si="484"/>
        <v>0</v>
      </c>
      <c r="GB1174">
        <f t="shared" si="485"/>
        <v>0</v>
      </c>
      <c r="GC1174">
        <f>IF(AND(C1174="事件记录",H1174=1),COUNTIFS($C$200:C1174,"事件记录",$H$200:H1174,1),0)</f>
        <v>0</v>
      </c>
      <c r="GD1174">
        <f t="shared" si="465"/>
        <v>0</v>
      </c>
      <c r="GH1174">
        <f>IF(AND(H1174=1,A1174=$GA$10,B1174=$GA$11),COUNTIFS($A$200:A1174,$GA$10,$B$200:B1174,$GA$11,$H$200:H1174,1),0)</f>
        <v>0</v>
      </c>
    </row>
    <row r="1175" spans="1:190">
      <c r="A1175" t="str">
        <f t="shared" si="456"/>
        <v/>
      </c>
      <c r="B1175" t="str">
        <f t="shared" si="457"/>
        <v/>
      </c>
      <c r="C1175" t="str">
        <f t="shared" si="458"/>
        <v/>
      </c>
      <c r="D1175" t="str">
        <f t="shared" si="459"/>
        <v/>
      </c>
      <c r="E1175">
        <f t="shared" si="460"/>
        <v>0</v>
      </c>
      <c r="F1175" t="str">
        <f t="shared" si="461"/>
        <v/>
      </c>
      <c r="G1175">
        <f t="shared" si="462"/>
        <v>0</v>
      </c>
      <c r="H1175">
        <f>IF(AND(G1175=1,COUNTIFS($I$200:I1175,I1175,$G$200:G1175,1)=1),1,0)</f>
        <v>0</v>
      </c>
      <c r="I1175" t="str">
        <f t="shared" si="463"/>
        <v/>
      </c>
      <c r="BF1175">
        <f t="shared" si="466"/>
        <v>0</v>
      </c>
      <c r="BG1175">
        <f t="shared" si="467"/>
        <v>0</v>
      </c>
      <c r="BH1175">
        <f t="shared" si="468"/>
        <v>0</v>
      </c>
      <c r="BI1175">
        <f t="shared" si="469"/>
        <v>0</v>
      </c>
      <c r="BJ1175">
        <f t="shared" si="470"/>
        <v>0</v>
      </c>
      <c r="BK1175">
        <f t="shared" si="471"/>
        <v>0</v>
      </c>
      <c r="BL1175">
        <f t="shared" si="472"/>
        <v>0</v>
      </c>
      <c r="BM1175">
        <f t="shared" si="473"/>
        <v>0</v>
      </c>
      <c r="BN1175">
        <f t="shared" si="474"/>
        <v>0</v>
      </c>
      <c r="BO1175">
        <f t="shared" si="475"/>
        <v>0</v>
      </c>
      <c r="BP1175">
        <f t="shared" si="476"/>
        <v>0</v>
      </c>
      <c r="BQ1175">
        <f t="shared" si="477"/>
        <v>0</v>
      </c>
      <c r="BR1175">
        <f t="shared" si="478"/>
        <v>0</v>
      </c>
      <c r="BS1175">
        <f t="shared" si="479"/>
        <v>0</v>
      </c>
      <c r="BT1175">
        <f t="shared" si="480"/>
        <v>0</v>
      </c>
      <c r="BU1175">
        <f t="shared" si="481"/>
        <v>0</v>
      </c>
      <c r="BV1175">
        <f t="shared" si="482"/>
        <v>0</v>
      </c>
      <c r="BW1175">
        <f t="shared" si="483"/>
        <v>0</v>
      </c>
      <c r="CA1175" t="str">
        <f>IF(976&gt;ROWS(DGArchive[模组]),"",IF(INDEX(DGArchive[模组],976)="","",INDEX(DGArchive[模组],976)))</f>
        <v/>
      </c>
      <c r="CB1175" t="str">
        <f>IF(976&gt;ROWS(DGArchive[阶段]),"",IF(INDEX(DGArchive[阶段],976)="","",INDEX(DGArchive[阶段],976)))</f>
        <v/>
      </c>
      <c r="CC1175" t="str">
        <f>IF(976&gt;ROWS(DGArchive[游戏内日期]),"",IF(INDEX(DGArchive[游戏内日期],976)="","",INDEX(DGArchive[游戏内日期],976)))</f>
        <v/>
      </c>
      <c r="CD1175" t="str">
        <f>IF(976&gt;ROWS(DGArchive[目标]),"",IF(INDEX(DGArchive[目标],976)="","",INDEX(DGArchive[目标],976)))</f>
        <v/>
      </c>
      <c r="CE1175" t="str">
        <f>IF(976&gt;ROWS(DGArchive[变更前]),"",IF(INDEX(DGArchive[变更前],976)="","",INDEX(DGArchive[变更前],976)))</f>
        <v/>
      </c>
      <c r="CF1175" t="str">
        <f>IF(976&gt;ROWS(DGArchive[增减]),"",IF(INDEX(DGArchive[增减],976)="","",INDEX(DGArchive[增减],976)))</f>
        <v/>
      </c>
      <c r="CG1175" t="str">
        <f>IF(976&gt;ROWS(DGArchive[变更后]),"",IF(INDEX(DGArchive[变更后],976)="","",INDEX(DGArchive[变更后],976)))</f>
        <v/>
      </c>
      <c r="CH1175" t="str">
        <f>IF(976&gt;ROWS(DGArchive[事件／活动]),"",IF(INDEX(DGArchive[事件／活动],976)="","",INDEX(DGArchive[事件／活动],976)))</f>
        <v/>
      </c>
      <c r="CI1175" t="str">
        <f>IF(976&gt;ROWS(DGArchive[记录编号]),"",IF(INDEX(DGArchive[记录编号],976)="","",INDEX(DGArchive[记录编号],976)))</f>
        <v/>
      </c>
      <c r="CL1175">
        <f t="shared" si="464"/>
        <v>0</v>
      </c>
      <c r="CM1175">
        <f>IF(AND(A1175=$AO$5,B1175=$AQ$3,H1175=1),COUNTIFS($A$200:A1175,$AO$5,$B$200:B1175,$AQ$3,$H$200:H1175,1),0)</f>
        <v>0</v>
      </c>
      <c r="CN1175">
        <f>IF(CA1175="",976,1001)</f>
        <v>976</v>
      </c>
      <c r="GA1175">
        <f t="shared" si="484"/>
        <v>0</v>
      </c>
      <c r="GB1175">
        <f t="shared" si="485"/>
        <v>0</v>
      </c>
      <c r="GC1175">
        <f>IF(AND(C1175="事件记录",H1175=1),COUNTIFS($C$200:C1175,"事件记录",$H$200:H1175,1),0)</f>
        <v>0</v>
      </c>
      <c r="GD1175">
        <f t="shared" si="465"/>
        <v>0</v>
      </c>
      <c r="GH1175">
        <f>IF(AND(H1175=1,A1175=$GA$10,B1175=$GA$11),COUNTIFS($A$200:A1175,$GA$10,$B$200:B1175,$GA$11,$H$200:H1175,1),0)</f>
        <v>0</v>
      </c>
    </row>
    <row r="1176" spans="1:190">
      <c r="A1176" t="str">
        <f t="shared" si="456"/>
        <v/>
      </c>
      <c r="B1176" t="str">
        <f t="shared" si="457"/>
        <v/>
      </c>
      <c r="C1176" t="str">
        <f t="shared" si="458"/>
        <v/>
      </c>
      <c r="D1176" t="str">
        <f t="shared" si="459"/>
        <v/>
      </c>
      <c r="E1176">
        <f t="shared" si="460"/>
        <v>0</v>
      </c>
      <c r="F1176" t="str">
        <f t="shared" si="461"/>
        <v/>
      </c>
      <c r="G1176">
        <f t="shared" si="462"/>
        <v>0</v>
      </c>
      <c r="H1176">
        <f>IF(AND(G1176=1,COUNTIFS($I$200:I1176,I1176,$G$200:G1176,1)=1),1,0)</f>
        <v>0</v>
      </c>
      <c r="I1176" t="str">
        <f t="shared" si="463"/>
        <v/>
      </c>
      <c r="BF1176">
        <f t="shared" si="466"/>
        <v>0</v>
      </c>
      <c r="BG1176">
        <f t="shared" si="467"/>
        <v>0</v>
      </c>
      <c r="BH1176">
        <f t="shared" si="468"/>
        <v>0</v>
      </c>
      <c r="BI1176">
        <f t="shared" si="469"/>
        <v>0</v>
      </c>
      <c r="BJ1176">
        <f t="shared" si="470"/>
        <v>0</v>
      </c>
      <c r="BK1176">
        <f t="shared" si="471"/>
        <v>0</v>
      </c>
      <c r="BL1176">
        <f t="shared" si="472"/>
        <v>0</v>
      </c>
      <c r="BM1176">
        <f t="shared" si="473"/>
        <v>0</v>
      </c>
      <c r="BN1176">
        <f t="shared" si="474"/>
        <v>0</v>
      </c>
      <c r="BO1176">
        <f t="shared" si="475"/>
        <v>0</v>
      </c>
      <c r="BP1176">
        <f t="shared" si="476"/>
        <v>0</v>
      </c>
      <c r="BQ1176">
        <f t="shared" si="477"/>
        <v>0</v>
      </c>
      <c r="BR1176">
        <f t="shared" si="478"/>
        <v>0</v>
      </c>
      <c r="BS1176">
        <f t="shared" si="479"/>
        <v>0</v>
      </c>
      <c r="BT1176">
        <f t="shared" si="480"/>
        <v>0</v>
      </c>
      <c r="BU1176">
        <f t="shared" si="481"/>
        <v>0</v>
      </c>
      <c r="BV1176">
        <f t="shared" si="482"/>
        <v>0</v>
      </c>
      <c r="BW1176">
        <f t="shared" si="483"/>
        <v>0</v>
      </c>
      <c r="CA1176" t="str">
        <f>IF(977&gt;ROWS(DGArchive[模组]),"",IF(INDEX(DGArchive[模组],977)="","",INDEX(DGArchive[模组],977)))</f>
        <v/>
      </c>
      <c r="CB1176" t="str">
        <f>IF(977&gt;ROWS(DGArchive[阶段]),"",IF(INDEX(DGArchive[阶段],977)="","",INDEX(DGArchive[阶段],977)))</f>
        <v/>
      </c>
      <c r="CC1176" t="str">
        <f>IF(977&gt;ROWS(DGArchive[游戏内日期]),"",IF(INDEX(DGArchive[游戏内日期],977)="","",INDEX(DGArchive[游戏内日期],977)))</f>
        <v/>
      </c>
      <c r="CD1176" t="str">
        <f>IF(977&gt;ROWS(DGArchive[目标]),"",IF(INDEX(DGArchive[目标],977)="","",INDEX(DGArchive[目标],977)))</f>
        <v/>
      </c>
      <c r="CE1176" t="str">
        <f>IF(977&gt;ROWS(DGArchive[变更前]),"",IF(INDEX(DGArchive[变更前],977)="","",INDEX(DGArchive[变更前],977)))</f>
        <v/>
      </c>
      <c r="CF1176" t="str">
        <f>IF(977&gt;ROWS(DGArchive[增减]),"",IF(INDEX(DGArchive[增减],977)="","",INDEX(DGArchive[增减],977)))</f>
        <v/>
      </c>
      <c r="CG1176" t="str">
        <f>IF(977&gt;ROWS(DGArchive[变更后]),"",IF(INDEX(DGArchive[变更后],977)="","",INDEX(DGArchive[变更后],977)))</f>
        <v/>
      </c>
      <c r="CH1176" t="str">
        <f>IF(977&gt;ROWS(DGArchive[事件／活动]),"",IF(INDEX(DGArchive[事件／活动],977)="","",INDEX(DGArchive[事件／活动],977)))</f>
        <v/>
      </c>
      <c r="CI1176" t="str">
        <f>IF(977&gt;ROWS(DGArchive[记录编号]),"",IF(INDEX(DGArchive[记录编号],977)="","",INDEX(DGArchive[记录编号],977)))</f>
        <v/>
      </c>
      <c r="CL1176">
        <f t="shared" si="464"/>
        <v>0</v>
      </c>
      <c r="CM1176">
        <f>IF(AND(A1176=$AO$5,B1176=$AQ$3,H1176=1),COUNTIFS($A$200:A1176,$AO$5,$B$200:B1176,$AQ$3,$H$200:H1176,1),0)</f>
        <v>0</v>
      </c>
      <c r="CN1176">
        <f>IF(CA1176="",977,1001)</f>
        <v>977</v>
      </c>
      <c r="GA1176">
        <f t="shared" si="484"/>
        <v>0</v>
      </c>
      <c r="GB1176">
        <f t="shared" si="485"/>
        <v>0</v>
      </c>
      <c r="GC1176">
        <f>IF(AND(C1176="事件记录",H1176=1),COUNTIFS($C$200:C1176,"事件记录",$H$200:H1176,1),0)</f>
        <v>0</v>
      </c>
      <c r="GD1176">
        <f t="shared" si="465"/>
        <v>0</v>
      </c>
      <c r="GH1176">
        <f>IF(AND(H1176=1,A1176=$GA$10,B1176=$GA$11),COUNTIFS($A$200:A1176,$GA$10,$B$200:B1176,$GA$11,$H$200:H1176,1),0)</f>
        <v>0</v>
      </c>
    </row>
    <row r="1177" spans="1:190">
      <c r="A1177" t="str">
        <f t="shared" si="456"/>
        <v/>
      </c>
      <c r="B1177" t="str">
        <f t="shared" si="457"/>
        <v/>
      </c>
      <c r="C1177" t="str">
        <f t="shared" si="458"/>
        <v/>
      </c>
      <c r="D1177" t="str">
        <f t="shared" si="459"/>
        <v/>
      </c>
      <c r="E1177">
        <f t="shared" si="460"/>
        <v>0</v>
      </c>
      <c r="F1177" t="str">
        <f t="shared" si="461"/>
        <v/>
      </c>
      <c r="G1177">
        <f t="shared" si="462"/>
        <v>0</v>
      </c>
      <c r="H1177">
        <f>IF(AND(G1177=1,COUNTIFS($I$200:I1177,I1177,$G$200:G1177,1)=1),1,0)</f>
        <v>0</v>
      </c>
      <c r="I1177" t="str">
        <f t="shared" si="463"/>
        <v/>
      </c>
      <c r="BF1177">
        <f t="shared" si="466"/>
        <v>0</v>
      </c>
      <c r="BG1177">
        <f t="shared" si="467"/>
        <v>0</v>
      </c>
      <c r="BH1177">
        <f t="shared" si="468"/>
        <v>0</v>
      </c>
      <c r="BI1177">
        <f t="shared" si="469"/>
        <v>0</v>
      </c>
      <c r="BJ1177">
        <f t="shared" si="470"/>
        <v>0</v>
      </c>
      <c r="BK1177">
        <f t="shared" si="471"/>
        <v>0</v>
      </c>
      <c r="BL1177">
        <f t="shared" si="472"/>
        <v>0</v>
      </c>
      <c r="BM1177">
        <f t="shared" si="473"/>
        <v>0</v>
      </c>
      <c r="BN1177">
        <f t="shared" si="474"/>
        <v>0</v>
      </c>
      <c r="BO1177">
        <f t="shared" si="475"/>
        <v>0</v>
      </c>
      <c r="BP1177">
        <f t="shared" si="476"/>
        <v>0</v>
      </c>
      <c r="BQ1177">
        <f t="shared" si="477"/>
        <v>0</v>
      </c>
      <c r="BR1177">
        <f t="shared" si="478"/>
        <v>0</v>
      </c>
      <c r="BS1177">
        <f t="shared" si="479"/>
        <v>0</v>
      </c>
      <c r="BT1177">
        <f t="shared" si="480"/>
        <v>0</v>
      </c>
      <c r="BU1177">
        <f t="shared" si="481"/>
        <v>0</v>
      </c>
      <c r="BV1177">
        <f t="shared" si="482"/>
        <v>0</v>
      </c>
      <c r="BW1177">
        <f t="shared" si="483"/>
        <v>0</v>
      </c>
      <c r="CA1177" t="str">
        <f>IF(978&gt;ROWS(DGArchive[模组]),"",IF(INDEX(DGArchive[模组],978)="","",INDEX(DGArchive[模组],978)))</f>
        <v/>
      </c>
      <c r="CB1177" t="str">
        <f>IF(978&gt;ROWS(DGArchive[阶段]),"",IF(INDEX(DGArchive[阶段],978)="","",INDEX(DGArchive[阶段],978)))</f>
        <v/>
      </c>
      <c r="CC1177" t="str">
        <f>IF(978&gt;ROWS(DGArchive[游戏内日期]),"",IF(INDEX(DGArchive[游戏内日期],978)="","",INDEX(DGArchive[游戏内日期],978)))</f>
        <v/>
      </c>
      <c r="CD1177" t="str">
        <f>IF(978&gt;ROWS(DGArchive[目标]),"",IF(INDEX(DGArchive[目标],978)="","",INDEX(DGArchive[目标],978)))</f>
        <v/>
      </c>
      <c r="CE1177" t="str">
        <f>IF(978&gt;ROWS(DGArchive[变更前]),"",IF(INDEX(DGArchive[变更前],978)="","",INDEX(DGArchive[变更前],978)))</f>
        <v/>
      </c>
      <c r="CF1177" t="str">
        <f>IF(978&gt;ROWS(DGArchive[增减]),"",IF(INDEX(DGArchive[增减],978)="","",INDEX(DGArchive[增减],978)))</f>
        <v/>
      </c>
      <c r="CG1177" t="str">
        <f>IF(978&gt;ROWS(DGArchive[变更后]),"",IF(INDEX(DGArchive[变更后],978)="","",INDEX(DGArchive[变更后],978)))</f>
        <v/>
      </c>
      <c r="CH1177" t="str">
        <f>IF(978&gt;ROWS(DGArchive[事件／活动]),"",IF(INDEX(DGArchive[事件／活动],978)="","",INDEX(DGArchive[事件／活动],978)))</f>
        <v/>
      </c>
      <c r="CI1177" t="str">
        <f>IF(978&gt;ROWS(DGArchive[记录编号]),"",IF(INDEX(DGArchive[记录编号],978)="","",INDEX(DGArchive[记录编号],978)))</f>
        <v/>
      </c>
      <c r="CL1177">
        <f t="shared" si="464"/>
        <v>0</v>
      </c>
      <c r="CM1177">
        <f>IF(AND(A1177=$AO$5,B1177=$AQ$3,H1177=1),COUNTIFS($A$200:A1177,$AO$5,$B$200:B1177,$AQ$3,$H$200:H1177,1),0)</f>
        <v>0</v>
      </c>
      <c r="CN1177">
        <f>IF(CA1177="",978,1001)</f>
        <v>978</v>
      </c>
      <c r="GA1177">
        <f t="shared" si="484"/>
        <v>0</v>
      </c>
      <c r="GB1177">
        <f t="shared" si="485"/>
        <v>0</v>
      </c>
      <c r="GC1177">
        <f>IF(AND(C1177="事件记录",H1177=1),COUNTIFS($C$200:C1177,"事件记录",$H$200:H1177,1),0)</f>
        <v>0</v>
      </c>
      <c r="GD1177">
        <f t="shared" si="465"/>
        <v>0</v>
      </c>
      <c r="GH1177">
        <f>IF(AND(H1177=1,A1177=$GA$10,B1177=$GA$11),COUNTIFS($A$200:A1177,$GA$10,$B$200:B1177,$GA$11,$H$200:H1177,1),0)</f>
        <v>0</v>
      </c>
    </row>
    <row r="1178" spans="1:190">
      <c r="A1178" t="str">
        <f t="shared" si="456"/>
        <v/>
      </c>
      <c r="B1178" t="str">
        <f t="shared" si="457"/>
        <v/>
      </c>
      <c r="C1178" t="str">
        <f t="shared" si="458"/>
        <v/>
      </c>
      <c r="D1178" t="str">
        <f t="shared" si="459"/>
        <v/>
      </c>
      <c r="E1178">
        <f t="shared" si="460"/>
        <v>0</v>
      </c>
      <c r="F1178" t="str">
        <f t="shared" si="461"/>
        <v/>
      </c>
      <c r="G1178">
        <f t="shared" si="462"/>
        <v>0</v>
      </c>
      <c r="H1178">
        <f>IF(AND(G1178=1,COUNTIFS($I$200:I1178,I1178,$G$200:G1178,1)=1),1,0)</f>
        <v>0</v>
      </c>
      <c r="I1178" t="str">
        <f t="shared" si="463"/>
        <v/>
      </c>
      <c r="BF1178">
        <f t="shared" si="466"/>
        <v>0</v>
      </c>
      <c r="BG1178">
        <f t="shared" si="467"/>
        <v>0</v>
      </c>
      <c r="BH1178">
        <f t="shared" si="468"/>
        <v>0</v>
      </c>
      <c r="BI1178">
        <f t="shared" si="469"/>
        <v>0</v>
      </c>
      <c r="BJ1178">
        <f t="shared" si="470"/>
        <v>0</v>
      </c>
      <c r="BK1178">
        <f t="shared" si="471"/>
        <v>0</v>
      </c>
      <c r="BL1178">
        <f t="shared" si="472"/>
        <v>0</v>
      </c>
      <c r="BM1178">
        <f t="shared" si="473"/>
        <v>0</v>
      </c>
      <c r="BN1178">
        <f t="shared" si="474"/>
        <v>0</v>
      </c>
      <c r="BO1178">
        <f t="shared" si="475"/>
        <v>0</v>
      </c>
      <c r="BP1178">
        <f t="shared" si="476"/>
        <v>0</v>
      </c>
      <c r="BQ1178">
        <f t="shared" si="477"/>
        <v>0</v>
      </c>
      <c r="BR1178">
        <f t="shared" si="478"/>
        <v>0</v>
      </c>
      <c r="BS1178">
        <f t="shared" si="479"/>
        <v>0</v>
      </c>
      <c r="BT1178">
        <f t="shared" si="480"/>
        <v>0</v>
      </c>
      <c r="BU1178">
        <f t="shared" si="481"/>
        <v>0</v>
      </c>
      <c r="BV1178">
        <f t="shared" si="482"/>
        <v>0</v>
      </c>
      <c r="BW1178">
        <f t="shared" si="483"/>
        <v>0</v>
      </c>
      <c r="CA1178" t="str">
        <f>IF(979&gt;ROWS(DGArchive[模组]),"",IF(INDEX(DGArchive[模组],979)="","",INDEX(DGArchive[模组],979)))</f>
        <v/>
      </c>
      <c r="CB1178" t="str">
        <f>IF(979&gt;ROWS(DGArchive[阶段]),"",IF(INDEX(DGArchive[阶段],979)="","",INDEX(DGArchive[阶段],979)))</f>
        <v/>
      </c>
      <c r="CC1178" t="str">
        <f>IF(979&gt;ROWS(DGArchive[游戏内日期]),"",IF(INDEX(DGArchive[游戏内日期],979)="","",INDEX(DGArchive[游戏内日期],979)))</f>
        <v/>
      </c>
      <c r="CD1178" t="str">
        <f>IF(979&gt;ROWS(DGArchive[目标]),"",IF(INDEX(DGArchive[目标],979)="","",INDEX(DGArchive[目标],979)))</f>
        <v/>
      </c>
      <c r="CE1178" t="str">
        <f>IF(979&gt;ROWS(DGArchive[变更前]),"",IF(INDEX(DGArchive[变更前],979)="","",INDEX(DGArchive[变更前],979)))</f>
        <v/>
      </c>
      <c r="CF1178" t="str">
        <f>IF(979&gt;ROWS(DGArchive[增减]),"",IF(INDEX(DGArchive[增减],979)="","",INDEX(DGArchive[增减],979)))</f>
        <v/>
      </c>
      <c r="CG1178" t="str">
        <f>IF(979&gt;ROWS(DGArchive[变更后]),"",IF(INDEX(DGArchive[变更后],979)="","",INDEX(DGArchive[变更后],979)))</f>
        <v/>
      </c>
      <c r="CH1178" t="str">
        <f>IF(979&gt;ROWS(DGArchive[事件／活动]),"",IF(INDEX(DGArchive[事件／活动],979)="","",INDEX(DGArchive[事件／活动],979)))</f>
        <v/>
      </c>
      <c r="CI1178" t="str">
        <f>IF(979&gt;ROWS(DGArchive[记录编号]),"",IF(INDEX(DGArchive[记录编号],979)="","",INDEX(DGArchive[记录编号],979)))</f>
        <v/>
      </c>
      <c r="CL1178">
        <f t="shared" si="464"/>
        <v>0</v>
      </c>
      <c r="CM1178">
        <f>IF(AND(A1178=$AO$5,B1178=$AQ$3,H1178=1),COUNTIFS($A$200:A1178,$AO$5,$B$200:B1178,$AQ$3,$H$200:H1178,1),0)</f>
        <v>0</v>
      </c>
      <c r="CN1178">
        <f>IF(CA1178="",979,1001)</f>
        <v>979</v>
      </c>
      <c r="GA1178">
        <f t="shared" si="484"/>
        <v>0</v>
      </c>
      <c r="GB1178">
        <f t="shared" si="485"/>
        <v>0</v>
      </c>
      <c r="GC1178">
        <f>IF(AND(C1178="事件记录",H1178=1),COUNTIFS($C$200:C1178,"事件记录",$H$200:H1178,1),0)</f>
        <v>0</v>
      </c>
      <c r="GD1178">
        <f t="shared" si="465"/>
        <v>0</v>
      </c>
      <c r="GH1178">
        <f>IF(AND(H1178=1,A1178=$GA$10,B1178=$GA$11),COUNTIFS($A$200:A1178,$GA$10,$B$200:B1178,$GA$11,$H$200:H1178,1),0)</f>
        <v>0</v>
      </c>
    </row>
    <row r="1179" spans="1:190">
      <c r="A1179" t="str">
        <f t="shared" si="456"/>
        <v/>
      </c>
      <c r="B1179" t="str">
        <f t="shared" si="457"/>
        <v/>
      </c>
      <c r="C1179" t="str">
        <f t="shared" si="458"/>
        <v/>
      </c>
      <c r="D1179" t="str">
        <f t="shared" si="459"/>
        <v/>
      </c>
      <c r="E1179">
        <f t="shared" si="460"/>
        <v>0</v>
      </c>
      <c r="F1179" t="str">
        <f t="shared" si="461"/>
        <v/>
      </c>
      <c r="G1179">
        <f t="shared" si="462"/>
        <v>0</v>
      </c>
      <c r="H1179">
        <f>IF(AND(G1179=1,COUNTIFS($I$200:I1179,I1179,$G$200:G1179,1)=1),1,0)</f>
        <v>0</v>
      </c>
      <c r="I1179" t="str">
        <f t="shared" si="463"/>
        <v/>
      </c>
      <c r="BF1179">
        <f t="shared" si="466"/>
        <v>0</v>
      </c>
      <c r="BG1179">
        <f t="shared" si="467"/>
        <v>0</v>
      </c>
      <c r="BH1179">
        <f t="shared" si="468"/>
        <v>0</v>
      </c>
      <c r="BI1179">
        <f t="shared" si="469"/>
        <v>0</v>
      </c>
      <c r="BJ1179">
        <f t="shared" si="470"/>
        <v>0</v>
      </c>
      <c r="BK1179">
        <f t="shared" si="471"/>
        <v>0</v>
      </c>
      <c r="BL1179">
        <f t="shared" si="472"/>
        <v>0</v>
      </c>
      <c r="BM1179">
        <f t="shared" si="473"/>
        <v>0</v>
      </c>
      <c r="BN1179">
        <f t="shared" si="474"/>
        <v>0</v>
      </c>
      <c r="BO1179">
        <f t="shared" si="475"/>
        <v>0</v>
      </c>
      <c r="BP1179">
        <f t="shared" si="476"/>
        <v>0</v>
      </c>
      <c r="BQ1179">
        <f t="shared" si="477"/>
        <v>0</v>
      </c>
      <c r="BR1179">
        <f t="shared" si="478"/>
        <v>0</v>
      </c>
      <c r="BS1179">
        <f t="shared" si="479"/>
        <v>0</v>
      </c>
      <c r="BT1179">
        <f t="shared" si="480"/>
        <v>0</v>
      </c>
      <c r="BU1179">
        <f t="shared" si="481"/>
        <v>0</v>
      </c>
      <c r="BV1179">
        <f t="shared" si="482"/>
        <v>0</v>
      </c>
      <c r="BW1179">
        <f t="shared" si="483"/>
        <v>0</v>
      </c>
      <c r="CA1179" t="str">
        <f>IF(980&gt;ROWS(DGArchive[模组]),"",IF(INDEX(DGArchive[模组],980)="","",INDEX(DGArchive[模组],980)))</f>
        <v/>
      </c>
      <c r="CB1179" t="str">
        <f>IF(980&gt;ROWS(DGArchive[阶段]),"",IF(INDEX(DGArchive[阶段],980)="","",INDEX(DGArchive[阶段],980)))</f>
        <v/>
      </c>
      <c r="CC1179" t="str">
        <f>IF(980&gt;ROWS(DGArchive[游戏内日期]),"",IF(INDEX(DGArchive[游戏内日期],980)="","",INDEX(DGArchive[游戏内日期],980)))</f>
        <v/>
      </c>
      <c r="CD1179" t="str">
        <f>IF(980&gt;ROWS(DGArchive[目标]),"",IF(INDEX(DGArchive[目标],980)="","",INDEX(DGArchive[目标],980)))</f>
        <v/>
      </c>
      <c r="CE1179" t="str">
        <f>IF(980&gt;ROWS(DGArchive[变更前]),"",IF(INDEX(DGArchive[变更前],980)="","",INDEX(DGArchive[变更前],980)))</f>
        <v/>
      </c>
      <c r="CF1179" t="str">
        <f>IF(980&gt;ROWS(DGArchive[增减]),"",IF(INDEX(DGArchive[增减],980)="","",INDEX(DGArchive[增减],980)))</f>
        <v/>
      </c>
      <c r="CG1179" t="str">
        <f>IF(980&gt;ROWS(DGArchive[变更后]),"",IF(INDEX(DGArchive[变更后],980)="","",INDEX(DGArchive[变更后],980)))</f>
        <v/>
      </c>
      <c r="CH1179" t="str">
        <f>IF(980&gt;ROWS(DGArchive[事件／活动]),"",IF(INDEX(DGArchive[事件／活动],980)="","",INDEX(DGArchive[事件／活动],980)))</f>
        <v/>
      </c>
      <c r="CI1179" t="str">
        <f>IF(980&gt;ROWS(DGArchive[记录编号]),"",IF(INDEX(DGArchive[记录编号],980)="","",INDEX(DGArchive[记录编号],980)))</f>
        <v/>
      </c>
      <c r="CL1179">
        <f t="shared" si="464"/>
        <v>0</v>
      </c>
      <c r="CM1179">
        <f>IF(AND(A1179=$AO$5,B1179=$AQ$3,H1179=1),COUNTIFS($A$200:A1179,$AO$5,$B$200:B1179,$AQ$3,$H$200:H1179,1),0)</f>
        <v>0</v>
      </c>
      <c r="CN1179">
        <f>IF(CA1179="",980,1001)</f>
        <v>980</v>
      </c>
      <c r="GA1179">
        <f t="shared" si="484"/>
        <v>0</v>
      </c>
      <c r="GB1179">
        <f t="shared" si="485"/>
        <v>0</v>
      </c>
      <c r="GC1179">
        <f>IF(AND(C1179="事件记录",H1179=1),COUNTIFS($C$200:C1179,"事件记录",$H$200:H1179,1),0)</f>
        <v>0</v>
      </c>
      <c r="GD1179">
        <f t="shared" si="465"/>
        <v>0</v>
      </c>
      <c r="GH1179">
        <f>IF(AND(H1179=1,A1179=$GA$10,B1179=$GA$11),COUNTIFS($A$200:A1179,$GA$10,$B$200:B1179,$GA$11,$H$200:H1179,1),0)</f>
        <v>0</v>
      </c>
    </row>
    <row r="1180" spans="1:190">
      <c r="A1180" t="str">
        <f t="shared" si="456"/>
        <v/>
      </c>
      <c r="B1180" t="str">
        <f t="shared" si="457"/>
        <v/>
      </c>
      <c r="C1180" t="str">
        <f t="shared" si="458"/>
        <v/>
      </c>
      <c r="D1180" t="str">
        <f t="shared" si="459"/>
        <v/>
      </c>
      <c r="E1180">
        <f t="shared" si="460"/>
        <v>0</v>
      </c>
      <c r="F1180" t="str">
        <f t="shared" si="461"/>
        <v/>
      </c>
      <c r="G1180">
        <f t="shared" si="462"/>
        <v>0</v>
      </c>
      <c r="H1180">
        <f>IF(AND(G1180=1,COUNTIFS($I$200:I1180,I1180,$G$200:G1180,1)=1),1,0)</f>
        <v>0</v>
      </c>
      <c r="I1180" t="str">
        <f t="shared" si="463"/>
        <v/>
      </c>
      <c r="BF1180">
        <f t="shared" si="466"/>
        <v>0</v>
      </c>
      <c r="BG1180">
        <f t="shared" si="467"/>
        <v>0</v>
      </c>
      <c r="BH1180">
        <f t="shared" si="468"/>
        <v>0</v>
      </c>
      <c r="BI1180">
        <f t="shared" si="469"/>
        <v>0</v>
      </c>
      <c r="BJ1180">
        <f t="shared" si="470"/>
        <v>0</v>
      </c>
      <c r="BK1180">
        <f t="shared" si="471"/>
        <v>0</v>
      </c>
      <c r="BL1180">
        <f t="shared" si="472"/>
        <v>0</v>
      </c>
      <c r="BM1180">
        <f t="shared" si="473"/>
        <v>0</v>
      </c>
      <c r="BN1180">
        <f t="shared" si="474"/>
        <v>0</v>
      </c>
      <c r="BO1180">
        <f t="shared" si="475"/>
        <v>0</v>
      </c>
      <c r="BP1180">
        <f t="shared" si="476"/>
        <v>0</v>
      </c>
      <c r="BQ1180">
        <f t="shared" si="477"/>
        <v>0</v>
      </c>
      <c r="BR1180">
        <f t="shared" si="478"/>
        <v>0</v>
      </c>
      <c r="BS1180">
        <f t="shared" si="479"/>
        <v>0</v>
      </c>
      <c r="BT1180">
        <f t="shared" si="480"/>
        <v>0</v>
      </c>
      <c r="BU1180">
        <f t="shared" si="481"/>
        <v>0</v>
      </c>
      <c r="BV1180">
        <f t="shared" si="482"/>
        <v>0</v>
      </c>
      <c r="BW1180">
        <f t="shared" si="483"/>
        <v>0</v>
      </c>
      <c r="CA1180" t="str">
        <f>IF(981&gt;ROWS(DGArchive[模组]),"",IF(INDEX(DGArchive[模组],981)="","",INDEX(DGArchive[模组],981)))</f>
        <v/>
      </c>
      <c r="CB1180" t="str">
        <f>IF(981&gt;ROWS(DGArchive[阶段]),"",IF(INDEX(DGArchive[阶段],981)="","",INDEX(DGArchive[阶段],981)))</f>
        <v/>
      </c>
      <c r="CC1180" t="str">
        <f>IF(981&gt;ROWS(DGArchive[游戏内日期]),"",IF(INDEX(DGArchive[游戏内日期],981)="","",INDEX(DGArchive[游戏内日期],981)))</f>
        <v/>
      </c>
      <c r="CD1180" t="str">
        <f>IF(981&gt;ROWS(DGArchive[目标]),"",IF(INDEX(DGArchive[目标],981)="","",INDEX(DGArchive[目标],981)))</f>
        <v/>
      </c>
      <c r="CE1180" t="str">
        <f>IF(981&gt;ROWS(DGArchive[变更前]),"",IF(INDEX(DGArchive[变更前],981)="","",INDEX(DGArchive[变更前],981)))</f>
        <v/>
      </c>
      <c r="CF1180" t="str">
        <f>IF(981&gt;ROWS(DGArchive[增减]),"",IF(INDEX(DGArchive[增减],981)="","",INDEX(DGArchive[增减],981)))</f>
        <v/>
      </c>
      <c r="CG1180" t="str">
        <f>IF(981&gt;ROWS(DGArchive[变更后]),"",IF(INDEX(DGArchive[变更后],981)="","",INDEX(DGArchive[变更后],981)))</f>
        <v/>
      </c>
      <c r="CH1180" t="str">
        <f>IF(981&gt;ROWS(DGArchive[事件／活动]),"",IF(INDEX(DGArchive[事件／活动],981)="","",INDEX(DGArchive[事件／活动],981)))</f>
        <v/>
      </c>
      <c r="CI1180" t="str">
        <f>IF(981&gt;ROWS(DGArchive[记录编号]),"",IF(INDEX(DGArchive[记录编号],981)="","",INDEX(DGArchive[记录编号],981)))</f>
        <v/>
      </c>
      <c r="CL1180">
        <f t="shared" si="464"/>
        <v>0</v>
      </c>
      <c r="CM1180">
        <f>IF(AND(A1180=$AO$5,B1180=$AQ$3,H1180=1),COUNTIFS($A$200:A1180,$AO$5,$B$200:B1180,$AQ$3,$H$200:H1180,1),0)</f>
        <v>0</v>
      </c>
      <c r="CN1180">
        <f>IF(CA1180="",981,1001)</f>
        <v>981</v>
      </c>
      <c r="GA1180">
        <f t="shared" si="484"/>
        <v>0</v>
      </c>
      <c r="GB1180">
        <f t="shared" si="485"/>
        <v>0</v>
      </c>
      <c r="GC1180">
        <f>IF(AND(C1180="事件记录",H1180=1),COUNTIFS($C$200:C1180,"事件记录",$H$200:H1180,1),0)</f>
        <v>0</v>
      </c>
      <c r="GD1180">
        <f t="shared" si="465"/>
        <v>0</v>
      </c>
      <c r="GH1180">
        <f>IF(AND(H1180=1,A1180=$GA$10,B1180=$GA$11),COUNTIFS($A$200:A1180,$GA$10,$B$200:B1180,$GA$11,$H$200:H1180,1),0)</f>
        <v>0</v>
      </c>
    </row>
    <row r="1181" spans="1:190">
      <c r="A1181" t="str">
        <f t="shared" si="456"/>
        <v/>
      </c>
      <c r="B1181" t="str">
        <f t="shared" si="457"/>
        <v/>
      </c>
      <c r="C1181" t="str">
        <f t="shared" si="458"/>
        <v/>
      </c>
      <c r="D1181" t="str">
        <f t="shared" si="459"/>
        <v/>
      </c>
      <c r="E1181">
        <f t="shared" si="460"/>
        <v>0</v>
      </c>
      <c r="F1181" t="str">
        <f t="shared" si="461"/>
        <v/>
      </c>
      <c r="G1181">
        <f t="shared" si="462"/>
        <v>0</v>
      </c>
      <c r="H1181">
        <f>IF(AND(G1181=1,COUNTIFS($I$200:I1181,I1181,$G$200:G1181,1)=1),1,0)</f>
        <v>0</v>
      </c>
      <c r="I1181" t="str">
        <f t="shared" si="463"/>
        <v/>
      </c>
      <c r="BF1181">
        <f t="shared" si="466"/>
        <v>0</v>
      </c>
      <c r="BG1181">
        <f t="shared" si="467"/>
        <v>0</v>
      </c>
      <c r="BH1181">
        <f t="shared" si="468"/>
        <v>0</v>
      </c>
      <c r="BI1181">
        <f t="shared" si="469"/>
        <v>0</v>
      </c>
      <c r="BJ1181">
        <f t="shared" si="470"/>
        <v>0</v>
      </c>
      <c r="BK1181">
        <f t="shared" si="471"/>
        <v>0</v>
      </c>
      <c r="BL1181">
        <f t="shared" si="472"/>
        <v>0</v>
      </c>
      <c r="BM1181">
        <f t="shared" si="473"/>
        <v>0</v>
      </c>
      <c r="BN1181">
        <f t="shared" si="474"/>
        <v>0</v>
      </c>
      <c r="BO1181">
        <f t="shared" si="475"/>
        <v>0</v>
      </c>
      <c r="BP1181">
        <f t="shared" si="476"/>
        <v>0</v>
      </c>
      <c r="BQ1181">
        <f t="shared" si="477"/>
        <v>0</v>
      </c>
      <c r="BR1181">
        <f t="shared" si="478"/>
        <v>0</v>
      </c>
      <c r="BS1181">
        <f t="shared" si="479"/>
        <v>0</v>
      </c>
      <c r="BT1181">
        <f t="shared" si="480"/>
        <v>0</v>
      </c>
      <c r="BU1181">
        <f t="shared" si="481"/>
        <v>0</v>
      </c>
      <c r="BV1181">
        <f t="shared" si="482"/>
        <v>0</v>
      </c>
      <c r="BW1181">
        <f t="shared" si="483"/>
        <v>0</v>
      </c>
      <c r="CA1181" t="str">
        <f>IF(982&gt;ROWS(DGArchive[模组]),"",IF(INDEX(DGArchive[模组],982)="","",INDEX(DGArchive[模组],982)))</f>
        <v/>
      </c>
      <c r="CB1181" t="str">
        <f>IF(982&gt;ROWS(DGArchive[阶段]),"",IF(INDEX(DGArchive[阶段],982)="","",INDEX(DGArchive[阶段],982)))</f>
        <v/>
      </c>
      <c r="CC1181" t="str">
        <f>IF(982&gt;ROWS(DGArchive[游戏内日期]),"",IF(INDEX(DGArchive[游戏内日期],982)="","",INDEX(DGArchive[游戏内日期],982)))</f>
        <v/>
      </c>
      <c r="CD1181" t="str">
        <f>IF(982&gt;ROWS(DGArchive[目标]),"",IF(INDEX(DGArchive[目标],982)="","",INDEX(DGArchive[目标],982)))</f>
        <v/>
      </c>
      <c r="CE1181" t="str">
        <f>IF(982&gt;ROWS(DGArchive[变更前]),"",IF(INDEX(DGArchive[变更前],982)="","",INDEX(DGArchive[变更前],982)))</f>
        <v/>
      </c>
      <c r="CF1181" t="str">
        <f>IF(982&gt;ROWS(DGArchive[增减]),"",IF(INDEX(DGArchive[增减],982)="","",INDEX(DGArchive[增减],982)))</f>
        <v/>
      </c>
      <c r="CG1181" t="str">
        <f>IF(982&gt;ROWS(DGArchive[变更后]),"",IF(INDEX(DGArchive[变更后],982)="","",INDEX(DGArchive[变更后],982)))</f>
        <v/>
      </c>
      <c r="CH1181" t="str">
        <f>IF(982&gt;ROWS(DGArchive[事件／活动]),"",IF(INDEX(DGArchive[事件／活动],982)="","",INDEX(DGArchive[事件／活动],982)))</f>
        <v/>
      </c>
      <c r="CI1181" t="str">
        <f>IF(982&gt;ROWS(DGArchive[记录编号]),"",IF(INDEX(DGArchive[记录编号],982)="","",INDEX(DGArchive[记录编号],982)))</f>
        <v/>
      </c>
      <c r="CL1181">
        <f t="shared" si="464"/>
        <v>0</v>
      </c>
      <c r="CM1181">
        <f>IF(AND(A1181=$AO$5,B1181=$AQ$3,H1181=1),COUNTIFS($A$200:A1181,$AO$5,$B$200:B1181,$AQ$3,$H$200:H1181,1),0)</f>
        <v>0</v>
      </c>
      <c r="CN1181">
        <f>IF(CA1181="",982,1001)</f>
        <v>982</v>
      </c>
      <c r="GA1181">
        <f t="shared" si="484"/>
        <v>0</v>
      </c>
      <c r="GB1181">
        <f t="shared" si="485"/>
        <v>0</v>
      </c>
      <c r="GC1181">
        <f>IF(AND(C1181="事件记录",H1181=1),COUNTIFS($C$200:C1181,"事件记录",$H$200:H1181,1),0)</f>
        <v>0</v>
      </c>
      <c r="GD1181">
        <f t="shared" si="465"/>
        <v>0</v>
      </c>
      <c r="GH1181">
        <f>IF(AND(H1181=1,A1181=$GA$10,B1181=$GA$11),COUNTIFS($A$200:A1181,$GA$10,$B$200:B1181,$GA$11,$H$200:H1181,1),0)</f>
        <v>0</v>
      </c>
    </row>
    <row r="1182" spans="1:190">
      <c r="A1182" t="str">
        <f t="shared" si="456"/>
        <v/>
      </c>
      <c r="B1182" t="str">
        <f t="shared" si="457"/>
        <v/>
      </c>
      <c r="C1182" t="str">
        <f t="shared" si="458"/>
        <v/>
      </c>
      <c r="D1182" t="str">
        <f t="shared" si="459"/>
        <v/>
      </c>
      <c r="E1182">
        <f t="shared" si="460"/>
        <v>0</v>
      </c>
      <c r="F1182" t="str">
        <f t="shared" si="461"/>
        <v/>
      </c>
      <c r="G1182">
        <f t="shared" si="462"/>
        <v>0</v>
      </c>
      <c r="H1182">
        <f>IF(AND(G1182=1,COUNTIFS($I$200:I1182,I1182,$G$200:G1182,1)=1),1,0)</f>
        <v>0</v>
      </c>
      <c r="I1182" t="str">
        <f t="shared" si="463"/>
        <v/>
      </c>
      <c r="BF1182">
        <f t="shared" si="466"/>
        <v>0</v>
      </c>
      <c r="BG1182">
        <f t="shared" si="467"/>
        <v>0</v>
      </c>
      <c r="BH1182">
        <f t="shared" si="468"/>
        <v>0</v>
      </c>
      <c r="BI1182">
        <f t="shared" si="469"/>
        <v>0</v>
      </c>
      <c r="BJ1182">
        <f t="shared" si="470"/>
        <v>0</v>
      </c>
      <c r="BK1182">
        <f t="shared" si="471"/>
        <v>0</v>
      </c>
      <c r="BL1182">
        <f t="shared" si="472"/>
        <v>0</v>
      </c>
      <c r="BM1182">
        <f t="shared" si="473"/>
        <v>0</v>
      </c>
      <c r="BN1182">
        <f t="shared" si="474"/>
        <v>0</v>
      </c>
      <c r="BO1182">
        <f t="shared" si="475"/>
        <v>0</v>
      </c>
      <c r="BP1182">
        <f t="shared" si="476"/>
        <v>0</v>
      </c>
      <c r="BQ1182">
        <f t="shared" si="477"/>
        <v>0</v>
      </c>
      <c r="BR1182">
        <f t="shared" si="478"/>
        <v>0</v>
      </c>
      <c r="BS1182">
        <f t="shared" si="479"/>
        <v>0</v>
      </c>
      <c r="BT1182">
        <f t="shared" si="480"/>
        <v>0</v>
      </c>
      <c r="BU1182">
        <f t="shared" si="481"/>
        <v>0</v>
      </c>
      <c r="BV1182">
        <f t="shared" si="482"/>
        <v>0</v>
      </c>
      <c r="BW1182">
        <f t="shared" si="483"/>
        <v>0</v>
      </c>
      <c r="CA1182" t="str">
        <f>IF(983&gt;ROWS(DGArchive[模组]),"",IF(INDEX(DGArchive[模组],983)="","",INDEX(DGArchive[模组],983)))</f>
        <v/>
      </c>
      <c r="CB1182" t="str">
        <f>IF(983&gt;ROWS(DGArchive[阶段]),"",IF(INDEX(DGArchive[阶段],983)="","",INDEX(DGArchive[阶段],983)))</f>
        <v/>
      </c>
      <c r="CC1182" t="str">
        <f>IF(983&gt;ROWS(DGArchive[游戏内日期]),"",IF(INDEX(DGArchive[游戏内日期],983)="","",INDEX(DGArchive[游戏内日期],983)))</f>
        <v/>
      </c>
      <c r="CD1182" t="str">
        <f>IF(983&gt;ROWS(DGArchive[目标]),"",IF(INDEX(DGArchive[目标],983)="","",INDEX(DGArchive[目标],983)))</f>
        <v/>
      </c>
      <c r="CE1182" t="str">
        <f>IF(983&gt;ROWS(DGArchive[变更前]),"",IF(INDEX(DGArchive[变更前],983)="","",INDEX(DGArchive[变更前],983)))</f>
        <v/>
      </c>
      <c r="CF1182" t="str">
        <f>IF(983&gt;ROWS(DGArchive[增减]),"",IF(INDEX(DGArchive[增减],983)="","",INDEX(DGArchive[增减],983)))</f>
        <v/>
      </c>
      <c r="CG1182" t="str">
        <f>IF(983&gt;ROWS(DGArchive[变更后]),"",IF(INDEX(DGArchive[变更后],983)="","",INDEX(DGArchive[变更后],983)))</f>
        <v/>
      </c>
      <c r="CH1182" t="str">
        <f>IF(983&gt;ROWS(DGArchive[事件／活动]),"",IF(INDEX(DGArchive[事件／活动],983)="","",INDEX(DGArchive[事件／活动],983)))</f>
        <v/>
      </c>
      <c r="CI1182" t="str">
        <f>IF(983&gt;ROWS(DGArchive[记录编号]),"",IF(INDEX(DGArchive[记录编号],983)="","",INDEX(DGArchive[记录编号],983)))</f>
        <v/>
      </c>
      <c r="CL1182">
        <f t="shared" si="464"/>
        <v>0</v>
      </c>
      <c r="CM1182">
        <f>IF(AND(A1182=$AO$5,B1182=$AQ$3,H1182=1),COUNTIFS($A$200:A1182,$AO$5,$B$200:B1182,$AQ$3,$H$200:H1182,1),0)</f>
        <v>0</v>
      </c>
      <c r="CN1182">
        <f>IF(CA1182="",983,1001)</f>
        <v>983</v>
      </c>
      <c r="GA1182">
        <f t="shared" si="484"/>
        <v>0</v>
      </c>
      <c r="GB1182">
        <f t="shared" si="485"/>
        <v>0</v>
      </c>
      <c r="GC1182">
        <f>IF(AND(C1182="事件记录",H1182=1),COUNTIFS($C$200:C1182,"事件记录",$H$200:H1182,1),0)</f>
        <v>0</v>
      </c>
      <c r="GD1182">
        <f t="shared" si="465"/>
        <v>0</v>
      </c>
      <c r="GH1182">
        <f>IF(AND(H1182=1,A1182=$GA$10,B1182=$GA$11),COUNTIFS($A$200:A1182,$GA$10,$B$200:B1182,$GA$11,$H$200:H1182,1),0)</f>
        <v>0</v>
      </c>
    </row>
    <row r="1183" spans="1:190">
      <c r="A1183" t="str">
        <f t="shared" si="456"/>
        <v/>
      </c>
      <c r="B1183" t="str">
        <f t="shared" si="457"/>
        <v/>
      </c>
      <c r="C1183" t="str">
        <f t="shared" si="458"/>
        <v/>
      </c>
      <c r="D1183" t="str">
        <f t="shared" si="459"/>
        <v/>
      </c>
      <c r="E1183">
        <f t="shared" si="460"/>
        <v>0</v>
      </c>
      <c r="F1183" t="str">
        <f t="shared" si="461"/>
        <v/>
      </c>
      <c r="G1183">
        <f t="shared" si="462"/>
        <v>0</v>
      </c>
      <c r="H1183">
        <f>IF(AND(G1183=1,COUNTIFS($I$200:I1183,I1183,$G$200:G1183,1)=1),1,0)</f>
        <v>0</v>
      </c>
      <c r="I1183" t="str">
        <f t="shared" si="463"/>
        <v/>
      </c>
      <c r="BF1183">
        <f t="shared" si="466"/>
        <v>0</v>
      </c>
      <c r="BG1183">
        <f t="shared" si="467"/>
        <v>0</v>
      </c>
      <c r="BH1183">
        <f t="shared" si="468"/>
        <v>0</v>
      </c>
      <c r="BI1183">
        <f t="shared" si="469"/>
        <v>0</v>
      </c>
      <c r="BJ1183">
        <f t="shared" si="470"/>
        <v>0</v>
      </c>
      <c r="BK1183">
        <f t="shared" si="471"/>
        <v>0</v>
      </c>
      <c r="BL1183">
        <f t="shared" si="472"/>
        <v>0</v>
      </c>
      <c r="BM1183">
        <f t="shared" si="473"/>
        <v>0</v>
      </c>
      <c r="BN1183">
        <f t="shared" si="474"/>
        <v>0</v>
      </c>
      <c r="BO1183">
        <f t="shared" si="475"/>
        <v>0</v>
      </c>
      <c r="BP1183">
        <f t="shared" si="476"/>
        <v>0</v>
      </c>
      <c r="BQ1183">
        <f t="shared" si="477"/>
        <v>0</v>
      </c>
      <c r="BR1183">
        <f t="shared" si="478"/>
        <v>0</v>
      </c>
      <c r="BS1183">
        <f t="shared" si="479"/>
        <v>0</v>
      </c>
      <c r="BT1183">
        <f t="shared" si="480"/>
        <v>0</v>
      </c>
      <c r="BU1183">
        <f t="shared" si="481"/>
        <v>0</v>
      </c>
      <c r="BV1183">
        <f t="shared" si="482"/>
        <v>0</v>
      </c>
      <c r="BW1183">
        <f t="shared" si="483"/>
        <v>0</v>
      </c>
      <c r="CA1183" t="str">
        <f>IF(984&gt;ROWS(DGArchive[模组]),"",IF(INDEX(DGArchive[模组],984)="","",INDEX(DGArchive[模组],984)))</f>
        <v/>
      </c>
      <c r="CB1183" t="str">
        <f>IF(984&gt;ROWS(DGArchive[阶段]),"",IF(INDEX(DGArchive[阶段],984)="","",INDEX(DGArchive[阶段],984)))</f>
        <v/>
      </c>
      <c r="CC1183" t="str">
        <f>IF(984&gt;ROWS(DGArchive[游戏内日期]),"",IF(INDEX(DGArchive[游戏内日期],984)="","",INDEX(DGArchive[游戏内日期],984)))</f>
        <v/>
      </c>
      <c r="CD1183" t="str">
        <f>IF(984&gt;ROWS(DGArchive[目标]),"",IF(INDEX(DGArchive[目标],984)="","",INDEX(DGArchive[目标],984)))</f>
        <v/>
      </c>
      <c r="CE1183" t="str">
        <f>IF(984&gt;ROWS(DGArchive[变更前]),"",IF(INDEX(DGArchive[变更前],984)="","",INDEX(DGArchive[变更前],984)))</f>
        <v/>
      </c>
      <c r="CF1183" t="str">
        <f>IF(984&gt;ROWS(DGArchive[增减]),"",IF(INDEX(DGArchive[增减],984)="","",INDEX(DGArchive[增减],984)))</f>
        <v/>
      </c>
      <c r="CG1183" t="str">
        <f>IF(984&gt;ROWS(DGArchive[变更后]),"",IF(INDEX(DGArchive[变更后],984)="","",INDEX(DGArchive[变更后],984)))</f>
        <v/>
      </c>
      <c r="CH1183" t="str">
        <f>IF(984&gt;ROWS(DGArchive[事件／活动]),"",IF(INDEX(DGArchive[事件／活动],984)="","",INDEX(DGArchive[事件／活动],984)))</f>
        <v/>
      </c>
      <c r="CI1183" t="str">
        <f>IF(984&gt;ROWS(DGArchive[记录编号]),"",IF(INDEX(DGArchive[记录编号],984)="","",INDEX(DGArchive[记录编号],984)))</f>
        <v/>
      </c>
      <c r="CL1183">
        <f t="shared" si="464"/>
        <v>0</v>
      </c>
      <c r="CM1183">
        <f>IF(AND(A1183=$AO$5,B1183=$AQ$3,H1183=1),COUNTIFS($A$200:A1183,$AO$5,$B$200:B1183,$AQ$3,$H$200:H1183,1),0)</f>
        <v>0</v>
      </c>
      <c r="CN1183">
        <f>IF(CA1183="",984,1001)</f>
        <v>984</v>
      </c>
      <c r="GA1183">
        <f t="shared" si="484"/>
        <v>0</v>
      </c>
      <c r="GB1183">
        <f t="shared" si="485"/>
        <v>0</v>
      </c>
      <c r="GC1183">
        <f>IF(AND(C1183="事件记录",H1183=1),COUNTIFS($C$200:C1183,"事件记录",$H$200:H1183,1),0)</f>
        <v>0</v>
      </c>
      <c r="GD1183">
        <f t="shared" si="465"/>
        <v>0</v>
      </c>
      <c r="GH1183">
        <f>IF(AND(H1183=1,A1183=$GA$10,B1183=$GA$11),COUNTIFS($A$200:A1183,$GA$10,$B$200:B1183,$GA$11,$H$200:H1183,1),0)</f>
        <v>0</v>
      </c>
    </row>
    <row r="1184" spans="1:190">
      <c r="A1184" t="str">
        <f t="shared" si="456"/>
        <v/>
      </c>
      <c r="B1184" t="str">
        <f t="shared" si="457"/>
        <v/>
      </c>
      <c r="C1184" t="str">
        <f t="shared" si="458"/>
        <v/>
      </c>
      <c r="D1184" t="str">
        <f t="shared" si="459"/>
        <v/>
      </c>
      <c r="E1184">
        <f t="shared" si="460"/>
        <v>0</v>
      </c>
      <c r="F1184" t="str">
        <f t="shared" si="461"/>
        <v/>
      </c>
      <c r="G1184">
        <f t="shared" si="462"/>
        <v>0</v>
      </c>
      <c r="H1184">
        <f>IF(AND(G1184=1,COUNTIFS($I$200:I1184,I1184,$G$200:G1184,1)=1),1,0)</f>
        <v>0</v>
      </c>
      <c r="I1184" t="str">
        <f t="shared" si="463"/>
        <v/>
      </c>
      <c r="BF1184">
        <f t="shared" si="466"/>
        <v>0</v>
      </c>
      <c r="BG1184">
        <f t="shared" si="467"/>
        <v>0</v>
      </c>
      <c r="BH1184">
        <f t="shared" si="468"/>
        <v>0</v>
      </c>
      <c r="BI1184">
        <f t="shared" si="469"/>
        <v>0</v>
      </c>
      <c r="BJ1184">
        <f t="shared" si="470"/>
        <v>0</v>
      </c>
      <c r="BK1184">
        <f t="shared" si="471"/>
        <v>0</v>
      </c>
      <c r="BL1184">
        <f t="shared" si="472"/>
        <v>0</v>
      </c>
      <c r="BM1184">
        <f t="shared" si="473"/>
        <v>0</v>
      </c>
      <c r="BN1184">
        <f t="shared" si="474"/>
        <v>0</v>
      </c>
      <c r="BO1184">
        <f t="shared" si="475"/>
        <v>0</v>
      </c>
      <c r="BP1184">
        <f t="shared" si="476"/>
        <v>0</v>
      </c>
      <c r="BQ1184">
        <f t="shared" si="477"/>
        <v>0</v>
      </c>
      <c r="BR1184">
        <f t="shared" si="478"/>
        <v>0</v>
      </c>
      <c r="BS1184">
        <f t="shared" si="479"/>
        <v>0</v>
      </c>
      <c r="BT1184">
        <f t="shared" si="480"/>
        <v>0</v>
      </c>
      <c r="BU1184">
        <f t="shared" si="481"/>
        <v>0</v>
      </c>
      <c r="BV1184">
        <f t="shared" si="482"/>
        <v>0</v>
      </c>
      <c r="BW1184">
        <f t="shared" si="483"/>
        <v>0</v>
      </c>
      <c r="CA1184" t="str">
        <f>IF(985&gt;ROWS(DGArchive[模组]),"",IF(INDEX(DGArchive[模组],985)="","",INDEX(DGArchive[模组],985)))</f>
        <v/>
      </c>
      <c r="CB1184" t="str">
        <f>IF(985&gt;ROWS(DGArchive[阶段]),"",IF(INDEX(DGArchive[阶段],985)="","",INDEX(DGArchive[阶段],985)))</f>
        <v/>
      </c>
      <c r="CC1184" t="str">
        <f>IF(985&gt;ROWS(DGArchive[游戏内日期]),"",IF(INDEX(DGArchive[游戏内日期],985)="","",INDEX(DGArchive[游戏内日期],985)))</f>
        <v/>
      </c>
      <c r="CD1184" t="str">
        <f>IF(985&gt;ROWS(DGArchive[目标]),"",IF(INDEX(DGArchive[目标],985)="","",INDEX(DGArchive[目标],985)))</f>
        <v/>
      </c>
      <c r="CE1184" t="str">
        <f>IF(985&gt;ROWS(DGArchive[变更前]),"",IF(INDEX(DGArchive[变更前],985)="","",INDEX(DGArchive[变更前],985)))</f>
        <v/>
      </c>
      <c r="CF1184" t="str">
        <f>IF(985&gt;ROWS(DGArchive[增减]),"",IF(INDEX(DGArchive[增减],985)="","",INDEX(DGArchive[增减],985)))</f>
        <v/>
      </c>
      <c r="CG1184" t="str">
        <f>IF(985&gt;ROWS(DGArchive[变更后]),"",IF(INDEX(DGArchive[变更后],985)="","",INDEX(DGArchive[变更后],985)))</f>
        <v/>
      </c>
      <c r="CH1184" t="str">
        <f>IF(985&gt;ROWS(DGArchive[事件／活动]),"",IF(INDEX(DGArchive[事件／活动],985)="","",INDEX(DGArchive[事件／活动],985)))</f>
        <v/>
      </c>
      <c r="CI1184" t="str">
        <f>IF(985&gt;ROWS(DGArchive[记录编号]),"",IF(INDEX(DGArchive[记录编号],985)="","",INDEX(DGArchive[记录编号],985)))</f>
        <v/>
      </c>
      <c r="CL1184">
        <f t="shared" si="464"/>
        <v>0</v>
      </c>
      <c r="CM1184">
        <f>IF(AND(A1184=$AO$5,B1184=$AQ$3,H1184=1),COUNTIFS($A$200:A1184,$AO$5,$B$200:B1184,$AQ$3,$H$200:H1184,1),0)</f>
        <v>0</v>
      </c>
      <c r="CN1184">
        <f>IF(CA1184="",985,1001)</f>
        <v>985</v>
      </c>
      <c r="GA1184">
        <f t="shared" si="484"/>
        <v>0</v>
      </c>
      <c r="GB1184">
        <f t="shared" si="485"/>
        <v>0</v>
      </c>
      <c r="GC1184">
        <f>IF(AND(C1184="事件记录",H1184=1),COUNTIFS($C$200:C1184,"事件记录",$H$200:H1184,1),0)</f>
        <v>0</v>
      </c>
      <c r="GD1184">
        <f t="shared" si="465"/>
        <v>0</v>
      </c>
      <c r="GH1184">
        <f>IF(AND(H1184=1,A1184=$GA$10,B1184=$GA$11),COUNTIFS($A$200:A1184,$GA$10,$B$200:B1184,$GA$11,$H$200:H1184,1),0)</f>
        <v>0</v>
      </c>
    </row>
    <row r="1185" spans="1:190">
      <c r="A1185" t="str">
        <f t="shared" si="456"/>
        <v/>
      </c>
      <c r="B1185" t="str">
        <f t="shared" si="457"/>
        <v/>
      </c>
      <c r="C1185" t="str">
        <f t="shared" si="458"/>
        <v/>
      </c>
      <c r="D1185" t="str">
        <f t="shared" si="459"/>
        <v/>
      </c>
      <c r="E1185">
        <f t="shared" si="460"/>
        <v>0</v>
      </c>
      <c r="F1185" t="str">
        <f t="shared" si="461"/>
        <v/>
      </c>
      <c r="G1185">
        <f t="shared" si="462"/>
        <v>0</v>
      </c>
      <c r="H1185">
        <f>IF(AND(G1185=1,COUNTIFS($I$200:I1185,I1185,$G$200:G1185,1)=1),1,0)</f>
        <v>0</v>
      </c>
      <c r="I1185" t="str">
        <f t="shared" si="463"/>
        <v/>
      </c>
      <c r="BF1185">
        <f t="shared" si="466"/>
        <v>0</v>
      </c>
      <c r="BG1185">
        <f t="shared" si="467"/>
        <v>0</v>
      </c>
      <c r="BH1185">
        <f t="shared" si="468"/>
        <v>0</v>
      </c>
      <c r="BI1185">
        <f t="shared" si="469"/>
        <v>0</v>
      </c>
      <c r="BJ1185">
        <f t="shared" si="470"/>
        <v>0</v>
      </c>
      <c r="BK1185">
        <f t="shared" si="471"/>
        <v>0</v>
      </c>
      <c r="BL1185">
        <f t="shared" si="472"/>
        <v>0</v>
      </c>
      <c r="BM1185">
        <f t="shared" si="473"/>
        <v>0</v>
      </c>
      <c r="BN1185">
        <f t="shared" si="474"/>
        <v>0</v>
      </c>
      <c r="BO1185">
        <f t="shared" si="475"/>
        <v>0</v>
      </c>
      <c r="BP1185">
        <f t="shared" si="476"/>
        <v>0</v>
      </c>
      <c r="BQ1185">
        <f t="shared" si="477"/>
        <v>0</v>
      </c>
      <c r="BR1185">
        <f t="shared" si="478"/>
        <v>0</v>
      </c>
      <c r="BS1185">
        <f t="shared" si="479"/>
        <v>0</v>
      </c>
      <c r="BT1185">
        <f t="shared" si="480"/>
        <v>0</v>
      </c>
      <c r="BU1185">
        <f t="shared" si="481"/>
        <v>0</v>
      </c>
      <c r="BV1185">
        <f t="shared" si="482"/>
        <v>0</v>
      </c>
      <c r="BW1185">
        <f t="shared" si="483"/>
        <v>0</v>
      </c>
      <c r="CA1185" t="str">
        <f>IF(986&gt;ROWS(DGArchive[模组]),"",IF(INDEX(DGArchive[模组],986)="","",INDEX(DGArchive[模组],986)))</f>
        <v/>
      </c>
      <c r="CB1185" t="str">
        <f>IF(986&gt;ROWS(DGArchive[阶段]),"",IF(INDEX(DGArchive[阶段],986)="","",INDEX(DGArchive[阶段],986)))</f>
        <v/>
      </c>
      <c r="CC1185" t="str">
        <f>IF(986&gt;ROWS(DGArchive[游戏内日期]),"",IF(INDEX(DGArchive[游戏内日期],986)="","",INDEX(DGArchive[游戏内日期],986)))</f>
        <v/>
      </c>
      <c r="CD1185" t="str">
        <f>IF(986&gt;ROWS(DGArchive[目标]),"",IF(INDEX(DGArchive[目标],986)="","",INDEX(DGArchive[目标],986)))</f>
        <v/>
      </c>
      <c r="CE1185" t="str">
        <f>IF(986&gt;ROWS(DGArchive[变更前]),"",IF(INDEX(DGArchive[变更前],986)="","",INDEX(DGArchive[变更前],986)))</f>
        <v/>
      </c>
      <c r="CF1185" t="str">
        <f>IF(986&gt;ROWS(DGArchive[增减]),"",IF(INDEX(DGArchive[增减],986)="","",INDEX(DGArchive[增减],986)))</f>
        <v/>
      </c>
      <c r="CG1185" t="str">
        <f>IF(986&gt;ROWS(DGArchive[变更后]),"",IF(INDEX(DGArchive[变更后],986)="","",INDEX(DGArchive[变更后],986)))</f>
        <v/>
      </c>
      <c r="CH1185" t="str">
        <f>IF(986&gt;ROWS(DGArchive[事件／活动]),"",IF(INDEX(DGArchive[事件／活动],986)="","",INDEX(DGArchive[事件／活动],986)))</f>
        <v/>
      </c>
      <c r="CI1185" t="str">
        <f>IF(986&gt;ROWS(DGArchive[记录编号]),"",IF(INDEX(DGArchive[记录编号],986)="","",INDEX(DGArchive[记录编号],986)))</f>
        <v/>
      </c>
      <c r="CL1185">
        <f t="shared" si="464"/>
        <v>0</v>
      </c>
      <c r="CM1185">
        <f>IF(AND(A1185=$AO$5,B1185=$AQ$3,H1185=1),COUNTIFS($A$200:A1185,$AO$5,$B$200:B1185,$AQ$3,$H$200:H1185,1),0)</f>
        <v>0</v>
      </c>
      <c r="CN1185">
        <f>IF(CA1185="",986,1001)</f>
        <v>986</v>
      </c>
      <c r="GA1185">
        <f t="shared" si="484"/>
        <v>0</v>
      </c>
      <c r="GB1185">
        <f t="shared" si="485"/>
        <v>0</v>
      </c>
      <c r="GC1185">
        <f>IF(AND(C1185="事件记录",H1185=1),COUNTIFS($C$200:C1185,"事件记录",$H$200:H1185,1),0)</f>
        <v>0</v>
      </c>
      <c r="GD1185">
        <f t="shared" si="465"/>
        <v>0</v>
      </c>
      <c r="GH1185">
        <f>IF(AND(H1185=1,A1185=$GA$10,B1185=$GA$11),COUNTIFS($A$200:A1185,$GA$10,$B$200:B1185,$GA$11,$H$200:H1185,1),0)</f>
        <v>0</v>
      </c>
    </row>
    <row r="1186" spans="1:190">
      <c r="A1186" t="str">
        <f t="shared" si="456"/>
        <v/>
      </c>
      <c r="B1186" t="str">
        <f t="shared" si="457"/>
        <v/>
      </c>
      <c r="C1186" t="str">
        <f t="shared" si="458"/>
        <v/>
      </c>
      <c r="D1186" t="str">
        <f t="shared" si="459"/>
        <v/>
      </c>
      <c r="E1186">
        <f t="shared" si="460"/>
        <v>0</v>
      </c>
      <c r="F1186" t="str">
        <f t="shared" si="461"/>
        <v/>
      </c>
      <c r="G1186">
        <f t="shared" si="462"/>
        <v>0</v>
      </c>
      <c r="H1186">
        <f>IF(AND(G1186=1,COUNTIFS($I$200:I1186,I1186,$G$200:G1186,1)=1),1,0)</f>
        <v>0</v>
      </c>
      <c r="I1186" t="str">
        <f t="shared" si="463"/>
        <v/>
      </c>
      <c r="BF1186">
        <f t="shared" si="466"/>
        <v>0</v>
      </c>
      <c r="BG1186">
        <f t="shared" si="467"/>
        <v>0</v>
      </c>
      <c r="BH1186">
        <f t="shared" si="468"/>
        <v>0</v>
      </c>
      <c r="BI1186">
        <f t="shared" si="469"/>
        <v>0</v>
      </c>
      <c r="BJ1186">
        <f t="shared" si="470"/>
        <v>0</v>
      </c>
      <c r="BK1186">
        <f t="shared" si="471"/>
        <v>0</v>
      </c>
      <c r="BL1186">
        <f t="shared" si="472"/>
        <v>0</v>
      </c>
      <c r="BM1186">
        <f t="shared" si="473"/>
        <v>0</v>
      </c>
      <c r="BN1186">
        <f t="shared" si="474"/>
        <v>0</v>
      </c>
      <c r="BO1186">
        <f t="shared" si="475"/>
        <v>0</v>
      </c>
      <c r="BP1186">
        <f t="shared" si="476"/>
        <v>0</v>
      </c>
      <c r="BQ1186">
        <f t="shared" si="477"/>
        <v>0</v>
      </c>
      <c r="BR1186">
        <f t="shared" si="478"/>
        <v>0</v>
      </c>
      <c r="BS1186">
        <f t="shared" si="479"/>
        <v>0</v>
      </c>
      <c r="BT1186">
        <f t="shared" si="480"/>
        <v>0</v>
      </c>
      <c r="BU1186">
        <f t="shared" si="481"/>
        <v>0</v>
      </c>
      <c r="BV1186">
        <f t="shared" si="482"/>
        <v>0</v>
      </c>
      <c r="BW1186">
        <f t="shared" si="483"/>
        <v>0</v>
      </c>
      <c r="CA1186" t="str">
        <f>IF(987&gt;ROWS(DGArchive[模组]),"",IF(INDEX(DGArchive[模组],987)="","",INDEX(DGArchive[模组],987)))</f>
        <v/>
      </c>
      <c r="CB1186" t="str">
        <f>IF(987&gt;ROWS(DGArchive[阶段]),"",IF(INDEX(DGArchive[阶段],987)="","",INDEX(DGArchive[阶段],987)))</f>
        <v/>
      </c>
      <c r="CC1186" t="str">
        <f>IF(987&gt;ROWS(DGArchive[游戏内日期]),"",IF(INDEX(DGArchive[游戏内日期],987)="","",INDEX(DGArchive[游戏内日期],987)))</f>
        <v/>
      </c>
      <c r="CD1186" t="str">
        <f>IF(987&gt;ROWS(DGArchive[目标]),"",IF(INDEX(DGArchive[目标],987)="","",INDEX(DGArchive[目标],987)))</f>
        <v/>
      </c>
      <c r="CE1186" t="str">
        <f>IF(987&gt;ROWS(DGArchive[变更前]),"",IF(INDEX(DGArchive[变更前],987)="","",INDEX(DGArchive[变更前],987)))</f>
        <v/>
      </c>
      <c r="CF1186" t="str">
        <f>IF(987&gt;ROWS(DGArchive[增减]),"",IF(INDEX(DGArchive[增减],987)="","",INDEX(DGArchive[增减],987)))</f>
        <v/>
      </c>
      <c r="CG1186" t="str">
        <f>IF(987&gt;ROWS(DGArchive[变更后]),"",IF(INDEX(DGArchive[变更后],987)="","",INDEX(DGArchive[变更后],987)))</f>
        <v/>
      </c>
      <c r="CH1186" t="str">
        <f>IF(987&gt;ROWS(DGArchive[事件／活动]),"",IF(INDEX(DGArchive[事件／活动],987)="","",INDEX(DGArchive[事件／活动],987)))</f>
        <v/>
      </c>
      <c r="CI1186" t="str">
        <f>IF(987&gt;ROWS(DGArchive[记录编号]),"",IF(INDEX(DGArchive[记录编号],987)="","",INDEX(DGArchive[记录编号],987)))</f>
        <v/>
      </c>
      <c r="CL1186">
        <f t="shared" si="464"/>
        <v>0</v>
      </c>
      <c r="CM1186">
        <f>IF(AND(A1186=$AO$5,B1186=$AQ$3,H1186=1),COUNTIFS($A$200:A1186,$AO$5,$B$200:B1186,$AQ$3,$H$200:H1186,1),0)</f>
        <v>0</v>
      </c>
      <c r="CN1186">
        <f>IF(CA1186="",987,1001)</f>
        <v>987</v>
      </c>
      <c r="GA1186">
        <f t="shared" si="484"/>
        <v>0</v>
      </c>
      <c r="GB1186">
        <f t="shared" si="485"/>
        <v>0</v>
      </c>
      <c r="GC1186">
        <f>IF(AND(C1186="事件记录",H1186=1),COUNTIFS($C$200:C1186,"事件记录",$H$200:H1186,1),0)</f>
        <v>0</v>
      </c>
      <c r="GD1186">
        <f t="shared" si="465"/>
        <v>0</v>
      </c>
      <c r="GH1186">
        <f>IF(AND(H1186=1,A1186=$GA$10,B1186=$GA$11),COUNTIFS($A$200:A1186,$GA$10,$B$200:B1186,$GA$11,$H$200:H1186,1),0)</f>
        <v>0</v>
      </c>
    </row>
    <row r="1187" spans="1:190">
      <c r="A1187" t="str">
        <f t="shared" si="456"/>
        <v/>
      </c>
      <c r="B1187" t="str">
        <f t="shared" si="457"/>
        <v/>
      </c>
      <c r="C1187" t="str">
        <f t="shared" si="458"/>
        <v/>
      </c>
      <c r="D1187" t="str">
        <f t="shared" si="459"/>
        <v/>
      </c>
      <c r="E1187">
        <f t="shared" si="460"/>
        <v>0</v>
      </c>
      <c r="F1187" t="str">
        <f t="shared" si="461"/>
        <v/>
      </c>
      <c r="G1187">
        <f t="shared" si="462"/>
        <v>0</v>
      </c>
      <c r="H1187">
        <f>IF(AND(G1187=1,COUNTIFS($I$200:I1187,I1187,$G$200:G1187,1)=1),1,0)</f>
        <v>0</v>
      </c>
      <c r="I1187" t="str">
        <f t="shared" si="463"/>
        <v/>
      </c>
      <c r="BF1187">
        <f t="shared" si="466"/>
        <v>0</v>
      </c>
      <c r="BG1187">
        <f t="shared" si="467"/>
        <v>0</v>
      </c>
      <c r="BH1187">
        <f t="shared" si="468"/>
        <v>0</v>
      </c>
      <c r="BI1187">
        <f t="shared" si="469"/>
        <v>0</v>
      </c>
      <c r="BJ1187">
        <f t="shared" si="470"/>
        <v>0</v>
      </c>
      <c r="BK1187">
        <f t="shared" si="471"/>
        <v>0</v>
      </c>
      <c r="BL1187">
        <f t="shared" si="472"/>
        <v>0</v>
      </c>
      <c r="BM1187">
        <f t="shared" si="473"/>
        <v>0</v>
      </c>
      <c r="BN1187">
        <f t="shared" si="474"/>
        <v>0</v>
      </c>
      <c r="BO1187">
        <f t="shared" si="475"/>
        <v>0</v>
      </c>
      <c r="BP1187">
        <f t="shared" si="476"/>
        <v>0</v>
      </c>
      <c r="BQ1187">
        <f t="shared" si="477"/>
        <v>0</v>
      </c>
      <c r="BR1187">
        <f t="shared" si="478"/>
        <v>0</v>
      </c>
      <c r="BS1187">
        <f t="shared" si="479"/>
        <v>0</v>
      </c>
      <c r="BT1187">
        <f t="shared" si="480"/>
        <v>0</v>
      </c>
      <c r="BU1187">
        <f t="shared" si="481"/>
        <v>0</v>
      </c>
      <c r="BV1187">
        <f t="shared" si="482"/>
        <v>0</v>
      </c>
      <c r="BW1187">
        <f t="shared" si="483"/>
        <v>0</v>
      </c>
      <c r="CA1187" t="str">
        <f>IF(988&gt;ROWS(DGArchive[模组]),"",IF(INDEX(DGArchive[模组],988)="","",INDEX(DGArchive[模组],988)))</f>
        <v/>
      </c>
      <c r="CB1187" t="str">
        <f>IF(988&gt;ROWS(DGArchive[阶段]),"",IF(INDEX(DGArchive[阶段],988)="","",INDEX(DGArchive[阶段],988)))</f>
        <v/>
      </c>
      <c r="CC1187" t="str">
        <f>IF(988&gt;ROWS(DGArchive[游戏内日期]),"",IF(INDEX(DGArchive[游戏内日期],988)="","",INDEX(DGArchive[游戏内日期],988)))</f>
        <v/>
      </c>
      <c r="CD1187" t="str">
        <f>IF(988&gt;ROWS(DGArchive[目标]),"",IF(INDEX(DGArchive[目标],988)="","",INDEX(DGArchive[目标],988)))</f>
        <v/>
      </c>
      <c r="CE1187" t="str">
        <f>IF(988&gt;ROWS(DGArchive[变更前]),"",IF(INDEX(DGArchive[变更前],988)="","",INDEX(DGArchive[变更前],988)))</f>
        <v/>
      </c>
      <c r="CF1187" t="str">
        <f>IF(988&gt;ROWS(DGArchive[增减]),"",IF(INDEX(DGArchive[增减],988)="","",INDEX(DGArchive[增减],988)))</f>
        <v/>
      </c>
      <c r="CG1187" t="str">
        <f>IF(988&gt;ROWS(DGArchive[变更后]),"",IF(INDEX(DGArchive[变更后],988)="","",INDEX(DGArchive[变更后],988)))</f>
        <v/>
      </c>
      <c r="CH1187" t="str">
        <f>IF(988&gt;ROWS(DGArchive[事件／活动]),"",IF(INDEX(DGArchive[事件／活动],988)="","",INDEX(DGArchive[事件／活动],988)))</f>
        <v/>
      </c>
      <c r="CI1187" t="str">
        <f>IF(988&gt;ROWS(DGArchive[记录编号]),"",IF(INDEX(DGArchive[记录编号],988)="","",INDEX(DGArchive[记录编号],988)))</f>
        <v/>
      </c>
      <c r="CL1187">
        <f t="shared" si="464"/>
        <v>0</v>
      </c>
      <c r="CM1187">
        <f>IF(AND(A1187=$AO$5,B1187=$AQ$3,H1187=1),COUNTIFS($A$200:A1187,$AO$5,$B$200:B1187,$AQ$3,$H$200:H1187,1),0)</f>
        <v>0</v>
      </c>
      <c r="CN1187">
        <f>IF(CA1187="",988,1001)</f>
        <v>988</v>
      </c>
      <c r="GA1187">
        <f t="shared" si="484"/>
        <v>0</v>
      </c>
      <c r="GB1187">
        <f t="shared" si="485"/>
        <v>0</v>
      </c>
      <c r="GC1187">
        <f>IF(AND(C1187="事件记录",H1187=1),COUNTIFS($C$200:C1187,"事件记录",$H$200:H1187,1),0)</f>
        <v>0</v>
      </c>
      <c r="GD1187">
        <f t="shared" si="465"/>
        <v>0</v>
      </c>
      <c r="GH1187">
        <f>IF(AND(H1187=1,A1187=$GA$10,B1187=$GA$11),COUNTIFS($A$200:A1187,$GA$10,$B$200:B1187,$GA$11,$H$200:H1187,1),0)</f>
        <v>0</v>
      </c>
    </row>
    <row r="1188" spans="1:190">
      <c r="A1188" t="str">
        <f t="shared" si="456"/>
        <v/>
      </c>
      <c r="B1188" t="str">
        <f t="shared" si="457"/>
        <v/>
      </c>
      <c r="C1188" t="str">
        <f t="shared" si="458"/>
        <v/>
      </c>
      <c r="D1188" t="str">
        <f t="shared" si="459"/>
        <v/>
      </c>
      <c r="E1188">
        <f t="shared" si="460"/>
        <v>0</v>
      </c>
      <c r="F1188" t="str">
        <f t="shared" si="461"/>
        <v/>
      </c>
      <c r="G1188">
        <f t="shared" si="462"/>
        <v>0</v>
      </c>
      <c r="H1188">
        <f>IF(AND(G1188=1,COUNTIFS($I$200:I1188,I1188,$G$200:G1188,1)=1),1,0)</f>
        <v>0</v>
      </c>
      <c r="I1188" t="str">
        <f t="shared" si="463"/>
        <v/>
      </c>
      <c r="BF1188">
        <f t="shared" si="466"/>
        <v>0</v>
      </c>
      <c r="BG1188">
        <f t="shared" si="467"/>
        <v>0</v>
      </c>
      <c r="BH1188">
        <f t="shared" si="468"/>
        <v>0</v>
      </c>
      <c r="BI1188">
        <f t="shared" si="469"/>
        <v>0</v>
      </c>
      <c r="BJ1188">
        <f t="shared" si="470"/>
        <v>0</v>
      </c>
      <c r="BK1188">
        <f t="shared" si="471"/>
        <v>0</v>
      </c>
      <c r="BL1188">
        <f t="shared" si="472"/>
        <v>0</v>
      </c>
      <c r="BM1188">
        <f t="shared" si="473"/>
        <v>0</v>
      </c>
      <c r="BN1188">
        <f t="shared" si="474"/>
        <v>0</v>
      </c>
      <c r="BO1188">
        <f t="shared" si="475"/>
        <v>0</v>
      </c>
      <c r="BP1188">
        <f t="shared" si="476"/>
        <v>0</v>
      </c>
      <c r="BQ1188">
        <f t="shared" si="477"/>
        <v>0</v>
      </c>
      <c r="BR1188">
        <f t="shared" si="478"/>
        <v>0</v>
      </c>
      <c r="BS1188">
        <f t="shared" si="479"/>
        <v>0</v>
      </c>
      <c r="BT1188">
        <f t="shared" si="480"/>
        <v>0</v>
      </c>
      <c r="BU1188">
        <f t="shared" si="481"/>
        <v>0</v>
      </c>
      <c r="BV1188">
        <f t="shared" si="482"/>
        <v>0</v>
      </c>
      <c r="BW1188">
        <f t="shared" si="483"/>
        <v>0</v>
      </c>
      <c r="CA1188" t="str">
        <f>IF(989&gt;ROWS(DGArchive[模组]),"",IF(INDEX(DGArchive[模组],989)="","",INDEX(DGArchive[模组],989)))</f>
        <v/>
      </c>
      <c r="CB1188" t="str">
        <f>IF(989&gt;ROWS(DGArchive[阶段]),"",IF(INDEX(DGArchive[阶段],989)="","",INDEX(DGArchive[阶段],989)))</f>
        <v/>
      </c>
      <c r="CC1188" t="str">
        <f>IF(989&gt;ROWS(DGArchive[游戏内日期]),"",IF(INDEX(DGArchive[游戏内日期],989)="","",INDEX(DGArchive[游戏内日期],989)))</f>
        <v/>
      </c>
      <c r="CD1188" t="str">
        <f>IF(989&gt;ROWS(DGArchive[目标]),"",IF(INDEX(DGArchive[目标],989)="","",INDEX(DGArchive[目标],989)))</f>
        <v/>
      </c>
      <c r="CE1188" t="str">
        <f>IF(989&gt;ROWS(DGArchive[变更前]),"",IF(INDEX(DGArchive[变更前],989)="","",INDEX(DGArchive[变更前],989)))</f>
        <v/>
      </c>
      <c r="CF1188" t="str">
        <f>IF(989&gt;ROWS(DGArchive[增减]),"",IF(INDEX(DGArchive[增减],989)="","",INDEX(DGArchive[增减],989)))</f>
        <v/>
      </c>
      <c r="CG1188" t="str">
        <f>IF(989&gt;ROWS(DGArchive[变更后]),"",IF(INDEX(DGArchive[变更后],989)="","",INDEX(DGArchive[变更后],989)))</f>
        <v/>
      </c>
      <c r="CH1188" t="str">
        <f>IF(989&gt;ROWS(DGArchive[事件／活动]),"",IF(INDEX(DGArchive[事件／活动],989)="","",INDEX(DGArchive[事件／活动],989)))</f>
        <v/>
      </c>
      <c r="CI1188" t="str">
        <f>IF(989&gt;ROWS(DGArchive[记录编号]),"",IF(INDEX(DGArchive[记录编号],989)="","",INDEX(DGArchive[记录编号],989)))</f>
        <v/>
      </c>
      <c r="CL1188">
        <f t="shared" si="464"/>
        <v>0</v>
      </c>
      <c r="CM1188">
        <f>IF(AND(A1188=$AO$5,B1188=$AQ$3,H1188=1),COUNTIFS($A$200:A1188,$AO$5,$B$200:B1188,$AQ$3,$H$200:H1188,1),0)</f>
        <v>0</v>
      </c>
      <c r="CN1188">
        <f>IF(CA1188="",989,1001)</f>
        <v>989</v>
      </c>
      <c r="GA1188">
        <f t="shared" si="484"/>
        <v>0</v>
      </c>
      <c r="GB1188">
        <f t="shared" si="485"/>
        <v>0</v>
      </c>
      <c r="GC1188">
        <f>IF(AND(C1188="事件记录",H1188=1),COUNTIFS($C$200:C1188,"事件记录",$H$200:H1188,1),0)</f>
        <v>0</v>
      </c>
      <c r="GD1188">
        <f t="shared" si="465"/>
        <v>0</v>
      </c>
      <c r="GH1188">
        <f>IF(AND(H1188=1,A1188=$GA$10,B1188=$GA$11),COUNTIFS($A$200:A1188,$GA$10,$B$200:B1188,$GA$11,$H$200:H1188,1),0)</f>
        <v>0</v>
      </c>
    </row>
    <row r="1189" spans="1:190">
      <c r="A1189" t="str">
        <f t="shared" si="456"/>
        <v/>
      </c>
      <c r="B1189" t="str">
        <f t="shared" si="457"/>
        <v/>
      </c>
      <c r="C1189" t="str">
        <f t="shared" si="458"/>
        <v/>
      </c>
      <c r="D1189" t="str">
        <f t="shared" si="459"/>
        <v/>
      </c>
      <c r="E1189">
        <f t="shared" si="460"/>
        <v>0</v>
      </c>
      <c r="F1189" t="str">
        <f t="shared" si="461"/>
        <v/>
      </c>
      <c r="G1189">
        <f t="shared" si="462"/>
        <v>0</v>
      </c>
      <c r="H1189">
        <f>IF(AND(G1189=1,COUNTIFS($I$200:I1189,I1189,$G$200:G1189,1)=1),1,0)</f>
        <v>0</v>
      </c>
      <c r="I1189" t="str">
        <f t="shared" si="463"/>
        <v/>
      </c>
      <c r="BF1189">
        <f t="shared" si="466"/>
        <v>0</v>
      </c>
      <c r="BG1189">
        <f t="shared" si="467"/>
        <v>0</v>
      </c>
      <c r="BH1189">
        <f t="shared" si="468"/>
        <v>0</v>
      </c>
      <c r="BI1189">
        <f t="shared" si="469"/>
        <v>0</v>
      </c>
      <c r="BJ1189">
        <f t="shared" si="470"/>
        <v>0</v>
      </c>
      <c r="BK1189">
        <f t="shared" si="471"/>
        <v>0</v>
      </c>
      <c r="BL1189">
        <f t="shared" si="472"/>
        <v>0</v>
      </c>
      <c r="BM1189">
        <f t="shared" si="473"/>
        <v>0</v>
      </c>
      <c r="BN1189">
        <f t="shared" si="474"/>
        <v>0</v>
      </c>
      <c r="BO1189">
        <f t="shared" si="475"/>
        <v>0</v>
      </c>
      <c r="BP1189">
        <f t="shared" si="476"/>
        <v>0</v>
      </c>
      <c r="BQ1189">
        <f t="shared" si="477"/>
        <v>0</v>
      </c>
      <c r="BR1189">
        <f t="shared" si="478"/>
        <v>0</v>
      </c>
      <c r="BS1189">
        <f t="shared" si="479"/>
        <v>0</v>
      </c>
      <c r="BT1189">
        <f t="shared" si="480"/>
        <v>0</v>
      </c>
      <c r="BU1189">
        <f t="shared" si="481"/>
        <v>0</v>
      </c>
      <c r="BV1189">
        <f t="shared" si="482"/>
        <v>0</v>
      </c>
      <c r="BW1189">
        <f t="shared" si="483"/>
        <v>0</v>
      </c>
      <c r="CA1189" t="str">
        <f>IF(990&gt;ROWS(DGArchive[模组]),"",IF(INDEX(DGArchive[模组],990)="","",INDEX(DGArchive[模组],990)))</f>
        <v/>
      </c>
      <c r="CB1189" t="str">
        <f>IF(990&gt;ROWS(DGArchive[阶段]),"",IF(INDEX(DGArchive[阶段],990)="","",INDEX(DGArchive[阶段],990)))</f>
        <v/>
      </c>
      <c r="CC1189" t="str">
        <f>IF(990&gt;ROWS(DGArchive[游戏内日期]),"",IF(INDEX(DGArchive[游戏内日期],990)="","",INDEX(DGArchive[游戏内日期],990)))</f>
        <v/>
      </c>
      <c r="CD1189" t="str">
        <f>IF(990&gt;ROWS(DGArchive[目标]),"",IF(INDEX(DGArchive[目标],990)="","",INDEX(DGArchive[目标],990)))</f>
        <v/>
      </c>
      <c r="CE1189" t="str">
        <f>IF(990&gt;ROWS(DGArchive[变更前]),"",IF(INDEX(DGArchive[变更前],990)="","",INDEX(DGArchive[变更前],990)))</f>
        <v/>
      </c>
      <c r="CF1189" t="str">
        <f>IF(990&gt;ROWS(DGArchive[增减]),"",IF(INDEX(DGArchive[增减],990)="","",INDEX(DGArchive[增减],990)))</f>
        <v/>
      </c>
      <c r="CG1189" t="str">
        <f>IF(990&gt;ROWS(DGArchive[变更后]),"",IF(INDEX(DGArchive[变更后],990)="","",INDEX(DGArchive[变更后],990)))</f>
        <v/>
      </c>
      <c r="CH1189" t="str">
        <f>IF(990&gt;ROWS(DGArchive[事件／活动]),"",IF(INDEX(DGArchive[事件／活动],990)="","",INDEX(DGArchive[事件／活动],990)))</f>
        <v/>
      </c>
      <c r="CI1189" t="str">
        <f>IF(990&gt;ROWS(DGArchive[记录编号]),"",IF(INDEX(DGArchive[记录编号],990)="","",INDEX(DGArchive[记录编号],990)))</f>
        <v/>
      </c>
      <c r="CL1189">
        <f t="shared" si="464"/>
        <v>0</v>
      </c>
      <c r="CM1189">
        <f>IF(AND(A1189=$AO$5,B1189=$AQ$3,H1189=1),COUNTIFS($A$200:A1189,$AO$5,$B$200:B1189,$AQ$3,$H$200:H1189,1),0)</f>
        <v>0</v>
      </c>
      <c r="CN1189">
        <f>IF(CA1189="",990,1001)</f>
        <v>990</v>
      </c>
      <c r="GA1189">
        <f t="shared" si="484"/>
        <v>0</v>
      </c>
      <c r="GB1189">
        <f t="shared" si="485"/>
        <v>0</v>
      </c>
      <c r="GC1189">
        <f>IF(AND(C1189="事件记录",H1189=1),COUNTIFS($C$200:C1189,"事件记录",$H$200:H1189,1),0)</f>
        <v>0</v>
      </c>
      <c r="GD1189">
        <f t="shared" si="465"/>
        <v>0</v>
      </c>
      <c r="GH1189">
        <f>IF(AND(H1189=1,A1189=$GA$10,B1189=$GA$11),COUNTIFS($A$200:A1189,$GA$10,$B$200:B1189,$GA$11,$H$200:H1189,1),0)</f>
        <v>0</v>
      </c>
    </row>
    <row r="1190" spans="1:190">
      <c r="A1190" t="str">
        <f t="shared" si="456"/>
        <v/>
      </c>
      <c r="B1190" t="str">
        <f t="shared" si="457"/>
        <v/>
      </c>
      <c r="C1190" t="str">
        <f t="shared" si="458"/>
        <v/>
      </c>
      <c r="D1190" t="str">
        <f t="shared" si="459"/>
        <v/>
      </c>
      <c r="E1190">
        <f t="shared" si="460"/>
        <v>0</v>
      </c>
      <c r="F1190" t="str">
        <f t="shared" si="461"/>
        <v/>
      </c>
      <c r="G1190">
        <f t="shared" si="462"/>
        <v>0</v>
      </c>
      <c r="H1190">
        <f>IF(AND(G1190=1,COUNTIFS($I$200:I1190,I1190,$G$200:G1190,1)=1),1,0)</f>
        <v>0</v>
      </c>
      <c r="I1190" t="str">
        <f t="shared" si="463"/>
        <v/>
      </c>
      <c r="BF1190">
        <f t="shared" si="466"/>
        <v>0</v>
      </c>
      <c r="BG1190">
        <f t="shared" si="467"/>
        <v>0</v>
      </c>
      <c r="BH1190">
        <f t="shared" si="468"/>
        <v>0</v>
      </c>
      <c r="BI1190">
        <f t="shared" si="469"/>
        <v>0</v>
      </c>
      <c r="BJ1190">
        <f t="shared" si="470"/>
        <v>0</v>
      </c>
      <c r="BK1190">
        <f t="shared" si="471"/>
        <v>0</v>
      </c>
      <c r="BL1190">
        <f t="shared" si="472"/>
        <v>0</v>
      </c>
      <c r="BM1190">
        <f t="shared" si="473"/>
        <v>0</v>
      </c>
      <c r="BN1190">
        <f t="shared" si="474"/>
        <v>0</v>
      </c>
      <c r="BO1190">
        <f t="shared" si="475"/>
        <v>0</v>
      </c>
      <c r="BP1190">
        <f t="shared" si="476"/>
        <v>0</v>
      </c>
      <c r="BQ1190">
        <f t="shared" si="477"/>
        <v>0</v>
      </c>
      <c r="BR1190">
        <f t="shared" si="478"/>
        <v>0</v>
      </c>
      <c r="BS1190">
        <f t="shared" si="479"/>
        <v>0</v>
      </c>
      <c r="BT1190">
        <f t="shared" si="480"/>
        <v>0</v>
      </c>
      <c r="BU1190">
        <f t="shared" si="481"/>
        <v>0</v>
      </c>
      <c r="BV1190">
        <f t="shared" si="482"/>
        <v>0</v>
      </c>
      <c r="BW1190">
        <f t="shared" si="483"/>
        <v>0</v>
      </c>
      <c r="CA1190" t="str">
        <f>IF(991&gt;ROWS(DGArchive[模组]),"",IF(INDEX(DGArchive[模组],991)="","",INDEX(DGArchive[模组],991)))</f>
        <v/>
      </c>
      <c r="CB1190" t="str">
        <f>IF(991&gt;ROWS(DGArchive[阶段]),"",IF(INDEX(DGArchive[阶段],991)="","",INDEX(DGArchive[阶段],991)))</f>
        <v/>
      </c>
      <c r="CC1190" t="str">
        <f>IF(991&gt;ROWS(DGArchive[游戏内日期]),"",IF(INDEX(DGArchive[游戏内日期],991)="","",INDEX(DGArchive[游戏内日期],991)))</f>
        <v/>
      </c>
      <c r="CD1190" t="str">
        <f>IF(991&gt;ROWS(DGArchive[目标]),"",IF(INDEX(DGArchive[目标],991)="","",INDEX(DGArchive[目标],991)))</f>
        <v/>
      </c>
      <c r="CE1190" t="str">
        <f>IF(991&gt;ROWS(DGArchive[变更前]),"",IF(INDEX(DGArchive[变更前],991)="","",INDEX(DGArchive[变更前],991)))</f>
        <v/>
      </c>
      <c r="CF1190" t="str">
        <f>IF(991&gt;ROWS(DGArchive[增减]),"",IF(INDEX(DGArchive[增减],991)="","",INDEX(DGArchive[增减],991)))</f>
        <v/>
      </c>
      <c r="CG1190" t="str">
        <f>IF(991&gt;ROWS(DGArchive[变更后]),"",IF(INDEX(DGArchive[变更后],991)="","",INDEX(DGArchive[变更后],991)))</f>
        <v/>
      </c>
      <c r="CH1190" t="str">
        <f>IF(991&gt;ROWS(DGArchive[事件／活动]),"",IF(INDEX(DGArchive[事件／活动],991)="","",INDEX(DGArchive[事件／活动],991)))</f>
        <v/>
      </c>
      <c r="CI1190" t="str">
        <f>IF(991&gt;ROWS(DGArchive[记录编号]),"",IF(INDEX(DGArchive[记录编号],991)="","",INDEX(DGArchive[记录编号],991)))</f>
        <v/>
      </c>
      <c r="CL1190">
        <f t="shared" si="464"/>
        <v>0</v>
      </c>
      <c r="CM1190">
        <f>IF(AND(A1190=$AO$5,B1190=$AQ$3,H1190=1),COUNTIFS($A$200:A1190,$AO$5,$B$200:B1190,$AQ$3,$H$200:H1190,1),0)</f>
        <v>0</v>
      </c>
      <c r="CN1190">
        <f>IF(CA1190="",991,1001)</f>
        <v>991</v>
      </c>
      <c r="GA1190">
        <f t="shared" si="484"/>
        <v>0</v>
      </c>
      <c r="GB1190">
        <f t="shared" si="485"/>
        <v>0</v>
      </c>
      <c r="GC1190">
        <f>IF(AND(C1190="事件记录",H1190=1),COUNTIFS($C$200:C1190,"事件记录",$H$200:H1190,1),0)</f>
        <v>0</v>
      </c>
      <c r="GD1190">
        <f t="shared" si="465"/>
        <v>0</v>
      </c>
      <c r="GH1190">
        <f>IF(AND(H1190=1,A1190=$GA$10,B1190=$GA$11),COUNTIFS($A$200:A1190,$GA$10,$B$200:B1190,$GA$11,$H$200:H1190,1),0)</f>
        <v>0</v>
      </c>
    </row>
    <row r="1191" spans="1:190">
      <c r="A1191" t="str">
        <f t="shared" si="456"/>
        <v/>
      </c>
      <c r="B1191" t="str">
        <f t="shared" si="457"/>
        <v/>
      </c>
      <c r="C1191" t="str">
        <f t="shared" si="458"/>
        <v/>
      </c>
      <c r="D1191" t="str">
        <f t="shared" si="459"/>
        <v/>
      </c>
      <c r="E1191">
        <f t="shared" si="460"/>
        <v>0</v>
      </c>
      <c r="F1191" t="str">
        <f t="shared" si="461"/>
        <v/>
      </c>
      <c r="G1191">
        <f t="shared" si="462"/>
        <v>0</v>
      </c>
      <c r="H1191">
        <f>IF(AND(G1191=1,COUNTIFS($I$200:I1191,I1191,$G$200:G1191,1)=1),1,0)</f>
        <v>0</v>
      </c>
      <c r="I1191" t="str">
        <f t="shared" si="463"/>
        <v/>
      </c>
      <c r="BF1191">
        <f t="shared" si="466"/>
        <v>0</v>
      </c>
      <c r="BG1191">
        <f t="shared" si="467"/>
        <v>0</v>
      </c>
      <c r="BH1191">
        <f t="shared" si="468"/>
        <v>0</v>
      </c>
      <c r="BI1191">
        <f t="shared" si="469"/>
        <v>0</v>
      </c>
      <c r="BJ1191">
        <f t="shared" si="470"/>
        <v>0</v>
      </c>
      <c r="BK1191">
        <f t="shared" si="471"/>
        <v>0</v>
      </c>
      <c r="BL1191">
        <f t="shared" si="472"/>
        <v>0</v>
      </c>
      <c r="BM1191">
        <f t="shared" si="473"/>
        <v>0</v>
      </c>
      <c r="BN1191">
        <f t="shared" si="474"/>
        <v>0</v>
      </c>
      <c r="BO1191">
        <f t="shared" si="475"/>
        <v>0</v>
      </c>
      <c r="BP1191">
        <f t="shared" si="476"/>
        <v>0</v>
      </c>
      <c r="BQ1191">
        <f t="shared" si="477"/>
        <v>0</v>
      </c>
      <c r="BR1191">
        <f t="shared" si="478"/>
        <v>0</v>
      </c>
      <c r="BS1191">
        <f t="shared" si="479"/>
        <v>0</v>
      </c>
      <c r="BT1191">
        <f t="shared" si="480"/>
        <v>0</v>
      </c>
      <c r="BU1191">
        <f t="shared" si="481"/>
        <v>0</v>
      </c>
      <c r="BV1191">
        <f t="shared" si="482"/>
        <v>0</v>
      </c>
      <c r="BW1191">
        <f t="shared" si="483"/>
        <v>0</v>
      </c>
      <c r="CA1191" t="str">
        <f>IF(992&gt;ROWS(DGArchive[模组]),"",IF(INDEX(DGArchive[模组],992)="","",INDEX(DGArchive[模组],992)))</f>
        <v/>
      </c>
      <c r="CB1191" t="str">
        <f>IF(992&gt;ROWS(DGArchive[阶段]),"",IF(INDEX(DGArchive[阶段],992)="","",INDEX(DGArchive[阶段],992)))</f>
        <v/>
      </c>
      <c r="CC1191" t="str">
        <f>IF(992&gt;ROWS(DGArchive[游戏内日期]),"",IF(INDEX(DGArchive[游戏内日期],992)="","",INDEX(DGArchive[游戏内日期],992)))</f>
        <v/>
      </c>
      <c r="CD1191" t="str">
        <f>IF(992&gt;ROWS(DGArchive[目标]),"",IF(INDEX(DGArchive[目标],992)="","",INDEX(DGArchive[目标],992)))</f>
        <v/>
      </c>
      <c r="CE1191" t="str">
        <f>IF(992&gt;ROWS(DGArchive[变更前]),"",IF(INDEX(DGArchive[变更前],992)="","",INDEX(DGArchive[变更前],992)))</f>
        <v/>
      </c>
      <c r="CF1191" t="str">
        <f>IF(992&gt;ROWS(DGArchive[增减]),"",IF(INDEX(DGArchive[增减],992)="","",INDEX(DGArchive[增减],992)))</f>
        <v/>
      </c>
      <c r="CG1191" t="str">
        <f>IF(992&gt;ROWS(DGArchive[变更后]),"",IF(INDEX(DGArchive[变更后],992)="","",INDEX(DGArchive[变更后],992)))</f>
        <v/>
      </c>
      <c r="CH1191" t="str">
        <f>IF(992&gt;ROWS(DGArchive[事件／活动]),"",IF(INDEX(DGArchive[事件／活动],992)="","",INDEX(DGArchive[事件／活动],992)))</f>
        <v/>
      </c>
      <c r="CI1191" t="str">
        <f>IF(992&gt;ROWS(DGArchive[记录编号]),"",IF(INDEX(DGArchive[记录编号],992)="","",INDEX(DGArchive[记录编号],992)))</f>
        <v/>
      </c>
      <c r="CL1191">
        <f t="shared" si="464"/>
        <v>0</v>
      </c>
      <c r="CM1191">
        <f>IF(AND(A1191=$AO$5,B1191=$AQ$3,H1191=1),COUNTIFS($A$200:A1191,$AO$5,$B$200:B1191,$AQ$3,$H$200:H1191,1),0)</f>
        <v>0</v>
      </c>
      <c r="CN1191">
        <f>IF(CA1191="",992,1001)</f>
        <v>992</v>
      </c>
      <c r="GA1191">
        <f t="shared" si="484"/>
        <v>0</v>
      </c>
      <c r="GB1191">
        <f t="shared" si="485"/>
        <v>0</v>
      </c>
      <c r="GC1191">
        <f>IF(AND(C1191="事件记录",H1191=1),COUNTIFS($C$200:C1191,"事件记录",$H$200:H1191,1),0)</f>
        <v>0</v>
      </c>
      <c r="GD1191">
        <f t="shared" si="465"/>
        <v>0</v>
      </c>
      <c r="GH1191">
        <f>IF(AND(H1191=1,A1191=$GA$10,B1191=$GA$11),COUNTIFS($A$200:A1191,$GA$10,$B$200:B1191,$GA$11,$H$200:H1191,1),0)</f>
        <v>0</v>
      </c>
    </row>
    <row r="1192" spans="1:190">
      <c r="A1192" t="str">
        <f t="shared" si="456"/>
        <v/>
      </c>
      <c r="B1192" t="str">
        <f t="shared" si="457"/>
        <v/>
      </c>
      <c r="C1192" t="str">
        <f t="shared" si="458"/>
        <v/>
      </c>
      <c r="D1192" t="str">
        <f t="shared" si="459"/>
        <v/>
      </c>
      <c r="E1192">
        <f t="shared" si="460"/>
        <v>0</v>
      </c>
      <c r="F1192" t="str">
        <f t="shared" si="461"/>
        <v/>
      </c>
      <c r="G1192">
        <f t="shared" si="462"/>
        <v>0</v>
      </c>
      <c r="H1192">
        <f>IF(AND(G1192=1,COUNTIFS($I$200:I1192,I1192,$G$200:G1192,1)=1),1,0)</f>
        <v>0</v>
      </c>
      <c r="I1192" t="str">
        <f t="shared" si="463"/>
        <v/>
      </c>
      <c r="BF1192">
        <f t="shared" si="466"/>
        <v>0</v>
      </c>
      <c r="BG1192">
        <f t="shared" si="467"/>
        <v>0</v>
      </c>
      <c r="BH1192">
        <f t="shared" si="468"/>
        <v>0</v>
      </c>
      <c r="BI1192">
        <f t="shared" si="469"/>
        <v>0</v>
      </c>
      <c r="BJ1192">
        <f t="shared" si="470"/>
        <v>0</v>
      </c>
      <c r="BK1192">
        <f t="shared" si="471"/>
        <v>0</v>
      </c>
      <c r="BL1192">
        <f t="shared" si="472"/>
        <v>0</v>
      </c>
      <c r="BM1192">
        <f t="shared" si="473"/>
        <v>0</v>
      </c>
      <c r="BN1192">
        <f t="shared" si="474"/>
        <v>0</v>
      </c>
      <c r="BO1192">
        <f t="shared" si="475"/>
        <v>0</v>
      </c>
      <c r="BP1192">
        <f t="shared" si="476"/>
        <v>0</v>
      </c>
      <c r="BQ1192">
        <f t="shared" si="477"/>
        <v>0</v>
      </c>
      <c r="BR1192">
        <f t="shared" si="478"/>
        <v>0</v>
      </c>
      <c r="BS1192">
        <f t="shared" si="479"/>
        <v>0</v>
      </c>
      <c r="BT1192">
        <f t="shared" si="480"/>
        <v>0</v>
      </c>
      <c r="BU1192">
        <f t="shared" si="481"/>
        <v>0</v>
      </c>
      <c r="BV1192">
        <f t="shared" si="482"/>
        <v>0</v>
      </c>
      <c r="BW1192">
        <f t="shared" si="483"/>
        <v>0</v>
      </c>
      <c r="CA1192" t="str">
        <f>IF(993&gt;ROWS(DGArchive[模组]),"",IF(INDEX(DGArchive[模组],993)="","",INDEX(DGArchive[模组],993)))</f>
        <v/>
      </c>
      <c r="CB1192" t="str">
        <f>IF(993&gt;ROWS(DGArchive[阶段]),"",IF(INDEX(DGArchive[阶段],993)="","",INDEX(DGArchive[阶段],993)))</f>
        <v/>
      </c>
      <c r="CC1192" t="str">
        <f>IF(993&gt;ROWS(DGArchive[游戏内日期]),"",IF(INDEX(DGArchive[游戏内日期],993)="","",INDEX(DGArchive[游戏内日期],993)))</f>
        <v/>
      </c>
      <c r="CD1192" t="str">
        <f>IF(993&gt;ROWS(DGArchive[目标]),"",IF(INDEX(DGArchive[目标],993)="","",INDEX(DGArchive[目标],993)))</f>
        <v/>
      </c>
      <c r="CE1192" t="str">
        <f>IF(993&gt;ROWS(DGArchive[变更前]),"",IF(INDEX(DGArchive[变更前],993)="","",INDEX(DGArchive[变更前],993)))</f>
        <v/>
      </c>
      <c r="CF1192" t="str">
        <f>IF(993&gt;ROWS(DGArchive[增减]),"",IF(INDEX(DGArchive[增减],993)="","",INDEX(DGArchive[增减],993)))</f>
        <v/>
      </c>
      <c r="CG1192" t="str">
        <f>IF(993&gt;ROWS(DGArchive[变更后]),"",IF(INDEX(DGArchive[变更后],993)="","",INDEX(DGArchive[变更后],993)))</f>
        <v/>
      </c>
      <c r="CH1192" t="str">
        <f>IF(993&gt;ROWS(DGArchive[事件／活动]),"",IF(INDEX(DGArchive[事件／活动],993)="","",INDEX(DGArchive[事件／活动],993)))</f>
        <v/>
      </c>
      <c r="CI1192" t="str">
        <f>IF(993&gt;ROWS(DGArchive[记录编号]),"",IF(INDEX(DGArchive[记录编号],993)="","",INDEX(DGArchive[记录编号],993)))</f>
        <v/>
      </c>
      <c r="CL1192">
        <f t="shared" si="464"/>
        <v>0</v>
      </c>
      <c r="CM1192">
        <f>IF(AND(A1192=$AO$5,B1192=$AQ$3,H1192=1),COUNTIFS($A$200:A1192,$AO$5,$B$200:B1192,$AQ$3,$H$200:H1192,1),0)</f>
        <v>0</v>
      </c>
      <c r="CN1192">
        <f>IF(CA1192="",993,1001)</f>
        <v>993</v>
      </c>
      <c r="GA1192">
        <f t="shared" si="484"/>
        <v>0</v>
      </c>
      <c r="GB1192">
        <f t="shared" si="485"/>
        <v>0</v>
      </c>
      <c r="GC1192">
        <f>IF(AND(C1192="事件记录",H1192=1),COUNTIFS($C$200:C1192,"事件记录",$H$200:H1192,1),0)</f>
        <v>0</v>
      </c>
      <c r="GD1192">
        <f t="shared" si="465"/>
        <v>0</v>
      </c>
      <c r="GH1192">
        <f>IF(AND(H1192=1,A1192=$GA$10,B1192=$GA$11),COUNTIFS($A$200:A1192,$GA$10,$B$200:B1192,$GA$11,$H$200:H1192,1),0)</f>
        <v>0</v>
      </c>
    </row>
    <row r="1193" spans="1:190">
      <c r="A1193" t="str">
        <f t="shared" si="456"/>
        <v/>
      </c>
      <c r="B1193" t="str">
        <f t="shared" si="457"/>
        <v/>
      </c>
      <c r="C1193" t="str">
        <f t="shared" si="458"/>
        <v/>
      </c>
      <c r="D1193" t="str">
        <f t="shared" si="459"/>
        <v/>
      </c>
      <c r="E1193">
        <f t="shared" si="460"/>
        <v>0</v>
      </c>
      <c r="F1193" t="str">
        <f t="shared" si="461"/>
        <v/>
      </c>
      <c r="G1193">
        <f t="shared" si="462"/>
        <v>0</v>
      </c>
      <c r="H1193">
        <f>IF(AND(G1193=1,COUNTIFS($I$200:I1193,I1193,$G$200:G1193,1)=1),1,0)</f>
        <v>0</v>
      </c>
      <c r="I1193" t="str">
        <f t="shared" si="463"/>
        <v/>
      </c>
      <c r="BF1193">
        <f t="shared" si="466"/>
        <v>0</v>
      </c>
      <c r="BG1193">
        <f t="shared" si="467"/>
        <v>0</v>
      </c>
      <c r="BH1193">
        <f t="shared" si="468"/>
        <v>0</v>
      </c>
      <c r="BI1193">
        <f t="shared" si="469"/>
        <v>0</v>
      </c>
      <c r="BJ1193">
        <f t="shared" si="470"/>
        <v>0</v>
      </c>
      <c r="BK1193">
        <f t="shared" si="471"/>
        <v>0</v>
      </c>
      <c r="BL1193">
        <f t="shared" si="472"/>
        <v>0</v>
      </c>
      <c r="BM1193">
        <f t="shared" si="473"/>
        <v>0</v>
      </c>
      <c r="BN1193">
        <f t="shared" si="474"/>
        <v>0</v>
      </c>
      <c r="BO1193">
        <f t="shared" si="475"/>
        <v>0</v>
      </c>
      <c r="BP1193">
        <f t="shared" si="476"/>
        <v>0</v>
      </c>
      <c r="BQ1193">
        <f t="shared" si="477"/>
        <v>0</v>
      </c>
      <c r="BR1193">
        <f t="shared" si="478"/>
        <v>0</v>
      </c>
      <c r="BS1193">
        <f t="shared" si="479"/>
        <v>0</v>
      </c>
      <c r="BT1193">
        <f t="shared" si="480"/>
        <v>0</v>
      </c>
      <c r="BU1193">
        <f t="shared" si="481"/>
        <v>0</v>
      </c>
      <c r="BV1193">
        <f t="shared" si="482"/>
        <v>0</v>
      </c>
      <c r="BW1193">
        <f t="shared" si="483"/>
        <v>0</v>
      </c>
      <c r="CA1193" t="str">
        <f>IF(994&gt;ROWS(DGArchive[模组]),"",IF(INDEX(DGArchive[模组],994)="","",INDEX(DGArchive[模组],994)))</f>
        <v/>
      </c>
      <c r="CB1193" t="str">
        <f>IF(994&gt;ROWS(DGArchive[阶段]),"",IF(INDEX(DGArchive[阶段],994)="","",INDEX(DGArchive[阶段],994)))</f>
        <v/>
      </c>
      <c r="CC1193" t="str">
        <f>IF(994&gt;ROWS(DGArchive[游戏内日期]),"",IF(INDEX(DGArchive[游戏内日期],994)="","",INDEX(DGArchive[游戏内日期],994)))</f>
        <v/>
      </c>
      <c r="CD1193" t="str">
        <f>IF(994&gt;ROWS(DGArchive[目标]),"",IF(INDEX(DGArchive[目标],994)="","",INDEX(DGArchive[目标],994)))</f>
        <v/>
      </c>
      <c r="CE1193" t="str">
        <f>IF(994&gt;ROWS(DGArchive[变更前]),"",IF(INDEX(DGArchive[变更前],994)="","",INDEX(DGArchive[变更前],994)))</f>
        <v/>
      </c>
      <c r="CF1193" t="str">
        <f>IF(994&gt;ROWS(DGArchive[增减]),"",IF(INDEX(DGArchive[增减],994)="","",INDEX(DGArchive[增减],994)))</f>
        <v/>
      </c>
      <c r="CG1193" t="str">
        <f>IF(994&gt;ROWS(DGArchive[变更后]),"",IF(INDEX(DGArchive[变更后],994)="","",INDEX(DGArchive[变更后],994)))</f>
        <v/>
      </c>
      <c r="CH1193" t="str">
        <f>IF(994&gt;ROWS(DGArchive[事件／活动]),"",IF(INDEX(DGArchive[事件／活动],994)="","",INDEX(DGArchive[事件／活动],994)))</f>
        <v/>
      </c>
      <c r="CI1193" t="str">
        <f>IF(994&gt;ROWS(DGArchive[记录编号]),"",IF(INDEX(DGArchive[记录编号],994)="","",INDEX(DGArchive[记录编号],994)))</f>
        <v/>
      </c>
      <c r="CL1193">
        <f t="shared" si="464"/>
        <v>0</v>
      </c>
      <c r="CM1193">
        <f>IF(AND(A1193=$AO$5,B1193=$AQ$3,H1193=1),COUNTIFS($A$200:A1193,$AO$5,$B$200:B1193,$AQ$3,$H$200:H1193,1),0)</f>
        <v>0</v>
      </c>
      <c r="CN1193">
        <f>IF(CA1193="",994,1001)</f>
        <v>994</v>
      </c>
      <c r="GA1193">
        <f t="shared" si="484"/>
        <v>0</v>
      </c>
      <c r="GB1193">
        <f t="shared" si="485"/>
        <v>0</v>
      </c>
      <c r="GC1193">
        <f>IF(AND(C1193="事件记录",H1193=1),COUNTIFS($C$200:C1193,"事件记录",$H$200:H1193,1),0)</f>
        <v>0</v>
      </c>
      <c r="GD1193">
        <f t="shared" si="465"/>
        <v>0</v>
      </c>
      <c r="GH1193">
        <f>IF(AND(H1193=1,A1193=$GA$10,B1193=$GA$11),COUNTIFS($A$200:A1193,$GA$10,$B$200:B1193,$GA$11,$H$200:H1193,1),0)</f>
        <v>0</v>
      </c>
    </row>
    <row r="1194" spans="1:190">
      <c r="A1194" t="str">
        <f t="shared" si="456"/>
        <v/>
      </c>
      <c r="B1194" t="str">
        <f t="shared" si="457"/>
        <v/>
      </c>
      <c r="C1194" t="str">
        <f t="shared" si="458"/>
        <v/>
      </c>
      <c r="D1194" t="str">
        <f t="shared" si="459"/>
        <v/>
      </c>
      <c r="E1194">
        <f t="shared" si="460"/>
        <v>0</v>
      </c>
      <c r="F1194" t="str">
        <f t="shared" si="461"/>
        <v/>
      </c>
      <c r="G1194">
        <f t="shared" si="462"/>
        <v>0</v>
      </c>
      <c r="H1194">
        <f>IF(AND(G1194=1,COUNTIFS($I$200:I1194,I1194,$G$200:G1194,1)=1),1,0)</f>
        <v>0</v>
      </c>
      <c r="I1194" t="str">
        <f t="shared" si="463"/>
        <v/>
      </c>
      <c r="BF1194">
        <f t="shared" si="466"/>
        <v>0</v>
      </c>
      <c r="BG1194">
        <f t="shared" si="467"/>
        <v>0</v>
      </c>
      <c r="BH1194">
        <f t="shared" si="468"/>
        <v>0</v>
      </c>
      <c r="BI1194">
        <f t="shared" si="469"/>
        <v>0</v>
      </c>
      <c r="BJ1194">
        <f t="shared" si="470"/>
        <v>0</v>
      </c>
      <c r="BK1194">
        <f t="shared" si="471"/>
        <v>0</v>
      </c>
      <c r="BL1194">
        <f t="shared" si="472"/>
        <v>0</v>
      </c>
      <c r="BM1194">
        <f t="shared" si="473"/>
        <v>0</v>
      </c>
      <c r="BN1194">
        <f t="shared" si="474"/>
        <v>0</v>
      </c>
      <c r="BO1194">
        <f t="shared" si="475"/>
        <v>0</v>
      </c>
      <c r="BP1194">
        <f t="shared" si="476"/>
        <v>0</v>
      </c>
      <c r="BQ1194">
        <f t="shared" si="477"/>
        <v>0</v>
      </c>
      <c r="BR1194">
        <f t="shared" si="478"/>
        <v>0</v>
      </c>
      <c r="BS1194">
        <f t="shared" si="479"/>
        <v>0</v>
      </c>
      <c r="BT1194">
        <f t="shared" si="480"/>
        <v>0</v>
      </c>
      <c r="BU1194">
        <f t="shared" si="481"/>
        <v>0</v>
      </c>
      <c r="BV1194">
        <f t="shared" si="482"/>
        <v>0</v>
      </c>
      <c r="BW1194">
        <f t="shared" si="483"/>
        <v>0</v>
      </c>
      <c r="CA1194" t="str">
        <f>IF(995&gt;ROWS(DGArchive[模组]),"",IF(INDEX(DGArchive[模组],995)="","",INDEX(DGArchive[模组],995)))</f>
        <v/>
      </c>
      <c r="CB1194" t="str">
        <f>IF(995&gt;ROWS(DGArchive[阶段]),"",IF(INDEX(DGArchive[阶段],995)="","",INDEX(DGArchive[阶段],995)))</f>
        <v/>
      </c>
      <c r="CC1194" t="str">
        <f>IF(995&gt;ROWS(DGArchive[游戏内日期]),"",IF(INDEX(DGArchive[游戏内日期],995)="","",INDEX(DGArchive[游戏内日期],995)))</f>
        <v/>
      </c>
      <c r="CD1194" t="str">
        <f>IF(995&gt;ROWS(DGArchive[目标]),"",IF(INDEX(DGArchive[目标],995)="","",INDEX(DGArchive[目标],995)))</f>
        <v/>
      </c>
      <c r="CE1194" t="str">
        <f>IF(995&gt;ROWS(DGArchive[变更前]),"",IF(INDEX(DGArchive[变更前],995)="","",INDEX(DGArchive[变更前],995)))</f>
        <v/>
      </c>
      <c r="CF1194" t="str">
        <f>IF(995&gt;ROWS(DGArchive[增减]),"",IF(INDEX(DGArchive[增减],995)="","",INDEX(DGArchive[增减],995)))</f>
        <v/>
      </c>
      <c r="CG1194" t="str">
        <f>IF(995&gt;ROWS(DGArchive[变更后]),"",IF(INDEX(DGArchive[变更后],995)="","",INDEX(DGArchive[变更后],995)))</f>
        <v/>
      </c>
      <c r="CH1194" t="str">
        <f>IF(995&gt;ROWS(DGArchive[事件／活动]),"",IF(INDEX(DGArchive[事件／活动],995)="","",INDEX(DGArchive[事件／活动],995)))</f>
        <v/>
      </c>
      <c r="CI1194" t="str">
        <f>IF(995&gt;ROWS(DGArchive[记录编号]),"",IF(INDEX(DGArchive[记录编号],995)="","",INDEX(DGArchive[记录编号],995)))</f>
        <v/>
      </c>
      <c r="CL1194">
        <f t="shared" si="464"/>
        <v>0</v>
      </c>
      <c r="CM1194">
        <f>IF(AND(A1194=$AO$5,B1194=$AQ$3,H1194=1),COUNTIFS($A$200:A1194,$AO$5,$B$200:B1194,$AQ$3,$H$200:H1194,1),0)</f>
        <v>0</v>
      </c>
      <c r="CN1194">
        <f>IF(CA1194="",995,1001)</f>
        <v>995</v>
      </c>
      <c r="GA1194">
        <f t="shared" si="484"/>
        <v>0</v>
      </c>
      <c r="GB1194">
        <f t="shared" si="485"/>
        <v>0</v>
      </c>
      <c r="GC1194">
        <f>IF(AND(C1194="事件记录",H1194=1),COUNTIFS($C$200:C1194,"事件记录",$H$200:H1194,1),0)</f>
        <v>0</v>
      </c>
      <c r="GD1194">
        <f t="shared" si="465"/>
        <v>0</v>
      </c>
      <c r="GH1194">
        <f>IF(AND(H1194=1,A1194=$GA$10,B1194=$GA$11),COUNTIFS($A$200:A1194,$GA$10,$B$200:B1194,$GA$11,$H$200:H1194,1),0)</f>
        <v>0</v>
      </c>
    </row>
    <row r="1195" spans="1:190">
      <c r="A1195" t="str">
        <f t="shared" si="456"/>
        <v/>
      </c>
      <c r="B1195" t="str">
        <f t="shared" si="457"/>
        <v/>
      </c>
      <c r="C1195" t="str">
        <f t="shared" si="458"/>
        <v/>
      </c>
      <c r="D1195" t="str">
        <f t="shared" si="459"/>
        <v/>
      </c>
      <c r="E1195">
        <f t="shared" si="460"/>
        <v>0</v>
      </c>
      <c r="F1195" t="str">
        <f t="shared" si="461"/>
        <v/>
      </c>
      <c r="G1195">
        <f t="shared" si="462"/>
        <v>0</v>
      </c>
      <c r="H1195">
        <f>IF(AND(G1195=1,COUNTIFS($I$200:I1195,I1195,$G$200:G1195,1)=1),1,0)</f>
        <v>0</v>
      </c>
      <c r="I1195" t="str">
        <f t="shared" si="463"/>
        <v/>
      </c>
      <c r="BF1195">
        <f t="shared" si="466"/>
        <v>0</v>
      </c>
      <c r="BG1195">
        <f t="shared" si="467"/>
        <v>0</v>
      </c>
      <c r="BH1195">
        <f t="shared" si="468"/>
        <v>0</v>
      </c>
      <c r="BI1195">
        <f t="shared" si="469"/>
        <v>0</v>
      </c>
      <c r="BJ1195">
        <f t="shared" si="470"/>
        <v>0</v>
      </c>
      <c r="BK1195">
        <f t="shared" si="471"/>
        <v>0</v>
      </c>
      <c r="BL1195">
        <f t="shared" si="472"/>
        <v>0</v>
      </c>
      <c r="BM1195">
        <f t="shared" si="473"/>
        <v>0</v>
      </c>
      <c r="BN1195">
        <f t="shared" si="474"/>
        <v>0</v>
      </c>
      <c r="BO1195">
        <f t="shared" si="475"/>
        <v>0</v>
      </c>
      <c r="BP1195">
        <f t="shared" si="476"/>
        <v>0</v>
      </c>
      <c r="BQ1195">
        <f t="shared" si="477"/>
        <v>0</v>
      </c>
      <c r="BR1195">
        <f t="shared" si="478"/>
        <v>0</v>
      </c>
      <c r="BS1195">
        <f t="shared" si="479"/>
        <v>0</v>
      </c>
      <c r="BT1195">
        <f t="shared" si="480"/>
        <v>0</v>
      </c>
      <c r="BU1195">
        <f t="shared" si="481"/>
        <v>0</v>
      </c>
      <c r="BV1195">
        <f t="shared" si="482"/>
        <v>0</v>
      </c>
      <c r="BW1195">
        <f t="shared" si="483"/>
        <v>0</v>
      </c>
      <c r="CA1195" t="str">
        <f>IF(996&gt;ROWS(DGArchive[模组]),"",IF(INDEX(DGArchive[模组],996)="","",INDEX(DGArchive[模组],996)))</f>
        <v/>
      </c>
      <c r="CB1195" t="str">
        <f>IF(996&gt;ROWS(DGArchive[阶段]),"",IF(INDEX(DGArchive[阶段],996)="","",INDEX(DGArchive[阶段],996)))</f>
        <v/>
      </c>
      <c r="CC1195" t="str">
        <f>IF(996&gt;ROWS(DGArchive[游戏内日期]),"",IF(INDEX(DGArchive[游戏内日期],996)="","",INDEX(DGArchive[游戏内日期],996)))</f>
        <v/>
      </c>
      <c r="CD1195" t="str">
        <f>IF(996&gt;ROWS(DGArchive[目标]),"",IF(INDEX(DGArchive[目标],996)="","",INDEX(DGArchive[目标],996)))</f>
        <v/>
      </c>
      <c r="CE1195" t="str">
        <f>IF(996&gt;ROWS(DGArchive[变更前]),"",IF(INDEX(DGArchive[变更前],996)="","",INDEX(DGArchive[变更前],996)))</f>
        <v/>
      </c>
      <c r="CF1195" t="str">
        <f>IF(996&gt;ROWS(DGArchive[增减]),"",IF(INDEX(DGArchive[增减],996)="","",INDEX(DGArchive[增减],996)))</f>
        <v/>
      </c>
      <c r="CG1195" t="str">
        <f>IF(996&gt;ROWS(DGArchive[变更后]),"",IF(INDEX(DGArchive[变更后],996)="","",INDEX(DGArchive[变更后],996)))</f>
        <v/>
      </c>
      <c r="CH1195" t="str">
        <f>IF(996&gt;ROWS(DGArchive[事件／活动]),"",IF(INDEX(DGArchive[事件／活动],996)="","",INDEX(DGArchive[事件／活动],996)))</f>
        <v/>
      </c>
      <c r="CI1195" t="str">
        <f>IF(996&gt;ROWS(DGArchive[记录编号]),"",IF(INDEX(DGArchive[记录编号],996)="","",INDEX(DGArchive[记录编号],996)))</f>
        <v/>
      </c>
      <c r="CL1195">
        <f t="shared" si="464"/>
        <v>0</v>
      </c>
      <c r="CM1195">
        <f>IF(AND(A1195=$AO$5,B1195=$AQ$3,H1195=1),COUNTIFS($A$200:A1195,$AO$5,$B$200:B1195,$AQ$3,$H$200:H1195,1),0)</f>
        <v>0</v>
      </c>
      <c r="CN1195">
        <f>IF(CA1195="",996,1001)</f>
        <v>996</v>
      </c>
      <c r="GA1195">
        <f t="shared" si="484"/>
        <v>0</v>
      </c>
      <c r="GB1195">
        <f t="shared" si="485"/>
        <v>0</v>
      </c>
      <c r="GC1195">
        <f>IF(AND(C1195="事件记录",H1195=1),COUNTIFS($C$200:C1195,"事件记录",$H$200:H1195,1),0)</f>
        <v>0</v>
      </c>
      <c r="GD1195">
        <f t="shared" si="465"/>
        <v>0</v>
      </c>
      <c r="GH1195">
        <f>IF(AND(H1195=1,A1195=$GA$10,B1195=$GA$11),COUNTIFS($A$200:A1195,$GA$10,$B$200:B1195,$GA$11,$H$200:H1195,1),0)</f>
        <v>0</v>
      </c>
    </row>
    <row r="1196" spans="1:190">
      <c r="A1196" t="str">
        <f t="shared" si="456"/>
        <v/>
      </c>
      <c r="B1196" t="str">
        <f t="shared" si="457"/>
        <v/>
      </c>
      <c r="C1196" t="str">
        <f t="shared" si="458"/>
        <v/>
      </c>
      <c r="D1196" t="str">
        <f t="shared" si="459"/>
        <v/>
      </c>
      <c r="E1196">
        <f t="shared" si="460"/>
        <v>0</v>
      </c>
      <c r="F1196" t="str">
        <f t="shared" si="461"/>
        <v/>
      </c>
      <c r="G1196">
        <f t="shared" si="462"/>
        <v>0</v>
      </c>
      <c r="H1196">
        <f>IF(AND(G1196=1,COUNTIFS($I$200:I1196,I1196,$G$200:G1196,1)=1),1,0)</f>
        <v>0</v>
      </c>
      <c r="I1196" t="str">
        <f t="shared" si="463"/>
        <v/>
      </c>
      <c r="BF1196">
        <f t="shared" si="466"/>
        <v>0</v>
      </c>
      <c r="BG1196">
        <f t="shared" si="467"/>
        <v>0</v>
      </c>
      <c r="BH1196">
        <f t="shared" si="468"/>
        <v>0</v>
      </c>
      <c r="BI1196">
        <f t="shared" si="469"/>
        <v>0</v>
      </c>
      <c r="BJ1196">
        <f t="shared" si="470"/>
        <v>0</v>
      </c>
      <c r="BK1196">
        <f t="shared" si="471"/>
        <v>0</v>
      </c>
      <c r="BL1196">
        <f t="shared" si="472"/>
        <v>0</v>
      </c>
      <c r="BM1196">
        <f t="shared" si="473"/>
        <v>0</v>
      </c>
      <c r="BN1196">
        <f t="shared" si="474"/>
        <v>0</v>
      </c>
      <c r="BO1196">
        <f t="shared" si="475"/>
        <v>0</v>
      </c>
      <c r="BP1196">
        <f t="shared" si="476"/>
        <v>0</v>
      </c>
      <c r="BQ1196">
        <f t="shared" si="477"/>
        <v>0</v>
      </c>
      <c r="BR1196">
        <f t="shared" si="478"/>
        <v>0</v>
      </c>
      <c r="BS1196">
        <f t="shared" si="479"/>
        <v>0</v>
      </c>
      <c r="BT1196">
        <f t="shared" si="480"/>
        <v>0</v>
      </c>
      <c r="BU1196">
        <f t="shared" si="481"/>
        <v>0</v>
      </c>
      <c r="BV1196">
        <f t="shared" si="482"/>
        <v>0</v>
      </c>
      <c r="BW1196">
        <f t="shared" si="483"/>
        <v>0</v>
      </c>
      <c r="CA1196" t="str">
        <f>IF(997&gt;ROWS(DGArchive[模组]),"",IF(INDEX(DGArchive[模组],997)="","",INDEX(DGArchive[模组],997)))</f>
        <v/>
      </c>
      <c r="CB1196" t="str">
        <f>IF(997&gt;ROWS(DGArchive[阶段]),"",IF(INDEX(DGArchive[阶段],997)="","",INDEX(DGArchive[阶段],997)))</f>
        <v/>
      </c>
      <c r="CC1196" t="str">
        <f>IF(997&gt;ROWS(DGArchive[游戏内日期]),"",IF(INDEX(DGArchive[游戏内日期],997)="","",INDEX(DGArchive[游戏内日期],997)))</f>
        <v/>
      </c>
      <c r="CD1196" t="str">
        <f>IF(997&gt;ROWS(DGArchive[目标]),"",IF(INDEX(DGArchive[目标],997)="","",INDEX(DGArchive[目标],997)))</f>
        <v/>
      </c>
      <c r="CE1196" t="str">
        <f>IF(997&gt;ROWS(DGArchive[变更前]),"",IF(INDEX(DGArchive[变更前],997)="","",INDEX(DGArchive[变更前],997)))</f>
        <v/>
      </c>
      <c r="CF1196" t="str">
        <f>IF(997&gt;ROWS(DGArchive[增减]),"",IF(INDEX(DGArchive[增减],997)="","",INDEX(DGArchive[增减],997)))</f>
        <v/>
      </c>
      <c r="CG1196" t="str">
        <f>IF(997&gt;ROWS(DGArchive[变更后]),"",IF(INDEX(DGArchive[变更后],997)="","",INDEX(DGArchive[变更后],997)))</f>
        <v/>
      </c>
      <c r="CH1196" t="str">
        <f>IF(997&gt;ROWS(DGArchive[事件／活动]),"",IF(INDEX(DGArchive[事件／活动],997)="","",INDEX(DGArchive[事件／活动],997)))</f>
        <v/>
      </c>
      <c r="CI1196" t="str">
        <f>IF(997&gt;ROWS(DGArchive[记录编号]),"",IF(INDEX(DGArchive[记录编号],997)="","",INDEX(DGArchive[记录编号],997)))</f>
        <v/>
      </c>
      <c r="CL1196">
        <f t="shared" si="464"/>
        <v>0</v>
      </c>
      <c r="CM1196">
        <f>IF(AND(A1196=$AO$5,B1196=$AQ$3,H1196=1),COUNTIFS($A$200:A1196,$AO$5,$B$200:B1196,$AQ$3,$H$200:H1196,1),0)</f>
        <v>0</v>
      </c>
      <c r="CN1196">
        <f>IF(CA1196="",997,1001)</f>
        <v>997</v>
      </c>
      <c r="GA1196">
        <f t="shared" si="484"/>
        <v>0</v>
      </c>
      <c r="GB1196">
        <f t="shared" si="485"/>
        <v>0</v>
      </c>
      <c r="GC1196">
        <f>IF(AND(C1196="事件记录",H1196=1),COUNTIFS($C$200:C1196,"事件记录",$H$200:H1196,1),0)</f>
        <v>0</v>
      </c>
      <c r="GD1196">
        <f t="shared" si="465"/>
        <v>0</v>
      </c>
      <c r="GH1196">
        <f>IF(AND(H1196=1,A1196=$GA$10,B1196=$GA$11),COUNTIFS($A$200:A1196,$GA$10,$B$200:B1196,$GA$11,$H$200:H1196,1),0)</f>
        <v>0</v>
      </c>
    </row>
    <row r="1197" spans="1:190">
      <c r="A1197" t="str">
        <f t="shared" si="456"/>
        <v/>
      </c>
      <c r="B1197" t="str">
        <f t="shared" si="457"/>
        <v/>
      </c>
      <c r="C1197" t="str">
        <f t="shared" si="458"/>
        <v/>
      </c>
      <c r="D1197" t="str">
        <f t="shared" si="459"/>
        <v/>
      </c>
      <c r="E1197">
        <f t="shared" si="460"/>
        <v>0</v>
      </c>
      <c r="F1197" t="str">
        <f t="shared" si="461"/>
        <v/>
      </c>
      <c r="G1197">
        <f t="shared" si="462"/>
        <v>0</v>
      </c>
      <c r="H1197">
        <f>IF(AND(G1197=1,COUNTIFS($I$200:I1197,I1197,$G$200:G1197,1)=1),1,0)</f>
        <v>0</v>
      </c>
      <c r="I1197" t="str">
        <f t="shared" si="463"/>
        <v/>
      </c>
      <c r="BF1197">
        <f t="shared" si="466"/>
        <v>0</v>
      </c>
      <c r="BG1197">
        <f t="shared" si="467"/>
        <v>0</v>
      </c>
      <c r="BH1197">
        <f t="shared" si="468"/>
        <v>0</v>
      </c>
      <c r="BI1197">
        <f t="shared" si="469"/>
        <v>0</v>
      </c>
      <c r="BJ1197">
        <f t="shared" si="470"/>
        <v>0</v>
      </c>
      <c r="BK1197">
        <f t="shared" si="471"/>
        <v>0</v>
      </c>
      <c r="BL1197">
        <f t="shared" si="472"/>
        <v>0</v>
      </c>
      <c r="BM1197">
        <f t="shared" si="473"/>
        <v>0</v>
      </c>
      <c r="BN1197">
        <f t="shared" si="474"/>
        <v>0</v>
      </c>
      <c r="BO1197">
        <f t="shared" si="475"/>
        <v>0</v>
      </c>
      <c r="BP1197">
        <f t="shared" si="476"/>
        <v>0</v>
      </c>
      <c r="BQ1197">
        <f t="shared" si="477"/>
        <v>0</v>
      </c>
      <c r="BR1197">
        <f t="shared" si="478"/>
        <v>0</v>
      </c>
      <c r="BS1197">
        <f t="shared" si="479"/>
        <v>0</v>
      </c>
      <c r="BT1197">
        <f t="shared" si="480"/>
        <v>0</v>
      </c>
      <c r="BU1197">
        <f t="shared" si="481"/>
        <v>0</v>
      </c>
      <c r="BV1197">
        <f t="shared" si="482"/>
        <v>0</v>
      </c>
      <c r="BW1197">
        <f t="shared" si="483"/>
        <v>0</v>
      </c>
      <c r="CA1197" t="str">
        <f>IF(998&gt;ROWS(DGArchive[模组]),"",IF(INDEX(DGArchive[模组],998)="","",INDEX(DGArchive[模组],998)))</f>
        <v/>
      </c>
      <c r="CB1197" t="str">
        <f>IF(998&gt;ROWS(DGArchive[阶段]),"",IF(INDEX(DGArchive[阶段],998)="","",INDEX(DGArchive[阶段],998)))</f>
        <v/>
      </c>
      <c r="CC1197" t="str">
        <f>IF(998&gt;ROWS(DGArchive[游戏内日期]),"",IF(INDEX(DGArchive[游戏内日期],998)="","",INDEX(DGArchive[游戏内日期],998)))</f>
        <v/>
      </c>
      <c r="CD1197" t="str">
        <f>IF(998&gt;ROWS(DGArchive[目标]),"",IF(INDEX(DGArchive[目标],998)="","",INDEX(DGArchive[目标],998)))</f>
        <v/>
      </c>
      <c r="CE1197" t="str">
        <f>IF(998&gt;ROWS(DGArchive[变更前]),"",IF(INDEX(DGArchive[变更前],998)="","",INDEX(DGArchive[变更前],998)))</f>
        <v/>
      </c>
      <c r="CF1197" t="str">
        <f>IF(998&gt;ROWS(DGArchive[增减]),"",IF(INDEX(DGArchive[增减],998)="","",INDEX(DGArchive[增减],998)))</f>
        <v/>
      </c>
      <c r="CG1197" t="str">
        <f>IF(998&gt;ROWS(DGArchive[变更后]),"",IF(INDEX(DGArchive[变更后],998)="","",INDEX(DGArchive[变更后],998)))</f>
        <v/>
      </c>
      <c r="CH1197" t="str">
        <f>IF(998&gt;ROWS(DGArchive[事件／活动]),"",IF(INDEX(DGArchive[事件／活动],998)="","",INDEX(DGArchive[事件／活动],998)))</f>
        <v/>
      </c>
      <c r="CI1197" t="str">
        <f>IF(998&gt;ROWS(DGArchive[记录编号]),"",IF(INDEX(DGArchive[记录编号],998)="","",INDEX(DGArchive[记录编号],998)))</f>
        <v/>
      </c>
      <c r="CL1197">
        <f t="shared" si="464"/>
        <v>0</v>
      </c>
      <c r="CM1197">
        <f>IF(AND(A1197=$AO$5,B1197=$AQ$3,H1197=1),COUNTIFS($A$200:A1197,$AO$5,$B$200:B1197,$AQ$3,$H$200:H1197,1),0)</f>
        <v>0</v>
      </c>
      <c r="CN1197">
        <f>IF(CA1197="",998,1001)</f>
        <v>998</v>
      </c>
      <c r="GA1197">
        <f t="shared" si="484"/>
        <v>0</v>
      </c>
      <c r="GB1197">
        <f t="shared" si="485"/>
        <v>0</v>
      </c>
      <c r="GC1197">
        <f>IF(AND(C1197="事件记录",H1197=1),COUNTIFS($C$200:C1197,"事件记录",$H$200:H1197,1),0)</f>
        <v>0</v>
      </c>
      <c r="GD1197">
        <f t="shared" si="465"/>
        <v>0</v>
      </c>
      <c r="GH1197">
        <f>IF(AND(H1197=1,A1197=$GA$10,B1197=$GA$11),COUNTIFS($A$200:A1197,$GA$10,$B$200:B1197,$GA$11,$H$200:H1197,1),0)</f>
        <v>0</v>
      </c>
    </row>
    <row r="1198" spans="1:190">
      <c r="A1198" t="str">
        <f t="shared" si="456"/>
        <v/>
      </c>
      <c r="B1198" t="str">
        <f t="shared" si="457"/>
        <v/>
      </c>
      <c r="C1198" t="str">
        <f t="shared" si="458"/>
        <v/>
      </c>
      <c r="D1198" t="str">
        <f t="shared" si="459"/>
        <v/>
      </c>
      <c r="E1198">
        <f t="shared" si="460"/>
        <v>0</v>
      </c>
      <c r="F1198" t="str">
        <f t="shared" si="461"/>
        <v/>
      </c>
      <c r="G1198">
        <f t="shared" si="462"/>
        <v>0</v>
      </c>
      <c r="H1198">
        <f>IF(AND(G1198=1,COUNTIFS($I$200:I1198,I1198,$G$200:G1198,1)=1),1,0)</f>
        <v>0</v>
      </c>
      <c r="I1198" t="str">
        <f t="shared" si="463"/>
        <v/>
      </c>
      <c r="BF1198">
        <f t="shared" si="466"/>
        <v>0</v>
      </c>
      <c r="BG1198">
        <f t="shared" si="467"/>
        <v>0</v>
      </c>
      <c r="BH1198">
        <f t="shared" si="468"/>
        <v>0</v>
      </c>
      <c r="BI1198">
        <f t="shared" si="469"/>
        <v>0</v>
      </c>
      <c r="BJ1198">
        <f t="shared" si="470"/>
        <v>0</v>
      </c>
      <c r="BK1198">
        <f t="shared" si="471"/>
        <v>0</v>
      </c>
      <c r="BL1198">
        <f t="shared" si="472"/>
        <v>0</v>
      </c>
      <c r="BM1198">
        <f t="shared" si="473"/>
        <v>0</v>
      </c>
      <c r="BN1198">
        <f t="shared" si="474"/>
        <v>0</v>
      </c>
      <c r="BO1198">
        <f t="shared" si="475"/>
        <v>0</v>
      </c>
      <c r="BP1198">
        <f t="shared" si="476"/>
        <v>0</v>
      </c>
      <c r="BQ1198">
        <f t="shared" si="477"/>
        <v>0</v>
      </c>
      <c r="BR1198">
        <f t="shared" si="478"/>
        <v>0</v>
      </c>
      <c r="BS1198">
        <f t="shared" si="479"/>
        <v>0</v>
      </c>
      <c r="BT1198">
        <f t="shared" si="480"/>
        <v>0</v>
      </c>
      <c r="BU1198">
        <f t="shared" si="481"/>
        <v>0</v>
      </c>
      <c r="BV1198">
        <f t="shared" si="482"/>
        <v>0</v>
      </c>
      <c r="BW1198">
        <f t="shared" si="483"/>
        <v>0</v>
      </c>
      <c r="CA1198" t="str">
        <f>IF(999&gt;ROWS(DGArchive[模组]),"",IF(INDEX(DGArchive[模组],999)="","",INDEX(DGArchive[模组],999)))</f>
        <v/>
      </c>
      <c r="CB1198" t="str">
        <f>IF(999&gt;ROWS(DGArchive[阶段]),"",IF(INDEX(DGArchive[阶段],999)="","",INDEX(DGArchive[阶段],999)))</f>
        <v/>
      </c>
      <c r="CC1198" t="str">
        <f>IF(999&gt;ROWS(DGArchive[游戏内日期]),"",IF(INDEX(DGArchive[游戏内日期],999)="","",INDEX(DGArchive[游戏内日期],999)))</f>
        <v/>
      </c>
      <c r="CD1198" t="str">
        <f>IF(999&gt;ROWS(DGArchive[目标]),"",IF(INDEX(DGArchive[目标],999)="","",INDEX(DGArchive[目标],999)))</f>
        <v/>
      </c>
      <c r="CE1198" t="str">
        <f>IF(999&gt;ROWS(DGArchive[变更前]),"",IF(INDEX(DGArchive[变更前],999)="","",INDEX(DGArchive[变更前],999)))</f>
        <v/>
      </c>
      <c r="CF1198" t="str">
        <f>IF(999&gt;ROWS(DGArchive[增减]),"",IF(INDEX(DGArchive[增减],999)="","",INDEX(DGArchive[增减],999)))</f>
        <v/>
      </c>
      <c r="CG1198" t="str">
        <f>IF(999&gt;ROWS(DGArchive[变更后]),"",IF(INDEX(DGArchive[变更后],999)="","",INDEX(DGArchive[变更后],999)))</f>
        <v/>
      </c>
      <c r="CH1198" t="str">
        <f>IF(999&gt;ROWS(DGArchive[事件／活动]),"",IF(INDEX(DGArchive[事件／活动],999)="","",INDEX(DGArchive[事件／活动],999)))</f>
        <v/>
      </c>
      <c r="CI1198" t="str">
        <f>IF(999&gt;ROWS(DGArchive[记录编号]),"",IF(INDEX(DGArchive[记录编号],999)="","",INDEX(DGArchive[记录编号],999)))</f>
        <v/>
      </c>
      <c r="CL1198">
        <f t="shared" si="464"/>
        <v>0</v>
      </c>
      <c r="CM1198">
        <f>IF(AND(A1198=$AO$5,B1198=$AQ$3,H1198=1),COUNTIFS($A$200:A1198,$AO$5,$B$200:B1198,$AQ$3,$H$200:H1198,1),0)</f>
        <v>0</v>
      </c>
      <c r="CN1198">
        <f>IF(CA1198="",999,1001)</f>
        <v>999</v>
      </c>
      <c r="GA1198">
        <f t="shared" si="484"/>
        <v>0</v>
      </c>
      <c r="GB1198">
        <f t="shared" si="485"/>
        <v>0</v>
      </c>
      <c r="GC1198">
        <f>IF(AND(C1198="事件记录",H1198=1),COUNTIFS($C$200:C1198,"事件记录",$H$200:H1198,1),0)</f>
        <v>0</v>
      </c>
      <c r="GD1198">
        <f t="shared" si="465"/>
        <v>0</v>
      </c>
      <c r="GH1198">
        <f>IF(AND(H1198=1,A1198=$GA$10,B1198=$GA$11),COUNTIFS($A$200:A1198,$GA$10,$B$200:B1198,$GA$11,$H$200:H1198,1),0)</f>
        <v>0</v>
      </c>
    </row>
    <row r="1199" spans="1:190">
      <c r="A1199" t="str">
        <f t="shared" si="456"/>
        <v/>
      </c>
      <c r="B1199" t="str">
        <f t="shared" si="457"/>
        <v/>
      </c>
      <c r="C1199" t="str">
        <f t="shared" si="458"/>
        <v/>
      </c>
      <c r="D1199" t="str">
        <f t="shared" si="459"/>
        <v/>
      </c>
      <c r="E1199">
        <f t="shared" si="460"/>
        <v>0</v>
      </c>
      <c r="F1199" t="str">
        <f t="shared" si="461"/>
        <v/>
      </c>
      <c r="G1199">
        <f t="shared" si="462"/>
        <v>0</v>
      </c>
      <c r="H1199">
        <f>IF(AND(G1199=1,COUNTIFS($I$200:I1199,I1199,$G$200:G1199,1)=1),1,0)</f>
        <v>0</v>
      </c>
      <c r="I1199" t="str">
        <f t="shared" si="463"/>
        <v/>
      </c>
      <c r="BF1199">
        <f t="shared" si="466"/>
        <v>0</v>
      </c>
      <c r="BG1199">
        <f t="shared" si="467"/>
        <v>0</v>
      </c>
      <c r="BH1199">
        <f t="shared" si="468"/>
        <v>0</v>
      </c>
      <c r="BI1199">
        <f t="shared" si="469"/>
        <v>0</v>
      </c>
      <c r="BJ1199">
        <f t="shared" si="470"/>
        <v>0</v>
      </c>
      <c r="BK1199">
        <f t="shared" si="471"/>
        <v>0</v>
      </c>
      <c r="BL1199">
        <f t="shared" si="472"/>
        <v>0</v>
      </c>
      <c r="BM1199">
        <f t="shared" si="473"/>
        <v>0</v>
      </c>
      <c r="BN1199">
        <f t="shared" si="474"/>
        <v>0</v>
      </c>
      <c r="BO1199">
        <f t="shared" si="475"/>
        <v>0</v>
      </c>
      <c r="BP1199">
        <f t="shared" si="476"/>
        <v>0</v>
      </c>
      <c r="BQ1199">
        <f t="shared" si="477"/>
        <v>0</v>
      </c>
      <c r="BR1199">
        <f t="shared" si="478"/>
        <v>0</v>
      </c>
      <c r="BS1199">
        <f t="shared" si="479"/>
        <v>0</v>
      </c>
      <c r="BT1199">
        <f t="shared" si="480"/>
        <v>0</v>
      </c>
      <c r="BU1199">
        <f t="shared" si="481"/>
        <v>0</v>
      </c>
      <c r="BV1199">
        <f t="shared" si="482"/>
        <v>0</v>
      </c>
      <c r="BW1199">
        <f t="shared" si="483"/>
        <v>0</v>
      </c>
      <c r="CA1199" t="str">
        <f>IF(1000&gt;ROWS(DGArchive[模组]),"",IF(INDEX(DGArchive[模组],1000)="","",INDEX(DGArchive[模组],1000)))</f>
        <v/>
      </c>
      <c r="CB1199" t="str">
        <f>IF(1000&gt;ROWS(DGArchive[阶段]),"",IF(INDEX(DGArchive[阶段],1000)="","",INDEX(DGArchive[阶段],1000)))</f>
        <v/>
      </c>
      <c r="CC1199" t="str">
        <f>IF(1000&gt;ROWS(DGArchive[游戏内日期]),"",IF(INDEX(DGArchive[游戏内日期],1000)="","",INDEX(DGArchive[游戏内日期],1000)))</f>
        <v/>
      </c>
      <c r="CD1199" t="str">
        <f>IF(1000&gt;ROWS(DGArchive[目标]),"",IF(INDEX(DGArchive[目标],1000)="","",INDEX(DGArchive[目标],1000)))</f>
        <v/>
      </c>
      <c r="CE1199" t="str">
        <f>IF(1000&gt;ROWS(DGArchive[变更前]),"",IF(INDEX(DGArchive[变更前],1000)="","",INDEX(DGArchive[变更前],1000)))</f>
        <v/>
      </c>
      <c r="CF1199" t="str">
        <f>IF(1000&gt;ROWS(DGArchive[增减]),"",IF(INDEX(DGArchive[增减],1000)="","",INDEX(DGArchive[增减],1000)))</f>
        <v/>
      </c>
      <c r="CG1199" t="str">
        <f>IF(1000&gt;ROWS(DGArchive[变更后]),"",IF(INDEX(DGArchive[变更后],1000)="","",INDEX(DGArchive[变更后],1000)))</f>
        <v/>
      </c>
      <c r="CH1199" t="str">
        <f>IF(1000&gt;ROWS(DGArchive[事件／活动]),"",IF(INDEX(DGArchive[事件／活动],1000)="","",INDEX(DGArchive[事件／活动],1000)))</f>
        <v/>
      </c>
      <c r="CI1199" t="str">
        <f>IF(1000&gt;ROWS(DGArchive[记录编号]),"",IF(INDEX(DGArchive[记录编号],1000)="","",INDEX(DGArchive[记录编号],1000)))</f>
        <v/>
      </c>
      <c r="CL1199">
        <f t="shared" si="464"/>
        <v>0</v>
      </c>
      <c r="CM1199">
        <f>IF(AND(A1199=$AO$5,B1199=$AQ$3,H1199=1),COUNTIFS($A$200:A1199,$AO$5,$B$200:B1199,$AQ$3,$H$200:H1199,1),0)</f>
        <v>0</v>
      </c>
      <c r="CN1199">
        <f>IF(CA1199="",1000,1001)</f>
        <v>1000</v>
      </c>
      <c r="GA1199">
        <f t="shared" si="484"/>
        <v>0</v>
      </c>
      <c r="GB1199">
        <f t="shared" si="485"/>
        <v>0</v>
      </c>
      <c r="GC1199">
        <f>IF(AND(C1199="事件记录",H1199=1),COUNTIFS($C$200:C1199,"事件记录",$H$200:H1199,1),0)</f>
        <v>0</v>
      </c>
      <c r="GD1199">
        <f t="shared" si="465"/>
        <v>0</v>
      </c>
      <c r="GH1199">
        <f>IF(AND(H1199=1,A1199=$GA$10,B1199=$GA$11),COUNTIFS($A$200:A1199,$GA$10,$B$200:B1199,$GA$11,$H$200:H1199,1),0)</f>
        <v>0</v>
      </c>
    </row>
  </sheetData>
  <sheetProtection password="CC25" sheet="1" autoFilter="0" objects="1" scenarios="1"/>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6"/>
  <sheetViews>
    <sheetView workbookViewId="0">
      <selection activeCell="A1" sqref="A1"/>
    </sheetView>
  </sheetViews>
  <sheetFormatPr defaultColWidth="9" defaultRowHeight="14"/>
  <sheetData>
    <row r="1" spans="1:12">
      <c r="A1" s="9" t="s">
        <v>3684</v>
      </c>
    </row>
    <row r="2" spans="1:12">
      <c r="A2" t="s">
        <v>3301</v>
      </c>
      <c r="B2" t="s">
        <v>3733</v>
      </c>
      <c r="C2" t="s">
        <v>3734</v>
      </c>
      <c r="D2" t="s">
        <v>3735</v>
      </c>
      <c r="F2" t="s">
        <v>121</v>
      </c>
      <c r="G2" t="s">
        <v>678</v>
      </c>
      <c r="H2" t="s">
        <v>678</v>
      </c>
      <c r="J2" t="s">
        <v>11</v>
      </c>
      <c r="L2">
        <f>IFERROR(MATCH(人物卡!H46,$F$2:$F$106,0),0)</f>
        <v>1</v>
      </c>
    </row>
    <row r="3" spans="1:12">
      <c r="A3" t="s">
        <v>3305</v>
      </c>
      <c r="B3" t="s">
        <v>3736</v>
      </c>
      <c r="C3" t="s">
        <v>3737</v>
      </c>
      <c r="D3" t="s">
        <v>3738</v>
      </c>
      <c r="F3" t="s">
        <v>160</v>
      </c>
      <c r="G3" t="s">
        <v>678</v>
      </c>
      <c r="H3" t="s">
        <v>678</v>
      </c>
      <c r="J3" t="s">
        <v>3301</v>
      </c>
      <c r="L3" t="str">
        <f>IF(L2=0,"",INDEX($G$2:$G$106,L2))</f>
        <v/>
      </c>
    </row>
    <row r="4" spans="1:12">
      <c r="A4" t="s">
        <v>224</v>
      </c>
      <c r="B4" t="s">
        <v>3739</v>
      </c>
      <c r="C4" t="s">
        <v>3740</v>
      </c>
      <c r="D4" t="s">
        <v>3741</v>
      </c>
      <c r="F4" t="s">
        <v>161</v>
      </c>
      <c r="G4" t="s">
        <v>678</v>
      </c>
      <c r="H4" t="s">
        <v>678</v>
      </c>
      <c r="J4" t="s">
        <v>3305</v>
      </c>
      <c r="L4" t="str">
        <f>IF(OR(人物卡!DH2="跟随职业",人物卡!DH2=""),L3,IF(人物卡!DH2="自定义","",人物卡!DH2))</f>
        <v/>
      </c>
    </row>
    <row r="5" spans="1:12">
      <c r="A5" t="s">
        <v>3312</v>
      </c>
      <c r="B5" t="s">
        <v>3742</v>
      </c>
      <c r="C5" t="s">
        <v>3743</v>
      </c>
      <c r="D5" t="s">
        <v>3744</v>
      </c>
      <c r="F5" t="s">
        <v>162</v>
      </c>
      <c r="G5" t="s">
        <v>678</v>
      </c>
      <c r="H5" t="s">
        <v>678</v>
      </c>
      <c r="J5" t="s">
        <v>224</v>
      </c>
      <c r="L5" t="str">
        <f>IF(L2=0,"",INDEX($H$2:$H$106,L2))</f>
        <v/>
      </c>
    </row>
    <row r="6" spans="1:12">
      <c r="A6" t="s">
        <v>3320</v>
      </c>
      <c r="B6" t="s">
        <v>3745</v>
      </c>
      <c r="C6" t="s">
        <v>3746</v>
      </c>
      <c r="D6" t="s">
        <v>3321</v>
      </c>
      <c r="F6" t="s">
        <v>163</v>
      </c>
      <c r="G6" t="s">
        <v>678</v>
      </c>
      <c r="H6" t="s">
        <v>678</v>
      </c>
      <c r="J6" t="s">
        <v>3312</v>
      </c>
      <c r="L6" t="str">
        <f>IF(L4="","",INDEX($B$2:$B$6,MATCH(L4,$A$2:$A$6,0)))</f>
        <v/>
      </c>
    </row>
    <row r="7" spans="1:12">
      <c r="F7" t="s">
        <v>164</v>
      </c>
      <c r="G7" t="s">
        <v>678</v>
      </c>
      <c r="H7" t="s">
        <v>678</v>
      </c>
      <c r="J7" t="s">
        <v>3320</v>
      </c>
      <c r="L7" t="str">
        <f>IF(L4="","",INDEX($C$2:$C$6,MATCH(L4,$A$2:$A$6,0)))</f>
        <v/>
      </c>
    </row>
    <row r="8" spans="1:12">
      <c r="F8" t="s">
        <v>165</v>
      </c>
      <c r="G8" t="s">
        <v>678</v>
      </c>
      <c r="H8" t="s">
        <v>678</v>
      </c>
      <c r="J8" t="s">
        <v>3747</v>
      </c>
    </row>
    <row r="9" spans="1:12">
      <c r="F9" t="s">
        <v>180</v>
      </c>
      <c r="G9" t="s">
        <v>678</v>
      </c>
      <c r="H9" t="s">
        <v>678</v>
      </c>
    </row>
    <row r="10" spans="1:12">
      <c r="F10" t="s">
        <v>193</v>
      </c>
      <c r="G10" t="s">
        <v>3301</v>
      </c>
      <c r="H10" t="s">
        <v>678</v>
      </c>
    </row>
    <row r="11" spans="1:12">
      <c r="F11" t="s">
        <v>209</v>
      </c>
      <c r="G11" t="s">
        <v>678</v>
      </c>
      <c r="H11" t="s">
        <v>678</v>
      </c>
    </row>
    <row r="12" spans="1:12">
      <c r="F12" t="s">
        <v>219</v>
      </c>
      <c r="G12" t="s">
        <v>678</v>
      </c>
      <c r="H12" t="s">
        <v>678</v>
      </c>
    </row>
    <row r="13" spans="1:12">
      <c r="F13" t="s">
        <v>224</v>
      </c>
      <c r="G13" t="s">
        <v>224</v>
      </c>
      <c r="H13" t="s">
        <v>678</v>
      </c>
    </row>
    <row r="14" spans="1:12">
      <c r="F14" t="s">
        <v>234</v>
      </c>
      <c r="G14" t="s">
        <v>678</v>
      </c>
      <c r="H14" t="s">
        <v>678</v>
      </c>
    </row>
    <row r="15" spans="1:12">
      <c r="F15" t="s">
        <v>246</v>
      </c>
      <c r="G15" t="s">
        <v>678</v>
      </c>
      <c r="H15" t="s">
        <v>678</v>
      </c>
    </row>
    <row r="16" spans="1:12">
      <c r="F16" t="s">
        <v>252</v>
      </c>
      <c r="G16" t="s">
        <v>678</v>
      </c>
      <c r="H16" t="s">
        <v>678</v>
      </c>
    </row>
    <row r="17" spans="6:8">
      <c r="F17" t="s">
        <v>257</v>
      </c>
      <c r="G17" t="s">
        <v>678</v>
      </c>
      <c r="H17" t="s">
        <v>678</v>
      </c>
    </row>
    <row r="18" spans="6:8">
      <c r="F18" t="s">
        <v>259</v>
      </c>
      <c r="G18" t="s">
        <v>678</v>
      </c>
      <c r="H18" t="s">
        <v>678</v>
      </c>
    </row>
    <row r="19" spans="6:8">
      <c r="F19" t="s">
        <v>263</v>
      </c>
      <c r="G19" t="s">
        <v>678</v>
      </c>
      <c r="H19" t="s">
        <v>678</v>
      </c>
    </row>
    <row r="20" spans="6:8">
      <c r="F20" t="s">
        <v>266</v>
      </c>
      <c r="G20" t="s">
        <v>678</v>
      </c>
      <c r="H20" t="s">
        <v>678</v>
      </c>
    </row>
    <row r="21" spans="6:8">
      <c r="F21" t="s">
        <v>270</v>
      </c>
      <c r="G21" t="s">
        <v>678</v>
      </c>
      <c r="H21" t="s">
        <v>678</v>
      </c>
    </row>
    <row r="22" spans="6:8">
      <c r="F22" t="s">
        <v>276</v>
      </c>
      <c r="G22" t="s">
        <v>678</v>
      </c>
      <c r="H22" t="s">
        <v>678</v>
      </c>
    </row>
    <row r="23" spans="6:8">
      <c r="F23" t="s">
        <v>284</v>
      </c>
      <c r="G23" t="s">
        <v>3312</v>
      </c>
      <c r="H23" t="s">
        <v>678</v>
      </c>
    </row>
    <row r="24" spans="6:8">
      <c r="F24" t="s">
        <v>289</v>
      </c>
      <c r="G24" t="s">
        <v>678</v>
      </c>
      <c r="H24" t="s">
        <v>678</v>
      </c>
    </row>
    <row r="25" spans="6:8">
      <c r="F25" t="s">
        <v>295</v>
      </c>
      <c r="G25" t="s">
        <v>678</v>
      </c>
      <c r="H25" t="s">
        <v>678</v>
      </c>
    </row>
    <row r="26" spans="6:8">
      <c r="F26" t="s">
        <v>303</v>
      </c>
      <c r="G26" t="s">
        <v>3301</v>
      </c>
      <c r="H26" t="s">
        <v>678</v>
      </c>
    </row>
    <row r="27" spans="6:8">
      <c r="F27" t="s">
        <v>305</v>
      </c>
      <c r="G27" t="s">
        <v>3301</v>
      </c>
      <c r="H27" t="s">
        <v>3748</v>
      </c>
    </row>
    <row r="28" spans="6:8">
      <c r="F28" t="s">
        <v>309</v>
      </c>
      <c r="G28" t="s">
        <v>678</v>
      </c>
      <c r="H28" t="s">
        <v>312</v>
      </c>
    </row>
    <row r="29" spans="6:8">
      <c r="F29" t="s">
        <v>313</v>
      </c>
      <c r="G29" t="s">
        <v>678</v>
      </c>
      <c r="H29" t="s">
        <v>314</v>
      </c>
    </row>
    <row r="30" spans="6:8">
      <c r="F30" t="s">
        <v>315</v>
      </c>
      <c r="G30" t="s">
        <v>3305</v>
      </c>
      <c r="H30" t="s">
        <v>3749</v>
      </c>
    </row>
    <row r="31" spans="6:8">
      <c r="F31" t="s">
        <v>317</v>
      </c>
      <c r="G31" t="s">
        <v>3301</v>
      </c>
      <c r="H31" t="s">
        <v>678</v>
      </c>
    </row>
    <row r="32" spans="6:8">
      <c r="F32" t="s">
        <v>319</v>
      </c>
      <c r="G32" t="s">
        <v>678</v>
      </c>
      <c r="H32" t="s">
        <v>322</v>
      </c>
    </row>
    <row r="33" spans="6:8">
      <c r="F33" t="s">
        <v>323</v>
      </c>
      <c r="G33" t="s">
        <v>678</v>
      </c>
      <c r="H33" t="s">
        <v>324</v>
      </c>
    </row>
    <row r="34" spans="6:8">
      <c r="F34" t="s">
        <v>325</v>
      </c>
      <c r="G34" t="s">
        <v>3312</v>
      </c>
      <c r="H34" t="s">
        <v>678</v>
      </c>
    </row>
    <row r="35" spans="6:8">
      <c r="F35" t="s">
        <v>332</v>
      </c>
      <c r="G35" t="s">
        <v>3301</v>
      </c>
      <c r="H35" t="s">
        <v>678</v>
      </c>
    </row>
    <row r="36" spans="6:8">
      <c r="F36" t="s">
        <v>333</v>
      </c>
      <c r="G36" t="s">
        <v>3301</v>
      </c>
      <c r="H36" t="s">
        <v>678</v>
      </c>
    </row>
    <row r="37" spans="6:8">
      <c r="F37" t="s">
        <v>335</v>
      </c>
      <c r="G37" t="s">
        <v>3305</v>
      </c>
      <c r="H37" t="s">
        <v>678</v>
      </c>
    </row>
    <row r="38" spans="6:8">
      <c r="F38" t="s">
        <v>337</v>
      </c>
      <c r="G38" t="s">
        <v>3301</v>
      </c>
      <c r="H38" t="s">
        <v>678</v>
      </c>
    </row>
    <row r="39" spans="6:8">
      <c r="F39" t="s">
        <v>338</v>
      </c>
      <c r="G39" t="s">
        <v>3301</v>
      </c>
      <c r="H39" t="s">
        <v>678</v>
      </c>
    </row>
    <row r="40" spans="6:8">
      <c r="F40" t="s">
        <v>339</v>
      </c>
      <c r="G40" t="s">
        <v>3305</v>
      </c>
      <c r="H40" t="s">
        <v>678</v>
      </c>
    </row>
    <row r="41" spans="6:8">
      <c r="F41" t="s">
        <v>341</v>
      </c>
      <c r="G41" t="s">
        <v>678</v>
      </c>
      <c r="H41" t="s">
        <v>344</v>
      </c>
    </row>
    <row r="42" spans="6:8">
      <c r="F42" t="s">
        <v>345</v>
      </c>
      <c r="G42" t="s">
        <v>224</v>
      </c>
      <c r="H42" t="s">
        <v>3750</v>
      </c>
    </row>
    <row r="43" spans="6:8">
      <c r="F43" t="s">
        <v>348</v>
      </c>
      <c r="G43" t="s">
        <v>224</v>
      </c>
      <c r="H43" t="s">
        <v>3751</v>
      </c>
    </row>
    <row r="44" spans="6:8">
      <c r="F44" t="s">
        <v>349</v>
      </c>
      <c r="G44" t="s">
        <v>224</v>
      </c>
      <c r="H44" t="s">
        <v>3752</v>
      </c>
    </row>
    <row r="45" spans="6:8">
      <c r="F45" t="s">
        <v>353</v>
      </c>
      <c r="G45" t="s">
        <v>678</v>
      </c>
      <c r="H45" t="s">
        <v>354</v>
      </c>
    </row>
    <row r="46" spans="6:8">
      <c r="F46" t="s">
        <v>355</v>
      </c>
      <c r="G46" t="s">
        <v>224</v>
      </c>
      <c r="H46" t="s">
        <v>678</v>
      </c>
    </row>
    <row r="47" spans="6:8">
      <c r="F47" t="s">
        <v>357</v>
      </c>
      <c r="G47" t="s">
        <v>224</v>
      </c>
      <c r="H47" t="s">
        <v>678</v>
      </c>
    </row>
    <row r="48" spans="6:8">
      <c r="F48" t="s">
        <v>358</v>
      </c>
      <c r="G48" t="s">
        <v>224</v>
      </c>
      <c r="H48" t="s">
        <v>678</v>
      </c>
    </row>
    <row r="49" spans="6:8">
      <c r="F49" t="s">
        <v>363</v>
      </c>
      <c r="G49" t="s">
        <v>224</v>
      </c>
      <c r="H49" t="s">
        <v>3753</v>
      </c>
    </row>
    <row r="50" spans="6:8">
      <c r="F50" t="s">
        <v>370</v>
      </c>
      <c r="G50" t="s">
        <v>224</v>
      </c>
      <c r="H50" t="s">
        <v>3754</v>
      </c>
    </row>
    <row r="51" spans="6:8">
      <c r="F51" t="s">
        <v>372</v>
      </c>
      <c r="G51" t="s">
        <v>678</v>
      </c>
      <c r="H51" t="s">
        <v>375</v>
      </c>
    </row>
    <row r="52" spans="6:8">
      <c r="F52" t="s">
        <v>376</v>
      </c>
      <c r="G52" t="s">
        <v>678</v>
      </c>
      <c r="H52" t="s">
        <v>378</v>
      </c>
    </row>
    <row r="53" spans="6:8">
      <c r="F53" t="s">
        <v>379</v>
      </c>
      <c r="G53" t="s">
        <v>678</v>
      </c>
      <c r="H53" t="s">
        <v>382</v>
      </c>
    </row>
    <row r="54" spans="6:8">
      <c r="F54" t="s">
        <v>383</v>
      </c>
      <c r="G54" t="s">
        <v>3301</v>
      </c>
      <c r="H54" t="s">
        <v>678</v>
      </c>
    </row>
    <row r="55" spans="6:8">
      <c r="F55" t="s">
        <v>385</v>
      </c>
      <c r="G55" t="s">
        <v>678</v>
      </c>
      <c r="H55" t="s">
        <v>387</v>
      </c>
    </row>
    <row r="56" spans="6:8">
      <c r="F56" t="s">
        <v>388</v>
      </c>
      <c r="G56" t="s">
        <v>678</v>
      </c>
      <c r="H56" t="s">
        <v>387</v>
      </c>
    </row>
    <row r="57" spans="6:8">
      <c r="F57" t="s">
        <v>389</v>
      </c>
      <c r="G57" t="s">
        <v>224</v>
      </c>
      <c r="H57" t="s">
        <v>3755</v>
      </c>
    </row>
    <row r="58" spans="6:8">
      <c r="F58" t="s">
        <v>390</v>
      </c>
      <c r="G58" t="s">
        <v>3301</v>
      </c>
      <c r="H58" t="s">
        <v>678</v>
      </c>
    </row>
    <row r="59" spans="6:8">
      <c r="F59" t="s">
        <v>391</v>
      </c>
      <c r="G59" t="s">
        <v>678</v>
      </c>
      <c r="H59" t="s">
        <v>395</v>
      </c>
    </row>
    <row r="60" spans="6:8">
      <c r="F60" t="s">
        <v>396</v>
      </c>
      <c r="G60" t="s">
        <v>678</v>
      </c>
      <c r="H60" t="s">
        <v>397</v>
      </c>
    </row>
    <row r="61" spans="6:8">
      <c r="F61" t="s">
        <v>398</v>
      </c>
      <c r="G61" t="s">
        <v>224</v>
      </c>
      <c r="H61" t="s">
        <v>3756</v>
      </c>
    </row>
    <row r="62" spans="6:8">
      <c r="F62" t="s">
        <v>401</v>
      </c>
      <c r="G62" t="s">
        <v>224</v>
      </c>
      <c r="H62" t="s">
        <v>3757</v>
      </c>
    </row>
    <row r="63" spans="6:8">
      <c r="F63" t="s">
        <v>403</v>
      </c>
      <c r="G63" t="s">
        <v>224</v>
      </c>
      <c r="H63" t="s">
        <v>678</v>
      </c>
    </row>
    <row r="64" spans="6:8">
      <c r="F64" t="s">
        <v>410</v>
      </c>
      <c r="G64" t="s">
        <v>678</v>
      </c>
      <c r="H64" t="s">
        <v>411</v>
      </c>
    </row>
    <row r="65" spans="6:8">
      <c r="F65" t="s">
        <v>412</v>
      </c>
      <c r="G65" t="s">
        <v>224</v>
      </c>
      <c r="H65" t="s">
        <v>678</v>
      </c>
    </row>
    <row r="66" spans="6:8">
      <c r="F66" t="s">
        <v>413</v>
      </c>
      <c r="G66" t="s">
        <v>224</v>
      </c>
      <c r="H66" t="s">
        <v>678</v>
      </c>
    </row>
    <row r="67" spans="6:8">
      <c r="F67" t="s">
        <v>414</v>
      </c>
      <c r="G67" t="s">
        <v>678</v>
      </c>
      <c r="H67" t="s">
        <v>415</v>
      </c>
    </row>
    <row r="68" spans="6:8">
      <c r="F68" t="s">
        <v>416</v>
      </c>
      <c r="G68" t="s">
        <v>224</v>
      </c>
      <c r="H68" t="s">
        <v>415</v>
      </c>
    </row>
    <row r="69" spans="6:8">
      <c r="F69" t="s">
        <v>418</v>
      </c>
      <c r="G69" t="s">
        <v>224</v>
      </c>
      <c r="H69" t="s">
        <v>415</v>
      </c>
    </row>
    <row r="70" spans="6:8">
      <c r="F70" t="s">
        <v>420</v>
      </c>
      <c r="G70" t="s">
        <v>678</v>
      </c>
      <c r="H70" t="s">
        <v>415</v>
      </c>
    </row>
    <row r="71" spans="6:8">
      <c r="F71" t="s">
        <v>421</v>
      </c>
      <c r="G71" t="s">
        <v>678</v>
      </c>
      <c r="H71" t="s">
        <v>423</v>
      </c>
    </row>
    <row r="72" spans="6:8">
      <c r="F72" t="s">
        <v>424</v>
      </c>
      <c r="G72" t="s">
        <v>3301</v>
      </c>
      <c r="H72" t="s">
        <v>678</v>
      </c>
    </row>
    <row r="73" spans="6:8">
      <c r="F73" t="s">
        <v>425</v>
      </c>
      <c r="G73" t="s">
        <v>678</v>
      </c>
      <c r="H73" t="s">
        <v>426</v>
      </c>
    </row>
    <row r="74" spans="6:8">
      <c r="F74" t="s">
        <v>427</v>
      </c>
      <c r="G74" t="s">
        <v>678</v>
      </c>
      <c r="H74" t="s">
        <v>3758</v>
      </c>
    </row>
    <row r="75" spans="6:8">
      <c r="F75" t="s">
        <v>428</v>
      </c>
      <c r="G75" t="s">
        <v>678</v>
      </c>
      <c r="H75" t="s">
        <v>429</v>
      </c>
    </row>
    <row r="76" spans="6:8">
      <c r="F76" t="s">
        <v>430</v>
      </c>
      <c r="G76" t="s">
        <v>678</v>
      </c>
      <c r="H76" t="s">
        <v>3759</v>
      </c>
    </row>
    <row r="77" spans="6:8">
      <c r="F77" t="s">
        <v>432</v>
      </c>
      <c r="G77" t="s">
        <v>678</v>
      </c>
      <c r="H77" t="s">
        <v>433</v>
      </c>
    </row>
    <row r="78" spans="6:8">
      <c r="F78" t="s">
        <v>434</v>
      </c>
      <c r="G78" t="s">
        <v>678</v>
      </c>
      <c r="H78" t="s">
        <v>435</v>
      </c>
    </row>
    <row r="79" spans="6:8">
      <c r="F79" t="s">
        <v>436</v>
      </c>
      <c r="G79" t="s">
        <v>678</v>
      </c>
      <c r="H79" t="s">
        <v>433</v>
      </c>
    </row>
    <row r="80" spans="6:8">
      <c r="F80" t="s">
        <v>438</v>
      </c>
      <c r="G80" t="s">
        <v>3301</v>
      </c>
      <c r="H80" t="s">
        <v>3760</v>
      </c>
    </row>
    <row r="81" spans="6:8">
      <c r="F81" t="s">
        <v>441</v>
      </c>
      <c r="G81" t="s">
        <v>678</v>
      </c>
      <c r="H81" t="s">
        <v>444</v>
      </c>
    </row>
    <row r="82" spans="6:8">
      <c r="F82" t="s">
        <v>445</v>
      </c>
      <c r="G82" t="s">
        <v>3301</v>
      </c>
      <c r="H82" t="s">
        <v>678</v>
      </c>
    </row>
    <row r="83" spans="6:8">
      <c r="F83" t="s">
        <v>446</v>
      </c>
      <c r="G83" t="s">
        <v>3301</v>
      </c>
      <c r="H83" t="s">
        <v>3761</v>
      </c>
    </row>
    <row r="84" spans="6:8">
      <c r="F84" t="s">
        <v>449</v>
      </c>
      <c r="G84" t="s">
        <v>3301</v>
      </c>
      <c r="H84" t="s">
        <v>3762</v>
      </c>
    </row>
    <row r="85" spans="6:8">
      <c r="F85" t="s">
        <v>452</v>
      </c>
      <c r="G85" t="s">
        <v>3301</v>
      </c>
      <c r="H85" t="s">
        <v>3763</v>
      </c>
    </row>
    <row r="86" spans="6:8">
      <c r="F86" t="s">
        <v>453</v>
      </c>
      <c r="G86" t="s">
        <v>3301</v>
      </c>
      <c r="H86" t="s">
        <v>678</v>
      </c>
    </row>
    <row r="87" spans="6:8">
      <c r="F87" t="s">
        <v>457</v>
      </c>
      <c r="G87" t="s">
        <v>3301</v>
      </c>
      <c r="H87" t="s">
        <v>3764</v>
      </c>
    </row>
    <row r="88" spans="6:8">
      <c r="F88" t="s">
        <v>459</v>
      </c>
      <c r="G88" t="s">
        <v>678</v>
      </c>
      <c r="H88" t="s">
        <v>461</v>
      </c>
    </row>
    <row r="89" spans="6:8">
      <c r="F89" t="s">
        <v>462</v>
      </c>
      <c r="G89" t="s">
        <v>3301</v>
      </c>
      <c r="H89" t="s">
        <v>3765</v>
      </c>
    </row>
    <row r="90" spans="6:8">
      <c r="F90" t="s">
        <v>463</v>
      </c>
      <c r="G90" t="s">
        <v>3301</v>
      </c>
      <c r="H90" t="s">
        <v>3766</v>
      </c>
    </row>
    <row r="91" spans="6:8">
      <c r="F91" t="s">
        <v>466</v>
      </c>
      <c r="G91" t="s">
        <v>3301</v>
      </c>
      <c r="H91" t="s">
        <v>678</v>
      </c>
    </row>
    <row r="92" spans="6:8">
      <c r="F92" t="s">
        <v>468</v>
      </c>
      <c r="G92" t="s">
        <v>3301</v>
      </c>
      <c r="H92" t="s">
        <v>678</v>
      </c>
    </row>
    <row r="93" spans="6:8">
      <c r="F93" t="s">
        <v>469</v>
      </c>
      <c r="G93" t="s">
        <v>678</v>
      </c>
      <c r="H93" t="s">
        <v>472</v>
      </c>
    </row>
    <row r="94" spans="6:8">
      <c r="F94" t="s">
        <v>473</v>
      </c>
      <c r="G94" t="s">
        <v>3301</v>
      </c>
      <c r="H94" t="s">
        <v>3767</v>
      </c>
    </row>
    <row r="95" spans="6:8">
      <c r="F95" t="s">
        <v>475</v>
      </c>
      <c r="G95" t="s">
        <v>678</v>
      </c>
      <c r="H95" t="s">
        <v>476</v>
      </c>
    </row>
    <row r="96" spans="6:8">
      <c r="F96" t="s">
        <v>477</v>
      </c>
      <c r="G96" t="s">
        <v>3301</v>
      </c>
      <c r="H96" t="s">
        <v>678</v>
      </c>
    </row>
    <row r="97" spans="6:8">
      <c r="F97" t="s">
        <v>478</v>
      </c>
      <c r="G97" t="s">
        <v>3301</v>
      </c>
      <c r="H97" t="s">
        <v>678</v>
      </c>
    </row>
    <row r="98" spans="6:8">
      <c r="F98" t="s">
        <v>479</v>
      </c>
      <c r="G98" t="s">
        <v>678</v>
      </c>
      <c r="H98" t="s">
        <v>481</v>
      </c>
    </row>
    <row r="99" spans="6:8">
      <c r="F99" t="s">
        <v>482</v>
      </c>
      <c r="G99" t="s">
        <v>678</v>
      </c>
      <c r="H99" t="s">
        <v>486</v>
      </c>
    </row>
    <row r="100" spans="6:8">
      <c r="F100" t="s">
        <v>487</v>
      </c>
      <c r="G100" t="s">
        <v>678</v>
      </c>
      <c r="H100" t="s">
        <v>489</v>
      </c>
    </row>
    <row r="101" spans="6:8">
      <c r="F101" t="s">
        <v>490</v>
      </c>
      <c r="G101" t="s">
        <v>678</v>
      </c>
      <c r="H101" t="s">
        <v>492</v>
      </c>
    </row>
    <row r="102" spans="6:8">
      <c r="F102" t="s">
        <v>493</v>
      </c>
      <c r="G102" t="s">
        <v>224</v>
      </c>
      <c r="H102" t="s">
        <v>3768</v>
      </c>
    </row>
    <row r="103" spans="6:8">
      <c r="F103" t="s">
        <v>498</v>
      </c>
      <c r="G103" t="s">
        <v>3301</v>
      </c>
      <c r="H103" t="s">
        <v>3769</v>
      </c>
    </row>
    <row r="104" spans="6:8">
      <c r="F104" t="s">
        <v>500</v>
      </c>
      <c r="G104" t="s">
        <v>3301</v>
      </c>
      <c r="H104" t="s">
        <v>3769</v>
      </c>
    </row>
    <row r="105" spans="6:8">
      <c r="F105" t="s">
        <v>503</v>
      </c>
      <c r="G105" t="s">
        <v>224</v>
      </c>
      <c r="H105" t="s">
        <v>3770</v>
      </c>
    </row>
    <row r="106" spans="6:8">
      <c r="F106" t="s">
        <v>505</v>
      </c>
      <c r="G106" t="s">
        <v>678</v>
      </c>
      <c r="H106" t="s">
        <v>508</v>
      </c>
    </row>
  </sheetData>
  <sheetProtection password="CC25" sheet="1" autoFilter="0" objects="1" scenarios="1"/>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03030"/>
    <pageSetUpPr fitToPage="1"/>
  </sheetPr>
  <dimension ref="A1:B176"/>
  <sheetViews>
    <sheetView showGridLines="0" workbookViewId="0">
      <pane ySplit="10" topLeftCell="A11" activePane="bottomLeft" state="frozen"/>
      <selection/>
      <selection pane="bottomLeft" activeCell="B8" sqref="B8"/>
    </sheetView>
  </sheetViews>
  <sheetFormatPr defaultColWidth="9" defaultRowHeight="14" outlineLevelCol="1"/>
  <cols>
    <col min="1" max="1" width="14" customWidth="1"/>
    <col min="2" max="2" width="110" customWidth="1"/>
  </cols>
  <sheetData>
    <row r="1" ht="20" spans="1:2">
      <c r="A1" s="1" t="s">
        <v>3771</v>
      </c>
      <c r="B1" s="1" t="s">
        <v>3771</v>
      </c>
    </row>
    <row r="2" spans="1:2">
      <c r="A2" s="2"/>
      <c r="B2" s="2"/>
    </row>
    <row r="3" spans="1:2">
      <c r="A3" s="3" t="s">
        <v>3772</v>
      </c>
      <c r="B3" s="2" t="s">
        <v>3773</v>
      </c>
    </row>
    <row r="4" spans="1:2">
      <c r="A4" s="3" t="s">
        <v>3774</v>
      </c>
      <c r="B4" s="4" t="s">
        <v>3775</v>
      </c>
    </row>
    <row r="5" spans="1:2">
      <c r="A5" s="3" t="s">
        <v>3776</v>
      </c>
      <c r="B5" s="2" t="s">
        <v>3777</v>
      </c>
    </row>
    <row r="6" spans="1:2">
      <c r="A6" s="3" t="s">
        <v>3778</v>
      </c>
      <c r="B6" s="4" t="s">
        <v>3779</v>
      </c>
    </row>
    <row r="7" spans="1:2">
      <c r="A7" s="3" t="s">
        <v>3780</v>
      </c>
      <c r="B7" s="2" t="s">
        <v>3781</v>
      </c>
    </row>
    <row r="8" spans="1:2">
      <c r="A8" s="4" t="s">
        <v>2553</v>
      </c>
      <c r="B8" s="4" t="s">
        <v>142</v>
      </c>
    </row>
    <row r="9" spans="1:2">
      <c r="A9" s="2"/>
      <c r="B9" s="2"/>
    </row>
    <row r="10" spans="1:2">
      <c r="A10" s="5" t="s">
        <v>3782</v>
      </c>
      <c r="B10" s="5" t="s">
        <v>3783</v>
      </c>
    </row>
    <row r="11" spans="1:2">
      <c r="A11" s="6" t="s">
        <v>3784</v>
      </c>
      <c r="B11" s="7" t="s">
        <v>3785</v>
      </c>
    </row>
    <row r="12" spans="1:2">
      <c r="A12" s="6" t="s">
        <v>678</v>
      </c>
      <c r="B12" s="8" t="s">
        <v>3786</v>
      </c>
    </row>
    <row r="13" spans="1:2">
      <c r="A13" s="6" t="s">
        <v>678</v>
      </c>
      <c r="B13" s="8" t="s">
        <v>3787</v>
      </c>
    </row>
    <row r="14" spans="1:2">
      <c r="A14" s="6" t="s">
        <v>678</v>
      </c>
      <c r="B14" s="8" t="s">
        <v>3788</v>
      </c>
    </row>
    <row r="15" spans="1:2">
      <c r="A15" s="6" t="s">
        <v>678</v>
      </c>
      <c r="B15" s="8" t="s">
        <v>3789</v>
      </c>
    </row>
    <row r="16" spans="1:2">
      <c r="A16" s="6" t="s">
        <v>678</v>
      </c>
      <c r="B16" s="8" t="s">
        <v>3790</v>
      </c>
    </row>
    <row r="17" spans="1:2">
      <c r="A17" s="6" t="s">
        <v>3791</v>
      </c>
      <c r="B17" s="7" t="s">
        <v>3792</v>
      </c>
    </row>
    <row r="18" spans="1:2">
      <c r="A18" s="6" t="s">
        <v>678</v>
      </c>
      <c r="B18" s="8" t="s">
        <v>3793</v>
      </c>
    </row>
    <row r="19" spans="1:2">
      <c r="A19" s="6" t="s">
        <v>678</v>
      </c>
      <c r="B19" s="8" t="s">
        <v>3794</v>
      </c>
    </row>
    <row r="20" spans="1:2">
      <c r="A20" s="6" t="s">
        <v>678</v>
      </c>
      <c r="B20" s="8" t="s">
        <v>3795</v>
      </c>
    </row>
    <row r="21" spans="1:2">
      <c r="A21" s="6" t="s">
        <v>678</v>
      </c>
      <c r="B21" s="8" t="s">
        <v>3796</v>
      </c>
    </row>
    <row r="22" spans="1:2">
      <c r="A22" s="6" t="s">
        <v>3797</v>
      </c>
      <c r="B22" s="7" t="s">
        <v>3798</v>
      </c>
    </row>
    <row r="23" spans="1:2">
      <c r="A23" s="6"/>
      <c r="B23" s="8" t="s">
        <v>3799</v>
      </c>
    </row>
    <row r="24" spans="1:2">
      <c r="A24" s="6"/>
      <c r="B24" s="8" t="s">
        <v>3800</v>
      </c>
    </row>
    <row r="25" spans="1:2">
      <c r="A25" s="6"/>
      <c r="B25" s="8" t="s">
        <v>3801</v>
      </c>
    </row>
    <row r="26" spans="1:2">
      <c r="A26" s="6"/>
      <c r="B26" s="8" t="s">
        <v>3802</v>
      </c>
    </row>
    <row r="27" spans="1:2">
      <c r="A27" s="6"/>
      <c r="B27" s="8" t="s">
        <v>3803</v>
      </c>
    </row>
    <row r="28" spans="1:2">
      <c r="A28" s="2"/>
      <c r="B28" s="2"/>
    </row>
    <row r="29" spans="1:2">
      <c r="A29" s="6" t="s">
        <v>3804</v>
      </c>
      <c r="B29" s="7" t="s">
        <v>3805</v>
      </c>
    </row>
    <row r="30" spans="1:2">
      <c r="A30" s="6"/>
      <c r="B30" s="8" t="s">
        <v>3806</v>
      </c>
    </row>
    <row r="31" ht="28" spans="1:2">
      <c r="A31" s="6"/>
      <c r="B31" s="8" t="s">
        <v>3807</v>
      </c>
    </row>
    <row r="32" spans="1:2">
      <c r="A32" s="6"/>
      <c r="B32" s="8" t="s">
        <v>3808</v>
      </c>
    </row>
    <row r="33" spans="1:2">
      <c r="A33" s="6"/>
      <c r="B33" s="8" t="s">
        <v>3809</v>
      </c>
    </row>
    <row r="34" spans="1:2">
      <c r="A34" s="6"/>
      <c r="B34" s="8" t="s">
        <v>3810</v>
      </c>
    </row>
    <row r="35" spans="1:2">
      <c r="A35" s="6"/>
      <c r="B35" s="8" t="s">
        <v>3811</v>
      </c>
    </row>
    <row r="36" spans="1:2">
      <c r="A36" s="2"/>
      <c r="B36" s="2"/>
    </row>
    <row r="37" spans="1:2">
      <c r="A37" s="6" t="s">
        <v>3812</v>
      </c>
      <c r="B37" s="7" t="s">
        <v>3813</v>
      </c>
    </row>
    <row r="38" ht="28" spans="1:2">
      <c r="A38" s="6"/>
      <c r="B38" s="8" t="s">
        <v>3814</v>
      </c>
    </row>
    <row r="39" spans="1:2">
      <c r="A39" s="6"/>
      <c r="B39" s="8" t="s">
        <v>3815</v>
      </c>
    </row>
    <row r="40" spans="1:2">
      <c r="A40" s="6"/>
      <c r="B40" s="8" t="s">
        <v>3816</v>
      </c>
    </row>
    <row r="41" spans="1:2">
      <c r="A41" s="6"/>
      <c r="B41" s="8" t="s">
        <v>3817</v>
      </c>
    </row>
    <row r="42" spans="1:2">
      <c r="A42" s="6"/>
      <c r="B42" s="8" t="s">
        <v>3818</v>
      </c>
    </row>
    <row r="43" spans="1:2">
      <c r="A43" s="6"/>
      <c r="B43" s="8" t="s">
        <v>3819</v>
      </c>
    </row>
    <row r="44" spans="1:2">
      <c r="A44" s="2"/>
      <c r="B44" s="2"/>
    </row>
    <row r="45" spans="1:2">
      <c r="A45" s="6" t="s">
        <v>3820</v>
      </c>
      <c r="B45" s="7" t="s">
        <v>3821</v>
      </c>
    </row>
    <row r="46" ht="28" spans="1:2">
      <c r="A46" s="6"/>
      <c r="B46" s="8" t="s">
        <v>3822</v>
      </c>
    </row>
    <row r="47" ht="28" spans="1:2">
      <c r="A47" s="6"/>
      <c r="B47" s="8" t="s">
        <v>3823</v>
      </c>
    </row>
    <row r="48" spans="1:2">
      <c r="A48" s="6"/>
      <c r="B48" s="8" t="s">
        <v>3824</v>
      </c>
    </row>
    <row r="49" spans="1:2">
      <c r="A49" s="2"/>
      <c r="B49" s="2"/>
    </row>
    <row r="50" spans="1:2">
      <c r="A50" s="6" t="s">
        <v>3825</v>
      </c>
      <c r="B50" s="7" t="s">
        <v>3826</v>
      </c>
    </row>
    <row r="51" spans="1:2">
      <c r="A51" s="6"/>
      <c r="B51" s="8" t="s">
        <v>3827</v>
      </c>
    </row>
    <row r="52" spans="1:2">
      <c r="A52" s="6"/>
      <c r="B52" s="8" t="s">
        <v>3828</v>
      </c>
    </row>
    <row r="53" spans="1:2">
      <c r="A53" s="6"/>
      <c r="B53" s="8" t="s">
        <v>3829</v>
      </c>
    </row>
    <row r="54" spans="1:2">
      <c r="A54" s="6"/>
      <c r="B54" s="8" t="s">
        <v>3830</v>
      </c>
    </row>
    <row r="55" spans="1:2">
      <c r="A55" s="2"/>
      <c r="B55" s="2"/>
    </row>
    <row r="56" spans="1:2">
      <c r="A56" s="6" t="s">
        <v>3831</v>
      </c>
      <c r="B56" s="7" t="s">
        <v>3832</v>
      </c>
    </row>
    <row r="57" spans="1:2">
      <c r="A57" s="6"/>
      <c r="B57" s="8" t="s">
        <v>3833</v>
      </c>
    </row>
    <row r="58" spans="1:2">
      <c r="A58" s="6"/>
      <c r="B58" s="8" t="s">
        <v>3834</v>
      </c>
    </row>
    <row r="59" spans="1:2">
      <c r="A59" s="6"/>
      <c r="B59" s="8" t="s">
        <v>3835</v>
      </c>
    </row>
    <row r="60" spans="1:2">
      <c r="A60" s="6"/>
      <c r="B60" s="8" t="s">
        <v>3836</v>
      </c>
    </row>
    <row r="61" spans="1:2">
      <c r="A61" s="6"/>
      <c r="B61" s="8" t="s">
        <v>3837</v>
      </c>
    </row>
    <row r="62" spans="1:2">
      <c r="A62" s="6"/>
      <c r="B62" s="8" t="s">
        <v>3838</v>
      </c>
    </row>
    <row r="63" spans="1:2">
      <c r="A63" s="6"/>
      <c r="B63" s="8" t="s">
        <v>3839</v>
      </c>
    </row>
    <row r="64" spans="1:2">
      <c r="A64" s="6"/>
      <c r="B64" s="8" t="s">
        <v>3840</v>
      </c>
    </row>
    <row r="65" spans="1:2">
      <c r="A65" s="6"/>
      <c r="B65" s="8" t="s">
        <v>3841</v>
      </c>
    </row>
    <row r="66" spans="1:2">
      <c r="A66" s="6"/>
      <c r="B66" s="8" t="s">
        <v>3842</v>
      </c>
    </row>
    <row r="67" spans="1:2">
      <c r="A67" s="6"/>
      <c r="B67" s="8" t="s">
        <v>3843</v>
      </c>
    </row>
    <row r="68" spans="1:2">
      <c r="A68" s="6"/>
      <c r="B68" s="8" t="s">
        <v>3844</v>
      </c>
    </row>
    <row r="69" spans="1:2">
      <c r="A69" s="2"/>
      <c r="B69" s="2"/>
    </row>
    <row r="70" spans="1:2">
      <c r="A70" s="6" t="s">
        <v>3845</v>
      </c>
      <c r="B70" s="7" t="s">
        <v>3846</v>
      </c>
    </row>
    <row r="71" spans="1:2">
      <c r="A71" s="6"/>
      <c r="B71" s="8" t="s">
        <v>3847</v>
      </c>
    </row>
    <row r="72" spans="1:2">
      <c r="A72" s="6"/>
      <c r="B72" s="8" t="s">
        <v>3848</v>
      </c>
    </row>
    <row r="73" spans="1:2">
      <c r="A73" s="6"/>
      <c r="B73" s="8" t="s">
        <v>3849</v>
      </c>
    </row>
    <row r="74" spans="1:2">
      <c r="A74" s="6"/>
      <c r="B74" s="8" t="s">
        <v>3850</v>
      </c>
    </row>
    <row r="75" spans="1:2">
      <c r="A75" s="6"/>
      <c r="B75" s="8" t="s">
        <v>3851</v>
      </c>
    </row>
    <row r="76" spans="1:2">
      <c r="A76" s="6"/>
      <c r="B76" s="8" t="s">
        <v>3852</v>
      </c>
    </row>
    <row r="77" spans="1:2">
      <c r="A77" s="2"/>
      <c r="B77" s="2"/>
    </row>
    <row r="78" spans="1:2">
      <c r="A78" s="6" t="s">
        <v>3853</v>
      </c>
      <c r="B78" s="7" t="s">
        <v>3854</v>
      </c>
    </row>
    <row r="79" spans="1:2">
      <c r="A79" s="6"/>
      <c r="B79" s="8" t="s">
        <v>3855</v>
      </c>
    </row>
    <row r="80" spans="1:2">
      <c r="A80" s="6"/>
      <c r="B80" s="8" t="s">
        <v>3856</v>
      </c>
    </row>
    <row r="81" spans="1:2">
      <c r="A81" s="6"/>
      <c r="B81" s="8" t="s">
        <v>3857</v>
      </c>
    </row>
    <row r="82" spans="1:2">
      <c r="A82" s="6"/>
      <c r="B82" s="8" t="s">
        <v>3858</v>
      </c>
    </row>
    <row r="83" spans="1:2">
      <c r="A83" s="6"/>
      <c r="B83" s="8" t="s">
        <v>3859</v>
      </c>
    </row>
    <row r="84" spans="1:2">
      <c r="A84" s="6"/>
      <c r="B84" s="8" t="s">
        <v>3860</v>
      </c>
    </row>
    <row r="85" spans="1:2">
      <c r="A85" s="2"/>
      <c r="B85" s="2"/>
    </row>
    <row r="86" spans="1:2">
      <c r="A86" s="6" t="s">
        <v>3861</v>
      </c>
      <c r="B86" s="7" t="s">
        <v>3862</v>
      </c>
    </row>
    <row r="87" spans="1:2">
      <c r="A87" s="6"/>
      <c r="B87" s="8" t="s">
        <v>3863</v>
      </c>
    </row>
    <row r="88" spans="1:2">
      <c r="A88" s="6"/>
      <c r="B88" s="8" t="s">
        <v>3864</v>
      </c>
    </row>
    <row r="89" spans="1:2">
      <c r="A89" s="6"/>
      <c r="B89" s="8" t="s">
        <v>3865</v>
      </c>
    </row>
    <row r="90" spans="1:2">
      <c r="A90" s="6"/>
      <c r="B90" s="8" t="s">
        <v>3866</v>
      </c>
    </row>
    <row r="91" spans="1:2">
      <c r="A91" s="6"/>
      <c r="B91" s="8" t="s">
        <v>3867</v>
      </c>
    </row>
    <row r="92" spans="1:2">
      <c r="A92" s="6"/>
      <c r="B92" s="8" t="s">
        <v>3868</v>
      </c>
    </row>
    <row r="93" spans="1:2">
      <c r="A93" s="6"/>
      <c r="B93" s="8" t="s">
        <v>3869</v>
      </c>
    </row>
    <row r="94" spans="1:2">
      <c r="A94" s="2"/>
      <c r="B94" s="2"/>
    </row>
    <row r="95" spans="1:2">
      <c r="A95" s="6" t="s">
        <v>3870</v>
      </c>
      <c r="B95" s="7" t="s">
        <v>3871</v>
      </c>
    </row>
    <row r="96" spans="1:2">
      <c r="A96" s="6"/>
      <c r="B96" s="8" t="s">
        <v>3872</v>
      </c>
    </row>
    <row r="97" spans="1:2">
      <c r="A97" s="6"/>
      <c r="B97" s="8" t="s">
        <v>3873</v>
      </c>
    </row>
    <row r="98" spans="1:2">
      <c r="A98" s="6"/>
      <c r="B98" s="8" t="s">
        <v>3874</v>
      </c>
    </row>
    <row r="99" spans="1:2">
      <c r="A99" s="2"/>
      <c r="B99" s="2"/>
    </row>
    <row r="100" spans="1:2">
      <c r="A100" s="6" t="s">
        <v>3875</v>
      </c>
      <c r="B100" s="7" t="s">
        <v>3876</v>
      </c>
    </row>
    <row r="101" spans="1:2">
      <c r="A101" s="6"/>
      <c r="B101" s="8" t="s">
        <v>3877</v>
      </c>
    </row>
    <row r="102" spans="1:2">
      <c r="A102" s="6"/>
      <c r="B102" s="8" t="s">
        <v>3878</v>
      </c>
    </row>
    <row r="103" spans="1:2">
      <c r="A103" s="6"/>
      <c r="B103" s="8" t="s">
        <v>3879</v>
      </c>
    </row>
    <row r="104" spans="1:2">
      <c r="A104" s="6"/>
      <c r="B104" s="8" t="s">
        <v>3880</v>
      </c>
    </row>
    <row r="105" spans="1:2">
      <c r="A105" s="6"/>
      <c r="B105" s="8" t="s">
        <v>3881</v>
      </c>
    </row>
    <row r="106" spans="1:2">
      <c r="A106" s="6"/>
      <c r="B106" s="8" t="s">
        <v>3882</v>
      </c>
    </row>
    <row r="107" spans="1:2">
      <c r="A107" s="2"/>
      <c r="B107" s="2"/>
    </row>
    <row r="108" spans="1:2">
      <c r="A108" s="6" t="s">
        <v>3883</v>
      </c>
      <c r="B108" s="7" t="s">
        <v>3884</v>
      </c>
    </row>
    <row r="109" spans="1:2">
      <c r="A109" s="6"/>
      <c r="B109" s="8" t="s">
        <v>3885</v>
      </c>
    </row>
    <row r="110" spans="1:2">
      <c r="A110" s="6"/>
      <c r="B110" s="8" t="s">
        <v>3886</v>
      </c>
    </row>
    <row r="111" spans="1:2">
      <c r="A111" s="6"/>
      <c r="B111" s="8" t="s">
        <v>3887</v>
      </c>
    </row>
    <row r="112" spans="1:2">
      <c r="A112" s="6"/>
      <c r="B112" s="8" t="s">
        <v>3888</v>
      </c>
    </row>
    <row r="113" spans="1:2">
      <c r="A113" s="6"/>
      <c r="B113" s="8" t="s">
        <v>3889</v>
      </c>
    </row>
    <row r="114" spans="1:2">
      <c r="A114" s="6"/>
      <c r="B114" s="8" t="s">
        <v>3890</v>
      </c>
    </row>
    <row r="115" spans="1:2">
      <c r="A115" s="6"/>
      <c r="B115" s="8" t="s">
        <v>3891</v>
      </c>
    </row>
    <row r="116" spans="1:2">
      <c r="A116" s="6"/>
      <c r="B116" s="8" t="s">
        <v>3892</v>
      </c>
    </row>
    <row r="117" spans="1:2">
      <c r="A117" s="6"/>
      <c r="B117" s="8" t="s">
        <v>3893</v>
      </c>
    </row>
    <row r="118" spans="1:2">
      <c r="A118" s="6"/>
      <c r="B118" s="8" t="s">
        <v>3894</v>
      </c>
    </row>
    <row r="119" spans="1:2">
      <c r="A119" s="6"/>
      <c r="B119" s="8" t="s">
        <v>3895</v>
      </c>
    </row>
    <row r="120" spans="1:2">
      <c r="A120" s="6"/>
      <c r="B120" s="8" t="s">
        <v>3896</v>
      </c>
    </row>
    <row r="121" spans="1:2">
      <c r="A121" s="6"/>
      <c r="B121" s="8" t="s">
        <v>3897</v>
      </c>
    </row>
    <row r="122" spans="1:2">
      <c r="A122" s="6"/>
      <c r="B122" s="8" t="s">
        <v>3898</v>
      </c>
    </row>
    <row r="123" spans="1:2">
      <c r="A123" s="2"/>
      <c r="B123" s="2"/>
    </row>
    <row r="124" spans="1:2">
      <c r="A124" s="6" t="s">
        <v>3899</v>
      </c>
      <c r="B124" s="7" t="s">
        <v>3900</v>
      </c>
    </row>
    <row r="125" spans="1:2">
      <c r="A125" s="6"/>
      <c r="B125" s="8" t="s">
        <v>3901</v>
      </c>
    </row>
    <row r="126" spans="1:2">
      <c r="A126" s="6"/>
      <c r="B126" s="8" t="s">
        <v>3902</v>
      </c>
    </row>
    <row r="127" spans="1:2">
      <c r="A127" s="6"/>
      <c r="B127" s="8" t="s">
        <v>3903</v>
      </c>
    </row>
    <row r="128" spans="1:2">
      <c r="A128" s="2"/>
      <c r="B128" s="2"/>
    </row>
    <row r="129" spans="1:2">
      <c r="A129" s="6" t="s">
        <v>3904</v>
      </c>
      <c r="B129" s="7" t="s">
        <v>3905</v>
      </c>
    </row>
    <row r="130" spans="1:2">
      <c r="A130" s="6"/>
      <c r="B130" s="8" t="s">
        <v>3906</v>
      </c>
    </row>
    <row r="131" spans="1:2">
      <c r="A131" s="2"/>
      <c r="B131" s="2"/>
    </row>
    <row r="132" spans="1:2">
      <c r="A132" s="6" t="s">
        <v>3907</v>
      </c>
      <c r="B132" s="7" t="s">
        <v>3908</v>
      </c>
    </row>
    <row r="133" spans="1:2">
      <c r="A133" s="2"/>
      <c r="B133" s="2"/>
    </row>
    <row r="134" spans="1:2">
      <c r="A134" s="6" t="s">
        <v>3909</v>
      </c>
      <c r="B134" s="7" t="s">
        <v>3910</v>
      </c>
    </row>
    <row r="135" spans="1:2">
      <c r="A135" s="6"/>
      <c r="B135" s="8" t="s">
        <v>3911</v>
      </c>
    </row>
    <row r="136" spans="1:2">
      <c r="A136" s="2"/>
      <c r="B136" s="2"/>
    </row>
    <row r="137" spans="1:2">
      <c r="A137" s="6" t="s">
        <v>3912</v>
      </c>
      <c r="B137" s="7" t="s">
        <v>3913</v>
      </c>
    </row>
    <row r="138" spans="1:2">
      <c r="A138" s="6"/>
      <c r="B138" s="8" t="s">
        <v>3914</v>
      </c>
    </row>
    <row r="139" spans="1:2">
      <c r="A139" s="6"/>
      <c r="B139" s="8" t="s">
        <v>3915</v>
      </c>
    </row>
    <row r="140" spans="1:2">
      <c r="A140" s="2"/>
      <c r="B140" s="2"/>
    </row>
    <row r="141" spans="1:2">
      <c r="A141" s="6" t="s">
        <v>3916</v>
      </c>
      <c r="B141" s="7" t="s">
        <v>3917</v>
      </c>
    </row>
    <row r="142" spans="1:2">
      <c r="A142" s="2"/>
      <c r="B142" s="2"/>
    </row>
    <row r="143" spans="1:2">
      <c r="A143" s="6" t="s">
        <v>3918</v>
      </c>
      <c r="B143" s="7" t="s">
        <v>3919</v>
      </c>
    </row>
    <row r="144" spans="1:2">
      <c r="A144" s="6"/>
      <c r="B144" s="8" t="s">
        <v>3920</v>
      </c>
    </row>
    <row r="145" spans="1:2">
      <c r="A145" s="6"/>
      <c r="B145" s="8" t="s">
        <v>3921</v>
      </c>
    </row>
    <row r="146" spans="1:2">
      <c r="A146" s="6"/>
      <c r="B146" s="8" t="s">
        <v>3922</v>
      </c>
    </row>
    <row r="147" spans="1:2">
      <c r="A147" s="2"/>
      <c r="B147" s="2"/>
    </row>
    <row r="148" spans="1:2">
      <c r="A148" s="6" t="s">
        <v>3923</v>
      </c>
      <c r="B148" s="7" t="s">
        <v>3924</v>
      </c>
    </row>
    <row r="149" spans="1:2">
      <c r="A149" s="2"/>
      <c r="B149" s="2"/>
    </row>
    <row r="150" spans="1:2">
      <c r="A150" s="6" t="s">
        <v>3925</v>
      </c>
      <c r="B150" s="7" t="s">
        <v>3926</v>
      </c>
    </row>
    <row r="151" spans="1:2">
      <c r="A151" s="2"/>
      <c r="B151" s="2"/>
    </row>
    <row r="152" spans="1:2">
      <c r="A152" s="6" t="s">
        <v>3927</v>
      </c>
      <c r="B152" s="7" t="s">
        <v>3928</v>
      </c>
    </row>
    <row r="153" spans="1:2">
      <c r="A153" s="6"/>
      <c r="B153" s="8" t="s">
        <v>3929</v>
      </c>
    </row>
    <row r="154" spans="1:2">
      <c r="A154" s="6"/>
      <c r="B154" s="8" t="s">
        <v>3930</v>
      </c>
    </row>
    <row r="155" spans="1:2">
      <c r="A155" s="6"/>
      <c r="B155" s="8" t="s">
        <v>3931</v>
      </c>
    </row>
    <row r="156" spans="1:2">
      <c r="A156" s="2"/>
      <c r="B156" s="2"/>
    </row>
    <row r="157" spans="1:2">
      <c r="A157" s="6" t="s">
        <v>3932</v>
      </c>
      <c r="B157" s="7" t="s">
        <v>3933</v>
      </c>
    </row>
    <row r="158" spans="1:2">
      <c r="A158" s="6"/>
      <c r="B158" s="8" t="s">
        <v>3934</v>
      </c>
    </row>
    <row r="159" spans="1:2">
      <c r="A159" s="6"/>
      <c r="B159" s="8" t="s">
        <v>3935</v>
      </c>
    </row>
    <row r="160" spans="1:2">
      <c r="A160" s="6"/>
      <c r="B160" s="8" t="s">
        <v>3936</v>
      </c>
    </row>
    <row r="161" spans="1:2">
      <c r="A161" s="2"/>
      <c r="B161" s="2"/>
    </row>
    <row r="162" spans="1:2">
      <c r="A162" s="6" t="s">
        <v>3937</v>
      </c>
      <c r="B162" s="7" t="s">
        <v>3938</v>
      </c>
    </row>
    <row r="163" spans="1:2">
      <c r="A163" s="6"/>
      <c r="B163" s="8" t="s">
        <v>3939</v>
      </c>
    </row>
    <row r="164" spans="1:2">
      <c r="A164" s="2"/>
      <c r="B164" s="2"/>
    </row>
    <row r="165" spans="1:2">
      <c r="A165" s="6" t="s">
        <v>3940</v>
      </c>
      <c r="B165" s="7" t="s">
        <v>3941</v>
      </c>
    </row>
    <row r="166" spans="1:2">
      <c r="A166" s="6"/>
      <c r="B166" s="8" t="s">
        <v>3942</v>
      </c>
    </row>
    <row r="167" spans="1:2">
      <c r="A167" s="6"/>
      <c r="B167" s="8" t="s">
        <v>3943</v>
      </c>
    </row>
    <row r="168" spans="1:2">
      <c r="A168" s="6"/>
      <c r="B168" s="8" t="s">
        <v>3944</v>
      </c>
    </row>
    <row r="169" spans="1:2">
      <c r="A169" s="6"/>
      <c r="B169" s="8" t="s">
        <v>3945</v>
      </c>
    </row>
    <row r="170" spans="1:2">
      <c r="A170" s="6"/>
      <c r="B170" s="8" t="s">
        <v>3946</v>
      </c>
    </row>
    <row r="171" spans="1:2">
      <c r="A171" s="2"/>
      <c r="B171" s="2"/>
    </row>
    <row r="172" spans="1:2">
      <c r="A172" s="6" t="s">
        <v>3947</v>
      </c>
      <c r="B172" s="7" t="s">
        <v>3948</v>
      </c>
    </row>
    <row r="173" spans="1:2">
      <c r="A173" s="6"/>
      <c r="B173" s="8" t="s">
        <v>3949</v>
      </c>
    </row>
    <row r="174" spans="1:2">
      <c r="A174" s="6"/>
      <c r="B174" s="8" t="s">
        <v>3950</v>
      </c>
    </row>
    <row r="175" spans="1:2">
      <c r="A175" s="2"/>
      <c r="B175" s="2"/>
    </row>
    <row r="176" spans="1:2">
      <c r="A176" s="6" t="s">
        <v>3951</v>
      </c>
      <c r="B176" s="7" t="s">
        <v>3952</v>
      </c>
    </row>
  </sheetData>
  <sheetProtection password="CC25" sheet="1" autoFilter="0" objects="1" scenarios="1"/>
  <mergeCells count="1">
    <mergeCell ref="A1:B1"/>
  </mergeCells>
  <hyperlinks>
    <hyperlink ref="B4" r:id="rId1" display="QQ：280848250　Email：dkwings@gmail.com"/>
    <hyperlink ref="B6" r:id="rId2" display="https://github.com/Shylosia/DeltaGreen"/>
    <hyperlink ref="A8" location="'人物卡'!B2" display="返回人物卡"/>
    <hyperlink ref="B8" r:id="rId3" display="绿箱生成器"/>
  </hyperlinks>
  <printOptions horizontalCentered="1"/>
  <pageMargins left="0.25" right="0.25" top="0.35" bottom="0.35" header="0.15" footer="0.15"/>
  <pageSetup paperSize="9"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1" master="" otherUserPermission="visible"/>
  <rangeList sheetStid="9" master="" otherUserPermission="visible"/>
  <rangeList sheetStid="10" master="" otherUserPermission="visible"/>
  <rangeList sheetStid="5" master="" otherUserPermission="visible"/>
  <rangeList sheetStid="4" master="" otherUserPermission="visible"/>
  <rangeList sheetStid="14" master="" otherUserPermission="visible"/>
  <rangeList sheetStid="15" master="" otherUserPermission="visible"/>
  <rangeList sheetStid="19" master="" otherUserPermission="visible"/>
  <rangeList sheetStid="23" master="" otherUserPermission="visible"/>
  <rangeList sheetStid="20" master="" otherUserPermission="visible"/>
  <rangeList sheetStid="13" master="" otherUserPermission="visible"/>
  <rangeList sheetStid="16" master="" otherUserPermission="visible"/>
  <rangeList sheetStid="17" master="" otherUserPermission="visible"/>
  <rangeList sheetStid="18" master="" otherUserPermission="visible"/>
  <rangeList sheetStid="21" master="" otherUserPermission="visible"/>
  <rangeList sheetStid="22"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人物卡</vt:lpstr>
      <vt:lpstr>骰子指令</vt:lpstr>
      <vt:lpstr>职业列表</vt:lpstr>
      <vt:lpstr>额外技能包</vt:lpstr>
      <vt:lpstr>子技能</vt:lpstr>
      <vt:lpstr>附表</vt:lpstr>
      <vt:lpstr>职业选项</vt:lpstr>
      <vt:lpstr>规则数据</vt:lpstr>
      <vt:lpstr>模组经历备忘录</vt:lpstr>
      <vt:lpstr>理智与关系记录</vt:lpstr>
      <vt:lpstr>幕间与结算</vt:lpstr>
      <vt:lpstr>可打印版（A4）</vt:lpstr>
      <vt:lpstr>规则速查</vt:lpstr>
      <vt:lpstr>精神疾病</vt:lpstr>
      <vt:lpstr>参考选项</vt:lpstr>
      <vt:lpstr>幕间计算</vt:lpstr>
      <vt:lpstr>装备选项</vt:lpstr>
      <vt:lpstr>更新记录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Lindrich King</dc:creator>
  <cp:lastModifiedBy>邺明瑾羽</cp:lastModifiedBy>
  <dcterms:created xsi:type="dcterms:W3CDTF">2020-07-08T07:43:00Z</dcterms:created>
  <dcterms:modified xsi:type="dcterms:W3CDTF">2026-09-22T14:27:14Z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A2CFC5FB23C94AAEBF4252CA01B07569_13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1.11</vt:lpwstr>
  </property>
</Properties>
</file>